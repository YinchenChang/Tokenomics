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結果" sheetId="1" state="visible" r:id="rId3"/>
    <sheet name="參數" sheetId="2" state="visible" r:id="rId4"/>
    <sheet name="站點時間表" sheetId="3" state="visible" r:id="rId5"/>
    <sheet name="站點彙總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<sst xmlns="http://schemas.openxmlformats.org/spreadsheetml/2006/main" count="477" uniqueCount="175">
  <si>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結果：僅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追蹤之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相關站點的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電力），加到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未涵蓋的增量（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）只會使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更高、倍數更低</t>
    </r>
  </si>
  <si>
    <r>
      <rPr>
        <sz val="11"/>
        <color theme="1"/>
        <rFont val="Noto Sans CJK SC"/>
        <family val="2"/>
      </rPr>
      <t xml:space="preserve">持平門檻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比值＝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比值）</t>
    </r>
  </si>
  <si>
    <t xml:space="preserve">值</t>
  </si>
  <si>
    <t xml:space="preserve">公式說明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</si>
  <si>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季平均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</si>
  <si>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比值 </t>
    </r>
    <r>
      <rPr>
        <sz val="11"/>
        <color theme="1"/>
        <rFont val="Calibri"/>
        <family val="2"/>
        <charset val="1"/>
      </rPr>
      <t xml:space="preserve">×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</si>
  <si>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÷ </t>
    </r>
    <r>
      <rPr>
        <sz val="11"/>
        <color theme="1"/>
        <rFont val="Noto Sans CJK SC"/>
        <family val="2"/>
      </rPr>
      <t xml:space="preserve">全年平均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</si>
  <si>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run-rate ÷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（時點不一致：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月底；年底 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若更高，倍數更高）</t>
    </r>
  </si>
  <si>
    <t xml:space="preserve">情境（占比／上線時點；早＝證據未排除的最早日期）</t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</si>
  <si>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季平均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</si>
  <si>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</si>
  <si>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Noto Sans CJK SC"/>
        <family val="2"/>
      </rPr>
      <t xml:space="preserve">全年平均 </t>
    </r>
    <r>
      <rPr>
        <b val="true"/>
        <sz val="11"/>
        <rFont val="Cambria"/>
        <family val="0"/>
        <charset val="1"/>
      </rPr>
      <t xml:space="preserve">GW</t>
    </r>
  </si>
  <si>
    <t xml:space="preserve">全年倍數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</si>
  <si>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GW</t>
    </r>
  </si>
  <si>
    <t xml:space="preserve">年底倍數</t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</si>
  <si>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倍數（營收 </t>
    </r>
    <r>
      <rPr>
        <b val="true"/>
        <sz val="11"/>
        <rFont val="Cambria"/>
        <family val="0"/>
        <charset val="1"/>
      </rPr>
      <t xml:space="preserve">268 </t>
    </r>
    <r>
      <rPr>
        <b val="true"/>
        <sz val="1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</si>
  <si>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低占比＋晚（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日期）</t>
    </r>
  </si>
  <si>
    <t xml:space="preserve">低占比＋早（證據下限日期）</t>
  </si>
  <si>
    <r>
      <rPr>
        <sz val="11"/>
        <color theme="1"/>
        <rFont val="Noto Sans CJK SC"/>
        <family val="2"/>
      </rPr>
      <t xml:space="preserve">中占比＋晚（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日期）</t>
    </r>
  </si>
  <si>
    <t xml:space="preserve">中占比＋早（證據下限日期）</t>
  </si>
  <si>
    <r>
      <rPr>
        <sz val="11"/>
        <color theme="1"/>
        <rFont val="Noto Sans CJK SC"/>
        <family val="2"/>
      </rPr>
      <t xml:space="preserve">高占比＋晚（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日期）</t>
    </r>
  </si>
  <si>
    <t xml:space="preserve">高占比＋早（證據下限日期）</t>
  </si>
  <si>
    <t xml:space="preserve">最小</t>
  </si>
  <si>
    <t xml:space="preserve">最大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</si>
  <si>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基準檢查：用同一批站點的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時間分布估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（其餘增量線性）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</si>
  <si>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</si>
  <si>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比值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</si>
  <si>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</si>
  <si>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其餘增量 </t>
    </r>
    <r>
      <rPr>
        <sz val="11"/>
        <color theme="1"/>
        <rFont val="Calibri"/>
        <family val="2"/>
        <charset val="1"/>
      </rPr>
      <t xml:space="preserve">GW</t>
    </r>
  </si>
  <si>
    <t xml:space="preserve">低占比</t>
  </si>
  <si>
    <t xml:space="preserve">中占比</t>
  </si>
  <si>
    <t xml:space="preserve">高占比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</si>
  <si>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內插 </t>
    </r>
    <r>
      <rPr>
        <sz val="11"/>
        <color theme="1"/>
        <rFont val="Calibri"/>
        <family val="2"/>
        <charset val="1"/>
      </rPr>
      <t xml:space="preserve">1.128 GW </t>
    </r>
    <r>
      <rPr>
        <sz val="11"/>
        <color theme="1"/>
        <rFont val="Noto Sans CJK SC"/>
        <family val="2"/>
      </rPr>
      <t xml:space="preserve">時（實算 </t>
    </r>
    <r>
      <rPr>
        <sz val="11"/>
        <color theme="1"/>
        <rFont val="Calibri"/>
        <family val="2"/>
        <charset val="1"/>
      </rPr>
      <t xml:space="preserve">1.2388</t>
    </r>
    <r>
      <rPr>
        <sz val="11"/>
        <color theme="1"/>
        <rFont val="Noto Sans CJK SC"/>
        <family val="2"/>
      </rPr>
      <t xml:space="preserve">；主表用取整 </t>
    </r>
    <r>
      <rPr>
        <sz val="11"/>
        <color theme="1"/>
        <rFont val="Calibri"/>
        <family val="2"/>
        <charset val="1"/>
      </rPr>
      <t xml:space="preserve">1.239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表 </t>
    </r>
    <r>
      <rPr>
        <sz val="11"/>
        <color theme="1"/>
        <rFont val="Calibri"/>
        <family val="2"/>
        <charset val="1"/>
      </rPr>
      <t xml:space="preserve">k=1 </t>
    </r>
    <r>
      <rPr>
        <sz val="11"/>
        <color theme="1"/>
        <rFont val="Noto Sans CJK SC"/>
        <family val="2"/>
      </rPr>
      <t xml:space="preserve">列因此差 </t>
    </r>
    <r>
      <rPr>
        <sz val="11"/>
        <color theme="1"/>
        <rFont val="Calibri"/>
        <family val="2"/>
        <charset val="1"/>
      </rPr>
      <t xml:space="preserve">&lt;0.001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</si>
  <si>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比值（低占比＋晚，最保守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</si>
  <si>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門檻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</si>
  <si>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</si>
  <si>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Friar 1.9 GW </t>
    </r>
    <r>
      <rPr>
        <sz val="11"/>
        <color theme="1"/>
        <rFont val="Noto Sans CJK SC"/>
        <family val="2"/>
      </rPr>
      <t xml:space="preserve">的縮放係數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站增量不變）</t>
    </r>
  </si>
  <si>
    <t xml:space="preserve">k</t>
  </si>
  <si>
    <r>
      <rPr>
        <sz val="11"/>
        <color theme="1"/>
        <rFont val="Calibri"/>
        <family val="2"/>
        <charset val="1"/>
      </rPr>
      <t xml:space="preserve">Q2 GW</t>
    </r>
    <r>
      <rPr>
        <sz val="11"/>
        <color theme="1"/>
        <rFont val="Noto Sans CJK SC"/>
        <family val="2"/>
      </rPr>
      <t xml:space="preserve">（低＋晚）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</si>
  <si>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倍數（低＋晚）</t>
    </r>
  </si>
  <si>
    <r>
      <rPr>
        <sz val="11"/>
        <color theme="1"/>
        <rFont val="Calibri"/>
        <family val="2"/>
        <charset val="1"/>
      </rPr>
      <t xml:space="preserve">Q2 GW</t>
    </r>
    <r>
      <rPr>
        <sz val="11"/>
        <color theme="1"/>
        <rFont val="Noto Sans CJK SC"/>
        <family val="2"/>
      </rPr>
      <t xml:space="preserve">（中＋晚）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</si>
  <si>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倍數（中＋晚）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</si>
  <si>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兩站的占比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（其他站維持「低」占比；核對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</si>
  <si>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t xml:space="preserve">f</t>
  </si>
  <si>
    <r>
      <rPr>
        <sz val="11"/>
        <color theme="1"/>
        <rFont val="Calibri"/>
        <family val="2"/>
        <charset val="1"/>
      </rPr>
      <t xml:space="preserve">Q2 GW</t>
    </r>
    <r>
      <rPr>
        <sz val="11"/>
        <color theme="1"/>
        <rFont val="Noto Sans CJK SC"/>
        <family val="2"/>
      </rPr>
      <t xml:space="preserve">（晚）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</si>
  <si>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倍數（晚）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</si>
  <si>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倍數（晚，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</si>
  <si>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Q2 GW</t>
    </r>
    <r>
      <rPr>
        <sz val="11"/>
        <color theme="1"/>
        <rFont val="Noto Sans CJK SC"/>
        <family val="2"/>
      </rPr>
      <t xml:space="preserve">（早）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</si>
  <si>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倍數（早）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</si>
  <si>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倍數（早，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</si>
  <si>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持平所需最低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（倍數＝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</si>
  <si>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Noto Sans CJK SC"/>
        <family val="2"/>
      </rPr>
      <t xml:space="preserve">億、晚）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</si>
  <si>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Noto Sans CJK SC"/>
        <family val="2"/>
      </rPr>
      <t xml:space="preserve">億、晚）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</si>
  <si>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Noto Sans CJK SC"/>
        <family val="2"/>
      </rPr>
      <t xml:space="preserve">億、早）</t>
    </r>
  </si>
  <si>
    <r>
      <rPr>
        <sz val="11"/>
        <color theme="1"/>
        <rFont val="Noto Sans CJK SC"/>
        <family val="2"/>
      </rPr>
      <t xml:space="preserve">敏感度：若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才記錄的新增已含在 </t>
    </r>
    <r>
      <rPr>
        <sz val="11"/>
        <color theme="1"/>
        <rFont val="Calibri"/>
        <family val="2"/>
        <charset val="1"/>
      </rPr>
      <t xml:space="preserve">Friar 1.9 GW </t>
    </r>
    <r>
      <rPr>
        <sz val="11"/>
        <color theme="1"/>
        <rFont val="Noto Sans CJK SC"/>
        <family val="2"/>
      </rPr>
      <t xml:space="preserve">內（扣除；核對 </t>
    </r>
    <r>
      <rPr>
        <sz val="11"/>
        <color theme="1"/>
        <rFont val="Calibri"/>
        <family val="2"/>
        <charset val="1"/>
      </rPr>
      <t xml:space="preserve">C3b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</si>
  <si>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扣除 </t>
    </r>
    <r>
      <rPr>
        <sz val="11"/>
        <color theme="1"/>
        <rFont val="Calibri"/>
        <family val="2"/>
        <charset val="1"/>
      </rPr>
      <t xml:space="preserve">GW</t>
    </r>
  </si>
  <si>
    <t xml:space="preserve">低占比＋晚</t>
  </si>
  <si>
    <t xml:space="preserve">中占比＋晚</t>
  </si>
  <si>
    <t xml:space="preserve">高占比＋晚</t>
  </si>
  <si>
    <t xml:space="preserve">項目</t>
  </si>
  <si>
    <t xml:space="preserve">單位</t>
  </si>
  <si>
    <t xml:space="preserve">標記</t>
  </si>
  <si>
    <t xml:space="preserve">依據</t>
  </si>
  <si>
    <r>
      <rPr>
        <sz val="11"/>
        <color theme="1"/>
        <rFont val="Calibri"/>
        <family val="2"/>
        <charset val="1"/>
      </rPr>
      <t xml:space="preserve">E0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</si>
  <si>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</si>
  <si>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CFO</t>
    </r>
    <r>
      <rPr>
        <sz val="11"/>
        <color theme="1"/>
        <rFont val="Noto Sans CJK SC"/>
        <family val="2"/>
      </rPr>
      <t xml:space="preserve">（募資／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誘因）</t>
    </r>
  </si>
  <si>
    <r>
      <rPr>
        <sz val="11"/>
        <color theme="1"/>
        <rFont val="Calibri"/>
        <family val="2"/>
        <charset val="1"/>
      </rPr>
      <t xml:space="preserve">Friar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DCD 2026-01-21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視為約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電力（電力定義係數中位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</si>
  <si>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視窗起</t>
    </r>
  </si>
  <si>
    <t xml:space="preserve">日</t>
  </si>
  <si>
    <t xml:space="preserve">—</t>
  </si>
  <si>
    <t xml:space="preserve">2026 Q2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</si>
  <si>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視窗迄（不含）</t>
    </r>
  </si>
  <si>
    <t xml:space="preserve">全年視窗起</t>
  </si>
  <si>
    <t xml:space="preserve">全年視窗迄（不含）</t>
  </si>
  <si>
    <t xml:space="preserve">年底時點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</si>
  <si>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年底時點</t>
    </r>
  </si>
  <si>
    <r>
      <rPr>
        <sz val="11"/>
        <color theme="1"/>
        <rFont val="Calibri"/>
        <family val="2"/>
        <charset val="1"/>
      </rPr>
      <t xml:space="preserve">E0 </t>
    </r>
    <r>
      <rPr>
        <sz val="11"/>
        <color theme="1"/>
        <rFont val="Noto Sans CJK SC"/>
        <family val="2"/>
      </rPr>
      <t xml:space="preserve">對應時點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</si>
  <si>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年底時點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</si>
  <si>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基準檢查用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</si>
  <si>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視窗起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</si>
  <si>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視窗迄（不含）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</si>
  <si>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回本比值（基準）</t>
    </r>
  </si>
  <si>
    <t xml:space="preserve">倍</t>
  </si>
  <si>
    <t xml:space="preserve">Derived</t>
  </si>
  <si>
    <r>
      <rPr>
        <sz val="11"/>
        <color theme="1"/>
        <rFont val="Noto Sans CJK SC"/>
        <family val="2"/>
      </rPr>
      <t xml:space="preserve">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130.7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1.128 GW × 93.5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</si>
  <si>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 2026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</si>
  <si>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</si>
  <si>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PR #160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模型世代組合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</si>
  <si>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</t>
    </r>
  </si>
  <si>
    <t xml:space="preserve">$B</t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</si>
  <si>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A2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</si>
  <si>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（不含廣告）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</si>
  <si>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run-rate</t>
    </r>
  </si>
  <si>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</si>
  <si>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R01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</si>
  <si>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年化（</t>
    </r>
    <r>
      <rPr>
        <sz val="11"/>
        <color theme="1"/>
        <rFont val="Calibri"/>
        <family val="2"/>
        <charset val="1"/>
      </rPr>
      <t xml:space="preserve">WSJ 67 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</si>
  <si>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</si>
  <si>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R01</t>
    </r>
    <r>
      <rPr>
        <sz val="11"/>
        <color theme="1"/>
        <rFont val="Noto Sans CJK SC"/>
        <family val="2"/>
      </rPr>
      <t xml:space="preserve">，對照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</si>
  <si>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</si>
  <si>
    <t xml:space="preserve">Interested-party</t>
  </si>
  <si>
    <t xml:space="preserve">Friar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</si>
  <si>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</si>
  <si>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／報導</t>
    </r>
  </si>
  <si>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之 </t>
    </r>
    <r>
      <rPr>
        <sz val="11"/>
        <color theme="1"/>
        <rFont val="Calibri"/>
        <family val="2"/>
        <charset val="1"/>
      </rPr>
      <t xml:space="preserve">130.7 </t>
    </r>
    <r>
      <rPr>
        <sz val="11"/>
        <color theme="1"/>
        <rFont val="Noto Sans CJK SC"/>
        <family val="2"/>
      </rPr>
      <t xml:space="preserve">億</t>
    </r>
  </si>
  <si>
    <t xml:space="preserve">h 2025</t>
  </si>
  <si>
    <r>
      <rPr>
        <sz val="11"/>
        <color theme="1"/>
        <rFont val="Calibri"/>
        <family val="2"/>
        <charset val="1"/>
      </rPr>
      <t xml:space="preserve">TK 2025 </t>
    </r>
    <r>
      <rPr>
        <sz val="11"/>
        <color theme="1"/>
        <rFont val="Noto Sans CJK SC"/>
        <family val="2"/>
      </rPr>
      <t xml:space="preserve">機隊持有成本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</si>
  <si>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內插）</t>
    </r>
  </si>
  <si>
    <t xml:space="preserve">AL_FleetGW25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</si>
  <si>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使用占比情境（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；依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使用者標記）</t>
    </r>
  </si>
  <si>
    <t xml:space="preserve">confident</t>
  </si>
  <si>
    <t xml:space="preserve">likely</t>
  </si>
  <si>
    <t xml:space="preserve">speculative</t>
  </si>
  <si>
    <t xml:space="preserve">說明</t>
  </si>
  <si>
    <t xml:space="preserve">低</t>
  </si>
  <si>
    <r>
      <rPr>
        <sz val="11"/>
        <color theme="1"/>
        <rFont val="Calibri"/>
        <family val="2"/>
        <charset val="1"/>
      </rPr>
      <t xml:space="preserve">likely </t>
    </r>
    <r>
      <rPr>
        <sz val="11"/>
        <color theme="1"/>
        <rFont val="Noto Sans CJK SC"/>
        <family val="2"/>
      </rPr>
      <t xml:space="preserve">站多與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共用（</t>
    </r>
    <r>
      <rPr>
        <sz val="11"/>
        <color theme="1"/>
        <rFont val="Calibri"/>
        <family val="2"/>
        <charset val="1"/>
      </rPr>
      <t xml:space="preserve">Fairwater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speculative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推測</t>
    </r>
  </si>
  <si>
    <t xml:space="preserve">中</t>
  </si>
  <si>
    <t xml:space="preserve">高</t>
  </si>
  <si>
    <t xml:space="preserve">站點</t>
  </si>
  <si>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標記</t>
    </r>
  </si>
  <si>
    <r>
      <rPr>
        <b val="true"/>
        <sz val="11"/>
        <rFont val="Noto Sans CJK SC"/>
        <family val="2"/>
      </rPr>
      <t xml:space="preserve">日期（</t>
    </r>
    <r>
      <rPr>
        <b val="true"/>
        <sz val="11"/>
        <rFont val="Cambria"/>
        <family val="0"/>
        <charset val="1"/>
      </rPr>
      <t xml:space="preserve">Epoch</t>
    </r>
    <r>
      <rPr>
        <b val="true"/>
        <sz val="11"/>
        <rFont val="Noto Sans CJK SC"/>
        <family val="2"/>
      </rPr>
      <t xml:space="preserve">，晚）</t>
    </r>
  </si>
  <si>
    <t xml:space="preserve">棟數</t>
  </si>
  <si>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 </t>
    </r>
    <r>
      <rPr>
        <b val="true"/>
        <sz val="11"/>
        <rFont val="Cambria"/>
        <family val="0"/>
        <charset val="1"/>
      </rPr>
      <t xml:space="preserve">MW</t>
    </r>
  </si>
  <si>
    <r>
      <rPr>
        <b val="true"/>
        <sz val="11"/>
        <rFont val="Noto Sans CJK SC"/>
        <family val="2"/>
      </rPr>
      <t xml:space="preserve">設施電力 </t>
    </r>
    <r>
      <rPr>
        <b val="true"/>
        <sz val="11"/>
        <rFont val="Cambria"/>
        <family val="0"/>
        <charset val="1"/>
      </rPr>
      <t xml:space="preserve">MW</t>
    </r>
  </si>
  <si>
    <t xml:space="preserve">H100e</t>
  </si>
  <si>
    <t xml:space="preserve">日期（早，藍字為改寫）</t>
  </si>
  <si>
    <t xml:space="preserve">早日期依據</t>
  </si>
  <si>
    <t xml:space="preserve">下一日（晚）</t>
  </si>
  <si>
    <t xml:space="preserve">下一日（早）</t>
  </si>
  <si>
    <r>
      <rPr>
        <b val="true"/>
        <sz val="11"/>
        <rFont val="Cambria"/>
        <family val="0"/>
        <charset val="1"/>
      </rPr>
      <t xml:space="preserve">Q2 MW·</t>
    </r>
    <r>
      <rPr>
        <b val="true"/>
        <sz val="11"/>
        <rFont val="Noto Sans CJK SC"/>
        <family val="2"/>
      </rPr>
      <t xml:space="preserve">日（晚）</t>
    </r>
  </si>
  <si>
    <r>
      <rPr>
        <b val="true"/>
        <sz val="11"/>
        <rFont val="Cambria"/>
        <family val="0"/>
        <charset val="1"/>
      </rPr>
      <t xml:space="preserve">Q2 MW·</t>
    </r>
    <r>
      <rPr>
        <b val="true"/>
        <sz val="11"/>
        <rFont val="Noto Sans CJK SC"/>
        <family val="2"/>
      </rPr>
      <t xml:space="preserve">日（早）</t>
    </r>
  </si>
  <si>
    <r>
      <rPr>
        <b val="true"/>
        <sz val="11"/>
        <rFont val="Noto Sans CJK SC"/>
        <family val="2"/>
      </rPr>
      <t xml:space="preserve">全年 </t>
    </r>
    <r>
      <rPr>
        <b val="true"/>
        <sz val="11"/>
        <rFont val="Cambria"/>
        <family val="0"/>
        <charset val="1"/>
      </rPr>
      <t xml:space="preserve">MW·</t>
    </r>
    <r>
      <rPr>
        <b val="true"/>
        <sz val="11"/>
        <rFont val="Noto Sans CJK SC"/>
        <family val="2"/>
      </rPr>
      <t xml:space="preserve">日（晚）</t>
    </r>
  </si>
  <si>
    <r>
      <rPr>
        <b val="true"/>
        <sz val="11"/>
        <rFont val="Noto Sans CJK SC"/>
        <family val="2"/>
      </rPr>
      <t xml:space="preserve">全年 </t>
    </r>
    <r>
      <rPr>
        <b val="true"/>
        <sz val="11"/>
        <rFont val="Cambria"/>
        <family val="0"/>
        <charset val="1"/>
      </rPr>
      <t xml:space="preserve">MW·</t>
    </r>
    <r>
      <rPr>
        <b val="true"/>
        <sz val="11"/>
        <rFont val="Noto Sans CJK SC"/>
        <family val="2"/>
      </rPr>
      <t xml:space="preserve">日（早）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</si>
  <si>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年底水準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</si>
  <si>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年底水準（晚）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</si>
  <si>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年底水準（早）</t>
    </r>
  </si>
  <si>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年底水準</t>
    </r>
  </si>
  <si>
    <r>
      <rPr>
        <b val="true"/>
        <sz val="11"/>
        <rFont val="Cambria"/>
        <family val="0"/>
        <charset val="1"/>
      </rPr>
      <t xml:space="preserve">2025 MW·</t>
    </r>
    <r>
      <rPr>
        <b val="true"/>
        <sz val="11"/>
        <rFont val="Noto Sans CJK SC"/>
        <family val="2"/>
      </rPr>
      <t xml:space="preserve">日</t>
    </r>
  </si>
  <si>
    <r>
      <rPr>
        <b val="true"/>
        <sz val="11"/>
        <rFont val="Cambria"/>
        <family val="0"/>
        <charset val="1"/>
      </rPr>
      <t xml:space="preserve">2026 Q1 </t>
    </r>
    <r>
      <rPr>
        <b val="true"/>
        <sz val="11"/>
        <rFont val="Noto Sans CJK SC"/>
        <family val="2"/>
      </rPr>
      <t xml:space="preserve">記錄之新增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（晚）</t>
    </r>
  </si>
  <si>
    <t xml:space="preserve">Microsoft Fairwater Atlanta</t>
  </si>
  <si>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Noto Sans CJK SC"/>
        <family val="2"/>
      </rPr>
      <t xml:space="preserve">快照仍在試運轉；最早為次日</t>
    </r>
  </si>
  <si>
    <t xml:space="preserve">OpenAI Stargate Abilene</t>
  </si>
  <si>
    <r>
      <rPr>
        <sz val="11"/>
        <color theme="1"/>
        <rFont val="Calibri"/>
        <family val="2"/>
        <charset val="1"/>
      </rPr>
      <t xml:space="preserve">Oracle 2026-04-22 </t>
    </r>
    <r>
      <rPr>
        <sz val="11"/>
        <color theme="1"/>
        <rFont val="Noto Sans CJK SC"/>
        <family val="2"/>
      </rPr>
      <t xml:space="preserve">貼文「</t>
    </r>
    <r>
      <rPr>
        <sz val="11"/>
        <color theme="1"/>
        <rFont val="Calibri"/>
        <family val="2"/>
        <charset val="1"/>
      </rPr>
      <t xml:space="preserve">200MW is already operational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棟；最早為次日</t>
    </r>
  </si>
  <si>
    <t xml:space="preserve">Microsoft Fairwater Wisconsin</t>
  </si>
  <si>
    <t xml:space="preserve">CoreWeave Denton TX</t>
  </si>
  <si>
    <r>
      <rPr>
        <sz val="11"/>
        <color theme="1"/>
        <rFont val="Noto Sans CJK SC"/>
        <family val="2"/>
      </rPr>
      <t xml:space="preserve">上一快照 </t>
    </r>
    <r>
      <rPr>
        <sz val="11"/>
        <color theme="1"/>
        <rFont val="Calibri"/>
        <family val="2"/>
        <charset val="1"/>
      </rPr>
      <t xml:space="preserve">2025-12-31</t>
    </r>
  </si>
  <si>
    <r>
      <rPr>
        <sz val="11"/>
        <color theme="1"/>
        <rFont val="Calibri"/>
        <family val="2"/>
        <charset val="1"/>
      </rPr>
      <t xml:space="preserve">2026-03-02 </t>
    </r>
    <r>
      <rPr>
        <sz val="11"/>
        <color theme="1"/>
        <rFont val="Noto Sans CJK SC"/>
        <family val="2"/>
      </rPr>
      <t xml:space="preserve">法說「</t>
    </r>
    <r>
      <rPr>
        <sz val="11"/>
        <color theme="1"/>
        <rFont val="Calibri"/>
        <family val="2"/>
        <charset val="1"/>
      </rPr>
      <t xml:space="preserve">Denton South partially running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Q2 deck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operational by midyear</t>
    </r>
    <r>
      <rPr>
        <sz val="11"/>
        <color theme="1"/>
        <rFont val="Noto Sans CJK SC"/>
        <family val="2"/>
      </rPr>
      <t xml:space="preserve">」</t>
    </r>
  </si>
  <si>
    <t xml:space="preserve">Microsoft Goodyear</t>
  </si>
  <si>
    <t xml:space="preserve">Coreweave Helios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</si>
  <si>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自加兩個月緩衝；最早為 </t>
    </r>
    <r>
      <rPr>
        <sz val="11"/>
        <color theme="1"/>
        <rFont val="Calibri"/>
        <family val="2"/>
        <charset val="1"/>
      </rPr>
      <t xml:space="preserve">2026-06-17 </t>
    </r>
    <r>
      <rPr>
        <sz val="11"/>
        <color theme="1"/>
        <rFont val="Noto Sans CJK SC"/>
        <family val="2"/>
      </rPr>
      <t xml:space="preserve">快照次日</t>
    </r>
  </si>
  <si>
    <t xml:space="preserve">Microsoft Project Osmium</t>
  </si>
  <si>
    <t xml:space="preserve">CoreWeave Ellendale ND</t>
  </si>
  <si>
    <t xml:space="preserve">CoreWeave Chester VA</t>
  </si>
  <si>
    <t xml:space="preserve">CoreWeave Marble NC</t>
  </si>
  <si>
    <t xml:space="preserve">CoreWeave Norway</t>
  </si>
  <si>
    <t xml:space="preserve">CoreWeave Dalton 1 &amp; 2</t>
  </si>
  <si>
    <t xml:space="preserve">CoreWeave Lancaster Greenfield site</t>
  </si>
  <si>
    <t xml:space="preserve">CoreWeave Muskogee OK</t>
  </si>
  <si>
    <t xml:space="preserve">OpenAI Stargate Lordstown</t>
  </si>
  <si>
    <t xml:space="preserve">OpenAI Stargate Michigan</t>
  </si>
  <si>
    <t xml:space="preserve">OpenAI Stargate Milam</t>
  </si>
  <si>
    <t xml:space="preserve">OpenAI Stargate New Mexico</t>
  </si>
  <si>
    <t xml:space="preserve">OpenAI Stargate Shackelford</t>
  </si>
  <si>
    <t xml:space="preserve">OpenAI Stargate UAE</t>
  </si>
  <si>
    <t xml:space="preserve">OpenAI Stargate Wisconsin</t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</si>
  <si>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MW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</si>
  <si>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平均增量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（晚）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</si>
  <si>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平均增量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（早）</t>
    </r>
  </si>
  <si>
    <r>
      <rPr>
        <b val="true"/>
        <sz val="11"/>
        <rFont val="Noto Sans CJK SC"/>
        <family val="2"/>
      </rPr>
      <t xml:space="preserve">全年平均增量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（晚）</t>
    </r>
  </si>
  <si>
    <r>
      <rPr>
        <b val="true"/>
        <sz val="11"/>
        <rFont val="Noto Sans CJK SC"/>
        <family val="2"/>
      </rPr>
      <t xml:space="preserve">全年平均增量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（早）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</si>
  <si>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（晚）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</si>
  <si>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（早）</t>
    </r>
  </si>
  <si>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MW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</si>
  <si>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平均增量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（對 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年底）</t>
    </r>
  </si>
  <si>
    <r>
      <rPr>
        <b val="true"/>
        <sz val="11"/>
        <rFont val="Cambria"/>
        <family val="0"/>
        <charset val="1"/>
      </rPr>
      <t xml:space="preserve">2026 Q1 </t>
    </r>
    <r>
      <rPr>
        <b val="true"/>
        <sz val="11"/>
        <rFont val="Noto Sans CJK SC"/>
        <family val="2"/>
      </rPr>
      <t xml:space="preserve">記錄之新增 </t>
    </r>
    <r>
      <rPr>
        <b val="true"/>
        <sz val="11"/>
        <rFont val="Cambria"/>
        <family val="0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</si>
  <si>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計入）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</si>
</sst>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</cols>
  <sheetData>
    <row r="1" customFormat="false" ht="17.15" hidden="false" customHeight="false" outlineLevel="0" collapsed="false">
      <c r="A1" s="0" t="s">
        <v>0</v>
      </c>
    </row>
    <row r="3" customFormat="false" ht="17.15" hidden="false" customHeight="false" outlineLevel="0" collapsed="false">
      <c r="A3" s="1" t="s">
        <v>1</v>
      </c>
      <c r="B3" s="1" t="s">
        <v>2</v>
      </c>
      <c r="C3" s="1" t="s">
        <v>3</v>
      </c>
    </row>
    <row r="4" customFormat="false" ht="17.15" hidden="false" customHeight="false" outlineLevel="0" collapsed="false">
      <c r="A4" s="0" t="s">
        <v>4</v>
      </c>
      <c r="B4" s="2" t="n">
        <f aca="false">參數!B14/(參數!B12*參數!B13)</f>
        <v>2.1668840141963</v>
      </c>
      <c r="C4" s="1" t="s">
        <v>5</v>
      </c>
    </row>
    <row r="5" customFormat="false" ht="17.15" hidden="false" customHeight="false" outlineLevel="0" collapsed="false">
      <c r="A5" s="0" t="s">
        <v>6</v>
      </c>
      <c r="B5" s="2" t="n">
        <f aca="false">參數!B15/(參數!B12*參數!B13)</f>
        <v>2.88368595045135</v>
      </c>
    </row>
    <row r="6" customFormat="false" ht="17.15" hidden="false" customHeight="false" outlineLevel="0" collapsed="false">
      <c r="A6" s="0" t="s">
        <v>7</v>
      </c>
      <c r="B6" s="2" t="n">
        <f aca="false">參數!B16/(參數!B12*參數!B13)</f>
        <v>4.11955135778765</v>
      </c>
    </row>
    <row r="8" customFormat="false" ht="17.15" hidden="false" customHeight="false" outlineLevel="0" collapsed="false">
      <c r="A8" s="3" t="s">
        <v>8</v>
      </c>
      <c r="B8" s="4" t="s">
        <v>9</v>
      </c>
      <c r="C8" s="4" t="s">
        <v>10</v>
      </c>
      <c r="D8" s="3" t="s">
        <v>11</v>
      </c>
      <c r="E8" s="3" t="s">
        <v>12</v>
      </c>
      <c r="F8" s="4" t="s">
        <v>13</v>
      </c>
      <c r="G8" s="3" t="s">
        <v>14</v>
      </c>
      <c r="H8" s="4" t="s">
        <v>15</v>
      </c>
    </row>
    <row r="9" customFormat="false" ht="17.15" hidden="false" customHeight="false" outlineLevel="0" collapsed="false">
      <c r="A9" s="1" t="s">
        <v>16</v>
      </c>
      <c r="B9" s="2" t="n">
        <f aca="false">參數!$B$2+SUMPRODUCT(站點彙總!$D$2:$D$22,(站點彙總!$B$2:$B$22="confident")*參數!$B$24+(站點彙總!$B$2:$B$22="likely")*參數!$C$24+(站點彙總!$B$2:$B$22="speculative")*參數!$D$24)/1000</f>
        <v>2.20551098901099</v>
      </c>
      <c r="C9" s="2" t="n">
        <f aca="false">$B$4/B9</f>
        <v>0.982486156266214</v>
      </c>
      <c r="D9" s="2" t="n">
        <f aca="false">參數!$B$2+SUMPRODUCT(站點彙總!$F$2:$F$22,(站點彙總!$B$2:$B$22="confident")*參數!$B$24+(站點彙總!$B$2:$B$22="likely")*參數!$C$24+(站點彙總!$B$2:$B$22="speculative")*參數!$D$24)/1000</f>
        <v>2.39398493150685</v>
      </c>
      <c r="E9" s="2" t="n">
        <f aca="false">$B$5/D9</f>
        <v>1.20455476243799</v>
      </c>
      <c r="F9" s="2" t="n">
        <f aca="false">參數!$B$2+SUMPRODUCT(站點彙總!$H$2:$H$22,(站點彙總!$B$2:$B$22="confident")*參數!$B$24+(站點彙總!$B$2:$B$22="likely")*參數!$C$24+(站點彙總!$B$2:$B$22="speculative")*參數!$D$24)/1000</f>
        <v>3.1715</v>
      </c>
      <c r="G9" s="2" t="n">
        <f aca="false">$B$6/F9</f>
        <v>1.29892838019475</v>
      </c>
      <c r="H9" s="2" t="n">
        <f aca="false">參數!$B$17/(參數!$B$12*參數!$B$13*B9)</f>
        <v>1.00116460030169</v>
      </c>
    </row>
    <row r="10" customFormat="false" ht="15" hidden="false" customHeight="false" outlineLevel="0" collapsed="false">
      <c r="A10" s="1" t="s">
        <v>17</v>
      </c>
      <c r="B10" s="2" t="n">
        <f aca="false">參數!$B$2+SUMPRODUCT(站點彙總!$E$2:$E$22,(站點彙總!$B$2:$B$22="confident")*參數!$B$24+(站點彙總!$B$2:$B$22="likely")*參數!$C$24+(站點彙總!$B$2:$B$22="speculative")*參數!$D$24)/1000</f>
        <v>2.39043406593407</v>
      </c>
      <c r="C10" s="2" t="n">
        <f aca="false">$B$4/B10</f>
        <v>0.906481398117789</v>
      </c>
      <c r="D10" s="2" t="n">
        <f aca="false">參數!$B$2+SUMPRODUCT(站點彙總!$G$2:$G$22,(站點彙總!$B$2:$B$22="confident")*參數!$B$24+(站點彙總!$B$2:$B$22="likely")*參數!$C$24+(站點彙總!$B$2:$B$22="speculative")*參數!$D$24)/1000</f>
        <v>2.45029863013699</v>
      </c>
      <c r="E10" s="2" t="n">
        <f aca="false">$B$5/D10</f>
        <v>1.17687122499438</v>
      </c>
      <c r="F10" s="2" t="n">
        <f aca="false">參數!$B$2+SUMPRODUCT(站點彙總!$I$2:$I$22,(站點彙總!$B$2:$B$22="confident")*參數!$B$24+(站點彙總!$B$2:$B$22="likely")*參數!$C$24+(站點彙總!$B$2:$B$22="speculative")*參數!$D$24)/1000</f>
        <v>3.1715</v>
      </c>
      <c r="G10" s="2" t="n">
        <f aca="false">$B$6/F10</f>
        <v>1.29892838019475</v>
      </c>
      <c r="H10" s="2" t="n">
        <f aca="false">參數!$B$17/(參數!$B$12*參數!$B$13*B10)</f>
        <v>0.923714884774021</v>
      </c>
    </row>
    <row r="11" customFormat="false" ht="17.15" hidden="false" customHeight="false" outlineLevel="0" collapsed="false">
      <c r="A11" s="1" t="s">
        <v>18</v>
      </c>
      <c r="B11" s="2" t="n">
        <f aca="false">參數!$B$2+SUMPRODUCT(站點彙總!$D$2:$D$22,(站點彙總!$B$2:$B$22="confident")*參數!$B$25+(站點彙總!$B$2:$B$22="likely")*參數!$C$25+(站點彙總!$B$2:$B$22="speculative")*參數!$D$25)/1000</f>
        <v>2.34007417582418</v>
      </c>
      <c r="C11" s="2" t="n">
        <f aca="false">$B$4/B11</f>
        <v>0.925989456480851</v>
      </c>
      <c r="D11" s="2" t="n">
        <f aca="false">參數!$B$2+SUMPRODUCT(站點彙總!$F$2:$F$22,(站點彙總!$B$2:$B$22="confident")*參數!$B$25+(站點彙總!$B$2:$B$22="likely")*參數!$C$25+(站點彙總!$B$2:$B$22="speculative")*參數!$D$25)/1000</f>
        <v>2.57091438356164</v>
      </c>
      <c r="E11" s="2" t="n">
        <f aca="false">$B$5/D11</f>
        <v>1.12165771403729</v>
      </c>
      <c r="F11" s="2" t="n">
        <f aca="false">參數!$B$2+SUMPRODUCT(站點彙總!$H$2:$H$22,(站點彙總!$B$2:$B$22="confident")*參數!$B$25+(站點彙總!$B$2:$B$22="likely")*參數!$C$25+(站點彙總!$B$2:$B$22="speculative")*參數!$D$25)/1000</f>
        <v>3.48375</v>
      </c>
      <c r="G11" s="2" t="n">
        <f aca="false">$B$6/F11</f>
        <v>1.18250487485831</v>
      </c>
      <c r="H11" s="2" t="n">
        <f aca="false">參數!$B$17/(參數!$B$12*參數!$B$13*B11)</f>
        <v>0.943593818771361</v>
      </c>
    </row>
    <row r="12" customFormat="false" ht="15" hidden="false" customHeight="false" outlineLevel="0" collapsed="false">
      <c r="A12" s="1" t="s">
        <v>19</v>
      </c>
      <c r="B12" s="2" t="n">
        <f aca="false">參數!$B$2+SUMPRODUCT(站點彙總!$E$2:$E$22,(站點彙總!$B$2:$B$22="confident")*參數!$B$25+(站點彙總!$B$2:$B$22="likely")*參數!$C$25+(站點彙總!$B$2:$B$22="speculative")*參數!$D$25)/1000</f>
        <v>2.58755769230769</v>
      </c>
      <c r="C12" s="2" t="n">
        <f aca="false">$B$4/B12</f>
        <v>0.837424425603352</v>
      </c>
      <c r="D12" s="2" t="n">
        <f aca="false">參數!$B$2+SUMPRODUCT(站點彙總!$G$2:$G$22,(站點彙總!$B$2:$B$22="confident")*參數!$B$25+(站點彙總!$B$2:$B$22="likely")*參數!$C$25+(站點彙總!$B$2:$B$22="speculative")*參數!$D$25)/1000</f>
        <v>2.65335479452055</v>
      </c>
      <c r="E12" s="2" t="n">
        <f aca="false">$B$5/D12</f>
        <v>1.08680752246419</v>
      </c>
      <c r="F12" s="2" t="n">
        <f aca="false">參數!$B$2+SUMPRODUCT(站點彙總!$I$2:$I$22,(站點彙總!$B$2:$B$22="confident")*參數!$B$25+(站點彙總!$B$2:$B$22="likely")*參數!$C$25+(站點彙總!$B$2:$B$22="speculative")*參數!$D$25)/1000</f>
        <v>3.48375</v>
      </c>
      <c r="G12" s="2" t="n">
        <f aca="false">$B$6/F12</f>
        <v>1.18250487485831</v>
      </c>
      <c r="H12" s="2" t="n">
        <f aca="false">參數!$B$17/(參數!$B$12*參數!$B$13*B12)</f>
        <v>0.853345042059689</v>
      </c>
    </row>
    <row r="13" customFormat="false" ht="17.15" hidden="false" customHeight="false" outlineLevel="0" collapsed="false">
      <c r="A13" s="1" t="s">
        <v>20</v>
      </c>
      <c r="B13" s="2" t="n">
        <f aca="false">參數!$B$2+SUMPRODUCT(站點彙總!$D$2:$D$22,(站點彙總!$B$2:$B$22="confident")*參數!$B$26+(站點彙總!$B$2:$B$22="likely")*參數!$C$26+(站點彙總!$B$2:$B$22="speculative")*參數!$D$26)/1000</f>
        <v>2.52825274725275</v>
      </c>
      <c r="C13" s="2" t="n">
        <f aca="false">$B$4/B13</f>
        <v>0.857067797731412</v>
      </c>
      <c r="D13" s="2" t="n">
        <f aca="false">參數!$B$2+SUMPRODUCT(站點彙總!$F$2:$F$22,(站點彙總!$B$2:$B$22="confident")*參數!$B$26+(站點彙總!$B$2:$B$22="likely")*參數!$C$26+(站點彙總!$B$2:$B$22="speculative")*參數!$D$26)/1000</f>
        <v>2.82353150684932</v>
      </c>
      <c r="E13" s="2" t="n">
        <f aca="false">$B$5/D13</f>
        <v>1.02130468296745</v>
      </c>
      <c r="F13" s="2" t="n">
        <f aca="false">參數!$B$2+SUMPRODUCT(站點彙總!$H$2:$H$22,(站點彙總!$B$2:$B$22="confident")*參數!$B$26+(站點彙總!$B$2:$B$22="likely")*參數!$C$26+(站點彙總!$B$2:$B$22="speculative")*參數!$D$26)/1000</f>
        <v>3.981</v>
      </c>
      <c r="G13" s="2" t="n">
        <f aca="false">$B$6/F13</f>
        <v>1.03480315443046</v>
      </c>
      <c r="H13" s="2" t="n">
        <f aca="false">參數!$B$17/(參數!$B$12*參數!$B$13*B13)</f>
        <v>0.873361862327066</v>
      </c>
    </row>
    <row r="14" customFormat="false" ht="15" hidden="false" customHeight="false" outlineLevel="0" collapsed="false">
      <c r="A14" s="1" t="s">
        <v>21</v>
      </c>
      <c r="B14" s="2" t="n">
        <f aca="false">參數!$B$2+SUMPRODUCT(站點彙總!$E$2:$E$22,(站點彙總!$B$2:$B$22="confident")*參數!$B$26+(站點彙總!$B$2:$B$22="likely")*參數!$C$26+(站點彙總!$B$2:$B$22="speculative")*參數!$D$26)/1000</f>
        <v>2.84772527472527</v>
      </c>
      <c r="C14" s="2" t="n">
        <f aca="false">$B$4/B14</f>
        <v>0.760917506133153</v>
      </c>
      <c r="D14" s="2" t="n">
        <f aca="false">參數!$B$2+SUMPRODUCT(站點彙總!$G$2:$G$22,(站點彙總!$B$2:$B$22="confident")*參數!$B$26+(站點彙總!$B$2:$B$22="likely")*參數!$C$26+(站點彙總!$B$2:$B$22="speculative")*參數!$D$26)/1000</f>
        <v>2.94529863013699</v>
      </c>
      <c r="E14" s="2" t="n">
        <f aca="false">$B$5/D14</f>
        <v>0.97908100759115</v>
      </c>
      <c r="F14" s="2" t="n">
        <f aca="false">參數!$B$2+SUMPRODUCT(站點彙總!$I$2:$I$22,(站點彙總!$B$2:$B$22="confident")*參數!$B$26+(站點彙總!$B$2:$B$22="likely")*參數!$C$26+(站點彙總!$B$2:$B$22="speculative")*參數!$D$26)/1000</f>
        <v>3.981</v>
      </c>
      <c r="G14" s="2" t="n">
        <f aca="false">$B$6/F14</f>
        <v>1.03480315443046</v>
      </c>
      <c r="H14" s="2" t="n">
        <f aca="false">參數!$B$17/(參數!$B$12*參數!$B$13*B14)</f>
        <v>0.775383618417053</v>
      </c>
    </row>
    <row r="15" customFormat="false" ht="15" hidden="false" customHeight="false" outlineLevel="0" collapsed="false">
      <c r="A15" s="1" t="s">
        <v>22</v>
      </c>
      <c r="B15" s="2" t="n">
        <f aca="false">MIN(B9:B14)</f>
        <v>2.20551098901099</v>
      </c>
      <c r="C15" s="2" t="n">
        <f aca="false">MIN(C9:C14)</f>
        <v>0.760917506133153</v>
      </c>
      <c r="D15" s="2" t="n">
        <f aca="false">MIN(D9:D14)</f>
        <v>2.39398493150685</v>
      </c>
      <c r="E15" s="2" t="n">
        <f aca="false">MIN(E9:E14)</f>
        <v>0.97908100759115</v>
      </c>
      <c r="F15" s="2" t="n">
        <f aca="false">MIN(F9:F14)</f>
        <v>3.1715</v>
      </c>
      <c r="G15" s="2" t="n">
        <f aca="false">MIN(G9:G14)</f>
        <v>1.03480315443046</v>
      </c>
      <c r="H15" s="2" t="n">
        <f aca="false">MIN(H9:H14)</f>
        <v>0.775383618417053</v>
      </c>
    </row>
    <row r="16" customFormat="false" ht="15" hidden="false" customHeight="false" outlineLevel="0" collapsed="false">
      <c r="A16" s="1" t="s">
        <v>23</v>
      </c>
      <c r="B16" s="2" t="n">
        <f aca="false">MAX(B9:B14)</f>
        <v>2.84772527472527</v>
      </c>
      <c r="C16" s="2" t="n">
        <f aca="false">MAX(C9:C14)</f>
        <v>0.982486156266214</v>
      </c>
      <c r="D16" s="2" t="n">
        <f aca="false">MAX(D9:D14)</f>
        <v>2.94529863013699</v>
      </c>
      <c r="E16" s="2" t="n">
        <f aca="false">MAX(E9:E14)</f>
        <v>1.20455476243799</v>
      </c>
      <c r="F16" s="2" t="n">
        <f aca="false">MAX(F9:F14)</f>
        <v>3.981</v>
      </c>
      <c r="G16" s="2" t="n">
        <f aca="false">MAX(G9:G14)</f>
        <v>1.29892838019475</v>
      </c>
      <c r="H16" s="2" t="n">
        <f aca="false">MAX(H9:H14)</f>
        <v>1.00116460030169</v>
      </c>
    </row>
    <row r="18" customFormat="false" ht="17.15" hidden="false" customHeight="false" outlineLevel="0" collapsed="false">
      <c r="A18" s="0" t="s">
        <v>24</v>
      </c>
      <c r="B18" s="0" t="s">
        <v>25</v>
      </c>
      <c r="C18" s="0" t="s">
        <v>26</v>
      </c>
      <c r="D18" s="0" t="s">
        <v>27</v>
      </c>
      <c r="E18" s="1" t="s">
        <v>28</v>
      </c>
    </row>
    <row r="19" customFormat="false" ht="15" hidden="false" customHeight="false" outlineLevel="0" collapsed="false">
      <c r="A19" s="1" t="s">
        <v>29</v>
      </c>
      <c r="B19" s="2" t="n">
        <f aca="false">參數!$B$18+SUMPRODUCT(站點彙總!$K$2:$K$22,(站點彙總!$B$2:$B$22="confident")*參數!$B$24+(站點彙總!$B$2:$B$22="likely")*參數!$C$24+(站點彙總!$B$2:$B$22="speculative")*參數!$D$24)/1000+0.5*E19</f>
        <v>1.11428219178082</v>
      </c>
      <c r="C19" s="2" t="n">
        <f aca="false">參數!$B$19/(B19*參數!$B$20)</f>
        <v>1.25409219064699</v>
      </c>
      <c r="D19" s="2" t="n">
        <f aca="false">(SUMPRODUCT(站點彙總!$C$2:$C$22,(站點彙總!$B$2:$B$22="confident")*參數!$B$24+(站點彙總!$B$2:$B$22="likely")*參數!$C$24+(站點彙總!$B$2:$B$22="speculative")*參數!$D$24)-SUMPRODUCT(站點彙總!$J$2:$J$22,(站點彙總!$B$2:$B$22="confident")*參數!$B$24+(站點彙總!$B$2:$B$22="likely")*參數!$C$24+(站點彙總!$B$2:$B$22="speculative")*參數!$D$24))/1000</f>
        <v>0.486</v>
      </c>
      <c r="E19" s="2" t="n">
        <f aca="false">(參數!$B$2-參數!$B$18)-D19</f>
        <v>0.814</v>
      </c>
    </row>
    <row r="20" customFormat="false" ht="15" hidden="false" customHeight="false" outlineLevel="0" collapsed="false">
      <c r="A20" s="1" t="s">
        <v>30</v>
      </c>
      <c r="B20" s="2" t="n">
        <f aca="false">參數!$B$18+SUMPRODUCT(站點彙總!$K$2:$K$22,(站點彙總!$B$2:$B$22="confident")*參數!$B$25+(站點彙總!$B$2:$B$22="likely")*參數!$C$25+(站點彙總!$B$2:$B$22="speculative")*參數!$D$25)/1000+0.5*E20</f>
        <v>1.08561952054795</v>
      </c>
      <c r="C20" s="2" t="n">
        <f aca="false">參數!$B$19/(B20*參數!$B$20)</f>
        <v>1.28720289976365</v>
      </c>
      <c r="D20" s="2" t="n">
        <f aca="false">(SUMPRODUCT(站點彙總!$C$2:$C$22,(站點彙總!$B$2:$B$22="confident")*參數!$B$25+(站點彙總!$B$2:$B$22="likely")*參數!$C$25+(站點彙總!$B$2:$B$22="speculative")*參數!$D$25)-SUMPRODUCT(站點彙總!$J$2:$J$22,(站點彙總!$B$2:$B$22="confident")*參數!$B$25+(站點彙總!$B$2:$B$22="likely")*參數!$C$25+(站點彙總!$B$2:$B$22="speculative")*參數!$D$25))/1000</f>
        <v>0.67475</v>
      </c>
      <c r="E20" s="2" t="n">
        <f aca="false">(參數!$B$2-參數!$B$18)-D20</f>
        <v>0.62525</v>
      </c>
    </row>
    <row r="21" customFormat="false" ht="15" hidden="false" customHeight="false" outlineLevel="0" collapsed="false">
      <c r="A21" s="1" t="s">
        <v>31</v>
      </c>
      <c r="B21" s="2" t="n">
        <f aca="false">參數!$B$18+SUMPRODUCT(站點彙總!$K$2:$K$22,(站點彙總!$B$2:$B$22="confident")*參數!$B$26+(站點彙總!$B$2:$B$22="likely")*參數!$C$26+(站點彙總!$B$2:$B$22="speculative")*參數!$D$26)/1000+0.5*E21</f>
        <v>1.06007671232877</v>
      </c>
      <c r="C21" s="2" t="n">
        <f aca="false">參數!$B$19/(B21*參數!$B$20)</f>
        <v>1.31821836914002</v>
      </c>
      <c r="D21" s="2" t="n">
        <f aca="false">(SUMPRODUCT(站點彙總!$C$2:$C$22,(站點彙總!$B$2:$B$22="confident")*參數!$B$26+(站點彙總!$B$2:$B$22="likely")*參數!$C$26+(站點彙總!$B$2:$B$22="speculative")*參數!$D$26)-SUMPRODUCT(站點彙總!$J$2:$J$22,(站點彙總!$B$2:$B$22="confident")*參數!$B$26+(站點彙總!$B$2:$B$22="likely")*參數!$C$26+(站點彙總!$B$2:$B$22="speculative")*參數!$D$26))/1000</f>
        <v>0.966</v>
      </c>
      <c r="E21" s="2" t="n">
        <f aca="false">(參數!$B$2-參數!$B$18)-D21</f>
        <v>0.334</v>
      </c>
    </row>
    <row r="22" customFormat="false" ht="17.15" hidden="false" customHeight="false" outlineLevel="0" collapsed="false">
      <c r="A22" s="1" t="s">
        <v>32</v>
      </c>
      <c r="B22" s="2" t="n">
        <f aca="false">參數!B21</f>
        <v>1.128</v>
      </c>
      <c r="C22" s="2" t="n">
        <f aca="false">參數!B19/(B22*參數!B20)</f>
        <v>1.23884095291608</v>
      </c>
    </row>
    <row r="24" customFormat="false" ht="17.15" hidden="false" customHeight="false" outlineLevel="0" collapsed="false">
      <c r="A24" s="1" t="s">
        <v>33</v>
      </c>
      <c r="B24" s="0" t="s">
        <v>26</v>
      </c>
      <c r="C24" s="0" t="s">
        <v>34</v>
      </c>
      <c r="D24" s="0" t="s">
        <v>35</v>
      </c>
    </row>
    <row r="25" customFormat="false" ht="15" hidden="false" customHeight="false" outlineLevel="0" collapsed="false">
      <c r="B25" s="5" t="n">
        <v>1.118</v>
      </c>
      <c r="C25" s="2" t="n">
        <f aca="false">參數!$B$14/(B25*參數!$B$13)</f>
        <v>2.40140366152882</v>
      </c>
      <c r="D25" s="2" t="n">
        <f aca="false">C25/$B$9</f>
        <v>1.08881963113939</v>
      </c>
    </row>
    <row r="26" customFormat="false" ht="15" hidden="false" customHeight="false" outlineLevel="0" collapsed="false">
      <c r="B26" s="5" t="n">
        <v>1.18</v>
      </c>
      <c r="C26" s="2" t="n">
        <f aca="false">參數!$B$14/(B26*參數!$B$13)</f>
        <v>2.27522821490612</v>
      </c>
      <c r="D26" s="2" t="n">
        <f aca="false">C26/$B$9</f>
        <v>1.03161046407953</v>
      </c>
    </row>
    <row r="27" customFormat="false" ht="15" hidden="false" customHeight="false" outlineLevel="0" collapsed="false">
      <c r="B27" s="5" t="n">
        <v>1.239</v>
      </c>
      <c r="C27" s="2" t="n">
        <f aca="false">參數!$B$14/(B27*參數!$B$13)</f>
        <v>2.1668840141963</v>
      </c>
      <c r="D27" s="2" t="n">
        <f aca="false">C27/$B$9</f>
        <v>0.982486156266214</v>
      </c>
    </row>
    <row r="28" customFormat="false" ht="15" hidden="false" customHeight="false" outlineLevel="0" collapsed="false">
      <c r="B28" s="5" t="n">
        <v>1.254</v>
      </c>
      <c r="C28" s="2" t="n">
        <f aca="false">參數!$B$14/(B28*參數!$B$13)</f>
        <v>2.14096434895472</v>
      </c>
      <c r="D28" s="2" t="n">
        <f aca="false">C28/$B$9</f>
        <v>0.970733929516619</v>
      </c>
    </row>
    <row r="29" customFormat="false" ht="15" hidden="false" customHeight="false" outlineLevel="0" collapsed="false">
      <c r="B29" s="5" t="n">
        <v>1.287</v>
      </c>
      <c r="C29" s="2" t="n">
        <f aca="false">參數!$B$14/(B29*參數!$B$13)</f>
        <v>2.08606782718665</v>
      </c>
      <c r="D29" s="2" t="n">
        <f aca="false">C29/$B$9</f>
        <v>0.94584331593927</v>
      </c>
    </row>
    <row r="30" customFormat="false" ht="15" hidden="false" customHeight="false" outlineLevel="0" collapsed="false">
      <c r="B30" s="5" t="n">
        <v>1.318</v>
      </c>
      <c r="C30" s="2" t="n">
        <f aca="false">參數!$B$14/(B30*參數!$B$13)</f>
        <v>2.03700249892961</v>
      </c>
      <c r="D30" s="2" t="n">
        <f aca="false">C30/$B$9</f>
        <v>0.923596621861791</v>
      </c>
    </row>
    <row r="31" customFormat="false" ht="15" hidden="false" customHeight="false" outlineLevel="0" collapsed="false">
      <c r="B31" s="5" t="n">
        <v>1.397</v>
      </c>
      <c r="C31" s="2" t="n">
        <f aca="false">參數!$B$14/(B31*參數!$B$13)</f>
        <v>1.92181051795936</v>
      </c>
      <c r="D31" s="2" t="n">
        <f aca="false">C31/$B$9</f>
        <v>0.871367464290508</v>
      </c>
    </row>
    <row r="33" customFormat="false" ht="17.15" hidden="false" customHeight="false" outlineLevel="0" collapsed="false">
      <c r="A33" s="1" t="s">
        <v>36</v>
      </c>
      <c r="B33" s="0" t="s">
        <v>37</v>
      </c>
      <c r="C33" s="0" t="s">
        <v>26</v>
      </c>
      <c r="D33" s="0" t="s">
        <v>34</v>
      </c>
      <c r="E33" s="0" t="s">
        <v>38</v>
      </c>
      <c r="F33" s="0" t="s">
        <v>39</v>
      </c>
      <c r="G33" s="0" t="s">
        <v>40</v>
      </c>
      <c r="H33" s="0" t="s">
        <v>41</v>
      </c>
    </row>
    <row r="34" customFormat="false" ht="15" hidden="false" customHeight="false" outlineLevel="0" collapsed="false">
      <c r="B34" s="5" t="n">
        <v>0.9</v>
      </c>
      <c r="C34" s="2" t="n">
        <f aca="false">參數!$B$19/(B34*參數!$B$21*參數!$B$20)</f>
        <v>1.37648994768454</v>
      </c>
      <c r="D34" s="2" t="n">
        <f aca="false">參數!$B$14/(C34*參數!$B$13)</f>
        <v>1.95044598626049</v>
      </c>
      <c r="E34" s="2" t="n">
        <f aca="false">B34*參數!$B$2+($B$9-參數!$B$2)</f>
        <v>2.01551098901099</v>
      </c>
      <c r="F34" s="2" t="n">
        <f aca="false">D34/E34</f>
        <v>0.967717862564261</v>
      </c>
      <c r="G34" s="2" t="n">
        <f aca="false">B34*參數!$B$2+($B$11-參數!$B$2)</f>
        <v>2.15007417582418</v>
      </c>
      <c r="H34" s="2" t="n">
        <f aca="false">D34/G34</f>
        <v>0.907152882533851</v>
      </c>
    </row>
    <row r="35" customFormat="false" ht="15" hidden="false" customHeight="false" outlineLevel="0" collapsed="false">
      <c r="B35" s="5" t="n">
        <v>1</v>
      </c>
      <c r="C35" s="2" t="n">
        <f aca="false">參數!$B$19/(B35*參數!$B$21*參數!$B$20)</f>
        <v>1.23884095291608</v>
      </c>
      <c r="D35" s="2" t="n">
        <f aca="false">參數!$B$14/(C35*參數!$B$13)</f>
        <v>2.1671622069561</v>
      </c>
      <c r="E35" s="2" t="n">
        <f aca="false">B35*參數!$B$2+($B$9-參數!$B$2)</f>
        <v>2.20551098901099</v>
      </c>
      <c r="F35" s="2" t="n">
        <f aca="false">D35/E35</f>
        <v>0.982612291552408</v>
      </c>
      <c r="G35" s="2" t="n">
        <f aca="false">B35*參數!$B$2+($B$11-參數!$B$2)</f>
        <v>2.34007417582418</v>
      </c>
      <c r="H35" s="2" t="n">
        <f aca="false">D35/G35</f>
        <v>0.926108338507188</v>
      </c>
    </row>
    <row r="36" customFormat="false" ht="15" hidden="false" customHeight="false" outlineLevel="0" collapsed="false">
      <c r="B36" s="5" t="n">
        <v>1.04</v>
      </c>
      <c r="C36" s="2" t="n">
        <f aca="false">參數!$B$19/(B36*參數!$B$21*參數!$B$20)</f>
        <v>1.19119322395777</v>
      </c>
      <c r="D36" s="2" t="n">
        <f aca="false">參數!$B$14/(C36*參數!$B$13)</f>
        <v>2.25384869523435</v>
      </c>
      <c r="E36" s="2" t="n">
        <f aca="false">B36*參數!$B$2+($B$9-參數!$B$2)</f>
        <v>2.28151098901099</v>
      </c>
      <c r="F36" s="2" t="n">
        <f aca="false">D36/E36</f>
        <v>0.987875450124993</v>
      </c>
      <c r="G36" s="2" t="n">
        <f aca="false">B36*參數!$B$2+($B$11-參數!$B$2)</f>
        <v>2.41607417582418</v>
      </c>
      <c r="H36" s="2" t="n">
        <f aca="false">D36/G36</f>
        <v>0.932855753265734</v>
      </c>
    </row>
    <row r="37" customFormat="false" ht="15" hidden="false" customHeight="false" outlineLevel="0" collapsed="false">
      <c r="B37" s="5" t="n">
        <v>1.1</v>
      </c>
      <c r="C37" s="2" t="n">
        <f aca="false">參數!$B$19/(B37*參數!$B$21*參數!$B$20)</f>
        <v>1.12621904810553</v>
      </c>
      <c r="D37" s="2" t="n">
        <f aca="false">參數!$B$14/(C37*參數!$B$13)</f>
        <v>2.38387842765172</v>
      </c>
      <c r="E37" s="2" t="n">
        <f aca="false">B37*參數!$B$2+($B$9-參數!$B$2)</f>
        <v>2.39551098901099</v>
      </c>
      <c r="F37" s="2" t="n">
        <f aca="false">D37/E37</f>
        <v>0.995144016699303</v>
      </c>
      <c r="G37" s="2" t="n">
        <f aca="false">B37*參數!$B$2+($B$11-參數!$B$2)</f>
        <v>2.53007417582418</v>
      </c>
      <c r="H37" s="2" t="n">
        <f aca="false">D37/G37</f>
        <v>0.942216813416217</v>
      </c>
    </row>
    <row r="38" customFormat="false" ht="15" hidden="false" customHeight="false" outlineLevel="0" collapsed="false">
      <c r="B38" s="5" t="n">
        <v>1.2</v>
      </c>
      <c r="C38" s="2" t="n">
        <f aca="false">參數!$B$19/(B38*參數!$B$21*參數!$B$20)</f>
        <v>1.0323674607634</v>
      </c>
      <c r="D38" s="2" t="n">
        <f aca="false">參數!$B$14/(C38*參數!$B$13)</f>
        <v>2.60059464834733</v>
      </c>
      <c r="E38" s="2" t="n">
        <f aca="false">B38*參數!$B$2+($B$9-參數!$B$2)</f>
        <v>2.58551098901099</v>
      </c>
      <c r="F38" s="2" t="n">
        <f aca="false">D38/E38</f>
        <v>1.00583391809219</v>
      </c>
      <c r="G38" s="2" t="n">
        <f aca="false">B38*參數!$B$2+($B$11-參數!$B$2)</f>
        <v>2.72007417582418</v>
      </c>
      <c r="H38" s="2" t="n">
        <f aca="false">D38/G38</f>
        <v>0.95607490099396</v>
      </c>
    </row>
    <row r="40" customFormat="false" ht="17.15" hidden="false" customHeight="false" outlineLevel="0" collapsed="false">
      <c r="A40" s="1" t="s">
        <v>42</v>
      </c>
      <c r="B40" s="0" t="s">
        <v>43</v>
      </c>
      <c r="C40" s="0" t="s">
        <v>44</v>
      </c>
      <c r="D40" s="0" t="s">
        <v>45</v>
      </c>
      <c r="E40" s="0" t="s">
        <v>46</v>
      </c>
      <c r="F40" s="0" t="s">
        <v>47</v>
      </c>
      <c r="G40" s="0" t="s">
        <v>48</v>
      </c>
      <c r="H40" s="0" t="s">
        <v>49</v>
      </c>
    </row>
    <row r="41" customFormat="false" ht="15" hidden="false" customHeight="false" outlineLevel="0" collapsed="false">
      <c r="B41" s="5" t="n">
        <v>0</v>
      </c>
      <c r="C41" s="2" t="n">
        <f aca="false">$B$9+(B41-參數!$C$24)*SUMIF(站點彙總!$A$2:$A$22,"Microsoft Fairwater*",站點彙總!$D$2:$D$22)/1000</f>
        <v>2.022</v>
      </c>
      <c r="D41" s="2" t="n">
        <f aca="false">$B$4/C41</f>
        <v>1.0716538151317</v>
      </c>
      <c r="E41" s="2" t="n">
        <f aca="false">參數!$B$17/(參數!$B$12*參數!$B$13*C41)</f>
        <v>1.09202746180721</v>
      </c>
      <c r="F41" s="2" t="n">
        <f aca="false">$B$10+(B41-參數!$C$24)*SUMIF(站點彙總!$A$2:$A$22,"Microsoft Fairwater*",站點彙總!$E$2:$E$22)/1000</f>
        <v>2.15673076923077</v>
      </c>
      <c r="G41" s="2" t="n">
        <f aca="false">$B$4/F41</f>
        <v>1.0047077016336</v>
      </c>
      <c r="H41" s="2" t="n">
        <f aca="false">參數!$B$17/(參數!$B$12*參數!$B$13*F41)</f>
        <v>1.02380860850876</v>
      </c>
    </row>
    <row r="42" customFormat="false" ht="15" hidden="false" customHeight="false" outlineLevel="0" collapsed="false">
      <c r="B42" s="5" t="n">
        <v>0.25</v>
      </c>
      <c r="C42" s="2" t="n">
        <f aca="false">$B$9+(B42-參數!$C$24)*SUMIF(站點彙總!$A$2:$A$22,"Microsoft Fairwater*",站點彙總!$D$2:$D$22)/1000</f>
        <v>2.11375549450549</v>
      </c>
      <c r="D42" s="2" t="n">
        <f aca="false">$B$4/C42</f>
        <v>1.02513465716773</v>
      </c>
      <c r="E42" s="2" t="n">
        <f aca="false">參數!$B$17/(參數!$B$12*參數!$B$13*C42)</f>
        <v>1.04462390920514</v>
      </c>
      <c r="F42" s="2" t="n">
        <f aca="false">$B$10+(B42-參數!$C$24)*SUMIF(站點彙總!$A$2:$A$22,"Microsoft Fairwater*",站點彙總!$E$2:$E$22)/1000</f>
        <v>2.27358241758242</v>
      </c>
      <c r="G42" s="2" t="n">
        <f aca="false">$B$4/F42</f>
        <v>0.953070360431635</v>
      </c>
      <c r="H42" s="2" t="n">
        <f aca="false">參數!$B$17/(參數!$B$12*參數!$B$13*F42)</f>
        <v>0.97118956880486</v>
      </c>
    </row>
    <row r="43" customFormat="false" ht="15" hidden="false" customHeight="false" outlineLevel="0" collapsed="false">
      <c r="B43" s="5" t="n">
        <v>0.4</v>
      </c>
      <c r="C43" s="2" t="n">
        <f aca="false">$B$9+(B43-參數!$C$24)*SUMIF(站點彙總!$A$2:$A$22,"Microsoft Fairwater*",站點彙總!$D$2:$D$22)/1000</f>
        <v>2.16880879120879</v>
      </c>
      <c r="D43" s="2" t="n">
        <f aca="false">$B$4/C43</f>
        <v>0.999112518807426</v>
      </c>
      <c r="E43" s="2" t="n">
        <f aca="false">參數!$B$17/(參數!$B$12*參數!$B$13*C43)</f>
        <v>1.01810705338551</v>
      </c>
      <c r="F43" s="2" t="n">
        <f aca="false">$B$10+(B43-參數!$C$24)*SUMIF(站點彙總!$A$2:$A$22,"Microsoft Fairwater*",站點彙總!$E$2:$E$22)/1000</f>
        <v>2.34369340659341</v>
      </c>
      <c r="G43" s="2" t="n">
        <f aca="false">$B$4/F43</f>
        <v>0.92455950428512</v>
      </c>
      <c r="H43" s="2" t="n">
        <f aca="false">參數!$B$17/(參數!$B$12*參數!$B$13*F43)</f>
        <v>0.94213668117267</v>
      </c>
    </row>
    <row r="44" customFormat="false" ht="15" hidden="false" customHeight="false" outlineLevel="0" collapsed="false">
      <c r="B44" s="5" t="n">
        <v>0.5</v>
      </c>
      <c r="C44" s="2" t="n">
        <f aca="false">$B$9+(B44-參數!$C$24)*SUMIF(站點彙總!$A$2:$A$22,"Microsoft Fairwater*",站點彙總!$D$2:$D$22)/1000</f>
        <v>2.20551098901099</v>
      </c>
      <c r="D44" s="2" t="n">
        <f aca="false">$B$4/C44</f>
        <v>0.982486156266214</v>
      </c>
      <c r="E44" s="2" t="n">
        <f aca="false">參數!$B$17/(參數!$B$12*參數!$B$13*C44)</f>
        <v>1.00116460030169</v>
      </c>
      <c r="F44" s="2" t="n">
        <f aca="false">$B$10+(B44-參數!$C$24)*SUMIF(站點彙總!$A$2:$A$22,"Microsoft Fairwater*",站點彙總!$E$2:$E$22)/1000</f>
        <v>2.39043406593407</v>
      </c>
      <c r="G44" s="2" t="n">
        <f aca="false">$B$4/F44</f>
        <v>0.906481398117789</v>
      </c>
      <c r="H44" s="2" t="n">
        <f aca="false">參數!$B$17/(參數!$B$12*參數!$B$13*F44)</f>
        <v>0.923714884774021</v>
      </c>
    </row>
    <row r="45" customFormat="false" ht="15" hidden="false" customHeight="false" outlineLevel="0" collapsed="false">
      <c r="B45" s="5" t="n">
        <v>0.75</v>
      </c>
      <c r="C45" s="2" t="n">
        <f aca="false">$B$9+(B45-參數!$C$24)*SUMIF(站點彙總!$A$2:$A$22,"Microsoft Fairwater*",站點彙總!$D$2:$D$22)/1000</f>
        <v>2.29726648351648</v>
      </c>
      <c r="D45" s="2" t="n">
        <f aca="false">$B$4/C45</f>
        <v>0.943244516796066</v>
      </c>
      <c r="E45" s="2" t="n">
        <f aca="false">參數!$B$17/(參數!$B$12*參數!$B$13*C45)</f>
        <v>0.961176922058349</v>
      </c>
      <c r="F45" s="2" t="n">
        <f aca="false">$B$10+(B45-參數!$C$24)*SUMIF(站點彙總!$A$2:$A$22,"Microsoft Fairwater*",站點彙總!$E$2:$E$22)/1000</f>
        <v>2.50728571428571</v>
      </c>
      <c r="G45" s="2" t="n">
        <f aca="false">$B$4/F45</f>
        <v>0.864234978028268</v>
      </c>
      <c r="H45" s="2" t="n">
        <f aca="false">參數!$B$17/(參數!$B$12*參數!$B$13*F45)</f>
        <v>0.88066530080447</v>
      </c>
    </row>
    <row r="46" customFormat="false" ht="15" hidden="false" customHeight="false" outlineLevel="0" collapsed="false">
      <c r="B46" s="5" t="n">
        <v>1</v>
      </c>
      <c r="C46" s="2" t="n">
        <f aca="false">$B$9+(B46-參數!$C$24)*SUMIF(站點彙總!$A$2:$A$22,"Microsoft Fairwater*",站點彙總!$D$2:$D$22)/1000</f>
        <v>2.38902197802198</v>
      </c>
      <c r="D46" s="2" t="n">
        <f aca="false">$B$4/C46</f>
        <v>0.907017195375659</v>
      </c>
      <c r="E46" s="2" t="n">
        <f aca="false">參數!$B$17/(參數!$B$12*參數!$B$13*C46)</f>
        <v>0.924260868291546</v>
      </c>
      <c r="F46" s="2" t="n">
        <f aca="false">$B$10+(B46-參數!$C$24)*SUMIF(站點彙總!$A$2:$A$22,"Microsoft Fairwater*",站點彙總!$E$2:$E$22)/1000</f>
        <v>2.62413736263736</v>
      </c>
      <c r="G46" s="2" t="n">
        <f aca="false">$B$4/F46</f>
        <v>0.825750985847211</v>
      </c>
      <c r="H46" s="2" t="n">
        <f aca="false">參數!$B$17/(參數!$B$12*參數!$B$13*F46)</f>
        <v>0.841449673791075</v>
      </c>
    </row>
    <row r="47" customFormat="false" ht="17.15" hidden="false" customHeight="false" outlineLevel="0" collapsed="false">
      <c r="A47" s="1" t="s">
        <v>50</v>
      </c>
      <c r="C47" s="2" t="n">
        <f aca="false">參數!$C$24+($B$4-$B$9)*1000/SUMIF(站點彙總!$A$2:$A$22,"Microsoft Fairwater*",站點彙總!$D$2:$D$22)</f>
        <v>0.394755690046516</v>
      </c>
      <c r="D47" s="1" t="s">
        <v>51</v>
      </c>
      <c r="E47" s="2" t="n">
        <f aca="false">參數!$C$24+(參數!$B$17/(參數!$B$12*參數!$B$13)-$B$9)*1000/SUMIF(站點彙總!$A$2:$A$22,"Microsoft Fairwater*",站點彙總!$D$2:$D$22)</f>
        <v>0.506998324124986</v>
      </c>
      <c r="F47" s="1" t="s">
        <v>52</v>
      </c>
      <c r="G47" s="2" t="n">
        <f aca="false">參數!$C$24+($B$4-$B$10)*1000/SUMIF(站點彙總!$A$2:$A$22,"Microsoft Fairwater*",站點彙總!$E$2:$E$22)</f>
        <v>0.0217225112113514</v>
      </c>
      <c r="H47" s="1" t="s">
        <v>53</v>
      </c>
    </row>
    <row r="49" customFormat="false" ht="17.15" hidden="false" customHeight="false" outlineLevel="0" collapsed="false">
      <c r="A49" s="1" t="s">
        <v>54</v>
      </c>
      <c r="B49" s="1" t="s">
        <v>55</v>
      </c>
      <c r="C49" s="0" t="s">
        <v>44</v>
      </c>
      <c r="D49" s="0" t="s">
        <v>45</v>
      </c>
    </row>
    <row r="50" customFormat="false" ht="15" hidden="false" customHeight="false" outlineLevel="0" collapsed="false">
      <c r="A50" s="1" t="s">
        <v>56</v>
      </c>
      <c r="B50" s="2" t="n">
        <f aca="false">SUMPRODUCT(站點彙總!$L$2:$L$22,(站點彙總!$B$2:$B$22="confident")*參數!$B$24+(站點彙總!$B$2:$B$22="likely")*參數!$C$24+(站點彙總!$B$2:$B$22="speculative")*參數!$D$24)/1000</f>
        <v>0.032</v>
      </c>
      <c r="C50" s="2" t="n">
        <f aca="false">$B$9-B50</f>
        <v>2.17351098901099</v>
      </c>
      <c r="D50" s="2" t="n">
        <f aca="false">$B$4/C50</f>
        <v>0.996951027692894</v>
      </c>
    </row>
    <row r="51" customFormat="false" ht="15" hidden="false" customHeight="false" outlineLevel="0" collapsed="false">
      <c r="A51" s="1" t="s">
        <v>57</v>
      </c>
      <c r="B51" s="2" t="n">
        <f aca="false">SUMPRODUCT(站點彙總!$L$2:$L$22,(站點彙總!$B$2:$B$22="confident")*參數!$B$25+(站點彙總!$B$2:$B$22="likely")*參數!$C$25+(站點彙總!$B$2:$B$22="speculative")*參數!$D$25)/1000</f>
        <v>0.064</v>
      </c>
      <c r="C51" s="2" t="n">
        <f aca="false">$B$11-B51</f>
        <v>2.27607417582418</v>
      </c>
      <c r="D51" s="2" t="n">
        <f aca="false">$B$4/C51</f>
        <v>0.952026975751643</v>
      </c>
    </row>
    <row r="52" customFormat="false" ht="15" hidden="false" customHeight="false" outlineLevel="0" collapsed="false">
      <c r="A52" s="1" t="s">
        <v>58</v>
      </c>
      <c r="B52" s="2" t="n">
        <f aca="false">SUMPRODUCT(站點彙總!$L$2:$L$22,(站點彙總!$B$2:$B$22="confident")*參數!$B$26+(站點彙總!$B$2:$B$22="likely")*參數!$C$26+(站點彙總!$B$2:$B$22="speculative")*參數!$D$26)/1000</f>
        <v>0.128</v>
      </c>
      <c r="C52" s="2" t="n">
        <f aca="false">$B$13-B52</f>
        <v>2.40025274725275</v>
      </c>
      <c r="D52" s="2" t="n">
        <f aca="false">$B$4/C52</f>
        <v>0.902773266972176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3" t="s">
        <v>59</v>
      </c>
      <c r="B1" s="3" t="s">
        <v>2</v>
      </c>
      <c r="C1" s="3" t="s">
        <v>60</v>
      </c>
      <c r="D1" s="3" t="s">
        <v>61</v>
      </c>
      <c r="E1" s="3" t="s">
        <v>62</v>
      </c>
    </row>
    <row r="2" customFormat="false" ht="17.15" hidden="false" customHeight="false" outlineLevel="0" collapsed="false">
      <c r="A2" s="0" t="s">
        <v>63</v>
      </c>
      <c r="B2" s="5" t="n">
        <v>1.9</v>
      </c>
      <c r="C2" s="6" t="s">
        <v>64</v>
      </c>
      <c r="D2" s="6" t="s">
        <v>65</v>
      </c>
      <c r="E2" s="6" t="s">
        <v>66</v>
      </c>
    </row>
    <row r="3" customFormat="false" ht="17.15" hidden="false" customHeight="false" outlineLevel="0" collapsed="false">
      <c r="A3" s="0" t="s">
        <v>67</v>
      </c>
      <c r="B3" s="7" t="n">
        <v>46113</v>
      </c>
      <c r="C3" s="1" t="s">
        <v>68</v>
      </c>
      <c r="D3" s="6" t="s">
        <v>69</v>
      </c>
      <c r="E3" s="6" t="s">
        <v>70</v>
      </c>
    </row>
    <row r="4" customFormat="false" ht="17.15" hidden="false" customHeight="false" outlineLevel="0" collapsed="false">
      <c r="A4" s="0" t="s">
        <v>71</v>
      </c>
      <c r="B4" s="7" t="n">
        <v>46204</v>
      </c>
      <c r="C4" s="1" t="s">
        <v>68</v>
      </c>
      <c r="D4" s="6" t="s">
        <v>69</v>
      </c>
    </row>
    <row r="5" customFormat="false" ht="15" hidden="false" customHeight="false" outlineLevel="0" collapsed="false">
      <c r="A5" s="1" t="s">
        <v>72</v>
      </c>
      <c r="B5" s="7" t="n">
        <v>46023</v>
      </c>
      <c r="C5" s="1" t="s">
        <v>68</v>
      </c>
      <c r="D5" s="6" t="s">
        <v>69</v>
      </c>
    </row>
    <row r="6" customFormat="false" ht="15" hidden="false" customHeight="false" outlineLevel="0" collapsed="false">
      <c r="A6" s="1" t="s">
        <v>73</v>
      </c>
      <c r="B6" s="7" t="n">
        <v>46388</v>
      </c>
      <c r="C6" s="1" t="s">
        <v>68</v>
      </c>
      <c r="D6" s="6" t="s">
        <v>69</v>
      </c>
    </row>
    <row r="7" customFormat="false" ht="15" hidden="false" customHeight="false" outlineLevel="0" collapsed="false">
      <c r="A7" s="1" t="s">
        <v>74</v>
      </c>
      <c r="B7" s="7" t="n">
        <v>46387</v>
      </c>
      <c r="C7" s="1" t="s">
        <v>68</v>
      </c>
      <c r="D7" s="6" t="s">
        <v>69</v>
      </c>
    </row>
    <row r="8" customFormat="false" ht="17.15" hidden="false" customHeight="false" outlineLevel="0" collapsed="false">
      <c r="A8" s="0" t="s">
        <v>75</v>
      </c>
      <c r="B8" s="7" t="n">
        <v>46022</v>
      </c>
      <c r="C8" s="1" t="s">
        <v>68</v>
      </c>
      <c r="D8" s="6" t="s">
        <v>69</v>
      </c>
      <c r="E8" s="6" t="s">
        <v>76</v>
      </c>
    </row>
    <row r="9" customFormat="false" ht="17.15" hidden="false" customHeight="false" outlineLevel="0" collapsed="false">
      <c r="A9" s="0" t="s">
        <v>77</v>
      </c>
      <c r="B9" s="7" t="n">
        <v>45657</v>
      </c>
      <c r="C9" s="1" t="s">
        <v>68</v>
      </c>
      <c r="D9" s="6" t="s">
        <v>69</v>
      </c>
      <c r="E9" s="6" t="s">
        <v>78</v>
      </c>
    </row>
    <row r="10" customFormat="false" ht="17.15" hidden="false" customHeight="false" outlineLevel="0" collapsed="false">
      <c r="A10" s="0" t="s">
        <v>79</v>
      </c>
      <c r="B10" s="7" t="n">
        <v>45658</v>
      </c>
      <c r="C10" s="1" t="s">
        <v>68</v>
      </c>
      <c r="D10" s="6" t="s">
        <v>69</v>
      </c>
    </row>
    <row r="11" customFormat="false" ht="17.15" hidden="false" customHeight="false" outlineLevel="0" collapsed="false">
      <c r="A11" s="0" t="s">
        <v>80</v>
      </c>
      <c r="B11" s="7" t="n">
        <v>46023</v>
      </c>
      <c r="C11" s="1" t="s">
        <v>68</v>
      </c>
      <c r="D11" s="6" t="s">
        <v>69</v>
      </c>
    </row>
    <row r="12" customFormat="false" ht="17.15" hidden="false" customHeight="false" outlineLevel="0" collapsed="false">
      <c r="A12" s="0" t="s">
        <v>81</v>
      </c>
      <c r="B12" s="5" t="n">
        <v>1.239</v>
      </c>
      <c r="C12" s="1" t="s">
        <v>82</v>
      </c>
      <c r="D12" s="6" t="s">
        <v>83</v>
      </c>
      <c r="E12" s="1" t="s">
        <v>84</v>
      </c>
    </row>
    <row r="13" customFormat="false" ht="17.15" hidden="false" customHeight="false" outlineLevel="0" collapsed="false">
      <c r="A13" s="0" t="s">
        <v>85</v>
      </c>
      <c r="B13" s="5" t="n">
        <v>9.796</v>
      </c>
      <c r="C13" s="6" t="s">
        <v>86</v>
      </c>
      <c r="D13" s="6" t="s">
        <v>83</v>
      </c>
      <c r="E13" s="6" t="s">
        <v>87</v>
      </c>
    </row>
    <row r="14" customFormat="false" ht="17.15" hidden="false" customHeight="false" outlineLevel="0" collapsed="false">
      <c r="A14" s="1" t="s">
        <v>88</v>
      </c>
      <c r="B14" s="5" t="n">
        <v>26.3</v>
      </c>
      <c r="C14" s="6" t="s">
        <v>89</v>
      </c>
      <c r="D14" s="6" t="s">
        <v>83</v>
      </c>
      <c r="E14" s="1" t="s">
        <v>90</v>
      </c>
    </row>
    <row r="15" customFormat="false" ht="17.15" hidden="false" customHeight="false" outlineLevel="0" collapsed="false">
      <c r="A15" s="1" t="s">
        <v>91</v>
      </c>
      <c r="B15" s="5" t="n">
        <v>35</v>
      </c>
      <c r="C15" s="6" t="s">
        <v>89</v>
      </c>
      <c r="D15" s="6" t="s">
        <v>83</v>
      </c>
      <c r="E15" s="1" t="s">
        <v>90</v>
      </c>
    </row>
    <row r="16" customFormat="false" ht="17.15" hidden="false" customHeight="false" outlineLevel="0" collapsed="false">
      <c r="A16" s="1" t="s">
        <v>92</v>
      </c>
      <c r="B16" s="5" t="n">
        <v>50</v>
      </c>
      <c r="C16" s="6" t="s">
        <v>89</v>
      </c>
      <c r="D16" s="1" t="s">
        <v>93</v>
      </c>
      <c r="E16" s="6" t="s">
        <v>94</v>
      </c>
    </row>
    <row r="17" customFormat="false" ht="17.15" hidden="false" customHeight="false" outlineLevel="0" collapsed="false">
      <c r="A17" s="1" t="s">
        <v>95</v>
      </c>
      <c r="B17" s="5" t="n">
        <v>26.8</v>
      </c>
      <c r="C17" s="6" t="s">
        <v>89</v>
      </c>
      <c r="D17" s="1" t="s">
        <v>96</v>
      </c>
      <c r="E17" s="6" t="s">
        <v>97</v>
      </c>
    </row>
    <row r="18" customFormat="false" ht="17.15" hidden="false" customHeight="false" outlineLevel="0" collapsed="false">
      <c r="A18" s="0" t="s">
        <v>98</v>
      </c>
      <c r="B18" s="5" t="n">
        <v>0.6</v>
      </c>
      <c r="C18" s="6" t="s">
        <v>64</v>
      </c>
      <c r="D18" s="6" t="s">
        <v>99</v>
      </c>
      <c r="E18" s="6" t="s">
        <v>100</v>
      </c>
    </row>
    <row r="19" customFormat="false" ht="17.15" hidden="false" customHeight="false" outlineLevel="0" collapsed="false">
      <c r="A19" s="0" t="s">
        <v>101</v>
      </c>
      <c r="B19" s="5" t="n">
        <v>13.07</v>
      </c>
      <c r="C19" s="6" t="s">
        <v>89</v>
      </c>
      <c r="D19" s="6" t="s">
        <v>102</v>
      </c>
      <c r="E19" s="1" t="s">
        <v>103</v>
      </c>
    </row>
    <row r="20" customFormat="false" ht="17.15" hidden="false" customHeight="false" outlineLevel="0" collapsed="false">
      <c r="A20" s="0" t="s">
        <v>104</v>
      </c>
      <c r="B20" s="5" t="n">
        <v>9.353</v>
      </c>
      <c r="C20" s="6" t="s">
        <v>86</v>
      </c>
      <c r="D20" s="6" t="s">
        <v>83</v>
      </c>
      <c r="E20" s="6" t="s">
        <v>105</v>
      </c>
    </row>
    <row r="21" customFormat="false" ht="17.15" hidden="false" customHeight="false" outlineLevel="0" collapsed="false">
      <c r="A21" s="0" t="s">
        <v>106</v>
      </c>
      <c r="B21" s="5" t="n">
        <v>1.128</v>
      </c>
      <c r="C21" s="6" t="s">
        <v>64</v>
      </c>
      <c r="D21" s="6" t="s">
        <v>83</v>
      </c>
      <c r="E21" s="6" t="s">
        <v>107</v>
      </c>
    </row>
    <row r="23" customFormat="false" ht="17.15" hidden="false" customHeight="false" outlineLevel="0" collapsed="false">
      <c r="A23" s="0" t="s">
        <v>108</v>
      </c>
      <c r="B23" s="0" t="s">
        <v>109</v>
      </c>
      <c r="C23" s="0" t="s">
        <v>110</v>
      </c>
      <c r="D23" s="0" t="s">
        <v>111</v>
      </c>
      <c r="E23" s="1" t="s">
        <v>112</v>
      </c>
    </row>
    <row r="24" customFormat="false" ht="17.15" hidden="false" customHeight="false" outlineLevel="0" collapsed="false">
      <c r="A24" s="1" t="s">
        <v>113</v>
      </c>
      <c r="B24" s="5" t="n">
        <v>1</v>
      </c>
      <c r="C24" s="5" t="n">
        <v>0.5</v>
      </c>
      <c r="D24" s="5" t="n">
        <v>0</v>
      </c>
      <c r="E24" s="6" t="s">
        <v>114</v>
      </c>
    </row>
    <row r="25" customFormat="false" ht="17.15" hidden="false" customHeight="false" outlineLevel="0" collapsed="false">
      <c r="A25" s="1" t="s">
        <v>115</v>
      </c>
      <c r="B25" s="5" t="n">
        <v>1</v>
      </c>
      <c r="C25" s="5" t="n">
        <v>0.75</v>
      </c>
      <c r="D25" s="5" t="n">
        <v>0.25</v>
      </c>
      <c r="E25" s="6" t="s">
        <v>114</v>
      </c>
    </row>
    <row r="26" customFormat="false" ht="17.15" hidden="false" customHeight="false" outlineLevel="0" collapsed="false">
      <c r="A26" s="1" t="s">
        <v>116</v>
      </c>
      <c r="B26" s="5" t="n">
        <v>1</v>
      </c>
      <c r="C26" s="5" t="n">
        <v>1</v>
      </c>
      <c r="D26" s="5" t="n">
        <v>1</v>
      </c>
      <c r="E26" s="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3" style="0" width="1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1" min="10" style="0" width="12"/>
  </cols>
  <sheetData>
    <row r="1" customFormat="false" ht="77.6" hidden="false" customHeight="false" outlineLevel="0" collapsed="false">
      <c r="A1" s="8" t="s">
        <v>117</v>
      </c>
      <c r="B1" s="9" t="s">
        <v>118</v>
      </c>
      <c r="C1" s="8" t="s">
        <v>119</v>
      </c>
      <c r="D1" s="8" t="s">
        <v>120</v>
      </c>
      <c r="E1" s="9" t="s">
        <v>121</v>
      </c>
      <c r="F1" s="8" t="s">
        <v>122</v>
      </c>
      <c r="G1" s="9" t="s">
        <v>123</v>
      </c>
      <c r="H1" s="8" t="s">
        <v>124</v>
      </c>
      <c r="I1" s="8" t="s">
        <v>125</v>
      </c>
      <c r="J1" s="8" t="s">
        <v>126</v>
      </c>
      <c r="K1" s="8" t="s">
        <v>127</v>
      </c>
      <c r="L1" s="9" t="s">
        <v>128</v>
      </c>
      <c r="M1" s="9" t="s">
        <v>129</v>
      </c>
      <c r="N1" s="8" t="s">
        <v>130</v>
      </c>
      <c r="O1" s="8" t="s">
        <v>131</v>
      </c>
      <c r="P1" s="9" t="s">
        <v>132</v>
      </c>
      <c r="Q1" s="9" t="s">
        <v>133</v>
      </c>
      <c r="R1" s="9" t="s">
        <v>134</v>
      </c>
      <c r="S1" s="9" t="s">
        <v>135</v>
      </c>
      <c r="T1" s="9" t="s">
        <v>136</v>
      </c>
      <c r="U1" s="9" t="s">
        <v>137</v>
      </c>
    </row>
    <row r="2" customFormat="false" ht="15" hidden="false" customHeight="false" outlineLevel="0" collapsed="false">
      <c r="A2" s="0" t="s">
        <v>138</v>
      </c>
      <c r="B2" s="0" t="s">
        <v>110</v>
      </c>
      <c r="C2" s="10" t="n">
        <v>45025</v>
      </c>
      <c r="D2" s="0" t="n">
        <v>0</v>
      </c>
      <c r="E2" s="0" t="n">
        <v>0</v>
      </c>
      <c r="F2" s="0" t="n">
        <v>0</v>
      </c>
      <c r="G2" s="0" t="n">
        <v>0</v>
      </c>
      <c r="H2" s="10" t="n">
        <f aca="false">C2</f>
        <v>45025</v>
      </c>
      <c r="J2" s="10" t="n">
        <f aca="false">IF(AND(2&lt;122,A3=A2),C3,DATE(2100,1,1))</f>
        <v>45944</v>
      </c>
      <c r="K2" s="10" t="n">
        <f aca="false">IF(AND(2&lt;122,A3=A2),H3,DATE(2100,1,1))</f>
        <v>45944</v>
      </c>
      <c r="L2" s="6" t="n">
        <f aca="false">E2*MAX(0,MIN(J2,參數!$B$4)-MAX(C2,參數!$B$3))</f>
        <v>0</v>
      </c>
      <c r="M2" s="6" t="n">
        <f aca="false">E2*MAX(0,MIN(K2,參數!$B$4)-MAX(H2,參數!$B$3))</f>
        <v>0</v>
      </c>
      <c r="N2" s="6" t="n">
        <f aca="false">E2*MAX(0,MIN(J2,參數!$B$6)-MAX(C2,參數!$B$5))</f>
        <v>0</v>
      </c>
      <c r="O2" s="6" t="n">
        <f aca="false">E2*MAX(0,MIN(K2,參數!$B$6)-MAX(H2,參數!$B$5))</f>
        <v>0</v>
      </c>
      <c r="P2" s="6" t="n">
        <f aca="false">E2*(C2&lt;=參數!$B$8)*(J2&gt;參數!$B$8)</f>
        <v>0</v>
      </c>
      <c r="Q2" s="6" t="n">
        <f aca="false">E2*(C2&lt;=參數!$B$7)*(J2&gt;參數!$B$7)</f>
        <v>0</v>
      </c>
      <c r="R2" s="6" t="n">
        <f aca="false">E2*(H2&lt;=參數!$B$7)*(K2&gt;參數!$B$7)</f>
        <v>0</v>
      </c>
      <c r="S2" s="6" t="n">
        <f aca="false">E2*(C2&lt;=參數!$B$9)*(J2&gt;參數!$B$9)</f>
        <v>0</v>
      </c>
      <c r="T2" s="6" t="n">
        <f aca="false">E2*MAX(0,MIN(J2,參數!$B$11)-MAX(C2,參數!$B$10))</f>
        <v>0</v>
      </c>
      <c r="U2" s="6" t="n">
        <f aca="false">0</f>
        <v>0</v>
      </c>
    </row>
    <row r="3" customFormat="false" ht="15" hidden="false" customHeight="false" outlineLevel="0" collapsed="false">
      <c r="A3" s="0" t="s">
        <v>138</v>
      </c>
      <c r="B3" s="0" t="s">
        <v>110</v>
      </c>
      <c r="C3" s="10" t="n">
        <v>45944</v>
      </c>
      <c r="D3" s="0" t="n">
        <v>2</v>
      </c>
      <c r="E3" s="0" t="n">
        <v>321</v>
      </c>
      <c r="F3" s="0" t="n">
        <v>433</v>
      </c>
      <c r="G3" s="0" t="n">
        <v>387981.944365841</v>
      </c>
      <c r="H3" s="10" t="n">
        <f aca="false">C3</f>
        <v>45944</v>
      </c>
      <c r="J3" s="10" t="n">
        <f aca="false">IF(AND(3&lt;122,A4=A3),C4,DATE(2100,1,1))</f>
        <v>46066</v>
      </c>
      <c r="K3" s="10" t="n">
        <f aca="false">IF(AND(3&lt;122,A4=A3),H4,DATE(2100,1,1))</f>
        <v>46066</v>
      </c>
      <c r="L3" s="6" t="n">
        <f aca="false">E3*MAX(0,MIN(J3,參數!$B$4)-MAX(C3,參數!$B$3))</f>
        <v>0</v>
      </c>
      <c r="M3" s="6" t="n">
        <f aca="false">E3*MAX(0,MIN(K3,參數!$B$4)-MAX(H3,參數!$B$3))</f>
        <v>0</v>
      </c>
      <c r="N3" s="6" t="n">
        <f aca="false">E3*MAX(0,MIN(J3,參數!$B$6)-MAX(C3,參數!$B$5))</f>
        <v>13803</v>
      </c>
      <c r="O3" s="6" t="n">
        <f aca="false">E3*MAX(0,MIN(K3,參數!$B$6)-MAX(H3,參數!$B$5))</f>
        <v>13803</v>
      </c>
      <c r="P3" s="6" t="n">
        <f aca="false">E3*(C3&lt;=參數!$B$8)*(J3&gt;參數!$B$8)</f>
        <v>321</v>
      </c>
      <c r="Q3" s="6" t="n">
        <f aca="false">E3*(C3&lt;=參數!$B$7)*(J3&gt;參數!$B$7)</f>
        <v>0</v>
      </c>
      <c r="R3" s="6" t="n">
        <f aca="false">E3*(H3&lt;=參數!$B$7)*(K3&gt;參數!$B$7)</f>
        <v>0</v>
      </c>
      <c r="S3" s="6" t="n">
        <f aca="false">E3*(C3&lt;=參數!$B$9)*(J3&gt;參數!$B$9)</f>
        <v>0</v>
      </c>
      <c r="T3" s="6" t="n">
        <f aca="false">E3*MAX(0,MIN(J3,參數!$B$11)-MAX(C3,參數!$B$10))</f>
        <v>25359</v>
      </c>
      <c r="U3" s="6" t="n">
        <f aca="false">IF(AND(3&gt;2,A2=A3,C3&gt;=參數!$B$5,C3&lt;參數!$B$3),E3-E2,0)</f>
        <v>0</v>
      </c>
    </row>
    <row r="4" customFormat="false" ht="15" hidden="false" customHeight="false" outlineLevel="0" collapsed="false">
      <c r="A4" s="0" t="s">
        <v>138</v>
      </c>
      <c r="B4" s="0" t="s">
        <v>110</v>
      </c>
      <c r="C4" s="10" t="n">
        <v>46066</v>
      </c>
      <c r="D4" s="0" t="n">
        <v>2</v>
      </c>
      <c r="E4" s="0" t="n">
        <v>321</v>
      </c>
      <c r="F4" s="0" t="n">
        <v>433</v>
      </c>
      <c r="G4" s="0" t="n">
        <v>387981.944365841</v>
      </c>
      <c r="H4" s="10" t="n">
        <f aca="false">C4</f>
        <v>46066</v>
      </c>
      <c r="J4" s="10" t="n">
        <f aca="false">IF(AND(4&lt;122,A5=A4),C5,DATE(2100,1,1))</f>
        <v>46157</v>
      </c>
      <c r="K4" s="10" t="n">
        <f aca="false">IF(AND(4&lt;122,A5=A4),H5,DATE(2100,1,1))</f>
        <v>46157</v>
      </c>
      <c r="L4" s="6" t="n">
        <f aca="false">E4*MAX(0,MIN(J4,參數!$B$4)-MAX(C4,參數!$B$3))</f>
        <v>14124</v>
      </c>
      <c r="M4" s="6" t="n">
        <f aca="false">E4*MAX(0,MIN(K4,參數!$B$4)-MAX(H4,參數!$B$3))</f>
        <v>14124</v>
      </c>
      <c r="N4" s="6" t="n">
        <f aca="false">E4*MAX(0,MIN(J4,參數!$B$6)-MAX(C4,參數!$B$5))</f>
        <v>29211</v>
      </c>
      <c r="O4" s="6" t="n">
        <f aca="false">E4*MAX(0,MIN(K4,參數!$B$6)-MAX(H4,參數!$B$5))</f>
        <v>29211</v>
      </c>
      <c r="P4" s="6" t="n">
        <f aca="false">E4*(C4&lt;=參數!$B$8)*(J4&gt;參數!$B$8)</f>
        <v>0</v>
      </c>
      <c r="Q4" s="6" t="n">
        <f aca="false">E4*(C4&lt;=參數!$B$7)*(J4&gt;參數!$B$7)</f>
        <v>0</v>
      </c>
      <c r="R4" s="6" t="n">
        <f aca="false">E4*(H4&lt;=參數!$B$7)*(K4&gt;參數!$B$7)</f>
        <v>0</v>
      </c>
      <c r="S4" s="6" t="n">
        <f aca="false">E4*(C4&lt;=參數!$B$9)*(J4&gt;參數!$B$9)</f>
        <v>0</v>
      </c>
      <c r="T4" s="6" t="n">
        <f aca="false">E4*MAX(0,MIN(J4,參數!$B$11)-MAX(C4,參數!$B$10))</f>
        <v>0</v>
      </c>
      <c r="U4" s="6" t="n">
        <f aca="false">IF(AND(4&gt;2,A3=A4,C4&gt;=參數!$B$5,C4&lt;參數!$B$3),E4-E3,0)</f>
        <v>0</v>
      </c>
    </row>
    <row r="5" customFormat="false" ht="15" hidden="false" customHeight="false" outlineLevel="0" collapsed="false">
      <c r="A5" s="0" t="s">
        <v>138</v>
      </c>
      <c r="B5" s="0" t="s">
        <v>110</v>
      </c>
      <c r="C5" s="10" t="n">
        <v>46157</v>
      </c>
      <c r="D5" s="0" t="n">
        <v>2</v>
      </c>
      <c r="E5" s="0" t="n">
        <v>321</v>
      </c>
      <c r="F5" s="0" t="n">
        <v>433</v>
      </c>
      <c r="G5" s="0" t="n">
        <v>387981.944365841</v>
      </c>
      <c r="H5" s="10" t="n">
        <f aca="false">C5</f>
        <v>46157</v>
      </c>
      <c r="J5" s="10" t="n">
        <f aca="false">IF(AND(5&lt;122,A6=A5),C6,DATE(2100,1,1))</f>
        <v>46187</v>
      </c>
      <c r="K5" s="10" t="n">
        <f aca="false">IF(AND(5&lt;122,A6=A5),H6,DATE(2100,1,1))</f>
        <v>46158</v>
      </c>
      <c r="L5" s="6" t="n">
        <f aca="false">E5*MAX(0,MIN(J5,參數!$B$4)-MAX(C5,參數!$B$3))</f>
        <v>9630</v>
      </c>
      <c r="M5" s="6" t="n">
        <f aca="false">E5*MAX(0,MIN(K5,參數!$B$4)-MAX(H5,參數!$B$3))</f>
        <v>321</v>
      </c>
      <c r="N5" s="6" t="n">
        <f aca="false">E5*MAX(0,MIN(J5,參數!$B$6)-MAX(C5,參數!$B$5))</f>
        <v>9630</v>
      </c>
      <c r="O5" s="6" t="n">
        <f aca="false">E5*MAX(0,MIN(K5,參數!$B$6)-MAX(H5,參數!$B$5))</f>
        <v>321</v>
      </c>
      <c r="P5" s="6" t="n">
        <f aca="false">E5*(C5&lt;=參數!$B$8)*(J5&gt;參數!$B$8)</f>
        <v>0</v>
      </c>
      <c r="Q5" s="6" t="n">
        <f aca="false">E5*(C5&lt;=參數!$B$7)*(J5&gt;參數!$B$7)</f>
        <v>0</v>
      </c>
      <c r="R5" s="6" t="n">
        <f aca="false">E5*(H5&lt;=參數!$B$7)*(K5&gt;參數!$B$7)</f>
        <v>0</v>
      </c>
      <c r="S5" s="6" t="n">
        <f aca="false">E5*(C5&lt;=參數!$B$9)*(J5&gt;參數!$B$9)</f>
        <v>0</v>
      </c>
      <c r="T5" s="6" t="n">
        <f aca="false">E5*MAX(0,MIN(J5,參數!$B$11)-MAX(C5,參數!$B$10))</f>
        <v>0</v>
      </c>
      <c r="U5" s="6" t="n">
        <f aca="false">IF(AND(5&gt;2,A4=A5,C5&gt;=參數!$B$5,C5&lt;參數!$B$3),E5-E4,0)</f>
        <v>0</v>
      </c>
    </row>
    <row r="6" customFormat="false" ht="17.15" hidden="false" customHeight="false" outlineLevel="0" collapsed="false">
      <c r="A6" s="0" t="s">
        <v>138</v>
      </c>
      <c r="B6" s="0" t="s">
        <v>110</v>
      </c>
      <c r="C6" s="10" t="n">
        <v>46187</v>
      </c>
      <c r="D6" s="0" t="n">
        <v>4</v>
      </c>
      <c r="E6" s="0" t="n">
        <v>636</v>
      </c>
      <c r="F6" s="0" t="n">
        <v>859</v>
      </c>
      <c r="G6" s="0" t="n">
        <v>768768.72208186</v>
      </c>
      <c r="H6" s="7" t="n">
        <v>46158</v>
      </c>
      <c r="I6" s="6" t="s">
        <v>139</v>
      </c>
      <c r="J6" s="10" t="n">
        <f aca="false">IF(AND(6&lt;122,A7=A6),C7,DATE(2100,1,1))</f>
        <v>73051</v>
      </c>
      <c r="K6" s="10" t="n">
        <f aca="false">IF(AND(6&lt;122,A7=A6),H7,DATE(2100,1,1))</f>
        <v>73051</v>
      </c>
      <c r="L6" s="6" t="n">
        <f aca="false">E6*MAX(0,MIN(J6,參數!$B$4)-MAX(C6,參數!$B$3))</f>
        <v>10812</v>
      </c>
      <c r="M6" s="6" t="n">
        <f aca="false">E6*MAX(0,MIN(K6,參數!$B$4)-MAX(H6,參數!$B$3))</f>
        <v>29256</v>
      </c>
      <c r="N6" s="6" t="n">
        <f aca="false">E6*MAX(0,MIN(J6,參數!$B$6)-MAX(C6,參數!$B$5))</f>
        <v>127836</v>
      </c>
      <c r="O6" s="6" t="n">
        <f aca="false">E6*MAX(0,MIN(K6,參數!$B$6)-MAX(H6,參數!$B$5))</f>
        <v>146280</v>
      </c>
      <c r="P6" s="6" t="n">
        <f aca="false">E6*(C6&lt;=參數!$B$8)*(J6&gt;參數!$B$8)</f>
        <v>0</v>
      </c>
      <c r="Q6" s="6" t="n">
        <f aca="false">E6*(C6&lt;=參數!$B$7)*(J6&gt;參數!$B$7)</f>
        <v>636</v>
      </c>
      <c r="R6" s="6" t="n">
        <f aca="false">E6*(H6&lt;=參數!$B$7)*(K6&gt;參數!$B$7)</f>
        <v>636</v>
      </c>
      <c r="S6" s="6" t="n">
        <f aca="false">E6*(C6&lt;=參數!$B$9)*(J6&gt;參數!$B$9)</f>
        <v>0</v>
      </c>
      <c r="T6" s="6" t="n">
        <f aca="false">E6*MAX(0,MIN(J6,參數!$B$11)-MAX(C6,參數!$B$10))</f>
        <v>0</v>
      </c>
      <c r="U6" s="6" t="n">
        <f aca="false">IF(AND(6&gt;2,A5=A6,C6&gt;=參數!$B$5,C6&lt;參數!$B$3),E6-E5,0)</f>
        <v>0</v>
      </c>
    </row>
    <row r="7" customFormat="false" ht="15" hidden="false" customHeight="false" outlineLevel="0" collapsed="false">
      <c r="A7" s="0" t="s">
        <v>140</v>
      </c>
      <c r="B7" s="0" t="s">
        <v>109</v>
      </c>
      <c r="C7" s="10" t="n">
        <v>45443</v>
      </c>
      <c r="D7" s="0" t="n">
        <v>0</v>
      </c>
      <c r="E7" s="0" t="n">
        <v>0</v>
      </c>
      <c r="F7" s="0" t="n">
        <v>0</v>
      </c>
      <c r="G7" s="0" t="n">
        <v>0</v>
      </c>
      <c r="H7" s="10" t="n">
        <f aca="false">C7</f>
        <v>45443</v>
      </c>
      <c r="J7" s="10" t="n">
        <f aca="false">IF(AND(7&lt;122,A8=A7),C8,DATE(2100,1,1))</f>
        <v>45836</v>
      </c>
      <c r="K7" s="10" t="n">
        <f aca="false">IF(AND(7&lt;122,A8=A7),H8,DATE(2100,1,1))</f>
        <v>45836</v>
      </c>
      <c r="L7" s="6" t="n">
        <f aca="false">E7*MAX(0,MIN(J7,參數!$B$4)-MAX(C7,參數!$B$3))</f>
        <v>0</v>
      </c>
      <c r="M7" s="6" t="n">
        <f aca="false">E7*MAX(0,MIN(K7,參數!$B$4)-MAX(H7,參數!$B$3))</f>
        <v>0</v>
      </c>
      <c r="N7" s="6" t="n">
        <f aca="false">E7*MAX(0,MIN(J7,參數!$B$6)-MAX(C7,參數!$B$5))</f>
        <v>0</v>
      </c>
      <c r="O7" s="6" t="n">
        <f aca="false">E7*MAX(0,MIN(K7,參數!$B$6)-MAX(H7,參數!$B$5))</f>
        <v>0</v>
      </c>
      <c r="P7" s="6" t="n">
        <f aca="false">E7*(C7&lt;=參數!$B$8)*(J7&gt;參數!$B$8)</f>
        <v>0</v>
      </c>
      <c r="Q7" s="6" t="n">
        <f aca="false">E7*(C7&lt;=參數!$B$7)*(J7&gt;參數!$B$7)</f>
        <v>0</v>
      </c>
      <c r="R7" s="6" t="n">
        <f aca="false">E7*(H7&lt;=參數!$B$7)*(K7&gt;參數!$B$7)</f>
        <v>0</v>
      </c>
      <c r="S7" s="6" t="n">
        <f aca="false">E7*(C7&lt;=參數!$B$9)*(J7&gt;參數!$B$9)</f>
        <v>0</v>
      </c>
      <c r="T7" s="6" t="n">
        <f aca="false">E7*MAX(0,MIN(J7,參數!$B$11)-MAX(C7,參數!$B$10))</f>
        <v>0</v>
      </c>
      <c r="U7" s="6" t="n">
        <f aca="false">IF(AND(7&gt;2,A6=A7,C7&gt;=參數!$B$5,C7&lt;參數!$B$3),E7-E6,0)</f>
        <v>0</v>
      </c>
    </row>
    <row r="8" customFormat="false" ht="15" hidden="false" customHeight="false" outlineLevel="0" collapsed="false">
      <c r="A8" s="0" t="s">
        <v>140</v>
      </c>
      <c r="B8" s="0" t="s">
        <v>109</v>
      </c>
      <c r="C8" s="10" t="n">
        <v>45836</v>
      </c>
      <c r="D8" s="0" t="n">
        <v>0</v>
      </c>
      <c r="E8" s="0" t="n">
        <v>0</v>
      </c>
      <c r="F8" s="0" t="n">
        <v>0</v>
      </c>
      <c r="G8" s="0" t="n">
        <v>0</v>
      </c>
      <c r="H8" s="10" t="n">
        <f aca="false">C8</f>
        <v>45836</v>
      </c>
      <c r="J8" s="10" t="n">
        <f aca="false">IF(AND(8&lt;122,A9=A8),C9,DATE(2100,1,1))</f>
        <v>45926</v>
      </c>
      <c r="K8" s="10" t="n">
        <f aca="false">IF(AND(8&lt;122,A9=A8),H9,DATE(2100,1,1))</f>
        <v>45926</v>
      </c>
      <c r="L8" s="6" t="n">
        <f aca="false">E8*MAX(0,MIN(J8,參數!$B$4)-MAX(C8,參數!$B$3))</f>
        <v>0</v>
      </c>
      <c r="M8" s="6" t="n">
        <f aca="false">E8*MAX(0,MIN(K8,參數!$B$4)-MAX(H8,參數!$B$3))</f>
        <v>0</v>
      </c>
      <c r="N8" s="6" t="n">
        <f aca="false">E8*MAX(0,MIN(J8,參數!$B$6)-MAX(C8,參數!$B$5))</f>
        <v>0</v>
      </c>
      <c r="O8" s="6" t="n">
        <f aca="false">E8*MAX(0,MIN(K8,參數!$B$6)-MAX(H8,參數!$B$5))</f>
        <v>0</v>
      </c>
      <c r="P8" s="6" t="n">
        <f aca="false">E8*(C8&lt;=參數!$B$8)*(J8&gt;參數!$B$8)</f>
        <v>0</v>
      </c>
      <c r="Q8" s="6" t="n">
        <f aca="false">E8*(C8&lt;=參數!$B$7)*(J8&gt;參數!$B$7)</f>
        <v>0</v>
      </c>
      <c r="R8" s="6" t="n">
        <f aca="false">E8*(H8&lt;=參數!$B$7)*(K8&gt;參數!$B$7)</f>
        <v>0</v>
      </c>
      <c r="S8" s="6" t="n">
        <f aca="false">E8*(C8&lt;=參數!$B$9)*(J8&gt;參數!$B$9)</f>
        <v>0</v>
      </c>
      <c r="T8" s="6" t="n">
        <f aca="false">E8*MAX(0,MIN(J8,參數!$B$11)-MAX(C8,參數!$B$10))</f>
        <v>0</v>
      </c>
      <c r="U8" s="6" t="n">
        <f aca="false">IF(AND(8&gt;2,A7=A8,C8&gt;=參數!$B$5,C8&lt;參數!$B$3),E8-E7,0)</f>
        <v>0</v>
      </c>
    </row>
    <row r="9" customFormat="false" ht="15" hidden="false" customHeight="false" outlineLevel="0" collapsed="false">
      <c r="A9" s="0" t="s">
        <v>140</v>
      </c>
      <c r="B9" s="0" t="s">
        <v>109</v>
      </c>
      <c r="C9" s="10" t="n">
        <v>45926</v>
      </c>
      <c r="D9" s="0" t="n">
        <v>1</v>
      </c>
      <c r="E9" s="0" t="n">
        <v>105</v>
      </c>
      <c r="F9" s="0" t="n">
        <v>147</v>
      </c>
      <c r="G9" s="0" t="n">
        <v>127337.03890854</v>
      </c>
      <c r="H9" s="10" t="n">
        <f aca="false">C9</f>
        <v>45926</v>
      </c>
      <c r="J9" s="10" t="n">
        <f aca="false">IF(AND(9&lt;122,A10=A9),C10,DATE(2100,1,1))</f>
        <v>46015</v>
      </c>
      <c r="K9" s="10" t="n">
        <f aca="false">IF(AND(9&lt;122,A10=A9),H10,DATE(2100,1,1))</f>
        <v>46015</v>
      </c>
      <c r="L9" s="6" t="n">
        <f aca="false">E9*MAX(0,MIN(J9,參數!$B$4)-MAX(C9,參數!$B$3))</f>
        <v>0</v>
      </c>
      <c r="M9" s="6" t="n">
        <f aca="false">E9*MAX(0,MIN(K9,參數!$B$4)-MAX(H9,參數!$B$3))</f>
        <v>0</v>
      </c>
      <c r="N9" s="6" t="n">
        <f aca="false">E9*MAX(0,MIN(J9,參數!$B$6)-MAX(C9,參數!$B$5))</f>
        <v>0</v>
      </c>
      <c r="O9" s="6" t="n">
        <f aca="false">E9*MAX(0,MIN(K9,參數!$B$6)-MAX(H9,參數!$B$5))</f>
        <v>0</v>
      </c>
      <c r="P9" s="6" t="n">
        <f aca="false">E9*(C9&lt;=參數!$B$8)*(J9&gt;參數!$B$8)</f>
        <v>0</v>
      </c>
      <c r="Q9" s="6" t="n">
        <f aca="false">E9*(C9&lt;=參數!$B$7)*(J9&gt;參數!$B$7)</f>
        <v>0</v>
      </c>
      <c r="R9" s="6" t="n">
        <f aca="false">E9*(H9&lt;=參數!$B$7)*(K9&gt;參數!$B$7)</f>
        <v>0</v>
      </c>
      <c r="S9" s="6" t="n">
        <f aca="false">E9*(C9&lt;=參數!$B$9)*(J9&gt;參數!$B$9)</f>
        <v>0</v>
      </c>
      <c r="T9" s="6" t="n">
        <f aca="false">E9*MAX(0,MIN(J9,參數!$B$11)-MAX(C9,參數!$B$10))</f>
        <v>9345</v>
      </c>
      <c r="U9" s="6" t="n">
        <f aca="false">IF(AND(9&gt;2,A8=A9,C9&gt;=參數!$B$5,C9&lt;參數!$B$3),E9-E8,0)</f>
        <v>0</v>
      </c>
    </row>
    <row r="10" customFormat="false" ht="15" hidden="false" customHeight="false" outlineLevel="0" collapsed="false">
      <c r="A10" s="0" t="s">
        <v>140</v>
      </c>
      <c r="B10" s="0" t="s">
        <v>109</v>
      </c>
      <c r="C10" s="10" t="n">
        <v>46015</v>
      </c>
      <c r="D10" s="0" t="n">
        <v>2</v>
      </c>
      <c r="E10" s="0" t="n">
        <v>211</v>
      </c>
      <c r="F10" s="0" t="n">
        <v>295</v>
      </c>
      <c r="G10" s="0" t="n">
        <v>254674.077817079</v>
      </c>
      <c r="H10" s="10" t="n">
        <f aca="false">C10</f>
        <v>46015</v>
      </c>
      <c r="J10" s="10" t="n">
        <f aca="false">IF(AND(10&lt;122,A11=A10),C11,DATE(2100,1,1))</f>
        <v>46037</v>
      </c>
      <c r="K10" s="10" t="n">
        <f aca="false">IF(AND(10&lt;122,A11=A10),H11,DATE(2100,1,1))</f>
        <v>46037</v>
      </c>
      <c r="L10" s="6" t="n">
        <f aca="false">E10*MAX(0,MIN(J10,參數!$B$4)-MAX(C10,參數!$B$3))</f>
        <v>0</v>
      </c>
      <c r="M10" s="6" t="n">
        <f aca="false">E10*MAX(0,MIN(K10,參數!$B$4)-MAX(H10,參數!$B$3))</f>
        <v>0</v>
      </c>
      <c r="N10" s="6" t="n">
        <f aca="false">E10*MAX(0,MIN(J10,參數!$B$6)-MAX(C10,參數!$B$5))</f>
        <v>2954</v>
      </c>
      <c r="O10" s="6" t="n">
        <f aca="false">E10*MAX(0,MIN(K10,參數!$B$6)-MAX(H10,參數!$B$5))</f>
        <v>2954</v>
      </c>
      <c r="P10" s="6" t="n">
        <f aca="false">E10*(C10&lt;=參數!$B$8)*(J10&gt;參數!$B$8)</f>
        <v>211</v>
      </c>
      <c r="Q10" s="6" t="n">
        <f aca="false">E10*(C10&lt;=參數!$B$7)*(J10&gt;參數!$B$7)</f>
        <v>0</v>
      </c>
      <c r="R10" s="6" t="n">
        <f aca="false">E10*(H10&lt;=參數!$B$7)*(K10&gt;參數!$B$7)</f>
        <v>0</v>
      </c>
      <c r="S10" s="6" t="n">
        <f aca="false">E10*(C10&lt;=參數!$B$9)*(J10&gt;參數!$B$9)</f>
        <v>0</v>
      </c>
      <c r="T10" s="6" t="n">
        <f aca="false">E10*MAX(0,MIN(J10,參數!$B$11)-MAX(C10,參數!$B$10))</f>
        <v>1688</v>
      </c>
      <c r="U10" s="6" t="n">
        <f aca="false">IF(AND(10&gt;2,A9=A10,C10&gt;=參數!$B$5,C10&lt;參數!$B$3),E10-E9,0)</f>
        <v>0</v>
      </c>
    </row>
    <row r="11" customFormat="false" ht="15" hidden="false" customHeight="false" outlineLevel="0" collapsed="false">
      <c r="A11" s="0" t="s">
        <v>140</v>
      </c>
      <c r="B11" s="0" t="s">
        <v>109</v>
      </c>
      <c r="C11" s="10" t="n">
        <v>46037</v>
      </c>
      <c r="D11" s="0" t="n">
        <v>2</v>
      </c>
      <c r="E11" s="0" t="n">
        <v>211</v>
      </c>
      <c r="F11" s="0" t="n">
        <v>295</v>
      </c>
      <c r="G11" s="0" t="n">
        <v>254674.077817079</v>
      </c>
      <c r="H11" s="10" t="n">
        <f aca="false">C11</f>
        <v>46037</v>
      </c>
      <c r="J11" s="10" t="n">
        <f aca="false">IF(AND(11&lt;122,A12=A11),C12,DATE(2100,1,1))</f>
        <v>46105</v>
      </c>
      <c r="K11" s="10" t="n">
        <f aca="false">IF(AND(11&lt;122,A12=A11),H12,DATE(2100,1,1))</f>
        <v>46105</v>
      </c>
      <c r="L11" s="6" t="n">
        <f aca="false">E11*MAX(0,MIN(J11,參數!$B$4)-MAX(C11,參數!$B$3))</f>
        <v>0</v>
      </c>
      <c r="M11" s="6" t="n">
        <f aca="false">E11*MAX(0,MIN(K11,參數!$B$4)-MAX(H11,參數!$B$3))</f>
        <v>0</v>
      </c>
      <c r="N11" s="6" t="n">
        <f aca="false">E11*MAX(0,MIN(J11,參數!$B$6)-MAX(C11,參數!$B$5))</f>
        <v>14348</v>
      </c>
      <c r="O11" s="6" t="n">
        <f aca="false">E11*MAX(0,MIN(K11,參數!$B$6)-MAX(H11,參數!$B$5))</f>
        <v>14348</v>
      </c>
      <c r="P11" s="6" t="n">
        <f aca="false">E11*(C11&lt;=參數!$B$8)*(J11&gt;參數!$B$8)</f>
        <v>0</v>
      </c>
      <c r="Q11" s="6" t="n">
        <f aca="false">E11*(C11&lt;=參數!$B$7)*(J11&gt;參數!$B$7)</f>
        <v>0</v>
      </c>
      <c r="R11" s="6" t="n">
        <f aca="false">E11*(H11&lt;=參數!$B$7)*(K11&gt;參數!$B$7)</f>
        <v>0</v>
      </c>
      <c r="S11" s="6" t="n">
        <f aca="false">E11*(C11&lt;=參數!$B$9)*(J11&gt;參數!$B$9)</f>
        <v>0</v>
      </c>
      <c r="T11" s="6" t="n">
        <f aca="false">E11*MAX(0,MIN(J11,參數!$B$11)-MAX(C11,參數!$B$10))</f>
        <v>0</v>
      </c>
      <c r="U11" s="6" t="n">
        <f aca="false">IF(AND(11&gt;2,A10=A11,C11&gt;=參數!$B$5,C11&lt;參數!$B$3),E11-E10,0)</f>
        <v>0</v>
      </c>
    </row>
    <row r="12" customFormat="false" ht="15" hidden="false" customHeight="false" outlineLevel="0" collapsed="false">
      <c r="A12" s="0" t="s">
        <v>140</v>
      </c>
      <c r="B12" s="0" t="s">
        <v>109</v>
      </c>
      <c r="C12" s="10" t="n">
        <v>46105</v>
      </c>
      <c r="D12" s="0" t="n">
        <v>2</v>
      </c>
      <c r="E12" s="0" t="n">
        <v>211</v>
      </c>
      <c r="F12" s="0" t="n">
        <v>295</v>
      </c>
      <c r="G12" s="0" t="n">
        <v>254674.077817079</v>
      </c>
      <c r="H12" s="10" t="n">
        <f aca="false">C12</f>
        <v>46105</v>
      </c>
      <c r="J12" s="10" t="n">
        <f aca="false">IF(AND(12&lt;122,A13=A12),C13,DATE(2100,1,1))</f>
        <v>46165</v>
      </c>
      <c r="K12" s="10" t="n">
        <f aca="false">IF(AND(12&lt;122,A13=A12),H13,DATE(2100,1,1))</f>
        <v>46135</v>
      </c>
      <c r="L12" s="6" t="n">
        <f aca="false">E12*MAX(0,MIN(J12,參數!$B$4)-MAX(C12,參數!$B$3))</f>
        <v>10972</v>
      </c>
      <c r="M12" s="6" t="n">
        <f aca="false">E12*MAX(0,MIN(K12,參數!$B$4)-MAX(H12,參數!$B$3))</f>
        <v>4642</v>
      </c>
      <c r="N12" s="6" t="n">
        <f aca="false">E12*MAX(0,MIN(J12,參數!$B$6)-MAX(C12,參數!$B$5))</f>
        <v>12660</v>
      </c>
      <c r="O12" s="6" t="n">
        <f aca="false">E12*MAX(0,MIN(K12,參數!$B$6)-MAX(H12,參數!$B$5))</f>
        <v>6330</v>
      </c>
      <c r="P12" s="6" t="n">
        <f aca="false">E12*(C12&lt;=參數!$B$8)*(J12&gt;參數!$B$8)</f>
        <v>0</v>
      </c>
      <c r="Q12" s="6" t="n">
        <f aca="false">E12*(C12&lt;=參數!$B$7)*(J12&gt;參數!$B$7)</f>
        <v>0</v>
      </c>
      <c r="R12" s="6" t="n">
        <f aca="false">E12*(H12&lt;=參數!$B$7)*(K12&gt;參數!$B$7)</f>
        <v>0</v>
      </c>
      <c r="S12" s="6" t="n">
        <f aca="false">E12*(C12&lt;=參數!$B$9)*(J12&gt;參數!$B$9)</f>
        <v>0</v>
      </c>
      <c r="T12" s="6" t="n">
        <f aca="false">E12*MAX(0,MIN(J12,參數!$B$11)-MAX(C12,參數!$B$10))</f>
        <v>0</v>
      </c>
      <c r="U12" s="6" t="n">
        <f aca="false">IF(AND(12&gt;2,A11=A12,C12&gt;=參數!$B$5,C12&lt;參數!$B$3),E12-E11,0)</f>
        <v>0</v>
      </c>
    </row>
    <row r="13" customFormat="false" ht="17.15" hidden="false" customHeight="false" outlineLevel="0" collapsed="false">
      <c r="A13" s="0" t="s">
        <v>140</v>
      </c>
      <c r="B13" s="0" t="s">
        <v>109</v>
      </c>
      <c r="C13" s="10" t="n">
        <v>46165</v>
      </c>
      <c r="D13" s="0" t="n">
        <v>4</v>
      </c>
      <c r="E13" s="0" t="n">
        <v>421</v>
      </c>
      <c r="F13" s="0" t="n">
        <v>590</v>
      </c>
      <c r="G13" s="0" t="n">
        <v>509348.155634159</v>
      </c>
      <c r="H13" s="7" t="n">
        <v>46135</v>
      </c>
      <c r="I13" s="6" t="s">
        <v>141</v>
      </c>
      <c r="J13" s="10" t="n">
        <f aca="false">IF(AND(13&lt;122,A14=A13),C14,DATE(2100,1,1))</f>
        <v>46231</v>
      </c>
      <c r="K13" s="10" t="n">
        <f aca="false">IF(AND(13&lt;122,A14=A13),H14,DATE(2100,1,1))</f>
        <v>46231</v>
      </c>
      <c r="L13" s="6" t="n">
        <f aca="false">E13*MAX(0,MIN(J13,參數!$B$4)-MAX(C13,參數!$B$3))</f>
        <v>16419</v>
      </c>
      <c r="M13" s="6" t="n">
        <f aca="false">E13*MAX(0,MIN(K13,參數!$B$4)-MAX(H13,參數!$B$3))</f>
        <v>29049</v>
      </c>
      <c r="N13" s="6" t="n">
        <f aca="false">E13*MAX(0,MIN(J13,參數!$B$6)-MAX(C13,參數!$B$5))</f>
        <v>27786</v>
      </c>
      <c r="O13" s="6" t="n">
        <f aca="false">E13*MAX(0,MIN(K13,參數!$B$6)-MAX(H13,參數!$B$5))</f>
        <v>40416</v>
      </c>
      <c r="P13" s="6" t="n">
        <f aca="false">E13*(C13&lt;=參數!$B$8)*(J13&gt;參數!$B$8)</f>
        <v>0</v>
      </c>
      <c r="Q13" s="6" t="n">
        <f aca="false">E13*(C13&lt;=參數!$B$7)*(J13&gt;參數!$B$7)</f>
        <v>0</v>
      </c>
      <c r="R13" s="6" t="n">
        <f aca="false">E13*(H13&lt;=參數!$B$7)*(K13&gt;參數!$B$7)</f>
        <v>0</v>
      </c>
      <c r="S13" s="6" t="n">
        <f aca="false">E13*(C13&lt;=參數!$B$9)*(J13&gt;參數!$B$9)</f>
        <v>0</v>
      </c>
      <c r="T13" s="6" t="n">
        <f aca="false">E13*MAX(0,MIN(J13,參數!$B$11)-MAX(C13,參數!$B$10))</f>
        <v>0</v>
      </c>
      <c r="U13" s="6" t="n">
        <f aca="false">IF(AND(13&gt;2,A12=A13,C13&gt;=參數!$B$5,C13&lt;參數!$B$3),E13-E12,0)</f>
        <v>0</v>
      </c>
    </row>
    <row r="14" customFormat="false" ht="15" hidden="false" customHeight="false" outlineLevel="0" collapsed="false">
      <c r="A14" s="0" t="s">
        <v>140</v>
      </c>
      <c r="B14" s="0" t="s">
        <v>109</v>
      </c>
      <c r="C14" s="10" t="n">
        <v>46231</v>
      </c>
      <c r="D14" s="0" t="n">
        <v>4</v>
      </c>
      <c r="E14" s="0" t="n">
        <v>421</v>
      </c>
      <c r="F14" s="0" t="n">
        <v>590</v>
      </c>
      <c r="G14" s="0" t="n">
        <v>509348.155634159</v>
      </c>
      <c r="H14" s="10" t="n">
        <f aca="false">C14</f>
        <v>46231</v>
      </c>
      <c r="J14" s="10" t="n">
        <f aca="false">IF(AND(14&lt;122,A15=A14),C15,DATE(2100,1,1))</f>
        <v>46327</v>
      </c>
      <c r="K14" s="10" t="n">
        <f aca="false">IF(AND(14&lt;122,A15=A14),H15,DATE(2100,1,1))</f>
        <v>46327</v>
      </c>
      <c r="L14" s="6" t="n">
        <f aca="false">E14*MAX(0,MIN(J14,參數!$B$4)-MAX(C14,參數!$B$3))</f>
        <v>0</v>
      </c>
      <c r="M14" s="6" t="n">
        <f aca="false">E14*MAX(0,MIN(K14,參數!$B$4)-MAX(H14,參數!$B$3))</f>
        <v>0</v>
      </c>
      <c r="N14" s="6" t="n">
        <f aca="false">E14*MAX(0,MIN(J14,參數!$B$6)-MAX(C14,參數!$B$5))</f>
        <v>40416</v>
      </c>
      <c r="O14" s="6" t="n">
        <f aca="false">E14*MAX(0,MIN(K14,參數!$B$6)-MAX(H14,參數!$B$5))</f>
        <v>40416</v>
      </c>
      <c r="P14" s="6" t="n">
        <f aca="false">E14*(C14&lt;=參數!$B$8)*(J14&gt;參數!$B$8)</f>
        <v>0</v>
      </c>
      <c r="Q14" s="6" t="n">
        <f aca="false">E14*(C14&lt;=參數!$B$7)*(J14&gt;參數!$B$7)</f>
        <v>0</v>
      </c>
      <c r="R14" s="6" t="n">
        <f aca="false">E14*(H14&lt;=參數!$B$7)*(K14&gt;參數!$B$7)</f>
        <v>0</v>
      </c>
      <c r="S14" s="6" t="n">
        <f aca="false">E14*(C14&lt;=參數!$B$9)*(J14&gt;參數!$B$9)</f>
        <v>0</v>
      </c>
      <c r="T14" s="6" t="n">
        <f aca="false">E14*MAX(0,MIN(J14,參數!$B$11)-MAX(C14,參數!$B$10))</f>
        <v>0</v>
      </c>
      <c r="U14" s="6" t="n">
        <f aca="false">IF(AND(14&gt;2,A13=A14,C14&gt;=參數!$B$5,C14&lt;參數!$B$3),E14-E13,0)</f>
        <v>0</v>
      </c>
    </row>
    <row r="15" customFormat="false" ht="15" hidden="false" customHeight="false" outlineLevel="0" collapsed="false">
      <c r="A15" s="0" t="s">
        <v>140</v>
      </c>
      <c r="B15" s="0" t="s">
        <v>109</v>
      </c>
      <c r="C15" s="10" t="n">
        <v>46327</v>
      </c>
      <c r="D15" s="0" t="n">
        <v>8</v>
      </c>
      <c r="E15" s="0" t="n">
        <v>843</v>
      </c>
      <c r="F15" s="0" t="n">
        <v>1180</v>
      </c>
      <c r="G15" s="0" t="n">
        <v>1018696.31126832</v>
      </c>
      <c r="H15" s="10" t="n">
        <f aca="false">C15</f>
        <v>46327</v>
      </c>
      <c r="J15" s="10" t="n">
        <f aca="false">IF(AND(15&lt;122,A16=A15),C16,DATE(2100,1,1))</f>
        <v>73051</v>
      </c>
      <c r="K15" s="10" t="n">
        <f aca="false">IF(AND(15&lt;122,A16=A15),H16,DATE(2100,1,1))</f>
        <v>73051</v>
      </c>
      <c r="L15" s="6" t="n">
        <f aca="false">E15*MAX(0,MIN(J15,參數!$B$4)-MAX(C15,參數!$B$3))</f>
        <v>0</v>
      </c>
      <c r="M15" s="6" t="n">
        <f aca="false">E15*MAX(0,MIN(K15,參數!$B$4)-MAX(H15,參數!$B$3))</f>
        <v>0</v>
      </c>
      <c r="N15" s="6" t="n">
        <f aca="false">E15*MAX(0,MIN(J15,參數!$B$6)-MAX(C15,參數!$B$5))</f>
        <v>51423</v>
      </c>
      <c r="O15" s="6" t="n">
        <f aca="false">E15*MAX(0,MIN(K15,參數!$B$6)-MAX(H15,參數!$B$5))</f>
        <v>51423</v>
      </c>
      <c r="P15" s="6" t="n">
        <f aca="false">E15*(C15&lt;=參數!$B$8)*(J15&gt;參數!$B$8)</f>
        <v>0</v>
      </c>
      <c r="Q15" s="6" t="n">
        <f aca="false">E15*(C15&lt;=參數!$B$7)*(J15&gt;參數!$B$7)</f>
        <v>843</v>
      </c>
      <c r="R15" s="6" t="n">
        <f aca="false">E15*(H15&lt;=參數!$B$7)*(K15&gt;參數!$B$7)</f>
        <v>843</v>
      </c>
      <c r="S15" s="6" t="n">
        <f aca="false">E15*(C15&lt;=參數!$B$9)*(J15&gt;參數!$B$9)</f>
        <v>0</v>
      </c>
      <c r="T15" s="6" t="n">
        <f aca="false">E15*MAX(0,MIN(J15,參數!$B$11)-MAX(C15,參數!$B$10))</f>
        <v>0</v>
      </c>
      <c r="U15" s="6" t="n">
        <f aca="false">IF(AND(15&gt;2,A14=A15,C15&gt;=參數!$B$5,C15&lt;參數!$B$3),E15-E14,0)</f>
        <v>0</v>
      </c>
    </row>
    <row r="16" customFormat="false" ht="15" hidden="false" customHeight="false" outlineLevel="0" collapsed="false">
      <c r="A16" s="0" t="s">
        <v>142</v>
      </c>
      <c r="B16" s="0" t="s">
        <v>110</v>
      </c>
      <c r="C16" s="10" t="n">
        <v>45121</v>
      </c>
      <c r="D16" s="0" t="n">
        <v>0</v>
      </c>
      <c r="E16" s="0" t="n">
        <v>0</v>
      </c>
      <c r="F16" s="0" t="n">
        <v>0</v>
      </c>
      <c r="G16" s="0" t="n">
        <v>0</v>
      </c>
      <c r="H16" s="10" t="n">
        <f aca="false">C16</f>
        <v>45121</v>
      </c>
      <c r="J16" s="10" t="n">
        <f aca="false">IF(AND(16&lt;122,A17=A16),C17,DATE(2100,1,1))</f>
        <v>45926</v>
      </c>
      <c r="K16" s="10" t="n">
        <f aca="false">IF(AND(16&lt;122,A17=A16),H17,DATE(2100,1,1))</f>
        <v>45926</v>
      </c>
      <c r="L16" s="6" t="n">
        <f aca="false">E16*MAX(0,MIN(J16,參數!$B$4)-MAX(C16,參數!$B$3))</f>
        <v>0</v>
      </c>
      <c r="M16" s="6" t="n">
        <f aca="false">E16*MAX(0,MIN(K16,參數!$B$4)-MAX(H16,參數!$B$3))</f>
        <v>0</v>
      </c>
      <c r="N16" s="6" t="n">
        <f aca="false">E16*MAX(0,MIN(J16,參數!$B$6)-MAX(C16,參數!$B$5))</f>
        <v>0</v>
      </c>
      <c r="O16" s="6" t="n">
        <f aca="false">E16*MAX(0,MIN(K16,參數!$B$6)-MAX(H16,參數!$B$5))</f>
        <v>0</v>
      </c>
      <c r="P16" s="6" t="n">
        <f aca="false">E16*(C16&lt;=參數!$B$8)*(J16&gt;參數!$B$8)</f>
        <v>0</v>
      </c>
      <c r="Q16" s="6" t="n">
        <f aca="false">E16*(C16&lt;=參數!$B$7)*(J16&gt;參數!$B$7)</f>
        <v>0</v>
      </c>
      <c r="R16" s="6" t="n">
        <f aca="false">E16*(H16&lt;=參數!$B$7)*(K16&gt;參數!$B$7)</f>
        <v>0</v>
      </c>
      <c r="S16" s="6" t="n">
        <f aca="false">E16*(C16&lt;=參數!$B$9)*(J16&gt;參數!$B$9)</f>
        <v>0</v>
      </c>
      <c r="T16" s="6" t="n">
        <f aca="false">E16*MAX(0,MIN(J16,參數!$B$11)-MAX(C16,參數!$B$10))</f>
        <v>0</v>
      </c>
      <c r="U16" s="6" t="n">
        <f aca="false">IF(AND(16&gt;2,A15=A16,C16&gt;=參數!$B$5,C16&lt;參數!$B$3),E16-E15,0)</f>
        <v>0</v>
      </c>
    </row>
    <row r="17" customFormat="false" ht="15" hidden="false" customHeight="false" outlineLevel="0" collapsed="false">
      <c r="A17" s="0" t="s">
        <v>142</v>
      </c>
      <c r="B17" s="0" t="s">
        <v>110</v>
      </c>
      <c r="C17" s="10" t="n">
        <v>45926</v>
      </c>
      <c r="D17" s="0" t="n">
        <v>0</v>
      </c>
      <c r="E17" s="0" t="n">
        <v>0</v>
      </c>
      <c r="F17" s="0" t="n">
        <v>0</v>
      </c>
      <c r="G17" s="0" t="n">
        <v>0</v>
      </c>
      <c r="H17" s="10" t="n">
        <f aca="false">C17</f>
        <v>45926</v>
      </c>
      <c r="J17" s="10" t="n">
        <f aca="false">IF(AND(17&lt;122,A18=A17),C18,DATE(2100,1,1))</f>
        <v>46050</v>
      </c>
      <c r="K17" s="10" t="n">
        <f aca="false">IF(AND(17&lt;122,A18=A17),H18,DATE(2100,1,1))</f>
        <v>46050</v>
      </c>
      <c r="L17" s="6" t="n">
        <f aca="false">E17*MAX(0,MIN(J17,參數!$B$4)-MAX(C17,參數!$B$3))</f>
        <v>0</v>
      </c>
      <c r="M17" s="6" t="n">
        <f aca="false">E17*MAX(0,MIN(K17,參數!$B$4)-MAX(H17,參數!$B$3))</f>
        <v>0</v>
      </c>
      <c r="N17" s="6" t="n">
        <f aca="false">E17*MAX(0,MIN(J17,參數!$B$6)-MAX(C17,參數!$B$5))</f>
        <v>0</v>
      </c>
      <c r="O17" s="6" t="n">
        <f aca="false">E17*MAX(0,MIN(K17,參數!$B$6)-MAX(H17,參數!$B$5))</f>
        <v>0</v>
      </c>
      <c r="P17" s="6" t="n">
        <f aca="false">E17*(C17&lt;=參數!$B$8)*(J17&gt;參數!$B$8)</f>
        <v>0</v>
      </c>
      <c r="Q17" s="6" t="n">
        <f aca="false">E17*(C17&lt;=參數!$B$7)*(J17&gt;參數!$B$7)</f>
        <v>0</v>
      </c>
      <c r="R17" s="6" t="n">
        <f aca="false">E17*(H17&lt;=參數!$B$7)*(K17&gt;參數!$B$7)</f>
        <v>0</v>
      </c>
      <c r="S17" s="6" t="n">
        <f aca="false">E17*(C17&lt;=參數!$B$9)*(J17&gt;參數!$B$9)</f>
        <v>0</v>
      </c>
      <c r="T17" s="6" t="n">
        <f aca="false">E17*MAX(0,MIN(J17,參數!$B$11)-MAX(C17,參數!$B$10))</f>
        <v>0</v>
      </c>
      <c r="U17" s="6" t="n">
        <f aca="false">IF(AND(17&gt;2,A16=A17,C17&gt;=參數!$B$5,C17&lt;參數!$B$3),E17-E16,0)</f>
        <v>0</v>
      </c>
    </row>
    <row r="18" customFormat="false" ht="15" hidden="false" customHeight="false" outlineLevel="0" collapsed="false">
      <c r="A18" s="0" t="s">
        <v>142</v>
      </c>
      <c r="B18" s="0" t="s">
        <v>110</v>
      </c>
      <c r="C18" s="10" t="n">
        <v>46050</v>
      </c>
      <c r="D18" s="0" t="n">
        <v>0</v>
      </c>
      <c r="E18" s="0" t="n">
        <v>0</v>
      </c>
      <c r="F18" s="0" t="n">
        <v>0</v>
      </c>
      <c r="G18" s="0" t="n">
        <v>0</v>
      </c>
      <c r="H18" s="10" t="n">
        <f aca="false">C18</f>
        <v>46050</v>
      </c>
      <c r="J18" s="10" t="n">
        <f aca="false">IF(AND(18&lt;122,A19=A18),C19,DATE(2100,1,1))</f>
        <v>46128</v>
      </c>
      <c r="K18" s="10" t="n">
        <f aca="false">IF(AND(18&lt;122,A19=A18),H19,DATE(2100,1,1))</f>
        <v>46128</v>
      </c>
      <c r="L18" s="6" t="n">
        <f aca="false">E18*MAX(0,MIN(J18,參數!$B$4)-MAX(C18,參數!$B$3))</f>
        <v>0</v>
      </c>
      <c r="M18" s="6" t="n">
        <f aca="false">E18*MAX(0,MIN(K18,參數!$B$4)-MAX(H18,參數!$B$3))</f>
        <v>0</v>
      </c>
      <c r="N18" s="6" t="n">
        <f aca="false">E18*MAX(0,MIN(J18,參數!$B$6)-MAX(C18,參數!$B$5))</f>
        <v>0</v>
      </c>
      <c r="O18" s="6" t="n">
        <f aca="false">E18*MAX(0,MIN(K18,參數!$B$6)-MAX(H18,參數!$B$5))</f>
        <v>0</v>
      </c>
      <c r="P18" s="6" t="n">
        <f aca="false">E18*(C18&lt;=參數!$B$8)*(J18&gt;參數!$B$8)</f>
        <v>0</v>
      </c>
      <c r="Q18" s="6" t="n">
        <f aca="false">E18*(C18&lt;=參數!$B$7)*(J18&gt;參數!$B$7)</f>
        <v>0</v>
      </c>
      <c r="R18" s="6" t="n">
        <f aca="false">E18*(H18&lt;=參數!$B$7)*(K18&gt;參數!$B$7)</f>
        <v>0</v>
      </c>
      <c r="S18" s="6" t="n">
        <f aca="false">E18*(C18&lt;=參數!$B$9)*(J18&gt;參數!$B$9)</f>
        <v>0</v>
      </c>
      <c r="T18" s="6" t="n">
        <f aca="false">E18*MAX(0,MIN(J18,參數!$B$11)-MAX(C18,參數!$B$10))</f>
        <v>0</v>
      </c>
      <c r="U18" s="6" t="n">
        <f aca="false">IF(AND(18&gt;2,A17=A18,C18&gt;=參數!$B$5,C18&lt;參數!$B$3),E18-E17,0)</f>
        <v>0</v>
      </c>
    </row>
    <row r="19" customFormat="false" ht="15" hidden="false" customHeight="false" outlineLevel="0" collapsed="false">
      <c r="A19" s="0" t="s">
        <v>142</v>
      </c>
      <c r="B19" s="0" t="s">
        <v>110</v>
      </c>
      <c r="C19" s="10" t="n">
        <v>46128</v>
      </c>
      <c r="D19" s="0" t="n">
        <v>1</v>
      </c>
      <c r="E19" s="0" t="n">
        <v>369</v>
      </c>
      <c r="F19" s="0" t="n">
        <v>442</v>
      </c>
      <c r="G19" s="0" t="n">
        <v>445679.636179889</v>
      </c>
      <c r="H19" s="10" t="n">
        <f aca="false">C19</f>
        <v>46128</v>
      </c>
      <c r="J19" s="10" t="n">
        <f aca="false">IF(AND(19&lt;122,A20=A19),C20,DATE(2100,1,1))</f>
        <v>46157</v>
      </c>
      <c r="K19" s="10" t="n">
        <f aca="false">IF(AND(19&lt;122,A20=A19),H20,DATE(2100,1,1))</f>
        <v>46157</v>
      </c>
      <c r="L19" s="6" t="n">
        <f aca="false">E19*MAX(0,MIN(J19,參數!$B$4)-MAX(C19,參數!$B$3))</f>
        <v>10701</v>
      </c>
      <c r="M19" s="6" t="n">
        <f aca="false">E19*MAX(0,MIN(K19,參數!$B$4)-MAX(H19,參數!$B$3))</f>
        <v>10701</v>
      </c>
      <c r="N19" s="6" t="n">
        <f aca="false">E19*MAX(0,MIN(J19,參數!$B$6)-MAX(C19,參數!$B$5))</f>
        <v>10701</v>
      </c>
      <c r="O19" s="6" t="n">
        <f aca="false">E19*MAX(0,MIN(K19,參數!$B$6)-MAX(H19,參數!$B$5))</f>
        <v>10701</v>
      </c>
      <c r="P19" s="6" t="n">
        <f aca="false">E19*(C19&lt;=參數!$B$8)*(J19&gt;參數!$B$8)</f>
        <v>0</v>
      </c>
      <c r="Q19" s="6" t="n">
        <f aca="false">E19*(C19&lt;=參數!$B$7)*(J19&gt;參數!$B$7)</f>
        <v>0</v>
      </c>
      <c r="R19" s="6" t="n">
        <f aca="false">E19*(H19&lt;=參數!$B$7)*(K19&gt;參數!$B$7)</f>
        <v>0</v>
      </c>
      <c r="S19" s="6" t="n">
        <f aca="false">E19*(C19&lt;=參數!$B$9)*(J19&gt;參數!$B$9)</f>
        <v>0</v>
      </c>
      <c r="T19" s="6" t="n">
        <f aca="false">E19*MAX(0,MIN(J19,參數!$B$11)-MAX(C19,參數!$B$10))</f>
        <v>0</v>
      </c>
      <c r="U19" s="6" t="n">
        <f aca="false">IF(AND(19&gt;2,A18=A19,C19&gt;=參數!$B$5,C19&lt;參數!$B$3),E19-E18,0)</f>
        <v>0</v>
      </c>
    </row>
    <row r="20" customFormat="false" ht="15" hidden="false" customHeight="false" outlineLevel="0" collapsed="false">
      <c r="A20" s="0" t="s">
        <v>142</v>
      </c>
      <c r="B20" s="0" t="s">
        <v>110</v>
      </c>
      <c r="C20" s="10" t="n">
        <v>46157</v>
      </c>
      <c r="D20" s="0" t="n">
        <v>1</v>
      </c>
      <c r="E20" s="0" t="n">
        <v>369</v>
      </c>
      <c r="F20" s="0" t="n">
        <v>442</v>
      </c>
      <c r="G20" s="0" t="n">
        <v>445679.636179889</v>
      </c>
      <c r="H20" s="10" t="n">
        <f aca="false">C20</f>
        <v>46157</v>
      </c>
      <c r="J20" s="10" t="n">
        <f aca="false">IF(AND(20&lt;122,A21=A20),C21,DATE(2100,1,1))</f>
        <v>46438</v>
      </c>
      <c r="K20" s="10" t="n">
        <f aca="false">IF(AND(20&lt;122,A21=A20),H21,DATE(2100,1,1))</f>
        <v>46438</v>
      </c>
      <c r="L20" s="6" t="n">
        <f aca="false">E20*MAX(0,MIN(J20,參數!$B$4)-MAX(C20,參數!$B$3))</f>
        <v>17343</v>
      </c>
      <c r="M20" s="6" t="n">
        <f aca="false">E20*MAX(0,MIN(K20,參數!$B$4)-MAX(H20,參數!$B$3))</f>
        <v>17343</v>
      </c>
      <c r="N20" s="6" t="n">
        <f aca="false">E20*MAX(0,MIN(J20,參數!$B$6)-MAX(C20,參數!$B$5))</f>
        <v>85239</v>
      </c>
      <c r="O20" s="6" t="n">
        <f aca="false">E20*MAX(0,MIN(K20,參數!$B$6)-MAX(H20,參數!$B$5))</f>
        <v>85239</v>
      </c>
      <c r="P20" s="6" t="n">
        <f aca="false">E20*(C20&lt;=參數!$B$8)*(J20&gt;參數!$B$8)</f>
        <v>0</v>
      </c>
      <c r="Q20" s="6" t="n">
        <f aca="false">E20*(C20&lt;=參數!$B$7)*(J20&gt;參數!$B$7)</f>
        <v>369</v>
      </c>
      <c r="R20" s="6" t="n">
        <f aca="false">E20*(H20&lt;=參數!$B$7)*(K20&gt;參數!$B$7)</f>
        <v>369</v>
      </c>
      <c r="S20" s="6" t="n">
        <f aca="false">E20*(C20&lt;=參數!$B$9)*(J20&gt;參數!$B$9)</f>
        <v>0</v>
      </c>
      <c r="T20" s="6" t="n">
        <f aca="false">E20*MAX(0,MIN(J20,參數!$B$11)-MAX(C20,參數!$B$10))</f>
        <v>0</v>
      </c>
      <c r="U20" s="6" t="n">
        <f aca="false">IF(AND(20&gt;2,A19=A20,C20&gt;=參數!$B$5,C20&lt;參數!$B$3),E20-E19,0)</f>
        <v>0</v>
      </c>
    </row>
    <row r="21" customFormat="false" ht="15" hidden="false" customHeight="false" outlineLevel="0" collapsed="false">
      <c r="A21" s="0" t="s">
        <v>142</v>
      </c>
      <c r="B21" s="0" t="s">
        <v>110</v>
      </c>
      <c r="C21" s="10" t="n">
        <v>46438</v>
      </c>
      <c r="D21" s="0" t="n">
        <v>2</v>
      </c>
      <c r="E21" s="0" t="n">
        <v>737</v>
      </c>
      <c r="F21" s="0" t="n">
        <v>885</v>
      </c>
      <c r="G21" s="0" t="n">
        <v>889338.04951996</v>
      </c>
      <c r="H21" s="10" t="n">
        <f aca="false">C21</f>
        <v>46438</v>
      </c>
      <c r="J21" s="10" t="n">
        <f aca="false">IF(AND(21&lt;122,A22=A21),C22,DATE(2100,1,1))</f>
        <v>46886</v>
      </c>
      <c r="K21" s="10" t="n">
        <f aca="false">IF(AND(21&lt;122,A22=A21),H22,DATE(2100,1,1))</f>
        <v>46886</v>
      </c>
      <c r="L21" s="6" t="n">
        <f aca="false">E21*MAX(0,MIN(J21,參數!$B$4)-MAX(C21,參數!$B$3))</f>
        <v>0</v>
      </c>
      <c r="M21" s="6" t="n">
        <f aca="false">E21*MAX(0,MIN(K21,參數!$B$4)-MAX(H21,參數!$B$3))</f>
        <v>0</v>
      </c>
      <c r="N21" s="6" t="n">
        <f aca="false">E21*MAX(0,MIN(J21,參數!$B$6)-MAX(C21,參數!$B$5))</f>
        <v>0</v>
      </c>
      <c r="O21" s="6" t="n">
        <f aca="false">E21*MAX(0,MIN(K21,參數!$B$6)-MAX(H21,參數!$B$5))</f>
        <v>0</v>
      </c>
      <c r="P21" s="6" t="n">
        <f aca="false">E21*(C21&lt;=參數!$B$8)*(J21&gt;參數!$B$8)</f>
        <v>0</v>
      </c>
      <c r="Q21" s="6" t="n">
        <f aca="false">E21*(C21&lt;=參數!$B$7)*(J21&gt;參數!$B$7)</f>
        <v>0</v>
      </c>
      <c r="R21" s="6" t="n">
        <f aca="false">E21*(H21&lt;=參數!$B$7)*(K21&gt;參數!$B$7)</f>
        <v>0</v>
      </c>
      <c r="S21" s="6" t="n">
        <f aca="false">E21*(C21&lt;=參數!$B$9)*(J21&gt;參數!$B$9)</f>
        <v>0</v>
      </c>
      <c r="T21" s="6" t="n">
        <f aca="false">E21*MAX(0,MIN(J21,參數!$B$11)-MAX(C21,參數!$B$10))</f>
        <v>0</v>
      </c>
      <c r="U21" s="6" t="n">
        <f aca="false">IF(AND(21&gt;2,A20=A21,C21&gt;=參數!$B$5,C21&lt;參數!$B$3),E21-E20,0)</f>
        <v>0</v>
      </c>
    </row>
    <row r="22" customFormat="false" ht="15" hidden="false" customHeight="false" outlineLevel="0" collapsed="false">
      <c r="A22" s="0" t="s">
        <v>142</v>
      </c>
      <c r="B22" s="0" t="s">
        <v>110</v>
      </c>
      <c r="C22" s="10" t="n">
        <v>46886</v>
      </c>
      <c r="D22" s="0" t="n">
        <v>11</v>
      </c>
      <c r="E22" s="0" t="n">
        <v>2263</v>
      </c>
      <c r="F22" s="0" t="n">
        <v>2715</v>
      </c>
      <c r="G22" s="0" t="n">
        <v>4527539.16119252</v>
      </c>
      <c r="H22" s="10" t="n">
        <f aca="false">C22</f>
        <v>46886</v>
      </c>
      <c r="J22" s="10" t="n">
        <f aca="false">IF(AND(22&lt;122,A23=A22),C23,DATE(2100,1,1))</f>
        <v>73051</v>
      </c>
      <c r="K22" s="10" t="n">
        <f aca="false">IF(AND(22&lt;122,A23=A22),H23,DATE(2100,1,1))</f>
        <v>73051</v>
      </c>
      <c r="L22" s="6" t="n">
        <f aca="false">E22*MAX(0,MIN(J22,參數!$B$4)-MAX(C22,參數!$B$3))</f>
        <v>0</v>
      </c>
      <c r="M22" s="6" t="n">
        <f aca="false">E22*MAX(0,MIN(K22,參數!$B$4)-MAX(H22,參數!$B$3))</f>
        <v>0</v>
      </c>
      <c r="N22" s="6" t="n">
        <f aca="false">E22*MAX(0,MIN(J22,參數!$B$6)-MAX(C22,參數!$B$5))</f>
        <v>0</v>
      </c>
      <c r="O22" s="6" t="n">
        <f aca="false">E22*MAX(0,MIN(K22,參數!$B$6)-MAX(H22,參數!$B$5))</f>
        <v>0</v>
      </c>
      <c r="P22" s="6" t="n">
        <f aca="false">E22*(C22&lt;=參數!$B$8)*(J22&gt;參數!$B$8)</f>
        <v>0</v>
      </c>
      <c r="Q22" s="6" t="n">
        <f aca="false">E22*(C22&lt;=參數!$B$7)*(J22&gt;參數!$B$7)</f>
        <v>0</v>
      </c>
      <c r="R22" s="6" t="n">
        <f aca="false">E22*(H22&lt;=參數!$B$7)*(K22&gt;參數!$B$7)</f>
        <v>0</v>
      </c>
      <c r="S22" s="6" t="n">
        <f aca="false">E22*(C22&lt;=參數!$B$9)*(J22&gt;參數!$B$9)</f>
        <v>0</v>
      </c>
      <c r="T22" s="6" t="n">
        <f aca="false">E22*MAX(0,MIN(J22,參數!$B$11)-MAX(C22,參數!$B$10))</f>
        <v>0</v>
      </c>
      <c r="U22" s="6" t="n">
        <f aca="false">IF(AND(22&gt;2,A21=A22,C22&gt;=參數!$B$5,C22&lt;參數!$B$3),E22-E21,0)</f>
        <v>0</v>
      </c>
    </row>
    <row r="23" customFormat="false" ht="15" hidden="false" customHeight="false" outlineLevel="0" collapsed="false">
      <c r="A23" s="0" t="s">
        <v>143</v>
      </c>
      <c r="B23" s="0" t="s">
        <v>110</v>
      </c>
      <c r="C23" s="10" t="n">
        <v>45597</v>
      </c>
      <c r="D23" s="0" t="n">
        <v>0</v>
      </c>
      <c r="E23" s="0" t="n">
        <v>0</v>
      </c>
      <c r="F23" s="0" t="n">
        <v>0</v>
      </c>
      <c r="G23" s="0" t="n">
        <v>0</v>
      </c>
      <c r="H23" s="10" t="n">
        <f aca="false">C23</f>
        <v>45597</v>
      </c>
      <c r="J23" s="10" t="n">
        <f aca="false">IF(AND(23&lt;122,A24=A23),C24,DATE(2100,1,1))</f>
        <v>45808</v>
      </c>
      <c r="K23" s="10" t="n">
        <f aca="false">IF(AND(23&lt;122,A24=A23),H24,DATE(2100,1,1))</f>
        <v>45808</v>
      </c>
      <c r="L23" s="6" t="n">
        <f aca="false">E23*MAX(0,MIN(J23,參數!$B$4)-MAX(C23,參數!$B$3))</f>
        <v>0</v>
      </c>
      <c r="M23" s="6" t="n">
        <f aca="false">E23*MAX(0,MIN(K23,參數!$B$4)-MAX(H23,參數!$B$3))</f>
        <v>0</v>
      </c>
      <c r="N23" s="6" t="n">
        <f aca="false">E23*MAX(0,MIN(J23,參數!$B$6)-MAX(C23,參數!$B$5))</f>
        <v>0</v>
      </c>
      <c r="O23" s="6" t="n">
        <f aca="false">E23*MAX(0,MIN(K23,參數!$B$6)-MAX(H23,參數!$B$5))</f>
        <v>0</v>
      </c>
      <c r="P23" s="6" t="n">
        <f aca="false">E23*(C23&lt;=參數!$B$8)*(J23&gt;參數!$B$8)</f>
        <v>0</v>
      </c>
      <c r="Q23" s="6" t="n">
        <f aca="false">E23*(C23&lt;=參數!$B$7)*(J23&gt;參數!$B$7)</f>
        <v>0</v>
      </c>
      <c r="R23" s="6" t="n">
        <f aca="false">E23*(H23&lt;=參數!$B$7)*(K23&gt;參數!$B$7)</f>
        <v>0</v>
      </c>
      <c r="S23" s="6" t="n">
        <f aca="false">E23*(C23&lt;=參數!$B$9)*(J23&gt;參數!$B$9)</f>
        <v>0</v>
      </c>
      <c r="T23" s="6" t="n">
        <f aca="false">E23*MAX(0,MIN(J23,參數!$B$11)-MAX(C23,參數!$B$10))</f>
        <v>0</v>
      </c>
      <c r="U23" s="6" t="n">
        <f aca="false">IF(AND(23&gt;2,A22=A23,C23&gt;=參數!$B$5,C23&lt;參數!$B$3),E23-E22,0)</f>
        <v>0</v>
      </c>
    </row>
    <row r="24" customFormat="false" ht="15" hidden="false" customHeight="false" outlineLevel="0" collapsed="false">
      <c r="A24" s="0" t="s">
        <v>143</v>
      </c>
      <c r="B24" s="0" t="s">
        <v>110</v>
      </c>
      <c r="C24" s="10" t="n">
        <v>45808</v>
      </c>
      <c r="D24" s="0" t="n">
        <v>1</v>
      </c>
      <c r="E24" s="0" t="n">
        <v>8</v>
      </c>
      <c r="F24" s="0" t="n">
        <v>11</v>
      </c>
      <c r="G24" s="0" t="n">
        <v>7781.70793329965</v>
      </c>
      <c r="H24" s="10" t="n">
        <f aca="false">C24</f>
        <v>45808</v>
      </c>
      <c r="J24" s="10" t="n">
        <f aca="false">IF(AND(24&lt;122,A25=A24),C25,DATE(2100,1,1))</f>
        <v>46022</v>
      </c>
      <c r="K24" s="10" t="n">
        <f aca="false">IF(AND(24&lt;122,A25=A24),H25,DATE(2100,1,1))</f>
        <v>46022</v>
      </c>
      <c r="L24" s="6" t="n">
        <f aca="false">E24*MAX(0,MIN(J24,參數!$B$4)-MAX(C24,參數!$B$3))</f>
        <v>0</v>
      </c>
      <c r="M24" s="6" t="n">
        <f aca="false">E24*MAX(0,MIN(K24,參數!$B$4)-MAX(H24,參數!$B$3))</f>
        <v>0</v>
      </c>
      <c r="N24" s="6" t="n">
        <f aca="false">E24*MAX(0,MIN(J24,參數!$B$6)-MAX(C24,參數!$B$5))</f>
        <v>0</v>
      </c>
      <c r="O24" s="6" t="n">
        <f aca="false">E24*MAX(0,MIN(K24,參數!$B$6)-MAX(H24,參數!$B$5))</f>
        <v>0</v>
      </c>
      <c r="P24" s="6" t="n">
        <f aca="false">E24*(C24&lt;=參數!$B$8)*(J24&gt;參數!$B$8)</f>
        <v>0</v>
      </c>
      <c r="Q24" s="6" t="n">
        <f aca="false">E24*(C24&lt;=參數!$B$7)*(J24&gt;參數!$B$7)</f>
        <v>0</v>
      </c>
      <c r="R24" s="6" t="n">
        <f aca="false">E24*(H24&lt;=參數!$B$7)*(K24&gt;參數!$B$7)</f>
        <v>0</v>
      </c>
      <c r="S24" s="6" t="n">
        <f aca="false">E24*(C24&lt;=參數!$B$9)*(J24&gt;參數!$B$9)</f>
        <v>0</v>
      </c>
      <c r="T24" s="6" t="n">
        <f aca="false">E24*MAX(0,MIN(J24,參數!$B$11)-MAX(C24,參數!$B$10))</f>
        <v>1712</v>
      </c>
      <c r="U24" s="6" t="n">
        <f aca="false">IF(AND(24&gt;2,A23=A24,C24&gt;=參數!$B$5,C24&lt;參數!$B$3),E24-E23,0)</f>
        <v>0</v>
      </c>
    </row>
    <row r="25" customFormat="false" ht="15" hidden="false" customHeight="false" outlineLevel="0" collapsed="false">
      <c r="A25" s="0" t="s">
        <v>143</v>
      </c>
      <c r="B25" s="0" t="s">
        <v>110</v>
      </c>
      <c r="C25" s="10" t="n">
        <v>46022</v>
      </c>
      <c r="D25" s="0" t="n">
        <v>3</v>
      </c>
      <c r="E25" s="0" t="n">
        <v>67</v>
      </c>
      <c r="F25" s="0" t="n">
        <v>94</v>
      </c>
      <c r="G25" s="0" t="n">
        <v>64679.1308741789</v>
      </c>
      <c r="H25" s="10" t="n">
        <f aca="false">C25</f>
        <v>46022</v>
      </c>
      <c r="J25" s="10" t="n">
        <f aca="false">IF(AND(25&lt;122,A26=A25),C26,DATE(2100,1,1))</f>
        <v>46076</v>
      </c>
      <c r="K25" s="10" t="n">
        <f aca="false">IF(AND(25&lt;122,A26=A25),H26,DATE(2100,1,1))</f>
        <v>46023</v>
      </c>
      <c r="L25" s="6" t="n">
        <f aca="false">E25*MAX(0,MIN(J25,參數!$B$4)-MAX(C25,參數!$B$3))</f>
        <v>0</v>
      </c>
      <c r="M25" s="6" t="n">
        <f aca="false">E25*MAX(0,MIN(K25,參數!$B$4)-MAX(H25,參數!$B$3))</f>
        <v>0</v>
      </c>
      <c r="N25" s="6" t="n">
        <f aca="false">E25*MAX(0,MIN(J25,參數!$B$6)-MAX(C25,參數!$B$5))</f>
        <v>3551</v>
      </c>
      <c r="O25" s="6" t="n">
        <f aca="false">E25*MAX(0,MIN(K25,參數!$B$6)-MAX(H25,參數!$B$5))</f>
        <v>0</v>
      </c>
      <c r="P25" s="6" t="n">
        <f aca="false">E25*(C25&lt;=參數!$B$8)*(J25&gt;參數!$B$8)</f>
        <v>67</v>
      </c>
      <c r="Q25" s="6" t="n">
        <f aca="false">E25*(C25&lt;=參數!$B$7)*(J25&gt;參數!$B$7)</f>
        <v>0</v>
      </c>
      <c r="R25" s="6" t="n">
        <f aca="false">E25*(H25&lt;=參數!$B$7)*(K25&gt;參數!$B$7)</f>
        <v>0</v>
      </c>
      <c r="S25" s="6" t="n">
        <f aca="false">E25*(C25&lt;=參數!$B$9)*(J25&gt;參數!$B$9)</f>
        <v>0</v>
      </c>
      <c r="T25" s="6" t="n">
        <f aca="false">E25*MAX(0,MIN(J25,參數!$B$11)-MAX(C25,參數!$B$10))</f>
        <v>67</v>
      </c>
      <c r="U25" s="6" t="n">
        <f aca="false">IF(AND(25&gt;2,A24=A25,C25&gt;=參數!$B$5,C25&lt;參數!$B$3),E25-E24,0)</f>
        <v>0</v>
      </c>
    </row>
    <row r="26" customFormat="false" ht="17.15" hidden="false" customHeight="false" outlineLevel="0" collapsed="false">
      <c r="A26" s="0" t="s">
        <v>143</v>
      </c>
      <c r="B26" s="0" t="s">
        <v>110</v>
      </c>
      <c r="C26" s="10" t="n">
        <v>46076</v>
      </c>
      <c r="D26" s="0" t="n">
        <v>4</v>
      </c>
      <c r="E26" s="0" t="n">
        <v>131</v>
      </c>
      <c r="F26" s="0" t="n">
        <v>183</v>
      </c>
      <c r="G26" s="0" t="n">
        <v>126326.427488631</v>
      </c>
      <c r="H26" s="7" t="n">
        <v>46023</v>
      </c>
      <c r="I26" s="1" t="s">
        <v>144</v>
      </c>
      <c r="J26" s="10" t="n">
        <f aca="false">IF(AND(26&lt;122,A27=A26),C27,DATE(2100,1,1))</f>
        <v>46083</v>
      </c>
      <c r="K26" s="10" t="n">
        <f aca="false">IF(AND(26&lt;122,A27=A26),H27,DATE(2100,1,1))</f>
        <v>46083</v>
      </c>
      <c r="L26" s="6" t="n">
        <f aca="false">E26*MAX(0,MIN(J26,參數!$B$4)-MAX(C26,參數!$B$3))</f>
        <v>0</v>
      </c>
      <c r="M26" s="6" t="n">
        <f aca="false">E26*MAX(0,MIN(K26,參數!$B$4)-MAX(H26,參數!$B$3))</f>
        <v>0</v>
      </c>
      <c r="N26" s="6" t="n">
        <f aca="false">E26*MAX(0,MIN(J26,參數!$B$6)-MAX(C26,參數!$B$5))</f>
        <v>917</v>
      </c>
      <c r="O26" s="6" t="n">
        <f aca="false">E26*MAX(0,MIN(K26,參數!$B$6)-MAX(H26,參數!$B$5))</f>
        <v>7860</v>
      </c>
      <c r="P26" s="6" t="n">
        <f aca="false">E26*(C26&lt;=參數!$B$8)*(J26&gt;參數!$B$8)</f>
        <v>0</v>
      </c>
      <c r="Q26" s="6" t="n">
        <f aca="false">E26*(C26&lt;=參數!$B$7)*(J26&gt;參數!$B$7)</f>
        <v>0</v>
      </c>
      <c r="R26" s="6" t="n">
        <f aca="false">E26*(H26&lt;=參數!$B$7)*(K26&gt;參數!$B$7)</f>
        <v>0</v>
      </c>
      <c r="S26" s="6" t="n">
        <f aca="false">E26*(C26&lt;=參數!$B$9)*(J26&gt;參數!$B$9)</f>
        <v>0</v>
      </c>
      <c r="T26" s="6" t="n">
        <f aca="false">E26*MAX(0,MIN(J26,參數!$B$11)-MAX(C26,參數!$B$10))</f>
        <v>0</v>
      </c>
      <c r="U26" s="6" t="n">
        <f aca="false">IF(AND(26&gt;2,A25=A26,C26&gt;=參數!$B$5,C26&lt;參數!$B$3),E26-E25,0)</f>
        <v>64</v>
      </c>
    </row>
    <row r="27" customFormat="false" ht="15" hidden="false" customHeight="false" outlineLevel="0" collapsed="false">
      <c r="A27" s="0" t="s">
        <v>143</v>
      </c>
      <c r="B27" s="0" t="s">
        <v>110</v>
      </c>
      <c r="C27" s="10" t="n">
        <v>46083</v>
      </c>
      <c r="D27" s="0" t="n">
        <v>4</v>
      </c>
      <c r="E27" s="0" t="n">
        <v>131</v>
      </c>
      <c r="F27" s="0" t="n">
        <v>183</v>
      </c>
      <c r="G27" s="0" t="n">
        <v>126326.427488631</v>
      </c>
      <c r="H27" s="10" t="n">
        <f aca="false">C27</f>
        <v>46083</v>
      </c>
      <c r="J27" s="10" t="n">
        <f aca="false">IF(AND(27&lt;122,A28=A27),C28,DATE(2100,1,1))</f>
        <v>46206</v>
      </c>
      <c r="K27" s="10" t="n">
        <f aca="false">IF(AND(27&lt;122,A28=A27),H28,DATE(2100,1,1))</f>
        <v>46084</v>
      </c>
      <c r="L27" s="6" t="n">
        <f aca="false">E27*MAX(0,MIN(J27,參數!$B$4)-MAX(C27,參數!$B$3))</f>
        <v>11921</v>
      </c>
      <c r="M27" s="6" t="n">
        <f aca="false">E27*MAX(0,MIN(K27,參數!$B$4)-MAX(H27,參數!$B$3))</f>
        <v>0</v>
      </c>
      <c r="N27" s="6" t="n">
        <f aca="false">E27*MAX(0,MIN(J27,參數!$B$6)-MAX(C27,參數!$B$5))</f>
        <v>16113</v>
      </c>
      <c r="O27" s="6" t="n">
        <f aca="false">E27*MAX(0,MIN(K27,參數!$B$6)-MAX(H27,參數!$B$5))</f>
        <v>131</v>
      </c>
      <c r="P27" s="6" t="n">
        <f aca="false">E27*(C27&lt;=參數!$B$8)*(J27&gt;參數!$B$8)</f>
        <v>0</v>
      </c>
      <c r="Q27" s="6" t="n">
        <f aca="false">E27*(C27&lt;=參數!$B$7)*(J27&gt;參數!$B$7)</f>
        <v>0</v>
      </c>
      <c r="R27" s="6" t="n">
        <f aca="false">E27*(H27&lt;=參數!$B$7)*(K27&gt;參數!$B$7)</f>
        <v>0</v>
      </c>
      <c r="S27" s="6" t="n">
        <f aca="false">E27*(C27&lt;=參數!$B$9)*(J27&gt;參數!$B$9)</f>
        <v>0</v>
      </c>
      <c r="T27" s="6" t="n">
        <f aca="false">E27*MAX(0,MIN(J27,參數!$B$11)-MAX(C27,參數!$B$10))</f>
        <v>0</v>
      </c>
      <c r="U27" s="6" t="n">
        <f aca="false">IF(AND(27&gt;2,A26=A27,C27&gt;=參數!$B$5,C27&lt;參數!$B$3),E27-E26,0)</f>
        <v>0</v>
      </c>
    </row>
    <row r="28" customFormat="false" ht="17.15" hidden="false" customHeight="false" outlineLevel="0" collapsed="false">
      <c r="A28" s="0" t="s">
        <v>143</v>
      </c>
      <c r="B28" s="0" t="s">
        <v>110</v>
      </c>
      <c r="C28" s="10" t="n">
        <v>46206</v>
      </c>
      <c r="D28" s="0" t="n">
        <v>7</v>
      </c>
      <c r="E28" s="0" t="n">
        <v>262</v>
      </c>
      <c r="F28" s="0" t="n">
        <v>367</v>
      </c>
      <c r="G28" s="0" t="n">
        <v>252652.854977261</v>
      </c>
      <c r="H28" s="7" t="n">
        <v>46084</v>
      </c>
      <c r="I28" s="6" t="s">
        <v>145</v>
      </c>
      <c r="J28" s="10" t="n">
        <f aca="false">IF(AND(28&lt;122,A29=A28),C29,DATE(2100,1,1))</f>
        <v>46266</v>
      </c>
      <c r="K28" s="10" t="n">
        <f aca="false">IF(AND(28&lt;122,A29=A28),H29,DATE(2100,1,1))</f>
        <v>46266</v>
      </c>
      <c r="L28" s="6" t="n">
        <f aca="false">E28*MAX(0,MIN(J28,參數!$B$4)-MAX(C28,參數!$B$3))</f>
        <v>0</v>
      </c>
      <c r="M28" s="6" t="n">
        <f aca="false">E28*MAX(0,MIN(K28,參數!$B$4)-MAX(H28,參數!$B$3))</f>
        <v>23842</v>
      </c>
      <c r="N28" s="6" t="n">
        <f aca="false">E28*MAX(0,MIN(J28,參數!$B$6)-MAX(C28,參數!$B$5))</f>
        <v>15720</v>
      </c>
      <c r="O28" s="6" t="n">
        <f aca="false">E28*MAX(0,MIN(K28,參數!$B$6)-MAX(H28,參數!$B$5))</f>
        <v>47684</v>
      </c>
      <c r="P28" s="6" t="n">
        <f aca="false">E28*(C28&lt;=參數!$B$8)*(J28&gt;參數!$B$8)</f>
        <v>0</v>
      </c>
      <c r="Q28" s="6" t="n">
        <f aca="false">E28*(C28&lt;=參數!$B$7)*(J28&gt;參數!$B$7)</f>
        <v>0</v>
      </c>
      <c r="R28" s="6" t="n">
        <f aca="false">E28*(H28&lt;=參數!$B$7)*(K28&gt;參數!$B$7)</f>
        <v>0</v>
      </c>
      <c r="S28" s="6" t="n">
        <f aca="false">E28*(C28&lt;=參數!$B$9)*(J28&gt;參數!$B$9)</f>
        <v>0</v>
      </c>
      <c r="T28" s="6" t="n">
        <f aca="false">E28*MAX(0,MIN(J28,參數!$B$11)-MAX(C28,參數!$B$10))</f>
        <v>0</v>
      </c>
      <c r="U28" s="6" t="n">
        <f aca="false">IF(AND(28&gt;2,A27=A28,C28&gt;=參數!$B$5,C28&lt;參數!$B$3),E28-E27,0)</f>
        <v>0</v>
      </c>
    </row>
    <row r="29" customFormat="false" ht="15" hidden="false" customHeight="false" outlineLevel="0" collapsed="false">
      <c r="A29" s="0" t="s">
        <v>143</v>
      </c>
      <c r="B29" s="0" t="s">
        <v>110</v>
      </c>
      <c r="C29" s="10" t="n">
        <v>46266</v>
      </c>
      <c r="D29" s="0" t="n">
        <v>7</v>
      </c>
      <c r="E29" s="0" t="n">
        <v>262</v>
      </c>
      <c r="F29" s="0" t="n">
        <v>367</v>
      </c>
      <c r="G29" s="0" t="n">
        <v>252652.854977261</v>
      </c>
      <c r="H29" s="10" t="n">
        <f aca="false">C29</f>
        <v>46266</v>
      </c>
      <c r="J29" s="10" t="n">
        <f aca="false">IF(AND(29&lt;122,A30=A29),C30,DATE(2100,1,1))</f>
        <v>46538</v>
      </c>
      <c r="K29" s="10" t="n">
        <f aca="false">IF(AND(29&lt;122,A30=A29),H30,DATE(2100,1,1))</f>
        <v>46538</v>
      </c>
      <c r="L29" s="6" t="n">
        <f aca="false">E29*MAX(0,MIN(J29,參數!$B$4)-MAX(C29,參數!$B$3))</f>
        <v>0</v>
      </c>
      <c r="M29" s="6" t="n">
        <f aca="false">E29*MAX(0,MIN(K29,參數!$B$4)-MAX(H29,參數!$B$3))</f>
        <v>0</v>
      </c>
      <c r="N29" s="6" t="n">
        <f aca="false">E29*MAX(0,MIN(J29,參數!$B$6)-MAX(C29,參數!$B$5))</f>
        <v>31964</v>
      </c>
      <c r="O29" s="6" t="n">
        <f aca="false">E29*MAX(0,MIN(K29,參數!$B$6)-MAX(H29,參數!$B$5))</f>
        <v>31964</v>
      </c>
      <c r="P29" s="6" t="n">
        <f aca="false">E29*(C29&lt;=參數!$B$8)*(J29&gt;參數!$B$8)</f>
        <v>0</v>
      </c>
      <c r="Q29" s="6" t="n">
        <f aca="false">E29*(C29&lt;=參數!$B$7)*(J29&gt;參數!$B$7)</f>
        <v>262</v>
      </c>
      <c r="R29" s="6" t="n">
        <f aca="false">E29*(H29&lt;=參數!$B$7)*(K29&gt;參數!$B$7)</f>
        <v>262</v>
      </c>
      <c r="S29" s="6" t="n">
        <f aca="false">E29*(C29&lt;=參數!$B$9)*(J29&gt;參數!$B$9)</f>
        <v>0</v>
      </c>
      <c r="T29" s="6" t="n">
        <f aca="false">E29*MAX(0,MIN(J29,參數!$B$11)-MAX(C29,參數!$B$10))</f>
        <v>0</v>
      </c>
      <c r="U29" s="6" t="n">
        <f aca="false">IF(AND(29&gt;2,A28=A29,C29&gt;=參數!$B$5,C29&lt;參數!$B$3),E29-E28,0)</f>
        <v>0</v>
      </c>
    </row>
    <row r="30" customFormat="false" ht="15" hidden="false" customHeight="false" outlineLevel="0" collapsed="false">
      <c r="A30" s="0" t="s">
        <v>143</v>
      </c>
      <c r="B30" s="0" t="s">
        <v>110</v>
      </c>
      <c r="C30" s="10" t="n">
        <v>46538</v>
      </c>
      <c r="D30" s="0" t="n">
        <v>8</v>
      </c>
      <c r="E30" s="0" t="n">
        <v>282</v>
      </c>
      <c r="F30" s="0" t="n">
        <v>395</v>
      </c>
      <c r="G30" s="0" t="n">
        <v>271854.471955533</v>
      </c>
      <c r="H30" s="10" t="n">
        <f aca="false">C30</f>
        <v>46538</v>
      </c>
      <c r="J30" s="10" t="n">
        <f aca="false">IF(AND(30&lt;122,A31=A30),C31,DATE(2100,1,1))</f>
        <v>73051</v>
      </c>
      <c r="K30" s="10" t="n">
        <f aca="false">IF(AND(30&lt;122,A31=A30),H31,DATE(2100,1,1))</f>
        <v>73051</v>
      </c>
      <c r="L30" s="6" t="n">
        <f aca="false">E30*MAX(0,MIN(J30,參數!$B$4)-MAX(C30,參數!$B$3))</f>
        <v>0</v>
      </c>
      <c r="M30" s="6" t="n">
        <f aca="false">E30*MAX(0,MIN(K30,參數!$B$4)-MAX(H30,參數!$B$3))</f>
        <v>0</v>
      </c>
      <c r="N30" s="6" t="n">
        <f aca="false">E30*MAX(0,MIN(J30,參數!$B$6)-MAX(C30,參數!$B$5))</f>
        <v>0</v>
      </c>
      <c r="O30" s="6" t="n">
        <f aca="false">E30*MAX(0,MIN(K30,參數!$B$6)-MAX(H30,參數!$B$5))</f>
        <v>0</v>
      </c>
      <c r="P30" s="6" t="n">
        <f aca="false">E30*(C30&lt;=參數!$B$8)*(J30&gt;參數!$B$8)</f>
        <v>0</v>
      </c>
      <c r="Q30" s="6" t="n">
        <f aca="false">E30*(C30&lt;=參數!$B$7)*(J30&gt;參數!$B$7)</f>
        <v>0</v>
      </c>
      <c r="R30" s="6" t="n">
        <f aca="false">E30*(H30&lt;=參數!$B$7)*(K30&gt;參數!$B$7)</f>
        <v>0</v>
      </c>
      <c r="S30" s="6" t="n">
        <f aca="false">E30*(C30&lt;=參數!$B$9)*(J30&gt;參數!$B$9)</f>
        <v>0</v>
      </c>
      <c r="T30" s="6" t="n">
        <f aca="false">E30*MAX(0,MIN(J30,參數!$B$11)-MAX(C30,參數!$B$10))</f>
        <v>0</v>
      </c>
      <c r="U30" s="6" t="n">
        <f aca="false">IF(AND(30&gt;2,A29=A30,C30&gt;=參數!$B$5,C30&lt;參數!$B$3),E30-E29,0)</f>
        <v>0</v>
      </c>
    </row>
    <row r="31" customFormat="false" ht="15" hidden="false" customHeight="false" outlineLevel="0" collapsed="false">
      <c r="A31" s="0" t="s">
        <v>146</v>
      </c>
      <c r="B31" s="0" t="s">
        <v>110</v>
      </c>
      <c r="C31" s="10" t="n">
        <v>44368</v>
      </c>
      <c r="D31" s="0" t="n">
        <v>0</v>
      </c>
      <c r="E31" s="0" t="n">
        <v>0</v>
      </c>
      <c r="F31" s="0" t="n">
        <v>0</v>
      </c>
      <c r="G31" s="0" t="n">
        <v>0</v>
      </c>
      <c r="H31" s="10" t="n">
        <f aca="false">C31</f>
        <v>44368</v>
      </c>
      <c r="J31" s="10" t="n">
        <f aca="false">IF(AND(31&lt;122,A32=A31),C32,DATE(2100,1,1))</f>
        <v>45040</v>
      </c>
      <c r="K31" s="10" t="n">
        <f aca="false">IF(AND(31&lt;122,A32=A31),H32,DATE(2100,1,1))</f>
        <v>45040</v>
      </c>
      <c r="L31" s="6" t="n">
        <f aca="false">E31*MAX(0,MIN(J31,參數!$B$4)-MAX(C31,參數!$B$3))</f>
        <v>0</v>
      </c>
      <c r="M31" s="6" t="n">
        <f aca="false">E31*MAX(0,MIN(K31,參數!$B$4)-MAX(H31,參數!$B$3))</f>
        <v>0</v>
      </c>
      <c r="N31" s="6" t="n">
        <f aca="false">E31*MAX(0,MIN(J31,參數!$B$6)-MAX(C31,參數!$B$5))</f>
        <v>0</v>
      </c>
      <c r="O31" s="6" t="n">
        <f aca="false">E31*MAX(0,MIN(K31,參數!$B$6)-MAX(H31,參數!$B$5))</f>
        <v>0</v>
      </c>
      <c r="P31" s="6" t="n">
        <f aca="false">E31*(C31&lt;=參數!$B$8)*(J31&gt;參數!$B$8)</f>
        <v>0</v>
      </c>
      <c r="Q31" s="6" t="n">
        <f aca="false">E31*(C31&lt;=參數!$B$7)*(J31&gt;參數!$B$7)</f>
        <v>0</v>
      </c>
      <c r="R31" s="6" t="n">
        <f aca="false">E31*(H31&lt;=參數!$B$7)*(K31&gt;參數!$B$7)</f>
        <v>0</v>
      </c>
      <c r="S31" s="6" t="n">
        <f aca="false">E31*(C31&lt;=參數!$B$9)*(J31&gt;參數!$B$9)</f>
        <v>0</v>
      </c>
      <c r="T31" s="6" t="n">
        <f aca="false">E31*MAX(0,MIN(J31,參數!$B$11)-MAX(C31,參數!$B$10))</f>
        <v>0</v>
      </c>
      <c r="U31" s="6" t="n">
        <f aca="false">IF(AND(31&gt;2,A30=A31,C31&gt;=參數!$B$5,C31&lt;參數!$B$3),E31-E30,0)</f>
        <v>0</v>
      </c>
    </row>
    <row r="32" customFormat="false" ht="15" hidden="false" customHeight="false" outlineLevel="0" collapsed="false">
      <c r="A32" s="0" t="s">
        <v>146</v>
      </c>
      <c r="B32" s="0" t="s">
        <v>110</v>
      </c>
      <c r="C32" s="10" t="n">
        <v>45040</v>
      </c>
      <c r="D32" s="0" t="n">
        <v>1</v>
      </c>
      <c r="E32" s="0" t="n">
        <v>40</v>
      </c>
      <c r="F32" s="0" t="n">
        <v>53</v>
      </c>
      <c r="G32" s="0" t="n">
        <v>29156.139464376</v>
      </c>
      <c r="H32" s="10" t="n">
        <f aca="false">C32</f>
        <v>45040</v>
      </c>
      <c r="J32" s="10" t="n">
        <f aca="false">IF(AND(32&lt;122,A33=A32),C33,DATE(2100,1,1))</f>
        <v>45673</v>
      </c>
      <c r="K32" s="10" t="n">
        <f aca="false">IF(AND(32&lt;122,A33=A32),H33,DATE(2100,1,1))</f>
        <v>45673</v>
      </c>
      <c r="L32" s="6" t="n">
        <f aca="false">E32*MAX(0,MIN(J32,參數!$B$4)-MAX(C32,參數!$B$3))</f>
        <v>0</v>
      </c>
      <c r="M32" s="6" t="n">
        <f aca="false">E32*MAX(0,MIN(K32,參數!$B$4)-MAX(H32,參數!$B$3))</f>
        <v>0</v>
      </c>
      <c r="N32" s="6" t="n">
        <f aca="false">E32*MAX(0,MIN(J32,參數!$B$6)-MAX(C32,參數!$B$5))</f>
        <v>0</v>
      </c>
      <c r="O32" s="6" t="n">
        <f aca="false">E32*MAX(0,MIN(K32,參數!$B$6)-MAX(H32,參數!$B$5))</f>
        <v>0</v>
      </c>
      <c r="P32" s="6" t="n">
        <f aca="false">E32*(C32&lt;=參數!$B$8)*(J32&gt;參數!$B$8)</f>
        <v>0</v>
      </c>
      <c r="Q32" s="6" t="n">
        <f aca="false">E32*(C32&lt;=參數!$B$7)*(J32&gt;參數!$B$7)</f>
        <v>0</v>
      </c>
      <c r="R32" s="6" t="n">
        <f aca="false">E32*(H32&lt;=參數!$B$7)*(K32&gt;參數!$B$7)</f>
        <v>0</v>
      </c>
      <c r="S32" s="6" t="n">
        <f aca="false">E32*(C32&lt;=參數!$B$9)*(J32&gt;參數!$B$9)</f>
        <v>40</v>
      </c>
      <c r="T32" s="6" t="n">
        <f aca="false">E32*MAX(0,MIN(J32,參數!$B$11)-MAX(C32,參數!$B$10))</f>
        <v>600</v>
      </c>
      <c r="U32" s="6" t="n">
        <f aca="false">IF(AND(32&gt;2,A31=A32,C32&gt;=參數!$B$5,C32&lt;參數!$B$3),E32-E31,0)</f>
        <v>0</v>
      </c>
    </row>
    <row r="33" customFormat="false" ht="15" hidden="false" customHeight="false" outlineLevel="0" collapsed="false">
      <c r="A33" s="0" t="s">
        <v>146</v>
      </c>
      <c r="B33" s="0" t="s">
        <v>110</v>
      </c>
      <c r="C33" s="10" t="n">
        <v>45673</v>
      </c>
      <c r="D33" s="0" t="n">
        <v>2</v>
      </c>
      <c r="E33" s="0" t="n">
        <v>81</v>
      </c>
      <c r="F33" s="0" t="n">
        <v>105</v>
      </c>
      <c r="G33" s="0" t="n">
        <v>58110.1566447701</v>
      </c>
      <c r="H33" s="10" t="n">
        <f aca="false">C33</f>
        <v>45673</v>
      </c>
      <c r="J33" s="10" t="n">
        <f aca="false">IF(AND(33&lt;122,A34=A33),C34,DATE(2100,1,1))</f>
        <v>45901</v>
      </c>
      <c r="K33" s="10" t="n">
        <f aca="false">IF(AND(33&lt;122,A34=A33),H34,DATE(2100,1,1))</f>
        <v>45901</v>
      </c>
      <c r="L33" s="6" t="n">
        <f aca="false">E33*MAX(0,MIN(J33,參數!$B$4)-MAX(C33,參數!$B$3))</f>
        <v>0</v>
      </c>
      <c r="M33" s="6" t="n">
        <f aca="false">E33*MAX(0,MIN(K33,參數!$B$4)-MAX(H33,參數!$B$3))</f>
        <v>0</v>
      </c>
      <c r="N33" s="6" t="n">
        <f aca="false">E33*MAX(0,MIN(J33,參數!$B$6)-MAX(C33,參數!$B$5))</f>
        <v>0</v>
      </c>
      <c r="O33" s="6" t="n">
        <f aca="false">E33*MAX(0,MIN(K33,參數!$B$6)-MAX(H33,參數!$B$5))</f>
        <v>0</v>
      </c>
      <c r="P33" s="6" t="n">
        <f aca="false">E33*(C33&lt;=參數!$B$8)*(J33&gt;參數!$B$8)</f>
        <v>0</v>
      </c>
      <c r="Q33" s="6" t="n">
        <f aca="false">E33*(C33&lt;=參數!$B$7)*(J33&gt;參數!$B$7)</f>
        <v>0</v>
      </c>
      <c r="R33" s="6" t="n">
        <f aca="false">E33*(H33&lt;=參數!$B$7)*(K33&gt;參數!$B$7)</f>
        <v>0</v>
      </c>
      <c r="S33" s="6" t="n">
        <f aca="false">E33*(C33&lt;=參數!$B$9)*(J33&gt;參數!$B$9)</f>
        <v>0</v>
      </c>
      <c r="T33" s="6" t="n">
        <f aca="false">E33*MAX(0,MIN(J33,參數!$B$11)-MAX(C33,參數!$B$10))</f>
        <v>18468</v>
      </c>
      <c r="U33" s="6" t="n">
        <f aca="false">IF(AND(33&gt;2,A32=A33,C33&gt;=參數!$B$5,C33&lt;參數!$B$3),E33-E32,0)</f>
        <v>0</v>
      </c>
    </row>
    <row r="34" customFormat="false" ht="15" hidden="false" customHeight="false" outlineLevel="0" collapsed="false">
      <c r="A34" s="0" t="s">
        <v>146</v>
      </c>
      <c r="B34" s="0" t="s">
        <v>110</v>
      </c>
      <c r="C34" s="10" t="n">
        <v>45901</v>
      </c>
      <c r="D34" s="0" t="n">
        <v>4</v>
      </c>
      <c r="E34" s="0" t="n">
        <v>202</v>
      </c>
      <c r="F34" s="0" t="n">
        <v>263</v>
      </c>
      <c r="G34" s="0" t="n">
        <v>205154.118241536</v>
      </c>
      <c r="H34" s="10" t="n">
        <f aca="false">C34</f>
        <v>45901</v>
      </c>
      <c r="J34" s="10" t="n">
        <f aca="false">IF(AND(34&lt;122,A35=A34),C35,DATE(2100,1,1))</f>
        <v>45973</v>
      </c>
      <c r="K34" s="10" t="n">
        <f aca="false">IF(AND(34&lt;122,A35=A34),H35,DATE(2100,1,1))</f>
        <v>45973</v>
      </c>
      <c r="L34" s="6" t="n">
        <f aca="false">E34*MAX(0,MIN(J34,參數!$B$4)-MAX(C34,參數!$B$3))</f>
        <v>0</v>
      </c>
      <c r="M34" s="6" t="n">
        <f aca="false">E34*MAX(0,MIN(K34,參數!$B$4)-MAX(H34,參數!$B$3))</f>
        <v>0</v>
      </c>
      <c r="N34" s="6" t="n">
        <f aca="false">E34*MAX(0,MIN(J34,參數!$B$6)-MAX(C34,參數!$B$5))</f>
        <v>0</v>
      </c>
      <c r="O34" s="6" t="n">
        <f aca="false">E34*MAX(0,MIN(K34,參數!$B$6)-MAX(H34,參數!$B$5))</f>
        <v>0</v>
      </c>
      <c r="P34" s="6" t="n">
        <f aca="false">E34*(C34&lt;=參數!$B$8)*(J34&gt;參數!$B$8)</f>
        <v>0</v>
      </c>
      <c r="Q34" s="6" t="n">
        <f aca="false">E34*(C34&lt;=參數!$B$7)*(J34&gt;參數!$B$7)</f>
        <v>0</v>
      </c>
      <c r="R34" s="6" t="n">
        <f aca="false">E34*(H34&lt;=參數!$B$7)*(K34&gt;參數!$B$7)</f>
        <v>0</v>
      </c>
      <c r="S34" s="6" t="n">
        <f aca="false">E34*(C34&lt;=參數!$B$9)*(J34&gt;參數!$B$9)</f>
        <v>0</v>
      </c>
      <c r="T34" s="6" t="n">
        <f aca="false">E34*MAX(0,MIN(J34,參數!$B$11)-MAX(C34,參數!$B$10))</f>
        <v>14544</v>
      </c>
      <c r="U34" s="6" t="n">
        <f aca="false">IF(AND(34&gt;2,A33=A34,C34&gt;=參數!$B$5,C34&lt;參數!$B$3),E34-E33,0)</f>
        <v>0</v>
      </c>
    </row>
    <row r="35" customFormat="false" ht="15" hidden="false" customHeight="false" outlineLevel="0" collapsed="false">
      <c r="A35" s="0" t="s">
        <v>146</v>
      </c>
      <c r="B35" s="0" t="s">
        <v>110</v>
      </c>
      <c r="C35" s="10" t="n">
        <v>45973</v>
      </c>
      <c r="D35" s="0" t="n">
        <v>4</v>
      </c>
      <c r="E35" s="0" t="n">
        <v>202</v>
      </c>
      <c r="F35" s="0" t="n">
        <v>263</v>
      </c>
      <c r="G35" s="0" t="n">
        <v>205154.118241536</v>
      </c>
      <c r="H35" s="10" t="n">
        <f aca="false">C35</f>
        <v>45973</v>
      </c>
      <c r="J35" s="10" t="n">
        <f aca="false">IF(AND(35&lt;122,A36=A35),C36,DATE(2100,1,1))</f>
        <v>46139</v>
      </c>
      <c r="K35" s="10" t="n">
        <f aca="false">IF(AND(35&lt;122,A36=A35),H36,DATE(2100,1,1))</f>
        <v>46139</v>
      </c>
      <c r="L35" s="6" t="n">
        <f aca="false">E35*MAX(0,MIN(J35,參數!$B$4)-MAX(C35,參數!$B$3))</f>
        <v>5252</v>
      </c>
      <c r="M35" s="6" t="n">
        <f aca="false">E35*MAX(0,MIN(K35,參數!$B$4)-MAX(H35,參數!$B$3))</f>
        <v>5252</v>
      </c>
      <c r="N35" s="6" t="n">
        <f aca="false">E35*MAX(0,MIN(J35,參數!$B$6)-MAX(C35,參數!$B$5))</f>
        <v>23432</v>
      </c>
      <c r="O35" s="6" t="n">
        <f aca="false">E35*MAX(0,MIN(K35,參數!$B$6)-MAX(H35,參數!$B$5))</f>
        <v>23432</v>
      </c>
      <c r="P35" s="6" t="n">
        <f aca="false">E35*(C35&lt;=參數!$B$8)*(J35&gt;參數!$B$8)</f>
        <v>202</v>
      </c>
      <c r="Q35" s="6" t="n">
        <f aca="false">E35*(C35&lt;=參數!$B$7)*(J35&gt;參數!$B$7)</f>
        <v>0</v>
      </c>
      <c r="R35" s="6" t="n">
        <f aca="false">E35*(H35&lt;=參數!$B$7)*(K35&gt;參數!$B$7)</f>
        <v>0</v>
      </c>
      <c r="S35" s="6" t="n">
        <f aca="false">E35*(C35&lt;=參數!$B$9)*(J35&gt;參數!$B$9)</f>
        <v>0</v>
      </c>
      <c r="T35" s="6" t="n">
        <f aca="false">E35*MAX(0,MIN(J35,參數!$B$11)-MAX(C35,參數!$B$10))</f>
        <v>10100</v>
      </c>
      <c r="U35" s="6" t="n">
        <f aca="false">IF(AND(35&gt;2,A34=A35,C35&gt;=參數!$B$5,C35&lt;參數!$B$3),E35-E34,0)</f>
        <v>0</v>
      </c>
    </row>
    <row r="36" customFormat="false" ht="15" hidden="false" customHeight="false" outlineLevel="0" collapsed="false">
      <c r="A36" s="0" t="s">
        <v>146</v>
      </c>
      <c r="B36" s="0" t="s">
        <v>110</v>
      </c>
      <c r="C36" s="10" t="n">
        <v>46139</v>
      </c>
      <c r="D36" s="0" t="n">
        <v>4</v>
      </c>
      <c r="E36" s="0" t="n">
        <v>202</v>
      </c>
      <c r="F36" s="0" t="n">
        <v>263</v>
      </c>
      <c r="G36" s="0" t="n">
        <v>205154.118241536</v>
      </c>
      <c r="H36" s="10" t="n">
        <f aca="false">C36</f>
        <v>46139</v>
      </c>
      <c r="J36" s="10" t="n">
        <f aca="false">IF(AND(36&lt;122,A37=A36),C37,DATE(2100,1,1))</f>
        <v>73051</v>
      </c>
      <c r="K36" s="10" t="n">
        <f aca="false">IF(AND(36&lt;122,A37=A36),H37,DATE(2100,1,1))</f>
        <v>73051</v>
      </c>
      <c r="L36" s="6" t="n">
        <f aca="false">E36*MAX(0,MIN(J36,參數!$B$4)-MAX(C36,參數!$B$3))</f>
        <v>13130</v>
      </c>
      <c r="M36" s="6" t="n">
        <f aca="false">E36*MAX(0,MIN(K36,參數!$B$4)-MAX(H36,參數!$B$3))</f>
        <v>13130</v>
      </c>
      <c r="N36" s="6" t="n">
        <f aca="false">E36*MAX(0,MIN(J36,參數!$B$6)-MAX(C36,參數!$B$5))</f>
        <v>50298</v>
      </c>
      <c r="O36" s="6" t="n">
        <f aca="false">E36*MAX(0,MIN(K36,參數!$B$6)-MAX(H36,參數!$B$5))</f>
        <v>50298</v>
      </c>
      <c r="P36" s="6" t="n">
        <f aca="false">E36*(C36&lt;=參數!$B$8)*(J36&gt;參數!$B$8)</f>
        <v>0</v>
      </c>
      <c r="Q36" s="6" t="n">
        <f aca="false">E36*(C36&lt;=參數!$B$7)*(J36&gt;參數!$B$7)</f>
        <v>202</v>
      </c>
      <c r="R36" s="6" t="n">
        <f aca="false">E36*(H36&lt;=參數!$B$7)*(K36&gt;參數!$B$7)</f>
        <v>202</v>
      </c>
      <c r="S36" s="6" t="n">
        <f aca="false">E36*(C36&lt;=參數!$B$9)*(J36&gt;參數!$B$9)</f>
        <v>0</v>
      </c>
      <c r="T36" s="6" t="n">
        <f aca="false">E36*MAX(0,MIN(J36,參數!$B$11)-MAX(C36,參數!$B$10))</f>
        <v>0</v>
      </c>
      <c r="U36" s="6" t="n">
        <f aca="false">IF(AND(36&gt;2,A35=A36,C36&gt;=參數!$B$5,C36&lt;參數!$B$3),E36-E35,0)</f>
        <v>0</v>
      </c>
    </row>
    <row r="37" customFormat="false" ht="15" hidden="false" customHeight="false" outlineLevel="0" collapsed="false">
      <c r="A37" s="0" t="s">
        <v>147</v>
      </c>
      <c r="B37" s="0" t="s">
        <v>111</v>
      </c>
      <c r="C37" s="10" t="n">
        <v>45808</v>
      </c>
      <c r="D37" s="0" t="n">
        <v>0</v>
      </c>
      <c r="E37" s="0" t="n">
        <v>0</v>
      </c>
      <c r="F37" s="0" t="n">
        <v>0</v>
      </c>
      <c r="G37" s="0" t="n">
        <v>0</v>
      </c>
      <c r="H37" s="10" t="n">
        <f aca="false">C37</f>
        <v>45808</v>
      </c>
      <c r="J37" s="10" t="n">
        <f aca="false">IF(AND(37&lt;122,A38=A37),C38,DATE(2100,1,1))</f>
        <v>45896</v>
      </c>
      <c r="K37" s="10" t="n">
        <f aca="false">IF(AND(37&lt;122,A38=A37),H38,DATE(2100,1,1))</f>
        <v>45896</v>
      </c>
      <c r="L37" s="6" t="n">
        <f aca="false">E37*MAX(0,MIN(J37,參數!$B$4)-MAX(C37,參數!$B$3))</f>
        <v>0</v>
      </c>
      <c r="M37" s="6" t="n">
        <f aca="false">E37*MAX(0,MIN(K37,參數!$B$4)-MAX(H37,參數!$B$3))</f>
        <v>0</v>
      </c>
      <c r="N37" s="6" t="n">
        <f aca="false">E37*MAX(0,MIN(J37,參數!$B$6)-MAX(C37,參數!$B$5))</f>
        <v>0</v>
      </c>
      <c r="O37" s="6" t="n">
        <f aca="false">E37*MAX(0,MIN(K37,參數!$B$6)-MAX(H37,參數!$B$5))</f>
        <v>0</v>
      </c>
      <c r="P37" s="6" t="n">
        <f aca="false">E37*(C37&lt;=參數!$B$8)*(J37&gt;參數!$B$8)</f>
        <v>0</v>
      </c>
      <c r="Q37" s="6" t="n">
        <f aca="false">E37*(C37&lt;=參數!$B$7)*(J37&gt;參數!$B$7)</f>
        <v>0</v>
      </c>
      <c r="R37" s="6" t="n">
        <f aca="false">E37*(H37&lt;=參數!$B$7)*(K37&gt;參數!$B$7)</f>
        <v>0</v>
      </c>
      <c r="S37" s="6" t="n">
        <f aca="false">E37*(C37&lt;=參數!$B$9)*(J37&gt;參數!$B$9)</f>
        <v>0</v>
      </c>
      <c r="T37" s="6" t="n">
        <f aca="false">E37*MAX(0,MIN(J37,參數!$B$11)-MAX(C37,參數!$B$10))</f>
        <v>0</v>
      </c>
      <c r="U37" s="6" t="n">
        <f aca="false">IF(AND(37&gt;2,A36=A37,C37&gt;=參數!$B$5,C37&lt;參數!$B$3),E37-E36,0)</f>
        <v>0</v>
      </c>
    </row>
    <row r="38" customFormat="false" ht="15" hidden="false" customHeight="false" outlineLevel="0" collapsed="false">
      <c r="A38" s="0" t="s">
        <v>147</v>
      </c>
      <c r="B38" s="0" t="s">
        <v>111</v>
      </c>
      <c r="C38" s="10" t="n">
        <v>45896</v>
      </c>
      <c r="D38" s="0" t="n">
        <v>0</v>
      </c>
      <c r="E38" s="0" t="n">
        <v>0</v>
      </c>
      <c r="F38" s="0" t="n">
        <v>0</v>
      </c>
      <c r="G38" s="0" t="n">
        <v>0</v>
      </c>
      <c r="H38" s="10" t="n">
        <f aca="false">C38</f>
        <v>45896</v>
      </c>
      <c r="J38" s="10" t="n">
        <f aca="false">IF(AND(38&lt;122,A39=A38),C39,DATE(2100,1,1))</f>
        <v>46116</v>
      </c>
      <c r="K38" s="10" t="n">
        <f aca="false">IF(AND(38&lt;122,A39=A38),H39,DATE(2100,1,1))</f>
        <v>46116</v>
      </c>
      <c r="L38" s="6" t="n">
        <f aca="false">E38*MAX(0,MIN(J38,參數!$B$4)-MAX(C38,參數!$B$3))</f>
        <v>0</v>
      </c>
      <c r="M38" s="6" t="n">
        <f aca="false">E38*MAX(0,MIN(K38,參數!$B$4)-MAX(H38,參數!$B$3))</f>
        <v>0</v>
      </c>
      <c r="N38" s="6" t="n">
        <f aca="false">E38*MAX(0,MIN(J38,參數!$B$6)-MAX(C38,參數!$B$5))</f>
        <v>0</v>
      </c>
      <c r="O38" s="6" t="n">
        <f aca="false">E38*MAX(0,MIN(K38,參數!$B$6)-MAX(H38,參數!$B$5))</f>
        <v>0</v>
      </c>
      <c r="P38" s="6" t="n">
        <f aca="false">E38*(C38&lt;=參數!$B$8)*(J38&gt;參數!$B$8)</f>
        <v>0</v>
      </c>
      <c r="Q38" s="6" t="n">
        <f aca="false">E38*(C38&lt;=參數!$B$7)*(J38&gt;參數!$B$7)</f>
        <v>0</v>
      </c>
      <c r="R38" s="6" t="n">
        <f aca="false">E38*(H38&lt;=參數!$B$7)*(K38&gt;參數!$B$7)</f>
        <v>0</v>
      </c>
      <c r="S38" s="6" t="n">
        <f aca="false">E38*(C38&lt;=參數!$B$9)*(J38&gt;參數!$B$9)</f>
        <v>0</v>
      </c>
      <c r="T38" s="6" t="n">
        <f aca="false">E38*MAX(0,MIN(J38,參數!$B$11)-MAX(C38,參數!$B$10))</f>
        <v>0</v>
      </c>
      <c r="U38" s="6" t="n">
        <f aca="false">IF(AND(38&gt;2,A37=A38,C38&gt;=參數!$B$5,C38&lt;參數!$B$3),E38-E37,0)</f>
        <v>0</v>
      </c>
    </row>
    <row r="39" customFormat="false" ht="15" hidden="false" customHeight="false" outlineLevel="0" collapsed="false">
      <c r="A39" s="0" t="s">
        <v>147</v>
      </c>
      <c r="B39" s="0" t="s">
        <v>111</v>
      </c>
      <c r="C39" s="10" t="n">
        <v>46116</v>
      </c>
      <c r="D39" s="0" t="n">
        <v>0</v>
      </c>
      <c r="E39" s="0" t="n">
        <v>0</v>
      </c>
      <c r="F39" s="0" t="n">
        <v>0</v>
      </c>
      <c r="G39" s="0" t="n">
        <v>0</v>
      </c>
      <c r="H39" s="10" t="n">
        <f aca="false">C39</f>
        <v>46116</v>
      </c>
      <c r="J39" s="10" t="n">
        <f aca="false">IF(AND(39&lt;122,A40=A39),C40,DATE(2100,1,1))</f>
        <v>46190</v>
      </c>
      <c r="K39" s="10" t="n">
        <f aca="false">IF(AND(39&lt;122,A40=A39),H40,DATE(2100,1,1))</f>
        <v>46190</v>
      </c>
      <c r="L39" s="6" t="n">
        <f aca="false">E39*MAX(0,MIN(J39,參數!$B$4)-MAX(C39,參數!$B$3))</f>
        <v>0</v>
      </c>
      <c r="M39" s="6" t="n">
        <f aca="false">E39*MAX(0,MIN(K39,參數!$B$4)-MAX(H39,參數!$B$3))</f>
        <v>0</v>
      </c>
      <c r="N39" s="6" t="n">
        <f aca="false">E39*MAX(0,MIN(J39,參數!$B$6)-MAX(C39,參數!$B$5))</f>
        <v>0</v>
      </c>
      <c r="O39" s="6" t="n">
        <f aca="false">E39*MAX(0,MIN(K39,參數!$B$6)-MAX(H39,參數!$B$5))</f>
        <v>0</v>
      </c>
      <c r="P39" s="6" t="n">
        <f aca="false">E39*(C39&lt;=參數!$B$8)*(J39&gt;參數!$B$8)</f>
        <v>0</v>
      </c>
      <c r="Q39" s="6" t="n">
        <f aca="false">E39*(C39&lt;=參數!$B$7)*(J39&gt;參數!$B$7)</f>
        <v>0</v>
      </c>
      <c r="R39" s="6" t="n">
        <f aca="false">E39*(H39&lt;=參數!$B$7)*(K39&gt;參數!$B$7)</f>
        <v>0</v>
      </c>
      <c r="S39" s="6" t="n">
        <f aca="false">E39*(C39&lt;=參數!$B$9)*(J39&gt;參數!$B$9)</f>
        <v>0</v>
      </c>
      <c r="T39" s="6" t="n">
        <f aca="false">E39*MAX(0,MIN(J39,參數!$B$11)-MAX(C39,參數!$B$10))</f>
        <v>0</v>
      </c>
      <c r="U39" s="6" t="n">
        <f aca="false">IF(AND(39&gt;2,A38=A39,C39&gt;=參數!$B$5,C39&lt;參數!$B$3),E39-E38,0)</f>
        <v>0</v>
      </c>
    </row>
    <row r="40" customFormat="false" ht="15" hidden="false" customHeight="false" outlineLevel="0" collapsed="false">
      <c r="A40" s="0" t="s">
        <v>147</v>
      </c>
      <c r="B40" s="0" t="s">
        <v>111</v>
      </c>
      <c r="C40" s="10" t="n">
        <v>46190</v>
      </c>
      <c r="D40" s="0" t="n">
        <v>0</v>
      </c>
      <c r="E40" s="0" t="n">
        <v>0</v>
      </c>
      <c r="F40" s="0" t="n">
        <v>0</v>
      </c>
      <c r="G40" s="0" t="n">
        <v>0</v>
      </c>
      <c r="H40" s="10" t="n">
        <f aca="false">C40</f>
        <v>46190</v>
      </c>
      <c r="J40" s="10" t="n">
        <f aca="false">IF(AND(40&lt;122,A41=A40),C41,DATE(2100,1,1))</f>
        <v>46264</v>
      </c>
      <c r="K40" s="10" t="n">
        <f aca="false">IF(AND(40&lt;122,A41=A40),H41,DATE(2100,1,1))</f>
        <v>46191</v>
      </c>
      <c r="L40" s="6" t="n">
        <f aca="false">E40*MAX(0,MIN(J40,參數!$B$4)-MAX(C40,參數!$B$3))</f>
        <v>0</v>
      </c>
      <c r="M40" s="6" t="n">
        <f aca="false">E40*MAX(0,MIN(K40,參數!$B$4)-MAX(H40,參數!$B$3))</f>
        <v>0</v>
      </c>
      <c r="N40" s="6" t="n">
        <f aca="false">E40*MAX(0,MIN(J40,參數!$B$6)-MAX(C40,參數!$B$5))</f>
        <v>0</v>
      </c>
      <c r="O40" s="6" t="n">
        <f aca="false">E40*MAX(0,MIN(K40,參數!$B$6)-MAX(H40,參數!$B$5))</f>
        <v>0</v>
      </c>
      <c r="P40" s="6" t="n">
        <f aca="false">E40*(C40&lt;=參數!$B$8)*(J40&gt;參數!$B$8)</f>
        <v>0</v>
      </c>
      <c r="Q40" s="6" t="n">
        <f aca="false">E40*(C40&lt;=參數!$B$7)*(J40&gt;參數!$B$7)</f>
        <v>0</v>
      </c>
      <c r="R40" s="6" t="n">
        <f aca="false">E40*(H40&lt;=參數!$B$7)*(K40&gt;參數!$B$7)</f>
        <v>0</v>
      </c>
      <c r="S40" s="6" t="n">
        <f aca="false">E40*(C40&lt;=參數!$B$9)*(J40&gt;參數!$B$9)</f>
        <v>0</v>
      </c>
      <c r="T40" s="6" t="n">
        <f aca="false">E40*MAX(0,MIN(J40,參數!$B$11)-MAX(C40,參數!$B$10))</f>
        <v>0</v>
      </c>
      <c r="U40" s="6" t="n">
        <f aca="false">IF(AND(40&gt;2,A39=A40,C40&gt;=參數!$B$5,C40&lt;參數!$B$3),E40-E39,0)</f>
        <v>0</v>
      </c>
    </row>
    <row r="41" customFormat="false" ht="17.15" hidden="false" customHeight="false" outlineLevel="0" collapsed="false">
      <c r="A41" s="0" t="s">
        <v>147</v>
      </c>
      <c r="B41" s="0" t="s">
        <v>111</v>
      </c>
      <c r="C41" s="10" t="n">
        <v>46264</v>
      </c>
      <c r="D41" s="0" t="n">
        <v>1</v>
      </c>
      <c r="E41" s="0" t="n">
        <v>132</v>
      </c>
      <c r="F41" s="0" t="n">
        <v>200</v>
      </c>
      <c r="G41" s="0" t="n">
        <v>159551.768236855</v>
      </c>
      <c r="H41" s="7" t="n">
        <v>46191</v>
      </c>
      <c r="I41" s="6" t="s">
        <v>148</v>
      </c>
      <c r="J41" s="10" t="n">
        <f aca="false">IF(AND(41&lt;122,A42=A41),C42,DATE(2100,1,1))</f>
        <v>46753</v>
      </c>
      <c r="K41" s="10" t="n">
        <f aca="false">IF(AND(41&lt;122,A42=A41),H42,DATE(2100,1,1))</f>
        <v>46753</v>
      </c>
      <c r="L41" s="6" t="n">
        <f aca="false">E41*MAX(0,MIN(J41,參數!$B$4)-MAX(C41,參數!$B$3))</f>
        <v>0</v>
      </c>
      <c r="M41" s="6" t="n">
        <f aca="false">E41*MAX(0,MIN(K41,參數!$B$4)-MAX(H41,參數!$B$3))</f>
        <v>1716</v>
      </c>
      <c r="N41" s="6" t="n">
        <f aca="false">E41*MAX(0,MIN(J41,參數!$B$6)-MAX(C41,參數!$B$5))</f>
        <v>16368</v>
      </c>
      <c r="O41" s="6" t="n">
        <f aca="false">E41*MAX(0,MIN(K41,參數!$B$6)-MAX(H41,參數!$B$5))</f>
        <v>26004</v>
      </c>
      <c r="P41" s="6" t="n">
        <f aca="false">E41*(C41&lt;=參數!$B$8)*(J41&gt;參數!$B$8)</f>
        <v>0</v>
      </c>
      <c r="Q41" s="6" t="n">
        <f aca="false">E41*(C41&lt;=參數!$B$7)*(J41&gt;參數!$B$7)</f>
        <v>132</v>
      </c>
      <c r="R41" s="6" t="n">
        <f aca="false">E41*(H41&lt;=參數!$B$7)*(K41&gt;參數!$B$7)</f>
        <v>132</v>
      </c>
      <c r="S41" s="6" t="n">
        <f aca="false">E41*(C41&lt;=參數!$B$9)*(J41&gt;參數!$B$9)</f>
        <v>0</v>
      </c>
      <c r="T41" s="6" t="n">
        <f aca="false">E41*MAX(0,MIN(J41,參數!$B$11)-MAX(C41,參數!$B$10))</f>
        <v>0</v>
      </c>
      <c r="U41" s="6" t="n">
        <f aca="false">IF(AND(41&gt;2,A40=A41,C41&gt;=參數!$B$5,C41&lt;參數!$B$3),E41-E40,0)</f>
        <v>0</v>
      </c>
    </row>
    <row r="42" customFormat="false" ht="15" hidden="false" customHeight="false" outlineLevel="0" collapsed="false">
      <c r="A42" s="0" t="s">
        <v>147</v>
      </c>
      <c r="B42" s="0" t="s">
        <v>111</v>
      </c>
      <c r="C42" s="10" t="n">
        <v>46753</v>
      </c>
      <c r="D42" s="0" t="n">
        <v>3</v>
      </c>
      <c r="E42" s="0" t="n">
        <v>396</v>
      </c>
      <c r="F42" s="0" t="n">
        <v>600</v>
      </c>
      <c r="G42" s="0" t="n">
        <v>478655.304710564</v>
      </c>
      <c r="H42" s="10" t="n">
        <f aca="false">C42</f>
        <v>46753</v>
      </c>
      <c r="J42" s="10" t="n">
        <f aca="false">IF(AND(42&lt;122,A43=A42),C43,DATE(2100,1,1))</f>
        <v>47119</v>
      </c>
      <c r="K42" s="10" t="n">
        <f aca="false">IF(AND(42&lt;122,A43=A42),H43,DATE(2100,1,1))</f>
        <v>47119</v>
      </c>
      <c r="L42" s="6" t="n">
        <f aca="false">E42*MAX(0,MIN(J42,參數!$B$4)-MAX(C42,參數!$B$3))</f>
        <v>0</v>
      </c>
      <c r="M42" s="6" t="n">
        <f aca="false">E42*MAX(0,MIN(K42,參數!$B$4)-MAX(H42,參數!$B$3))</f>
        <v>0</v>
      </c>
      <c r="N42" s="6" t="n">
        <f aca="false">E42*MAX(0,MIN(J42,參數!$B$6)-MAX(C42,參數!$B$5))</f>
        <v>0</v>
      </c>
      <c r="O42" s="6" t="n">
        <f aca="false">E42*MAX(0,MIN(K42,參數!$B$6)-MAX(H42,參數!$B$5))</f>
        <v>0</v>
      </c>
      <c r="P42" s="6" t="n">
        <f aca="false">E42*(C42&lt;=參數!$B$8)*(J42&gt;參數!$B$8)</f>
        <v>0</v>
      </c>
      <c r="Q42" s="6" t="n">
        <f aca="false">E42*(C42&lt;=參數!$B$7)*(J42&gt;參數!$B$7)</f>
        <v>0</v>
      </c>
      <c r="R42" s="6" t="n">
        <f aca="false">E42*(H42&lt;=參數!$B$7)*(K42&gt;參數!$B$7)</f>
        <v>0</v>
      </c>
      <c r="S42" s="6" t="n">
        <f aca="false">E42*(C42&lt;=參數!$B$9)*(J42&gt;參數!$B$9)</f>
        <v>0</v>
      </c>
      <c r="T42" s="6" t="n">
        <f aca="false">E42*MAX(0,MIN(J42,參數!$B$11)-MAX(C42,參數!$B$10))</f>
        <v>0</v>
      </c>
      <c r="U42" s="6" t="n">
        <f aca="false">IF(AND(42&gt;2,A41=A42,C42&gt;=參數!$B$5,C42&lt;參數!$B$3),E42-E41,0)</f>
        <v>0</v>
      </c>
    </row>
    <row r="43" customFormat="false" ht="15" hidden="false" customHeight="false" outlineLevel="0" collapsed="false">
      <c r="A43" s="0" t="s">
        <v>147</v>
      </c>
      <c r="B43" s="0" t="s">
        <v>111</v>
      </c>
      <c r="C43" s="10" t="n">
        <v>47119</v>
      </c>
      <c r="D43" s="0" t="n">
        <v>4</v>
      </c>
      <c r="E43" s="0" t="n">
        <v>528</v>
      </c>
      <c r="F43" s="0" t="n">
        <v>800</v>
      </c>
      <c r="G43" s="0" t="n">
        <v>638207.072947418</v>
      </c>
      <c r="H43" s="10" t="n">
        <f aca="false">C43</f>
        <v>47119</v>
      </c>
      <c r="J43" s="10" t="n">
        <f aca="false">IF(AND(43&lt;122,A44=A43),C44,DATE(2100,1,1))</f>
        <v>73051</v>
      </c>
      <c r="K43" s="10" t="n">
        <f aca="false">IF(AND(43&lt;122,A44=A43),H44,DATE(2100,1,1))</f>
        <v>73051</v>
      </c>
      <c r="L43" s="6" t="n">
        <f aca="false">E43*MAX(0,MIN(J43,參數!$B$4)-MAX(C43,參數!$B$3))</f>
        <v>0</v>
      </c>
      <c r="M43" s="6" t="n">
        <f aca="false">E43*MAX(0,MIN(K43,參數!$B$4)-MAX(H43,參數!$B$3))</f>
        <v>0</v>
      </c>
      <c r="N43" s="6" t="n">
        <f aca="false">E43*MAX(0,MIN(J43,參數!$B$6)-MAX(C43,參數!$B$5))</f>
        <v>0</v>
      </c>
      <c r="O43" s="6" t="n">
        <f aca="false">E43*MAX(0,MIN(K43,參數!$B$6)-MAX(H43,參數!$B$5))</f>
        <v>0</v>
      </c>
      <c r="P43" s="6" t="n">
        <f aca="false">E43*(C43&lt;=參數!$B$8)*(J43&gt;參數!$B$8)</f>
        <v>0</v>
      </c>
      <c r="Q43" s="6" t="n">
        <f aca="false">E43*(C43&lt;=參數!$B$7)*(J43&gt;參數!$B$7)</f>
        <v>0</v>
      </c>
      <c r="R43" s="6" t="n">
        <f aca="false">E43*(H43&lt;=參數!$B$7)*(K43&gt;參數!$B$7)</f>
        <v>0</v>
      </c>
      <c r="S43" s="6" t="n">
        <f aca="false">E43*(C43&lt;=參數!$B$9)*(J43&gt;參數!$B$9)</f>
        <v>0</v>
      </c>
      <c r="T43" s="6" t="n">
        <f aca="false">E43*MAX(0,MIN(J43,參數!$B$11)-MAX(C43,參數!$B$10))</f>
        <v>0</v>
      </c>
      <c r="U43" s="6" t="n">
        <f aca="false">IF(AND(43&gt;2,A42=A43,C43&gt;=參數!$B$5,C43&lt;參數!$B$3),E43-E42,0)</f>
        <v>0</v>
      </c>
    </row>
    <row r="44" customFormat="false" ht="15" hidden="false" customHeight="false" outlineLevel="0" collapsed="false">
      <c r="A44" s="0" t="s">
        <v>149</v>
      </c>
      <c r="B44" s="0" t="s">
        <v>111</v>
      </c>
      <c r="C44" s="10" t="n">
        <v>43452</v>
      </c>
      <c r="D44" s="0" t="n">
        <v>0</v>
      </c>
      <c r="E44" s="0" t="n">
        <v>0</v>
      </c>
      <c r="F44" s="0" t="n">
        <v>0</v>
      </c>
      <c r="G44" s="0" t="n">
        <v>0</v>
      </c>
      <c r="H44" s="10" t="n">
        <f aca="false">C44</f>
        <v>43452</v>
      </c>
      <c r="J44" s="10" t="n">
        <f aca="false">IF(AND(44&lt;122,A45=A44),C45,DATE(2100,1,1))</f>
        <v>44197</v>
      </c>
      <c r="K44" s="10" t="n">
        <f aca="false">IF(AND(44&lt;122,A45=A44),H45,DATE(2100,1,1))</f>
        <v>44197</v>
      </c>
      <c r="L44" s="6" t="n">
        <f aca="false">E44*MAX(0,MIN(J44,參數!$B$4)-MAX(C44,參數!$B$3))</f>
        <v>0</v>
      </c>
      <c r="M44" s="6" t="n">
        <f aca="false">E44*MAX(0,MIN(K44,參數!$B$4)-MAX(H44,參數!$B$3))</f>
        <v>0</v>
      </c>
      <c r="N44" s="6" t="n">
        <f aca="false">E44*MAX(0,MIN(J44,參數!$B$6)-MAX(C44,參數!$B$5))</f>
        <v>0</v>
      </c>
      <c r="O44" s="6" t="n">
        <f aca="false">E44*MAX(0,MIN(K44,參數!$B$6)-MAX(H44,參數!$B$5))</f>
        <v>0</v>
      </c>
      <c r="P44" s="6" t="n">
        <f aca="false">E44*(C44&lt;=參數!$B$8)*(J44&gt;參數!$B$8)</f>
        <v>0</v>
      </c>
      <c r="Q44" s="6" t="n">
        <f aca="false">E44*(C44&lt;=參數!$B$7)*(J44&gt;參數!$B$7)</f>
        <v>0</v>
      </c>
      <c r="R44" s="6" t="n">
        <f aca="false">E44*(H44&lt;=參數!$B$7)*(K44&gt;參數!$B$7)</f>
        <v>0</v>
      </c>
      <c r="S44" s="6" t="n">
        <f aca="false">E44*(C44&lt;=參數!$B$9)*(J44&gt;參數!$B$9)</f>
        <v>0</v>
      </c>
      <c r="T44" s="6" t="n">
        <f aca="false">E44*MAX(0,MIN(J44,參數!$B$11)-MAX(C44,參數!$B$10))</f>
        <v>0</v>
      </c>
      <c r="U44" s="6" t="n">
        <f aca="false">IF(AND(44&gt;2,A43=A44,C44&gt;=參數!$B$5,C44&lt;參數!$B$3),E44-E43,0)</f>
        <v>0</v>
      </c>
    </row>
    <row r="45" customFormat="false" ht="15" hidden="false" customHeight="false" outlineLevel="0" collapsed="false">
      <c r="A45" s="0" t="s">
        <v>149</v>
      </c>
      <c r="B45" s="0" t="s">
        <v>111</v>
      </c>
      <c r="C45" s="10" t="n">
        <v>44197</v>
      </c>
      <c r="D45" s="0" t="n">
        <v>1</v>
      </c>
      <c r="E45" s="0" t="n">
        <v>48</v>
      </c>
      <c r="F45" s="0" t="n">
        <v>57</v>
      </c>
      <c r="G45" s="0" t="n">
        <v>7882.76907529055</v>
      </c>
      <c r="H45" s="10" t="n">
        <f aca="false">C45</f>
        <v>44197</v>
      </c>
      <c r="J45" s="10" t="n">
        <f aca="false">IF(AND(45&lt;122,A46=A45),C46,DATE(2100,1,1))</f>
        <v>45107</v>
      </c>
      <c r="K45" s="10" t="n">
        <f aca="false">IF(AND(45&lt;122,A46=A45),H46,DATE(2100,1,1))</f>
        <v>45107</v>
      </c>
      <c r="L45" s="6" t="n">
        <f aca="false">E45*MAX(0,MIN(J45,參數!$B$4)-MAX(C45,參數!$B$3))</f>
        <v>0</v>
      </c>
      <c r="M45" s="6" t="n">
        <f aca="false">E45*MAX(0,MIN(K45,參數!$B$4)-MAX(H45,參數!$B$3))</f>
        <v>0</v>
      </c>
      <c r="N45" s="6" t="n">
        <f aca="false">E45*MAX(0,MIN(J45,參數!$B$6)-MAX(C45,參數!$B$5))</f>
        <v>0</v>
      </c>
      <c r="O45" s="6" t="n">
        <f aca="false">E45*MAX(0,MIN(K45,參數!$B$6)-MAX(H45,參數!$B$5))</f>
        <v>0</v>
      </c>
      <c r="P45" s="6" t="n">
        <f aca="false">E45*(C45&lt;=參數!$B$8)*(J45&gt;參數!$B$8)</f>
        <v>0</v>
      </c>
      <c r="Q45" s="6" t="n">
        <f aca="false">E45*(C45&lt;=參數!$B$7)*(J45&gt;參數!$B$7)</f>
        <v>0</v>
      </c>
      <c r="R45" s="6" t="n">
        <f aca="false">E45*(H45&lt;=參數!$B$7)*(K45&gt;參數!$B$7)</f>
        <v>0</v>
      </c>
      <c r="S45" s="6" t="n">
        <f aca="false">E45*(C45&lt;=參數!$B$9)*(J45&gt;參數!$B$9)</f>
        <v>0</v>
      </c>
      <c r="T45" s="6" t="n">
        <f aca="false">E45*MAX(0,MIN(J45,參數!$B$11)-MAX(C45,參數!$B$10))</f>
        <v>0</v>
      </c>
      <c r="U45" s="6" t="n">
        <f aca="false">IF(AND(45&gt;2,A44=A45,C45&gt;=參數!$B$5,C45&lt;參數!$B$3),E45-E44,0)</f>
        <v>0</v>
      </c>
    </row>
    <row r="46" customFormat="false" ht="15" hidden="false" customHeight="false" outlineLevel="0" collapsed="false">
      <c r="A46" s="0" t="s">
        <v>149</v>
      </c>
      <c r="B46" s="0" t="s">
        <v>111</v>
      </c>
      <c r="C46" s="10" t="n">
        <v>45107</v>
      </c>
      <c r="D46" s="0" t="n">
        <v>2</v>
      </c>
      <c r="E46" s="0" t="n">
        <v>95</v>
      </c>
      <c r="F46" s="0" t="n">
        <v>114</v>
      </c>
      <c r="G46" s="0" t="n">
        <v>40576.0485093482</v>
      </c>
      <c r="H46" s="10" t="n">
        <f aca="false">C46</f>
        <v>45107</v>
      </c>
      <c r="J46" s="10" t="n">
        <f aca="false">IF(AND(46&lt;122,A47=A46),C47,DATE(2100,1,1))</f>
        <v>45717</v>
      </c>
      <c r="K46" s="10" t="n">
        <f aca="false">IF(AND(46&lt;122,A47=A46),H47,DATE(2100,1,1))</f>
        <v>45717</v>
      </c>
      <c r="L46" s="6" t="n">
        <f aca="false">E46*MAX(0,MIN(J46,參數!$B$4)-MAX(C46,參數!$B$3))</f>
        <v>0</v>
      </c>
      <c r="M46" s="6" t="n">
        <f aca="false">E46*MAX(0,MIN(K46,參數!$B$4)-MAX(H46,參數!$B$3))</f>
        <v>0</v>
      </c>
      <c r="N46" s="6" t="n">
        <f aca="false">E46*MAX(0,MIN(J46,參數!$B$6)-MAX(C46,參數!$B$5))</f>
        <v>0</v>
      </c>
      <c r="O46" s="6" t="n">
        <f aca="false">E46*MAX(0,MIN(K46,參數!$B$6)-MAX(H46,參數!$B$5))</f>
        <v>0</v>
      </c>
      <c r="P46" s="6" t="n">
        <f aca="false">E46*(C46&lt;=參數!$B$8)*(J46&gt;參數!$B$8)</f>
        <v>0</v>
      </c>
      <c r="Q46" s="6" t="n">
        <f aca="false">E46*(C46&lt;=參數!$B$7)*(J46&gt;參數!$B$7)</f>
        <v>0</v>
      </c>
      <c r="R46" s="6" t="n">
        <f aca="false">E46*(H46&lt;=參數!$B$7)*(K46&gt;參數!$B$7)</f>
        <v>0</v>
      </c>
      <c r="S46" s="6" t="n">
        <f aca="false">E46*(C46&lt;=參數!$B$9)*(J46&gt;參數!$B$9)</f>
        <v>95</v>
      </c>
      <c r="T46" s="6" t="n">
        <f aca="false">E46*MAX(0,MIN(J46,參數!$B$11)-MAX(C46,參數!$B$10))</f>
        <v>5605</v>
      </c>
      <c r="U46" s="6" t="n">
        <f aca="false">IF(AND(46&gt;2,A45=A46,C46&gt;=參數!$B$5,C46&lt;參數!$B$3),E46-E45,0)</f>
        <v>0</v>
      </c>
    </row>
    <row r="47" customFormat="false" ht="15" hidden="false" customHeight="false" outlineLevel="0" collapsed="false">
      <c r="A47" s="0" t="s">
        <v>149</v>
      </c>
      <c r="B47" s="0" t="s">
        <v>111</v>
      </c>
      <c r="C47" s="10" t="n">
        <v>45717</v>
      </c>
      <c r="D47" s="0" t="n">
        <v>4</v>
      </c>
      <c r="E47" s="0" t="n">
        <v>190</v>
      </c>
      <c r="F47" s="0" t="n">
        <v>228</v>
      </c>
      <c r="G47" s="0" t="n">
        <v>155634.158665993</v>
      </c>
      <c r="H47" s="10" t="n">
        <f aca="false">C47</f>
        <v>45717</v>
      </c>
      <c r="J47" s="10" t="n">
        <f aca="false">IF(AND(47&lt;122,A48=A47),C48,DATE(2100,1,1))</f>
        <v>45938</v>
      </c>
      <c r="K47" s="10" t="n">
        <f aca="false">IF(AND(47&lt;122,A48=A47),H48,DATE(2100,1,1))</f>
        <v>45938</v>
      </c>
      <c r="L47" s="6" t="n">
        <f aca="false">E47*MAX(0,MIN(J47,參數!$B$4)-MAX(C47,參數!$B$3))</f>
        <v>0</v>
      </c>
      <c r="M47" s="6" t="n">
        <f aca="false">E47*MAX(0,MIN(K47,參數!$B$4)-MAX(H47,參數!$B$3))</f>
        <v>0</v>
      </c>
      <c r="N47" s="6" t="n">
        <f aca="false">E47*MAX(0,MIN(J47,參數!$B$6)-MAX(C47,參數!$B$5))</f>
        <v>0</v>
      </c>
      <c r="O47" s="6" t="n">
        <f aca="false">E47*MAX(0,MIN(K47,參數!$B$6)-MAX(H47,參數!$B$5))</f>
        <v>0</v>
      </c>
      <c r="P47" s="6" t="n">
        <f aca="false">E47*(C47&lt;=參數!$B$8)*(J47&gt;參數!$B$8)</f>
        <v>0</v>
      </c>
      <c r="Q47" s="6" t="n">
        <f aca="false">E47*(C47&lt;=參數!$B$7)*(J47&gt;參數!$B$7)</f>
        <v>0</v>
      </c>
      <c r="R47" s="6" t="n">
        <f aca="false">E47*(H47&lt;=參數!$B$7)*(K47&gt;參數!$B$7)</f>
        <v>0</v>
      </c>
      <c r="S47" s="6" t="n">
        <f aca="false">E47*(C47&lt;=參數!$B$9)*(J47&gt;參數!$B$9)</f>
        <v>0</v>
      </c>
      <c r="T47" s="6" t="n">
        <f aca="false">E47*MAX(0,MIN(J47,參數!$B$11)-MAX(C47,參數!$B$10))</f>
        <v>41990</v>
      </c>
      <c r="U47" s="6" t="n">
        <f aca="false">IF(AND(47&gt;2,A46=A47,C47&gt;=參數!$B$5,C47&lt;參數!$B$3),E47-E46,0)</f>
        <v>0</v>
      </c>
    </row>
    <row r="48" customFormat="false" ht="15" hidden="false" customHeight="false" outlineLevel="0" collapsed="false">
      <c r="A48" s="0" t="s">
        <v>149</v>
      </c>
      <c r="B48" s="0" t="s">
        <v>111</v>
      </c>
      <c r="C48" s="10" t="n">
        <v>45938</v>
      </c>
      <c r="D48" s="0" t="n">
        <v>4</v>
      </c>
      <c r="E48" s="0" t="n">
        <v>190</v>
      </c>
      <c r="F48" s="0" t="n">
        <v>228</v>
      </c>
      <c r="G48" s="0" t="n">
        <v>155634.158665993</v>
      </c>
      <c r="H48" s="10" t="n">
        <f aca="false">C48</f>
        <v>45938</v>
      </c>
      <c r="J48" s="10" t="n">
        <f aca="false">IF(AND(48&lt;122,A49=A48),C49,DATE(2100,1,1))</f>
        <v>46189</v>
      </c>
      <c r="K48" s="10" t="n">
        <f aca="false">IF(AND(48&lt;122,A49=A48),H49,DATE(2100,1,1))</f>
        <v>46189</v>
      </c>
      <c r="L48" s="6" t="n">
        <f aca="false">E48*MAX(0,MIN(J48,參數!$B$4)-MAX(C48,參數!$B$3))</f>
        <v>14440</v>
      </c>
      <c r="M48" s="6" t="n">
        <f aca="false">E48*MAX(0,MIN(K48,參數!$B$4)-MAX(H48,參數!$B$3))</f>
        <v>14440</v>
      </c>
      <c r="N48" s="6" t="n">
        <f aca="false">E48*MAX(0,MIN(J48,參數!$B$6)-MAX(C48,參數!$B$5))</f>
        <v>31540</v>
      </c>
      <c r="O48" s="6" t="n">
        <f aca="false">E48*MAX(0,MIN(K48,參數!$B$6)-MAX(H48,參數!$B$5))</f>
        <v>31540</v>
      </c>
      <c r="P48" s="6" t="n">
        <f aca="false">E48*(C48&lt;=參數!$B$8)*(J48&gt;參數!$B$8)</f>
        <v>190</v>
      </c>
      <c r="Q48" s="6" t="n">
        <f aca="false">E48*(C48&lt;=參數!$B$7)*(J48&gt;參數!$B$7)</f>
        <v>0</v>
      </c>
      <c r="R48" s="6" t="n">
        <f aca="false">E48*(H48&lt;=參數!$B$7)*(K48&gt;參數!$B$7)</f>
        <v>0</v>
      </c>
      <c r="S48" s="6" t="n">
        <f aca="false">E48*(C48&lt;=參數!$B$9)*(J48&gt;參數!$B$9)</f>
        <v>0</v>
      </c>
      <c r="T48" s="6" t="n">
        <f aca="false">E48*MAX(0,MIN(J48,參數!$B$11)-MAX(C48,參數!$B$10))</f>
        <v>16150</v>
      </c>
      <c r="U48" s="6" t="n">
        <f aca="false">IF(AND(48&gt;2,A47=A48,C48&gt;=參數!$B$5,C48&lt;參數!$B$3),E48-E47,0)</f>
        <v>0</v>
      </c>
    </row>
    <row r="49" customFormat="false" ht="15" hidden="false" customHeight="false" outlineLevel="0" collapsed="false">
      <c r="A49" s="0" t="s">
        <v>149</v>
      </c>
      <c r="B49" s="0" t="s">
        <v>111</v>
      </c>
      <c r="C49" s="10" t="n">
        <v>46189</v>
      </c>
      <c r="D49" s="0" t="n">
        <v>4</v>
      </c>
      <c r="E49" s="0" t="n">
        <v>190</v>
      </c>
      <c r="F49" s="0" t="n">
        <v>228</v>
      </c>
      <c r="G49" s="0" t="n">
        <v>155634.158665993</v>
      </c>
      <c r="H49" s="10" t="n">
        <f aca="false">C49</f>
        <v>46189</v>
      </c>
      <c r="J49" s="10" t="n">
        <f aca="false">IF(AND(49&lt;122,A50=A49),C50,DATE(2100,1,1))</f>
        <v>73051</v>
      </c>
      <c r="K49" s="10" t="n">
        <f aca="false">IF(AND(49&lt;122,A50=A49),H50,DATE(2100,1,1))</f>
        <v>73051</v>
      </c>
      <c r="L49" s="6" t="n">
        <f aca="false">E49*MAX(0,MIN(J49,參數!$B$4)-MAX(C49,參數!$B$3))</f>
        <v>2850</v>
      </c>
      <c r="M49" s="6" t="n">
        <f aca="false">E49*MAX(0,MIN(K49,參數!$B$4)-MAX(H49,參數!$B$3))</f>
        <v>2850</v>
      </c>
      <c r="N49" s="6" t="n">
        <f aca="false">E49*MAX(0,MIN(J49,參數!$B$6)-MAX(C49,參數!$B$5))</f>
        <v>37810</v>
      </c>
      <c r="O49" s="6" t="n">
        <f aca="false">E49*MAX(0,MIN(K49,參數!$B$6)-MAX(H49,參數!$B$5))</f>
        <v>37810</v>
      </c>
      <c r="P49" s="6" t="n">
        <f aca="false">E49*(C49&lt;=參數!$B$8)*(J49&gt;參數!$B$8)</f>
        <v>0</v>
      </c>
      <c r="Q49" s="6" t="n">
        <f aca="false">E49*(C49&lt;=參數!$B$7)*(J49&gt;參數!$B$7)</f>
        <v>190</v>
      </c>
      <c r="R49" s="6" t="n">
        <f aca="false">E49*(H49&lt;=參數!$B$7)*(K49&gt;參數!$B$7)</f>
        <v>190</v>
      </c>
      <c r="S49" s="6" t="n">
        <f aca="false">E49*(C49&lt;=參數!$B$9)*(J49&gt;參數!$B$9)</f>
        <v>0</v>
      </c>
      <c r="T49" s="6" t="n">
        <f aca="false">E49*MAX(0,MIN(J49,參數!$B$11)-MAX(C49,參數!$B$10))</f>
        <v>0</v>
      </c>
      <c r="U49" s="6" t="n">
        <f aca="false">IF(AND(49&gt;2,A48=A49,C49&gt;=參數!$B$5,C49&lt;參數!$B$3),E49-E48,0)</f>
        <v>0</v>
      </c>
    </row>
    <row r="50" customFormat="false" ht="15" hidden="false" customHeight="false" outlineLevel="0" collapsed="false">
      <c r="A50" s="0" t="s">
        <v>150</v>
      </c>
      <c r="B50" s="0" t="s">
        <v>111</v>
      </c>
      <c r="C50" s="10" t="n">
        <v>45230</v>
      </c>
      <c r="D50" s="0" t="n">
        <v>0</v>
      </c>
      <c r="E50" s="0" t="n">
        <v>0</v>
      </c>
      <c r="F50" s="0" t="n">
        <v>0</v>
      </c>
      <c r="G50" s="0" t="n">
        <v>0</v>
      </c>
      <c r="H50" s="10" t="n">
        <f aca="false">C50</f>
        <v>45230</v>
      </c>
      <c r="J50" s="10" t="n">
        <f aca="false">IF(AND(50&lt;122,A51=A50),C51,DATE(2100,1,1))</f>
        <v>45805</v>
      </c>
      <c r="K50" s="10" t="n">
        <f aca="false">IF(AND(50&lt;122,A51=A50),H51,DATE(2100,1,1))</f>
        <v>45805</v>
      </c>
      <c r="L50" s="6" t="n">
        <f aca="false">E50*MAX(0,MIN(J50,參數!$B$4)-MAX(C50,參數!$B$3))</f>
        <v>0</v>
      </c>
      <c r="M50" s="6" t="n">
        <f aca="false">E50*MAX(0,MIN(K50,參數!$B$4)-MAX(H50,參數!$B$3))</f>
        <v>0</v>
      </c>
      <c r="N50" s="6" t="n">
        <f aca="false">E50*MAX(0,MIN(J50,參數!$B$6)-MAX(C50,參數!$B$5))</f>
        <v>0</v>
      </c>
      <c r="O50" s="6" t="n">
        <f aca="false">E50*MAX(0,MIN(K50,參數!$B$6)-MAX(H50,參數!$B$5))</f>
        <v>0</v>
      </c>
      <c r="P50" s="6" t="n">
        <f aca="false">E50*(C50&lt;=參數!$B$8)*(J50&gt;參數!$B$8)</f>
        <v>0</v>
      </c>
      <c r="Q50" s="6" t="n">
        <f aca="false">E50*(C50&lt;=參數!$B$7)*(J50&gt;參數!$B$7)</f>
        <v>0</v>
      </c>
      <c r="R50" s="6" t="n">
        <f aca="false">E50*(H50&lt;=參數!$B$7)*(K50&gt;參數!$B$7)</f>
        <v>0</v>
      </c>
      <c r="S50" s="6" t="n">
        <f aca="false">E50*(C50&lt;=參數!$B$9)*(J50&gt;參數!$B$9)</f>
        <v>0</v>
      </c>
      <c r="T50" s="6" t="n">
        <f aca="false">E50*MAX(0,MIN(J50,參數!$B$11)-MAX(C50,參數!$B$10))</f>
        <v>0</v>
      </c>
      <c r="U50" s="6" t="n">
        <f aca="false">IF(AND(50&gt;2,A49=A50,C50&gt;=參數!$B$5,C50&lt;參數!$B$3),E50-E49,0)</f>
        <v>0</v>
      </c>
    </row>
    <row r="51" customFormat="false" ht="15" hidden="false" customHeight="false" outlineLevel="0" collapsed="false">
      <c r="A51" s="0" t="s">
        <v>150</v>
      </c>
      <c r="B51" s="0" t="s">
        <v>111</v>
      </c>
      <c r="C51" s="10" t="n">
        <v>45805</v>
      </c>
      <c r="D51" s="0" t="n">
        <v>0</v>
      </c>
      <c r="E51" s="0" t="n">
        <v>0</v>
      </c>
      <c r="F51" s="0" t="n">
        <v>0</v>
      </c>
      <c r="G51" s="0" t="n">
        <v>0</v>
      </c>
      <c r="H51" s="10" t="n">
        <f aca="false">C51</f>
        <v>45805</v>
      </c>
      <c r="J51" s="10" t="n">
        <f aca="false">IF(AND(51&lt;122,A52=A51),C52,DATE(2100,1,1))</f>
        <v>45898</v>
      </c>
      <c r="K51" s="10" t="n">
        <f aca="false">IF(AND(51&lt;122,A52=A51),H52,DATE(2100,1,1))</f>
        <v>45898</v>
      </c>
      <c r="L51" s="6" t="n">
        <f aca="false">E51*MAX(0,MIN(J51,參數!$B$4)-MAX(C51,參數!$B$3))</f>
        <v>0</v>
      </c>
      <c r="M51" s="6" t="n">
        <f aca="false">E51*MAX(0,MIN(K51,參數!$B$4)-MAX(H51,參數!$B$3))</f>
        <v>0</v>
      </c>
      <c r="N51" s="6" t="n">
        <f aca="false">E51*MAX(0,MIN(J51,參數!$B$6)-MAX(C51,參數!$B$5))</f>
        <v>0</v>
      </c>
      <c r="O51" s="6" t="n">
        <f aca="false">E51*MAX(0,MIN(K51,參數!$B$6)-MAX(H51,參數!$B$5))</f>
        <v>0</v>
      </c>
      <c r="P51" s="6" t="n">
        <f aca="false">E51*(C51&lt;=參數!$B$8)*(J51&gt;參數!$B$8)</f>
        <v>0</v>
      </c>
      <c r="Q51" s="6" t="n">
        <f aca="false">E51*(C51&lt;=參數!$B$7)*(J51&gt;參數!$B$7)</f>
        <v>0</v>
      </c>
      <c r="R51" s="6" t="n">
        <f aca="false">E51*(H51&lt;=參數!$B$7)*(K51&gt;參數!$B$7)</f>
        <v>0</v>
      </c>
      <c r="S51" s="6" t="n">
        <f aca="false">E51*(C51&lt;=參數!$B$9)*(J51&gt;參數!$B$9)</f>
        <v>0</v>
      </c>
      <c r="T51" s="6" t="n">
        <f aca="false">E51*MAX(0,MIN(J51,參數!$B$11)-MAX(C51,參數!$B$10))</f>
        <v>0</v>
      </c>
      <c r="U51" s="6" t="n">
        <f aca="false">IF(AND(51&gt;2,A50=A51,C51&gt;=參數!$B$5,C51&lt;參數!$B$3),E51-E50,0)</f>
        <v>0</v>
      </c>
    </row>
    <row r="52" customFormat="false" ht="15" hidden="false" customHeight="false" outlineLevel="0" collapsed="false">
      <c r="A52" s="0" t="s">
        <v>150</v>
      </c>
      <c r="B52" s="0" t="s">
        <v>111</v>
      </c>
      <c r="C52" s="10" t="n">
        <v>45898</v>
      </c>
      <c r="D52" s="0" t="n">
        <v>0</v>
      </c>
      <c r="E52" s="0" t="n">
        <v>0</v>
      </c>
      <c r="F52" s="0" t="n">
        <v>0</v>
      </c>
      <c r="G52" s="0" t="n">
        <v>0</v>
      </c>
      <c r="H52" s="10" t="n">
        <f aca="false">C52</f>
        <v>45898</v>
      </c>
      <c r="J52" s="10" t="n">
        <f aca="false">IF(AND(52&lt;122,A53=A52),C53,DATE(2100,1,1))</f>
        <v>45957</v>
      </c>
      <c r="K52" s="10" t="n">
        <f aca="false">IF(AND(52&lt;122,A53=A52),H53,DATE(2100,1,1))</f>
        <v>45957</v>
      </c>
      <c r="L52" s="6" t="n">
        <f aca="false">E52*MAX(0,MIN(J52,參數!$B$4)-MAX(C52,參數!$B$3))</f>
        <v>0</v>
      </c>
      <c r="M52" s="6" t="n">
        <f aca="false">E52*MAX(0,MIN(K52,參數!$B$4)-MAX(H52,參數!$B$3))</f>
        <v>0</v>
      </c>
      <c r="N52" s="6" t="n">
        <f aca="false">E52*MAX(0,MIN(J52,參數!$B$6)-MAX(C52,參數!$B$5))</f>
        <v>0</v>
      </c>
      <c r="O52" s="6" t="n">
        <f aca="false">E52*MAX(0,MIN(K52,參數!$B$6)-MAX(H52,參數!$B$5))</f>
        <v>0</v>
      </c>
      <c r="P52" s="6" t="n">
        <f aca="false">E52*(C52&lt;=參數!$B$8)*(J52&gt;參數!$B$8)</f>
        <v>0</v>
      </c>
      <c r="Q52" s="6" t="n">
        <f aca="false">E52*(C52&lt;=參數!$B$7)*(J52&gt;參數!$B$7)</f>
        <v>0</v>
      </c>
      <c r="R52" s="6" t="n">
        <f aca="false">E52*(H52&lt;=參數!$B$7)*(K52&gt;參數!$B$7)</f>
        <v>0</v>
      </c>
      <c r="S52" s="6" t="n">
        <f aca="false">E52*(C52&lt;=參數!$B$9)*(J52&gt;參數!$B$9)</f>
        <v>0</v>
      </c>
      <c r="T52" s="6" t="n">
        <f aca="false">E52*MAX(0,MIN(J52,參數!$B$11)-MAX(C52,參數!$B$10))</f>
        <v>0</v>
      </c>
      <c r="U52" s="6" t="n">
        <f aca="false">IF(AND(52&gt;2,A51=A52,C52&gt;=參數!$B$5,C52&lt;參數!$B$3),E52-E51,0)</f>
        <v>0</v>
      </c>
    </row>
    <row r="53" customFormat="false" ht="15" hidden="false" customHeight="false" outlineLevel="0" collapsed="false">
      <c r="A53" s="0" t="s">
        <v>150</v>
      </c>
      <c r="B53" s="0" t="s">
        <v>111</v>
      </c>
      <c r="C53" s="10" t="n">
        <v>45957</v>
      </c>
      <c r="D53" s="0" t="n">
        <v>1</v>
      </c>
      <c r="E53" s="0" t="n">
        <v>50</v>
      </c>
      <c r="F53" s="0" t="n">
        <v>65</v>
      </c>
      <c r="G53" s="0" t="n">
        <v>68721.5765538151</v>
      </c>
      <c r="H53" s="10" t="n">
        <f aca="false">C53</f>
        <v>45957</v>
      </c>
      <c r="J53" s="10" t="n">
        <f aca="false">IF(AND(53&lt;122,A54=A53),C54,DATE(2100,1,1))</f>
        <v>45985</v>
      </c>
      <c r="K53" s="10" t="n">
        <f aca="false">IF(AND(53&lt;122,A54=A53),H54,DATE(2100,1,1))</f>
        <v>45985</v>
      </c>
      <c r="L53" s="6" t="n">
        <f aca="false">E53*MAX(0,MIN(J53,參數!$B$4)-MAX(C53,參數!$B$3))</f>
        <v>0</v>
      </c>
      <c r="M53" s="6" t="n">
        <f aca="false">E53*MAX(0,MIN(K53,參數!$B$4)-MAX(H53,參數!$B$3))</f>
        <v>0</v>
      </c>
      <c r="N53" s="6" t="n">
        <f aca="false">E53*MAX(0,MIN(J53,參數!$B$6)-MAX(C53,參數!$B$5))</f>
        <v>0</v>
      </c>
      <c r="O53" s="6" t="n">
        <f aca="false">E53*MAX(0,MIN(K53,參數!$B$6)-MAX(H53,參數!$B$5))</f>
        <v>0</v>
      </c>
      <c r="P53" s="6" t="n">
        <f aca="false">E53*(C53&lt;=參數!$B$8)*(J53&gt;參數!$B$8)</f>
        <v>0</v>
      </c>
      <c r="Q53" s="6" t="n">
        <f aca="false">E53*(C53&lt;=參數!$B$7)*(J53&gt;參數!$B$7)</f>
        <v>0</v>
      </c>
      <c r="R53" s="6" t="n">
        <f aca="false">E53*(H53&lt;=參數!$B$7)*(K53&gt;參數!$B$7)</f>
        <v>0</v>
      </c>
      <c r="S53" s="6" t="n">
        <f aca="false">E53*(C53&lt;=參數!$B$9)*(J53&gt;參數!$B$9)</f>
        <v>0</v>
      </c>
      <c r="T53" s="6" t="n">
        <f aca="false">E53*MAX(0,MIN(J53,參數!$B$11)-MAX(C53,參數!$B$10))</f>
        <v>1400</v>
      </c>
      <c r="U53" s="6" t="n">
        <f aca="false">IF(AND(53&gt;2,A52=A53,C53&gt;=參數!$B$5,C53&lt;參數!$B$3),E53-E52,0)</f>
        <v>0</v>
      </c>
    </row>
    <row r="54" customFormat="false" ht="15" hidden="false" customHeight="false" outlineLevel="0" collapsed="false">
      <c r="A54" s="0" t="s">
        <v>150</v>
      </c>
      <c r="B54" s="0" t="s">
        <v>111</v>
      </c>
      <c r="C54" s="10" t="n">
        <v>45985</v>
      </c>
      <c r="D54" s="0" t="n">
        <v>1</v>
      </c>
      <c r="E54" s="0" t="n">
        <v>68</v>
      </c>
      <c r="F54" s="0" t="n">
        <v>88</v>
      </c>
      <c r="G54" s="0" t="n">
        <v>93481.5563415867</v>
      </c>
      <c r="H54" s="10" t="n">
        <f aca="false">C54</f>
        <v>45985</v>
      </c>
      <c r="J54" s="10" t="n">
        <f aca="false">IF(AND(54&lt;122,A55=A54),C55,DATE(2100,1,1))</f>
        <v>46108</v>
      </c>
      <c r="K54" s="10" t="n">
        <f aca="false">IF(AND(54&lt;122,A55=A54),H55,DATE(2100,1,1))</f>
        <v>46108</v>
      </c>
      <c r="L54" s="6" t="n">
        <f aca="false">E54*MAX(0,MIN(J54,參數!$B$4)-MAX(C54,參數!$B$3))</f>
        <v>0</v>
      </c>
      <c r="M54" s="6" t="n">
        <f aca="false">E54*MAX(0,MIN(K54,參數!$B$4)-MAX(H54,參數!$B$3))</f>
        <v>0</v>
      </c>
      <c r="N54" s="6" t="n">
        <f aca="false">E54*MAX(0,MIN(J54,參數!$B$6)-MAX(C54,參數!$B$5))</f>
        <v>5780</v>
      </c>
      <c r="O54" s="6" t="n">
        <f aca="false">E54*MAX(0,MIN(K54,參數!$B$6)-MAX(H54,參數!$B$5))</f>
        <v>5780</v>
      </c>
      <c r="P54" s="6" t="n">
        <f aca="false">E54*(C54&lt;=參數!$B$8)*(J54&gt;參數!$B$8)</f>
        <v>68</v>
      </c>
      <c r="Q54" s="6" t="n">
        <f aca="false">E54*(C54&lt;=參數!$B$7)*(J54&gt;參數!$B$7)</f>
        <v>0</v>
      </c>
      <c r="R54" s="6" t="n">
        <f aca="false">E54*(H54&lt;=參數!$B$7)*(K54&gt;參數!$B$7)</f>
        <v>0</v>
      </c>
      <c r="S54" s="6" t="n">
        <f aca="false">E54*(C54&lt;=參數!$B$9)*(J54&gt;參數!$B$9)</f>
        <v>0</v>
      </c>
      <c r="T54" s="6" t="n">
        <f aca="false">E54*MAX(0,MIN(J54,參數!$B$11)-MAX(C54,參數!$B$10))</f>
        <v>2584</v>
      </c>
      <c r="U54" s="6" t="n">
        <f aca="false">IF(AND(54&gt;2,A53=A54,C54&gt;=參數!$B$5,C54&lt;參數!$B$3),E54-E53,0)</f>
        <v>0</v>
      </c>
    </row>
    <row r="55" customFormat="false" ht="15" hidden="false" customHeight="false" outlineLevel="0" collapsed="false">
      <c r="A55" s="0" t="s">
        <v>150</v>
      </c>
      <c r="B55" s="0" t="s">
        <v>111</v>
      </c>
      <c r="C55" s="10" t="n">
        <v>46108</v>
      </c>
      <c r="D55" s="0" t="n">
        <v>1</v>
      </c>
      <c r="E55" s="0" t="n">
        <v>68</v>
      </c>
      <c r="F55" s="0" t="n">
        <v>88</v>
      </c>
      <c r="G55" s="0" t="n">
        <v>93481.5563415867</v>
      </c>
      <c r="H55" s="10" t="n">
        <f aca="false">C55</f>
        <v>46108</v>
      </c>
      <c r="J55" s="10" t="n">
        <f aca="false">IF(AND(55&lt;122,A56=A55),C56,DATE(2100,1,1))</f>
        <v>46203</v>
      </c>
      <c r="K55" s="10" t="n">
        <f aca="false">IF(AND(55&lt;122,A56=A55),H56,DATE(2100,1,1))</f>
        <v>46203</v>
      </c>
      <c r="L55" s="6" t="n">
        <f aca="false">E55*MAX(0,MIN(J55,參數!$B$4)-MAX(C55,參數!$B$3))</f>
        <v>6120</v>
      </c>
      <c r="M55" s="6" t="n">
        <f aca="false">E55*MAX(0,MIN(K55,參數!$B$4)-MAX(H55,參數!$B$3))</f>
        <v>6120</v>
      </c>
      <c r="N55" s="6" t="n">
        <f aca="false">E55*MAX(0,MIN(J55,參數!$B$6)-MAX(C55,參數!$B$5))</f>
        <v>6460</v>
      </c>
      <c r="O55" s="6" t="n">
        <f aca="false">E55*MAX(0,MIN(K55,參數!$B$6)-MAX(H55,參數!$B$5))</f>
        <v>6460</v>
      </c>
      <c r="P55" s="6" t="n">
        <f aca="false">E55*(C55&lt;=參數!$B$8)*(J55&gt;參數!$B$8)</f>
        <v>0</v>
      </c>
      <c r="Q55" s="6" t="n">
        <f aca="false">E55*(C55&lt;=參數!$B$7)*(J55&gt;參數!$B$7)</f>
        <v>0</v>
      </c>
      <c r="R55" s="6" t="n">
        <f aca="false">E55*(H55&lt;=參數!$B$7)*(K55&gt;參數!$B$7)</f>
        <v>0</v>
      </c>
      <c r="S55" s="6" t="n">
        <f aca="false">E55*(C55&lt;=參數!$B$9)*(J55&gt;參數!$B$9)</f>
        <v>0</v>
      </c>
      <c r="T55" s="6" t="n">
        <f aca="false">E55*MAX(0,MIN(J55,參數!$B$11)-MAX(C55,參數!$B$10))</f>
        <v>0</v>
      </c>
      <c r="U55" s="6" t="n">
        <f aca="false">IF(AND(55&gt;2,A54=A55,C55&gt;=參數!$B$5,C55&lt;參數!$B$3),E55-E54,0)</f>
        <v>0</v>
      </c>
    </row>
    <row r="56" customFormat="false" ht="15" hidden="false" customHeight="false" outlineLevel="0" collapsed="false">
      <c r="A56" s="0" t="s">
        <v>150</v>
      </c>
      <c r="B56" s="0" t="s">
        <v>111</v>
      </c>
      <c r="C56" s="10" t="n">
        <v>46203</v>
      </c>
      <c r="D56" s="0" t="n">
        <v>1</v>
      </c>
      <c r="E56" s="0" t="n">
        <v>68</v>
      </c>
      <c r="F56" s="0" t="n">
        <v>88</v>
      </c>
      <c r="G56" s="0" t="n">
        <v>93481.5563415867</v>
      </c>
      <c r="H56" s="10" t="n">
        <f aca="false">C56</f>
        <v>46203</v>
      </c>
      <c r="J56" s="10" t="n">
        <f aca="false">IF(AND(56&lt;122,A57=A56),C57,DATE(2100,1,1))</f>
        <v>46387</v>
      </c>
      <c r="K56" s="10" t="n">
        <f aca="false">IF(AND(56&lt;122,A57=A56),H57,DATE(2100,1,1))</f>
        <v>46387</v>
      </c>
      <c r="L56" s="6" t="n">
        <f aca="false">E56*MAX(0,MIN(J56,參數!$B$4)-MAX(C56,參數!$B$3))</f>
        <v>68</v>
      </c>
      <c r="M56" s="6" t="n">
        <f aca="false">E56*MAX(0,MIN(K56,參數!$B$4)-MAX(H56,參數!$B$3))</f>
        <v>68</v>
      </c>
      <c r="N56" s="6" t="n">
        <f aca="false">E56*MAX(0,MIN(J56,參數!$B$6)-MAX(C56,參數!$B$5))</f>
        <v>12512</v>
      </c>
      <c r="O56" s="6" t="n">
        <f aca="false">E56*MAX(0,MIN(K56,參數!$B$6)-MAX(H56,參數!$B$5))</f>
        <v>12512</v>
      </c>
      <c r="P56" s="6" t="n">
        <f aca="false">E56*(C56&lt;=參數!$B$8)*(J56&gt;參數!$B$8)</f>
        <v>0</v>
      </c>
      <c r="Q56" s="6" t="n">
        <f aca="false">E56*(C56&lt;=參數!$B$7)*(J56&gt;參數!$B$7)</f>
        <v>0</v>
      </c>
      <c r="R56" s="6" t="n">
        <f aca="false">E56*(H56&lt;=參數!$B$7)*(K56&gt;參數!$B$7)</f>
        <v>0</v>
      </c>
      <c r="S56" s="6" t="n">
        <f aca="false">E56*(C56&lt;=參數!$B$9)*(J56&gt;參數!$B$9)</f>
        <v>0</v>
      </c>
      <c r="T56" s="6" t="n">
        <f aca="false">E56*MAX(0,MIN(J56,參數!$B$11)-MAX(C56,參數!$B$10))</f>
        <v>0</v>
      </c>
      <c r="U56" s="6" t="n">
        <f aca="false">IF(AND(56&gt;2,A55=A56,C56&gt;=參數!$B$5,C56&lt;參數!$B$3),E56-E55,0)</f>
        <v>0</v>
      </c>
    </row>
    <row r="57" customFormat="false" ht="15" hidden="false" customHeight="false" outlineLevel="0" collapsed="false">
      <c r="A57" s="0" t="s">
        <v>150</v>
      </c>
      <c r="B57" s="0" t="s">
        <v>111</v>
      </c>
      <c r="C57" s="10" t="n">
        <v>46387</v>
      </c>
      <c r="D57" s="0" t="n">
        <v>2</v>
      </c>
      <c r="E57" s="0" t="n">
        <v>88</v>
      </c>
      <c r="F57" s="0" t="n">
        <v>114</v>
      </c>
      <c r="G57" s="0" t="n">
        <v>300151.591712986</v>
      </c>
      <c r="H57" s="10" t="n">
        <f aca="false">C57</f>
        <v>46387</v>
      </c>
      <c r="J57" s="10" t="n">
        <f aca="false">IF(AND(57&lt;122,A58=A57),C58,DATE(2100,1,1))</f>
        <v>46539</v>
      </c>
      <c r="K57" s="10" t="n">
        <f aca="false">IF(AND(57&lt;122,A58=A57),H58,DATE(2100,1,1))</f>
        <v>46539</v>
      </c>
      <c r="L57" s="6" t="n">
        <f aca="false">E57*MAX(0,MIN(J57,參數!$B$4)-MAX(C57,參數!$B$3))</f>
        <v>0</v>
      </c>
      <c r="M57" s="6" t="n">
        <f aca="false">E57*MAX(0,MIN(K57,參數!$B$4)-MAX(H57,參數!$B$3))</f>
        <v>0</v>
      </c>
      <c r="N57" s="6" t="n">
        <f aca="false">E57*MAX(0,MIN(J57,參數!$B$6)-MAX(C57,參數!$B$5))</f>
        <v>88</v>
      </c>
      <c r="O57" s="6" t="n">
        <f aca="false">E57*MAX(0,MIN(K57,參數!$B$6)-MAX(H57,參數!$B$5))</f>
        <v>88</v>
      </c>
      <c r="P57" s="6" t="n">
        <f aca="false">E57*(C57&lt;=參數!$B$8)*(J57&gt;參數!$B$8)</f>
        <v>0</v>
      </c>
      <c r="Q57" s="6" t="n">
        <f aca="false">E57*(C57&lt;=參數!$B$7)*(J57&gt;參數!$B$7)</f>
        <v>88</v>
      </c>
      <c r="R57" s="6" t="n">
        <f aca="false">E57*(H57&lt;=參數!$B$7)*(K57&gt;參數!$B$7)</f>
        <v>88</v>
      </c>
      <c r="S57" s="6" t="n">
        <f aca="false">E57*(C57&lt;=參數!$B$9)*(J57&gt;參數!$B$9)</f>
        <v>0</v>
      </c>
      <c r="T57" s="6" t="n">
        <f aca="false">E57*MAX(0,MIN(J57,參數!$B$11)-MAX(C57,參數!$B$10))</f>
        <v>0</v>
      </c>
      <c r="U57" s="6" t="n">
        <f aca="false">IF(AND(57&gt;2,A56=A57,C57&gt;=參數!$B$5,C57&lt;參數!$B$3),E57-E56,0)</f>
        <v>0</v>
      </c>
    </row>
    <row r="58" customFormat="false" ht="15" hidden="false" customHeight="false" outlineLevel="0" collapsed="false">
      <c r="A58" s="0" t="s">
        <v>150</v>
      </c>
      <c r="B58" s="0" t="s">
        <v>111</v>
      </c>
      <c r="C58" s="10" t="n">
        <v>46539</v>
      </c>
      <c r="D58" s="0" t="n">
        <v>3</v>
      </c>
      <c r="E58" s="0" t="n">
        <v>400</v>
      </c>
      <c r="F58" s="0" t="n">
        <v>520</v>
      </c>
      <c r="G58" s="0" t="n">
        <v>505305.709954523</v>
      </c>
      <c r="H58" s="10" t="n">
        <f aca="false">C58</f>
        <v>46539</v>
      </c>
      <c r="J58" s="10" t="n">
        <f aca="false">IF(AND(58&lt;122,A59=A58),C59,DATE(2100,1,1))</f>
        <v>73051</v>
      </c>
      <c r="K58" s="10" t="n">
        <f aca="false">IF(AND(58&lt;122,A59=A58),H59,DATE(2100,1,1))</f>
        <v>73051</v>
      </c>
      <c r="L58" s="6" t="n">
        <f aca="false">E58*MAX(0,MIN(J58,參數!$B$4)-MAX(C58,參數!$B$3))</f>
        <v>0</v>
      </c>
      <c r="M58" s="6" t="n">
        <f aca="false">E58*MAX(0,MIN(K58,參數!$B$4)-MAX(H58,參數!$B$3))</f>
        <v>0</v>
      </c>
      <c r="N58" s="6" t="n">
        <f aca="false">E58*MAX(0,MIN(J58,參數!$B$6)-MAX(C58,參數!$B$5))</f>
        <v>0</v>
      </c>
      <c r="O58" s="6" t="n">
        <f aca="false">E58*MAX(0,MIN(K58,參數!$B$6)-MAX(H58,參數!$B$5))</f>
        <v>0</v>
      </c>
      <c r="P58" s="6" t="n">
        <f aca="false">E58*(C58&lt;=參數!$B$8)*(J58&gt;參數!$B$8)</f>
        <v>0</v>
      </c>
      <c r="Q58" s="6" t="n">
        <f aca="false">E58*(C58&lt;=參數!$B$7)*(J58&gt;參數!$B$7)</f>
        <v>0</v>
      </c>
      <c r="R58" s="6" t="n">
        <f aca="false">E58*(H58&lt;=參數!$B$7)*(K58&gt;參數!$B$7)</f>
        <v>0</v>
      </c>
      <c r="S58" s="6" t="n">
        <f aca="false">E58*(C58&lt;=參數!$B$9)*(J58&gt;參數!$B$9)</f>
        <v>0</v>
      </c>
      <c r="T58" s="6" t="n">
        <f aca="false">E58*MAX(0,MIN(J58,參數!$B$11)-MAX(C58,參數!$B$10))</f>
        <v>0</v>
      </c>
      <c r="U58" s="6" t="n">
        <f aca="false">IF(AND(58&gt;2,A57=A58,C58&gt;=參數!$B$5,C58&lt;參數!$B$3),E58-E57,0)</f>
        <v>0</v>
      </c>
    </row>
    <row r="59" customFormat="false" ht="15" hidden="false" customHeight="false" outlineLevel="0" collapsed="false">
      <c r="A59" s="0" t="s">
        <v>151</v>
      </c>
      <c r="B59" s="0" t="s">
        <v>111</v>
      </c>
      <c r="C59" s="10" t="n">
        <v>45187</v>
      </c>
      <c r="D59" s="0" t="n">
        <v>0</v>
      </c>
      <c r="E59" s="0" t="n">
        <v>0</v>
      </c>
      <c r="F59" s="0" t="n">
        <v>0</v>
      </c>
      <c r="G59" s="0" t="n">
        <v>0</v>
      </c>
      <c r="H59" s="10" t="n">
        <f aca="false">C59</f>
        <v>45187</v>
      </c>
      <c r="J59" s="10" t="n">
        <f aca="false">IF(AND(59&lt;122,A60=A59),C60,DATE(2100,1,1))</f>
        <v>45322</v>
      </c>
      <c r="K59" s="10" t="n">
        <f aca="false">IF(AND(59&lt;122,A60=A59),H60,DATE(2100,1,1))</f>
        <v>45322</v>
      </c>
      <c r="L59" s="6" t="n">
        <f aca="false">E59*MAX(0,MIN(J59,參數!$B$4)-MAX(C59,參數!$B$3))</f>
        <v>0</v>
      </c>
      <c r="M59" s="6" t="n">
        <f aca="false">E59*MAX(0,MIN(K59,參數!$B$4)-MAX(H59,參數!$B$3))</f>
        <v>0</v>
      </c>
      <c r="N59" s="6" t="n">
        <f aca="false">E59*MAX(0,MIN(J59,參數!$B$6)-MAX(C59,參數!$B$5))</f>
        <v>0</v>
      </c>
      <c r="O59" s="6" t="n">
        <f aca="false">E59*MAX(0,MIN(K59,參數!$B$6)-MAX(H59,參數!$B$5))</f>
        <v>0</v>
      </c>
      <c r="P59" s="6" t="n">
        <f aca="false">E59*(C59&lt;=參數!$B$8)*(J59&gt;參數!$B$8)</f>
        <v>0</v>
      </c>
      <c r="Q59" s="6" t="n">
        <f aca="false">E59*(C59&lt;=參數!$B$7)*(J59&gt;參數!$B$7)</f>
        <v>0</v>
      </c>
      <c r="R59" s="6" t="n">
        <f aca="false">E59*(H59&lt;=參數!$B$7)*(K59&gt;參數!$B$7)</f>
        <v>0</v>
      </c>
      <c r="S59" s="6" t="n">
        <f aca="false">E59*(C59&lt;=參數!$B$9)*(J59&gt;參數!$B$9)</f>
        <v>0</v>
      </c>
      <c r="T59" s="6" t="n">
        <f aca="false">E59*MAX(0,MIN(J59,參數!$B$11)-MAX(C59,參數!$B$10))</f>
        <v>0</v>
      </c>
      <c r="U59" s="6" t="n">
        <f aca="false">IF(AND(59&gt;2,A58=A59,C59&gt;=參數!$B$5,C59&lt;參數!$B$3),E59-E58,0)</f>
        <v>0</v>
      </c>
    </row>
    <row r="60" customFormat="false" ht="15" hidden="false" customHeight="false" outlineLevel="0" collapsed="false">
      <c r="A60" s="0" t="s">
        <v>151</v>
      </c>
      <c r="B60" s="0" t="s">
        <v>111</v>
      </c>
      <c r="C60" s="10" t="n">
        <v>45322</v>
      </c>
      <c r="D60" s="0" t="n">
        <v>1</v>
      </c>
      <c r="E60" s="0" t="n">
        <v>18</v>
      </c>
      <c r="F60" s="0" t="n">
        <v>25</v>
      </c>
      <c r="G60" s="0" t="n">
        <v>14805.4573016675</v>
      </c>
      <c r="H60" s="10" t="n">
        <f aca="false">C60</f>
        <v>45322</v>
      </c>
      <c r="J60" s="10" t="n">
        <f aca="false">IF(AND(60&lt;122,A61=A60),C61,DATE(2100,1,1))</f>
        <v>45412</v>
      </c>
      <c r="K60" s="10" t="n">
        <f aca="false">IF(AND(60&lt;122,A61=A60),H61,DATE(2100,1,1))</f>
        <v>45412</v>
      </c>
      <c r="L60" s="6" t="n">
        <f aca="false">E60*MAX(0,MIN(J60,參數!$B$4)-MAX(C60,參數!$B$3))</f>
        <v>0</v>
      </c>
      <c r="M60" s="6" t="n">
        <f aca="false">E60*MAX(0,MIN(K60,參數!$B$4)-MAX(H60,參數!$B$3))</f>
        <v>0</v>
      </c>
      <c r="N60" s="6" t="n">
        <f aca="false">E60*MAX(0,MIN(J60,參數!$B$6)-MAX(C60,參數!$B$5))</f>
        <v>0</v>
      </c>
      <c r="O60" s="6" t="n">
        <f aca="false">E60*MAX(0,MIN(K60,參數!$B$6)-MAX(H60,參數!$B$5))</f>
        <v>0</v>
      </c>
      <c r="P60" s="6" t="n">
        <f aca="false">E60*(C60&lt;=參數!$B$8)*(J60&gt;參數!$B$8)</f>
        <v>0</v>
      </c>
      <c r="Q60" s="6" t="n">
        <f aca="false">E60*(C60&lt;=參數!$B$7)*(J60&gt;參數!$B$7)</f>
        <v>0</v>
      </c>
      <c r="R60" s="6" t="n">
        <f aca="false">E60*(H60&lt;=參數!$B$7)*(K60&gt;參數!$B$7)</f>
        <v>0</v>
      </c>
      <c r="S60" s="6" t="n">
        <f aca="false">E60*(C60&lt;=參數!$B$9)*(J60&gt;參數!$B$9)</f>
        <v>0</v>
      </c>
      <c r="T60" s="6" t="n">
        <f aca="false">E60*MAX(0,MIN(J60,參數!$B$11)-MAX(C60,參數!$B$10))</f>
        <v>0</v>
      </c>
      <c r="U60" s="6" t="n">
        <f aca="false">IF(AND(60&gt;2,A59=A60,C60&gt;=參數!$B$5,C60&lt;參數!$B$3),E60-E59,0)</f>
        <v>0</v>
      </c>
    </row>
    <row r="61" customFormat="false" ht="15" hidden="false" customHeight="false" outlineLevel="0" collapsed="false">
      <c r="A61" s="0" t="s">
        <v>151</v>
      </c>
      <c r="B61" s="0" t="s">
        <v>111</v>
      </c>
      <c r="C61" s="10" t="n">
        <v>45412</v>
      </c>
      <c r="D61" s="0" t="n">
        <v>1</v>
      </c>
      <c r="E61" s="0" t="n">
        <v>27</v>
      </c>
      <c r="F61" s="0" t="n">
        <v>38</v>
      </c>
      <c r="G61" s="0" t="n">
        <v>22081.8595250126</v>
      </c>
      <c r="H61" s="10" t="n">
        <f aca="false">C61</f>
        <v>45412</v>
      </c>
      <c r="J61" s="10" t="n">
        <f aca="false">IF(AND(61&lt;122,A62=A61),C62,DATE(2100,1,1))</f>
        <v>45679</v>
      </c>
      <c r="K61" s="10" t="n">
        <f aca="false">IF(AND(61&lt;122,A62=A61),H62,DATE(2100,1,1))</f>
        <v>45679</v>
      </c>
      <c r="L61" s="6" t="n">
        <f aca="false">E61*MAX(0,MIN(J61,參數!$B$4)-MAX(C61,參數!$B$3))</f>
        <v>0</v>
      </c>
      <c r="M61" s="6" t="n">
        <f aca="false">E61*MAX(0,MIN(K61,參數!$B$4)-MAX(H61,參數!$B$3))</f>
        <v>0</v>
      </c>
      <c r="N61" s="6" t="n">
        <f aca="false">E61*MAX(0,MIN(J61,參數!$B$6)-MAX(C61,參數!$B$5))</f>
        <v>0</v>
      </c>
      <c r="O61" s="6" t="n">
        <f aca="false">E61*MAX(0,MIN(K61,參數!$B$6)-MAX(H61,參數!$B$5))</f>
        <v>0</v>
      </c>
      <c r="P61" s="6" t="n">
        <f aca="false">E61*(C61&lt;=參數!$B$8)*(J61&gt;參數!$B$8)</f>
        <v>0</v>
      </c>
      <c r="Q61" s="6" t="n">
        <f aca="false">E61*(C61&lt;=參數!$B$7)*(J61&gt;參數!$B$7)</f>
        <v>0</v>
      </c>
      <c r="R61" s="6" t="n">
        <f aca="false">E61*(H61&lt;=參數!$B$7)*(K61&gt;參數!$B$7)</f>
        <v>0</v>
      </c>
      <c r="S61" s="6" t="n">
        <f aca="false">E61*(C61&lt;=參數!$B$9)*(J61&gt;參數!$B$9)</f>
        <v>27</v>
      </c>
      <c r="T61" s="6" t="n">
        <f aca="false">E61*MAX(0,MIN(J61,參數!$B$11)-MAX(C61,參數!$B$10))</f>
        <v>567</v>
      </c>
      <c r="U61" s="6" t="n">
        <f aca="false">IF(AND(61&gt;2,A60=A61,C61&gt;=參數!$B$5,C61&lt;參數!$B$3),E61-E60,0)</f>
        <v>0</v>
      </c>
    </row>
    <row r="62" customFormat="false" ht="15" hidden="false" customHeight="false" outlineLevel="0" collapsed="false">
      <c r="A62" s="0" t="s">
        <v>151</v>
      </c>
      <c r="B62" s="0" t="s">
        <v>111</v>
      </c>
      <c r="C62" s="10" t="n">
        <v>45679</v>
      </c>
      <c r="D62" s="0" t="n">
        <v>1</v>
      </c>
      <c r="E62" s="0" t="n">
        <v>27</v>
      </c>
      <c r="F62" s="0" t="n">
        <v>38</v>
      </c>
      <c r="G62" s="0" t="n">
        <v>22081.8595250126</v>
      </c>
      <c r="H62" s="10" t="n">
        <f aca="false">C62</f>
        <v>45679</v>
      </c>
      <c r="J62" s="10" t="n">
        <f aca="false">IF(AND(62&lt;122,A63=A62),C63,DATE(2100,1,1))</f>
        <v>46162</v>
      </c>
      <c r="K62" s="10" t="n">
        <f aca="false">IF(AND(62&lt;122,A63=A62),H63,DATE(2100,1,1))</f>
        <v>46162</v>
      </c>
      <c r="L62" s="6" t="n">
        <f aca="false">E62*MAX(0,MIN(J62,參數!$B$4)-MAX(C62,參數!$B$3))</f>
        <v>1323</v>
      </c>
      <c r="M62" s="6" t="n">
        <f aca="false">E62*MAX(0,MIN(K62,參數!$B$4)-MAX(H62,參數!$B$3))</f>
        <v>1323</v>
      </c>
      <c r="N62" s="6" t="n">
        <f aca="false">E62*MAX(0,MIN(J62,參數!$B$6)-MAX(C62,參數!$B$5))</f>
        <v>3753</v>
      </c>
      <c r="O62" s="6" t="n">
        <f aca="false">E62*MAX(0,MIN(K62,參數!$B$6)-MAX(H62,參數!$B$5))</f>
        <v>3753</v>
      </c>
      <c r="P62" s="6" t="n">
        <f aca="false">E62*(C62&lt;=參數!$B$8)*(J62&gt;參數!$B$8)</f>
        <v>27</v>
      </c>
      <c r="Q62" s="6" t="n">
        <f aca="false">E62*(C62&lt;=參數!$B$7)*(J62&gt;參數!$B$7)</f>
        <v>0</v>
      </c>
      <c r="R62" s="6" t="n">
        <f aca="false">E62*(H62&lt;=參數!$B$7)*(K62&gt;參數!$B$7)</f>
        <v>0</v>
      </c>
      <c r="S62" s="6" t="n">
        <f aca="false">E62*(C62&lt;=參數!$B$9)*(J62&gt;參數!$B$9)</f>
        <v>0</v>
      </c>
      <c r="T62" s="6" t="n">
        <f aca="false">E62*MAX(0,MIN(J62,參數!$B$11)-MAX(C62,參數!$B$10))</f>
        <v>9288</v>
      </c>
      <c r="U62" s="6" t="n">
        <f aca="false">IF(AND(62&gt;2,A61=A62,C62&gt;=參數!$B$5,C62&lt;參數!$B$3),E62-E61,0)</f>
        <v>0</v>
      </c>
    </row>
    <row r="63" customFormat="false" ht="15" hidden="false" customHeight="false" outlineLevel="0" collapsed="false">
      <c r="A63" s="0" t="s">
        <v>151</v>
      </c>
      <c r="B63" s="0" t="s">
        <v>111</v>
      </c>
      <c r="C63" s="10" t="n">
        <v>46162</v>
      </c>
      <c r="D63" s="0" t="n">
        <v>2</v>
      </c>
      <c r="E63" s="0" t="n">
        <v>82</v>
      </c>
      <c r="F63" s="0" t="n">
        <v>114</v>
      </c>
      <c r="G63" s="0" t="n">
        <v>88428.4992420414</v>
      </c>
      <c r="H63" s="10" t="n">
        <f aca="false">C63</f>
        <v>46162</v>
      </c>
      <c r="J63" s="10" t="n">
        <f aca="false">IF(AND(63&lt;122,A64=A63),C64,DATE(2100,1,1))</f>
        <v>46568</v>
      </c>
      <c r="K63" s="10" t="n">
        <f aca="false">IF(AND(63&lt;122,A64=A63),H64,DATE(2100,1,1))</f>
        <v>46568</v>
      </c>
      <c r="L63" s="6" t="n">
        <f aca="false">E63*MAX(0,MIN(J63,參數!$B$4)-MAX(C63,參數!$B$3))</f>
        <v>3444</v>
      </c>
      <c r="M63" s="6" t="n">
        <f aca="false">E63*MAX(0,MIN(K63,參數!$B$4)-MAX(H63,參數!$B$3))</f>
        <v>3444</v>
      </c>
      <c r="N63" s="6" t="n">
        <f aca="false">E63*MAX(0,MIN(J63,參數!$B$6)-MAX(C63,參數!$B$5))</f>
        <v>18532</v>
      </c>
      <c r="O63" s="6" t="n">
        <f aca="false">E63*MAX(0,MIN(K63,參數!$B$6)-MAX(H63,參數!$B$5))</f>
        <v>18532</v>
      </c>
      <c r="P63" s="6" t="n">
        <f aca="false">E63*(C63&lt;=參數!$B$8)*(J63&gt;參數!$B$8)</f>
        <v>0</v>
      </c>
      <c r="Q63" s="6" t="n">
        <f aca="false">E63*(C63&lt;=參數!$B$7)*(J63&gt;參數!$B$7)</f>
        <v>82</v>
      </c>
      <c r="R63" s="6" t="n">
        <f aca="false">E63*(H63&lt;=參數!$B$7)*(K63&gt;參數!$B$7)</f>
        <v>82</v>
      </c>
      <c r="S63" s="6" t="n">
        <f aca="false">E63*(C63&lt;=參數!$B$9)*(J63&gt;參數!$B$9)</f>
        <v>0</v>
      </c>
      <c r="T63" s="6" t="n">
        <f aca="false">E63*MAX(0,MIN(J63,參數!$B$11)-MAX(C63,參數!$B$10))</f>
        <v>0</v>
      </c>
      <c r="U63" s="6" t="n">
        <f aca="false">IF(AND(63&gt;2,A62=A63,C63&gt;=參數!$B$5,C63&lt;參數!$B$3),E63-E62,0)</f>
        <v>0</v>
      </c>
    </row>
    <row r="64" customFormat="false" ht="15" hidden="false" customHeight="false" outlineLevel="0" collapsed="false">
      <c r="A64" s="0" t="s">
        <v>151</v>
      </c>
      <c r="B64" s="0" t="s">
        <v>111</v>
      </c>
      <c r="C64" s="10" t="n">
        <v>46568</v>
      </c>
      <c r="D64" s="0" t="n">
        <v>3</v>
      </c>
      <c r="E64" s="0" t="n">
        <v>113</v>
      </c>
      <c r="F64" s="0" t="n">
        <v>197</v>
      </c>
      <c r="G64" s="0" t="n">
        <v>125821.121778676</v>
      </c>
      <c r="H64" s="10" t="n">
        <f aca="false">C64</f>
        <v>46568</v>
      </c>
      <c r="J64" s="10" t="n">
        <f aca="false">IF(AND(64&lt;122,A65=A64),C65,DATE(2100,1,1))</f>
        <v>73051</v>
      </c>
      <c r="K64" s="10" t="n">
        <f aca="false">IF(AND(64&lt;122,A65=A64),H65,DATE(2100,1,1))</f>
        <v>73051</v>
      </c>
      <c r="L64" s="6" t="n">
        <f aca="false">E64*MAX(0,MIN(J64,參數!$B$4)-MAX(C64,參數!$B$3))</f>
        <v>0</v>
      </c>
      <c r="M64" s="6" t="n">
        <f aca="false">E64*MAX(0,MIN(K64,參數!$B$4)-MAX(H64,參數!$B$3))</f>
        <v>0</v>
      </c>
      <c r="N64" s="6" t="n">
        <f aca="false">E64*MAX(0,MIN(J64,參數!$B$6)-MAX(C64,參數!$B$5))</f>
        <v>0</v>
      </c>
      <c r="O64" s="6" t="n">
        <f aca="false">E64*MAX(0,MIN(K64,參數!$B$6)-MAX(H64,參數!$B$5))</f>
        <v>0</v>
      </c>
      <c r="P64" s="6" t="n">
        <f aca="false">E64*(C64&lt;=參數!$B$8)*(J64&gt;參數!$B$8)</f>
        <v>0</v>
      </c>
      <c r="Q64" s="6" t="n">
        <f aca="false">E64*(C64&lt;=參數!$B$7)*(J64&gt;參數!$B$7)</f>
        <v>0</v>
      </c>
      <c r="R64" s="6" t="n">
        <f aca="false">E64*(H64&lt;=參數!$B$7)*(K64&gt;參數!$B$7)</f>
        <v>0</v>
      </c>
      <c r="S64" s="6" t="n">
        <f aca="false">E64*(C64&lt;=參數!$B$9)*(J64&gt;參數!$B$9)</f>
        <v>0</v>
      </c>
      <c r="T64" s="6" t="n">
        <f aca="false">E64*MAX(0,MIN(J64,參數!$B$11)-MAX(C64,參數!$B$10))</f>
        <v>0</v>
      </c>
      <c r="U64" s="6" t="n">
        <f aca="false">IF(AND(64&gt;2,A63=A64,C64&gt;=參數!$B$5,C64&lt;參數!$B$3),E64-E63,0)</f>
        <v>0</v>
      </c>
    </row>
    <row r="65" customFormat="false" ht="15" hidden="false" customHeight="false" outlineLevel="0" collapsed="false">
      <c r="A65" s="0" t="s">
        <v>152</v>
      </c>
      <c r="B65" s="0" t="s">
        <v>111</v>
      </c>
      <c r="C65" s="10" t="n">
        <v>45468</v>
      </c>
      <c r="D65" s="0" t="n">
        <v>0</v>
      </c>
      <c r="E65" s="0" t="n">
        <v>0</v>
      </c>
      <c r="F65" s="0" t="n">
        <v>0</v>
      </c>
      <c r="G65" s="0" t="n">
        <v>0</v>
      </c>
      <c r="H65" s="10" t="n">
        <f aca="false">C65</f>
        <v>45468</v>
      </c>
      <c r="J65" s="10" t="n">
        <f aca="false">IF(AND(65&lt;122,A66=A65),C66,DATE(2100,1,1))</f>
        <v>46094</v>
      </c>
      <c r="K65" s="10" t="n">
        <f aca="false">IF(AND(65&lt;122,A66=A65),H66,DATE(2100,1,1))</f>
        <v>46094</v>
      </c>
      <c r="L65" s="6" t="n">
        <f aca="false">E65*MAX(0,MIN(J65,參數!$B$4)-MAX(C65,參數!$B$3))</f>
        <v>0</v>
      </c>
      <c r="M65" s="6" t="n">
        <f aca="false">E65*MAX(0,MIN(K65,參數!$B$4)-MAX(H65,參數!$B$3))</f>
        <v>0</v>
      </c>
      <c r="N65" s="6" t="n">
        <f aca="false">E65*MAX(0,MIN(J65,參數!$B$6)-MAX(C65,參數!$B$5))</f>
        <v>0</v>
      </c>
      <c r="O65" s="6" t="n">
        <f aca="false">E65*MAX(0,MIN(K65,參數!$B$6)-MAX(H65,參數!$B$5))</f>
        <v>0</v>
      </c>
      <c r="P65" s="6" t="n">
        <f aca="false">E65*(C65&lt;=參數!$B$8)*(J65&gt;參數!$B$8)</f>
        <v>0</v>
      </c>
      <c r="Q65" s="6" t="n">
        <f aca="false">E65*(C65&lt;=參數!$B$7)*(J65&gt;參數!$B$7)</f>
        <v>0</v>
      </c>
      <c r="R65" s="6" t="n">
        <f aca="false">E65*(H65&lt;=參數!$B$7)*(K65&gt;參數!$B$7)</f>
        <v>0</v>
      </c>
      <c r="S65" s="6" t="n">
        <f aca="false">E65*(C65&lt;=參數!$B$9)*(J65&gt;參數!$B$9)</f>
        <v>0</v>
      </c>
      <c r="T65" s="6" t="n">
        <f aca="false">E65*MAX(0,MIN(J65,參數!$B$11)-MAX(C65,參數!$B$10))</f>
        <v>0</v>
      </c>
      <c r="U65" s="6" t="n">
        <f aca="false">IF(AND(65&gt;2,A64=A65,C65&gt;=參數!$B$5,C65&lt;參數!$B$3),E65-E64,0)</f>
        <v>0</v>
      </c>
    </row>
    <row r="66" customFormat="false" ht="15" hidden="false" customHeight="false" outlineLevel="0" collapsed="false">
      <c r="A66" s="0" t="s">
        <v>152</v>
      </c>
      <c r="B66" s="0" t="s">
        <v>111</v>
      </c>
      <c r="C66" s="10" t="n">
        <v>46094</v>
      </c>
      <c r="D66" s="0" t="n">
        <v>1</v>
      </c>
      <c r="E66" s="0" t="n">
        <v>36</v>
      </c>
      <c r="F66" s="0" t="n">
        <v>50.4</v>
      </c>
      <c r="G66" s="0" t="n">
        <v>43456.2910560889</v>
      </c>
      <c r="H66" s="10" t="n">
        <f aca="false">C66</f>
        <v>46094</v>
      </c>
      <c r="J66" s="10" t="n">
        <f aca="false">IF(AND(66&lt;122,A67=A66),C67,DATE(2100,1,1))</f>
        <v>46129</v>
      </c>
      <c r="K66" s="10" t="n">
        <f aca="false">IF(AND(66&lt;122,A67=A66),H67,DATE(2100,1,1))</f>
        <v>46129</v>
      </c>
      <c r="L66" s="6" t="n">
        <f aca="false">E66*MAX(0,MIN(J66,參數!$B$4)-MAX(C66,參數!$B$3))</f>
        <v>576</v>
      </c>
      <c r="M66" s="6" t="n">
        <f aca="false">E66*MAX(0,MIN(K66,參數!$B$4)-MAX(H66,參數!$B$3))</f>
        <v>576</v>
      </c>
      <c r="N66" s="6" t="n">
        <f aca="false">E66*MAX(0,MIN(J66,參數!$B$6)-MAX(C66,參數!$B$5))</f>
        <v>1260</v>
      </c>
      <c r="O66" s="6" t="n">
        <f aca="false">E66*MAX(0,MIN(K66,參數!$B$6)-MAX(H66,參數!$B$5))</f>
        <v>1260</v>
      </c>
      <c r="P66" s="6" t="n">
        <f aca="false">E66*(C66&lt;=參數!$B$8)*(J66&gt;參數!$B$8)</f>
        <v>0</v>
      </c>
      <c r="Q66" s="6" t="n">
        <f aca="false">E66*(C66&lt;=參數!$B$7)*(J66&gt;參數!$B$7)</f>
        <v>0</v>
      </c>
      <c r="R66" s="6" t="n">
        <f aca="false">E66*(H66&lt;=參數!$B$7)*(K66&gt;參數!$B$7)</f>
        <v>0</v>
      </c>
      <c r="S66" s="6" t="n">
        <f aca="false">E66*(C66&lt;=參數!$B$9)*(J66&gt;參數!$B$9)</f>
        <v>0</v>
      </c>
      <c r="T66" s="6" t="n">
        <f aca="false">E66*MAX(0,MIN(J66,參數!$B$11)-MAX(C66,參數!$B$10))</f>
        <v>0</v>
      </c>
      <c r="U66" s="6" t="n">
        <f aca="false">IF(AND(66&gt;2,A65=A66,C66&gt;=參數!$B$5,C66&lt;參數!$B$3),E66-E65,0)</f>
        <v>36</v>
      </c>
    </row>
    <row r="67" customFormat="false" ht="15" hidden="false" customHeight="false" outlineLevel="0" collapsed="false">
      <c r="A67" s="0" t="s">
        <v>152</v>
      </c>
      <c r="B67" s="0" t="s">
        <v>111</v>
      </c>
      <c r="C67" s="10" t="n">
        <v>46129</v>
      </c>
      <c r="D67" s="0" t="n">
        <v>1</v>
      </c>
      <c r="E67" s="0" t="n">
        <v>36</v>
      </c>
      <c r="F67" s="0" t="n">
        <v>50.4</v>
      </c>
      <c r="G67" s="0" t="n">
        <v>43456.2910560889</v>
      </c>
      <c r="H67" s="10" t="n">
        <f aca="false">C67</f>
        <v>46129</v>
      </c>
      <c r="J67" s="10" t="n">
        <f aca="false">IF(AND(67&lt;122,A68=A67),C68,DATE(2100,1,1))</f>
        <v>46148</v>
      </c>
      <c r="K67" s="10" t="n">
        <f aca="false">IF(AND(67&lt;122,A68=A67),H68,DATE(2100,1,1))</f>
        <v>46148</v>
      </c>
      <c r="L67" s="6" t="n">
        <f aca="false">E67*MAX(0,MIN(J67,參數!$B$4)-MAX(C67,參數!$B$3))</f>
        <v>684</v>
      </c>
      <c r="M67" s="6" t="n">
        <f aca="false">E67*MAX(0,MIN(K67,參數!$B$4)-MAX(H67,參數!$B$3))</f>
        <v>684</v>
      </c>
      <c r="N67" s="6" t="n">
        <f aca="false">E67*MAX(0,MIN(J67,參數!$B$6)-MAX(C67,參數!$B$5))</f>
        <v>684</v>
      </c>
      <c r="O67" s="6" t="n">
        <f aca="false">E67*MAX(0,MIN(K67,參數!$B$6)-MAX(H67,參數!$B$5))</f>
        <v>684</v>
      </c>
      <c r="P67" s="6" t="n">
        <f aca="false">E67*(C67&lt;=參數!$B$8)*(J67&gt;參數!$B$8)</f>
        <v>0</v>
      </c>
      <c r="Q67" s="6" t="n">
        <f aca="false">E67*(C67&lt;=參數!$B$7)*(J67&gt;參數!$B$7)</f>
        <v>0</v>
      </c>
      <c r="R67" s="6" t="n">
        <f aca="false">E67*(H67&lt;=參數!$B$7)*(K67&gt;參數!$B$7)</f>
        <v>0</v>
      </c>
      <c r="S67" s="6" t="n">
        <f aca="false">E67*(C67&lt;=參數!$B$9)*(J67&gt;參數!$B$9)</f>
        <v>0</v>
      </c>
      <c r="T67" s="6" t="n">
        <f aca="false">E67*MAX(0,MIN(J67,參數!$B$11)-MAX(C67,參數!$B$10))</f>
        <v>0</v>
      </c>
      <c r="U67" s="6" t="n">
        <f aca="false">IF(AND(67&gt;2,A66=A67,C67&gt;=參數!$B$5,C67&lt;參數!$B$3),E67-E66,0)</f>
        <v>0</v>
      </c>
    </row>
    <row r="68" customFormat="false" ht="15" hidden="false" customHeight="false" outlineLevel="0" collapsed="false">
      <c r="A68" s="0" t="s">
        <v>152</v>
      </c>
      <c r="B68" s="0" t="s">
        <v>111</v>
      </c>
      <c r="C68" s="10" t="n">
        <v>46148</v>
      </c>
      <c r="D68" s="0" t="n">
        <v>1</v>
      </c>
      <c r="E68" s="0" t="n">
        <v>65</v>
      </c>
      <c r="F68" s="0" t="n">
        <v>91</v>
      </c>
      <c r="G68" s="0" t="n">
        <v>78827.6907529055</v>
      </c>
      <c r="H68" s="10" t="n">
        <f aca="false">C68</f>
        <v>46148</v>
      </c>
      <c r="J68" s="10" t="n">
        <f aca="false">IF(AND(68&lt;122,A69=A68),C69,DATE(2100,1,1))</f>
        <v>73051</v>
      </c>
      <c r="K68" s="10" t="n">
        <f aca="false">IF(AND(68&lt;122,A69=A68),H69,DATE(2100,1,1))</f>
        <v>73051</v>
      </c>
      <c r="L68" s="6" t="n">
        <f aca="false">E68*MAX(0,MIN(J68,參數!$B$4)-MAX(C68,參數!$B$3))</f>
        <v>3640</v>
      </c>
      <c r="M68" s="6" t="n">
        <f aca="false">E68*MAX(0,MIN(K68,參數!$B$4)-MAX(H68,參數!$B$3))</f>
        <v>3640</v>
      </c>
      <c r="N68" s="6" t="n">
        <f aca="false">E68*MAX(0,MIN(J68,參數!$B$6)-MAX(C68,參數!$B$5))</f>
        <v>15600</v>
      </c>
      <c r="O68" s="6" t="n">
        <f aca="false">E68*MAX(0,MIN(K68,參數!$B$6)-MAX(H68,參數!$B$5))</f>
        <v>15600</v>
      </c>
      <c r="P68" s="6" t="n">
        <f aca="false">E68*(C68&lt;=參數!$B$8)*(J68&gt;參數!$B$8)</f>
        <v>0</v>
      </c>
      <c r="Q68" s="6" t="n">
        <f aca="false">E68*(C68&lt;=參數!$B$7)*(J68&gt;參數!$B$7)</f>
        <v>65</v>
      </c>
      <c r="R68" s="6" t="n">
        <f aca="false">E68*(H68&lt;=參數!$B$7)*(K68&gt;參數!$B$7)</f>
        <v>65</v>
      </c>
      <c r="S68" s="6" t="n">
        <f aca="false">E68*(C68&lt;=參數!$B$9)*(J68&gt;參數!$B$9)</f>
        <v>0</v>
      </c>
      <c r="T68" s="6" t="n">
        <f aca="false">E68*MAX(0,MIN(J68,參數!$B$11)-MAX(C68,參數!$B$10))</f>
        <v>0</v>
      </c>
      <c r="U68" s="6" t="n">
        <f aca="false">IF(AND(68&gt;2,A67=A68,C68&gt;=參數!$B$5,C68&lt;參數!$B$3),E68-E67,0)</f>
        <v>0</v>
      </c>
    </row>
    <row r="69" customFormat="false" ht="15" hidden="false" customHeight="false" outlineLevel="0" collapsed="false">
      <c r="A69" s="0" t="s">
        <v>153</v>
      </c>
      <c r="B69" s="0" t="s">
        <v>111</v>
      </c>
      <c r="C69" s="10" t="n">
        <v>45314</v>
      </c>
      <c r="D69" s="0" t="n">
        <v>0</v>
      </c>
      <c r="E69" s="0" t="n">
        <v>0</v>
      </c>
      <c r="F69" s="0" t="n">
        <v>0</v>
      </c>
      <c r="G69" s="0" t="n">
        <v>0</v>
      </c>
      <c r="H69" s="10" t="n">
        <f aca="false">C69</f>
        <v>45314</v>
      </c>
      <c r="J69" s="10" t="n">
        <f aca="false">IF(AND(69&lt;122,A70=A69),C70,DATE(2100,1,1))</f>
        <v>45865</v>
      </c>
      <c r="K69" s="10" t="n">
        <f aca="false">IF(AND(69&lt;122,A70=A69),H70,DATE(2100,1,1))</f>
        <v>45865</v>
      </c>
      <c r="L69" s="6" t="n">
        <f aca="false">E69*MAX(0,MIN(J69,參數!$B$4)-MAX(C69,參數!$B$3))</f>
        <v>0</v>
      </c>
      <c r="M69" s="6" t="n">
        <f aca="false">E69*MAX(0,MIN(K69,參數!$B$4)-MAX(H69,參數!$B$3))</f>
        <v>0</v>
      </c>
      <c r="N69" s="6" t="n">
        <f aca="false">E69*MAX(0,MIN(J69,參數!$B$6)-MAX(C69,參數!$B$5))</f>
        <v>0</v>
      </c>
      <c r="O69" s="6" t="n">
        <f aca="false">E69*MAX(0,MIN(K69,參數!$B$6)-MAX(H69,參數!$B$5))</f>
        <v>0</v>
      </c>
      <c r="P69" s="6" t="n">
        <f aca="false">E69*(C69&lt;=參數!$B$8)*(J69&gt;參數!$B$8)</f>
        <v>0</v>
      </c>
      <c r="Q69" s="6" t="n">
        <f aca="false">E69*(C69&lt;=參數!$B$7)*(J69&gt;參數!$B$7)</f>
        <v>0</v>
      </c>
      <c r="R69" s="6" t="n">
        <f aca="false">E69*(H69&lt;=參數!$B$7)*(K69&gt;參數!$B$7)</f>
        <v>0</v>
      </c>
      <c r="S69" s="6" t="n">
        <f aca="false">E69*(C69&lt;=參數!$B$9)*(J69&gt;參數!$B$9)</f>
        <v>0</v>
      </c>
      <c r="T69" s="6" t="n">
        <f aca="false">E69*MAX(0,MIN(J69,參數!$B$11)-MAX(C69,參數!$B$10))</f>
        <v>0</v>
      </c>
      <c r="U69" s="6" t="n">
        <f aca="false">IF(AND(69&gt;2,A68=A69,C69&gt;=參數!$B$5,C69&lt;參數!$B$3),E69-E68,0)</f>
        <v>0</v>
      </c>
    </row>
    <row r="70" customFormat="false" ht="15" hidden="false" customHeight="false" outlineLevel="0" collapsed="false">
      <c r="A70" s="0" t="s">
        <v>153</v>
      </c>
      <c r="B70" s="0" t="s">
        <v>111</v>
      </c>
      <c r="C70" s="10" t="n">
        <v>45865</v>
      </c>
      <c r="D70" s="0" t="n">
        <v>1</v>
      </c>
      <c r="E70" s="0" t="n">
        <v>42</v>
      </c>
      <c r="F70" s="0" t="n">
        <v>55</v>
      </c>
      <c r="G70" s="0" t="n">
        <v>50773.1177362304</v>
      </c>
      <c r="H70" s="10" t="n">
        <f aca="false">C70</f>
        <v>45865</v>
      </c>
      <c r="J70" s="10" t="n">
        <f aca="false">IF(AND(70&lt;122,A71=A70),C71,DATE(2100,1,1))</f>
        <v>46137</v>
      </c>
      <c r="K70" s="10" t="n">
        <f aca="false">IF(AND(70&lt;122,A71=A70),H71,DATE(2100,1,1))</f>
        <v>46137</v>
      </c>
      <c r="L70" s="6" t="n">
        <f aca="false">E70*MAX(0,MIN(J70,參數!$B$4)-MAX(C70,參數!$B$3))</f>
        <v>1008</v>
      </c>
      <c r="M70" s="6" t="n">
        <f aca="false">E70*MAX(0,MIN(K70,參數!$B$4)-MAX(H70,參數!$B$3))</f>
        <v>1008</v>
      </c>
      <c r="N70" s="6" t="n">
        <f aca="false">E70*MAX(0,MIN(J70,參數!$B$6)-MAX(C70,參數!$B$5))</f>
        <v>4788</v>
      </c>
      <c r="O70" s="6" t="n">
        <f aca="false">E70*MAX(0,MIN(K70,參數!$B$6)-MAX(H70,參數!$B$5))</f>
        <v>4788</v>
      </c>
      <c r="P70" s="6" t="n">
        <f aca="false">E70*(C70&lt;=參數!$B$8)*(J70&gt;參數!$B$8)</f>
        <v>42</v>
      </c>
      <c r="Q70" s="6" t="n">
        <f aca="false">E70*(C70&lt;=參數!$B$7)*(J70&gt;參數!$B$7)</f>
        <v>0</v>
      </c>
      <c r="R70" s="6" t="n">
        <f aca="false">E70*(H70&lt;=參數!$B$7)*(K70&gt;參數!$B$7)</f>
        <v>0</v>
      </c>
      <c r="S70" s="6" t="n">
        <f aca="false">E70*(C70&lt;=參數!$B$9)*(J70&gt;參數!$B$9)</f>
        <v>0</v>
      </c>
      <c r="T70" s="6" t="n">
        <f aca="false">E70*MAX(0,MIN(J70,參數!$B$11)-MAX(C70,參數!$B$10))</f>
        <v>6636</v>
      </c>
      <c r="U70" s="6" t="n">
        <f aca="false">IF(AND(70&gt;2,A69=A70,C70&gt;=參數!$B$5,C70&lt;參數!$B$3),E70-E69,0)</f>
        <v>0</v>
      </c>
    </row>
    <row r="71" customFormat="false" ht="15" hidden="false" customHeight="false" outlineLevel="0" collapsed="false">
      <c r="A71" s="0" t="s">
        <v>153</v>
      </c>
      <c r="B71" s="0" t="s">
        <v>111</v>
      </c>
      <c r="C71" s="10" t="n">
        <v>46137</v>
      </c>
      <c r="D71" s="0" t="n">
        <v>1</v>
      </c>
      <c r="E71" s="0" t="n">
        <v>42</v>
      </c>
      <c r="F71" s="0" t="n">
        <v>55</v>
      </c>
      <c r="G71" s="0" t="n">
        <v>50773.1177362304</v>
      </c>
      <c r="H71" s="10" t="n">
        <f aca="false">C71</f>
        <v>46137</v>
      </c>
      <c r="J71" s="10" t="n">
        <f aca="false">IF(AND(71&lt;122,A72=A71),C72,DATE(2100,1,1))</f>
        <v>46249</v>
      </c>
      <c r="K71" s="10" t="n">
        <f aca="false">IF(AND(71&lt;122,A72=A71),H72,DATE(2100,1,1))</f>
        <v>46249</v>
      </c>
      <c r="L71" s="6" t="n">
        <f aca="false">E71*MAX(0,MIN(J71,參數!$B$4)-MAX(C71,參數!$B$3))</f>
        <v>2814</v>
      </c>
      <c r="M71" s="6" t="n">
        <f aca="false">E71*MAX(0,MIN(K71,參數!$B$4)-MAX(H71,參數!$B$3))</f>
        <v>2814</v>
      </c>
      <c r="N71" s="6" t="n">
        <f aca="false">E71*MAX(0,MIN(J71,參數!$B$6)-MAX(C71,參數!$B$5))</f>
        <v>4704</v>
      </c>
      <c r="O71" s="6" t="n">
        <f aca="false">E71*MAX(0,MIN(K71,參數!$B$6)-MAX(H71,參數!$B$5))</f>
        <v>4704</v>
      </c>
      <c r="P71" s="6" t="n">
        <f aca="false">E71*(C71&lt;=參數!$B$8)*(J71&gt;參數!$B$8)</f>
        <v>0</v>
      </c>
      <c r="Q71" s="6" t="n">
        <f aca="false">E71*(C71&lt;=參數!$B$7)*(J71&gt;參數!$B$7)</f>
        <v>0</v>
      </c>
      <c r="R71" s="6" t="n">
        <f aca="false">E71*(H71&lt;=參數!$B$7)*(K71&gt;參數!$B$7)</f>
        <v>0</v>
      </c>
      <c r="S71" s="6" t="n">
        <f aca="false">E71*(C71&lt;=參數!$B$9)*(J71&gt;參數!$B$9)</f>
        <v>0</v>
      </c>
      <c r="T71" s="6" t="n">
        <f aca="false">E71*MAX(0,MIN(J71,參數!$B$11)-MAX(C71,參數!$B$10))</f>
        <v>0</v>
      </c>
      <c r="U71" s="6" t="n">
        <f aca="false">IF(AND(71&gt;2,A70=A71,C71&gt;=參數!$B$5,C71&lt;參數!$B$3),E71-E70,0)</f>
        <v>0</v>
      </c>
    </row>
    <row r="72" customFormat="false" ht="15" hidden="false" customHeight="false" outlineLevel="0" collapsed="false">
      <c r="A72" s="0" t="s">
        <v>153</v>
      </c>
      <c r="B72" s="0" t="s">
        <v>111</v>
      </c>
      <c r="C72" s="10" t="n">
        <v>46249</v>
      </c>
      <c r="D72" s="0" t="n">
        <v>1</v>
      </c>
      <c r="E72" s="0" t="n">
        <v>42</v>
      </c>
      <c r="F72" s="0" t="n">
        <v>55</v>
      </c>
      <c r="G72" s="0" t="n">
        <v>50773.1177362304</v>
      </c>
      <c r="H72" s="10" t="n">
        <f aca="false">C72</f>
        <v>46249</v>
      </c>
      <c r="J72" s="10" t="n">
        <f aca="false">IF(AND(72&lt;122,A73=A72),C73,DATE(2100,1,1))</f>
        <v>73051</v>
      </c>
      <c r="K72" s="10" t="n">
        <f aca="false">IF(AND(72&lt;122,A73=A72),H73,DATE(2100,1,1))</f>
        <v>73051</v>
      </c>
      <c r="L72" s="6" t="n">
        <f aca="false">E72*MAX(0,MIN(J72,參數!$B$4)-MAX(C72,參數!$B$3))</f>
        <v>0</v>
      </c>
      <c r="M72" s="6" t="n">
        <f aca="false">E72*MAX(0,MIN(K72,參數!$B$4)-MAX(H72,參數!$B$3))</f>
        <v>0</v>
      </c>
      <c r="N72" s="6" t="n">
        <f aca="false">E72*MAX(0,MIN(J72,參數!$B$6)-MAX(C72,參數!$B$5))</f>
        <v>5838</v>
      </c>
      <c r="O72" s="6" t="n">
        <f aca="false">E72*MAX(0,MIN(K72,參數!$B$6)-MAX(H72,參數!$B$5))</f>
        <v>5838</v>
      </c>
      <c r="P72" s="6" t="n">
        <f aca="false">E72*(C72&lt;=參數!$B$8)*(J72&gt;參數!$B$8)</f>
        <v>0</v>
      </c>
      <c r="Q72" s="6" t="n">
        <f aca="false">E72*(C72&lt;=參數!$B$7)*(J72&gt;參數!$B$7)</f>
        <v>42</v>
      </c>
      <c r="R72" s="6" t="n">
        <f aca="false">E72*(H72&lt;=參數!$B$7)*(K72&gt;參數!$B$7)</f>
        <v>42</v>
      </c>
      <c r="S72" s="6" t="n">
        <f aca="false">E72*(C72&lt;=參數!$B$9)*(J72&gt;參數!$B$9)</f>
        <v>0</v>
      </c>
      <c r="T72" s="6" t="n">
        <f aca="false">E72*MAX(0,MIN(J72,參數!$B$11)-MAX(C72,參數!$B$10))</f>
        <v>0</v>
      </c>
      <c r="U72" s="6" t="n">
        <f aca="false">IF(AND(72&gt;2,A71=A72,C72&gt;=參數!$B$5,C72&lt;參數!$B$3),E72-E71,0)</f>
        <v>0</v>
      </c>
    </row>
    <row r="73" customFormat="false" ht="15" hidden="false" customHeight="false" outlineLevel="0" collapsed="false">
      <c r="A73" s="0" t="s">
        <v>154</v>
      </c>
      <c r="B73" s="0" t="s">
        <v>111</v>
      </c>
      <c r="C73" s="10" t="n">
        <v>45446</v>
      </c>
      <c r="D73" s="0" t="n">
        <v>0</v>
      </c>
      <c r="E73" s="0" t="n">
        <v>0</v>
      </c>
      <c r="F73" s="0" t="n">
        <v>0</v>
      </c>
      <c r="G73" s="0" t="n">
        <v>0</v>
      </c>
      <c r="H73" s="10" t="n">
        <f aca="false">C73</f>
        <v>45446</v>
      </c>
      <c r="J73" s="10" t="n">
        <f aca="false">IF(AND(73&lt;122,A74=A73),C74,DATE(2100,1,1))</f>
        <v>45778</v>
      </c>
      <c r="K73" s="10" t="n">
        <f aca="false">IF(AND(73&lt;122,A74=A73),H74,DATE(2100,1,1))</f>
        <v>45778</v>
      </c>
      <c r="L73" s="6" t="n">
        <f aca="false">E73*MAX(0,MIN(J73,參數!$B$4)-MAX(C73,參數!$B$3))</f>
        <v>0</v>
      </c>
      <c r="M73" s="6" t="n">
        <f aca="false">E73*MAX(0,MIN(K73,參數!$B$4)-MAX(H73,參數!$B$3))</f>
        <v>0</v>
      </c>
      <c r="N73" s="6" t="n">
        <f aca="false">E73*MAX(0,MIN(J73,參數!$B$6)-MAX(C73,參數!$B$5))</f>
        <v>0</v>
      </c>
      <c r="O73" s="6" t="n">
        <f aca="false">E73*MAX(0,MIN(K73,參數!$B$6)-MAX(H73,參數!$B$5))</f>
        <v>0</v>
      </c>
      <c r="P73" s="6" t="n">
        <f aca="false">E73*(C73&lt;=參數!$B$8)*(J73&gt;參數!$B$8)</f>
        <v>0</v>
      </c>
      <c r="Q73" s="6" t="n">
        <f aca="false">E73*(C73&lt;=參數!$B$7)*(J73&gt;參數!$B$7)</f>
        <v>0</v>
      </c>
      <c r="R73" s="6" t="n">
        <f aca="false">E73*(H73&lt;=參數!$B$7)*(K73&gt;參數!$B$7)</f>
        <v>0</v>
      </c>
      <c r="S73" s="6" t="n">
        <f aca="false">E73*(C73&lt;=參數!$B$9)*(J73&gt;參數!$B$9)</f>
        <v>0</v>
      </c>
      <c r="T73" s="6" t="n">
        <f aca="false">E73*MAX(0,MIN(J73,參數!$B$11)-MAX(C73,參數!$B$10))</f>
        <v>0</v>
      </c>
      <c r="U73" s="6" t="n">
        <f aca="false">IF(AND(73&gt;2,A72=A73,C73&gt;=參數!$B$5,C73&lt;參數!$B$3),E73-E72,0)</f>
        <v>0</v>
      </c>
    </row>
    <row r="74" customFormat="false" ht="15" hidden="false" customHeight="false" outlineLevel="0" collapsed="false">
      <c r="A74" s="0" t="s">
        <v>154</v>
      </c>
      <c r="B74" s="0" t="s">
        <v>111</v>
      </c>
      <c r="C74" s="10" t="n">
        <v>45778</v>
      </c>
      <c r="D74" s="0" t="n">
        <v>0</v>
      </c>
      <c r="E74" s="0" t="n">
        <v>0</v>
      </c>
      <c r="F74" s="0" t="n">
        <v>0</v>
      </c>
      <c r="G74" s="0" t="n">
        <v>0</v>
      </c>
      <c r="H74" s="10" t="n">
        <f aca="false">C74</f>
        <v>45778</v>
      </c>
      <c r="J74" s="10" t="n">
        <f aca="false">IF(AND(74&lt;122,A75=A74),C75,DATE(2100,1,1))</f>
        <v>45898</v>
      </c>
      <c r="K74" s="10" t="n">
        <f aca="false">IF(AND(74&lt;122,A75=A74),H75,DATE(2100,1,1))</f>
        <v>45898</v>
      </c>
      <c r="L74" s="6" t="n">
        <f aca="false">E74*MAX(0,MIN(J74,參數!$B$4)-MAX(C74,參數!$B$3))</f>
        <v>0</v>
      </c>
      <c r="M74" s="6" t="n">
        <f aca="false">E74*MAX(0,MIN(K74,參數!$B$4)-MAX(H74,參數!$B$3))</f>
        <v>0</v>
      </c>
      <c r="N74" s="6" t="n">
        <f aca="false">E74*MAX(0,MIN(J74,參數!$B$6)-MAX(C74,參數!$B$5))</f>
        <v>0</v>
      </c>
      <c r="O74" s="6" t="n">
        <f aca="false">E74*MAX(0,MIN(K74,參數!$B$6)-MAX(H74,參數!$B$5))</f>
        <v>0</v>
      </c>
      <c r="P74" s="6" t="n">
        <f aca="false">E74*(C74&lt;=參數!$B$8)*(J74&gt;參數!$B$8)</f>
        <v>0</v>
      </c>
      <c r="Q74" s="6" t="n">
        <f aca="false">E74*(C74&lt;=參數!$B$7)*(J74&gt;參數!$B$7)</f>
        <v>0</v>
      </c>
      <c r="R74" s="6" t="n">
        <f aca="false">E74*(H74&lt;=參數!$B$7)*(K74&gt;參數!$B$7)</f>
        <v>0</v>
      </c>
      <c r="S74" s="6" t="n">
        <f aca="false">E74*(C74&lt;=參數!$B$9)*(J74&gt;參數!$B$9)</f>
        <v>0</v>
      </c>
      <c r="T74" s="6" t="n">
        <f aca="false">E74*MAX(0,MIN(J74,參數!$B$11)-MAX(C74,參數!$B$10))</f>
        <v>0</v>
      </c>
      <c r="U74" s="6" t="n">
        <f aca="false">IF(AND(74&gt;2,A73=A74,C74&gt;=參數!$B$5,C74&lt;參數!$B$3),E74-E73,0)</f>
        <v>0</v>
      </c>
    </row>
    <row r="75" customFormat="false" ht="15" hidden="false" customHeight="false" outlineLevel="0" collapsed="false">
      <c r="A75" s="0" t="s">
        <v>154</v>
      </c>
      <c r="B75" s="0" t="s">
        <v>111</v>
      </c>
      <c r="C75" s="10" t="n">
        <v>45898</v>
      </c>
      <c r="D75" s="0" t="n">
        <v>0</v>
      </c>
      <c r="E75" s="0" t="n">
        <v>0</v>
      </c>
      <c r="F75" s="0" t="n">
        <v>0</v>
      </c>
      <c r="G75" s="0" t="n">
        <v>0</v>
      </c>
      <c r="H75" s="10" t="n">
        <f aca="false">C75</f>
        <v>45898</v>
      </c>
      <c r="J75" s="10" t="n">
        <f aca="false">IF(AND(75&lt;122,A76=A75),C76,DATE(2100,1,1))</f>
        <v>46073</v>
      </c>
      <c r="K75" s="10" t="n">
        <f aca="false">IF(AND(75&lt;122,A76=A75),H76,DATE(2100,1,1))</f>
        <v>46073</v>
      </c>
      <c r="L75" s="6" t="n">
        <f aca="false">E75*MAX(0,MIN(J75,參數!$B$4)-MAX(C75,參數!$B$3))</f>
        <v>0</v>
      </c>
      <c r="M75" s="6" t="n">
        <f aca="false">E75*MAX(0,MIN(K75,參數!$B$4)-MAX(H75,參數!$B$3))</f>
        <v>0</v>
      </c>
      <c r="N75" s="6" t="n">
        <f aca="false">E75*MAX(0,MIN(J75,參數!$B$6)-MAX(C75,參數!$B$5))</f>
        <v>0</v>
      </c>
      <c r="O75" s="6" t="n">
        <f aca="false">E75*MAX(0,MIN(K75,參數!$B$6)-MAX(H75,參數!$B$5))</f>
        <v>0</v>
      </c>
      <c r="P75" s="6" t="n">
        <f aca="false">E75*(C75&lt;=參數!$B$8)*(J75&gt;參數!$B$8)</f>
        <v>0</v>
      </c>
      <c r="Q75" s="6" t="n">
        <f aca="false">E75*(C75&lt;=參數!$B$7)*(J75&gt;參數!$B$7)</f>
        <v>0</v>
      </c>
      <c r="R75" s="6" t="n">
        <f aca="false">E75*(H75&lt;=參數!$B$7)*(K75&gt;參數!$B$7)</f>
        <v>0</v>
      </c>
      <c r="S75" s="6" t="n">
        <f aca="false">E75*(C75&lt;=參數!$B$9)*(J75&gt;參數!$B$9)</f>
        <v>0</v>
      </c>
      <c r="T75" s="6" t="n">
        <f aca="false">E75*MAX(0,MIN(J75,參數!$B$11)-MAX(C75,參數!$B$10))</f>
        <v>0</v>
      </c>
      <c r="U75" s="6" t="n">
        <f aca="false">IF(AND(75&gt;2,A74=A75,C75&gt;=參數!$B$5,C75&lt;參數!$B$3),E75-E74,0)</f>
        <v>0</v>
      </c>
    </row>
    <row r="76" customFormat="false" ht="15" hidden="false" customHeight="false" outlineLevel="0" collapsed="false">
      <c r="A76" s="0" t="s">
        <v>154</v>
      </c>
      <c r="B76" s="0" t="s">
        <v>111</v>
      </c>
      <c r="C76" s="10" t="n">
        <v>46073</v>
      </c>
      <c r="D76" s="0" t="n">
        <v>1</v>
      </c>
      <c r="E76" s="0" t="n">
        <v>28</v>
      </c>
      <c r="F76" s="0" t="n">
        <v>40</v>
      </c>
      <c r="G76" s="0" t="n">
        <v>32238.5042950985</v>
      </c>
      <c r="H76" s="10" t="n">
        <f aca="false">C76</f>
        <v>46073</v>
      </c>
      <c r="J76" s="10" t="n">
        <f aca="false">IF(AND(76&lt;122,A77=A76),C77,DATE(2100,1,1))</f>
        <v>73051</v>
      </c>
      <c r="K76" s="10" t="n">
        <f aca="false">IF(AND(76&lt;122,A77=A76),H77,DATE(2100,1,1))</f>
        <v>73051</v>
      </c>
      <c r="L76" s="6" t="n">
        <f aca="false">E76*MAX(0,MIN(J76,參數!$B$4)-MAX(C76,參數!$B$3))</f>
        <v>2548</v>
      </c>
      <c r="M76" s="6" t="n">
        <f aca="false">E76*MAX(0,MIN(K76,參數!$B$4)-MAX(H76,參數!$B$3))</f>
        <v>2548</v>
      </c>
      <c r="N76" s="6" t="n">
        <f aca="false">E76*MAX(0,MIN(J76,參數!$B$6)-MAX(C76,參數!$B$5))</f>
        <v>8820</v>
      </c>
      <c r="O76" s="6" t="n">
        <f aca="false">E76*MAX(0,MIN(K76,參數!$B$6)-MAX(H76,參數!$B$5))</f>
        <v>8820</v>
      </c>
      <c r="P76" s="6" t="n">
        <f aca="false">E76*(C76&lt;=參數!$B$8)*(J76&gt;參數!$B$8)</f>
        <v>0</v>
      </c>
      <c r="Q76" s="6" t="n">
        <f aca="false">E76*(C76&lt;=參數!$B$7)*(J76&gt;參數!$B$7)</f>
        <v>28</v>
      </c>
      <c r="R76" s="6" t="n">
        <f aca="false">E76*(H76&lt;=參數!$B$7)*(K76&gt;參數!$B$7)</f>
        <v>28</v>
      </c>
      <c r="S76" s="6" t="n">
        <f aca="false">E76*(C76&lt;=參數!$B$9)*(J76&gt;參數!$B$9)</f>
        <v>0</v>
      </c>
      <c r="T76" s="6" t="n">
        <f aca="false">E76*MAX(0,MIN(J76,參數!$B$11)-MAX(C76,參數!$B$10))</f>
        <v>0</v>
      </c>
      <c r="U76" s="6" t="n">
        <f aca="false">IF(AND(76&gt;2,A75=A76,C76&gt;=參數!$B$5,C76&lt;參數!$B$3),E76-E75,0)</f>
        <v>28</v>
      </c>
    </row>
    <row r="77" customFormat="false" ht="15" hidden="false" customHeight="false" outlineLevel="0" collapsed="false">
      <c r="A77" s="0" t="s">
        <v>155</v>
      </c>
      <c r="B77" s="0" t="s">
        <v>111</v>
      </c>
      <c r="C77" s="10" t="n">
        <v>45853</v>
      </c>
      <c r="D77" s="0" t="n">
        <v>0</v>
      </c>
      <c r="E77" s="0" t="n">
        <v>0</v>
      </c>
      <c r="F77" s="0" t="n">
        <v>0</v>
      </c>
      <c r="G77" s="0" t="n">
        <v>0</v>
      </c>
      <c r="H77" s="10" t="n">
        <f aca="false">C77</f>
        <v>45853</v>
      </c>
      <c r="J77" s="10" t="n">
        <f aca="false">IF(AND(77&lt;122,A78=A77),C78,DATE(2100,1,1))</f>
        <v>46216</v>
      </c>
      <c r="K77" s="10" t="n">
        <f aca="false">IF(AND(77&lt;122,A78=A77),H78,DATE(2100,1,1))</f>
        <v>46216</v>
      </c>
      <c r="L77" s="6" t="n">
        <f aca="false">E77*MAX(0,MIN(J77,參數!$B$4)-MAX(C77,參數!$B$3))</f>
        <v>0</v>
      </c>
      <c r="M77" s="6" t="n">
        <f aca="false">E77*MAX(0,MIN(K77,參數!$B$4)-MAX(H77,參數!$B$3))</f>
        <v>0</v>
      </c>
      <c r="N77" s="6" t="n">
        <f aca="false">E77*MAX(0,MIN(J77,參數!$B$6)-MAX(C77,參數!$B$5))</f>
        <v>0</v>
      </c>
      <c r="O77" s="6" t="n">
        <f aca="false">E77*MAX(0,MIN(K77,參數!$B$6)-MAX(H77,參數!$B$5))</f>
        <v>0</v>
      </c>
      <c r="P77" s="6" t="n">
        <f aca="false">E77*(C77&lt;=參數!$B$8)*(J77&gt;參數!$B$8)</f>
        <v>0</v>
      </c>
      <c r="Q77" s="6" t="n">
        <f aca="false">E77*(C77&lt;=參數!$B$7)*(J77&gt;參數!$B$7)</f>
        <v>0</v>
      </c>
      <c r="R77" s="6" t="n">
        <f aca="false">E77*(H77&lt;=參數!$B$7)*(K77&gt;參數!$B$7)</f>
        <v>0</v>
      </c>
      <c r="S77" s="6" t="n">
        <f aca="false">E77*(C77&lt;=參數!$B$9)*(J77&gt;參數!$B$9)</f>
        <v>0</v>
      </c>
      <c r="T77" s="6" t="n">
        <f aca="false">E77*MAX(0,MIN(J77,參數!$B$11)-MAX(C77,參數!$B$10))</f>
        <v>0</v>
      </c>
      <c r="U77" s="6" t="n">
        <f aca="false">IF(AND(77&gt;2,A76=A77,C77&gt;=參數!$B$5,C77&lt;參數!$B$3),E77-E76,0)</f>
        <v>0</v>
      </c>
    </row>
    <row r="78" customFormat="false" ht="15" hidden="false" customHeight="false" outlineLevel="0" collapsed="false">
      <c r="A78" s="0" t="s">
        <v>155</v>
      </c>
      <c r="B78" s="0" t="s">
        <v>111</v>
      </c>
      <c r="C78" s="10" t="n">
        <v>46216</v>
      </c>
      <c r="D78" s="0" t="n">
        <v>0</v>
      </c>
      <c r="E78" s="0" t="n">
        <v>0</v>
      </c>
      <c r="F78" s="0" t="n">
        <v>0</v>
      </c>
      <c r="G78" s="0" t="n">
        <v>0</v>
      </c>
      <c r="H78" s="10" t="n">
        <f aca="false">C78</f>
        <v>46216</v>
      </c>
      <c r="J78" s="10" t="n">
        <f aca="false">IF(AND(78&lt;122,A79=A78),C79,DATE(2100,1,1))</f>
        <v>46568</v>
      </c>
      <c r="K78" s="10" t="n">
        <f aca="false">IF(AND(78&lt;122,A79=A78),H79,DATE(2100,1,1))</f>
        <v>46568</v>
      </c>
      <c r="L78" s="6" t="n">
        <f aca="false">E78*MAX(0,MIN(J78,參數!$B$4)-MAX(C78,參數!$B$3))</f>
        <v>0</v>
      </c>
      <c r="M78" s="6" t="n">
        <f aca="false">E78*MAX(0,MIN(K78,參數!$B$4)-MAX(H78,參數!$B$3))</f>
        <v>0</v>
      </c>
      <c r="N78" s="6" t="n">
        <f aca="false">E78*MAX(0,MIN(J78,參數!$B$6)-MAX(C78,參數!$B$5))</f>
        <v>0</v>
      </c>
      <c r="O78" s="6" t="n">
        <f aca="false">E78*MAX(0,MIN(K78,參數!$B$6)-MAX(H78,參數!$B$5))</f>
        <v>0</v>
      </c>
      <c r="P78" s="6" t="n">
        <f aca="false">E78*(C78&lt;=參數!$B$8)*(J78&gt;參數!$B$8)</f>
        <v>0</v>
      </c>
      <c r="Q78" s="6" t="n">
        <f aca="false">E78*(C78&lt;=參數!$B$7)*(J78&gt;參數!$B$7)</f>
        <v>0</v>
      </c>
      <c r="R78" s="6" t="n">
        <f aca="false">E78*(H78&lt;=參數!$B$7)*(K78&gt;參數!$B$7)</f>
        <v>0</v>
      </c>
      <c r="S78" s="6" t="n">
        <f aca="false">E78*(C78&lt;=參數!$B$9)*(J78&gt;參數!$B$9)</f>
        <v>0</v>
      </c>
      <c r="T78" s="6" t="n">
        <f aca="false">E78*MAX(0,MIN(J78,參數!$B$11)-MAX(C78,參數!$B$10))</f>
        <v>0</v>
      </c>
      <c r="U78" s="6" t="n">
        <f aca="false">IF(AND(78&gt;2,A77=A78,C78&gt;=參數!$B$5,C78&lt;參數!$B$3),E78-E77,0)</f>
        <v>0</v>
      </c>
    </row>
    <row r="79" customFormat="false" ht="15" hidden="false" customHeight="false" outlineLevel="0" collapsed="false">
      <c r="A79" s="0" t="s">
        <v>155</v>
      </c>
      <c r="B79" s="0" t="s">
        <v>111</v>
      </c>
      <c r="C79" s="10" t="n">
        <v>46568</v>
      </c>
      <c r="D79" s="0" t="n">
        <v>1</v>
      </c>
      <c r="E79" s="0" t="n">
        <v>92</v>
      </c>
      <c r="F79" s="0" t="n">
        <v>124</v>
      </c>
      <c r="G79" s="0" t="n">
        <v>232945.932289035</v>
      </c>
      <c r="H79" s="10" t="n">
        <f aca="false">C79</f>
        <v>46568</v>
      </c>
      <c r="J79" s="10" t="n">
        <f aca="false">IF(AND(79&lt;122,A80=A79),C80,DATE(2100,1,1))</f>
        <v>73051</v>
      </c>
      <c r="K79" s="10" t="n">
        <f aca="false">IF(AND(79&lt;122,A80=A79),H80,DATE(2100,1,1))</f>
        <v>73051</v>
      </c>
      <c r="L79" s="6" t="n">
        <f aca="false">E79*MAX(0,MIN(J79,參數!$B$4)-MAX(C79,參數!$B$3))</f>
        <v>0</v>
      </c>
      <c r="M79" s="6" t="n">
        <f aca="false">E79*MAX(0,MIN(K79,參數!$B$4)-MAX(H79,參數!$B$3))</f>
        <v>0</v>
      </c>
      <c r="N79" s="6" t="n">
        <f aca="false">E79*MAX(0,MIN(J79,參數!$B$6)-MAX(C79,參數!$B$5))</f>
        <v>0</v>
      </c>
      <c r="O79" s="6" t="n">
        <f aca="false">E79*MAX(0,MIN(K79,參數!$B$6)-MAX(H79,參數!$B$5))</f>
        <v>0</v>
      </c>
      <c r="P79" s="6" t="n">
        <f aca="false">E79*(C79&lt;=參數!$B$8)*(J79&gt;參數!$B$8)</f>
        <v>0</v>
      </c>
      <c r="Q79" s="6" t="n">
        <f aca="false">E79*(C79&lt;=參數!$B$7)*(J79&gt;參數!$B$7)</f>
        <v>0</v>
      </c>
      <c r="R79" s="6" t="n">
        <f aca="false">E79*(H79&lt;=參數!$B$7)*(K79&gt;參數!$B$7)</f>
        <v>0</v>
      </c>
      <c r="S79" s="6" t="n">
        <f aca="false">E79*(C79&lt;=參數!$B$9)*(J79&gt;參數!$B$9)</f>
        <v>0</v>
      </c>
      <c r="T79" s="6" t="n">
        <f aca="false">E79*MAX(0,MIN(J79,參數!$B$11)-MAX(C79,參數!$B$10))</f>
        <v>0</v>
      </c>
      <c r="U79" s="6" t="n">
        <f aca="false">IF(AND(79&gt;2,A78=A79,C79&gt;=參數!$B$5,C79&lt;參數!$B$3),E79-E78,0)</f>
        <v>0</v>
      </c>
    </row>
    <row r="80" customFormat="false" ht="15" hidden="false" customHeight="false" outlineLevel="0" collapsed="false">
      <c r="A80" s="0" t="s">
        <v>156</v>
      </c>
      <c r="B80" s="0" t="s">
        <v>111</v>
      </c>
      <c r="C80" s="10" t="n">
        <v>45614</v>
      </c>
      <c r="D80" s="0" t="n">
        <v>0</v>
      </c>
      <c r="E80" s="0" t="n">
        <v>0</v>
      </c>
      <c r="F80" s="0" t="n">
        <v>0</v>
      </c>
      <c r="G80" s="0" t="n">
        <v>0</v>
      </c>
      <c r="H80" s="10" t="n">
        <f aca="false">C80</f>
        <v>45614</v>
      </c>
      <c r="J80" s="10" t="n">
        <f aca="false">IF(AND(80&lt;122,A81=A80),C81,DATE(2100,1,1))</f>
        <v>46121</v>
      </c>
      <c r="K80" s="10" t="n">
        <f aca="false">IF(AND(80&lt;122,A81=A80),H81,DATE(2100,1,1))</f>
        <v>46121</v>
      </c>
      <c r="L80" s="6" t="n">
        <f aca="false">E80*MAX(0,MIN(J80,參數!$B$4)-MAX(C80,參數!$B$3))</f>
        <v>0</v>
      </c>
      <c r="M80" s="6" t="n">
        <f aca="false">E80*MAX(0,MIN(K80,參數!$B$4)-MAX(H80,參數!$B$3))</f>
        <v>0</v>
      </c>
      <c r="N80" s="6" t="n">
        <f aca="false">E80*MAX(0,MIN(J80,參數!$B$6)-MAX(C80,參數!$B$5))</f>
        <v>0</v>
      </c>
      <c r="O80" s="6" t="n">
        <f aca="false">E80*MAX(0,MIN(K80,參數!$B$6)-MAX(H80,參數!$B$5))</f>
        <v>0</v>
      </c>
      <c r="P80" s="6" t="n">
        <f aca="false">E80*(C80&lt;=參數!$B$8)*(J80&gt;參數!$B$8)</f>
        <v>0</v>
      </c>
      <c r="Q80" s="6" t="n">
        <f aca="false">E80*(C80&lt;=參數!$B$7)*(J80&gt;參數!$B$7)</f>
        <v>0</v>
      </c>
      <c r="R80" s="6" t="n">
        <f aca="false">E80*(H80&lt;=參數!$B$7)*(K80&gt;參數!$B$7)</f>
        <v>0</v>
      </c>
      <c r="S80" s="6" t="n">
        <f aca="false">E80*(C80&lt;=參數!$B$9)*(J80&gt;參數!$B$9)</f>
        <v>0</v>
      </c>
      <c r="T80" s="6" t="n">
        <f aca="false">E80*MAX(0,MIN(J80,參數!$B$11)-MAX(C80,參數!$B$10))</f>
        <v>0</v>
      </c>
      <c r="U80" s="6" t="n">
        <f aca="false">IF(AND(80&gt;2,A79=A80,C80&gt;=參數!$B$5,C80&lt;參數!$B$3),E80-E79,0)</f>
        <v>0</v>
      </c>
    </row>
    <row r="81" customFormat="false" ht="15" hidden="false" customHeight="false" outlineLevel="0" collapsed="false">
      <c r="A81" s="0" t="s">
        <v>156</v>
      </c>
      <c r="B81" s="0" t="s">
        <v>111</v>
      </c>
      <c r="C81" s="10" t="n">
        <v>46121</v>
      </c>
      <c r="D81" s="0" t="n">
        <v>0</v>
      </c>
      <c r="E81" s="0" t="n">
        <v>0</v>
      </c>
      <c r="F81" s="0" t="n">
        <v>0</v>
      </c>
      <c r="G81" s="0" t="n">
        <v>0</v>
      </c>
      <c r="H81" s="10" t="n">
        <f aca="false">C81</f>
        <v>46121</v>
      </c>
      <c r="J81" s="10" t="n">
        <f aca="false">IF(AND(81&lt;122,A82=A81),C82,DATE(2100,1,1))</f>
        <v>46186</v>
      </c>
      <c r="K81" s="10" t="n">
        <f aca="false">IF(AND(81&lt;122,A82=A81),H82,DATE(2100,1,1))</f>
        <v>46186</v>
      </c>
      <c r="L81" s="6" t="n">
        <f aca="false">E81*MAX(0,MIN(J81,參數!$B$4)-MAX(C81,參數!$B$3))</f>
        <v>0</v>
      </c>
      <c r="M81" s="6" t="n">
        <f aca="false">E81*MAX(0,MIN(K81,參數!$B$4)-MAX(H81,參數!$B$3))</f>
        <v>0</v>
      </c>
      <c r="N81" s="6" t="n">
        <f aca="false">E81*MAX(0,MIN(J81,參數!$B$6)-MAX(C81,參數!$B$5))</f>
        <v>0</v>
      </c>
      <c r="O81" s="6" t="n">
        <f aca="false">E81*MAX(0,MIN(K81,參數!$B$6)-MAX(H81,參數!$B$5))</f>
        <v>0</v>
      </c>
      <c r="P81" s="6" t="n">
        <f aca="false">E81*(C81&lt;=參數!$B$8)*(J81&gt;參數!$B$8)</f>
        <v>0</v>
      </c>
      <c r="Q81" s="6" t="n">
        <f aca="false">E81*(C81&lt;=參數!$B$7)*(J81&gt;參數!$B$7)</f>
        <v>0</v>
      </c>
      <c r="R81" s="6" t="n">
        <f aca="false">E81*(H81&lt;=參數!$B$7)*(K81&gt;參數!$B$7)</f>
        <v>0</v>
      </c>
      <c r="S81" s="6" t="n">
        <f aca="false">E81*(C81&lt;=參數!$B$9)*(J81&gt;參數!$B$9)</f>
        <v>0</v>
      </c>
      <c r="T81" s="6" t="n">
        <f aca="false">E81*MAX(0,MIN(J81,參數!$B$11)-MAX(C81,參數!$B$10))</f>
        <v>0</v>
      </c>
      <c r="U81" s="6" t="n">
        <f aca="false">IF(AND(81&gt;2,A80=A81,C81&gt;=參數!$B$5,C81&lt;參數!$B$3),E81-E80,0)</f>
        <v>0</v>
      </c>
    </row>
    <row r="82" customFormat="false" ht="15" hidden="false" customHeight="false" outlineLevel="0" collapsed="false">
      <c r="A82" s="0" t="s">
        <v>156</v>
      </c>
      <c r="B82" s="0" t="s">
        <v>111</v>
      </c>
      <c r="C82" s="10" t="n">
        <v>46186</v>
      </c>
      <c r="D82" s="0" t="n">
        <v>0</v>
      </c>
      <c r="E82" s="0" t="n">
        <v>0</v>
      </c>
      <c r="F82" s="0" t="n">
        <v>0</v>
      </c>
      <c r="G82" s="0" t="n">
        <v>0</v>
      </c>
      <c r="H82" s="10" t="n">
        <f aca="false">C82</f>
        <v>46186</v>
      </c>
      <c r="J82" s="10" t="n">
        <f aca="false">IF(AND(82&lt;122,A83=A82),C83,DATE(2100,1,1))</f>
        <v>46387</v>
      </c>
      <c r="K82" s="10" t="n">
        <f aca="false">IF(AND(82&lt;122,A83=A82),H83,DATE(2100,1,1))</f>
        <v>46387</v>
      </c>
      <c r="L82" s="6" t="n">
        <f aca="false">E82*MAX(0,MIN(J82,參數!$B$4)-MAX(C82,參數!$B$3))</f>
        <v>0</v>
      </c>
      <c r="M82" s="6" t="n">
        <f aca="false">E82*MAX(0,MIN(K82,參數!$B$4)-MAX(H82,參數!$B$3))</f>
        <v>0</v>
      </c>
      <c r="N82" s="6" t="n">
        <f aca="false">E82*MAX(0,MIN(J82,參數!$B$6)-MAX(C82,參數!$B$5))</f>
        <v>0</v>
      </c>
      <c r="O82" s="6" t="n">
        <f aca="false">E82*MAX(0,MIN(K82,參數!$B$6)-MAX(H82,參數!$B$5))</f>
        <v>0</v>
      </c>
      <c r="P82" s="6" t="n">
        <f aca="false">E82*(C82&lt;=參數!$B$8)*(J82&gt;參數!$B$8)</f>
        <v>0</v>
      </c>
      <c r="Q82" s="6" t="n">
        <f aca="false">E82*(C82&lt;=參數!$B$7)*(J82&gt;參數!$B$7)</f>
        <v>0</v>
      </c>
      <c r="R82" s="6" t="n">
        <f aca="false">E82*(H82&lt;=參數!$B$7)*(K82&gt;參數!$B$7)</f>
        <v>0</v>
      </c>
      <c r="S82" s="6" t="n">
        <f aca="false">E82*(C82&lt;=參數!$B$9)*(J82&gt;參數!$B$9)</f>
        <v>0</v>
      </c>
      <c r="T82" s="6" t="n">
        <f aca="false">E82*MAX(0,MIN(J82,參數!$B$11)-MAX(C82,參數!$B$10))</f>
        <v>0</v>
      </c>
      <c r="U82" s="6" t="n">
        <f aca="false">IF(AND(82&gt;2,A81=A82,C82&gt;=參數!$B$5,C82&lt;參數!$B$3),E82-E81,0)</f>
        <v>0</v>
      </c>
    </row>
    <row r="83" customFormat="false" ht="15" hidden="false" customHeight="false" outlineLevel="0" collapsed="false">
      <c r="A83" s="0" t="s">
        <v>156</v>
      </c>
      <c r="B83" s="0" t="s">
        <v>111</v>
      </c>
      <c r="C83" s="10" t="n">
        <v>46387</v>
      </c>
      <c r="D83" s="0" t="n">
        <v>1</v>
      </c>
      <c r="E83" s="0" t="n">
        <v>70</v>
      </c>
      <c r="F83" s="0" t="n">
        <v>98</v>
      </c>
      <c r="G83" s="0" t="n">
        <v>90955.0277918141</v>
      </c>
      <c r="H83" s="10" t="n">
        <f aca="false">C83</f>
        <v>46387</v>
      </c>
      <c r="J83" s="10" t="n">
        <f aca="false">IF(AND(83&lt;122,A84=A83),C84,DATE(2100,1,1))</f>
        <v>46752</v>
      </c>
      <c r="K83" s="10" t="n">
        <f aca="false">IF(AND(83&lt;122,A84=A83),H84,DATE(2100,1,1))</f>
        <v>46752</v>
      </c>
      <c r="L83" s="6" t="n">
        <f aca="false">E83*MAX(0,MIN(J83,參數!$B$4)-MAX(C83,參數!$B$3))</f>
        <v>0</v>
      </c>
      <c r="M83" s="6" t="n">
        <f aca="false">E83*MAX(0,MIN(K83,參數!$B$4)-MAX(H83,參數!$B$3))</f>
        <v>0</v>
      </c>
      <c r="N83" s="6" t="n">
        <f aca="false">E83*MAX(0,MIN(J83,參數!$B$6)-MAX(C83,參數!$B$5))</f>
        <v>70</v>
      </c>
      <c r="O83" s="6" t="n">
        <f aca="false">E83*MAX(0,MIN(K83,參數!$B$6)-MAX(H83,參數!$B$5))</f>
        <v>70</v>
      </c>
      <c r="P83" s="6" t="n">
        <f aca="false">E83*(C83&lt;=參數!$B$8)*(J83&gt;參數!$B$8)</f>
        <v>0</v>
      </c>
      <c r="Q83" s="6" t="n">
        <f aca="false">E83*(C83&lt;=參數!$B$7)*(J83&gt;參數!$B$7)</f>
        <v>70</v>
      </c>
      <c r="R83" s="6" t="n">
        <f aca="false">E83*(H83&lt;=參數!$B$7)*(K83&gt;參數!$B$7)</f>
        <v>70</v>
      </c>
      <c r="S83" s="6" t="n">
        <f aca="false">E83*(C83&lt;=參數!$B$9)*(J83&gt;參數!$B$9)</f>
        <v>0</v>
      </c>
      <c r="T83" s="6" t="n">
        <f aca="false">E83*MAX(0,MIN(J83,參數!$B$11)-MAX(C83,參數!$B$10))</f>
        <v>0</v>
      </c>
      <c r="U83" s="6" t="n">
        <f aca="false">IF(AND(83&gt;2,A82=A83,C83&gt;=參數!$B$5,C83&lt;參數!$B$3),E83-E82,0)</f>
        <v>0</v>
      </c>
    </row>
    <row r="84" customFormat="false" ht="15" hidden="false" customHeight="false" outlineLevel="0" collapsed="false">
      <c r="A84" s="0" t="s">
        <v>156</v>
      </c>
      <c r="B84" s="0" t="s">
        <v>111</v>
      </c>
      <c r="C84" s="10" t="n">
        <v>46752</v>
      </c>
      <c r="D84" s="0" t="n">
        <v>2</v>
      </c>
      <c r="E84" s="0" t="n">
        <v>153</v>
      </c>
      <c r="F84" s="0" t="n">
        <v>181</v>
      </c>
      <c r="G84" s="0" t="n">
        <v>198079.838302173</v>
      </c>
      <c r="H84" s="10" t="n">
        <f aca="false">C84</f>
        <v>46752</v>
      </c>
      <c r="J84" s="10" t="n">
        <f aca="false">IF(AND(84&lt;122,A85=A84),C85,DATE(2100,1,1))</f>
        <v>73051</v>
      </c>
      <c r="K84" s="10" t="n">
        <f aca="false">IF(AND(84&lt;122,A85=A84),H85,DATE(2100,1,1))</f>
        <v>73051</v>
      </c>
      <c r="L84" s="6" t="n">
        <f aca="false">E84*MAX(0,MIN(J84,參數!$B$4)-MAX(C84,參數!$B$3))</f>
        <v>0</v>
      </c>
      <c r="M84" s="6" t="n">
        <f aca="false">E84*MAX(0,MIN(K84,參數!$B$4)-MAX(H84,參數!$B$3))</f>
        <v>0</v>
      </c>
      <c r="N84" s="6" t="n">
        <f aca="false">E84*MAX(0,MIN(J84,參數!$B$6)-MAX(C84,參數!$B$5))</f>
        <v>0</v>
      </c>
      <c r="O84" s="6" t="n">
        <f aca="false">E84*MAX(0,MIN(K84,參數!$B$6)-MAX(H84,參數!$B$5))</f>
        <v>0</v>
      </c>
      <c r="P84" s="6" t="n">
        <f aca="false">E84*(C84&lt;=參數!$B$8)*(J84&gt;參數!$B$8)</f>
        <v>0</v>
      </c>
      <c r="Q84" s="6" t="n">
        <f aca="false">E84*(C84&lt;=參數!$B$7)*(J84&gt;參數!$B$7)</f>
        <v>0</v>
      </c>
      <c r="R84" s="6" t="n">
        <f aca="false">E84*(H84&lt;=參數!$B$7)*(K84&gt;參數!$B$7)</f>
        <v>0</v>
      </c>
      <c r="S84" s="6" t="n">
        <f aca="false">E84*(C84&lt;=參數!$B$9)*(J84&gt;參數!$B$9)</f>
        <v>0</v>
      </c>
      <c r="T84" s="6" t="n">
        <f aca="false">E84*MAX(0,MIN(J84,參數!$B$11)-MAX(C84,參數!$B$10))</f>
        <v>0</v>
      </c>
      <c r="U84" s="6" t="n">
        <f aca="false">IF(AND(84&gt;2,A83=A84,C84&gt;=參數!$B$5,C84&lt;參數!$B$3),E84-E83,0)</f>
        <v>0</v>
      </c>
    </row>
    <row r="85" customFormat="false" ht="15" hidden="false" customHeight="false" outlineLevel="0" collapsed="false">
      <c r="A85" s="0" t="s">
        <v>157</v>
      </c>
      <c r="B85" s="0" t="s">
        <v>109</v>
      </c>
      <c r="C85" s="10" t="n">
        <v>45942</v>
      </c>
      <c r="D85" s="0" t="n">
        <v>0</v>
      </c>
      <c r="E85" s="0" t="n">
        <v>0</v>
      </c>
      <c r="F85" s="0" t="n">
        <v>0</v>
      </c>
      <c r="G85" s="0" t="n">
        <v>0</v>
      </c>
      <c r="H85" s="10" t="n">
        <f aca="false">C85</f>
        <v>45942</v>
      </c>
      <c r="J85" s="10" t="n">
        <f aca="false">IF(AND(85&lt;122,A86=A85),C86,DATE(2100,1,1))</f>
        <v>46080</v>
      </c>
      <c r="K85" s="10" t="n">
        <f aca="false">IF(AND(85&lt;122,A86=A85),H86,DATE(2100,1,1))</f>
        <v>46080</v>
      </c>
      <c r="L85" s="6" t="n">
        <f aca="false">E85*MAX(0,MIN(J85,參數!$B$4)-MAX(C85,參數!$B$3))</f>
        <v>0</v>
      </c>
      <c r="M85" s="6" t="n">
        <f aca="false">E85*MAX(0,MIN(K85,參數!$B$4)-MAX(H85,參數!$B$3))</f>
        <v>0</v>
      </c>
      <c r="N85" s="6" t="n">
        <f aca="false">E85*MAX(0,MIN(J85,參數!$B$6)-MAX(C85,參數!$B$5))</f>
        <v>0</v>
      </c>
      <c r="O85" s="6" t="n">
        <f aca="false">E85*MAX(0,MIN(K85,參數!$B$6)-MAX(H85,參數!$B$5))</f>
        <v>0</v>
      </c>
      <c r="P85" s="6" t="n">
        <f aca="false">E85*(C85&lt;=參數!$B$8)*(J85&gt;參數!$B$8)</f>
        <v>0</v>
      </c>
      <c r="Q85" s="6" t="n">
        <f aca="false">E85*(C85&lt;=參數!$B$7)*(J85&gt;參數!$B$7)</f>
        <v>0</v>
      </c>
      <c r="R85" s="6" t="n">
        <f aca="false">E85*(H85&lt;=參數!$B$7)*(K85&gt;參數!$B$7)</f>
        <v>0</v>
      </c>
      <c r="S85" s="6" t="n">
        <f aca="false">E85*(C85&lt;=參數!$B$9)*(J85&gt;參數!$B$9)</f>
        <v>0</v>
      </c>
      <c r="T85" s="6" t="n">
        <f aca="false">E85*MAX(0,MIN(J85,參數!$B$11)-MAX(C85,參數!$B$10))</f>
        <v>0</v>
      </c>
      <c r="U85" s="6" t="n">
        <f aca="false">IF(AND(85&gt;2,A84=A85,C85&gt;=參數!$B$5,C85&lt;參數!$B$3),E85-E84,0)</f>
        <v>0</v>
      </c>
    </row>
    <row r="86" customFormat="false" ht="15" hidden="false" customHeight="false" outlineLevel="0" collapsed="false">
      <c r="A86" s="0" t="s">
        <v>157</v>
      </c>
      <c r="B86" s="0" t="s">
        <v>109</v>
      </c>
      <c r="C86" s="10" t="n">
        <v>46080</v>
      </c>
      <c r="D86" s="0" t="n">
        <v>0</v>
      </c>
      <c r="E86" s="0" t="n">
        <v>0</v>
      </c>
      <c r="F86" s="0" t="n">
        <v>0</v>
      </c>
      <c r="G86" s="0" t="n">
        <v>0</v>
      </c>
      <c r="H86" s="10" t="n">
        <f aca="false">C86</f>
        <v>46080</v>
      </c>
      <c r="J86" s="10" t="n">
        <f aca="false">IF(AND(86&lt;122,A87=A86),C87,DATE(2100,1,1))</f>
        <v>46233</v>
      </c>
      <c r="K86" s="10" t="n">
        <f aca="false">IF(AND(86&lt;122,A87=A86),H87,DATE(2100,1,1))</f>
        <v>46233</v>
      </c>
      <c r="L86" s="6" t="n">
        <f aca="false">E86*MAX(0,MIN(J86,參數!$B$4)-MAX(C86,參數!$B$3))</f>
        <v>0</v>
      </c>
      <c r="M86" s="6" t="n">
        <f aca="false">E86*MAX(0,MIN(K86,參數!$B$4)-MAX(H86,參數!$B$3))</f>
        <v>0</v>
      </c>
      <c r="N86" s="6" t="n">
        <f aca="false">E86*MAX(0,MIN(J86,參數!$B$6)-MAX(C86,參數!$B$5))</f>
        <v>0</v>
      </c>
      <c r="O86" s="6" t="n">
        <f aca="false">E86*MAX(0,MIN(K86,參數!$B$6)-MAX(H86,參數!$B$5))</f>
        <v>0</v>
      </c>
      <c r="P86" s="6" t="n">
        <f aca="false">E86*(C86&lt;=參數!$B$8)*(J86&gt;參數!$B$8)</f>
        <v>0</v>
      </c>
      <c r="Q86" s="6" t="n">
        <f aca="false">E86*(C86&lt;=參數!$B$7)*(J86&gt;參數!$B$7)</f>
        <v>0</v>
      </c>
      <c r="R86" s="6" t="n">
        <f aca="false">E86*(H86&lt;=參數!$B$7)*(K86&gt;參數!$B$7)</f>
        <v>0</v>
      </c>
      <c r="S86" s="6" t="n">
        <f aca="false">E86*(C86&lt;=參數!$B$9)*(J86&gt;參數!$B$9)</f>
        <v>0</v>
      </c>
      <c r="T86" s="6" t="n">
        <f aca="false">E86*MAX(0,MIN(J86,參數!$B$11)-MAX(C86,參數!$B$10))</f>
        <v>0</v>
      </c>
      <c r="U86" s="6" t="n">
        <f aca="false">IF(AND(86&gt;2,A85=A86,C86&gt;=參數!$B$5,C86&lt;參數!$B$3),E86-E85,0)</f>
        <v>0</v>
      </c>
    </row>
    <row r="87" customFormat="false" ht="15" hidden="false" customHeight="false" outlineLevel="0" collapsed="false">
      <c r="A87" s="0" t="s">
        <v>157</v>
      </c>
      <c r="B87" s="0" t="s">
        <v>109</v>
      </c>
      <c r="C87" s="10" t="n">
        <v>46233</v>
      </c>
      <c r="D87" s="0" t="n">
        <v>0</v>
      </c>
      <c r="E87" s="0" t="n">
        <v>0</v>
      </c>
      <c r="F87" s="0" t="n">
        <v>0</v>
      </c>
      <c r="G87" s="0" t="n">
        <v>0</v>
      </c>
      <c r="H87" s="10" t="n">
        <f aca="false">C87</f>
        <v>46233</v>
      </c>
      <c r="J87" s="10" t="n">
        <f aca="false">IF(AND(87&lt;122,A88=A87),C88,DATE(2100,1,1))</f>
        <v>46447</v>
      </c>
      <c r="K87" s="10" t="n">
        <f aca="false">IF(AND(87&lt;122,A88=A87),H88,DATE(2100,1,1))</f>
        <v>46447</v>
      </c>
      <c r="L87" s="6" t="n">
        <f aca="false">E87*MAX(0,MIN(J87,參數!$B$4)-MAX(C87,參數!$B$3))</f>
        <v>0</v>
      </c>
      <c r="M87" s="6" t="n">
        <f aca="false">E87*MAX(0,MIN(K87,參數!$B$4)-MAX(H87,參數!$B$3))</f>
        <v>0</v>
      </c>
      <c r="N87" s="6" t="n">
        <f aca="false">E87*MAX(0,MIN(J87,參數!$B$6)-MAX(C87,參數!$B$5))</f>
        <v>0</v>
      </c>
      <c r="O87" s="6" t="n">
        <f aca="false">E87*MAX(0,MIN(K87,參數!$B$6)-MAX(H87,參數!$B$5))</f>
        <v>0</v>
      </c>
      <c r="P87" s="6" t="n">
        <f aca="false">E87*(C87&lt;=參數!$B$8)*(J87&gt;參數!$B$8)</f>
        <v>0</v>
      </c>
      <c r="Q87" s="6" t="n">
        <f aca="false">E87*(C87&lt;=參數!$B$7)*(J87&gt;參數!$B$7)</f>
        <v>0</v>
      </c>
      <c r="R87" s="6" t="n">
        <f aca="false">E87*(H87&lt;=參數!$B$7)*(K87&gt;參數!$B$7)</f>
        <v>0</v>
      </c>
      <c r="S87" s="6" t="n">
        <f aca="false">E87*(C87&lt;=參數!$B$9)*(J87&gt;參數!$B$9)</f>
        <v>0</v>
      </c>
      <c r="T87" s="6" t="n">
        <f aca="false">E87*MAX(0,MIN(J87,參數!$B$11)-MAX(C87,參數!$B$10))</f>
        <v>0</v>
      </c>
      <c r="U87" s="6" t="n">
        <f aca="false">IF(AND(87&gt;2,A86=A87,C87&gt;=參數!$B$5,C87&lt;參數!$B$3),E87-E86,0)</f>
        <v>0</v>
      </c>
    </row>
    <row r="88" customFormat="false" ht="15" hidden="false" customHeight="false" outlineLevel="0" collapsed="false">
      <c r="A88" s="0" t="s">
        <v>157</v>
      </c>
      <c r="B88" s="0" t="s">
        <v>109</v>
      </c>
      <c r="C88" s="10" t="n">
        <v>46447</v>
      </c>
      <c r="D88" s="0" t="n">
        <v>1</v>
      </c>
      <c r="E88" s="0" t="n">
        <v>214</v>
      </c>
      <c r="F88" s="0" t="n">
        <v>300</v>
      </c>
      <c r="G88" s="0" t="n">
        <v>545730.166750884</v>
      </c>
      <c r="H88" s="10" t="n">
        <f aca="false">C88</f>
        <v>46447</v>
      </c>
      <c r="J88" s="10" t="n">
        <f aca="false">IF(AND(88&lt;122,A89=A88),C89,DATE(2100,1,1))</f>
        <v>73051</v>
      </c>
      <c r="K88" s="10" t="n">
        <f aca="false">IF(AND(88&lt;122,A89=A88),H89,DATE(2100,1,1))</f>
        <v>73051</v>
      </c>
      <c r="L88" s="6" t="n">
        <f aca="false">E88*MAX(0,MIN(J88,參數!$B$4)-MAX(C88,參數!$B$3))</f>
        <v>0</v>
      </c>
      <c r="M88" s="6" t="n">
        <f aca="false">E88*MAX(0,MIN(K88,參數!$B$4)-MAX(H88,參數!$B$3))</f>
        <v>0</v>
      </c>
      <c r="N88" s="6" t="n">
        <f aca="false">E88*MAX(0,MIN(J88,參數!$B$6)-MAX(C88,參數!$B$5))</f>
        <v>0</v>
      </c>
      <c r="O88" s="6" t="n">
        <f aca="false">E88*MAX(0,MIN(K88,參數!$B$6)-MAX(H88,參數!$B$5))</f>
        <v>0</v>
      </c>
      <c r="P88" s="6" t="n">
        <f aca="false">E88*(C88&lt;=參數!$B$8)*(J88&gt;參數!$B$8)</f>
        <v>0</v>
      </c>
      <c r="Q88" s="6" t="n">
        <f aca="false">E88*(C88&lt;=參數!$B$7)*(J88&gt;參數!$B$7)</f>
        <v>0</v>
      </c>
      <c r="R88" s="6" t="n">
        <f aca="false">E88*(H88&lt;=參數!$B$7)*(K88&gt;參數!$B$7)</f>
        <v>0</v>
      </c>
      <c r="S88" s="6" t="n">
        <f aca="false">E88*(C88&lt;=參數!$B$9)*(J88&gt;參數!$B$9)</f>
        <v>0</v>
      </c>
      <c r="T88" s="6" t="n">
        <f aca="false">E88*MAX(0,MIN(J88,參數!$B$11)-MAX(C88,參數!$B$10))</f>
        <v>0</v>
      </c>
      <c r="U88" s="6" t="n">
        <f aca="false">IF(AND(88&gt;2,A87=A88,C88&gt;=參數!$B$5,C88&lt;參數!$B$3),E88-E87,0)</f>
        <v>0</v>
      </c>
    </row>
    <row r="89" customFormat="false" ht="15" hidden="false" customHeight="false" outlineLevel="0" collapsed="false">
      <c r="A89" s="0" t="s">
        <v>158</v>
      </c>
      <c r="B89" s="0" t="s">
        <v>109</v>
      </c>
      <c r="C89" s="10" t="n">
        <v>45995</v>
      </c>
      <c r="D89" s="0" t="n">
        <v>0</v>
      </c>
      <c r="E89" s="0" t="n">
        <v>0</v>
      </c>
      <c r="F89" s="0" t="n">
        <v>0</v>
      </c>
      <c r="G89" s="0" t="n">
        <v>0</v>
      </c>
      <c r="H89" s="10" t="n">
        <f aca="false">C89</f>
        <v>45995</v>
      </c>
      <c r="J89" s="10" t="n">
        <f aca="false">IF(AND(89&lt;122,A90=A89),C90,DATE(2100,1,1))</f>
        <v>46042</v>
      </c>
      <c r="K89" s="10" t="n">
        <f aca="false">IF(AND(89&lt;122,A90=A89),H90,DATE(2100,1,1))</f>
        <v>46042</v>
      </c>
      <c r="L89" s="6" t="n">
        <f aca="false">E89*MAX(0,MIN(J89,參數!$B$4)-MAX(C89,參數!$B$3))</f>
        <v>0</v>
      </c>
      <c r="M89" s="6" t="n">
        <f aca="false">E89*MAX(0,MIN(K89,參數!$B$4)-MAX(H89,參數!$B$3))</f>
        <v>0</v>
      </c>
      <c r="N89" s="6" t="n">
        <f aca="false">E89*MAX(0,MIN(J89,參數!$B$6)-MAX(C89,參數!$B$5))</f>
        <v>0</v>
      </c>
      <c r="O89" s="6" t="n">
        <f aca="false">E89*MAX(0,MIN(K89,參數!$B$6)-MAX(H89,參數!$B$5))</f>
        <v>0</v>
      </c>
      <c r="P89" s="6" t="n">
        <f aca="false">E89*(C89&lt;=參數!$B$8)*(J89&gt;參數!$B$8)</f>
        <v>0</v>
      </c>
      <c r="Q89" s="6" t="n">
        <f aca="false">E89*(C89&lt;=參數!$B$7)*(J89&gt;參數!$B$7)</f>
        <v>0</v>
      </c>
      <c r="R89" s="6" t="n">
        <f aca="false">E89*(H89&lt;=參數!$B$7)*(K89&gt;參數!$B$7)</f>
        <v>0</v>
      </c>
      <c r="S89" s="6" t="n">
        <f aca="false">E89*(C89&lt;=參數!$B$9)*(J89&gt;參數!$B$9)</f>
        <v>0</v>
      </c>
      <c r="T89" s="6" t="n">
        <f aca="false">E89*MAX(0,MIN(J89,參數!$B$11)-MAX(C89,參數!$B$10))</f>
        <v>0</v>
      </c>
      <c r="U89" s="6" t="n">
        <f aca="false">IF(AND(89&gt;2,A88=A89,C89&gt;=參數!$B$5,C89&lt;參數!$B$3),E89-E88,0)</f>
        <v>0</v>
      </c>
    </row>
    <row r="90" customFormat="false" ht="15" hidden="false" customHeight="false" outlineLevel="0" collapsed="false">
      <c r="A90" s="0" t="s">
        <v>158</v>
      </c>
      <c r="B90" s="0" t="s">
        <v>109</v>
      </c>
      <c r="C90" s="10" t="n">
        <v>46042</v>
      </c>
      <c r="D90" s="0" t="n">
        <v>0</v>
      </c>
      <c r="E90" s="0" t="n">
        <v>0</v>
      </c>
      <c r="F90" s="0" t="n">
        <v>0</v>
      </c>
      <c r="G90" s="0" t="n">
        <v>0</v>
      </c>
      <c r="H90" s="10" t="n">
        <f aca="false">C90</f>
        <v>46042</v>
      </c>
      <c r="J90" s="10" t="n">
        <f aca="false">IF(AND(90&lt;122,A91=A90),C91,DATE(2100,1,1))</f>
        <v>46093</v>
      </c>
      <c r="K90" s="10" t="n">
        <f aca="false">IF(AND(90&lt;122,A91=A90),H91,DATE(2100,1,1))</f>
        <v>46093</v>
      </c>
      <c r="L90" s="6" t="n">
        <f aca="false">E90*MAX(0,MIN(J90,參數!$B$4)-MAX(C90,參數!$B$3))</f>
        <v>0</v>
      </c>
      <c r="M90" s="6" t="n">
        <f aca="false">E90*MAX(0,MIN(K90,參數!$B$4)-MAX(H90,參數!$B$3))</f>
        <v>0</v>
      </c>
      <c r="N90" s="6" t="n">
        <f aca="false">E90*MAX(0,MIN(J90,參數!$B$6)-MAX(C90,參數!$B$5))</f>
        <v>0</v>
      </c>
      <c r="O90" s="6" t="n">
        <f aca="false">E90*MAX(0,MIN(K90,參數!$B$6)-MAX(H90,參數!$B$5))</f>
        <v>0</v>
      </c>
      <c r="P90" s="6" t="n">
        <f aca="false">E90*(C90&lt;=參數!$B$8)*(J90&gt;參數!$B$8)</f>
        <v>0</v>
      </c>
      <c r="Q90" s="6" t="n">
        <f aca="false">E90*(C90&lt;=參數!$B$7)*(J90&gt;參數!$B$7)</f>
        <v>0</v>
      </c>
      <c r="R90" s="6" t="n">
        <f aca="false">E90*(H90&lt;=參數!$B$7)*(K90&gt;參數!$B$7)</f>
        <v>0</v>
      </c>
      <c r="S90" s="6" t="n">
        <f aca="false">E90*(C90&lt;=參數!$B$9)*(J90&gt;參數!$B$9)</f>
        <v>0</v>
      </c>
      <c r="T90" s="6" t="n">
        <f aca="false">E90*MAX(0,MIN(J90,參數!$B$11)-MAX(C90,參數!$B$10))</f>
        <v>0</v>
      </c>
      <c r="U90" s="6" t="n">
        <f aca="false">IF(AND(90&gt;2,A89=A90,C90&gt;=參數!$B$5,C90&lt;參數!$B$3),E90-E89,0)</f>
        <v>0</v>
      </c>
    </row>
    <row r="91" customFormat="false" ht="15" hidden="false" customHeight="false" outlineLevel="0" collapsed="false">
      <c r="A91" s="0" t="s">
        <v>158</v>
      </c>
      <c r="B91" s="0" t="s">
        <v>109</v>
      </c>
      <c r="C91" s="10" t="n">
        <v>46093</v>
      </c>
      <c r="D91" s="0" t="n">
        <v>0</v>
      </c>
      <c r="E91" s="0" t="n">
        <v>0</v>
      </c>
      <c r="F91" s="0" t="n">
        <v>0</v>
      </c>
      <c r="G91" s="0" t="n">
        <v>0</v>
      </c>
      <c r="H91" s="10" t="n">
        <f aca="false">C91</f>
        <v>46093</v>
      </c>
      <c r="J91" s="10" t="n">
        <f aca="false">IF(AND(91&lt;122,A92=A91),C92,DATE(2100,1,1))</f>
        <v>47118</v>
      </c>
      <c r="K91" s="10" t="n">
        <f aca="false">IF(AND(91&lt;122,A92=A91),H92,DATE(2100,1,1))</f>
        <v>47118</v>
      </c>
      <c r="L91" s="6" t="n">
        <f aca="false">E91*MAX(0,MIN(J91,參數!$B$4)-MAX(C91,參數!$B$3))</f>
        <v>0</v>
      </c>
      <c r="M91" s="6" t="n">
        <f aca="false">E91*MAX(0,MIN(K91,參數!$B$4)-MAX(H91,參數!$B$3))</f>
        <v>0</v>
      </c>
      <c r="N91" s="6" t="n">
        <f aca="false">E91*MAX(0,MIN(J91,參數!$B$6)-MAX(C91,參數!$B$5))</f>
        <v>0</v>
      </c>
      <c r="O91" s="6" t="n">
        <f aca="false">E91*MAX(0,MIN(K91,參數!$B$6)-MAX(H91,參數!$B$5))</f>
        <v>0</v>
      </c>
      <c r="P91" s="6" t="n">
        <f aca="false">E91*(C91&lt;=參數!$B$8)*(J91&gt;參數!$B$8)</f>
        <v>0</v>
      </c>
      <c r="Q91" s="6" t="n">
        <f aca="false">E91*(C91&lt;=參數!$B$7)*(J91&gt;參數!$B$7)</f>
        <v>0</v>
      </c>
      <c r="R91" s="6" t="n">
        <f aca="false">E91*(H91&lt;=參數!$B$7)*(K91&gt;參數!$B$7)</f>
        <v>0</v>
      </c>
      <c r="S91" s="6" t="n">
        <f aca="false">E91*(C91&lt;=參數!$B$9)*(J91&gt;參數!$B$9)</f>
        <v>0</v>
      </c>
      <c r="T91" s="6" t="n">
        <f aca="false">E91*MAX(0,MIN(J91,參數!$B$11)-MAX(C91,參數!$B$10))</f>
        <v>0</v>
      </c>
      <c r="U91" s="6" t="n">
        <f aca="false">IF(AND(91&gt;2,A90=A91,C91&gt;=參數!$B$5,C91&lt;參數!$B$3),E91-E90,0)</f>
        <v>0</v>
      </c>
    </row>
    <row r="92" customFormat="false" ht="15" hidden="false" customHeight="false" outlineLevel="0" collapsed="false">
      <c r="A92" s="0" t="s">
        <v>158</v>
      </c>
      <c r="B92" s="0" t="s">
        <v>109</v>
      </c>
      <c r="C92" s="10" t="n">
        <v>47118</v>
      </c>
      <c r="D92" s="0" t="n">
        <v>3</v>
      </c>
      <c r="E92" s="0" t="n">
        <v>988</v>
      </c>
      <c r="F92" s="0" t="n">
        <v>1383</v>
      </c>
      <c r="G92" s="0" t="n">
        <v>2880242.54674078</v>
      </c>
      <c r="H92" s="10" t="n">
        <f aca="false">C92</f>
        <v>47118</v>
      </c>
      <c r="J92" s="10" t="n">
        <f aca="false">IF(AND(92&lt;122,A93=A92),C93,DATE(2100,1,1))</f>
        <v>73051</v>
      </c>
      <c r="K92" s="10" t="n">
        <f aca="false">IF(AND(92&lt;122,A93=A92),H93,DATE(2100,1,1))</f>
        <v>73051</v>
      </c>
      <c r="L92" s="6" t="n">
        <f aca="false">E92*MAX(0,MIN(J92,參數!$B$4)-MAX(C92,參數!$B$3))</f>
        <v>0</v>
      </c>
      <c r="M92" s="6" t="n">
        <f aca="false">E92*MAX(0,MIN(K92,參數!$B$4)-MAX(H92,參數!$B$3))</f>
        <v>0</v>
      </c>
      <c r="N92" s="6" t="n">
        <f aca="false">E92*MAX(0,MIN(J92,參數!$B$6)-MAX(C92,參數!$B$5))</f>
        <v>0</v>
      </c>
      <c r="O92" s="6" t="n">
        <f aca="false">E92*MAX(0,MIN(K92,參數!$B$6)-MAX(H92,參數!$B$5))</f>
        <v>0</v>
      </c>
      <c r="P92" s="6" t="n">
        <f aca="false">E92*(C92&lt;=參數!$B$8)*(J92&gt;參數!$B$8)</f>
        <v>0</v>
      </c>
      <c r="Q92" s="6" t="n">
        <f aca="false">E92*(C92&lt;=參數!$B$7)*(J92&gt;參數!$B$7)</f>
        <v>0</v>
      </c>
      <c r="R92" s="6" t="n">
        <f aca="false">E92*(H92&lt;=參數!$B$7)*(K92&gt;參數!$B$7)</f>
        <v>0</v>
      </c>
      <c r="S92" s="6" t="n">
        <f aca="false">E92*(C92&lt;=參數!$B$9)*(J92&gt;參數!$B$9)</f>
        <v>0</v>
      </c>
      <c r="T92" s="6" t="n">
        <f aca="false">E92*MAX(0,MIN(J92,參數!$B$11)-MAX(C92,參數!$B$10))</f>
        <v>0</v>
      </c>
      <c r="U92" s="6" t="n">
        <f aca="false">IF(AND(92&gt;2,A91=A92,C92&gt;=參數!$B$5,C92&lt;參數!$B$3),E92-E91,0)</f>
        <v>0</v>
      </c>
    </row>
    <row r="93" customFormat="false" ht="15" hidden="false" customHeight="false" outlineLevel="0" collapsed="false">
      <c r="A93" s="0" t="s">
        <v>159</v>
      </c>
      <c r="B93" s="0" t="s">
        <v>109</v>
      </c>
      <c r="C93" s="10" t="n">
        <v>45927</v>
      </c>
      <c r="D93" s="0" t="n">
        <v>0</v>
      </c>
      <c r="E93" s="0" t="n">
        <v>0</v>
      </c>
      <c r="F93" s="0" t="n">
        <v>0</v>
      </c>
      <c r="G93" s="0" t="n">
        <v>0</v>
      </c>
      <c r="H93" s="10" t="n">
        <f aca="false">C93</f>
        <v>45927</v>
      </c>
      <c r="J93" s="10" t="n">
        <f aca="false">IF(AND(93&lt;122,A94=A93),C94,DATE(2100,1,1))</f>
        <v>46026</v>
      </c>
      <c r="K93" s="10" t="n">
        <f aca="false">IF(AND(93&lt;122,A94=A93),H94,DATE(2100,1,1))</f>
        <v>46026</v>
      </c>
      <c r="L93" s="6" t="n">
        <f aca="false">E93*MAX(0,MIN(J93,參數!$B$4)-MAX(C93,參數!$B$3))</f>
        <v>0</v>
      </c>
      <c r="M93" s="6" t="n">
        <f aca="false">E93*MAX(0,MIN(K93,參數!$B$4)-MAX(H93,參數!$B$3))</f>
        <v>0</v>
      </c>
      <c r="N93" s="6" t="n">
        <f aca="false">E93*MAX(0,MIN(J93,參數!$B$6)-MAX(C93,參數!$B$5))</f>
        <v>0</v>
      </c>
      <c r="O93" s="6" t="n">
        <f aca="false">E93*MAX(0,MIN(K93,參數!$B$6)-MAX(H93,參數!$B$5))</f>
        <v>0</v>
      </c>
      <c r="P93" s="6" t="n">
        <f aca="false">E93*(C93&lt;=參數!$B$8)*(J93&gt;參數!$B$8)</f>
        <v>0</v>
      </c>
      <c r="Q93" s="6" t="n">
        <f aca="false">E93*(C93&lt;=參數!$B$7)*(J93&gt;參數!$B$7)</f>
        <v>0</v>
      </c>
      <c r="R93" s="6" t="n">
        <f aca="false">E93*(H93&lt;=參數!$B$7)*(K93&gt;參數!$B$7)</f>
        <v>0</v>
      </c>
      <c r="S93" s="6" t="n">
        <f aca="false">E93*(C93&lt;=參數!$B$9)*(J93&gt;參數!$B$9)</f>
        <v>0</v>
      </c>
      <c r="T93" s="6" t="n">
        <f aca="false">E93*MAX(0,MIN(J93,參數!$B$11)-MAX(C93,參數!$B$10))</f>
        <v>0</v>
      </c>
      <c r="U93" s="6" t="n">
        <f aca="false">IF(AND(93&gt;2,A92=A93,C93&gt;=參數!$B$5,C93&lt;參數!$B$3),E93-E92,0)</f>
        <v>0</v>
      </c>
    </row>
    <row r="94" customFormat="false" ht="15" hidden="false" customHeight="false" outlineLevel="0" collapsed="false">
      <c r="A94" s="0" t="s">
        <v>159</v>
      </c>
      <c r="B94" s="0" t="s">
        <v>109</v>
      </c>
      <c r="C94" s="10" t="n">
        <v>46026</v>
      </c>
      <c r="D94" s="0" t="n">
        <v>0</v>
      </c>
      <c r="E94" s="0" t="n">
        <v>0</v>
      </c>
      <c r="F94" s="0" t="n">
        <v>0</v>
      </c>
      <c r="G94" s="0" t="n">
        <v>0</v>
      </c>
      <c r="H94" s="10" t="n">
        <f aca="false">C94</f>
        <v>46026</v>
      </c>
      <c r="J94" s="10" t="n">
        <f aca="false">IF(AND(94&lt;122,A95=A94),C95,DATE(2100,1,1))</f>
        <v>46104</v>
      </c>
      <c r="K94" s="10" t="n">
        <f aca="false">IF(AND(94&lt;122,A95=A94),H95,DATE(2100,1,1))</f>
        <v>46104</v>
      </c>
      <c r="L94" s="6" t="n">
        <f aca="false">E94*MAX(0,MIN(J94,參數!$B$4)-MAX(C94,參數!$B$3))</f>
        <v>0</v>
      </c>
      <c r="M94" s="6" t="n">
        <f aca="false">E94*MAX(0,MIN(K94,參數!$B$4)-MAX(H94,參數!$B$3))</f>
        <v>0</v>
      </c>
      <c r="N94" s="6" t="n">
        <f aca="false">E94*MAX(0,MIN(J94,參數!$B$6)-MAX(C94,參數!$B$5))</f>
        <v>0</v>
      </c>
      <c r="O94" s="6" t="n">
        <f aca="false">E94*MAX(0,MIN(K94,參數!$B$6)-MAX(H94,參數!$B$5))</f>
        <v>0</v>
      </c>
      <c r="P94" s="6" t="n">
        <f aca="false">E94*(C94&lt;=參數!$B$8)*(J94&gt;參數!$B$8)</f>
        <v>0</v>
      </c>
      <c r="Q94" s="6" t="n">
        <f aca="false">E94*(C94&lt;=參數!$B$7)*(J94&gt;參數!$B$7)</f>
        <v>0</v>
      </c>
      <c r="R94" s="6" t="n">
        <f aca="false">E94*(H94&lt;=參數!$B$7)*(K94&gt;參數!$B$7)</f>
        <v>0</v>
      </c>
      <c r="S94" s="6" t="n">
        <f aca="false">E94*(C94&lt;=參數!$B$9)*(J94&gt;參數!$B$9)</f>
        <v>0</v>
      </c>
      <c r="T94" s="6" t="n">
        <f aca="false">E94*MAX(0,MIN(J94,參數!$B$11)-MAX(C94,參數!$B$10))</f>
        <v>0</v>
      </c>
      <c r="U94" s="6" t="n">
        <f aca="false">IF(AND(94&gt;2,A93=A94,C94&gt;=參數!$B$5,C94&lt;參數!$B$3),E94-E93,0)</f>
        <v>0</v>
      </c>
    </row>
    <row r="95" customFormat="false" ht="15" hidden="false" customHeight="false" outlineLevel="0" collapsed="false">
      <c r="A95" s="0" t="s">
        <v>159</v>
      </c>
      <c r="B95" s="0" t="s">
        <v>109</v>
      </c>
      <c r="C95" s="10" t="n">
        <v>46104</v>
      </c>
      <c r="D95" s="0" t="n">
        <v>0</v>
      </c>
      <c r="E95" s="0" t="n">
        <v>0</v>
      </c>
      <c r="F95" s="0" t="n">
        <v>0</v>
      </c>
      <c r="G95" s="0" t="n">
        <v>0</v>
      </c>
      <c r="H95" s="10" t="n">
        <f aca="false">C95</f>
        <v>46104</v>
      </c>
      <c r="J95" s="10" t="n">
        <f aca="false">IF(AND(95&lt;122,A96=A95),C96,DATE(2100,1,1))</f>
        <v>47118</v>
      </c>
      <c r="K95" s="10" t="n">
        <f aca="false">IF(AND(95&lt;122,A96=A95),H96,DATE(2100,1,1))</f>
        <v>47118</v>
      </c>
      <c r="L95" s="6" t="n">
        <f aca="false">E95*MAX(0,MIN(J95,參數!$B$4)-MAX(C95,參數!$B$3))</f>
        <v>0</v>
      </c>
      <c r="M95" s="6" t="n">
        <f aca="false">E95*MAX(0,MIN(K95,參數!$B$4)-MAX(H95,參數!$B$3))</f>
        <v>0</v>
      </c>
      <c r="N95" s="6" t="n">
        <f aca="false">E95*MAX(0,MIN(J95,參數!$B$6)-MAX(C95,參數!$B$5))</f>
        <v>0</v>
      </c>
      <c r="O95" s="6" t="n">
        <f aca="false">E95*MAX(0,MIN(K95,參數!$B$6)-MAX(H95,參數!$B$5))</f>
        <v>0</v>
      </c>
      <c r="P95" s="6" t="n">
        <f aca="false">E95*(C95&lt;=參數!$B$8)*(J95&gt;參數!$B$8)</f>
        <v>0</v>
      </c>
      <c r="Q95" s="6" t="n">
        <f aca="false">E95*(C95&lt;=參數!$B$7)*(J95&gt;參數!$B$7)</f>
        <v>0</v>
      </c>
      <c r="R95" s="6" t="n">
        <f aca="false">E95*(H95&lt;=參數!$B$7)*(K95&gt;參數!$B$7)</f>
        <v>0</v>
      </c>
      <c r="S95" s="6" t="n">
        <f aca="false">E95*(C95&lt;=參數!$B$9)*(J95&gt;參數!$B$9)</f>
        <v>0</v>
      </c>
      <c r="T95" s="6" t="n">
        <f aca="false">E95*MAX(0,MIN(J95,參數!$B$11)-MAX(C95,參數!$B$10))</f>
        <v>0</v>
      </c>
      <c r="U95" s="6" t="n">
        <f aca="false">IF(AND(95&gt;2,A94=A95,C95&gt;=參數!$B$5,C95&lt;參數!$B$3),E95-E94,0)</f>
        <v>0</v>
      </c>
    </row>
    <row r="96" customFormat="false" ht="15" hidden="false" customHeight="false" outlineLevel="0" collapsed="false">
      <c r="A96" s="0" t="s">
        <v>159</v>
      </c>
      <c r="B96" s="0" t="s">
        <v>109</v>
      </c>
      <c r="C96" s="10" t="n">
        <v>47118</v>
      </c>
      <c r="E96" s="0" t="n">
        <v>857</v>
      </c>
      <c r="F96" s="0" t="n">
        <v>1200</v>
      </c>
      <c r="G96" s="0" t="n">
        <v>2496210.20717534</v>
      </c>
      <c r="H96" s="10" t="n">
        <f aca="false">C96</f>
        <v>47118</v>
      </c>
      <c r="J96" s="10" t="n">
        <f aca="false">IF(AND(96&lt;122,A97=A96),C97,DATE(2100,1,1))</f>
        <v>73051</v>
      </c>
      <c r="K96" s="10" t="n">
        <f aca="false">IF(AND(96&lt;122,A97=A96),H97,DATE(2100,1,1))</f>
        <v>73051</v>
      </c>
      <c r="L96" s="6" t="n">
        <f aca="false">E96*MAX(0,MIN(J96,參數!$B$4)-MAX(C96,參數!$B$3))</f>
        <v>0</v>
      </c>
      <c r="M96" s="6" t="n">
        <f aca="false">E96*MAX(0,MIN(K96,參數!$B$4)-MAX(H96,參數!$B$3))</f>
        <v>0</v>
      </c>
      <c r="N96" s="6" t="n">
        <f aca="false">E96*MAX(0,MIN(J96,參數!$B$6)-MAX(C96,參數!$B$5))</f>
        <v>0</v>
      </c>
      <c r="O96" s="6" t="n">
        <f aca="false">E96*MAX(0,MIN(K96,參數!$B$6)-MAX(H96,參數!$B$5))</f>
        <v>0</v>
      </c>
      <c r="P96" s="6" t="n">
        <f aca="false">E96*(C96&lt;=參數!$B$8)*(J96&gt;參數!$B$8)</f>
        <v>0</v>
      </c>
      <c r="Q96" s="6" t="n">
        <f aca="false">E96*(C96&lt;=參數!$B$7)*(J96&gt;參數!$B$7)</f>
        <v>0</v>
      </c>
      <c r="R96" s="6" t="n">
        <f aca="false">E96*(H96&lt;=參數!$B$7)*(K96&gt;參數!$B$7)</f>
        <v>0</v>
      </c>
      <c r="S96" s="6" t="n">
        <f aca="false">E96*(C96&lt;=參數!$B$9)*(J96&gt;參數!$B$9)</f>
        <v>0</v>
      </c>
      <c r="T96" s="6" t="n">
        <f aca="false">E96*MAX(0,MIN(J96,參數!$B$11)-MAX(C96,參數!$B$10))</f>
        <v>0</v>
      </c>
      <c r="U96" s="6" t="n">
        <f aca="false">IF(AND(96&gt;2,A95=A96,C96&gt;=參數!$B$5,C96&lt;參數!$B$3),E96-E95,0)</f>
        <v>0</v>
      </c>
    </row>
    <row r="97" customFormat="false" ht="15" hidden="false" customHeight="false" outlineLevel="0" collapsed="false">
      <c r="A97" s="0" t="s">
        <v>160</v>
      </c>
      <c r="B97" s="0" t="s">
        <v>109</v>
      </c>
      <c r="C97" s="10" t="n">
        <v>45931</v>
      </c>
      <c r="D97" s="0" t="n">
        <v>0</v>
      </c>
      <c r="E97" s="0" t="n">
        <v>0</v>
      </c>
      <c r="F97" s="0" t="n">
        <v>0</v>
      </c>
      <c r="G97" s="0" t="n">
        <v>0</v>
      </c>
      <c r="H97" s="10" t="n">
        <f aca="false">C97</f>
        <v>45931</v>
      </c>
      <c r="J97" s="10" t="n">
        <f aca="false">IF(AND(97&lt;122,A98=A97),C98,DATE(2100,1,1))</f>
        <v>46059</v>
      </c>
      <c r="K97" s="10" t="n">
        <f aca="false">IF(AND(97&lt;122,A98=A97),H98,DATE(2100,1,1))</f>
        <v>46059</v>
      </c>
      <c r="L97" s="6" t="n">
        <f aca="false">E97*MAX(0,MIN(J97,參數!$B$4)-MAX(C97,參數!$B$3))</f>
        <v>0</v>
      </c>
      <c r="M97" s="6" t="n">
        <f aca="false">E97*MAX(0,MIN(K97,參數!$B$4)-MAX(H97,參數!$B$3))</f>
        <v>0</v>
      </c>
      <c r="N97" s="6" t="n">
        <f aca="false">E97*MAX(0,MIN(J97,參數!$B$6)-MAX(C97,參數!$B$5))</f>
        <v>0</v>
      </c>
      <c r="O97" s="6" t="n">
        <f aca="false">E97*MAX(0,MIN(K97,參數!$B$6)-MAX(H97,參數!$B$5))</f>
        <v>0</v>
      </c>
      <c r="P97" s="6" t="n">
        <f aca="false">E97*(C97&lt;=參數!$B$8)*(J97&gt;參數!$B$8)</f>
        <v>0</v>
      </c>
      <c r="Q97" s="6" t="n">
        <f aca="false">E97*(C97&lt;=參數!$B$7)*(J97&gt;參數!$B$7)</f>
        <v>0</v>
      </c>
      <c r="R97" s="6" t="n">
        <f aca="false">E97*(H97&lt;=參數!$B$7)*(K97&gt;參數!$B$7)</f>
        <v>0</v>
      </c>
      <c r="S97" s="6" t="n">
        <f aca="false">E97*(C97&lt;=參數!$B$9)*(J97&gt;參數!$B$9)</f>
        <v>0</v>
      </c>
      <c r="T97" s="6" t="n">
        <f aca="false">E97*MAX(0,MIN(J97,參數!$B$11)-MAX(C97,參數!$B$10))</f>
        <v>0</v>
      </c>
      <c r="U97" s="6" t="n">
        <f aca="false">IF(AND(97&gt;2,A96=A97,C97&gt;=參數!$B$5,C97&lt;參數!$B$3),E97-E96,0)</f>
        <v>0</v>
      </c>
    </row>
    <row r="98" customFormat="false" ht="15" hidden="false" customHeight="false" outlineLevel="0" collapsed="false">
      <c r="A98" s="0" t="s">
        <v>160</v>
      </c>
      <c r="B98" s="0" t="s">
        <v>109</v>
      </c>
      <c r="C98" s="10" t="n">
        <v>46059</v>
      </c>
      <c r="D98" s="0" t="n">
        <v>0</v>
      </c>
      <c r="E98" s="0" t="n">
        <v>0</v>
      </c>
      <c r="F98" s="0" t="n">
        <v>0</v>
      </c>
      <c r="G98" s="0" t="n">
        <v>0</v>
      </c>
      <c r="H98" s="10" t="n">
        <f aca="false">C98</f>
        <v>46059</v>
      </c>
      <c r="J98" s="10" t="n">
        <f aca="false">IF(AND(98&lt;122,A99=A98),C99,DATE(2100,1,1))</f>
        <v>46195</v>
      </c>
      <c r="K98" s="10" t="n">
        <f aca="false">IF(AND(98&lt;122,A99=A98),H99,DATE(2100,1,1))</f>
        <v>46195</v>
      </c>
      <c r="L98" s="6" t="n">
        <f aca="false">E98*MAX(0,MIN(J98,參數!$B$4)-MAX(C98,參數!$B$3))</f>
        <v>0</v>
      </c>
      <c r="M98" s="6" t="n">
        <f aca="false">E98*MAX(0,MIN(K98,參數!$B$4)-MAX(H98,參數!$B$3))</f>
        <v>0</v>
      </c>
      <c r="N98" s="6" t="n">
        <f aca="false">E98*MAX(0,MIN(J98,參數!$B$6)-MAX(C98,參數!$B$5))</f>
        <v>0</v>
      </c>
      <c r="O98" s="6" t="n">
        <f aca="false">E98*MAX(0,MIN(K98,參數!$B$6)-MAX(H98,參數!$B$5))</f>
        <v>0</v>
      </c>
      <c r="P98" s="6" t="n">
        <f aca="false">E98*(C98&lt;=參數!$B$8)*(J98&gt;參數!$B$8)</f>
        <v>0</v>
      </c>
      <c r="Q98" s="6" t="n">
        <f aca="false">E98*(C98&lt;=參數!$B$7)*(J98&gt;參數!$B$7)</f>
        <v>0</v>
      </c>
      <c r="R98" s="6" t="n">
        <f aca="false">E98*(H98&lt;=參數!$B$7)*(K98&gt;參數!$B$7)</f>
        <v>0</v>
      </c>
      <c r="S98" s="6" t="n">
        <f aca="false">E98*(C98&lt;=參數!$B$9)*(J98&gt;參數!$B$9)</f>
        <v>0</v>
      </c>
      <c r="T98" s="6" t="n">
        <f aca="false">E98*MAX(0,MIN(J98,參數!$B$11)-MAX(C98,參數!$B$10))</f>
        <v>0</v>
      </c>
      <c r="U98" s="6" t="n">
        <f aca="false">IF(AND(98&gt;2,A97=A98,C98&gt;=參數!$B$5,C98&lt;參數!$B$3),E98-E97,0)</f>
        <v>0</v>
      </c>
    </row>
    <row r="99" customFormat="false" ht="15" hidden="false" customHeight="false" outlineLevel="0" collapsed="false">
      <c r="A99" s="0" t="s">
        <v>160</v>
      </c>
      <c r="B99" s="0" t="s">
        <v>109</v>
      </c>
      <c r="C99" s="10" t="n">
        <v>46195</v>
      </c>
      <c r="D99" s="0" t="n">
        <v>0</v>
      </c>
      <c r="E99" s="0" t="n">
        <v>0</v>
      </c>
      <c r="F99" s="0" t="n">
        <v>0</v>
      </c>
      <c r="G99" s="0" t="n">
        <v>0</v>
      </c>
      <c r="H99" s="10" t="n">
        <f aca="false">C99</f>
        <v>46195</v>
      </c>
      <c r="J99" s="10" t="n">
        <f aca="false">IF(AND(99&lt;122,A100=A99),C100,DATE(2100,1,1))</f>
        <v>47118</v>
      </c>
      <c r="K99" s="10" t="n">
        <f aca="false">IF(AND(99&lt;122,A100=A99),H100,DATE(2100,1,1))</f>
        <v>47118</v>
      </c>
      <c r="L99" s="6" t="n">
        <f aca="false">E99*MAX(0,MIN(J99,參數!$B$4)-MAX(C99,參數!$B$3))</f>
        <v>0</v>
      </c>
      <c r="M99" s="6" t="n">
        <f aca="false">E99*MAX(0,MIN(K99,參數!$B$4)-MAX(H99,參數!$B$3))</f>
        <v>0</v>
      </c>
      <c r="N99" s="6" t="n">
        <f aca="false">E99*MAX(0,MIN(J99,參數!$B$6)-MAX(C99,參數!$B$5))</f>
        <v>0</v>
      </c>
      <c r="O99" s="6" t="n">
        <f aca="false">E99*MAX(0,MIN(K99,參數!$B$6)-MAX(H99,參數!$B$5))</f>
        <v>0</v>
      </c>
      <c r="P99" s="6" t="n">
        <f aca="false">E99*(C99&lt;=參數!$B$8)*(J99&gt;參數!$B$8)</f>
        <v>0</v>
      </c>
      <c r="Q99" s="6" t="n">
        <f aca="false">E99*(C99&lt;=參數!$B$7)*(J99&gt;參數!$B$7)</f>
        <v>0</v>
      </c>
      <c r="R99" s="6" t="n">
        <f aca="false">E99*(H99&lt;=參數!$B$7)*(K99&gt;參數!$B$7)</f>
        <v>0</v>
      </c>
      <c r="S99" s="6" t="n">
        <f aca="false">E99*(C99&lt;=參數!$B$9)*(J99&gt;參數!$B$9)</f>
        <v>0</v>
      </c>
      <c r="T99" s="6" t="n">
        <f aca="false">E99*MAX(0,MIN(J99,參數!$B$11)-MAX(C99,參數!$B$10))</f>
        <v>0</v>
      </c>
      <c r="U99" s="6" t="n">
        <f aca="false">IF(AND(99&gt;2,A98=A99,C99&gt;=參數!$B$5,C99&lt;參數!$B$3),E99-E98,0)</f>
        <v>0</v>
      </c>
    </row>
    <row r="100" customFormat="false" ht="15" hidden="false" customHeight="false" outlineLevel="0" collapsed="false">
      <c r="A100" s="0" t="s">
        <v>160</v>
      </c>
      <c r="B100" s="0" t="s">
        <v>109</v>
      </c>
      <c r="C100" s="10" t="n">
        <v>47118</v>
      </c>
      <c r="D100" s="0" t="n">
        <v>4</v>
      </c>
      <c r="E100" s="0" t="n">
        <v>1750</v>
      </c>
      <c r="F100" s="0" t="n">
        <v>2450</v>
      </c>
      <c r="G100" s="0" t="n">
        <v>5103587.67054068</v>
      </c>
      <c r="H100" s="10" t="n">
        <f aca="false">C100</f>
        <v>47118</v>
      </c>
      <c r="J100" s="10" t="n">
        <f aca="false">IF(AND(100&lt;122,A101=A100),C101,DATE(2100,1,1))</f>
        <v>73051</v>
      </c>
      <c r="K100" s="10" t="n">
        <f aca="false">IF(AND(100&lt;122,A101=A100),H101,DATE(2100,1,1))</f>
        <v>73051</v>
      </c>
      <c r="L100" s="6" t="n">
        <f aca="false">E100*MAX(0,MIN(J100,參數!$B$4)-MAX(C100,參數!$B$3))</f>
        <v>0</v>
      </c>
      <c r="M100" s="6" t="n">
        <f aca="false">E100*MAX(0,MIN(K100,參數!$B$4)-MAX(H100,參數!$B$3))</f>
        <v>0</v>
      </c>
      <c r="N100" s="6" t="n">
        <f aca="false">E100*MAX(0,MIN(J100,參數!$B$6)-MAX(C100,參數!$B$5))</f>
        <v>0</v>
      </c>
      <c r="O100" s="6" t="n">
        <f aca="false">E100*MAX(0,MIN(K100,參數!$B$6)-MAX(H100,參數!$B$5))</f>
        <v>0</v>
      </c>
      <c r="P100" s="6" t="n">
        <f aca="false">E100*(C100&lt;=參數!$B$8)*(J100&gt;參數!$B$8)</f>
        <v>0</v>
      </c>
      <c r="Q100" s="6" t="n">
        <f aca="false">E100*(C100&lt;=參數!$B$7)*(J100&gt;參數!$B$7)</f>
        <v>0</v>
      </c>
      <c r="R100" s="6" t="n">
        <f aca="false">E100*(H100&lt;=參數!$B$7)*(K100&gt;參數!$B$7)</f>
        <v>0</v>
      </c>
      <c r="S100" s="6" t="n">
        <f aca="false">E100*(C100&lt;=參數!$B$9)*(J100&gt;參數!$B$9)</f>
        <v>0</v>
      </c>
      <c r="T100" s="6" t="n">
        <f aca="false">E100*MAX(0,MIN(J100,參數!$B$11)-MAX(C100,參數!$B$10))</f>
        <v>0</v>
      </c>
      <c r="U100" s="6" t="n">
        <f aca="false">IF(AND(100&gt;2,A99=A100,C100&gt;=參數!$B$5,C100&lt;參數!$B$3),E100-E99,0)</f>
        <v>0</v>
      </c>
    </row>
    <row r="101" customFormat="false" ht="15" hidden="false" customHeight="false" outlineLevel="0" collapsed="false">
      <c r="A101" s="0" t="s">
        <v>161</v>
      </c>
      <c r="B101" s="0" t="s">
        <v>109</v>
      </c>
      <c r="C101" s="10" t="n">
        <v>45870</v>
      </c>
      <c r="D101" s="0" t="n">
        <v>0</v>
      </c>
      <c r="E101" s="0" t="n">
        <v>0</v>
      </c>
      <c r="F101" s="0" t="n">
        <v>0</v>
      </c>
      <c r="G101" s="0" t="n">
        <v>0</v>
      </c>
      <c r="H101" s="10" t="n">
        <f aca="false">C101</f>
        <v>45870</v>
      </c>
      <c r="J101" s="10" t="n">
        <f aca="false">IF(AND(101&lt;122,A102=A101),C102,DATE(2100,1,1))</f>
        <v>46040</v>
      </c>
      <c r="K101" s="10" t="n">
        <f aca="false">IF(AND(101&lt;122,A102=A101),H102,DATE(2100,1,1))</f>
        <v>46040</v>
      </c>
      <c r="L101" s="6" t="n">
        <f aca="false">E101*MAX(0,MIN(J101,參數!$B$4)-MAX(C101,參數!$B$3))</f>
        <v>0</v>
      </c>
      <c r="M101" s="6" t="n">
        <f aca="false">E101*MAX(0,MIN(K101,參數!$B$4)-MAX(H101,參數!$B$3))</f>
        <v>0</v>
      </c>
      <c r="N101" s="6" t="n">
        <f aca="false">E101*MAX(0,MIN(J101,參數!$B$6)-MAX(C101,參數!$B$5))</f>
        <v>0</v>
      </c>
      <c r="O101" s="6" t="n">
        <f aca="false">E101*MAX(0,MIN(K101,參數!$B$6)-MAX(H101,參數!$B$5))</f>
        <v>0</v>
      </c>
      <c r="P101" s="6" t="n">
        <f aca="false">E101*(C101&lt;=參數!$B$8)*(J101&gt;參數!$B$8)</f>
        <v>0</v>
      </c>
      <c r="Q101" s="6" t="n">
        <f aca="false">E101*(C101&lt;=參數!$B$7)*(J101&gt;參數!$B$7)</f>
        <v>0</v>
      </c>
      <c r="R101" s="6" t="n">
        <f aca="false">E101*(H101&lt;=參數!$B$7)*(K101&gt;參數!$B$7)</f>
        <v>0</v>
      </c>
      <c r="S101" s="6" t="n">
        <f aca="false">E101*(C101&lt;=參數!$B$9)*(J101&gt;參數!$B$9)</f>
        <v>0</v>
      </c>
      <c r="T101" s="6" t="n">
        <f aca="false">E101*MAX(0,MIN(J101,參數!$B$11)-MAX(C101,參數!$B$10))</f>
        <v>0</v>
      </c>
      <c r="U101" s="6" t="n">
        <f aca="false">IF(AND(101&gt;2,A100=A101,C101&gt;=參數!$B$5,C101&lt;參數!$B$3),E101-E100,0)</f>
        <v>0</v>
      </c>
    </row>
    <row r="102" customFormat="false" ht="15" hidden="false" customHeight="false" outlineLevel="0" collapsed="false">
      <c r="A102" s="0" t="s">
        <v>161</v>
      </c>
      <c r="B102" s="0" t="s">
        <v>109</v>
      </c>
      <c r="C102" s="10" t="n">
        <v>46040</v>
      </c>
      <c r="D102" s="0" t="n">
        <v>0</v>
      </c>
      <c r="E102" s="0" t="n">
        <v>0</v>
      </c>
      <c r="F102" s="0" t="n">
        <v>0</v>
      </c>
      <c r="G102" s="0" t="n">
        <v>0</v>
      </c>
      <c r="H102" s="10" t="n">
        <f aca="false">C102</f>
        <v>46040</v>
      </c>
      <c r="J102" s="10" t="n">
        <f aca="false">IF(AND(102&lt;122,A103=A102),C103,DATE(2100,1,1))</f>
        <v>46126</v>
      </c>
      <c r="K102" s="10" t="n">
        <f aca="false">IF(AND(102&lt;122,A103=A102),H103,DATE(2100,1,1))</f>
        <v>46126</v>
      </c>
      <c r="L102" s="6" t="n">
        <f aca="false">E102*MAX(0,MIN(J102,參數!$B$4)-MAX(C102,參數!$B$3))</f>
        <v>0</v>
      </c>
      <c r="M102" s="6" t="n">
        <f aca="false">E102*MAX(0,MIN(K102,參數!$B$4)-MAX(H102,參數!$B$3))</f>
        <v>0</v>
      </c>
      <c r="N102" s="6" t="n">
        <f aca="false">E102*MAX(0,MIN(J102,參數!$B$6)-MAX(C102,參數!$B$5))</f>
        <v>0</v>
      </c>
      <c r="O102" s="6" t="n">
        <f aca="false">E102*MAX(0,MIN(K102,參數!$B$6)-MAX(H102,參數!$B$5))</f>
        <v>0</v>
      </c>
      <c r="P102" s="6" t="n">
        <f aca="false">E102*(C102&lt;=參數!$B$8)*(J102&gt;參數!$B$8)</f>
        <v>0</v>
      </c>
      <c r="Q102" s="6" t="n">
        <f aca="false">E102*(C102&lt;=參數!$B$7)*(J102&gt;參數!$B$7)</f>
        <v>0</v>
      </c>
      <c r="R102" s="6" t="n">
        <f aca="false">E102*(H102&lt;=參數!$B$7)*(K102&gt;參數!$B$7)</f>
        <v>0</v>
      </c>
      <c r="S102" s="6" t="n">
        <f aca="false">E102*(C102&lt;=參數!$B$9)*(J102&gt;參數!$B$9)</f>
        <v>0</v>
      </c>
      <c r="T102" s="6" t="n">
        <f aca="false">E102*MAX(0,MIN(J102,參數!$B$11)-MAX(C102,參數!$B$10))</f>
        <v>0</v>
      </c>
      <c r="U102" s="6" t="n">
        <f aca="false">IF(AND(102&gt;2,A101=A102,C102&gt;=參數!$B$5,C102&lt;參數!$B$3),E102-E101,0)</f>
        <v>0</v>
      </c>
    </row>
    <row r="103" customFormat="false" ht="15" hidden="false" customHeight="false" outlineLevel="0" collapsed="false">
      <c r="A103" s="0" t="s">
        <v>161</v>
      </c>
      <c r="B103" s="0" t="s">
        <v>109</v>
      </c>
      <c r="C103" s="10" t="n">
        <v>46126</v>
      </c>
      <c r="D103" s="0" t="n">
        <v>0</v>
      </c>
      <c r="E103" s="0" t="n">
        <v>0</v>
      </c>
      <c r="F103" s="0" t="n">
        <v>0</v>
      </c>
      <c r="G103" s="0" t="n">
        <v>0</v>
      </c>
      <c r="H103" s="10" t="n">
        <f aca="false">C103</f>
        <v>46126</v>
      </c>
      <c r="J103" s="10" t="n">
        <f aca="false">IF(AND(103&lt;122,A104=A103),C104,DATE(2100,1,1))</f>
        <v>46269</v>
      </c>
      <c r="K103" s="10" t="n">
        <f aca="false">IF(AND(103&lt;122,A104=A103),H104,DATE(2100,1,1))</f>
        <v>46269</v>
      </c>
      <c r="L103" s="6" t="n">
        <f aca="false">E103*MAX(0,MIN(J103,參數!$B$4)-MAX(C103,參數!$B$3))</f>
        <v>0</v>
      </c>
      <c r="M103" s="6" t="n">
        <f aca="false">E103*MAX(0,MIN(K103,參數!$B$4)-MAX(H103,參數!$B$3))</f>
        <v>0</v>
      </c>
      <c r="N103" s="6" t="n">
        <f aca="false">E103*MAX(0,MIN(J103,參數!$B$6)-MAX(C103,參數!$B$5))</f>
        <v>0</v>
      </c>
      <c r="O103" s="6" t="n">
        <f aca="false">E103*MAX(0,MIN(K103,參數!$B$6)-MAX(H103,參數!$B$5))</f>
        <v>0</v>
      </c>
      <c r="P103" s="6" t="n">
        <f aca="false">E103*(C103&lt;=參數!$B$8)*(J103&gt;參數!$B$8)</f>
        <v>0</v>
      </c>
      <c r="Q103" s="6" t="n">
        <f aca="false">E103*(C103&lt;=參數!$B$7)*(J103&gt;參數!$B$7)</f>
        <v>0</v>
      </c>
      <c r="R103" s="6" t="n">
        <f aca="false">E103*(H103&lt;=參數!$B$7)*(K103&gt;參數!$B$7)</f>
        <v>0</v>
      </c>
      <c r="S103" s="6" t="n">
        <f aca="false">E103*(C103&lt;=參數!$B$9)*(J103&gt;參數!$B$9)</f>
        <v>0</v>
      </c>
      <c r="T103" s="6" t="n">
        <f aca="false">E103*MAX(0,MIN(J103,參數!$B$11)-MAX(C103,參數!$B$10))</f>
        <v>0</v>
      </c>
      <c r="U103" s="6" t="n">
        <f aca="false">IF(AND(103&gt;2,A102=A103,C103&gt;=參數!$B$5,C103&lt;參數!$B$3),E103-E102,0)</f>
        <v>0</v>
      </c>
    </row>
    <row r="104" customFormat="false" ht="15" hidden="false" customHeight="false" outlineLevel="0" collapsed="false">
      <c r="A104" s="0" t="s">
        <v>161</v>
      </c>
      <c r="B104" s="0" t="s">
        <v>109</v>
      </c>
      <c r="C104" s="10" t="n">
        <v>46269</v>
      </c>
      <c r="D104" s="0" t="n">
        <v>0</v>
      </c>
      <c r="E104" s="0" t="n">
        <v>0</v>
      </c>
      <c r="F104" s="0" t="n">
        <v>0</v>
      </c>
      <c r="G104" s="0" t="n">
        <v>0</v>
      </c>
      <c r="H104" s="10" t="n">
        <f aca="false">C104</f>
        <v>46269</v>
      </c>
      <c r="J104" s="10" t="n">
        <f aca="false">IF(AND(104&lt;122,A105=A104),C105,DATE(2100,1,1))</f>
        <v>46614</v>
      </c>
      <c r="K104" s="10" t="n">
        <f aca="false">IF(AND(104&lt;122,A105=A104),H105,DATE(2100,1,1))</f>
        <v>46614</v>
      </c>
      <c r="L104" s="6" t="n">
        <f aca="false">E104*MAX(0,MIN(J104,參數!$B$4)-MAX(C104,參數!$B$3))</f>
        <v>0</v>
      </c>
      <c r="M104" s="6" t="n">
        <f aca="false">E104*MAX(0,MIN(K104,參數!$B$4)-MAX(H104,參數!$B$3))</f>
        <v>0</v>
      </c>
      <c r="N104" s="6" t="n">
        <f aca="false">E104*MAX(0,MIN(J104,參數!$B$6)-MAX(C104,參數!$B$5))</f>
        <v>0</v>
      </c>
      <c r="O104" s="6" t="n">
        <f aca="false">E104*MAX(0,MIN(K104,參數!$B$6)-MAX(H104,參數!$B$5))</f>
        <v>0</v>
      </c>
      <c r="P104" s="6" t="n">
        <f aca="false">E104*(C104&lt;=參數!$B$8)*(J104&gt;參數!$B$8)</f>
        <v>0</v>
      </c>
      <c r="Q104" s="6" t="n">
        <f aca="false">E104*(C104&lt;=參數!$B$7)*(J104&gt;參數!$B$7)</f>
        <v>0</v>
      </c>
      <c r="R104" s="6" t="n">
        <f aca="false">E104*(H104&lt;=參數!$B$7)*(K104&gt;參數!$B$7)</f>
        <v>0</v>
      </c>
      <c r="S104" s="6" t="n">
        <f aca="false">E104*(C104&lt;=參數!$B$9)*(J104&gt;參數!$B$9)</f>
        <v>0</v>
      </c>
      <c r="T104" s="6" t="n">
        <f aca="false">E104*MAX(0,MIN(J104,參數!$B$11)-MAX(C104,參數!$B$10))</f>
        <v>0</v>
      </c>
      <c r="U104" s="6" t="n">
        <f aca="false">IF(AND(104&gt;2,A103=A104,C104&gt;=參數!$B$5,C104&lt;參數!$B$3),E104-E103,0)</f>
        <v>0</v>
      </c>
    </row>
    <row r="105" customFormat="false" ht="15" hidden="false" customHeight="false" outlineLevel="0" collapsed="false">
      <c r="A105" s="0" t="s">
        <v>161</v>
      </c>
      <c r="B105" s="0" t="s">
        <v>109</v>
      </c>
      <c r="C105" s="10" t="n">
        <v>46614</v>
      </c>
      <c r="D105" s="0" t="n">
        <v>1</v>
      </c>
      <c r="E105" s="0" t="n">
        <v>140</v>
      </c>
      <c r="F105" s="0" t="n">
        <v>196</v>
      </c>
      <c r="G105" s="0" t="n">
        <v>355229.914098029</v>
      </c>
      <c r="H105" s="10" t="n">
        <f aca="false">C105</f>
        <v>46614</v>
      </c>
      <c r="J105" s="10" t="n">
        <f aca="false">IF(AND(105&lt;122,A106=A105),C106,DATE(2100,1,1))</f>
        <v>46679</v>
      </c>
      <c r="K105" s="10" t="n">
        <f aca="false">IF(AND(105&lt;122,A106=A105),H106,DATE(2100,1,1))</f>
        <v>46679</v>
      </c>
      <c r="L105" s="6" t="n">
        <f aca="false">E105*MAX(0,MIN(J105,參數!$B$4)-MAX(C105,參數!$B$3))</f>
        <v>0</v>
      </c>
      <c r="M105" s="6" t="n">
        <f aca="false">E105*MAX(0,MIN(K105,參數!$B$4)-MAX(H105,參數!$B$3))</f>
        <v>0</v>
      </c>
      <c r="N105" s="6" t="n">
        <f aca="false">E105*MAX(0,MIN(J105,參數!$B$6)-MAX(C105,參數!$B$5))</f>
        <v>0</v>
      </c>
      <c r="O105" s="6" t="n">
        <f aca="false">E105*MAX(0,MIN(K105,參數!$B$6)-MAX(H105,參數!$B$5))</f>
        <v>0</v>
      </c>
      <c r="P105" s="6" t="n">
        <f aca="false">E105*(C105&lt;=參數!$B$8)*(J105&gt;參數!$B$8)</f>
        <v>0</v>
      </c>
      <c r="Q105" s="6" t="n">
        <f aca="false">E105*(C105&lt;=參數!$B$7)*(J105&gt;參數!$B$7)</f>
        <v>0</v>
      </c>
      <c r="R105" s="6" t="n">
        <f aca="false">E105*(H105&lt;=參數!$B$7)*(K105&gt;參數!$B$7)</f>
        <v>0</v>
      </c>
      <c r="S105" s="6" t="n">
        <f aca="false">E105*(C105&lt;=參數!$B$9)*(J105&gt;參數!$B$9)</f>
        <v>0</v>
      </c>
      <c r="T105" s="6" t="n">
        <f aca="false">E105*MAX(0,MIN(J105,參數!$B$11)-MAX(C105,參數!$B$10))</f>
        <v>0</v>
      </c>
      <c r="U105" s="6" t="n">
        <f aca="false">IF(AND(105&gt;2,A104=A105,C105&gt;=參數!$B$5,C105&lt;參數!$B$3),E105-E104,0)</f>
        <v>0</v>
      </c>
    </row>
    <row r="106" customFormat="false" ht="15" hidden="false" customHeight="false" outlineLevel="0" collapsed="false">
      <c r="A106" s="0" t="s">
        <v>161</v>
      </c>
      <c r="B106" s="0" t="s">
        <v>109</v>
      </c>
      <c r="C106" s="10" t="n">
        <v>46679</v>
      </c>
      <c r="D106" s="0" t="n">
        <v>2</v>
      </c>
      <c r="E106" s="0" t="n">
        <v>280</v>
      </c>
      <c r="F106" s="0" t="n">
        <v>392</v>
      </c>
      <c r="G106" s="0" t="n">
        <v>712481.051035877</v>
      </c>
      <c r="H106" s="10" t="n">
        <f aca="false">C106</f>
        <v>46679</v>
      </c>
      <c r="J106" s="10" t="n">
        <f aca="false">IF(AND(106&lt;122,A107=A106),C107,DATE(2100,1,1))</f>
        <v>46709</v>
      </c>
      <c r="K106" s="10" t="n">
        <f aca="false">IF(AND(106&lt;122,A107=A106),H107,DATE(2100,1,1))</f>
        <v>46709</v>
      </c>
      <c r="L106" s="6" t="n">
        <f aca="false">E106*MAX(0,MIN(J106,參數!$B$4)-MAX(C106,參數!$B$3))</f>
        <v>0</v>
      </c>
      <c r="M106" s="6" t="n">
        <f aca="false">E106*MAX(0,MIN(K106,參數!$B$4)-MAX(H106,參數!$B$3))</f>
        <v>0</v>
      </c>
      <c r="N106" s="6" t="n">
        <f aca="false">E106*MAX(0,MIN(J106,參數!$B$6)-MAX(C106,參數!$B$5))</f>
        <v>0</v>
      </c>
      <c r="O106" s="6" t="n">
        <f aca="false">E106*MAX(0,MIN(K106,參數!$B$6)-MAX(H106,參數!$B$5))</f>
        <v>0</v>
      </c>
      <c r="P106" s="6" t="n">
        <f aca="false">E106*(C106&lt;=參數!$B$8)*(J106&gt;參數!$B$8)</f>
        <v>0</v>
      </c>
      <c r="Q106" s="6" t="n">
        <f aca="false">E106*(C106&lt;=參數!$B$7)*(J106&gt;參數!$B$7)</f>
        <v>0</v>
      </c>
      <c r="R106" s="6" t="n">
        <f aca="false">E106*(H106&lt;=參數!$B$7)*(K106&gt;參數!$B$7)</f>
        <v>0</v>
      </c>
      <c r="S106" s="6" t="n">
        <f aca="false">E106*(C106&lt;=參數!$B$9)*(J106&gt;參數!$B$9)</f>
        <v>0</v>
      </c>
      <c r="T106" s="6" t="n">
        <f aca="false">E106*MAX(0,MIN(J106,參數!$B$11)-MAX(C106,參數!$B$10))</f>
        <v>0</v>
      </c>
      <c r="U106" s="6" t="n">
        <f aca="false">IF(AND(106&gt;2,A105=A106,C106&gt;=參數!$B$5,C106&lt;參數!$B$3),E106-E105,0)</f>
        <v>0</v>
      </c>
    </row>
    <row r="107" customFormat="false" ht="15" hidden="false" customHeight="false" outlineLevel="0" collapsed="false">
      <c r="A107" s="0" t="s">
        <v>161</v>
      </c>
      <c r="B107" s="0" t="s">
        <v>109</v>
      </c>
      <c r="C107" s="10" t="n">
        <v>46709</v>
      </c>
      <c r="D107" s="0" t="n">
        <v>3</v>
      </c>
      <c r="E107" s="0" t="n">
        <v>420</v>
      </c>
      <c r="F107" s="0" t="n">
        <v>588</v>
      </c>
      <c r="G107" s="0" t="n">
        <v>1066195.04800404</v>
      </c>
      <c r="H107" s="10" t="n">
        <f aca="false">C107</f>
        <v>46709</v>
      </c>
      <c r="J107" s="10" t="n">
        <f aca="false">IF(AND(107&lt;122,A108=A107),C108,DATE(2100,1,1))</f>
        <v>46794</v>
      </c>
      <c r="K107" s="10" t="n">
        <f aca="false">IF(AND(107&lt;122,A108=A107),H108,DATE(2100,1,1))</f>
        <v>46794</v>
      </c>
      <c r="L107" s="6" t="n">
        <f aca="false">E107*MAX(0,MIN(J107,參數!$B$4)-MAX(C107,參數!$B$3))</f>
        <v>0</v>
      </c>
      <c r="M107" s="6" t="n">
        <f aca="false">E107*MAX(0,MIN(K107,參數!$B$4)-MAX(H107,參數!$B$3))</f>
        <v>0</v>
      </c>
      <c r="N107" s="6" t="n">
        <f aca="false">E107*MAX(0,MIN(J107,參數!$B$6)-MAX(C107,參數!$B$5))</f>
        <v>0</v>
      </c>
      <c r="O107" s="6" t="n">
        <f aca="false">E107*MAX(0,MIN(K107,參數!$B$6)-MAX(H107,參數!$B$5))</f>
        <v>0</v>
      </c>
      <c r="P107" s="6" t="n">
        <f aca="false">E107*(C107&lt;=參數!$B$8)*(J107&gt;參數!$B$8)</f>
        <v>0</v>
      </c>
      <c r="Q107" s="6" t="n">
        <f aca="false">E107*(C107&lt;=參數!$B$7)*(J107&gt;參數!$B$7)</f>
        <v>0</v>
      </c>
      <c r="R107" s="6" t="n">
        <f aca="false">E107*(H107&lt;=參數!$B$7)*(K107&gt;參數!$B$7)</f>
        <v>0</v>
      </c>
      <c r="S107" s="6" t="n">
        <f aca="false">E107*(C107&lt;=參數!$B$9)*(J107&gt;參數!$B$9)</f>
        <v>0</v>
      </c>
      <c r="T107" s="6" t="n">
        <f aca="false">E107*MAX(0,MIN(J107,參數!$B$11)-MAX(C107,參數!$B$10))</f>
        <v>0</v>
      </c>
      <c r="U107" s="6" t="n">
        <f aca="false">IF(AND(107&gt;2,A106=A107,C107&gt;=參數!$B$5,C107&lt;參數!$B$3),E107-E106,0)</f>
        <v>0</v>
      </c>
    </row>
    <row r="108" customFormat="false" ht="15" hidden="false" customHeight="false" outlineLevel="0" collapsed="false">
      <c r="A108" s="0" t="s">
        <v>161</v>
      </c>
      <c r="B108" s="0" t="s">
        <v>109</v>
      </c>
      <c r="C108" s="10" t="n">
        <v>46794</v>
      </c>
      <c r="D108" s="0" t="n">
        <v>4</v>
      </c>
      <c r="E108" s="0" t="n">
        <v>560</v>
      </c>
      <c r="F108" s="0" t="n">
        <v>784</v>
      </c>
      <c r="G108" s="0" t="n">
        <v>1419909.04497221</v>
      </c>
      <c r="H108" s="10" t="n">
        <f aca="false">C108</f>
        <v>46794</v>
      </c>
      <c r="J108" s="10" t="n">
        <f aca="false">IF(AND(108&lt;122,A109=A108),C109,DATE(2100,1,1))</f>
        <v>46820</v>
      </c>
      <c r="K108" s="10" t="n">
        <f aca="false">IF(AND(108&lt;122,A109=A108),H109,DATE(2100,1,1))</f>
        <v>46820</v>
      </c>
      <c r="L108" s="6" t="n">
        <f aca="false">E108*MAX(0,MIN(J108,參數!$B$4)-MAX(C108,參數!$B$3))</f>
        <v>0</v>
      </c>
      <c r="M108" s="6" t="n">
        <f aca="false">E108*MAX(0,MIN(K108,參數!$B$4)-MAX(H108,參數!$B$3))</f>
        <v>0</v>
      </c>
      <c r="N108" s="6" t="n">
        <f aca="false">E108*MAX(0,MIN(J108,參數!$B$6)-MAX(C108,參數!$B$5))</f>
        <v>0</v>
      </c>
      <c r="O108" s="6" t="n">
        <f aca="false">E108*MAX(0,MIN(K108,參數!$B$6)-MAX(H108,參數!$B$5))</f>
        <v>0</v>
      </c>
      <c r="P108" s="6" t="n">
        <f aca="false">E108*(C108&lt;=參數!$B$8)*(J108&gt;參數!$B$8)</f>
        <v>0</v>
      </c>
      <c r="Q108" s="6" t="n">
        <f aca="false">E108*(C108&lt;=參數!$B$7)*(J108&gt;參數!$B$7)</f>
        <v>0</v>
      </c>
      <c r="R108" s="6" t="n">
        <f aca="false">E108*(H108&lt;=參數!$B$7)*(K108&gt;參數!$B$7)</f>
        <v>0</v>
      </c>
      <c r="S108" s="6" t="n">
        <f aca="false">E108*(C108&lt;=參數!$B$9)*(J108&gt;參數!$B$9)</f>
        <v>0</v>
      </c>
      <c r="T108" s="6" t="n">
        <f aca="false">E108*MAX(0,MIN(J108,參數!$B$11)-MAX(C108,參數!$B$10))</f>
        <v>0</v>
      </c>
      <c r="U108" s="6" t="n">
        <f aca="false">IF(AND(108&gt;2,A107=A108,C108&gt;=參數!$B$5,C108&lt;參數!$B$3),E108-E107,0)</f>
        <v>0</v>
      </c>
    </row>
    <row r="109" customFormat="false" ht="15" hidden="false" customHeight="false" outlineLevel="0" collapsed="false">
      <c r="A109" s="0" t="s">
        <v>161</v>
      </c>
      <c r="B109" s="0" t="s">
        <v>109</v>
      </c>
      <c r="C109" s="10" t="n">
        <v>46820</v>
      </c>
      <c r="D109" s="0" t="n">
        <v>5</v>
      </c>
      <c r="E109" s="0" t="n">
        <v>700</v>
      </c>
      <c r="F109" s="0" t="n">
        <v>980</v>
      </c>
      <c r="G109" s="0" t="n">
        <v>1778676.09903992</v>
      </c>
      <c r="H109" s="10" t="n">
        <f aca="false">C109</f>
        <v>46820</v>
      </c>
      <c r="J109" s="10" t="n">
        <f aca="false">IF(AND(109&lt;122,A110=A109),C110,DATE(2100,1,1))</f>
        <v>46847</v>
      </c>
      <c r="K109" s="10" t="n">
        <f aca="false">IF(AND(109&lt;122,A110=A109),H110,DATE(2100,1,1))</f>
        <v>46847</v>
      </c>
      <c r="L109" s="6" t="n">
        <f aca="false">E109*MAX(0,MIN(J109,參數!$B$4)-MAX(C109,參數!$B$3))</f>
        <v>0</v>
      </c>
      <c r="M109" s="6" t="n">
        <f aca="false">E109*MAX(0,MIN(K109,參數!$B$4)-MAX(H109,參數!$B$3))</f>
        <v>0</v>
      </c>
      <c r="N109" s="6" t="n">
        <f aca="false">E109*MAX(0,MIN(J109,參數!$B$6)-MAX(C109,參數!$B$5))</f>
        <v>0</v>
      </c>
      <c r="O109" s="6" t="n">
        <f aca="false">E109*MAX(0,MIN(K109,參數!$B$6)-MAX(H109,參數!$B$5))</f>
        <v>0</v>
      </c>
      <c r="P109" s="6" t="n">
        <f aca="false">E109*(C109&lt;=參數!$B$8)*(J109&gt;參數!$B$8)</f>
        <v>0</v>
      </c>
      <c r="Q109" s="6" t="n">
        <f aca="false">E109*(C109&lt;=參數!$B$7)*(J109&gt;參數!$B$7)</f>
        <v>0</v>
      </c>
      <c r="R109" s="6" t="n">
        <f aca="false">E109*(H109&lt;=參數!$B$7)*(K109&gt;參數!$B$7)</f>
        <v>0</v>
      </c>
      <c r="S109" s="6" t="n">
        <f aca="false">E109*(C109&lt;=參數!$B$9)*(J109&gt;參數!$B$9)</f>
        <v>0</v>
      </c>
      <c r="T109" s="6" t="n">
        <f aca="false">E109*MAX(0,MIN(J109,參數!$B$11)-MAX(C109,參數!$B$10))</f>
        <v>0</v>
      </c>
      <c r="U109" s="6" t="n">
        <f aca="false">IF(AND(109&gt;2,A108=A109,C109&gt;=參數!$B$5,C109&lt;參數!$B$3),E109-E108,0)</f>
        <v>0</v>
      </c>
    </row>
    <row r="110" customFormat="false" ht="15" hidden="false" customHeight="false" outlineLevel="0" collapsed="false">
      <c r="A110" s="0" t="s">
        <v>161</v>
      </c>
      <c r="B110" s="0" t="s">
        <v>109</v>
      </c>
      <c r="C110" s="10" t="n">
        <v>46847</v>
      </c>
      <c r="D110" s="0" t="n">
        <v>6</v>
      </c>
      <c r="E110" s="0" t="n">
        <v>840</v>
      </c>
      <c r="F110" s="0" t="n">
        <v>1176</v>
      </c>
      <c r="G110" s="0" t="n">
        <v>2334512.37998989</v>
      </c>
      <c r="H110" s="10" t="n">
        <f aca="false">C110</f>
        <v>46847</v>
      </c>
      <c r="J110" s="10" t="n">
        <f aca="false">IF(AND(110&lt;122,A111=A110),C111,DATE(2100,1,1))</f>
        <v>46885</v>
      </c>
      <c r="K110" s="10" t="n">
        <f aca="false">IF(AND(110&lt;122,A111=A110),H111,DATE(2100,1,1))</f>
        <v>46885</v>
      </c>
      <c r="L110" s="6" t="n">
        <f aca="false">E110*MAX(0,MIN(J110,參數!$B$4)-MAX(C110,參數!$B$3))</f>
        <v>0</v>
      </c>
      <c r="M110" s="6" t="n">
        <f aca="false">E110*MAX(0,MIN(K110,參數!$B$4)-MAX(H110,參數!$B$3))</f>
        <v>0</v>
      </c>
      <c r="N110" s="6" t="n">
        <f aca="false">E110*MAX(0,MIN(J110,參數!$B$6)-MAX(C110,參數!$B$5))</f>
        <v>0</v>
      </c>
      <c r="O110" s="6" t="n">
        <f aca="false">E110*MAX(0,MIN(K110,參數!$B$6)-MAX(H110,參數!$B$5))</f>
        <v>0</v>
      </c>
      <c r="P110" s="6" t="n">
        <f aca="false">E110*(C110&lt;=參數!$B$8)*(J110&gt;參數!$B$8)</f>
        <v>0</v>
      </c>
      <c r="Q110" s="6" t="n">
        <f aca="false">E110*(C110&lt;=參數!$B$7)*(J110&gt;參數!$B$7)</f>
        <v>0</v>
      </c>
      <c r="R110" s="6" t="n">
        <f aca="false">E110*(H110&lt;=參數!$B$7)*(K110&gt;參數!$B$7)</f>
        <v>0</v>
      </c>
      <c r="S110" s="6" t="n">
        <f aca="false">E110*(C110&lt;=參數!$B$9)*(J110&gt;參數!$B$9)</f>
        <v>0</v>
      </c>
      <c r="T110" s="6" t="n">
        <f aca="false">E110*MAX(0,MIN(J110,參數!$B$11)-MAX(C110,參數!$B$10))</f>
        <v>0</v>
      </c>
      <c r="U110" s="6" t="n">
        <f aca="false">IF(AND(110&gt;2,A109=A110,C110&gt;=參數!$B$5,C110&lt;參數!$B$3),E110-E109,0)</f>
        <v>0</v>
      </c>
    </row>
    <row r="111" customFormat="false" ht="15" hidden="false" customHeight="false" outlineLevel="0" collapsed="false">
      <c r="A111" s="0" t="s">
        <v>161</v>
      </c>
      <c r="B111" s="0" t="s">
        <v>109</v>
      </c>
      <c r="C111" s="10" t="n">
        <v>46885</v>
      </c>
      <c r="D111" s="0" t="n">
        <v>7</v>
      </c>
      <c r="E111" s="0" t="n">
        <v>980</v>
      </c>
      <c r="F111" s="0" t="n">
        <v>1372</v>
      </c>
      <c r="G111" s="0" t="n">
        <v>2890348.66093987</v>
      </c>
      <c r="H111" s="10" t="n">
        <f aca="false">C111</f>
        <v>46885</v>
      </c>
      <c r="J111" s="10" t="n">
        <f aca="false">IF(AND(111&lt;122,A112=A111),C112,DATE(2100,1,1))</f>
        <v>47043</v>
      </c>
      <c r="K111" s="10" t="n">
        <f aca="false">IF(AND(111&lt;122,A112=A111),H112,DATE(2100,1,1))</f>
        <v>47043</v>
      </c>
      <c r="L111" s="6" t="n">
        <f aca="false">E111*MAX(0,MIN(J111,參數!$B$4)-MAX(C111,參數!$B$3))</f>
        <v>0</v>
      </c>
      <c r="M111" s="6" t="n">
        <f aca="false">E111*MAX(0,MIN(K111,參數!$B$4)-MAX(H111,參數!$B$3))</f>
        <v>0</v>
      </c>
      <c r="N111" s="6" t="n">
        <f aca="false">E111*MAX(0,MIN(J111,參數!$B$6)-MAX(C111,參數!$B$5))</f>
        <v>0</v>
      </c>
      <c r="O111" s="6" t="n">
        <f aca="false">E111*MAX(0,MIN(K111,參數!$B$6)-MAX(H111,參數!$B$5))</f>
        <v>0</v>
      </c>
      <c r="P111" s="6" t="n">
        <f aca="false">E111*(C111&lt;=參數!$B$8)*(J111&gt;參數!$B$8)</f>
        <v>0</v>
      </c>
      <c r="Q111" s="6" t="n">
        <f aca="false">E111*(C111&lt;=參數!$B$7)*(J111&gt;參數!$B$7)</f>
        <v>0</v>
      </c>
      <c r="R111" s="6" t="n">
        <f aca="false">E111*(H111&lt;=參數!$B$7)*(K111&gt;參數!$B$7)</f>
        <v>0</v>
      </c>
      <c r="S111" s="6" t="n">
        <f aca="false">E111*(C111&lt;=參數!$B$9)*(J111&gt;參數!$B$9)</f>
        <v>0</v>
      </c>
      <c r="T111" s="6" t="n">
        <f aca="false">E111*MAX(0,MIN(J111,參數!$B$11)-MAX(C111,參數!$B$10))</f>
        <v>0</v>
      </c>
      <c r="U111" s="6" t="n">
        <f aca="false">IF(AND(111&gt;2,A110=A111,C111&gt;=參數!$B$5,C111&lt;參數!$B$3),E111-E110,0)</f>
        <v>0</v>
      </c>
    </row>
    <row r="112" customFormat="false" ht="15" hidden="false" customHeight="false" outlineLevel="0" collapsed="false">
      <c r="A112" s="0" t="s">
        <v>161</v>
      </c>
      <c r="B112" s="0" t="s">
        <v>109</v>
      </c>
      <c r="C112" s="10" t="n">
        <v>47043</v>
      </c>
      <c r="D112" s="0" t="n">
        <v>8</v>
      </c>
      <c r="E112" s="0" t="n">
        <v>1120</v>
      </c>
      <c r="F112" s="0" t="n">
        <v>1568</v>
      </c>
      <c r="G112" s="0" t="n">
        <v>3451237.99898939</v>
      </c>
      <c r="H112" s="10" t="n">
        <f aca="false">C112</f>
        <v>47043</v>
      </c>
      <c r="J112" s="10" t="n">
        <f aca="false">IF(AND(112&lt;122,A113=A112),C113,DATE(2100,1,1))</f>
        <v>47044</v>
      </c>
      <c r="K112" s="10" t="n">
        <f aca="false">IF(AND(112&lt;122,A113=A112),H113,DATE(2100,1,1))</f>
        <v>47044</v>
      </c>
      <c r="L112" s="6" t="n">
        <f aca="false">E112*MAX(0,MIN(J112,參數!$B$4)-MAX(C112,參數!$B$3))</f>
        <v>0</v>
      </c>
      <c r="M112" s="6" t="n">
        <f aca="false">E112*MAX(0,MIN(K112,參數!$B$4)-MAX(H112,參數!$B$3))</f>
        <v>0</v>
      </c>
      <c r="N112" s="6" t="n">
        <f aca="false">E112*MAX(0,MIN(J112,參數!$B$6)-MAX(C112,參數!$B$5))</f>
        <v>0</v>
      </c>
      <c r="O112" s="6" t="n">
        <f aca="false">E112*MAX(0,MIN(K112,參數!$B$6)-MAX(H112,參數!$B$5))</f>
        <v>0</v>
      </c>
      <c r="P112" s="6" t="n">
        <f aca="false">E112*(C112&lt;=參數!$B$8)*(J112&gt;參數!$B$8)</f>
        <v>0</v>
      </c>
      <c r="Q112" s="6" t="n">
        <f aca="false">E112*(C112&lt;=參數!$B$7)*(J112&gt;參數!$B$7)</f>
        <v>0</v>
      </c>
      <c r="R112" s="6" t="n">
        <f aca="false">E112*(H112&lt;=參數!$B$7)*(K112&gt;參數!$B$7)</f>
        <v>0</v>
      </c>
      <c r="S112" s="6" t="n">
        <f aca="false">E112*(C112&lt;=參數!$B$9)*(J112&gt;參數!$B$9)</f>
        <v>0</v>
      </c>
      <c r="T112" s="6" t="n">
        <f aca="false">E112*MAX(0,MIN(J112,參數!$B$11)-MAX(C112,參數!$B$10))</f>
        <v>0</v>
      </c>
      <c r="U112" s="6" t="n">
        <f aca="false">IF(AND(112&gt;2,A111=A112,C112&gt;=參數!$B$5,C112&lt;參數!$B$3),E112-E111,0)</f>
        <v>0</v>
      </c>
    </row>
    <row r="113" customFormat="false" ht="15" hidden="false" customHeight="false" outlineLevel="0" collapsed="false">
      <c r="A113" s="0" t="s">
        <v>161</v>
      </c>
      <c r="B113" s="0" t="s">
        <v>109</v>
      </c>
      <c r="C113" s="10" t="n">
        <v>47044</v>
      </c>
      <c r="D113" s="0" t="n">
        <v>9</v>
      </c>
      <c r="E113" s="0" t="n">
        <v>1260</v>
      </c>
      <c r="F113" s="0" t="n">
        <v>1764</v>
      </c>
      <c r="G113" s="0" t="n">
        <v>4007074.27993936</v>
      </c>
      <c r="H113" s="10" t="n">
        <f aca="false">C113</f>
        <v>47044</v>
      </c>
      <c r="J113" s="10" t="n">
        <f aca="false">IF(AND(113&lt;122,A114=A113),C114,DATE(2100,1,1))</f>
        <v>47068</v>
      </c>
      <c r="K113" s="10" t="n">
        <f aca="false">IF(AND(113&lt;122,A114=A113),H114,DATE(2100,1,1))</f>
        <v>47068</v>
      </c>
      <c r="L113" s="6" t="n">
        <f aca="false">E113*MAX(0,MIN(J113,參數!$B$4)-MAX(C113,參數!$B$3))</f>
        <v>0</v>
      </c>
      <c r="M113" s="6" t="n">
        <f aca="false">E113*MAX(0,MIN(K113,參數!$B$4)-MAX(H113,參數!$B$3))</f>
        <v>0</v>
      </c>
      <c r="N113" s="6" t="n">
        <f aca="false">E113*MAX(0,MIN(J113,參數!$B$6)-MAX(C113,參數!$B$5))</f>
        <v>0</v>
      </c>
      <c r="O113" s="6" t="n">
        <f aca="false">E113*MAX(0,MIN(K113,參數!$B$6)-MAX(H113,參數!$B$5))</f>
        <v>0</v>
      </c>
      <c r="P113" s="6" t="n">
        <f aca="false">E113*(C113&lt;=參數!$B$8)*(J113&gt;參數!$B$8)</f>
        <v>0</v>
      </c>
      <c r="Q113" s="6" t="n">
        <f aca="false">E113*(C113&lt;=參數!$B$7)*(J113&gt;參數!$B$7)</f>
        <v>0</v>
      </c>
      <c r="R113" s="6" t="n">
        <f aca="false">E113*(H113&lt;=參數!$B$7)*(K113&gt;參數!$B$7)</f>
        <v>0</v>
      </c>
      <c r="S113" s="6" t="n">
        <f aca="false">E113*(C113&lt;=參數!$B$9)*(J113&gt;參數!$B$9)</f>
        <v>0</v>
      </c>
      <c r="T113" s="6" t="n">
        <f aca="false">E113*MAX(0,MIN(J113,參數!$B$11)-MAX(C113,參數!$B$10))</f>
        <v>0</v>
      </c>
      <c r="U113" s="6" t="n">
        <f aca="false">IF(AND(113&gt;2,A112=A113,C113&gt;=參數!$B$5,C113&lt;參數!$B$3),E113-E112,0)</f>
        <v>0</v>
      </c>
    </row>
    <row r="114" customFormat="false" ht="15" hidden="false" customHeight="false" outlineLevel="0" collapsed="false">
      <c r="A114" s="0" t="s">
        <v>161</v>
      </c>
      <c r="B114" s="0" t="s">
        <v>109</v>
      </c>
      <c r="C114" s="10" t="n">
        <v>47068</v>
      </c>
      <c r="D114" s="0" t="n">
        <v>10</v>
      </c>
      <c r="E114" s="0" t="n">
        <v>1400</v>
      </c>
      <c r="F114" s="0" t="n">
        <v>1960</v>
      </c>
      <c r="G114" s="0" t="n">
        <v>4562910.56088934</v>
      </c>
      <c r="H114" s="10" t="n">
        <f aca="false">C114</f>
        <v>47068</v>
      </c>
      <c r="J114" s="10" t="n">
        <f aca="false">IF(AND(114&lt;122,A115=A114),C115,DATE(2100,1,1))</f>
        <v>73051</v>
      </c>
      <c r="K114" s="10" t="n">
        <f aca="false">IF(AND(114&lt;122,A115=A114),H115,DATE(2100,1,1))</f>
        <v>73051</v>
      </c>
      <c r="L114" s="6" t="n">
        <f aca="false">E114*MAX(0,MIN(J114,參數!$B$4)-MAX(C114,參數!$B$3))</f>
        <v>0</v>
      </c>
      <c r="M114" s="6" t="n">
        <f aca="false">E114*MAX(0,MIN(K114,參數!$B$4)-MAX(H114,參數!$B$3))</f>
        <v>0</v>
      </c>
      <c r="N114" s="6" t="n">
        <f aca="false">E114*MAX(0,MIN(J114,參數!$B$6)-MAX(C114,參數!$B$5))</f>
        <v>0</v>
      </c>
      <c r="O114" s="6" t="n">
        <f aca="false">E114*MAX(0,MIN(K114,參數!$B$6)-MAX(H114,參數!$B$5))</f>
        <v>0</v>
      </c>
      <c r="P114" s="6" t="n">
        <f aca="false">E114*(C114&lt;=參數!$B$8)*(J114&gt;參數!$B$8)</f>
        <v>0</v>
      </c>
      <c r="Q114" s="6" t="n">
        <f aca="false">E114*(C114&lt;=參數!$B$7)*(J114&gt;參數!$B$7)</f>
        <v>0</v>
      </c>
      <c r="R114" s="6" t="n">
        <f aca="false">E114*(H114&lt;=參數!$B$7)*(K114&gt;參數!$B$7)</f>
        <v>0</v>
      </c>
      <c r="S114" s="6" t="n">
        <f aca="false">E114*(C114&lt;=參數!$B$9)*(J114&gt;參數!$B$9)</f>
        <v>0</v>
      </c>
      <c r="T114" s="6" t="n">
        <f aca="false">E114*MAX(0,MIN(J114,參數!$B$11)-MAX(C114,參數!$B$10))</f>
        <v>0</v>
      </c>
      <c r="U114" s="6" t="n">
        <f aca="false">IF(AND(114&gt;2,A113=A114,C114&gt;=參數!$B$5,C114&lt;參數!$B$3),E114-E113,0)</f>
        <v>0</v>
      </c>
    </row>
    <row r="115" customFormat="false" ht="15" hidden="false" customHeight="false" outlineLevel="0" collapsed="false">
      <c r="A115" s="0" t="s">
        <v>162</v>
      </c>
      <c r="B115" s="0" t="s">
        <v>109</v>
      </c>
      <c r="C115" s="10" t="n">
        <v>45817</v>
      </c>
      <c r="D115" s="0" t="n">
        <v>0</v>
      </c>
      <c r="E115" s="0" t="n">
        <v>0</v>
      </c>
      <c r="F115" s="0" t="n">
        <v>0</v>
      </c>
      <c r="G115" s="0" t="n">
        <v>0</v>
      </c>
      <c r="H115" s="10" t="n">
        <f aca="false">C115</f>
        <v>45817</v>
      </c>
      <c r="J115" s="10" t="n">
        <f aca="false">IF(AND(115&lt;122,A116=A115),C116,DATE(2100,1,1))</f>
        <v>45977</v>
      </c>
      <c r="K115" s="10" t="n">
        <f aca="false">IF(AND(115&lt;122,A116=A115),H116,DATE(2100,1,1))</f>
        <v>45977</v>
      </c>
      <c r="L115" s="6" t="n">
        <f aca="false">E115*MAX(0,MIN(J115,參數!$B$4)-MAX(C115,參數!$B$3))</f>
        <v>0</v>
      </c>
      <c r="M115" s="6" t="n">
        <f aca="false">E115*MAX(0,MIN(K115,參數!$B$4)-MAX(H115,參數!$B$3))</f>
        <v>0</v>
      </c>
      <c r="N115" s="6" t="n">
        <f aca="false">E115*MAX(0,MIN(J115,參數!$B$6)-MAX(C115,參數!$B$5))</f>
        <v>0</v>
      </c>
      <c r="O115" s="6" t="n">
        <f aca="false">E115*MAX(0,MIN(K115,參數!$B$6)-MAX(H115,參數!$B$5))</f>
        <v>0</v>
      </c>
      <c r="P115" s="6" t="n">
        <f aca="false">E115*(C115&lt;=參數!$B$8)*(J115&gt;參數!$B$8)</f>
        <v>0</v>
      </c>
      <c r="Q115" s="6" t="n">
        <f aca="false">E115*(C115&lt;=參數!$B$7)*(J115&gt;參數!$B$7)</f>
        <v>0</v>
      </c>
      <c r="R115" s="6" t="n">
        <f aca="false">E115*(H115&lt;=參數!$B$7)*(K115&gt;參數!$B$7)</f>
        <v>0</v>
      </c>
      <c r="S115" s="6" t="n">
        <f aca="false">E115*(C115&lt;=參數!$B$9)*(J115&gt;參數!$B$9)</f>
        <v>0</v>
      </c>
      <c r="T115" s="6" t="n">
        <f aca="false">E115*MAX(0,MIN(J115,參數!$B$11)-MAX(C115,參數!$B$10))</f>
        <v>0</v>
      </c>
      <c r="U115" s="6" t="n">
        <f aca="false">IF(AND(115&gt;2,A114=A115,C115&gt;=參數!$B$5,C115&lt;參數!$B$3),E115-E114,0)</f>
        <v>0</v>
      </c>
    </row>
    <row r="116" customFormat="false" ht="15" hidden="false" customHeight="false" outlineLevel="0" collapsed="false">
      <c r="A116" s="0" t="s">
        <v>162</v>
      </c>
      <c r="B116" s="0" t="s">
        <v>109</v>
      </c>
      <c r="C116" s="10" t="n">
        <v>45977</v>
      </c>
      <c r="D116" s="0" t="n">
        <v>0</v>
      </c>
      <c r="E116" s="0" t="n">
        <v>0</v>
      </c>
      <c r="F116" s="0" t="n">
        <v>0</v>
      </c>
      <c r="G116" s="0" t="n">
        <v>0</v>
      </c>
      <c r="H116" s="10" t="n">
        <f aca="false">C116</f>
        <v>45977</v>
      </c>
      <c r="J116" s="10" t="n">
        <f aca="false">IF(AND(116&lt;122,A117=A116),C117,DATE(2100,1,1))</f>
        <v>46357</v>
      </c>
      <c r="K116" s="10" t="n">
        <f aca="false">IF(AND(116&lt;122,A117=A116),H117,DATE(2100,1,1))</f>
        <v>46357</v>
      </c>
      <c r="L116" s="6" t="n">
        <f aca="false">E116*MAX(0,MIN(J116,參數!$B$4)-MAX(C116,參數!$B$3))</f>
        <v>0</v>
      </c>
      <c r="M116" s="6" t="n">
        <f aca="false">E116*MAX(0,MIN(K116,參數!$B$4)-MAX(H116,參數!$B$3))</f>
        <v>0</v>
      </c>
      <c r="N116" s="6" t="n">
        <f aca="false">E116*MAX(0,MIN(J116,參數!$B$6)-MAX(C116,參數!$B$5))</f>
        <v>0</v>
      </c>
      <c r="O116" s="6" t="n">
        <f aca="false">E116*MAX(0,MIN(K116,參數!$B$6)-MAX(H116,參數!$B$5))</f>
        <v>0</v>
      </c>
      <c r="P116" s="6" t="n">
        <f aca="false">E116*(C116&lt;=參數!$B$8)*(J116&gt;參數!$B$8)</f>
        <v>0</v>
      </c>
      <c r="Q116" s="6" t="n">
        <f aca="false">E116*(C116&lt;=參數!$B$7)*(J116&gt;參數!$B$7)</f>
        <v>0</v>
      </c>
      <c r="R116" s="6" t="n">
        <f aca="false">E116*(H116&lt;=參數!$B$7)*(K116&gt;參數!$B$7)</f>
        <v>0</v>
      </c>
      <c r="S116" s="6" t="n">
        <f aca="false">E116*(C116&lt;=參數!$B$9)*(J116&gt;參數!$B$9)</f>
        <v>0</v>
      </c>
      <c r="T116" s="6" t="n">
        <f aca="false">E116*MAX(0,MIN(J116,參數!$B$11)-MAX(C116,參數!$B$10))</f>
        <v>0</v>
      </c>
      <c r="U116" s="6" t="n">
        <f aca="false">IF(AND(116&gt;2,A115=A116,C116&gt;=參數!$B$5,C116&lt;參數!$B$3),E116-E115,0)</f>
        <v>0</v>
      </c>
    </row>
    <row r="117" customFormat="false" ht="15" hidden="false" customHeight="false" outlineLevel="0" collapsed="false">
      <c r="A117" s="0" t="s">
        <v>162</v>
      </c>
      <c r="B117" s="0" t="s">
        <v>109</v>
      </c>
      <c r="C117" s="10" t="n">
        <v>46357</v>
      </c>
      <c r="D117" s="0" t="n">
        <v>2</v>
      </c>
      <c r="E117" s="0" t="n">
        <v>200</v>
      </c>
      <c r="F117" s="0" t="n">
        <v>280</v>
      </c>
      <c r="G117" s="0" t="n">
        <v>252652.854977261</v>
      </c>
      <c r="H117" s="10" t="n">
        <f aca="false">C117</f>
        <v>46357</v>
      </c>
      <c r="J117" s="10" t="n">
        <f aca="false">IF(AND(117&lt;122,A118=A117),C118,DATE(2100,1,1))</f>
        <v>46753</v>
      </c>
      <c r="K117" s="10" t="n">
        <f aca="false">IF(AND(117&lt;122,A118=A117),H118,DATE(2100,1,1))</f>
        <v>46753</v>
      </c>
      <c r="L117" s="6" t="n">
        <f aca="false">E117*MAX(0,MIN(J117,參數!$B$4)-MAX(C117,參數!$B$3))</f>
        <v>0</v>
      </c>
      <c r="M117" s="6" t="n">
        <f aca="false">E117*MAX(0,MIN(K117,參數!$B$4)-MAX(H117,參數!$B$3))</f>
        <v>0</v>
      </c>
      <c r="N117" s="6" t="n">
        <f aca="false">E117*MAX(0,MIN(J117,參數!$B$6)-MAX(C117,參數!$B$5))</f>
        <v>6200</v>
      </c>
      <c r="O117" s="6" t="n">
        <f aca="false">E117*MAX(0,MIN(K117,參數!$B$6)-MAX(H117,參數!$B$5))</f>
        <v>6200</v>
      </c>
      <c r="P117" s="6" t="n">
        <f aca="false">E117*(C117&lt;=參數!$B$8)*(J117&gt;參數!$B$8)</f>
        <v>0</v>
      </c>
      <c r="Q117" s="6" t="n">
        <f aca="false">E117*(C117&lt;=參數!$B$7)*(J117&gt;參數!$B$7)</f>
        <v>200</v>
      </c>
      <c r="R117" s="6" t="n">
        <f aca="false">E117*(H117&lt;=參數!$B$7)*(K117&gt;參數!$B$7)</f>
        <v>200</v>
      </c>
      <c r="S117" s="6" t="n">
        <f aca="false">E117*(C117&lt;=參數!$B$9)*(J117&gt;參數!$B$9)</f>
        <v>0</v>
      </c>
      <c r="T117" s="6" t="n">
        <f aca="false">E117*MAX(0,MIN(J117,參數!$B$11)-MAX(C117,參數!$B$10))</f>
        <v>0</v>
      </c>
      <c r="U117" s="6" t="n">
        <f aca="false">IF(AND(117&gt;2,A116=A117,C117&gt;=參數!$B$5,C117&lt;參數!$B$3),E117-E116,0)</f>
        <v>0</v>
      </c>
    </row>
    <row r="118" customFormat="false" ht="15" hidden="false" customHeight="false" outlineLevel="0" collapsed="false">
      <c r="A118" s="0" t="s">
        <v>162</v>
      </c>
      <c r="B118" s="0" t="s">
        <v>109</v>
      </c>
      <c r="C118" s="10" t="n">
        <v>46753</v>
      </c>
      <c r="D118" s="0" t="n">
        <v>10</v>
      </c>
      <c r="E118" s="0" t="n">
        <v>1000</v>
      </c>
      <c r="F118" s="0" t="n">
        <v>1400</v>
      </c>
      <c r="G118" s="0" t="n">
        <v>2021222.83981809</v>
      </c>
      <c r="H118" s="10" t="n">
        <f aca="false">C118</f>
        <v>46753</v>
      </c>
      <c r="J118" s="10" t="n">
        <f aca="false">IF(AND(118&lt;122,A119=A118),C119,DATE(2100,1,1))</f>
        <v>73051</v>
      </c>
      <c r="K118" s="10" t="n">
        <f aca="false">IF(AND(118&lt;122,A119=A118),H119,DATE(2100,1,1))</f>
        <v>73051</v>
      </c>
      <c r="L118" s="6" t="n">
        <f aca="false">E118*MAX(0,MIN(J118,參數!$B$4)-MAX(C118,參數!$B$3))</f>
        <v>0</v>
      </c>
      <c r="M118" s="6" t="n">
        <f aca="false">E118*MAX(0,MIN(K118,參數!$B$4)-MAX(H118,參數!$B$3))</f>
        <v>0</v>
      </c>
      <c r="N118" s="6" t="n">
        <f aca="false">E118*MAX(0,MIN(J118,參數!$B$6)-MAX(C118,參數!$B$5))</f>
        <v>0</v>
      </c>
      <c r="O118" s="6" t="n">
        <f aca="false">E118*MAX(0,MIN(K118,參數!$B$6)-MAX(H118,參數!$B$5))</f>
        <v>0</v>
      </c>
      <c r="P118" s="6" t="n">
        <f aca="false">E118*(C118&lt;=參數!$B$8)*(J118&gt;參數!$B$8)</f>
        <v>0</v>
      </c>
      <c r="Q118" s="6" t="n">
        <f aca="false">E118*(C118&lt;=參數!$B$7)*(J118&gt;參數!$B$7)</f>
        <v>0</v>
      </c>
      <c r="R118" s="6" t="n">
        <f aca="false">E118*(H118&lt;=參數!$B$7)*(K118&gt;參數!$B$7)</f>
        <v>0</v>
      </c>
      <c r="S118" s="6" t="n">
        <f aca="false">E118*(C118&lt;=參數!$B$9)*(J118&gt;參數!$B$9)</f>
        <v>0</v>
      </c>
      <c r="T118" s="6" t="n">
        <f aca="false">E118*MAX(0,MIN(J118,參數!$B$11)-MAX(C118,參數!$B$10))</f>
        <v>0</v>
      </c>
      <c r="U118" s="6" t="n">
        <f aca="false">IF(AND(118&gt;2,A117=A118,C118&gt;=參數!$B$5,C118&lt;參數!$B$3),E118-E117,0)</f>
        <v>0</v>
      </c>
    </row>
    <row r="119" customFormat="false" ht="15" hidden="false" customHeight="false" outlineLevel="0" collapsed="false">
      <c r="A119" s="0" t="s">
        <v>163</v>
      </c>
      <c r="B119" s="0" t="s">
        <v>109</v>
      </c>
      <c r="C119" s="10" t="n">
        <v>46024</v>
      </c>
      <c r="D119" s="0" t="n">
        <v>0</v>
      </c>
      <c r="E119" s="0" t="n">
        <v>0</v>
      </c>
      <c r="F119" s="0" t="n">
        <v>0</v>
      </c>
      <c r="G119" s="0" t="n">
        <v>0</v>
      </c>
      <c r="H119" s="10" t="n">
        <f aca="false">C119</f>
        <v>46024</v>
      </c>
      <c r="J119" s="10" t="n">
        <f aca="false">IF(AND(119&lt;122,A120=A119),C120,DATE(2100,1,1))</f>
        <v>46067</v>
      </c>
      <c r="K119" s="10" t="n">
        <f aca="false">IF(AND(119&lt;122,A120=A119),H120,DATE(2100,1,1))</f>
        <v>46067</v>
      </c>
      <c r="L119" s="6" t="n">
        <f aca="false">E119*MAX(0,MIN(J119,參數!$B$4)-MAX(C119,參數!$B$3))</f>
        <v>0</v>
      </c>
      <c r="M119" s="6" t="n">
        <f aca="false">E119*MAX(0,MIN(K119,參數!$B$4)-MAX(H119,參數!$B$3))</f>
        <v>0</v>
      </c>
      <c r="N119" s="6" t="n">
        <f aca="false">E119*MAX(0,MIN(J119,參數!$B$6)-MAX(C119,參數!$B$5))</f>
        <v>0</v>
      </c>
      <c r="O119" s="6" t="n">
        <f aca="false">E119*MAX(0,MIN(K119,參數!$B$6)-MAX(H119,參數!$B$5))</f>
        <v>0</v>
      </c>
      <c r="P119" s="6" t="n">
        <f aca="false">E119*(C119&lt;=參數!$B$8)*(J119&gt;參數!$B$8)</f>
        <v>0</v>
      </c>
      <c r="Q119" s="6" t="n">
        <f aca="false">E119*(C119&lt;=參數!$B$7)*(J119&gt;參數!$B$7)</f>
        <v>0</v>
      </c>
      <c r="R119" s="6" t="n">
        <f aca="false">E119*(H119&lt;=參數!$B$7)*(K119&gt;參數!$B$7)</f>
        <v>0</v>
      </c>
      <c r="S119" s="6" t="n">
        <f aca="false">E119*(C119&lt;=參數!$B$9)*(J119&gt;參數!$B$9)</f>
        <v>0</v>
      </c>
      <c r="T119" s="6" t="n">
        <f aca="false">E119*MAX(0,MIN(J119,參數!$B$11)-MAX(C119,參數!$B$10))</f>
        <v>0</v>
      </c>
      <c r="U119" s="6" t="n">
        <f aca="false">IF(AND(119&gt;2,A118=A119,C119&gt;=參數!$B$5,C119&lt;參數!$B$3),E119-E118,0)</f>
        <v>0</v>
      </c>
    </row>
    <row r="120" customFormat="false" ht="15" hidden="false" customHeight="false" outlineLevel="0" collapsed="false">
      <c r="A120" s="0" t="s">
        <v>163</v>
      </c>
      <c r="B120" s="0" t="s">
        <v>109</v>
      </c>
      <c r="C120" s="10" t="n">
        <v>46067</v>
      </c>
      <c r="D120" s="0" t="n">
        <v>0</v>
      </c>
      <c r="E120" s="0" t="n">
        <v>0</v>
      </c>
      <c r="F120" s="0" t="n">
        <v>0</v>
      </c>
      <c r="G120" s="0" t="n">
        <v>0</v>
      </c>
      <c r="H120" s="10" t="n">
        <f aca="false">C120</f>
        <v>46067</v>
      </c>
      <c r="J120" s="10" t="n">
        <f aca="false">IF(AND(120&lt;122,A121=A120),C121,DATE(2100,1,1))</f>
        <v>46227</v>
      </c>
      <c r="K120" s="10" t="n">
        <f aca="false">IF(AND(120&lt;122,A121=A120),H121,DATE(2100,1,1))</f>
        <v>46227</v>
      </c>
      <c r="L120" s="6" t="n">
        <f aca="false">E120*MAX(0,MIN(J120,參數!$B$4)-MAX(C120,參數!$B$3))</f>
        <v>0</v>
      </c>
      <c r="M120" s="6" t="n">
        <f aca="false">E120*MAX(0,MIN(K120,參數!$B$4)-MAX(H120,參數!$B$3))</f>
        <v>0</v>
      </c>
      <c r="N120" s="6" t="n">
        <f aca="false">E120*MAX(0,MIN(J120,參數!$B$6)-MAX(C120,參數!$B$5))</f>
        <v>0</v>
      </c>
      <c r="O120" s="6" t="n">
        <f aca="false">E120*MAX(0,MIN(K120,參數!$B$6)-MAX(H120,參數!$B$5))</f>
        <v>0</v>
      </c>
      <c r="P120" s="6" t="n">
        <f aca="false">E120*(C120&lt;=參數!$B$8)*(J120&gt;參數!$B$8)</f>
        <v>0</v>
      </c>
      <c r="Q120" s="6" t="n">
        <f aca="false">E120*(C120&lt;=參數!$B$7)*(J120&gt;參數!$B$7)</f>
        <v>0</v>
      </c>
      <c r="R120" s="6" t="n">
        <f aca="false">E120*(H120&lt;=參數!$B$7)*(K120&gt;參數!$B$7)</f>
        <v>0</v>
      </c>
      <c r="S120" s="6" t="n">
        <f aca="false">E120*(C120&lt;=參數!$B$9)*(J120&gt;參數!$B$9)</f>
        <v>0</v>
      </c>
      <c r="T120" s="6" t="n">
        <f aca="false">E120*MAX(0,MIN(J120,參數!$B$11)-MAX(C120,參數!$B$10))</f>
        <v>0</v>
      </c>
      <c r="U120" s="6" t="n">
        <f aca="false">IF(AND(120&gt;2,A119=A120,C120&gt;=參數!$B$5,C120&lt;參數!$B$3),E120-E119,0)</f>
        <v>0</v>
      </c>
    </row>
    <row r="121" customFormat="false" ht="15" hidden="false" customHeight="false" outlineLevel="0" collapsed="false">
      <c r="A121" s="0" t="s">
        <v>163</v>
      </c>
      <c r="B121" s="0" t="s">
        <v>109</v>
      </c>
      <c r="C121" s="10" t="n">
        <v>46227</v>
      </c>
      <c r="D121" s="0" t="n">
        <v>0</v>
      </c>
      <c r="E121" s="0" t="n">
        <v>0</v>
      </c>
      <c r="F121" s="0" t="n">
        <v>0</v>
      </c>
      <c r="G121" s="0" t="n">
        <v>0</v>
      </c>
      <c r="H121" s="10" t="n">
        <f aca="false">C121</f>
        <v>46227</v>
      </c>
      <c r="J121" s="10" t="n">
        <f aca="false">IF(AND(121&lt;122,A122=A121),C122,DATE(2100,1,1))</f>
        <v>47118</v>
      </c>
      <c r="K121" s="10" t="n">
        <f aca="false">IF(AND(121&lt;122,A122=A121),H122,DATE(2100,1,1))</f>
        <v>47118</v>
      </c>
      <c r="L121" s="6" t="n">
        <f aca="false">E121*MAX(0,MIN(J121,參數!$B$4)-MAX(C121,參數!$B$3))</f>
        <v>0</v>
      </c>
      <c r="M121" s="6" t="n">
        <f aca="false">E121*MAX(0,MIN(K121,參數!$B$4)-MAX(H121,參數!$B$3))</f>
        <v>0</v>
      </c>
      <c r="N121" s="6" t="n">
        <f aca="false">E121*MAX(0,MIN(J121,參數!$B$6)-MAX(C121,參數!$B$5))</f>
        <v>0</v>
      </c>
      <c r="O121" s="6" t="n">
        <f aca="false">E121*MAX(0,MIN(K121,參數!$B$6)-MAX(H121,參數!$B$5))</f>
        <v>0</v>
      </c>
      <c r="P121" s="6" t="n">
        <f aca="false">E121*(C121&lt;=參數!$B$8)*(J121&gt;參數!$B$8)</f>
        <v>0</v>
      </c>
      <c r="Q121" s="6" t="n">
        <f aca="false">E121*(C121&lt;=參數!$B$7)*(J121&gt;參數!$B$7)</f>
        <v>0</v>
      </c>
      <c r="R121" s="6" t="n">
        <f aca="false">E121*(H121&lt;=參數!$B$7)*(K121&gt;參數!$B$7)</f>
        <v>0</v>
      </c>
      <c r="S121" s="6" t="n">
        <f aca="false">E121*(C121&lt;=參數!$B$9)*(J121&gt;參數!$B$9)</f>
        <v>0</v>
      </c>
      <c r="T121" s="6" t="n">
        <f aca="false">E121*MAX(0,MIN(J121,參數!$B$11)-MAX(C121,參數!$B$10))</f>
        <v>0</v>
      </c>
      <c r="U121" s="6" t="n">
        <f aca="false">IF(AND(121&gt;2,A120=A121,C121&gt;=參數!$B$5,C121&lt;參數!$B$3),E121-E120,0)</f>
        <v>0</v>
      </c>
    </row>
    <row r="122" customFormat="false" ht="15" hidden="false" customHeight="false" outlineLevel="0" collapsed="false">
      <c r="A122" s="0" t="s">
        <v>163</v>
      </c>
      <c r="B122" s="0" t="s">
        <v>109</v>
      </c>
      <c r="C122" s="10" t="n">
        <v>47118</v>
      </c>
      <c r="D122" s="0" t="n">
        <v>4</v>
      </c>
      <c r="E122" s="0" t="n">
        <v>902</v>
      </c>
      <c r="F122" s="0" t="n">
        <v>1300</v>
      </c>
      <c r="G122" s="0" t="n">
        <v>2627589.69176352</v>
      </c>
      <c r="H122" s="10" t="n">
        <f aca="false">C122</f>
        <v>47118</v>
      </c>
      <c r="J122" s="10" t="n">
        <f aca="false">DATE(2100,1,1)</f>
        <v>73051</v>
      </c>
      <c r="K122" s="10" t="n">
        <f aca="false">DATE(2100,1,1)</f>
        <v>73051</v>
      </c>
      <c r="L122" s="6" t="n">
        <f aca="false">E122*MAX(0,MIN(J122,參數!$B$4)-MAX(C122,參數!$B$3))</f>
        <v>0</v>
      </c>
      <c r="M122" s="6" t="n">
        <f aca="false">E122*MAX(0,MIN(K122,參數!$B$4)-MAX(H122,參數!$B$3))</f>
        <v>0</v>
      </c>
      <c r="N122" s="6" t="n">
        <f aca="false">E122*MAX(0,MIN(J122,參數!$B$6)-MAX(C122,參數!$B$5))</f>
        <v>0</v>
      </c>
      <c r="O122" s="6" t="n">
        <f aca="false">E122*MAX(0,MIN(K122,參數!$B$6)-MAX(H122,參數!$B$5))</f>
        <v>0</v>
      </c>
      <c r="P122" s="6" t="n">
        <f aca="false">E122*(C122&lt;=參數!$B$8)*(J122&gt;參數!$B$8)</f>
        <v>0</v>
      </c>
      <c r="Q122" s="6" t="n">
        <f aca="false">E122*(C122&lt;=參數!$B$7)*(J122&gt;參數!$B$7)</f>
        <v>0</v>
      </c>
      <c r="R122" s="6" t="n">
        <f aca="false">E122*(H122&lt;=參數!$B$7)*(K122&gt;參數!$B$7)</f>
        <v>0</v>
      </c>
      <c r="S122" s="6" t="n">
        <f aca="false">E122*(C122&lt;=參數!$B$9)*(J122&gt;參數!$B$9)</f>
        <v>0</v>
      </c>
      <c r="T122" s="6" t="n">
        <f aca="false">E122*MAX(0,MIN(J122,參數!$B$11)-MAX(C122,參數!$B$10))</f>
        <v>0</v>
      </c>
      <c r="U122" s="6" t="n">
        <f aca="false">IF(AND(122&gt;2,A121=A122,C122&gt;=參數!$B$5,C122&lt;參數!$B$3),E122-E121,0)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3" style="0" width="13"/>
  </cols>
  <sheetData>
    <row r="1" customFormat="false" ht="59.7" hidden="false" customHeight="false" outlineLevel="0" collapsed="false">
      <c r="A1" s="8" t="s">
        <v>117</v>
      </c>
      <c r="B1" s="9" t="s">
        <v>118</v>
      </c>
      <c r="C1" s="9" t="s">
        <v>164</v>
      </c>
      <c r="D1" s="9" t="s">
        <v>165</v>
      </c>
      <c r="E1" s="9" t="s">
        <v>166</v>
      </c>
      <c r="F1" s="8" t="s">
        <v>167</v>
      </c>
      <c r="G1" s="8" t="s">
        <v>168</v>
      </c>
      <c r="H1" s="9" t="s">
        <v>169</v>
      </c>
      <c r="I1" s="9" t="s">
        <v>170</v>
      </c>
      <c r="J1" s="9" t="s">
        <v>171</v>
      </c>
      <c r="K1" s="9" t="s">
        <v>172</v>
      </c>
      <c r="L1" s="9" t="s">
        <v>173</v>
      </c>
    </row>
    <row r="2" customFormat="false" ht="15" hidden="false" customHeight="false" outlineLevel="0" collapsed="false">
      <c r="A2" s="0" t="s">
        <v>138</v>
      </c>
      <c r="B2" s="0" t="s">
        <v>110</v>
      </c>
      <c r="C2" s="0" t="n">
        <f aca="false">SUMIFS(站點時間表!$P$2:$P$122,站點時間表!$A$2:$A$122,$A2)</f>
        <v>321</v>
      </c>
      <c r="D2" s="0" t="n">
        <f aca="false">SUMIFS(站點時間表!$L$2:$L$122,站點時間表!$A$2:$A$122,$A2)/(參數!$B$4-參數!$B$3)-C2</f>
        <v>58.8461538461539</v>
      </c>
      <c r="E2" s="0" t="n">
        <f aca="false">SUMIFS(站點時間表!$M$2:$M$122,站點時間表!$A$2:$A$122,$A2)/(參數!$B$4-參數!$B$3)-C2</f>
        <v>159.230769230769</v>
      </c>
      <c r="F2" s="0" t="n">
        <f aca="false">SUMIFS(站點時間表!$N$2:$N$122,站點時間表!$A$2:$A$122,$A2)/(參數!$B$6-參數!$B$5)-C2</f>
        <v>173.465753424658</v>
      </c>
      <c r="G2" s="0" t="n">
        <f aca="false">SUMIFS(站點時間表!$O$2:$O$122,站點時間表!$A$2:$A$122,$A2)/(參數!$B$6-參數!$B$5)-C2</f>
        <v>198.493150684932</v>
      </c>
      <c r="H2" s="0" t="n">
        <f aca="false">SUMIFS(站點時間表!$Q$2:$Q$122,站點時間表!$A$2:$A$122,$A2)-C2</f>
        <v>315</v>
      </c>
      <c r="I2" s="0" t="n">
        <f aca="false">SUMIFS(站點時間表!$R$2:$R$122,站點時間表!$A$2:$A$122,$A2)-C2</f>
        <v>315</v>
      </c>
      <c r="J2" s="0" t="n">
        <f aca="false">SUMIFS(站點時間表!$S$2:$S$122,站點時間表!$A$2:$A$122,$A2)</f>
        <v>0</v>
      </c>
      <c r="K2" s="0" t="n">
        <f aca="false">SUMIFS(站點時間表!$T$2:$T$122,站點時間表!$A$2:$A$122,$A2)/(參數!$B$11-參數!$B$10)-J2</f>
        <v>69.4767123287671</v>
      </c>
      <c r="L2" s="0" t="n">
        <f aca="false">SUMIFS(站點時間表!$U$2:$U$122,站點時間表!$A$2:$A$122,$A2)</f>
        <v>0</v>
      </c>
    </row>
    <row r="3" customFormat="false" ht="15" hidden="false" customHeight="false" outlineLevel="0" collapsed="false">
      <c r="A3" s="0" t="s">
        <v>140</v>
      </c>
      <c r="B3" s="0" t="s">
        <v>109</v>
      </c>
      <c r="C3" s="0" t="n">
        <f aca="false">SUMIFS(站點時間表!$P$2:$P$122,站點時間表!$A$2:$A$122,$A3)</f>
        <v>211</v>
      </c>
      <c r="D3" s="0" t="n">
        <f aca="false">SUMIFS(站點時間表!$L$2:$L$122,站點時間表!$A$2:$A$122,$A3)/(參數!$B$4-參數!$B$3)-C3</f>
        <v>90</v>
      </c>
      <c r="E3" s="0" t="n">
        <f aca="false">SUMIFS(站點時間表!$M$2:$M$122,站點時間表!$A$2:$A$122,$A3)/(參數!$B$4-參數!$B$3)-C3</f>
        <v>159.230769230769</v>
      </c>
      <c r="F3" s="0" t="n">
        <f aca="false">SUMIFS(站點時間表!$N$2:$N$122,站點時間表!$A$2:$A$122,$A3)/(參數!$B$6-參數!$B$5)-C3</f>
        <v>198.827397260274</v>
      </c>
      <c r="G3" s="0" t="n">
        <f aca="false">SUMIFS(站點時間表!$O$2:$O$122,站點時間表!$A$2:$A$122,$A3)/(參數!$B$6-參數!$B$5)-C3</f>
        <v>216.087671232877</v>
      </c>
      <c r="H3" s="0" t="n">
        <f aca="false">SUMIFS(站點時間表!$Q$2:$Q$122,站點時間表!$A$2:$A$122,$A3)-C3</f>
        <v>632</v>
      </c>
      <c r="I3" s="0" t="n">
        <f aca="false">SUMIFS(站點時間表!$R$2:$R$122,站點時間表!$A$2:$A$122,$A3)-C3</f>
        <v>632</v>
      </c>
      <c r="J3" s="0" t="n">
        <f aca="false">SUMIFS(站點時間表!$S$2:$S$122,站點時間表!$A$2:$A$122,$A3)</f>
        <v>0</v>
      </c>
      <c r="K3" s="0" t="n">
        <f aca="false">SUMIFS(站點時間表!$T$2:$T$122,站點時間表!$A$2:$A$122,$A3)/(參數!$B$11-參數!$B$10)-J3</f>
        <v>30.227397260274</v>
      </c>
      <c r="L3" s="0" t="n">
        <f aca="false">SUMIFS(站點時間表!$U$2:$U$122,站點時間表!$A$2:$A$122,$A3)</f>
        <v>0</v>
      </c>
    </row>
    <row r="4" customFormat="false" ht="15" hidden="false" customHeight="false" outlineLevel="0" collapsed="false">
      <c r="A4" s="0" t="s">
        <v>142</v>
      </c>
      <c r="B4" s="0" t="s">
        <v>110</v>
      </c>
      <c r="C4" s="0" t="n">
        <f aca="false">SUMIFS(站點時間表!$P$2:$P$122,站點時間表!$A$2:$A$122,$A4)</f>
        <v>0</v>
      </c>
      <c r="D4" s="0" t="n">
        <f aca="false">SUMIFS(站點時間表!$L$2:$L$122,站點時間表!$A$2:$A$122,$A4)/(參數!$B$4-參數!$B$3)-C4</f>
        <v>308.175824175824</v>
      </c>
      <c r="E4" s="0" t="n">
        <f aca="false">SUMIFS(站點時間表!$M$2:$M$122,站點時間表!$A$2:$A$122,$A4)/(參數!$B$4-參數!$B$3)-C4</f>
        <v>308.175824175824</v>
      </c>
      <c r="F4" s="0" t="n">
        <f aca="false">SUMIFS(站點時間表!$N$2:$N$122,站點時間表!$A$2:$A$122,$A4)/(參數!$B$6-參數!$B$5)-C4</f>
        <v>262.849315068493</v>
      </c>
      <c r="G4" s="0" t="n">
        <f aca="false">SUMIFS(站點時間表!$O$2:$O$122,站點時間表!$A$2:$A$122,$A4)/(參數!$B$6-參數!$B$5)-C4</f>
        <v>262.849315068493</v>
      </c>
      <c r="H4" s="0" t="n">
        <f aca="false">SUMIFS(站點時間表!$Q$2:$Q$122,站點時間表!$A$2:$A$122,$A4)-C4</f>
        <v>369</v>
      </c>
      <c r="I4" s="0" t="n">
        <f aca="false">SUMIFS(站點時間表!$R$2:$R$122,站點時間表!$A$2:$A$122,$A4)-C4</f>
        <v>369</v>
      </c>
      <c r="J4" s="0" t="n">
        <f aca="false">SUMIFS(站點時間表!$S$2:$S$122,站點時間表!$A$2:$A$122,$A4)</f>
        <v>0</v>
      </c>
      <c r="K4" s="0" t="n">
        <f aca="false">SUMIFS(站點時間表!$T$2:$T$122,站點時間表!$A$2:$A$122,$A4)/(參數!$B$11-參數!$B$10)-J4</f>
        <v>0</v>
      </c>
      <c r="L4" s="0" t="n">
        <f aca="false">SUMIFS(站點時間表!$U$2:$U$122,站點時間表!$A$2:$A$122,$A4)</f>
        <v>0</v>
      </c>
    </row>
    <row r="5" customFormat="false" ht="15" hidden="false" customHeight="false" outlineLevel="0" collapsed="false">
      <c r="A5" s="0" t="s">
        <v>143</v>
      </c>
      <c r="B5" s="0" t="s">
        <v>110</v>
      </c>
      <c r="C5" s="0" t="n">
        <f aca="false">SUMIFS(站點時間表!$P$2:$P$122,站點時間表!$A$2:$A$122,$A5)</f>
        <v>67</v>
      </c>
      <c r="D5" s="0" t="n">
        <f aca="false">SUMIFS(站點時間表!$L$2:$L$122,站點時間表!$A$2:$A$122,$A5)/(參數!$B$4-參數!$B$3)-C5</f>
        <v>64</v>
      </c>
      <c r="E5" s="0" t="n">
        <f aca="false">SUMIFS(站點時間表!$M$2:$M$122,站點時間表!$A$2:$A$122,$A5)/(參數!$B$4-參數!$B$3)-C5</f>
        <v>195</v>
      </c>
      <c r="F5" s="0" t="n">
        <f aca="false">SUMIFS(站點時間表!$N$2:$N$122,站點時間表!$A$2:$A$122,$A5)/(參數!$B$6-參數!$B$5)-C5</f>
        <v>120.027397260274</v>
      </c>
      <c r="G5" s="0" t="n">
        <f aca="false">SUMIFS(站點時間表!$O$2:$O$122,站點時間表!$A$2:$A$122,$A5)/(參數!$B$6-參數!$B$5)-C5</f>
        <v>173.106849315069</v>
      </c>
      <c r="H5" s="0" t="n">
        <f aca="false">SUMIFS(站點時間表!$Q$2:$Q$122,站點時間表!$A$2:$A$122,$A5)-C5</f>
        <v>195</v>
      </c>
      <c r="I5" s="0" t="n">
        <f aca="false">SUMIFS(站點時間表!$R$2:$R$122,站點時間表!$A$2:$A$122,$A5)-C5</f>
        <v>195</v>
      </c>
      <c r="J5" s="0" t="n">
        <f aca="false">SUMIFS(站點時間表!$S$2:$S$122,站點時間表!$A$2:$A$122,$A5)</f>
        <v>0</v>
      </c>
      <c r="K5" s="0" t="n">
        <f aca="false">SUMIFS(站點時間表!$T$2:$T$122,站點時間表!$A$2:$A$122,$A5)/(參數!$B$11-參數!$B$10)-J5</f>
        <v>4.87397260273973</v>
      </c>
      <c r="L5" s="0" t="n">
        <f aca="false">SUMIFS(站點時間表!$U$2:$U$122,站點時間表!$A$2:$A$122,$A5)</f>
        <v>64</v>
      </c>
    </row>
    <row r="6" customFormat="false" ht="15" hidden="false" customHeight="false" outlineLevel="0" collapsed="false">
      <c r="A6" s="0" t="s">
        <v>146</v>
      </c>
      <c r="B6" s="0" t="s">
        <v>110</v>
      </c>
      <c r="C6" s="0" t="n">
        <f aca="false">SUMIFS(站點時間表!$P$2:$P$122,站點時間表!$A$2:$A$122,$A6)</f>
        <v>202</v>
      </c>
      <c r="D6" s="0" t="n">
        <f aca="false">SUMIFS(站點時間表!$L$2:$L$122,站點時間表!$A$2:$A$122,$A6)/(參數!$B$4-參數!$B$3)-C6</f>
        <v>0</v>
      </c>
      <c r="E6" s="0" t="n">
        <f aca="false">SUMIFS(站點時間表!$M$2:$M$122,站點時間表!$A$2:$A$122,$A6)/(參數!$B$4-參數!$B$3)-C6</f>
        <v>0</v>
      </c>
      <c r="F6" s="0" t="n">
        <f aca="false">SUMIFS(站點時間表!$N$2:$N$122,站點時間表!$A$2:$A$122,$A6)/(參數!$B$6-參數!$B$5)-C6</f>
        <v>0</v>
      </c>
      <c r="G6" s="0" t="n">
        <f aca="false">SUMIFS(站點時間表!$O$2:$O$122,站點時間表!$A$2:$A$122,$A6)/(參數!$B$6-參數!$B$5)-C6</f>
        <v>0</v>
      </c>
      <c r="H6" s="0" t="n">
        <f aca="false">SUMIFS(站點時間表!$Q$2:$Q$122,站點時間表!$A$2:$A$122,$A6)-C6</f>
        <v>0</v>
      </c>
      <c r="I6" s="0" t="n">
        <f aca="false">SUMIFS(站點時間表!$R$2:$R$122,站點時間表!$A$2:$A$122,$A6)-C6</f>
        <v>0</v>
      </c>
      <c r="J6" s="0" t="n">
        <f aca="false">SUMIFS(站點時間表!$S$2:$S$122,站點時間表!$A$2:$A$122,$A6)</f>
        <v>40</v>
      </c>
      <c r="K6" s="0" t="n">
        <f aca="false">SUMIFS(站點時間表!$T$2:$T$122,站點時間表!$A$2:$A$122,$A6)/(參數!$B$11-參數!$B$10)-J6</f>
        <v>79.758904109589</v>
      </c>
      <c r="L6" s="0" t="n">
        <f aca="false">SUMIFS(站點時間表!$U$2:$U$122,站點時間表!$A$2:$A$122,$A6)</f>
        <v>0</v>
      </c>
    </row>
    <row r="7" customFormat="false" ht="15" hidden="false" customHeight="false" outlineLevel="0" collapsed="false">
      <c r="A7" s="0" t="s">
        <v>147</v>
      </c>
      <c r="B7" s="0" t="s">
        <v>111</v>
      </c>
      <c r="C7" s="0" t="n">
        <f aca="false">SUMIFS(站點時間表!$P$2:$P$122,站點時間表!$A$2:$A$122,$A7)</f>
        <v>0</v>
      </c>
      <c r="D7" s="0" t="n">
        <f aca="false">SUMIFS(站點時間表!$L$2:$L$122,站點時間表!$A$2:$A$122,$A7)/(參數!$B$4-參數!$B$3)-C7</f>
        <v>0</v>
      </c>
      <c r="E7" s="0" t="n">
        <f aca="false">SUMIFS(站點時間表!$M$2:$M$122,站點時間表!$A$2:$A$122,$A7)/(參數!$B$4-參數!$B$3)-C7</f>
        <v>18.8571428571429</v>
      </c>
      <c r="F7" s="0" t="n">
        <f aca="false">SUMIFS(站點時間表!$N$2:$N$122,站點時間表!$A$2:$A$122,$A7)/(參數!$B$6-參數!$B$5)-C7</f>
        <v>44.8438356164384</v>
      </c>
      <c r="G7" s="0" t="n">
        <f aca="false">SUMIFS(站點時間表!$O$2:$O$122,站點時間表!$A$2:$A$122,$A7)/(參數!$B$6-參數!$B$5)-C7</f>
        <v>71.2438356164384</v>
      </c>
      <c r="H7" s="0" t="n">
        <f aca="false">SUMIFS(站點時間表!$Q$2:$Q$122,站點時間表!$A$2:$A$122,$A7)-C7</f>
        <v>132</v>
      </c>
      <c r="I7" s="0" t="n">
        <f aca="false">SUMIFS(站點時間表!$R$2:$R$122,站點時間表!$A$2:$A$122,$A7)-C7</f>
        <v>132</v>
      </c>
      <c r="J7" s="0" t="n">
        <f aca="false">SUMIFS(站點時間表!$S$2:$S$122,站點時間表!$A$2:$A$122,$A7)</f>
        <v>0</v>
      </c>
      <c r="K7" s="0" t="n">
        <f aca="false">SUMIFS(站點時間表!$T$2:$T$122,站點時間表!$A$2:$A$122,$A7)/(參數!$B$11-參數!$B$10)-J7</f>
        <v>0</v>
      </c>
      <c r="L7" s="0" t="n">
        <f aca="false">SUMIFS(站點時間表!$U$2:$U$122,站點時間表!$A$2:$A$122,$A7)</f>
        <v>0</v>
      </c>
    </row>
    <row r="8" customFormat="false" ht="15" hidden="false" customHeight="false" outlineLevel="0" collapsed="false">
      <c r="A8" s="0" t="s">
        <v>149</v>
      </c>
      <c r="B8" s="0" t="s">
        <v>111</v>
      </c>
      <c r="C8" s="0" t="n">
        <f aca="false">SUMIFS(站點時間表!$P$2:$P$122,站點時間表!$A$2:$A$122,$A8)</f>
        <v>190</v>
      </c>
      <c r="D8" s="0" t="n">
        <f aca="false">SUMIFS(站點時間表!$L$2:$L$122,站點時間表!$A$2:$A$122,$A8)/(參數!$B$4-參數!$B$3)-C8</f>
        <v>0</v>
      </c>
      <c r="E8" s="0" t="n">
        <f aca="false">SUMIFS(站點時間表!$M$2:$M$122,站點時間表!$A$2:$A$122,$A8)/(參數!$B$4-參數!$B$3)-C8</f>
        <v>0</v>
      </c>
      <c r="F8" s="0" t="n">
        <f aca="false">SUMIFS(站點時間表!$N$2:$N$122,站點時間表!$A$2:$A$122,$A8)/(參數!$B$6-參數!$B$5)-C8</f>
        <v>0</v>
      </c>
      <c r="G8" s="0" t="n">
        <f aca="false">SUMIFS(站點時間表!$O$2:$O$122,站點時間表!$A$2:$A$122,$A8)/(參數!$B$6-參數!$B$5)-C8</f>
        <v>0</v>
      </c>
      <c r="H8" s="0" t="n">
        <f aca="false">SUMIFS(站點時間表!$Q$2:$Q$122,站點時間表!$A$2:$A$122,$A8)-C8</f>
        <v>0</v>
      </c>
      <c r="I8" s="0" t="n">
        <f aca="false">SUMIFS(站點時間表!$R$2:$R$122,站點時間表!$A$2:$A$122,$A8)-C8</f>
        <v>0</v>
      </c>
      <c r="J8" s="0" t="n">
        <f aca="false">SUMIFS(站點時間表!$S$2:$S$122,站點時間表!$A$2:$A$122,$A8)</f>
        <v>95</v>
      </c>
      <c r="K8" s="0" t="n">
        <f aca="false">SUMIFS(站點時間表!$T$2:$T$122,站點時間表!$A$2:$A$122,$A8)/(參數!$B$11-參數!$B$10)-J8</f>
        <v>79.6438356164384</v>
      </c>
      <c r="L8" s="0" t="n">
        <f aca="false">SUMIFS(站點時間表!$U$2:$U$122,站點時間表!$A$2:$A$122,$A8)</f>
        <v>0</v>
      </c>
    </row>
    <row r="9" customFormat="false" ht="15" hidden="false" customHeight="false" outlineLevel="0" collapsed="false">
      <c r="A9" s="0" t="s">
        <v>150</v>
      </c>
      <c r="B9" s="0" t="s">
        <v>111</v>
      </c>
      <c r="C9" s="0" t="n">
        <f aca="false">SUMIFS(站點時間表!$P$2:$P$122,站點時間表!$A$2:$A$122,$A9)</f>
        <v>68</v>
      </c>
      <c r="D9" s="0" t="n">
        <f aca="false">SUMIFS(站點時間表!$L$2:$L$122,站點時間表!$A$2:$A$122,$A9)/(參數!$B$4-參數!$B$3)-C9</f>
        <v>0</v>
      </c>
      <c r="E9" s="0" t="n">
        <f aca="false">SUMIFS(站點時間表!$M$2:$M$122,站點時間表!$A$2:$A$122,$A9)/(參數!$B$4-參數!$B$3)-C9</f>
        <v>0</v>
      </c>
      <c r="F9" s="0" t="n">
        <f aca="false">SUMIFS(站點時間表!$N$2:$N$122,站點時間表!$A$2:$A$122,$A9)/(參數!$B$6-參數!$B$5)-C9</f>
        <v>0.0547945205479437</v>
      </c>
      <c r="G9" s="0" t="n">
        <f aca="false">SUMIFS(站點時間表!$O$2:$O$122,站點時間表!$A$2:$A$122,$A9)/(參數!$B$6-參數!$B$5)-C9</f>
        <v>0.0547945205479437</v>
      </c>
      <c r="H9" s="0" t="n">
        <f aca="false">SUMIFS(站點時間表!$Q$2:$Q$122,站點時間表!$A$2:$A$122,$A9)-C9</f>
        <v>20</v>
      </c>
      <c r="I9" s="0" t="n">
        <f aca="false">SUMIFS(站點時間表!$R$2:$R$122,站點時間表!$A$2:$A$122,$A9)-C9</f>
        <v>20</v>
      </c>
      <c r="J9" s="0" t="n">
        <f aca="false">SUMIFS(站點時間表!$S$2:$S$122,站點時間表!$A$2:$A$122,$A9)</f>
        <v>0</v>
      </c>
      <c r="K9" s="0" t="n">
        <f aca="false">SUMIFS(站點時間表!$T$2:$T$122,站點時間表!$A$2:$A$122,$A9)/(參數!$B$11-參數!$B$10)-J9</f>
        <v>10.9150684931507</v>
      </c>
      <c r="L9" s="0" t="n">
        <f aca="false">SUMIFS(站點時間表!$U$2:$U$122,站點時間表!$A$2:$A$122,$A9)</f>
        <v>0</v>
      </c>
    </row>
    <row r="10" customFormat="false" ht="15" hidden="false" customHeight="false" outlineLevel="0" collapsed="false">
      <c r="A10" s="0" t="s">
        <v>151</v>
      </c>
      <c r="B10" s="0" t="s">
        <v>111</v>
      </c>
      <c r="C10" s="0" t="n">
        <f aca="false">SUMIFS(站點時間表!$P$2:$P$122,站點時間表!$A$2:$A$122,$A10)</f>
        <v>27</v>
      </c>
      <c r="D10" s="0" t="n">
        <f aca="false">SUMIFS(站點時間表!$L$2:$L$122,站點時間表!$A$2:$A$122,$A10)/(參數!$B$4-參數!$B$3)-C10</f>
        <v>25.3846153846154</v>
      </c>
      <c r="E10" s="0" t="n">
        <f aca="false">SUMIFS(站點時間表!$M$2:$M$122,站點時間表!$A$2:$A$122,$A10)/(參數!$B$4-參數!$B$3)-C10</f>
        <v>25.3846153846154</v>
      </c>
      <c r="F10" s="0" t="n">
        <f aca="false">SUMIFS(站點時間表!$N$2:$N$122,站點時間表!$A$2:$A$122,$A10)/(參數!$B$6-參數!$B$5)-C10</f>
        <v>34.0547945205479</v>
      </c>
      <c r="G10" s="0" t="n">
        <f aca="false">SUMIFS(站點時間表!$O$2:$O$122,站點時間表!$A$2:$A$122,$A10)/(參數!$B$6-參數!$B$5)-C10</f>
        <v>34.0547945205479</v>
      </c>
      <c r="H10" s="0" t="n">
        <f aca="false">SUMIFS(站點時間表!$Q$2:$Q$122,站點時間表!$A$2:$A$122,$A10)-C10</f>
        <v>55</v>
      </c>
      <c r="I10" s="0" t="n">
        <f aca="false">SUMIFS(站點時間表!$R$2:$R$122,站點時間表!$A$2:$A$122,$A10)-C10</f>
        <v>55</v>
      </c>
      <c r="J10" s="0" t="n">
        <f aca="false">SUMIFS(站點時間表!$S$2:$S$122,站點時間表!$A$2:$A$122,$A10)</f>
        <v>27</v>
      </c>
      <c r="K10" s="0" t="n">
        <f aca="false">SUMIFS(站點時間表!$T$2:$T$122,站點時間表!$A$2:$A$122,$A10)/(參數!$B$11-參數!$B$10)-J10</f>
        <v>0</v>
      </c>
      <c r="L10" s="0" t="n">
        <f aca="false">SUMIFS(站點時間表!$U$2:$U$122,站點時間表!$A$2:$A$122,$A10)</f>
        <v>0</v>
      </c>
    </row>
    <row r="11" customFormat="false" ht="15" hidden="false" customHeight="false" outlineLevel="0" collapsed="false">
      <c r="A11" s="0" t="s">
        <v>152</v>
      </c>
      <c r="B11" s="0" t="s">
        <v>111</v>
      </c>
      <c r="C11" s="0" t="n">
        <f aca="false">SUMIFS(站點時間表!$P$2:$P$122,站點時間表!$A$2:$A$122,$A11)</f>
        <v>0</v>
      </c>
      <c r="D11" s="0" t="n">
        <f aca="false">SUMIFS(站點時間表!$L$2:$L$122,站點時間表!$A$2:$A$122,$A11)/(參數!$B$4-參數!$B$3)-C11</f>
        <v>53.8461538461539</v>
      </c>
      <c r="E11" s="0" t="n">
        <f aca="false">SUMIFS(站點時間表!$M$2:$M$122,站點時間表!$A$2:$A$122,$A11)/(參數!$B$4-參數!$B$3)-C11</f>
        <v>53.8461538461539</v>
      </c>
      <c r="F11" s="0" t="n">
        <f aca="false">SUMIFS(站點時間表!$N$2:$N$122,站點時間表!$A$2:$A$122,$A11)/(參數!$B$6-參數!$B$5)-C11</f>
        <v>48.0657534246575</v>
      </c>
      <c r="G11" s="0" t="n">
        <f aca="false">SUMIFS(站點時間表!$O$2:$O$122,站點時間表!$A$2:$A$122,$A11)/(參數!$B$6-參數!$B$5)-C11</f>
        <v>48.0657534246575</v>
      </c>
      <c r="H11" s="0" t="n">
        <f aca="false">SUMIFS(站點時間表!$Q$2:$Q$122,站點時間表!$A$2:$A$122,$A11)-C11</f>
        <v>65</v>
      </c>
      <c r="I11" s="0" t="n">
        <f aca="false">SUMIFS(站點時間表!$R$2:$R$122,站點時間表!$A$2:$A$122,$A11)-C11</f>
        <v>65</v>
      </c>
      <c r="J11" s="0" t="n">
        <f aca="false">SUMIFS(站點時間表!$S$2:$S$122,站點時間表!$A$2:$A$122,$A11)</f>
        <v>0</v>
      </c>
      <c r="K11" s="0" t="n">
        <f aca="false">SUMIFS(站點時間表!$T$2:$T$122,站點時間表!$A$2:$A$122,$A11)/(參數!$B$11-參數!$B$10)-J11</f>
        <v>0</v>
      </c>
      <c r="L11" s="0" t="n">
        <f aca="false">SUMIFS(站點時間表!$U$2:$U$122,站點時間表!$A$2:$A$122,$A11)</f>
        <v>36</v>
      </c>
    </row>
    <row r="12" customFormat="false" ht="15" hidden="false" customHeight="false" outlineLevel="0" collapsed="false">
      <c r="A12" s="0" t="s">
        <v>153</v>
      </c>
      <c r="B12" s="0" t="s">
        <v>111</v>
      </c>
      <c r="C12" s="0" t="n">
        <f aca="false">SUMIFS(站點時間表!$P$2:$P$122,站點時間表!$A$2:$A$122,$A12)</f>
        <v>42</v>
      </c>
      <c r="D12" s="0" t="n">
        <f aca="false">SUMIFS(站點時間表!$L$2:$L$122,站點時間表!$A$2:$A$122,$A12)/(參數!$B$4-參數!$B$3)-C12</f>
        <v>0</v>
      </c>
      <c r="E12" s="0" t="n">
        <f aca="false">SUMIFS(站點時間表!$M$2:$M$122,站點時間表!$A$2:$A$122,$A12)/(參數!$B$4-參數!$B$3)-C12</f>
        <v>0</v>
      </c>
      <c r="F12" s="0" t="n">
        <f aca="false">SUMIFS(站點時間表!$N$2:$N$122,站點時間表!$A$2:$A$122,$A12)/(參數!$B$6-參數!$B$5)-C12</f>
        <v>0</v>
      </c>
      <c r="G12" s="0" t="n">
        <f aca="false">SUMIFS(站點時間表!$O$2:$O$122,站點時間表!$A$2:$A$122,$A12)/(參數!$B$6-參數!$B$5)-C12</f>
        <v>0</v>
      </c>
      <c r="H12" s="0" t="n">
        <f aca="false">SUMIFS(站點時間表!$Q$2:$Q$122,站點時間表!$A$2:$A$122,$A12)-C12</f>
        <v>0</v>
      </c>
      <c r="I12" s="0" t="n">
        <f aca="false">SUMIFS(站點時間表!$R$2:$R$122,站點時間表!$A$2:$A$122,$A12)-C12</f>
        <v>0</v>
      </c>
      <c r="J12" s="0" t="n">
        <f aca="false">SUMIFS(站點時間表!$S$2:$S$122,站點時間表!$A$2:$A$122,$A12)</f>
        <v>0</v>
      </c>
      <c r="K12" s="0" t="n">
        <f aca="false">SUMIFS(站點時間表!$T$2:$T$122,站點時間表!$A$2:$A$122,$A12)/(參數!$B$11-參數!$B$10)-J12</f>
        <v>18.1808219178082</v>
      </c>
      <c r="L12" s="0" t="n">
        <f aca="false">SUMIFS(站點時間表!$U$2:$U$122,站點時間表!$A$2:$A$122,$A12)</f>
        <v>0</v>
      </c>
    </row>
    <row r="13" customFormat="false" ht="15" hidden="false" customHeight="false" outlineLevel="0" collapsed="false">
      <c r="A13" s="0" t="s">
        <v>154</v>
      </c>
      <c r="B13" s="0" t="s">
        <v>111</v>
      </c>
      <c r="C13" s="0" t="n">
        <f aca="false">SUMIFS(站點時間表!$P$2:$P$122,站點時間表!$A$2:$A$122,$A13)</f>
        <v>0</v>
      </c>
      <c r="D13" s="0" t="n">
        <f aca="false">SUMIFS(站點時間表!$L$2:$L$122,站點時間表!$A$2:$A$122,$A13)/(參數!$B$4-參數!$B$3)-C13</f>
        <v>28</v>
      </c>
      <c r="E13" s="0" t="n">
        <f aca="false">SUMIFS(站點時間表!$M$2:$M$122,站點時間表!$A$2:$A$122,$A13)/(參數!$B$4-參數!$B$3)-C13</f>
        <v>28</v>
      </c>
      <c r="F13" s="0" t="n">
        <f aca="false">SUMIFS(站點時間表!$N$2:$N$122,站點時間表!$A$2:$A$122,$A13)/(參數!$B$6-參數!$B$5)-C13</f>
        <v>24.1643835616438</v>
      </c>
      <c r="G13" s="0" t="n">
        <f aca="false">SUMIFS(站點時間表!$O$2:$O$122,站點時間表!$A$2:$A$122,$A13)/(參數!$B$6-參數!$B$5)-C13</f>
        <v>24.1643835616438</v>
      </c>
      <c r="H13" s="0" t="n">
        <f aca="false">SUMIFS(站點時間表!$Q$2:$Q$122,站點時間表!$A$2:$A$122,$A13)-C13</f>
        <v>28</v>
      </c>
      <c r="I13" s="0" t="n">
        <f aca="false">SUMIFS(站點時間表!$R$2:$R$122,站點時間表!$A$2:$A$122,$A13)-C13</f>
        <v>28</v>
      </c>
      <c r="J13" s="0" t="n">
        <f aca="false">SUMIFS(站點時間表!$S$2:$S$122,站點時間表!$A$2:$A$122,$A13)</f>
        <v>0</v>
      </c>
      <c r="K13" s="0" t="n">
        <f aca="false">SUMIFS(站點時間表!$T$2:$T$122,站點時間表!$A$2:$A$122,$A13)/(參數!$B$11-參數!$B$10)-J13</f>
        <v>0</v>
      </c>
      <c r="L13" s="0" t="n">
        <f aca="false">SUMIFS(站點時間表!$U$2:$U$122,站點時間表!$A$2:$A$122,$A13)</f>
        <v>28</v>
      </c>
    </row>
    <row r="14" customFormat="false" ht="15" hidden="false" customHeight="false" outlineLevel="0" collapsed="false">
      <c r="A14" s="0" t="s">
        <v>155</v>
      </c>
      <c r="B14" s="0" t="s">
        <v>111</v>
      </c>
      <c r="C14" s="0" t="n">
        <f aca="false">SUMIFS(站點時間表!$P$2:$P$122,站點時間表!$A$2:$A$122,$A14)</f>
        <v>0</v>
      </c>
      <c r="D14" s="0" t="n">
        <f aca="false">SUMIFS(站點時間表!$L$2:$L$122,站點時間表!$A$2:$A$122,$A14)/(參數!$B$4-參數!$B$3)-C14</f>
        <v>0</v>
      </c>
      <c r="E14" s="0" t="n">
        <f aca="false">SUMIFS(站點時間表!$M$2:$M$122,站點時間表!$A$2:$A$122,$A14)/(參數!$B$4-參數!$B$3)-C14</f>
        <v>0</v>
      </c>
      <c r="F14" s="0" t="n">
        <f aca="false">SUMIFS(站點時間表!$N$2:$N$122,站點時間表!$A$2:$A$122,$A14)/(參數!$B$6-參數!$B$5)-C14</f>
        <v>0</v>
      </c>
      <c r="G14" s="0" t="n">
        <f aca="false">SUMIFS(站點時間表!$O$2:$O$122,站點時間表!$A$2:$A$122,$A14)/(參數!$B$6-參數!$B$5)-C14</f>
        <v>0</v>
      </c>
      <c r="H14" s="0" t="n">
        <f aca="false">SUMIFS(站點時間表!$Q$2:$Q$122,站點時間表!$A$2:$A$122,$A14)-C14</f>
        <v>0</v>
      </c>
      <c r="I14" s="0" t="n">
        <f aca="false">SUMIFS(站點時間表!$R$2:$R$122,站點時間表!$A$2:$A$122,$A14)-C14</f>
        <v>0</v>
      </c>
      <c r="J14" s="0" t="n">
        <f aca="false">SUMIFS(站點時間表!$S$2:$S$122,站點時間表!$A$2:$A$122,$A14)</f>
        <v>0</v>
      </c>
      <c r="K14" s="0" t="n">
        <f aca="false">SUMIFS(站點時間表!$T$2:$T$122,站點時間表!$A$2:$A$122,$A14)/(參數!$B$11-參數!$B$10)-J14</f>
        <v>0</v>
      </c>
      <c r="L14" s="0" t="n">
        <f aca="false">SUMIFS(站點時間表!$U$2:$U$122,站點時間表!$A$2:$A$122,$A14)</f>
        <v>0</v>
      </c>
    </row>
    <row r="15" customFormat="false" ht="15" hidden="false" customHeight="false" outlineLevel="0" collapsed="false">
      <c r="A15" s="0" t="s">
        <v>156</v>
      </c>
      <c r="B15" s="0" t="s">
        <v>111</v>
      </c>
      <c r="C15" s="0" t="n">
        <f aca="false">SUMIFS(站點時間表!$P$2:$P$122,站點時間表!$A$2:$A$122,$A15)</f>
        <v>0</v>
      </c>
      <c r="D15" s="0" t="n">
        <f aca="false">SUMIFS(站點時間表!$L$2:$L$122,站點時間表!$A$2:$A$122,$A15)/(參數!$B$4-參數!$B$3)-C15</f>
        <v>0</v>
      </c>
      <c r="E15" s="0" t="n">
        <f aca="false">SUMIFS(站點時間表!$M$2:$M$122,站點時間表!$A$2:$A$122,$A15)/(參數!$B$4-參數!$B$3)-C15</f>
        <v>0</v>
      </c>
      <c r="F15" s="0" t="n">
        <f aca="false">SUMIFS(站點時間表!$N$2:$N$122,站點時間表!$A$2:$A$122,$A15)/(參數!$B$6-參數!$B$5)-C15</f>
        <v>0.191780821917808</v>
      </c>
      <c r="G15" s="0" t="n">
        <f aca="false">SUMIFS(站點時間表!$O$2:$O$122,站點時間表!$A$2:$A$122,$A15)/(參數!$B$6-參數!$B$5)-C15</f>
        <v>0.191780821917808</v>
      </c>
      <c r="H15" s="0" t="n">
        <f aca="false">SUMIFS(站點時間表!$Q$2:$Q$122,站點時間表!$A$2:$A$122,$A15)-C15</f>
        <v>70</v>
      </c>
      <c r="I15" s="0" t="n">
        <f aca="false">SUMIFS(站點時間表!$R$2:$R$122,站點時間表!$A$2:$A$122,$A15)-C15</f>
        <v>70</v>
      </c>
      <c r="J15" s="0" t="n">
        <f aca="false">SUMIFS(站點時間表!$S$2:$S$122,站點時間表!$A$2:$A$122,$A15)</f>
        <v>0</v>
      </c>
      <c r="K15" s="0" t="n">
        <f aca="false">SUMIFS(站點時間表!$T$2:$T$122,站點時間表!$A$2:$A$122,$A15)/(參數!$B$11-參數!$B$10)-J15</f>
        <v>0</v>
      </c>
      <c r="L15" s="0" t="n">
        <f aca="false">SUMIFS(站點時間表!$U$2:$U$122,站點時間表!$A$2:$A$122,$A15)</f>
        <v>0</v>
      </c>
    </row>
    <row r="16" customFormat="false" ht="15" hidden="false" customHeight="false" outlineLevel="0" collapsed="false">
      <c r="A16" s="0" t="s">
        <v>157</v>
      </c>
      <c r="B16" s="0" t="s">
        <v>109</v>
      </c>
      <c r="C16" s="0" t="n">
        <f aca="false">SUMIFS(站點時間表!$P$2:$P$122,站點時間表!$A$2:$A$122,$A16)</f>
        <v>0</v>
      </c>
      <c r="D16" s="0" t="n">
        <f aca="false">SUMIFS(站點時間表!$L$2:$L$122,站點時間表!$A$2:$A$122,$A16)/(參數!$B$4-參數!$B$3)-C16</f>
        <v>0</v>
      </c>
      <c r="E16" s="0" t="n">
        <f aca="false">SUMIFS(站點時間表!$M$2:$M$122,站點時間表!$A$2:$A$122,$A16)/(參數!$B$4-參數!$B$3)-C16</f>
        <v>0</v>
      </c>
      <c r="F16" s="0" t="n">
        <f aca="false">SUMIFS(站點時間表!$N$2:$N$122,站點時間表!$A$2:$A$122,$A16)/(參數!$B$6-參數!$B$5)-C16</f>
        <v>0</v>
      </c>
      <c r="G16" s="0" t="n">
        <f aca="false">SUMIFS(站點時間表!$O$2:$O$122,站點時間表!$A$2:$A$122,$A16)/(參數!$B$6-參數!$B$5)-C16</f>
        <v>0</v>
      </c>
      <c r="H16" s="0" t="n">
        <f aca="false">SUMIFS(站點時間表!$Q$2:$Q$122,站點時間表!$A$2:$A$122,$A16)-C16</f>
        <v>0</v>
      </c>
      <c r="I16" s="0" t="n">
        <f aca="false">SUMIFS(站點時間表!$R$2:$R$122,站點時間表!$A$2:$A$122,$A16)-C16</f>
        <v>0</v>
      </c>
      <c r="J16" s="0" t="n">
        <f aca="false">SUMIFS(站點時間表!$S$2:$S$122,站點時間表!$A$2:$A$122,$A16)</f>
        <v>0</v>
      </c>
      <c r="K16" s="0" t="n">
        <f aca="false">SUMIFS(站點時間表!$T$2:$T$122,站點時間表!$A$2:$A$122,$A16)/(參數!$B$11-參數!$B$10)-J16</f>
        <v>0</v>
      </c>
      <c r="L16" s="0" t="n">
        <f aca="false">SUMIFS(站點時間表!$U$2:$U$122,站點時間表!$A$2:$A$122,$A16)</f>
        <v>0</v>
      </c>
    </row>
    <row r="17" customFormat="false" ht="15" hidden="false" customHeight="false" outlineLevel="0" collapsed="false">
      <c r="A17" s="0" t="s">
        <v>158</v>
      </c>
      <c r="B17" s="0" t="s">
        <v>109</v>
      </c>
      <c r="C17" s="0" t="n">
        <f aca="false">SUMIFS(站點時間表!$P$2:$P$122,站點時間表!$A$2:$A$122,$A17)</f>
        <v>0</v>
      </c>
      <c r="D17" s="0" t="n">
        <f aca="false">SUMIFS(站點時間表!$L$2:$L$122,站點時間表!$A$2:$A$122,$A17)/(參數!$B$4-參數!$B$3)-C17</f>
        <v>0</v>
      </c>
      <c r="E17" s="0" t="n">
        <f aca="false">SUMIFS(站點時間表!$M$2:$M$122,站點時間表!$A$2:$A$122,$A17)/(參數!$B$4-參數!$B$3)-C17</f>
        <v>0</v>
      </c>
      <c r="F17" s="0" t="n">
        <f aca="false">SUMIFS(站點時間表!$N$2:$N$122,站點時間表!$A$2:$A$122,$A17)/(參數!$B$6-參數!$B$5)-C17</f>
        <v>0</v>
      </c>
      <c r="G17" s="0" t="n">
        <f aca="false">SUMIFS(站點時間表!$O$2:$O$122,站點時間表!$A$2:$A$122,$A17)/(參數!$B$6-參數!$B$5)-C17</f>
        <v>0</v>
      </c>
      <c r="H17" s="0" t="n">
        <f aca="false">SUMIFS(站點時間表!$Q$2:$Q$122,站點時間表!$A$2:$A$122,$A17)-C17</f>
        <v>0</v>
      </c>
      <c r="I17" s="0" t="n">
        <f aca="false">SUMIFS(站點時間表!$R$2:$R$122,站點時間表!$A$2:$A$122,$A17)-C17</f>
        <v>0</v>
      </c>
      <c r="J17" s="0" t="n">
        <f aca="false">SUMIFS(站點時間表!$S$2:$S$122,站點時間表!$A$2:$A$122,$A17)</f>
        <v>0</v>
      </c>
      <c r="K17" s="0" t="n">
        <f aca="false">SUMIFS(站點時間表!$T$2:$T$122,站點時間表!$A$2:$A$122,$A17)/(參數!$B$11-參數!$B$10)-J17</f>
        <v>0</v>
      </c>
      <c r="L17" s="0" t="n">
        <f aca="false">SUMIFS(站點時間表!$U$2:$U$122,站點時間表!$A$2:$A$122,$A17)</f>
        <v>0</v>
      </c>
    </row>
    <row r="18" customFormat="false" ht="15" hidden="false" customHeight="false" outlineLevel="0" collapsed="false">
      <c r="A18" s="0" t="s">
        <v>159</v>
      </c>
      <c r="B18" s="0" t="s">
        <v>109</v>
      </c>
      <c r="C18" s="0" t="n">
        <f aca="false">SUMIFS(站點時間表!$P$2:$P$122,站點時間表!$A$2:$A$122,$A18)</f>
        <v>0</v>
      </c>
      <c r="D18" s="0" t="n">
        <f aca="false">SUMIFS(站點時間表!$L$2:$L$122,站點時間表!$A$2:$A$122,$A18)/(參數!$B$4-參數!$B$3)-C18</f>
        <v>0</v>
      </c>
      <c r="E18" s="0" t="n">
        <f aca="false">SUMIFS(站點時間表!$M$2:$M$122,站點時間表!$A$2:$A$122,$A18)/(參數!$B$4-參數!$B$3)-C18</f>
        <v>0</v>
      </c>
      <c r="F18" s="0" t="n">
        <f aca="false">SUMIFS(站點時間表!$N$2:$N$122,站點時間表!$A$2:$A$122,$A18)/(參數!$B$6-參數!$B$5)-C18</f>
        <v>0</v>
      </c>
      <c r="G18" s="0" t="n">
        <f aca="false">SUMIFS(站點時間表!$O$2:$O$122,站點時間表!$A$2:$A$122,$A18)/(參數!$B$6-參數!$B$5)-C18</f>
        <v>0</v>
      </c>
      <c r="H18" s="0" t="n">
        <f aca="false">SUMIFS(站點時間表!$Q$2:$Q$122,站點時間表!$A$2:$A$122,$A18)-C18</f>
        <v>0</v>
      </c>
      <c r="I18" s="0" t="n">
        <f aca="false">SUMIFS(站點時間表!$R$2:$R$122,站點時間表!$A$2:$A$122,$A18)-C18</f>
        <v>0</v>
      </c>
      <c r="J18" s="0" t="n">
        <f aca="false">SUMIFS(站點時間表!$S$2:$S$122,站點時間表!$A$2:$A$122,$A18)</f>
        <v>0</v>
      </c>
      <c r="K18" s="0" t="n">
        <f aca="false">SUMIFS(站點時間表!$T$2:$T$122,站點時間表!$A$2:$A$122,$A18)/(參數!$B$11-參數!$B$10)-J18</f>
        <v>0</v>
      </c>
      <c r="L18" s="0" t="n">
        <f aca="false">SUMIFS(站點時間表!$U$2:$U$122,站點時間表!$A$2:$A$122,$A18)</f>
        <v>0</v>
      </c>
    </row>
    <row r="19" customFormat="false" ht="15" hidden="false" customHeight="false" outlineLevel="0" collapsed="false">
      <c r="A19" s="0" t="s">
        <v>160</v>
      </c>
      <c r="B19" s="0" t="s">
        <v>109</v>
      </c>
      <c r="C19" s="0" t="n">
        <f aca="false">SUMIFS(站點時間表!$P$2:$P$122,站點時間表!$A$2:$A$122,$A19)</f>
        <v>0</v>
      </c>
      <c r="D19" s="0" t="n">
        <f aca="false">SUMIFS(站點時間表!$L$2:$L$122,站點時間表!$A$2:$A$122,$A19)/(參數!$B$4-參數!$B$3)-C19</f>
        <v>0</v>
      </c>
      <c r="E19" s="0" t="n">
        <f aca="false">SUMIFS(站點時間表!$M$2:$M$122,站點時間表!$A$2:$A$122,$A19)/(參數!$B$4-參數!$B$3)-C19</f>
        <v>0</v>
      </c>
      <c r="F19" s="0" t="n">
        <f aca="false">SUMIFS(站點時間表!$N$2:$N$122,站點時間表!$A$2:$A$122,$A19)/(參數!$B$6-參數!$B$5)-C19</f>
        <v>0</v>
      </c>
      <c r="G19" s="0" t="n">
        <f aca="false">SUMIFS(站點時間表!$O$2:$O$122,站點時間表!$A$2:$A$122,$A19)/(參數!$B$6-參數!$B$5)-C19</f>
        <v>0</v>
      </c>
      <c r="H19" s="0" t="n">
        <f aca="false">SUMIFS(站點時間表!$Q$2:$Q$122,站點時間表!$A$2:$A$122,$A19)-C19</f>
        <v>0</v>
      </c>
      <c r="I19" s="0" t="n">
        <f aca="false">SUMIFS(站點時間表!$R$2:$R$122,站點時間表!$A$2:$A$122,$A19)-C19</f>
        <v>0</v>
      </c>
      <c r="J19" s="0" t="n">
        <f aca="false">SUMIFS(站點時間表!$S$2:$S$122,站點時間表!$A$2:$A$122,$A19)</f>
        <v>0</v>
      </c>
      <c r="K19" s="0" t="n">
        <f aca="false">SUMIFS(站點時間表!$T$2:$T$122,站點時間表!$A$2:$A$122,$A19)/(參數!$B$11-參數!$B$10)-J19</f>
        <v>0</v>
      </c>
      <c r="L19" s="0" t="n">
        <f aca="false">SUMIFS(站點時間表!$U$2:$U$122,站點時間表!$A$2:$A$122,$A19)</f>
        <v>0</v>
      </c>
    </row>
    <row r="20" customFormat="false" ht="15" hidden="false" customHeight="false" outlineLevel="0" collapsed="false">
      <c r="A20" s="0" t="s">
        <v>161</v>
      </c>
      <c r="B20" s="0" t="s">
        <v>109</v>
      </c>
      <c r="C20" s="0" t="n">
        <f aca="false">SUMIFS(站點時間表!$P$2:$P$122,站點時間表!$A$2:$A$122,$A20)</f>
        <v>0</v>
      </c>
      <c r="D20" s="0" t="n">
        <f aca="false">SUMIFS(站點時間表!$L$2:$L$122,站點時間表!$A$2:$A$122,$A20)/(參數!$B$4-參數!$B$3)-C20</f>
        <v>0</v>
      </c>
      <c r="E20" s="0" t="n">
        <f aca="false">SUMIFS(站點時間表!$M$2:$M$122,站點時間表!$A$2:$A$122,$A20)/(參數!$B$4-參數!$B$3)-C20</f>
        <v>0</v>
      </c>
      <c r="F20" s="0" t="n">
        <f aca="false">SUMIFS(站點時間表!$N$2:$N$122,站點時間表!$A$2:$A$122,$A20)/(參數!$B$6-參數!$B$5)-C20</f>
        <v>0</v>
      </c>
      <c r="G20" s="0" t="n">
        <f aca="false">SUMIFS(站點時間表!$O$2:$O$122,站點時間表!$A$2:$A$122,$A20)/(參數!$B$6-參數!$B$5)-C20</f>
        <v>0</v>
      </c>
      <c r="H20" s="0" t="n">
        <f aca="false">SUMIFS(站點時間表!$Q$2:$Q$122,站點時間表!$A$2:$A$122,$A20)-C20</f>
        <v>0</v>
      </c>
      <c r="I20" s="0" t="n">
        <f aca="false">SUMIFS(站點時間表!$R$2:$R$122,站點時間表!$A$2:$A$122,$A20)-C20</f>
        <v>0</v>
      </c>
      <c r="J20" s="0" t="n">
        <f aca="false">SUMIFS(站點時間表!$S$2:$S$122,站點時間表!$A$2:$A$122,$A20)</f>
        <v>0</v>
      </c>
      <c r="K20" s="0" t="n">
        <f aca="false">SUMIFS(站點時間表!$T$2:$T$122,站點時間表!$A$2:$A$122,$A20)/(參數!$B$11-參數!$B$10)-J20</f>
        <v>0</v>
      </c>
      <c r="L20" s="0" t="n">
        <f aca="false">SUMIFS(站點時間表!$U$2:$U$122,站點時間表!$A$2:$A$122,$A20)</f>
        <v>0</v>
      </c>
    </row>
    <row r="21" customFormat="false" ht="15" hidden="false" customHeight="false" outlineLevel="0" collapsed="false">
      <c r="A21" s="0" t="s">
        <v>162</v>
      </c>
      <c r="B21" s="0" t="s">
        <v>109</v>
      </c>
      <c r="C21" s="0" t="n">
        <f aca="false">SUMIFS(站點時間表!$P$2:$P$122,站點時間表!$A$2:$A$122,$A21)</f>
        <v>0</v>
      </c>
      <c r="D21" s="0" t="n">
        <f aca="false">SUMIFS(站點時間表!$L$2:$L$122,站點時間表!$A$2:$A$122,$A21)/(參數!$B$4-參數!$B$3)-C21</f>
        <v>0</v>
      </c>
      <c r="E21" s="0" t="n">
        <f aca="false">SUMIFS(站點時間表!$M$2:$M$122,站點時間表!$A$2:$A$122,$A21)/(參數!$B$4-參數!$B$3)-C21</f>
        <v>0</v>
      </c>
      <c r="F21" s="0" t="n">
        <f aca="false">SUMIFS(站點時間表!$N$2:$N$122,站點時間表!$A$2:$A$122,$A21)/(參數!$B$6-參數!$B$5)-C21</f>
        <v>16.986301369863</v>
      </c>
      <c r="G21" s="0" t="n">
        <f aca="false">SUMIFS(站點時間表!$O$2:$O$122,站點時間表!$A$2:$A$122,$A21)/(參數!$B$6-參數!$B$5)-C21</f>
        <v>16.986301369863</v>
      </c>
      <c r="H21" s="0" t="n">
        <f aca="false">SUMIFS(站點時間表!$Q$2:$Q$122,站點時間表!$A$2:$A$122,$A21)-C21</f>
        <v>200</v>
      </c>
      <c r="I21" s="0" t="n">
        <f aca="false">SUMIFS(站點時間表!$R$2:$R$122,站點時間表!$A$2:$A$122,$A21)-C21</f>
        <v>200</v>
      </c>
      <c r="J21" s="0" t="n">
        <f aca="false">SUMIFS(站點時間表!$S$2:$S$122,站點時間表!$A$2:$A$122,$A21)</f>
        <v>0</v>
      </c>
      <c r="K21" s="0" t="n">
        <f aca="false">SUMIFS(站點時間表!$T$2:$T$122,站點時間表!$A$2:$A$122,$A21)/(參數!$B$11-參數!$B$10)-J21</f>
        <v>0</v>
      </c>
      <c r="L21" s="0" t="n">
        <f aca="false">SUMIFS(站點時間表!$U$2:$U$122,站點時間表!$A$2:$A$122,$A21)</f>
        <v>0</v>
      </c>
    </row>
    <row r="22" customFormat="false" ht="15" hidden="false" customHeight="false" outlineLevel="0" collapsed="false">
      <c r="A22" s="0" t="s">
        <v>163</v>
      </c>
      <c r="B22" s="0" t="s">
        <v>109</v>
      </c>
      <c r="C22" s="0" t="n">
        <f aca="false">SUMIFS(站點時間表!$P$2:$P$122,站點時間表!$A$2:$A$122,$A22)</f>
        <v>0</v>
      </c>
      <c r="D22" s="0" t="n">
        <f aca="false">SUMIFS(站點時間表!$L$2:$L$122,站點時間表!$A$2:$A$122,$A22)/(參數!$B$4-參數!$B$3)-C22</f>
        <v>0</v>
      </c>
      <c r="E22" s="0" t="n">
        <f aca="false">SUMIFS(站點時間表!$M$2:$M$122,站點時間表!$A$2:$A$122,$A22)/(參數!$B$4-參數!$B$3)-C22</f>
        <v>0</v>
      </c>
      <c r="F22" s="0" t="n">
        <f aca="false">SUMIFS(站點時間表!$N$2:$N$122,站點時間表!$A$2:$A$122,$A22)/(參數!$B$6-參數!$B$5)-C22</f>
        <v>0</v>
      </c>
      <c r="G22" s="0" t="n">
        <f aca="false">SUMIFS(站點時間表!$O$2:$O$122,站點時間表!$A$2:$A$122,$A22)/(參數!$B$6-參數!$B$5)-C22</f>
        <v>0</v>
      </c>
      <c r="H22" s="0" t="n">
        <f aca="false">SUMIFS(站點時間表!$Q$2:$Q$122,站點時間表!$A$2:$A$122,$A22)-C22</f>
        <v>0</v>
      </c>
      <c r="I22" s="0" t="n">
        <f aca="false">SUMIFS(站點時間表!$R$2:$R$122,站點時間表!$A$2:$A$122,$A22)-C22</f>
        <v>0</v>
      </c>
      <c r="J22" s="0" t="n">
        <f aca="false">SUMIFS(站點時間表!$S$2:$S$122,站點時間表!$A$2:$A$122,$A22)</f>
        <v>0</v>
      </c>
      <c r="K22" s="0" t="n">
        <f aca="false">SUMIFS(站點時間表!$T$2:$T$122,站點時間表!$A$2:$A$122,$A22)/(參數!$B$11-參數!$B$10)-J22</f>
        <v>0</v>
      </c>
      <c r="L22" s="0" t="n">
        <f aca="false">SUMIFS(站點時間表!$U$2:$U$122,站點時間表!$A$2:$A$122,$A22)</f>
        <v>0</v>
      </c>
    </row>
    <row r="23" customFormat="false" ht="17.15" hidden="false" customHeight="false" outlineLevel="0" collapsed="false">
      <c r="A23" s="1" t="s">
        <v>174</v>
      </c>
      <c r="C23" s="0" t="n">
        <f aca="false">SUM(C2:C22)</f>
        <v>1128</v>
      </c>
      <c r="D23" s="0" t="n">
        <f aca="false">SUM(D2:D22)</f>
        <v>628.252747252747</v>
      </c>
      <c r="E23" s="0" t="n">
        <f aca="false">SUM(E2:E22)</f>
        <v>947.725274725275</v>
      </c>
      <c r="F23" s="0" t="n">
        <f aca="false">SUM(F2:F22)</f>
        <v>923.531506849315</v>
      </c>
      <c r="G23" s="0" t="n">
        <f aca="false">SUM(G2:G22)</f>
        <v>1045.29863013699</v>
      </c>
      <c r="H23" s="0" t="n">
        <f aca="false">SUM(H2:H22)</f>
        <v>2081</v>
      </c>
      <c r="I23" s="0" t="n">
        <f aca="false">SUM(I2:I22)</f>
        <v>2081</v>
      </c>
      <c r="J23" s="0" t="n">
        <f aca="false">SUM(J2:J22)</f>
        <v>162</v>
      </c>
      <c r="K23" s="0" t="n">
        <f aca="false">SUM(K2:K22)</f>
        <v>293.076712328767</v>
      </c>
      <c r="L23" s="0" t="n">
        <f aca="false">SUM(L2:L22)</f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2026-10-24T07:12:38Z</dcterms:created>
  <dc:creator>openpyxl</dc:creator>
  <dc:description/>
  <dc:language>en-US</dc:language>
  <cp:lastModifiedBy/>
  <dcterms:modified xsi:type="dcterms:W3CDTF">2026-10-24T07:12:38Z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