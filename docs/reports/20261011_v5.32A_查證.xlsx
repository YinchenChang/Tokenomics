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結論" sheetId="1" state="visible" r:id="rId1"/>
    <sheet xmlns:r="http://schemas.openxmlformats.org/officeDocument/2006/relationships" name="1_付費用戶數" sheetId="2" state="visible" r:id="rId2"/>
    <sheet xmlns:r="http://schemas.openxmlformats.org/officeDocument/2006/relationships" name="2_每用戶token" sheetId="3" state="visible" r:id="rId3"/>
    <sheet xmlns:r="http://schemas.openxmlformats.org/officeDocument/2006/relationships" name="3_營收拆分" sheetId="4" state="visible" r:id="rId4"/>
    <sheet xmlns:r="http://schemas.openxmlformats.org/officeDocument/2006/relationships" name="4_計價結構" sheetId="5" state="visible" r:id="rId5"/>
    <sheet xmlns:r="http://schemas.openxmlformats.org/officeDocument/2006/relationships" name="5_免費額度" sheetId="6" state="visible" r:id="rId6"/>
    <sheet xmlns:r="http://schemas.openxmlformats.org/officeDocument/2006/relationships" name="6_隱含m試算" sheetId="7" state="visible" r:id="rId7"/>
    <sheet xmlns:r="http://schemas.openxmlformats.org/officeDocument/2006/relationships" name="6b_敏感度" sheetId="8" state="visible" r:id="rId8"/>
    <sheet xmlns:r="http://schemas.openxmlformats.org/officeDocument/2006/relationships" name="7_DB_Evidence提案" sheetId="9" state="visible" r:id="rId9"/>
    <sheet xmlns:r="http://schemas.openxmlformats.org/officeDocument/2006/relationships" name="8_待Project判斷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color rgb="000000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2" borderId="0" pivotButton="0" quotePrefix="0" xfId="0"/>
    <xf numFmtId="0" fontId="3" fillId="0" borderId="0" pivotButton="0" quotePrefix="0" xfId="0"/>
    <xf numFmtId="2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v5.32 A 段：變現率 m 追蹤查證（2026-10-11；不改 Excel）</t>
        </is>
      </c>
    </row>
    <row r="2">
      <c r="A2" t="inlineStr">
        <is>
          <t>報告檔：docs/reports/20261011_v5.32A_查證.md；本檔每節一頁</t>
        </is>
      </c>
    </row>
    <row r="4" ht="48" customHeight="1">
      <c r="A4" s="2" t="inlineStr">
        <is>
          <t>1. 隱含 m（OpenAI 2025，毛額營收，層級組合單價 1.96 $/M）：訂閱路線 3.49（0.94–28.95）、API 路線 0.65（0.35–2.61）、合併 1.74（0.85–5.72）。全部是 Derived，而分母（付費 token 數）來自模型自己的 Alloc 假設（Assumed），不是實測。</t>
        </is>
      </c>
    </row>
    <row r="5" ht="48" customHeight="1">
      <c r="A5" s="2" t="inlineStr">
        <is>
          <t>2. 合併 m &gt; 1 不可信，問題在分母：OpenAI 不揭露 ChatGPT 的 token 數；模型以「每日 25 億則 × 每則 4,000 token」推出每日 16.5 T。若改用 Epoch 的 10–100 T／日，合併 m 變成 2.87–0.29；跨一個數量級。模型內 L1_ScaleServe＝18（支出路線的服務算力是 token 路線的 18 倍）指向同一件事：token 路線的需求很可能低估，所以隱含 m 被高估。</t>
        </is>
      </c>
    </row>
    <row r="6" ht="48" customHeight="1">
      <c r="A6" s="2" t="inlineStr">
        <is>
          <t>3. 比較可信的兩個點都在 0.3 附近或以下：(a) API 2026 Q1 時點（15B tok/min 是一手，API 營收占 15–25% 是 Analogy）：0.31（0.19–0.75）；(b) 程式代理訂閱（Claude Code 企業平均 $13／活躍日、p90 &lt;$30，一手）：$200 方案 0.32–0.92、$20 方案 &lt; 0.1。兩者都低於 Gov_Map 區間中段，支持「重度用戶與程式代理把 m 往下拉」的方向。</t>
        </is>
      </c>
    </row>
    <row r="7" ht="48" customHeight="1">
      <c r="A7" s="2" t="inlineStr">
        <is>
          <t>4. 單價結構本身就讓 m 偏低：程式代理的輸入占 99%+、快取命中 92–99%（Requesty 91.9%、Pegatron 實測 99.3%），以 Sol 有效價計每 token 實收只有參考請求的 0.11–0.20 倍；OpenRouter 全市場平均（6,000／400）在 χ＝0.55 下為 0.78 倍。這部分在 m 的定義內（m＝實收單價 ÷ 參考請求有效單價），是 m &lt; 1 的獨立來源，不依賴用戶數。</t>
        </is>
      </c>
    </row>
    <row r="8" ht="48" customHeight="1">
      <c r="A8" s="2" t="inlineStr">
        <is>
          <t>5. 付費用戶數有可用時間序列：ChatGPT 消費訂閱 15.5M（2025-01）→ 20M（2025-04）→ 35M（2025-07）→ &gt;50M（2026-02、一手）；付費商用用戶 2M → 3M → 5M → 7M 席次 → &gt;9M（2026-02、一手）。Anthropic 只有商用客戶 &gt;30 萬（2025-09）與 &gt;$1M 客戶 &gt;500（2026-02），消費訂閱數未揭露。</t>
        </is>
      </c>
    </row>
    <row r="9" ht="48" customHeight="1">
      <c r="A9" s="2" t="inlineStr">
        <is>
          <t>6. 營收拆分：OpenAI 消費訂閱占 75%（2024-10）、約 70%（2025-10），「企業」&gt;40%（2026-03，一手，口徑未定義）；API 拆分 2024 年中以後沒有可靠數字。Anthropic 2025（機密 S-1 經 Reuters）：用量計費 3.8、訂閱 0.789（17%）、雲端市集 2.16（47%）、付給平台約 0.351 $B（市集營收的 16%）。</t>
        </is>
      </c>
    </row>
    <row r="10" ht="48" customHeight="1">
      <c r="A10" s="2" t="inlineStr">
        <is>
          <t>7. 每付費用戶年 token 沒有任何公司揭露；可用的換算：ChatGPT 每付費訂閱者約 44 M tok／年（11–106，Derived）、每日約 30 則；Claude Code 企業開發者約 6 B tok／年（Derived，94% 為快取讀）；兩者差 100 倍以上，所以路線必須分開。</t>
        </is>
      </c>
    </row>
    <row r="11" ht="48" customHeight="1">
      <c r="A11" s="2" t="inlineStr">
        <is>
          <t>8. 建議：CTL_Monetize 基準 1 與區間 0.3–1.0 暫不改（J1 (a)）；B 段先把追蹤區塊上線，並把「模型 token 路線」與「外部 token」兩種分母並列（J2）。DB_Evidence 登錄提案 23 筆：採用 11、部分採用 7、不採用 3、待查 2。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2" customWidth="1" min="4" max="4"/>
    <col width="16" customWidth="1" min="5" max="5"/>
    <col width="50" customWidth="1" min="6" max="6"/>
    <col width="12" customWidth="1" min="7" max="7"/>
    <col width="18" customWidth="1" min="8" max="8"/>
    <col width="24" customWidth="1" min="9" max="9"/>
    <col width="34" customWidth="1" min="10" max="10"/>
  </cols>
  <sheetData>
    <row r="1">
      <c r="A1" s="1" t="inlineStr">
        <is>
          <t>1. 付費用戶數（證據表）</t>
        </is>
      </c>
    </row>
    <row r="2">
      <c r="A2" s="3" t="inlineStr">
        <is>
          <t>缺口：付費 API 組織數（OpenAI、Anthropic 皆）：找不到；只有「開發者」與「商用客戶（家）」。；Claude 消費訂閱數：未揭露（Anthropic 只給成長倍數）。；ChatGPT 依方案（Go／Plus／Pro）的實際訂閱數：只有 2025 Plus 44M（二手、時點不明）與 2026 預測；2026 年 3 月後 OpenAI 未再更新訂閱總數。；商用「用戶」與「席次」口徑：OpenAI 2025-11 改用「席次」，與前後「付費商用用戶」不完全相同。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t="inlineStr">
        <is>
          <t>ID</t>
        </is>
      </c>
      <c r="B4" t="inlineStr">
        <is>
          <t>項目</t>
        </is>
      </c>
      <c r="C4" t="inlineStr">
        <is>
          <t>數值</t>
        </is>
      </c>
      <c r="D4" t="inlineStr">
        <is>
          <t>單位</t>
        </is>
      </c>
      <c r="E4" t="inlineStr">
        <is>
          <t>期間／時點</t>
        </is>
      </c>
      <c r="F4" t="inlineStr">
        <is>
          <t>來源（名稱＋網址）</t>
        </is>
      </c>
      <c r="G4" t="inlineStr">
        <is>
          <t>文件日</t>
        </is>
      </c>
      <c r="H4" t="inlineStr">
        <is>
          <t>標記</t>
        </is>
      </c>
      <c r="I4" t="inlineStr">
        <is>
          <t>利害關係方與誘因</t>
        </is>
      </c>
      <c r="J4" t="inlineStr">
        <is>
          <t>獨立性／備註</t>
        </is>
      </c>
    </row>
    <row r="5">
      <c r="A5" s="5" t="inlineStr">
        <is>
          <t>U01</t>
        </is>
      </c>
      <c r="B5" s="5" t="inlineStr">
        <is>
          <t>ChatGPT 消費訂閱數（Plus＋Pro）</t>
        </is>
      </c>
      <c r="C5" s="5" t="inlineStr">
        <is>
          <t>15.5</t>
        </is>
      </c>
      <c r="D5" s="5" t="inlineStr">
        <is>
          <t>百萬</t>
        </is>
      </c>
      <c r="E5" s="5" t="inlineStr">
        <is>
          <t>2025-01</t>
        </is>
      </c>
      <c r="F5" s="5" t="inlineStr">
        <is>
          <t>The Information，經 AIN.UA 轉述 https://en.ain.ua/2025/04/02/chatgpt-revenue-grew-30-percent</t>
        </is>
      </c>
      <c r="G5" s="5" t="inlineStr">
        <is>
          <t>2025-04-02</t>
        </is>
      </c>
      <c r="H5" s="5" t="inlineStr">
        <is>
          <t>Interested-party</t>
        </is>
      </c>
      <c r="I5" s="5" t="inlineStr">
        <is>
          <t>OpenAI 內部數字經媒體；呈現成長的誘因</t>
        </is>
      </c>
      <c r="J5" s="5" t="inlineStr">
        <is>
          <t>與 U02 同一則報導</t>
        </is>
      </c>
    </row>
    <row r="6">
      <c r="A6" s="5" t="inlineStr">
        <is>
          <t>U02</t>
        </is>
      </c>
      <c r="B6" s="5" t="inlineStr">
        <is>
          <t>ChatGPT 消費訂閱數</t>
        </is>
      </c>
      <c r="C6" s="5" t="inlineStr">
        <is>
          <t>&gt;20</t>
        </is>
      </c>
      <c r="D6" s="5" t="inlineStr">
        <is>
          <t>百萬</t>
        </is>
      </c>
      <c r="E6" s="5" t="inlineStr">
        <is>
          <t>2025-03／04</t>
        </is>
      </c>
      <c r="F6" s="5" t="inlineStr">
        <is>
          <t>同 U01（The Information「ChatGPT revenue surges 30% in just three months」）</t>
        </is>
      </c>
      <c r="G6" s="5" t="inlineStr">
        <is>
          <t>2025-04-02</t>
        </is>
      </c>
      <c r="H6" s="5" t="inlineStr">
        <is>
          <t>Interested-party</t>
        </is>
      </c>
      <c r="I6" s="5" t="inlineStr">
        <is>
          <t>同上</t>
        </is>
      </c>
      <c r="J6" s="5" t="inlineStr">
        <is>
          <t>同一底層來源</t>
        </is>
      </c>
    </row>
    <row r="7">
      <c r="A7" s="5" t="inlineStr">
        <is>
          <t>U03</t>
        </is>
      </c>
      <c r="B7" s="5" t="inlineStr">
        <is>
          <t>ChatGPT 消費訂閱數（Plus 或 Pro）</t>
        </is>
      </c>
      <c r="C7" s="5" t="inlineStr">
        <is>
          <t>35</t>
        </is>
      </c>
      <c r="D7" s="5" t="inlineStr">
        <is>
          <t>百萬</t>
        </is>
      </c>
      <c r="E7" s="5" t="inlineStr">
        <is>
          <t>2025-07</t>
        </is>
      </c>
      <c r="F7" s="5" t="inlineStr">
        <is>
          <t>Reuters 轉述 The Information https://tech.yahoo.com/ai/chatgpt/articles/openai-projected-least-220-million-012027742.html</t>
        </is>
      </c>
      <c r="G7" s="5" t="inlineStr">
        <is>
          <t>2025-11-26</t>
        </is>
      </c>
      <c r="H7" s="5" t="inlineStr">
        <is>
          <t>Interested-party</t>
        </is>
      </c>
      <c r="I7" s="5" t="inlineStr">
        <is>
          <t>OpenAI 投資人資料；呈現成長的誘因</t>
        </is>
      </c>
      <c r="J7" s="5" t="inlineStr">
        <is>
          <t>獨立於 U01 的另一則報導（同媒體）</t>
        </is>
      </c>
    </row>
    <row r="8">
      <c r="A8" s="5" t="inlineStr">
        <is>
          <t>U04</t>
        </is>
      </c>
      <c r="B8" s="5" t="inlineStr">
        <is>
          <t>ChatGPT Plus 訂閱數（2025）</t>
        </is>
      </c>
      <c r="C8" s="5" t="inlineStr">
        <is>
          <t>44</t>
        </is>
      </c>
      <c r="D8" s="5" t="inlineStr">
        <is>
          <t>百萬</t>
        </is>
      </c>
      <c r="E8" s="5" t="inlineStr">
        <is>
          <t>2025（時點未明，可能為年底）</t>
        </is>
      </c>
      <c r="F8" s="5" t="inlineStr">
        <is>
          <t>The Information，經 Xataka 轉述 https://www.xataka.com/empresas-y-economia/openai-preve-caida-80-sus-ingresos-estrella-chatgpt-go-coste-su-huida-adelante</t>
        </is>
      </c>
      <c r="G8" s="5" t="inlineStr">
        <is>
          <t>2026-04-29</t>
        </is>
      </c>
      <c r="H8" s="5" t="inlineStr">
        <is>
          <t>Interested-party</t>
        </is>
      </c>
      <c r="I8" s="5" t="inlineStr">
        <is>
          <t>同上</t>
        </is>
      </c>
      <c r="J8" s="5" t="inlineStr">
        <is>
          <t>二手轉述；與 U05「超過 5,000 萬」口徑相容（Plus 44＋Go／Pro）</t>
        </is>
      </c>
    </row>
    <row r="9">
      <c r="A9" s="5" t="inlineStr">
        <is>
          <t>U05</t>
        </is>
      </c>
      <c r="B9" s="5" t="inlineStr">
        <is>
          <t>ChatGPT 消費訂閱數</t>
        </is>
      </c>
      <c r="C9" s="5" t="inlineStr">
        <is>
          <t>&gt;50</t>
        </is>
      </c>
      <c r="D9" s="5" t="inlineStr">
        <is>
          <t>百萬</t>
        </is>
      </c>
      <c r="E9" s="5" t="inlineStr">
        <is>
          <t>2026-02-27</t>
        </is>
      </c>
      <c r="F9" s="5" t="inlineStr">
        <is>
          <t>OpenAI「Scaling AI for everyone」https://openai.com/index/scaling-ai-for-everyone/</t>
        </is>
      </c>
      <c r="G9" s="5" t="inlineStr">
        <is>
          <t>2026-02-27</t>
        </is>
      </c>
      <c r="H9" s="5" t="inlineStr">
        <is>
          <t>Verified（公司一手）</t>
        </is>
      </c>
      <c r="I9" s="5" t="inlineStr">
        <is>
          <t>OpenAI；融資期間有呈現成長的誘因</t>
        </is>
      </c>
      <c r="J9" s="5" t="inlineStr">
        <is>
          <t>一手已讀</t>
        </is>
      </c>
    </row>
    <row r="10">
      <c r="A10" s="5" t="inlineStr">
        <is>
          <t>U06</t>
        </is>
      </c>
      <c r="B10" s="5" t="inlineStr">
        <is>
          <t>ChatGPT 訂閱數（未分消費／商用）</t>
        </is>
      </c>
      <c r="C10" s="5" t="inlineStr">
        <is>
          <t>&gt;50</t>
        </is>
      </c>
      <c r="D10" s="5" t="inlineStr">
        <is>
          <t>百萬</t>
        </is>
      </c>
      <c r="E10" s="5" t="inlineStr">
        <is>
          <t>2026-03-31</t>
        </is>
      </c>
      <c r="F10" s="5" t="inlineStr">
        <is>
          <t>OpenAI 融資公告 https://openai.com/index/accelerating-the-next-phase-ai/</t>
        </is>
      </c>
      <c r="G10" s="5" t="inlineStr">
        <is>
          <t>2026-03-31</t>
        </is>
      </c>
      <c r="H10" s="5" t="inlineStr">
        <is>
          <t>Verified（公司一手）</t>
        </is>
      </c>
      <c r="I10" s="5" t="inlineStr">
        <is>
          <t>同上</t>
        </is>
      </c>
      <c r="J10" s="5" t="inlineStr">
        <is>
          <t>一手已讀；與 U05 同值，不構成新時點</t>
        </is>
      </c>
    </row>
    <row r="11">
      <c r="A11" s="5" t="inlineStr">
        <is>
          <t>U07</t>
        </is>
      </c>
      <c r="B11" s="5" t="inlineStr">
        <is>
          <t>ChatGPT 消費訂閱 2026 年目標（Go 112M、Plus 9M、合計 122M）</t>
        </is>
      </c>
      <c r="C11" s="5" t="inlineStr">
        <is>
          <t>122</t>
        </is>
      </c>
      <c r="D11" s="5" t="inlineStr">
        <is>
          <t>百萬（預測）</t>
        </is>
      </c>
      <c r="E11" s="5" t="inlineStr">
        <is>
          <t>2026 全年預測</t>
        </is>
      </c>
      <c r="F11" s="5" t="inlineStr">
        <is>
          <t>The Information，經 Shopifreaks 轉述 https://www.shopifreaks.com/openai-forecasts-8-chatgpt-go-tier-will-drive-consumer-subscribers-to-122m-this-year-as-plus-subscribers-fall-80/</t>
        </is>
      </c>
      <c r="G11" s="5" t="inlineStr">
        <is>
          <t>2026-04-29</t>
        </is>
      </c>
      <c r="H11" s="5" t="inlineStr">
        <is>
          <t>Interested-party（預測）</t>
        </is>
      </c>
      <c r="I11" s="5" t="inlineStr">
        <is>
          <t>OpenAI 內部預測；募資用</t>
        </is>
      </c>
      <c r="J11" s="5" t="inlineStr">
        <is>
          <t>預測值，不入時間序列；顯示方案組合將由 $20 轉向 $8</t>
        </is>
      </c>
    </row>
    <row r="12">
      <c r="A12" s="5" t="inlineStr">
        <is>
          <t>U08</t>
        </is>
      </c>
      <c r="B12" s="5" t="inlineStr">
        <is>
          <t>ChatGPT 付費商用用戶</t>
        </is>
      </c>
      <c r="C12" s="5" t="inlineStr">
        <is>
          <t>2</t>
        </is>
      </c>
      <c r="D12" s="5" t="inlineStr">
        <is>
          <t>百萬</t>
        </is>
      </c>
      <c r="E12" s="5" t="inlineStr">
        <is>
          <t>2025-02</t>
        </is>
      </c>
      <c r="F12" s="5" t="inlineStr">
        <is>
          <t>CNBC，經 NBC Miami https://www.nbcmiami.com/news/business/money-report/openai-hits-10-billion-in-annual-recurring-revenue-fueled-by-chatgpt-growth/3632896/</t>
        </is>
      </c>
      <c r="G12" s="5" t="inlineStr">
        <is>
          <t>2025-06-09</t>
        </is>
      </c>
      <c r="H12" s="5" t="inlineStr">
        <is>
          <t>Interested-party</t>
        </is>
      </c>
      <c r="I12" s="5" t="inlineStr">
        <is>
          <t>OpenAI 發言人</t>
        </is>
      </c>
      <c r="J12" s="5" t="inlineStr">
        <is>
          <t>與 U09 同一則</t>
        </is>
      </c>
    </row>
    <row r="13">
      <c r="A13" s="5" t="inlineStr">
        <is>
          <t>U09</t>
        </is>
      </c>
      <c r="B13" s="5" t="inlineStr">
        <is>
          <t>ChatGPT 付費商用用戶（Business／Enterprise／Edu）</t>
        </is>
      </c>
      <c r="C13" s="5" t="inlineStr">
        <is>
          <t>3</t>
        </is>
      </c>
      <c r="D13" s="5" t="inlineStr">
        <is>
          <t>百萬</t>
        </is>
      </c>
      <c r="E13" s="5" t="inlineStr">
        <is>
          <t>2025-06</t>
        </is>
      </c>
      <c r="F13" s="5" t="inlineStr">
        <is>
          <t>同 U08；TipRanks https://www.tipranks.com/news/microsoft-backed-openai-msft-now-has-three-million-paying-business-users</t>
        </is>
      </c>
      <c r="G13" s="5" t="inlineStr">
        <is>
          <t>2025-06-04</t>
        </is>
      </c>
      <c r="H13" s="5" t="inlineStr">
        <is>
          <t>Interested-party</t>
        </is>
      </c>
      <c r="I13" s="5" t="inlineStr">
        <is>
          <t>同上</t>
        </is>
      </c>
      <c r="J13" s="5" t="inlineStr">
        <is>
          <t>多家轉述同一公司發言，不另算</t>
        </is>
      </c>
    </row>
    <row r="14">
      <c r="A14" s="5" t="inlineStr">
        <is>
          <t>U10</t>
        </is>
      </c>
      <c r="B14" s="5" t="inlineStr">
        <is>
          <t>ChatGPT 付費商用用戶</t>
        </is>
      </c>
      <c r="C14" s="5" t="inlineStr">
        <is>
          <t>5</t>
        </is>
      </c>
      <c r="D14" s="5" t="inlineStr">
        <is>
          <t>百萬</t>
        </is>
      </c>
      <c r="E14" s="5" t="inlineStr">
        <is>
          <t>2025-08</t>
        </is>
      </c>
      <c r="F14" s="5" t="inlineStr">
        <is>
          <t>The Decoder https://the-decoder.com/chatgpt-is-set-to-reach-700-million-weekly-users-this-week/</t>
        </is>
      </c>
      <c r="G14" s="5" t="inlineStr">
        <is>
          <t>2025-08</t>
        </is>
      </c>
      <c r="H14" s="5" t="inlineStr">
        <is>
          <t>Interested-party</t>
        </is>
      </c>
      <c r="I14" s="5" t="inlineStr">
        <is>
          <t>OpenAI</t>
        </is>
      </c>
      <c r="J14" s="5" t="inlineStr">
        <is>
          <t>二手</t>
        </is>
      </c>
    </row>
    <row r="15">
      <c r="A15" s="5" t="inlineStr">
        <is>
          <t>U11</t>
        </is>
      </c>
      <c r="B15" s="5" t="inlineStr">
        <is>
          <t>ChatGPT for Work 席次</t>
        </is>
      </c>
      <c r="C15" s="5" t="inlineStr">
        <is>
          <t>&gt;7</t>
        </is>
      </c>
      <c r="D15" s="5" t="inlineStr">
        <is>
          <t>百萬</t>
        </is>
      </c>
      <c r="E15" s="5" t="inlineStr">
        <is>
          <t>2025-11-05</t>
        </is>
      </c>
      <c r="F15" s="5" t="inlineStr">
        <is>
          <t>OpenAI「1 million businesses」https://openai.com/index/1-million-businesses-putting-ai-to-work/</t>
        </is>
      </c>
      <c r="G15" s="5" t="inlineStr">
        <is>
          <t>2025-11-05</t>
        </is>
      </c>
      <c r="H15" s="5" t="inlineStr">
        <is>
          <t>Verified（公司一手）</t>
        </is>
      </c>
      <c r="I15" s="5" t="inlineStr">
        <is>
          <t>OpenAI</t>
        </is>
      </c>
      <c r="J15" s="5" t="inlineStr">
        <is>
          <t>一手已讀；另：商用客戶 &gt;100 萬家</t>
        </is>
      </c>
    </row>
    <row r="16">
      <c r="A16" s="5" t="inlineStr">
        <is>
          <t>U12</t>
        </is>
      </c>
      <c r="B16" s="5" t="inlineStr">
        <is>
          <t>ChatGPT 付費商用用戶</t>
        </is>
      </c>
      <c r="C16" s="5" t="inlineStr">
        <is>
          <t>&gt;9</t>
        </is>
      </c>
      <c r="D16" s="5" t="inlineStr">
        <is>
          <t>百萬</t>
        </is>
      </c>
      <c r="E16" s="5" t="inlineStr">
        <is>
          <t>2026-02-27</t>
        </is>
      </c>
      <c r="F16" s="5" t="inlineStr">
        <is>
          <t>同 U05</t>
        </is>
      </c>
      <c r="G16" s="5" t="inlineStr">
        <is>
          <t>2026-02-27</t>
        </is>
      </c>
      <c r="H16" s="5" t="inlineStr">
        <is>
          <t>Verified（公司一手）</t>
        </is>
      </c>
      <c r="I16" s="5" t="inlineStr">
        <is>
          <t>OpenAI</t>
        </is>
      </c>
      <c r="J16" s="5" t="inlineStr">
        <is>
          <t>一手已讀</t>
        </is>
      </c>
    </row>
    <row r="17">
      <c r="A17" s="5" t="inlineStr">
        <is>
          <t>U13</t>
        </is>
      </c>
      <c r="B17" s="5" t="inlineStr">
        <is>
          <t>OpenAI 商用客戶（家）</t>
        </is>
      </c>
      <c r="C17" s="5" t="inlineStr">
        <is>
          <t>&gt;2</t>
        </is>
      </c>
      <c r="D17" s="5" t="inlineStr">
        <is>
          <t>百萬家</t>
        </is>
      </c>
      <c r="E17" s="5" t="inlineStr">
        <is>
          <t>2026-07-31</t>
        </is>
      </c>
      <c r="F17" s="5" t="inlineStr">
        <is>
          <t>Bloomberg https://news.bloomberglaw.com/artificial-intelligence/openai-has-more-than-1-billion-users-2-million-businesses</t>
        </is>
      </c>
      <c r="G17" s="5" t="inlineStr">
        <is>
          <t>2026-07-31</t>
        </is>
      </c>
      <c r="H17" s="5" t="inlineStr">
        <is>
          <t>Interested-party</t>
        </is>
      </c>
      <c r="I17" s="5" t="inlineStr">
        <is>
          <t>OpenAI</t>
        </is>
      </c>
      <c r="J17" s="5" t="inlineStr">
        <is>
          <t>二手；「家」不是席次</t>
        </is>
      </c>
    </row>
    <row r="18">
      <c r="A18" s="5" t="inlineStr">
        <is>
          <t>U14</t>
        </is>
      </c>
      <c r="B18" s="5" t="inlineStr">
        <is>
          <t>OpenAI 平台開發者</t>
        </is>
      </c>
      <c r="C18" s="5" t="inlineStr">
        <is>
          <t>4</t>
        </is>
      </c>
      <c r="D18" s="5" t="inlineStr">
        <is>
          <t>百萬</t>
        </is>
      </c>
      <c r="E18" s="5" t="inlineStr">
        <is>
          <t>2025-10-06</t>
        </is>
      </c>
      <c r="F18" s="5" t="inlineStr">
        <is>
          <t>Altman DevDay 2025，經 https://alicialyttle.com/openai-devday-2025-what-just-changed-for-builders/（TechCrunch 同日報導）</t>
        </is>
      </c>
      <c r="G18" s="5" t="inlineStr">
        <is>
          <t>2025-10-06</t>
        </is>
      </c>
      <c r="H18" s="5" t="inlineStr">
        <is>
          <t>Interested-party</t>
        </is>
      </c>
      <c r="I18" s="5" t="inlineStr">
        <is>
          <t>OpenAI 管理層</t>
        </is>
      </c>
      <c r="J18" s="5" t="inlineStr">
        <is>
          <t>「開發者」≠ 付費 API 組織；付費組織數找不到</t>
        </is>
      </c>
    </row>
    <row r="19">
      <c r="A19" s="5" t="inlineStr">
        <is>
          <t>U15</t>
        </is>
      </c>
      <c r="B19" s="5" t="inlineStr">
        <is>
          <t>Codex 每週用戶</t>
        </is>
      </c>
      <c r="C19" s="5" t="inlineStr">
        <is>
          <t>1.6</t>
        </is>
      </c>
      <c r="D19" s="5" t="inlineStr">
        <is>
          <t>百萬</t>
        </is>
      </c>
      <c r="E19" s="5" t="inlineStr">
        <is>
          <t>2026-02-27</t>
        </is>
      </c>
      <c r="F19" s="5" t="inlineStr">
        <is>
          <t>同 U05</t>
        </is>
      </c>
      <c r="G19" s="5" t="inlineStr">
        <is>
          <t>2026-02-27</t>
        </is>
      </c>
      <c r="H19" s="5" t="inlineStr">
        <is>
          <t>Verified（公司一手）</t>
        </is>
      </c>
      <c r="I19" s="5" t="inlineStr">
        <is>
          <t>OpenAI</t>
        </is>
      </c>
      <c r="J19" s="5" t="inlineStr">
        <is>
          <t>含訂閱內使用與 API</t>
        </is>
      </c>
    </row>
    <row r="20">
      <c r="A20" s="5" t="inlineStr">
        <is>
          <t>U16</t>
        </is>
      </c>
      <c r="B20" s="5" t="inlineStr">
        <is>
          <t>Codex 每週用戶</t>
        </is>
      </c>
      <c r="C20" s="5" t="inlineStr">
        <is>
          <t>&gt;2</t>
        </is>
      </c>
      <c r="D20" s="5" t="inlineStr">
        <is>
          <t>百萬</t>
        </is>
      </c>
      <c r="E20" s="5" t="inlineStr">
        <is>
          <t>2026-03-31</t>
        </is>
      </c>
      <c r="F20" s="5" t="inlineStr">
        <is>
          <t>同 U06</t>
        </is>
      </c>
      <c r="G20" s="5" t="inlineStr">
        <is>
          <t>2026-03-31</t>
        </is>
      </c>
      <c r="H20" s="5" t="inlineStr">
        <is>
          <t>Verified（公司一手）</t>
        </is>
      </c>
      <c r="I20" s="5" t="inlineStr">
        <is>
          <t>OpenAI</t>
        </is>
      </c>
      <c r="J20" s="5" t="inlineStr"/>
    </row>
    <row r="21">
      <c r="A21" s="5" t="inlineStr">
        <is>
          <t>U17</t>
        </is>
      </c>
      <c r="B21" s="5" t="inlineStr">
        <is>
          <t>Codex 每週用戶</t>
        </is>
      </c>
      <c r="C21" s="5" t="inlineStr">
        <is>
          <t>約 8</t>
        </is>
      </c>
      <c r="D21" s="5" t="inlineStr">
        <is>
          <t>百萬</t>
        </is>
      </c>
      <c r="E21" s="5" t="inlineStr">
        <is>
          <t>2026-07（約 07-20）</t>
        </is>
      </c>
      <c r="F21" s="5" t="inlineStr">
        <is>
          <t>getpanto 彙整 https://www.getpanto.ai/blog/codex-ai-statistics（未附原始出處）</t>
        </is>
      </c>
      <c r="G21" s="5" t="inlineStr">
        <is>
          <t>2026</t>
        </is>
      </c>
      <c r="H21" s="5" t="inlineStr">
        <is>
          <t>Interested-party（彙整站）</t>
        </is>
      </c>
      <c r="I21" s="5" t="inlineStr">
        <is>
          <t>不明</t>
        </is>
      </c>
      <c r="J21" s="5" t="inlineStr">
        <is>
          <t>等級 3；待查原文</t>
        </is>
      </c>
    </row>
    <row r="22">
      <c r="A22" s="5" t="inlineStr">
        <is>
          <t>U18</t>
        </is>
      </c>
      <c r="B22" s="5" t="inlineStr">
        <is>
          <t>ChatGPT 每週活躍用戶（分母參考，非付費）</t>
        </is>
      </c>
      <c r="C22" s="5" t="inlineStr">
        <is>
          <t>700／800／900／1,200</t>
        </is>
      </c>
      <c r="D22" s="5" t="inlineStr">
        <is>
          <t>百萬</t>
        </is>
      </c>
      <c r="E22" s="5" t="inlineStr">
        <is>
          <t>2025-07／2025-10／2026-02／2026-09</t>
        </is>
      </c>
      <c r="F22" s="5" t="inlineStr">
        <is>
          <t>OpenAI（DevDay 2025、U05、DevDay 2026 https://openai.com/index/devday-2026-recap/）</t>
        </is>
      </c>
      <c r="G22" s="5" t="inlineStr">
        <is>
          <t>各該日</t>
        </is>
      </c>
      <c r="H22" s="5" t="inlineStr">
        <is>
          <t>Verified</t>
        </is>
      </c>
      <c r="I22" s="5" t="inlineStr">
        <is>
          <t>OpenAI</t>
        </is>
      </c>
      <c r="J22" s="5" t="inlineStr">
        <is>
          <t>付費轉換率約 5–6%（U05 ÷ 900M＝5.6%）</t>
        </is>
      </c>
    </row>
    <row r="23">
      <c r="A23" s="5" t="inlineStr">
        <is>
          <t>U19</t>
        </is>
      </c>
      <c r="B23" s="5" t="inlineStr">
        <is>
          <t>Anthropic 商用客戶</t>
        </is>
      </c>
      <c r="C23" s="5" t="inlineStr">
        <is>
          <t>&gt;300,000</t>
        </is>
      </c>
      <c r="D23" s="5" t="inlineStr">
        <is>
          <t>家</t>
        </is>
      </c>
      <c r="E23" s="5" t="inlineStr">
        <is>
          <t>2025-08／09</t>
        </is>
      </c>
      <c r="F23" s="5" t="inlineStr">
        <is>
          <t>Anthropic Series F 公告（GIC 存檔）https://www.gic.com.sg/uploads/2025/09/Anthropic-raises-13B-Series-F-at-183B-post-money-valuation.pdf</t>
        </is>
      </c>
      <c r="G23" s="5" t="inlineStr">
        <is>
          <t>2025-09-02</t>
        </is>
      </c>
      <c r="H23" s="5" t="inlineStr">
        <is>
          <t>Verified（公司一手）</t>
        </is>
      </c>
      <c r="I23" s="5" t="inlineStr">
        <is>
          <t>Anthropic；融資期間</t>
        </is>
      </c>
      <c r="J23" s="5" t="inlineStr">
        <is>
          <t>一手已讀</t>
        </is>
      </c>
    </row>
    <row r="24">
      <c r="A24" s="5" t="inlineStr">
        <is>
          <t>U20</t>
        </is>
      </c>
      <c r="B24" s="5" t="inlineStr">
        <is>
          <t>Anthropic 年付 &gt;$1M 客戶</t>
        </is>
      </c>
      <c r="C24" s="5" t="inlineStr">
        <is>
          <t>&gt;500</t>
        </is>
      </c>
      <c r="D24" s="5" t="inlineStr">
        <is>
          <t>家</t>
        </is>
      </c>
      <c r="E24" s="5" t="inlineStr">
        <is>
          <t>2026-02-12</t>
        </is>
      </c>
      <c r="F24" s="5" t="inlineStr">
        <is>
          <t>Anthropic Series G https://www.anthropic.com/news/anthropic-raises-30-billion-series-g-funding-380-billion-post-money-valuation</t>
        </is>
      </c>
      <c r="G24" s="5" t="inlineStr">
        <is>
          <t>2026-02-12</t>
        </is>
      </c>
      <c r="H24" s="5" t="inlineStr">
        <is>
          <t>Verified（公司一手）</t>
        </is>
      </c>
      <c r="I24" s="5" t="inlineStr">
        <is>
          <t>Anthropic</t>
        </is>
      </c>
      <c r="J24" s="5" t="inlineStr">
        <is>
          <t>一手已讀；同文：Claude Code 商用訂閱自年初 4 倍</t>
        </is>
      </c>
    </row>
    <row r="25">
      <c r="A25" s="5" t="inlineStr">
        <is>
          <t>U21</t>
        </is>
      </c>
      <c r="B25" s="5" t="inlineStr">
        <is>
          <t>Anthropic 年付 &gt;$1M 客戶</t>
        </is>
      </c>
      <c r="C25" s="5" t="inlineStr">
        <is>
          <t>&gt;1,000</t>
        </is>
      </c>
      <c r="D25" s="5" t="inlineStr">
        <is>
          <t>家</t>
        </is>
      </c>
      <c r="E25" s="5" t="inlineStr">
        <is>
          <t>2026 年中</t>
        </is>
      </c>
      <c r="F25" s="5" t="inlineStr">
        <is>
          <t>inter.capital 轉述 https://inter.capital/meet-the-father-of-claude-anthropic-files-for-an-ipo-at-usd-965-billion/</t>
        </is>
      </c>
      <c r="G25" s="5" t="inlineStr">
        <is>
          <t>2026-06-08</t>
        </is>
      </c>
      <c r="H25" s="5" t="inlineStr">
        <is>
          <t>Interested-party</t>
        </is>
      </c>
      <c r="I25" s="5" t="inlineStr">
        <is>
          <t>不明出處</t>
        </is>
      </c>
      <c r="J25" s="5" t="inlineStr">
        <is>
          <t>二手</t>
        </is>
      </c>
    </row>
    <row r="26">
      <c r="A26" s="5" t="inlineStr">
        <is>
          <t>U22</t>
        </is>
      </c>
      <c r="B26" s="5" t="inlineStr">
        <is>
          <t>Claude 消費訂閱數</t>
        </is>
      </c>
      <c r="C26" s="5" t="inlineStr">
        <is>
          <t>未揭露</t>
        </is>
      </c>
      <c r="D26" s="5" t="inlineStr">
        <is>
          <t>—</t>
        </is>
      </c>
      <c r="E26" s="5" t="inlineStr">
        <is>
          <t>—</t>
        </is>
      </c>
      <c r="F26" s="5" t="inlineStr">
        <is>
          <t>Anthropic 只說「2026 年付費訂閱超過倍增」（TechCrunch 2026-03-28，經 https://www.unite.ai/claude-paid-subscriptions-more-than-double-as-consumer-momentum-builds/）；Indagari 卡片資料：年初至 5 月中 +75% https://thenextweb.com/news/anthropic-claude-paying-consumers-growth-chatgpt-indagari</t>
        </is>
      </c>
      <c r="G26" s="5" t="inlineStr">
        <is>
          <t>2026-03-28／06-25</t>
        </is>
      </c>
      <c r="H26" s="5" t="inlineStr">
        <is>
          <t>Interested-party</t>
        </is>
      </c>
      <c r="I26" s="5" t="inlineStr">
        <is>
          <t>Anthropic；Indagari 只給方向</t>
        </is>
      </c>
      <c r="J26" s="5" t="inlineStr">
        <is>
          <t>不是「找不到」，是「未揭露」</t>
        </is>
      </c>
    </row>
    <row r="27">
      <c r="A27" s="5" t="inlineStr">
        <is>
          <t>U23</t>
        </is>
      </c>
      <c r="B27" s="5" t="inlineStr">
        <is>
          <t>MiniMax：Talkie 付費用戶／海螺 AI 訂閱</t>
        </is>
      </c>
      <c r="C27" s="5" t="inlineStr">
        <is>
          <t>1.39／0.31</t>
        </is>
      </c>
      <c r="D27" s="5" t="inlineStr">
        <is>
          <t>百萬</t>
        </is>
      </c>
      <c r="E27" s="5" t="inlineStr">
        <is>
          <t>2025-09-30</t>
        </is>
      </c>
      <c r="F27" s="5" t="inlineStr">
        <is>
          <t>MiniMax 招股書（PHIP 2025-12-21），經 Deep News https://www.itiger.com/news/1162773889；原檔 https://www1.hkexnews.hk/app/sehk/2025/107986/a128499/sehk25122100325.pdf（本輪未讀）</t>
        </is>
      </c>
      <c r="G27" s="5" t="inlineStr">
        <is>
          <t>2025-12-23</t>
        </is>
      </c>
      <c r="H27" s="5" t="inlineStr">
        <is>
          <t>Verified（招股書，經二手）</t>
        </is>
      </c>
      <c r="I27" s="5" t="inlineStr">
        <is>
          <t>MiniMax</t>
        </is>
      </c>
      <c r="J27" s="5" t="inlineStr">
        <is>
          <t>另：企業客戶 13 萬家；可用於 MiniMax 模型</t>
        </is>
      </c>
    </row>
    <row r="28">
      <c r="A28" s="5" t="inlineStr">
        <is>
          <t>U24</t>
        </is>
      </c>
      <c r="B28" s="5" t="inlineStr">
        <is>
          <t>Google 付費訂閱（全部 Google 服務，非僅 AI）</t>
        </is>
      </c>
      <c r="C28" s="5" t="inlineStr">
        <is>
          <t>350</t>
        </is>
      </c>
      <c r="D28" s="5" t="inlineStr">
        <is>
          <t>百萬</t>
        </is>
      </c>
      <c r="E28" s="5" t="inlineStr">
        <is>
          <t>2026 Q1</t>
        </is>
      </c>
      <c r="F28" s="5" t="inlineStr">
        <is>
          <t>Alphabet Q1 2026 法說，經 9to5Google https://9to5google.com/2026/04/29/alphabet-q1-2026-earnings/</t>
        </is>
      </c>
      <c r="G28" s="5" t="inlineStr">
        <is>
          <t>2026-04-29</t>
        </is>
      </c>
      <c r="H28" s="5" t="inlineStr">
        <is>
          <t>Interested-party</t>
        </is>
      </c>
      <c r="I28" s="5" t="inlineStr">
        <is>
          <t>Alphabet</t>
        </is>
      </c>
      <c r="J28" s="5" t="inlineStr">
        <is>
          <t>口徑含 YouTube、Google One；AI 方案未拆分 → 不可用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2" customWidth="1" min="4" max="4"/>
    <col width="16" customWidth="1" min="5" max="5"/>
    <col width="50" customWidth="1" min="6" max="6"/>
    <col width="12" customWidth="1" min="7" max="7"/>
    <col width="18" customWidth="1" min="8" max="8"/>
    <col width="24" customWidth="1" min="9" max="9"/>
    <col width="34" customWidth="1" min="10" max="10"/>
  </cols>
  <sheetData>
    <row r="1">
      <c r="A1" s="1" t="inlineStr">
        <is>
          <t>2. 每付費用戶年 token（證據表與 SRC_DEM_010–013 換算）</t>
        </is>
      </c>
    </row>
    <row r="2">
      <c r="A2" s="3" t="inlineStr">
        <is>
          <t>缺口：公司揭露的每用戶 token 用量：找不到（OpenAI、Anthropic 皆未揭露每用戶 token；只有每日提示數、每分鐘 API token 與 Claude Code 每日花費）。；OpenRouter《State of AI》：全文讀畢，沒有每用戶或分布資料（只有每請求平均）。；Epoch：有使用頻率調查，無每用戶 token。；中位數：只有 ChatGPT Enterprise「p95 ÷ 中位數＝6」與 Claude Code「平均 $13、p90 &lt;$30」兩個分布線索。；2026 年 ChatGPT 每日提示數：找不到更新值（SRC_DEM_012 仍是 2025-07 的 25 億）。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t="inlineStr">
        <is>
          <t>ID</t>
        </is>
      </c>
      <c r="B4" t="inlineStr">
        <is>
          <t>項目</t>
        </is>
      </c>
      <c r="C4" t="inlineStr">
        <is>
          <t>數值</t>
        </is>
      </c>
      <c r="D4" t="inlineStr">
        <is>
          <t>單位</t>
        </is>
      </c>
      <c r="E4" t="inlineStr">
        <is>
          <t>期間／時點</t>
        </is>
      </c>
      <c r="F4" t="inlineStr">
        <is>
          <t>來源（名稱＋網址）</t>
        </is>
      </c>
      <c r="G4" t="inlineStr">
        <is>
          <t>文件日</t>
        </is>
      </c>
      <c r="H4" t="inlineStr">
        <is>
          <t>標記</t>
        </is>
      </c>
      <c r="I4" t="inlineStr">
        <is>
          <t>利害關係方與誘因</t>
        </is>
      </c>
      <c r="J4" t="inlineStr">
        <is>
          <t>獨立性／備註</t>
        </is>
      </c>
    </row>
    <row r="5">
      <c r="A5" s="5" t="inlineStr">
        <is>
          <t>K01</t>
        </is>
      </c>
      <c r="B5" s="5" t="inlineStr">
        <is>
          <t>ChatGPT 每付費訂閱者年 token（換算；SRC_DEM_012 × 4,000 tok × 365 × 付費占 40% ÷ 3,300 萬付費者）</t>
        </is>
      </c>
      <c r="C5" s="5" t="inlineStr">
        <is>
          <t>44（11–106）</t>
        </is>
      </c>
      <c r="D5" s="5" t="inlineStr">
        <is>
          <t>M tok／人·年</t>
        </is>
      </c>
      <c r="E5" s="5" t="inlineStr">
        <is>
          <t>2025</t>
        </is>
      </c>
      <c r="F5" s="5" t="inlineStr">
        <is>
          <t>換算自 SRC_DEM_012、Alloc_In C15／C16、U03／U05 平均</t>
        </is>
      </c>
      <c r="G5" s="5" t="inlineStr">
        <is>
          <t>2026-10-11</t>
        </is>
      </c>
      <c r="H5" s="5" t="inlineStr">
        <is>
          <t>Derived（輸入多為 Assumed）</t>
        </is>
      </c>
      <c r="I5" s="5" t="inlineStr">
        <is>
          <t>—</t>
        </is>
      </c>
      <c r="J5" s="5" t="inlineStr">
        <is>
          <t>每則提示 4,000（2,000–6,400）、付費占 0.4（0.2–0.6）皆 Assumed；付費者 3,300 萬＝2025 年 20→50M 平均</t>
        </is>
      </c>
    </row>
    <row r="6">
      <c r="A6" s="5" t="inlineStr">
        <is>
          <t>K02</t>
        </is>
      </c>
      <c r="B6" s="5" t="inlineStr">
        <is>
          <t>ChatGPT 每付費訂閱者每日提示數（同上換算）</t>
        </is>
      </c>
      <c r="C6" s="5" t="inlineStr">
        <is>
          <t>30</t>
        </is>
      </c>
      <c r="D6" s="5" t="inlineStr">
        <is>
          <t>則／人·日</t>
        </is>
      </c>
      <c r="E6" s="5" t="inlineStr">
        <is>
          <t>2025</t>
        </is>
      </c>
      <c r="F6" s="5" t="inlineStr">
        <is>
          <t>同 K01</t>
        </is>
      </c>
      <c r="G6" s="5" t="inlineStr">
        <is>
          <t>2026-10-11</t>
        </is>
      </c>
      <c r="H6" s="5" t="inlineStr">
        <is>
          <t>Derived</t>
        </is>
      </c>
      <c r="I6" s="5" t="inlineStr">
        <is>
          <t>—</t>
        </is>
      </c>
      <c r="J6" s="5" t="inlineStr">
        <is>
          <t>直覺檢查：重度個人用戶每日 30 則屬合理上緣</t>
        </is>
      </c>
    </row>
    <row r="7">
      <c r="A7" s="5" t="inlineStr">
        <is>
          <t>K03</t>
        </is>
      </c>
      <c r="B7" s="5" t="inlineStr">
        <is>
          <t>API 每「開發者」年 token（SRC_DEM_010 × 525,600 × 0.75 ÷ 400 萬開發者）</t>
        </is>
      </c>
      <c r="C7" s="5" t="inlineStr">
        <is>
          <t>591</t>
        </is>
      </c>
      <c r="D7" s="5" t="inlineStr">
        <is>
          <t>M tok／開發者·年</t>
        </is>
      </c>
      <c r="E7" s="5" t="inlineStr">
        <is>
          <t>2025</t>
        </is>
      </c>
      <c r="F7" s="5" t="inlineStr">
        <is>
          <t>SRC_DEM_010、Alloc_In C14、U14</t>
        </is>
      </c>
      <c r="G7" s="5" t="inlineStr">
        <is>
          <t>2026-10-11</t>
        </is>
      </c>
      <c r="H7" s="5" t="inlineStr">
        <is>
          <t>Derived</t>
        </is>
      </c>
      <c r="I7" s="5" t="inlineStr">
        <is>
          <t>—</t>
        </is>
      </c>
      <c r="J7" s="5" t="inlineStr">
        <is>
          <t>分母是「開發者」不是付費組織，口徑偏寬；以 100 萬商用客戶為分母則 2.4 B tok／家·年</t>
        </is>
      </c>
    </row>
    <row r="8">
      <c r="A8" s="5" t="inlineStr">
        <is>
          <t>K04</t>
        </is>
      </c>
      <c r="B8" s="5" t="inlineStr">
        <is>
          <t>API 每商用客戶年 token（2026 Q1 時點：SRC_DEM_011 15B tok/min ÷ 200 萬家）</t>
        </is>
      </c>
      <c r="C8" s="5" t="inlineStr">
        <is>
          <t>3.9</t>
        </is>
      </c>
      <c r="D8" s="5" t="inlineStr">
        <is>
          <t>B tok／家·年</t>
        </is>
      </c>
      <c r="E8" s="5" t="inlineStr">
        <is>
          <t>2026-03／07</t>
        </is>
      </c>
      <c r="F8" s="5" t="inlineStr">
        <is>
          <t>SRC_DEM_011、U13</t>
        </is>
      </c>
      <c r="G8" s="5" t="inlineStr">
        <is>
          <t>2026-10-11</t>
        </is>
      </c>
      <c r="H8" s="5" t="inlineStr">
        <is>
          <t>Derived</t>
        </is>
      </c>
      <c r="I8" s="5" t="inlineStr">
        <is>
          <t>—</t>
        </is>
      </c>
      <c r="J8" s="5" t="inlineStr">
        <is>
          <t>商用客戶含只買席次者，非全是 API 客戶</t>
        </is>
      </c>
    </row>
    <row r="9">
      <c r="A9" s="5" t="inlineStr">
        <is>
          <t>K05</t>
        </is>
      </c>
      <c r="B9" s="5" t="inlineStr">
        <is>
          <t>Epoch 每日 token（SRC_DEM_013）換成每付費帳戶</t>
        </is>
      </c>
      <c r="C9" s="5" t="inlineStr">
        <is>
          <t>70–700</t>
        </is>
      </c>
      <c r="D9" s="5" t="inlineStr">
        <is>
          <t>M tok／人·年</t>
        </is>
      </c>
      <c r="E9" s="5" t="inlineStr">
        <is>
          <t>2025</t>
        </is>
      </c>
      <c r="F9" s="5" t="inlineStr">
        <is>
          <t>SRC_DEM_013 × 365 × 付費占（Alloc 付費 D ÷ D 合計＝0.636）÷ 3,300 萬</t>
        </is>
      </c>
      <c r="G9" s="5" t="inlineStr">
        <is>
          <t>2026-10-11</t>
        </is>
      </c>
      <c r="H9" s="5" t="inlineStr">
        <is>
          <t>Derived</t>
        </is>
      </c>
      <c r="I9" s="5" t="inlineStr">
        <is>
          <t>Epoch 中立</t>
        </is>
      </c>
      <c r="J9" s="5" t="inlineStr">
        <is>
          <t>把 API 也攤到訂閱者，只作上界對照</t>
        </is>
      </c>
    </row>
    <row r="10">
      <c r="A10" s="5" t="inlineStr">
        <is>
          <t>K06</t>
        </is>
      </c>
      <c r="B10" s="5" t="inlineStr">
        <is>
          <t>Claude Code 企業部署平均花費</t>
        </is>
      </c>
      <c r="C10" s="5" t="inlineStr">
        <is>
          <t>13（p90 &lt;30）</t>
        </is>
      </c>
      <c r="D10" s="5" t="inlineStr">
        <is>
          <t>$／開發者·活躍日</t>
        </is>
      </c>
      <c r="E10" s="5" t="inlineStr">
        <is>
          <t>2026-04 起</t>
        </is>
      </c>
      <c r="F10" s="5" t="inlineStr">
        <is>
          <t>Claude Code 文件「Manage costs」https://code.claude.com/docs/en/costs（本輪讀一手）；舊值 $6／p90 $12（Shopifreaks 2026-04-29 https://www.shopifreaks.com/anthropic-more-than-doubles-its-public-estimate-of-average-daily-claude-code-spending-from-6-to-13-per-developer/）</t>
        </is>
      </c>
      <c r="G10" s="5" t="inlineStr">
        <is>
          <t>2026-10-11 讀</t>
        </is>
      </c>
      <c r="H10" s="5" t="inlineStr">
        <is>
          <t>Verified（公司一手）</t>
        </is>
      </c>
      <c r="I10" s="5" t="inlineStr">
        <is>
          <t>Anthropic；預算建議偏保守或偏高皆可能</t>
        </is>
      </c>
      <c r="J10" s="5" t="inlineStr">
        <is>
          <t>月 $150–250；以列價計；平均 vs p90 → 分布右偏</t>
        </is>
      </c>
    </row>
    <row r="11">
      <c r="A11" s="5" t="inlineStr">
        <is>
          <t>K07</t>
        </is>
      </c>
      <c r="B11" s="5" t="inlineStr">
        <is>
          <t>Claude Code 每開發者 token（換算）</t>
        </is>
      </c>
      <c r="C11" s="5" t="inlineStr">
        <is>
          <t>約 24 M／活躍日；約 6 B／年</t>
        </is>
      </c>
      <c r="D11" s="5" t="inlineStr">
        <is>
          <t>tok</t>
        </is>
      </c>
      <c r="E11" s="5" t="inlineStr">
        <is>
          <t>2026</t>
        </is>
      </c>
      <c r="F11" s="5" t="inlineStr">
        <is>
          <t>K06 ÷ 文件範例的每美元 token（$0.55＝1.2k 輸入＋5.3k 輸出＋940k 快取讀＋50k 快取寫 → 1.8 M tok／$）× 21 天 × 12 月</t>
        </is>
      </c>
      <c r="G11" s="5" t="inlineStr">
        <is>
          <t>2026-10-11</t>
        </is>
      </c>
      <c r="H11" s="5" t="inlineStr">
        <is>
          <t>Derived</t>
        </is>
      </c>
      <c r="I11" s="5" t="inlineStr">
        <is>
          <t>—</t>
        </is>
      </c>
      <c r="J11" s="5" t="inlineStr">
        <is>
          <t>範例組合 94% 為快取讀取；組合不同時換算差數倍</t>
        </is>
      </c>
    </row>
    <row r="12">
      <c r="A12" s="5" t="inlineStr">
        <is>
          <t>K08</t>
        </is>
      </c>
      <c r="B12" s="5" t="inlineStr">
        <is>
          <t>單一開發者實測（Claude Code＋Opus）</t>
        </is>
      </c>
      <c r="C12" s="5" t="inlineStr">
        <is>
          <t>548 M／日；15.3 B／28 日</t>
        </is>
      </c>
      <c r="D12" s="5" t="inlineStr">
        <is>
          <t>tok</t>
        </is>
      </c>
      <c r="E12" s="5" t="inlineStr">
        <is>
          <t>2026-05-11～06-07</t>
        </is>
      </c>
      <c r="F12" s="5" t="inlineStr">
        <is>
          <t>Peng 等（Pegatron PEGAVERSE）arXiv:2607.13080 https://arxiv.org/pdf/2607.13080</t>
        </is>
      </c>
      <c r="G12" s="5" t="inlineStr">
        <is>
          <t>2026-07-13</t>
        </is>
      </c>
      <c r="H12" s="5" t="inlineStr">
        <is>
          <t>Analogy（n＝1）</t>
        </is>
      </c>
      <c r="I12" s="5" t="inlineStr">
        <is>
          <t>作者比較雲端與自建，無銷售 token 誘因</t>
        </is>
      </c>
      <c r="J12" s="5" t="inlineStr">
        <is>
          <t>輸入 99.9%、快取讀 99.3%；每 M 實付 $0.573（無快取時 $77k）；極端重度用戶</t>
        </is>
      </c>
    </row>
    <row r="13">
      <c r="A13" s="5" t="inlineStr">
        <is>
          <t>K09</t>
        </is>
      </c>
      <c r="B13" s="5" t="inlineStr">
        <is>
          <t>ChatGPT Enterprise：p95 員工訊息數 ÷ 中位數</t>
        </is>
      </c>
      <c r="C13" s="5" t="inlineStr">
        <is>
          <t>6</t>
        </is>
      </c>
      <c r="D13" s="5" t="inlineStr">
        <is>
          <t>倍</t>
        </is>
      </c>
      <c r="E13" s="5" t="inlineStr">
        <is>
          <t>2025-12</t>
        </is>
      </c>
      <c r="F13" s="5" t="inlineStr">
        <is>
          <t>OpenAI「The state of enterprise AI 2025」https://openai.com/index/the-state-of-enterprise-ai-2025-report/</t>
        </is>
      </c>
      <c r="G13" s="5" t="inlineStr">
        <is>
          <t>2025-12-08</t>
        </is>
      </c>
      <c r="H13" s="5" t="inlineStr">
        <is>
          <t>Verified（公司一手）</t>
        </is>
      </c>
      <c r="I13" s="5" t="inlineStr">
        <is>
          <t>OpenAI</t>
        </is>
      </c>
      <c r="J13" s="5" t="inlineStr">
        <is>
          <t>若對數常態：平均 ÷ 中位數 ≈ 1.8（Derived）；另：每組織推理 token 一年 ×320</t>
        </is>
      </c>
    </row>
    <row r="14">
      <c r="A14" s="5" t="inlineStr">
        <is>
          <t>K10</t>
        </is>
      </c>
      <c r="B14" s="5" t="inlineStr">
        <is>
          <t>ChatGPT 消費版每週訊息</t>
        </is>
      </c>
      <c r="C14" s="5" t="inlineStr">
        <is>
          <t>約 180 億（7 億 WAU）</t>
        </is>
      </c>
      <c r="D14" s="5" t="inlineStr">
        <is>
          <t>則／週</t>
        </is>
      </c>
      <c r="E14" s="5" t="inlineStr">
        <is>
          <t>2025-07</t>
        </is>
      </c>
      <c r="F14" s="5" t="inlineStr">
        <is>
          <t>NBER WP 34255「How People Use ChatGPT」（摘要頁 https://www.nber.org/papers/w34255；180 億經 siliconcanals 等轉述，本輪未讀正文）</t>
        </is>
      </c>
      <c r="G14" s="5" t="inlineStr">
        <is>
          <t>2025-09-15</t>
        </is>
      </c>
      <c r="H14" s="5" t="inlineStr">
        <is>
          <t>Interested-party（OpenAI 研究者合著）</t>
        </is>
      </c>
      <c r="I14" s="5" t="inlineStr">
        <is>
          <t>OpenAI</t>
        </is>
      </c>
      <c r="J14" s="5" t="inlineStr">
        <is>
          <t>≈ 每日 25.7 億則，與 SRC_DEM_012（25 億）一致；未分付費／免費</t>
        </is>
      </c>
    </row>
    <row r="15">
      <c r="A15" s="5" t="inlineStr">
        <is>
          <t>K11</t>
        </is>
      </c>
      <c r="B15" s="5" t="inlineStr">
        <is>
          <t>OpenRouter《State of AI》每用戶 token 分布</t>
        </is>
      </c>
      <c r="C15" s="5" t="inlineStr">
        <is>
          <t>找不到</t>
        </is>
      </c>
      <c r="D15" s="5" t="inlineStr">
        <is>
          <t>—</t>
        </is>
      </c>
      <c r="E15" s="5" t="inlineStr">
        <is>
          <t>2024-11～2025-11</t>
        </is>
      </c>
      <c r="F15" s="5" t="inlineStr">
        <is>
          <t>arXiv 2601.10088（全文兩段讀畢）</t>
        </is>
      </c>
      <c r="G15" s="5" t="inlineStr">
        <is>
          <t>2026-01</t>
        </is>
      </c>
      <c r="H15" s="5" t="inlineStr">
        <is>
          <t>—</t>
        </is>
      </c>
      <c r="I15" s="5" t="inlineStr">
        <is>
          <t>—</t>
        </is>
      </c>
      <c r="J15" s="5" t="inlineStr">
        <is>
          <t>論文只有每請求平均與分類占比，無每用戶或分布</t>
        </is>
      </c>
    </row>
    <row r="16">
      <c r="A16" s="5" t="inlineStr">
        <is>
          <t>K12</t>
        </is>
      </c>
      <c r="B16" s="5" t="inlineStr">
        <is>
          <t>Epoch 每用戶用量報告</t>
        </is>
      </c>
      <c r="C16" s="5" t="inlineStr">
        <is>
          <t>找不到 token 數</t>
        </is>
      </c>
      <c r="D16" s="5" t="inlineStr">
        <is>
          <t>—</t>
        </is>
      </c>
      <c r="E16" s="5" t="inlineStr">
        <is>
          <t>—</t>
        </is>
      </c>
      <c r="F16" s="5" t="inlineStr">
        <is>
          <t>Crypto Briefing 轉述 Epoch 調查（5,660 名美國人；&lt;10% 付費）https://cryptobriefing.com/epoch-ai-chatgpt-usage-data-5000-users/</t>
        </is>
      </c>
      <c r="G16" s="5" t="inlineStr">
        <is>
          <t>2026-10-01</t>
        </is>
      </c>
      <c r="H16" s="5" t="inlineStr">
        <is>
          <t>—</t>
        </is>
      </c>
      <c r="I16" s="5" t="inlineStr">
        <is>
          <t>—</t>
        </is>
      </c>
      <c r="J16" s="5" t="inlineStr">
        <is>
          <t>有用戶數與頻率，無每用戶 token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2" customWidth="1" min="4" max="4"/>
    <col width="16" customWidth="1" min="5" max="5"/>
    <col width="50" customWidth="1" min="6" max="6"/>
    <col width="12" customWidth="1" min="7" max="7"/>
    <col width="18" customWidth="1" min="8" max="8"/>
    <col width="24" customWidth="1" min="9" max="9"/>
    <col width="34" customWidth="1" min="10" max="10"/>
  </cols>
  <sheetData>
    <row r="1">
      <c r="A1" s="1" t="inlineStr">
        <is>
          <t>3. 營收拆分</t>
        </is>
      </c>
    </row>
    <row r="2">
      <c r="A2" s="3" t="inlineStr">
        <is>
          <t>缺口：OpenAI 2025 實際營收的訂閱／API／企業拆分：只有預期值與占比（70–75%），沒有一手拆分。；API 營收：2024 年中以後沒有可靠數字（只有第三方估計 ≤15%）。；Microsoft 分潤 $38B 上限：只有二手。；Anthropic：機密 S-1 只經 Reuters 轉述；公開 S-1 尚未出現（2026-10-11 查無）。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t="inlineStr">
        <is>
          <t>ID</t>
        </is>
      </c>
      <c r="B4" t="inlineStr">
        <is>
          <t>項目</t>
        </is>
      </c>
      <c r="C4" t="inlineStr">
        <is>
          <t>數值</t>
        </is>
      </c>
      <c r="D4" t="inlineStr">
        <is>
          <t>單位</t>
        </is>
      </c>
      <c r="E4" t="inlineStr">
        <is>
          <t>期間／時點</t>
        </is>
      </c>
      <c r="F4" t="inlineStr">
        <is>
          <t>來源（名稱＋網址）</t>
        </is>
      </c>
      <c r="G4" t="inlineStr">
        <is>
          <t>文件日</t>
        </is>
      </c>
      <c r="H4" t="inlineStr">
        <is>
          <t>標記</t>
        </is>
      </c>
      <c r="I4" t="inlineStr">
        <is>
          <t>利害關係方與誘因</t>
        </is>
      </c>
      <c r="J4" t="inlineStr">
        <is>
          <t>獨立性／備註</t>
        </is>
      </c>
    </row>
    <row r="5">
      <c r="A5" s="5" t="inlineStr">
        <is>
          <t>R01</t>
        </is>
      </c>
      <c r="B5" s="5" t="inlineStr">
        <is>
          <t>OpenAI 2024：ChatGPT 營收／其他（API 等）</t>
        </is>
      </c>
      <c r="C5" s="5" t="inlineStr">
        <is>
          <t>2.7／1.0</t>
        </is>
      </c>
      <c r="D5" s="5" t="inlineStr">
        <is>
          <t>$B</t>
        </is>
      </c>
      <c r="E5" s="5" t="inlineStr">
        <is>
          <t>2024（預期）</t>
        </is>
      </c>
      <c r="F5" s="5" t="inlineStr">
        <is>
          <t>NYT（Isaac、Griffith）財務文件，經 https://www.simonwillison.net/2024/Oct/23/mike-isaac-and-erin-griffith</t>
        </is>
      </c>
      <c r="G5" s="5" t="inlineStr">
        <is>
          <t>2024-09-27</t>
        </is>
      </c>
      <c r="H5" s="5" t="inlineStr">
        <is>
          <t>Interested-party</t>
        </is>
      </c>
      <c r="I5" s="5" t="inlineStr">
        <is>
          <t>OpenAI 募資文件</t>
        </is>
      </c>
      <c r="J5" s="5" t="inlineStr">
        <is>
          <t>預期值</t>
        </is>
      </c>
    </row>
    <row r="6">
      <c r="A6" s="5" t="inlineStr">
        <is>
          <t>R02</t>
        </is>
      </c>
      <c r="B6" s="5" t="inlineStr">
        <is>
          <t>OpenAI 營收中消費訂閱占比</t>
        </is>
      </c>
      <c r="C6" s="5" t="inlineStr">
        <is>
          <t>約 75%</t>
        </is>
      </c>
      <c r="D6" s="5" t="inlineStr">
        <is>
          <t>%</t>
        </is>
      </c>
      <c r="E6" s="5" t="inlineStr">
        <is>
          <t>2024-10</t>
        </is>
      </c>
      <c r="F6" s="5" t="inlineStr">
        <is>
          <t>Friar 於 Bloomberg TV，經 CO/AI https://getcoai.com/news/openai-cfo-reveals-75-of-revenue-from-consumer-subscriptions</t>
        </is>
      </c>
      <c r="G6" s="5" t="inlineStr">
        <is>
          <t>2024-10-28</t>
        </is>
      </c>
      <c r="H6" s="5" t="inlineStr">
        <is>
          <t>Interested-party</t>
        </is>
      </c>
      <c r="I6" s="5" t="inlineStr">
        <is>
          <t>OpenAI CFO</t>
        </is>
      </c>
      <c r="J6" s="5" t="inlineStr">
        <is>
          <t>另：免費轉付費 5–6%</t>
        </is>
      </c>
    </row>
    <row r="7">
      <c r="A7" s="5" t="inlineStr">
        <is>
          <t>R03</t>
        </is>
      </c>
      <c r="B7" s="5" t="inlineStr">
        <is>
          <t>OpenAI API 占營收</t>
        </is>
      </c>
      <c r="C7" s="5" t="inlineStr">
        <is>
          <t>≤15%</t>
        </is>
      </c>
      <c r="D7" s="5" t="inlineStr">
        <is>
          <t>%</t>
        </is>
      </c>
      <c r="E7" s="5" t="inlineStr">
        <is>
          <t>2024 年中</t>
        </is>
      </c>
      <c r="F7" s="5" t="inlineStr">
        <is>
          <t>Futuresearch 估計 https://futuresearch.ai/openai-revenue-forecast/；Gradient Flow 訪談 https://gradientflow.substack.com/p/deconstructing-openais-path-to-125</t>
        </is>
      </c>
      <c r="G7" s="5" t="inlineStr">
        <is>
          <t>2025-05</t>
        </is>
      </c>
      <c r="H7" s="5" t="inlineStr">
        <is>
          <t>Analogy（第三方估計）</t>
        </is>
      </c>
      <c r="I7" s="5" t="inlineStr">
        <is>
          <t>Futuresearch：預測機構</t>
        </is>
      </c>
      <c r="J7" s="5" t="inlineStr">
        <is>
          <t>同一底層，不另算</t>
        </is>
      </c>
    </row>
    <row r="8">
      <c r="A8" s="5" t="inlineStr">
        <is>
          <t>R04</t>
        </is>
      </c>
      <c r="B8" s="5" t="inlineStr">
        <is>
          <t>OpenAI 2025 ChatGPT 營收（預期）</t>
        </is>
      </c>
      <c r="C8" s="5" t="inlineStr">
        <is>
          <t>8</t>
        </is>
      </c>
      <c r="D8" s="5" t="inlineStr">
        <is>
          <t>$B</t>
        </is>
      </c>
      <c r="E8" s="5" t="inlineStr">
        <is>
          <t>2025（預期）</t>
        </is>
      </c>
      <c r="F8" s="5" t="inlineStr">
        <is>
          <t>CTech https://www.calcalistech.com/ctechnews/article/ry8117uhmll（引 The Information）</t>
        </is>
      </c>
      <c r="G8" s="5" t="inlineStr">
        <is>
          <t>2025-06-10</t>
        </is>
      </c>
      <c r="H8" s="5" t="inlineStr">
        <is>
          <t>Interested-party</t>
        </is>
      </c>
      <c r="I8" s="5" t="inlineStr">
        <is>
          <t>OpenAI 預測</t>
        </is>
      </c>
      <c r="J8" s="5" t="inlineStr">
        <is>
          <t>約占 2025 營收 13.07 的 61%</t>
        </is>
      </c>
    </row>
    <row r="9">
      <c r="A9" s="5" t="inlineStr">
        <is>
          <t>R05</t>
        </is>
      </c>
      <c r="B9" s="5" t="inlineStr">
        <is>
          <t>OpenAI 營收中消費訂閱占比</t>
        </is>
      </c>
      <c r="C9" s="5" t="inlineStr">
        <is>
          <t>約 70%</t>
        </is>
      </c>
      <c r="D9" s="5" t="inlineStr">
        <is>
          <t>%</t>
        </is>
      </c>
      <c r="E9" s="5" t="inlineStr">
        <is>
          <t>2025（年營收約 $13B）</t>
        </is>
      </c>
      <c r="F9" s="5" t="inlineStr">
        <is>
          <t>FT，經 Global Trade Mag https://www.globaltrademag.com/openai-hits-13b-revenue-fueled-by-consumer-subscriptions/</t>
        </is>
      </c>
      <c r="G9" s="5" t="inlineStr">
        <is>
          <t>2025-10-15</t>
        </is>
      </c>
      <c r="H9" s="5" t="inlineStr">
        <is>
          <t>Interested-party</t>
        </is>
      </c>
      <c r="I9" s="5" t="inlineStr">
        <is>
          <t>OpenAI 資料經媒體</t>
        </is>
      </c>
      <c r="J9" s="5" t="inlineStr">
        <is>
          <t>與 R04 獨立（不同媒體）</t>
        </is>
      </c>
    </row>
    <row r="10">
      <c r="A10" s="5" t="inlineStr">
        <is>
          <t>R06</t>
        </is>
      </c>
      <c r="B10" s="5" t="inlineStr">
        <is>
          <t>OpenAI 2025 H1 營收</t>
        </is>
      </c>
      <c r="C10" s="5" t="inlineStr">
        <is>
          <t>4.3</t>
        </is>
      </c>
      <c r="D10" s="5" t="inlineStr">
        <is>
          <t>$B</t>
        </is>
      </c>
      <c r="E10" s="5" t="inlineStr">
        <is>
          <t>2025 H1</t>
        </is>
      </c>
      <c r="F10" s="5" t="inlineStr">
        <is>
          <t>The Information，經 Reuters（同 U03）</t>
        </is>
      </c>
      <c r="G10" s="5" t="inlineStr">
        <is>
          <t>2025-09／11</t>
        </is>
      </c>
      <c r="H10" s="5" t="inlineStr">
        <is>
          <t>Interested-party</t>
        </is>
      </c>
      <c r="I10" s="5" t="inlineStr">
        <is>
          <t>同上</t>
        </is>
      </c>
      <c r="J10" s="5" t="inlineStr">
        <is>
          <t>—</t>
        </is>
      </c>
    </row>
    <row r="11">
      <c r="A11" s="5" t="inlineStr">
        <is>
          <t>R07</t>
        </is>
      </c>
      <c r="B11" s="5" t="inlineStr">
        <is>
          <t>OpenAI 營收中「企業」占比</t>
        </is>
      </c>
      <c r="C11" s="5" t="inlineStr">
        <is>
          <t>&gt;40%</t>
        </is>
      </c>
      <c r="D11" s="5" t="inlineStr">
        <is>
          <t>%</t>
        </is>
      </c>
      <c r="E11" s="5" t="inlineStr">
        <is>
          <t>2026-03</t>
        </is>
      </c>
      <c r="F11" s="5" t="inlineStr">
        <is>
          <t>OpenAI 融資公告（同 U06）</t>
        </is>
      </c>
      <c r="G11" s="5" t="inlineStr">
        <is>
          <t>2026-03-31</t>
        </is>
      </c>
      <c r="H11" s="5" t="inlineStr">
        <is>
          <t>Verified（公司一手）</t>
        </is>
      </c>
      <c r="I11" s="5" t="inlineStr">
        <is>
          <t>OpenAI</t>
        </is>
      </c>
      <c r="J11" s="5" t="inlineStr">
        <is>
          <t>「企業」口徑未定義（可能含商用席次＋API）；同文：月營收 $2B</t>
        </is>
      </c>
    </row>
    <row r="12">
      <c r="A12" s="5" t="inlineStr">
        <is>
          <t>R08</t>
        </is>
      </c>
      <c r="B12" s="5" t="inlineStr">
        <is>
          <t>OpenAI Q2 2026 營收；消費約 70%</t>
        </is>
      </c>
      <c r="C12" s="5" t="inlineStr">
        <is>
          <t>6.7；~70%</t>
        </is>
      </c>
      <c r="D12" s="5" t="inlineStr">
        <is>
          <t>$B；%</t>
        </is>
      </c>
      <c r="E12" s="5" t="inlineStr">
        <is>
          <t>2026 Q2</t>
        </is>
      </c>
      <c r="F12" s="5" t="inlineStr">
        <is>
          <t>WSJ，經 CryptoBriefing https://cryptobriefing.com/openai-revenue-6-7-billion-q2-2026/</t>
        </is>
      </c>
      <c r="G12" s="5" t="inlineStr">
        <is>
          <t>2026-08-18</t>
        </is>
      </c>
      <c r="H12" s="5" t="inlineStr">
        <is>
          <t>Interested-party</t>
        </is>
      </c>
      <c r="I12" s="5" t="inlineStr">
        <is>
          <t>同上</t>
        </is>
      </c>
      <c r="J12" s="5" t="inlineStr">
        <is>
          <t>70% 消費＋「&gt;40% 企業」相加 &gt;100%，口徑互相重疊；只作方向</t>
        </is>
      </c>
    </row>
    <row r="13">
      <c r="A13" s="5" t="inlineStr">
        <is>
          <t>R09</t>
        </is>
      </c>
      <c r="B13" s="5" t="inlineStr">
        <is>
          <t>Microsoft 分潤：OpenAI 付 Microsoft 營收 20%（至 2030，上限 $38B）；Azure 轉售 OpenAI 模型的 20% 回付 OpenAI 已停止</t>
        </is>
      </c>
      <c r="C13" s="5" t="inlineStr">
        <is>
          <t>20%</t>
        </is>
      </c>
      <c r="D13" s="5" t="inlineStr">
        <is>
          <t>%</t>
        </is>
      </c>
      <c r="E13" s="5" t="inlineStr">
        <is>
          <t>2025-10 重組後</t>
        </is>
      </c>
      <c r="F13" s="5" t="inlineStr">
        <is>
          <t>The Decoder https://the-decoder.com/openai-and-microsoft-rewrite-their-deal-no-more-exclusivity-no-more-agi-clause/；Let's Data Science 引 CryptoBriefing https://letsdatascience.com/news/openai-renegotiates-microsoft-deal-caps-payments-at-38b-94907359</t>
        </is>
      </c>
      <c r="G13" s="5" t="inlineStr">
        <is>
          <t>2026-05-13</t>
        </is>
      </c>
      <c r="H13" s="5" t="inlineStr">
        <is>
          <t>Interested-party</t>
        </is>
      </c>
      <c r="I13" s="5" t="inlineStr">
        <is>
          <t>雙方</t>
        </is>
      </c>
      <c r="J13" s="5" t="inlineStr">
        <is>
          <t>上限 $38B 只有二手；2025 前三季分潤 $866M（SRC_DEM_018 同源文件）</t>
        </is>
      </c>
    </row>
    <row r="14">
      <c r="A14" s="5" t="inlineStr">
        <is>
          <t>R10</t>
        </is>
      </c>
      <c r="B14" s="5" t="inlineStr">
        <is>
          <t>Anthropic 2025 營收：用量計費／訂閱</t>
        </is>
      </c>
      <c r="C14" s="5" t="inlineStr">
        <is>
          <t>3.8／0.789（合計約 4.6）</t>
        </is>
      </c>
      <c r="D14" s="5" t="inlineStr">
        <is>
          <t>$B</t>
        </is>
      </c>
      <c r="E14" s="5" t="inlineStr">
        <is>
          <t>2025</t>
        </is>
      </c>
      <c r="F14" s="5" t="inlineStr">
        <is>
          <t>Reuters（Echo Wang、Krystal Hu）讀機密 S-1，經 Global Banking &amp; Finance https://www.globalbankingandfinance.com/exclusive-anthropic-ipo-prospectus-lays-bare-deep-dependence/；Khaleej Times 同文</t>
        </is>
      </c>
      <c r="G14" s="5" t="inlineStr">
        <is>
          <t>2026-09-29</t>
        </is>
      </c>
      <c r="H14" s="5" t="inlineStr">
        <is>
          <t>Interested-party（未公開 S-1 經媒體）</t>
        </is>
      </c>
      <c r="I14" s="5" t="inlineStr">
        <is>
          <t>Anthropic 上市前；Anthropic 未評論</t>
        </is>
      </c>
      <c r="J14" s="5" t="inlineStr">
        <is>
          <t>訂閱占 17%</t>
        </is>
      </c>
    </row>
    <row r="15">
      <c r="A15" s="5" t="inlineStr">
        <is>
          <t>R11</t>
        </is>
      </c>
      <c r="B15" s="5" t="inlineStr">
        <is>
          <t>Anthropic 2025 經雲端市集營收（AWS、Google）／付給平台的分潤</t>
        </is>
      </c>
      <c r="C15" s="5" t="inlineStr">
        <is>
          <t>2.16（47%）／0.351</t>
        </is>
      </c>
      <c r="D15" s="5" t="inlineStr">
        <is>
          <t>$B</t>
        </is>
      </c>
      <c r="E15" s="5" t="inlineStr">
        <is>
          <t>2025</t>
        </is>
      </c>
      <c r="F15" s="5" t="inlineStr">
        <is>
          <t>同 R10；分潤為 Reuters 自行分析</t>
        </is>
      </c>
      <c r="G15" s="5" t="inlineStr">
        <is>
          <t>2026-09-29</t>
        </is>
      </c>
      <c r="H15" s="5" t="inlineStr">
        <is>
          <t>Interested-party／Derived</t>
        </is>
      </c>
      <c r="I15" s="5" t="inlineStr">
        <is>
          <t>同上</t>
        </is>
      </c>
      <c r="J15" s="5" t="inlineStr">
        <is>
          <t>分潤 ÷ 市集營收＝16%（Derived）；分潤列為費用，營收為總額</t>
        </is>
      </c>
    </row>
    <row r="16">
      <c r="A16" s="5" t="inlineStr">
        <is>
          <t>R12</t>
        </is>
      </c>
      <c r="B16" s="5" t="inlineStr">
        <is>
          <t>Anthropic 營收：Q1／Q2 2026</t>
        </is>
      </c>
      <c r="C16" s="5" t="inlineStr">
        <is>
          <t>4.73／11.5</t>
        </is>
      </c>
      <c r="D16" s="5" t="inlineStr">
        <is>
          <t>$B</t>
        </is>
      </c>
      <c r="E16" s="5" t="inlineStr">
        <is>
          <t>2026 Q1／Q2</t>
        </is>
      </c>
      <c r="F16" s="5" t="inlineStr">
        <is>
          <t>Fortune https://fortune.com/2026/09/29/anthropic-ipo-s-1-prospectus-income-statement/</t>
        </is>
      </c>
      <c r="G16" s="5" t="inlineStr">
        <is>
          <t>2026-09-29</t>
        </is>
      </c>
      <c r="H16" s="5" t="inlineStr">
        <is>
          <t>Interested-party</t>
        </is>
      </c>
      <c r="I16" s="5" t="inlineStr">
        <is>
          <t>同上</t>
        </is>
      </c>
      <c r="J16" s="5" t="inlineStr">
        <is>
          <t>同 R10 底層</t>
        </is>
      </c>
    </row>
    <row r="17">
      <c r="A17" s="5" t="inlineStr">
        <is>
          <t>R13</t>
        </is>
      </c>
      <c r="B17" s="5" t="inlineStr">
        <is>
          <t>Anthropic run-rate：$14B／$30B+／$47B+</t>
        </is>
      </c>
      <c r="C17" s="5" t="inlineStr">
        <is>
          <t>14／30／47</t>
        </is>
      </c>
      <c r="D17" s="5" t="inlineStr">
        <is>
          <t>$B／年</t>
        </is>
      </c>
      <c r="E17" s="5" t="inlineStr">
        <is>
          <t>2026-02／04／05</t>
        </is>
      </c>
      <c r="F17" s="5" t="inlineStr">
        <is>
          <t>Anthropic 一手：Series G、Google–Broadcom 合作、Series H https://www.anthropic.com/news/series-h</t>
        </is>
      </c>
      <c r="G17" s="5" t="inlineStr">
        <is>
          <t>2026-02-12／04-06／05-28</t>
        </is>
      </c>
      <c r="H17" s="5" t="inlineStr">
        <is>
          <t>Verified（公司一手）</t>
        </is>
      </c>
      <c r="I17" s="5" t="inlineStr">
        <is>
          <t>Anthropic；融資期間</t>
        </is>
      </c>
      <c r="J17" s="5" t="inlineStr">
        <is>
          <t>未拆分</t>
        </is>
      </c>
    </row>
    <row r="18">
      <c r="A18" s="5" t="inlineStr">
        <is>
          <t>R14</t>
        </is>
      </c>
      <c r="B18" s="5" t="inlineStr">
        <is>
          <t>Claude Code run-rate</t>
        </is>
      </c>
      <c r="C18" s="5" t="inlineStr">
        <is>
          <t>0.5／2.5</t>
        </is>
      </c>
      <c r="D18" s="5" t="inlineStr">
        <is>
          <t>$B／年</t>
        </is>
      </c>
      <c r="E18" s="5" t="inlineStr">
        <is>
          <t>2025-08／2026-02</t>
        </is>
      </c>
      <c r="F18" s="5" t="inlineStr">
        <is>
          <t>U19；U20</t>
        </is>
      </c>
      <c r="G18" s="5" t="inlineStr">
        <is>
          <t>2025-09-02／2026-02-12</t>
        </is>
      </c>
      <c r="H18" s="5" t="inlineStr">
        <is>
          <t>Verified</t>
        </is>
      </c>
      <c r="I18" s="5" t="inlineStr">
        <is>
          <t>Anthropic</t>
        </is>
      </c>
      <c r="J18" s="5" t="inlineStr">
        <is>
          <t>「企業占 Claude Code 營收一半以上」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2" customWidth="1" min="4" max="4"/>
    <col width="16" customWidth="1" min="5" max="5"/>
    <col width="50" customWidth="1" min="6" max="6"/>
    <col width="12" customWidth="1" min="7" max="7"/>
    <col width="18" customWidth="1" min="8" max="8"/>
    <col width="24" customWidth="1" min="9" max="9"/>
    <col width="34" customWidth="1" min="10" max="10"/>
  </cols>
  <sheetData>
    <row r="1">
      <c r="A1" s="1" t="inlineStr">
        <is>
          <t>4. 計價結構</t>
        </is>
      </c>
    </row>
    <row r="2">
      <c r="A2" s="3" t="inlineStr">
        <is>
          <t>缺口：OpenAI 全平台實際快取命中率、輸入／輸出占比：找不到。；方案每週上限的 token 數：兩家都只公布「小時」或「倍數」，不公布 token。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t="inlineStr">
        <is>
          <t>ID</t>
        </is>
      </c>
      <c r="B4" t="inlineStr">
        <is>
          <t>項目</t>
        </is>
      </c>
      <c r="C4" t="inlineStr">
        <is>
          <t>數值</t>
        </is>
      </c>
      <c r="D4" t="inlineStr">
        <is>
          <t>單位</t>
        </is>
      </c>
      <c r="E4" t="inlineStr">
        <is>
          <t>期間／時點</t>
        </is>
      </c>
      <c r="F4" t="inlineStr">
        <is>
          <t>來源（名稱＋網址）</t>
        </is>
      </c>
      <c r="G4" t="inlineStr">
        <is>
          <t>文件日</t>
        </is>
      </c>
      <c r="H4" t="inlineStr">
        <is>
          <t>標記</t>
        </is>
      </c>
      <c r="I4" t="inlineStr">
        <is>
          <t>利害關係方與誘因</t>
        </is>
      </c>
      <c r="J4" t="inlineStr">
        <is>
          <t>獨立性／備註</t>
        </is>
      </c>
    </row>
    <row r="5">
      <c r="A5" s="5" t="inlineStr">
        <is>
          <t>S01</t>
        </is>
      </c>
      <c r="B5" s="5" t="inlineStr">
        <is>
          <t>OpenRouter 每請求平均：輸入 6,000、輸出 400（含推理）</t>
        </is>
      </c>
      <c r="C5" s="5" t="inlineStr">
        <is>
          <t>輸出占 6.25%</t>
        </is>
      </c>
      <c r="D5" s="5" t="inlineStr">
        <is>
          <t>token 比</t>
        </is>
      </c>
      <c r="E5" s="5" t="inlineStr">
        <is>
          <t>2025 年末</t>
        </is>
      </c>
      <c r="F5" s="5" t="inlineStr">
        <is>
          <t>SRC_DEM_014／015（已登錄）</t>
        </is>
      </c>
      <c r="G5" s="5" t="inlineStr">
        <is>
          <t>2026-01</t>
        </is>
      </c>
      <c r="H5" s="5" t="inlineStr">
        <is>
          <t>Interested-party</t>
        </is>
      </c>
      <c r="I5" s="5" t="inlineStr">
        <is>
          <t>OpenRouter／a16z</t>
        </is>
      </c>
      <c r="J5" s="5" t="inlineStr">
        <is>
          <t>以 χ＝0.55 計混合價為參考請求的 0.78 倍；χ＝0.3 為 0.99 倍</t>
        </is>
      </c>
    </row>
    <row r="6">
      <c r="A6" s="5" t="inlineStr">
        <is>
          <t>S02</t>
        </is>
      </c>
      <c r="B6" s="5" t="inlineStr">
        <is>
          <t>Claude Code 快取命中率（cached ÷ input）</t>
        </is>
      </c>
      <c r="C6" s="5" t="inlineStr">
        <is>
          <t>91.9%</t>
        </is>
      </c>
      <c r="D6" s="5" t="inlineStr">
        <is>
          <t>%</t>
        </is>
      </c>
      <c r="E6" s="5" t="inlineStr">
        <is>
          <t>2026-04</t>
        </is>
      </c>
      <c r="F6" s="5" t="inlineStr">
        <is>
          <t>Requesty 路由資料 https://www.requesty.ai/data/coding-agent-cache-hit-rate-apr-2026</t>
        </is>
      </c>
      <c r="G6" s="5" t="inlineStr">
        <is>
          <t>2026-05-16</t>
        </is>
      </c>
      <c r="H6" s="5" t="inlineStr">
        <is>
          <t>Interested-party（路由商）</t>
        </is>
      </c>
      <c r="I6" s="5" t="inlineStr">
        <is>
          <t>Requesty：推廣自家路由</t>
        </is>
      </c>
      <c r="J6" s="5" t="inlineStr">
        <is>
          <t>樣本數未揭露；其他代理 46–89%</t>
        </is>
      </c>
    </row>
    <row r="7">
      <c r="A7" s="5" t="inlineStr">
        <is>
          <t>S03</t>
        </is>
      </c>
      <c r="B7" s="5" t="inlineStr">
        <is>
          <t>單一開發者 Claude Code 快取讀取占輸入</t>
        </is>
      </c>
      <c r="C7" s="5" t="inlineStr">
        <is>
          <t>99.3%</t>
        </is>
      </c>
      <c r="D7" s="5" t="inlineStr">
        <is>
          <t>%</t>
        </is>
      </c>
      <c r="E7" s="5" t="inlineStr">
        <is>
          <t>2026-05～06</t>
        </is>
      </c>
      <c r="F7" s="5" t="inlineStr">
        <is>
          <t>K08</t>
        </is>
      </c>
      <c r="G7" s="5" t="inlineStr">
        <is>
          <t>2026-07-13</t>
        </is>
      </c>
      <c r="H7" s="5" t="inlineStr">
        <is>
          <t>Analogy（n＝1）</t>
        </is>
      </c>
      <c r="I7" s="5" t="inlineStr">
        <is>
          <t>—</t>
        </is>
      </c>
      <c r="J7" s="5" t="inlineStr">
        <is>
          <t>無快取時成本 8.8 倍</t>
        </is>
      </c>
    </row>
    <row r="8">
      <c r="A8" s="5" t="inlineStr">
        <is>
          <t>S04</t>
        </is>
      </c>
      <c r="B8" s="5" t="inlineStr">
        <is>
          <t>Claude Code 文件範例：快取讀占全部 token</t>
        </is>
      </c>
      <c r="C8" s="5" t="inlineStr">
        <is>
          <t>94%</t>
        </is>
      </c>
      <c r="D8" s="5" t="inlineStr">
        <is>
          <t>%</t>
        </is>
      </c>
      <c r="E8" s="5" t="inlineStr">
        <is>
          <t>2026</t>
        </is>
      </c>
      <c r="F8" s="5" t="inlineStr">
        <is>
          <t>https://code.claude.com/docs/en/costs</t>
        </is>
      </c>
      <c r="G8" s="5" t="inlineStr">
        <is>
          <t>2026-10-11 讀</t>
        </is>
      </c>
      <c r="H8" s="5" t="inlineStr">
        <is>
          <t>Verified（範例，非統計）</t>
        </is>
      </c>
      <c r="I8" s="5" t="inlineStr">
        <is>
          <t>Anthropic</t>
        </is>
      </c>
      <c r="J8" s="5" t="inlineStr">
        <is>
          <t>只作示意；同頁另有「91% of input tokens from cache」範例</t>
        </is>
      </c>
    </row>
    <row r="9">
      <c r="A9" s="5" t="inlineStr">
        <is>
          <t>S05</t>
        </is>
      </c>
      <c r="B9" s="5" t="inlineStr">
        <is>
          <t>Anthropic 每週上限：影響 &lt;5% 訂閱者；「一位用戶在 $200 方案上用掉數萬美元的模型用量」</t>
        </is>
      </c>
      <c r="C9" s="5" t="inlineStr">
        <is>
          <t>&lt;5%；數萬美元</t>
        </is>
      </c>
      <c r="D9" s="5" t="inlineStr">
        <is>
          <t>—</t>
        </is>
      </c>
      <c r="E9" s="5" t="inlineStr">
        <is>
          <t>2025-07-28</t>
        </is>
      </c>
      <c r="F9" s="5" t="inlineStr">
        <is>
          <t>Anthropic 聲明，經 Simon Willison https://simonwillison.net/2025/Jul/28/anthropic/ 與 TechCrunch https://techcrunch.com/2025/07/28/anthropic-unveils-new-rate-limits-to-curb-claude-code-power-users/</t>
        </is>
      </c>
      <c r="G9" s="5" t="inlineStr">
        <is>
          <t>2025-07-28</t>
        </is>
      </c>
      <c r="H9" s="5" t="inlineStr">
        <is>
          <t>Verified（公司聲明，經轉載）</t>
        </is>
      </c>
      <c r="I9" s="5" t="inlineStr">
        <is>
          <t>Anthropic：說明限流理由，有放大濫用的誘因</t>
        </is>
      </c>
      <c r="J9" s="5" t="inlineStr">
        <is>
          <t>每週 Sonnet：Pro 40–80 hr；Max $100 140–280 hr；Max $200 240–480 hr</t>
        </is>
      </c>
    </row>
    <row r="10">
      <c r="A10" s="5" t="inlineStr">
        <is>
          <t>S06</t>
        </is>
      </c>
      <c r="B10" s="5" t="inlineStr">
        <is>
          <t>訂閱方案以 API 列價計的 token 價值：$200 方案每月最高約 $14,000（OpenAI）／$8,000（Claude Max 20x）；$20 方案約 $700</t>
        </is>
      </c>
      <c r="C10" s="5" t="inlineStr">
        <is>
          <t>35–70 倍</t>
        </is>
      </c>
      <c r="D10" s="5" t="inlineStr">
        <is>
          <t>列價 ÷ 月費</t>
        </is>
      </c>
      <c r="E10" s="5" t="inlineStr">
        <is>
          <t>2026-06</t>
        </is>
      </c>
      <c r="F10" s="5" t="inlineStr">
        <is>
          <t>SemiAnalysis 實測（X 貼文），經 https://pasqualepillitteri.it/en/news/4793/semianalysis-token-value-claude-chatgpt-plans</t>
        </is>
      </c>
      <c r="G10" s="5" t="inlineStr">
        <is>
          <t>2026-06-10</t>
        </is>
      </c>
      <c r="H10" s="5" t="inlineStr">
        <is>
          <t>Interested-party（SemiAnalysis）</t>
        </is>
      </c>
      <c r="I10" s="5" t="inlineStr">
        <is>
          <t>SemiAnalysis：賣研究</t>
        </is>
      </c>
      <c r="J10" s="5" t="inlineStr">
        <is>
          <t>依規定不可單獨引用；方向由 S05（Anthropic 自述）佐證；這是上限用量，不是平均</t>
        </is>
      </c>
    </row>
    <row r="11">
      <c r="A11" s="5" t="inlineStr">
        <is>
          <t>S07</t>
        </is>
      </c>
      <c r="B11" s="5" t="inlineStr">
        <is>
          <t>OpenAI 恢復 Plus 5 小時上限（Codex、ChatGPT Work）；理由：分散算力負載、維持每週額度</t>
        </is>
      </c>
      <c r="C11" s="5" t="inlineStr">
        <is>
          <t>—</t>
        </is>
      </c>
      <c r="D11" s="5" t="inlineStr">
        <is>
          <t>—</t>
        </is>
      </c>
      <c r="E11" s="5" t="inlineStr">
        <is>
          <t>2026-08-25 生效</t>
        </is>
      </c>
      <c r="F11" s="5" t="inlineStr">
        <is>
          <t>Sottiaux（OpenAI）於 X，經 9to5Mac https://9to5mac.com/2026/08/24/openai-restores-5-hour-codex-and-work-limits-for-chatgpt-plus-users/</t>
        </is>
      </c>
      <c r="G11" s="5" t="inlineStr">
        <is>
          <t>2026-08-24</t>
        </is>
      </c>
      <c r="H11" s="5" t="inlineStr">
        <is>
          <t>Verified（公司主管聲明，經轉載）</t>
        </is>
      </c>
      <c r="I11" s="5" t="inlineStr">
        <is>
          <t>OpenAI</t>
        </is>
      </c>
      <c r="J11" s="5" t="inlineStr">
        <is>
          <t>Pro $100／$200 暫不設 5 小時上限</t>
        </is>
      </c>
    </row>
    <row r="12">
      <c r="A12" s="5" t="inlineStr">
        <is>
          <t>S08</t>
        </is>
      </c>
      <c r="B12" s="5" t="inlineStr">
        <is>
          <t>ChatGPT Pro 500：$500／月，額度為 Plus 的 25 倍</t>
        </is>
      </c>
      <c r="C12" s="5" t="inlineStr">
        <is>
          <t>25</t>
        </is>
      </c>
      <c r="D12" s="5" t="inlineStr">
        <is>
          <t>倍</t>
        </is>
      </c>
      <c r="E12" s="5" t="inlineStr">
        <is>
          <t>2026-09-29</t>
        </is>
      </c>
      <c r="F12" s="5" t="inlineStr">
        <is>
          <t>OpenAI DevDay 2026 https://openai.com/index/devday-2026-recap/</t>
        </is>
      </c>
      <c r="G12" s="5" t="inlineStr">
        <is>
          <t>2026-09-29</t>
        </is>
      </c>
      <c r="H12" s="5" t="inlineStr">
        <is>
          <t>Verified（公司一手）</t>
        </is>
      </c>
      <c r="I12" s="5" t="inlineStr">
        <is>
          <t>OpenAI</t>
        </is>
      </c>
      <c r="J12" s="5" t="inlineStr">
        <is>
          <t>月費 ÷ 額度：Pro 500 每單位額度價格為 Plus 的 1.0 倍（500 ÷ 25 ÷ 20）</t>
        </is>
      </c>
    </row>
    <row r="13">
      <c r="A13" s="5" t="inlineStr">
        <is>
          <t>S09</t>
        </is>
      </c>
      <c r="B13" s="5" t="inlineStr">
        <is>
          <t>Codex 占 OpenAI 全公司每週輸出 token 的 99.8%</t>
        </is>
      </c>
      <c r="C13" s="5" t="inlineStr">
        <is>
          <t>99.8%</t>
        </is>
      </c>
      <c r="D13" s="5" t="inlineStr">
        <is>
          <t>%</t>
        </is>
      </c>
      <c r="E13" s="5" t="inlineStr">
        <is>
          <t>2026-07</t>
        </is>
      </c>
      <c r="F13" s="5" t="inlineStr">
        <is>
          <t>Bloomberg（同 U13）</t>
        </is>
      </c>
      <c r="G13" s="5" t="inlineStr">
        <is>
          <t>2026-07-31</t>
        </is>
      </c>
      <c r="H13" s="5" t="inlineStr">
        <is>
          <t>Interested-party</t>
        </is>
      </c>
      <c r="I13" s="5" t="inlineStr">
        <is>
          <t>OpenAI</t>
        </is>
      </c>
      <c r="J13" s="5" t="inlineStr">
        <is>
          <t>原文語意待查（可能指某類工作）；本輪只登錄，不使用</t>
        </is>
      </c>
    </row>
    <row r="14">
      <c r="A14" s="5" t="inlineStr">
        <is>
          <t>S10</t>
        </is>
      </c>
      <c r="B14" s="5" t="inlineStr">
        <is>
          <t>Claude Code 企業團隊建議 TPM：每人 10k–300k（依團隊規模）</t>
        </is>
      </c>
      <c r="C14" s="5" t="inlineStr">
        <is>
          <t>10k–300k</t>
        </is>
      </c>
      <c r="D14" s="5" t="inlineStr">
        <is>
          <t>tok/min／人</t>
        </is>
      </c>
      <c r="E14" s="5" t="inlineStr">
        <is>
          <t>2026</t>
        </is>
      </c>
      <c r="F14" s="5" t="inlineStr">
        <is>
          <t>https://code.claude.com/docs/en/costs</t>
        </is>
      </c>
      <c r="G14" s="5" t="inlineStr">
        <is>
          <t>2026-10-11 讀</t>
        </is>
      </c>
      <c r="H14" s="5" t="inlineStr">
        <is>
          <t>Verified</t>
        </is>
      </c>
      <c r="I14" s="5" t="inlineStr">
        <is>
          <t>Anthropic</t>
        </is>
      </c>
      <c r="J14" s="5" t="inlineStr">
        <is>
          <t>規劃值，非實測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4" customWidth="1" min="2" max="2"/>
    <col width="14" customWidth="1" min="3" max="3"/>
    <col width="12" customWidth="1" min="4" max="4"/>
    <col width="16" customWidth="1" min="5" max="5"/>
    <col width="50" customWidth="1" min="6" max="6"/>
    <col width="12" customWidth="1" min="7" max="7"/>
    <col width="18" customWidth="1" min="8" max="8"/>
    <col width="24" customWidth="1" min="9" max="9"/>
    <col width="34" customWidth="1" min="10" max="10"/>
  </cols>
  <sheetData>
    <row r="1">
      <c r="A1" s="1" t="inlineStr">
        <is>
          <t>5. 付費帳戶內的免費額度</t>
        </is>
      </c>
    </row>
    <row r="2">
      <c r="A2" s="3" t="inlineStr">
        <is>
          <t>缺口：所有免費點數方案的總規模：未揭露。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t="inlineStr">
        <is>
          <t>ID</t>
        </is>
      </c>
      <c r="B4" t="inlineStr">
        <is>
          <t>項目</t>
        </is>
      </c>
      <c r="C4" t="inlineStr">
        <is>
          <t>數值</t>
        </is>
      </c>
      <c r="D4" t="inlineStr">
        <is>
          <t>單位</t>
        </is>
      </c>
      <c r="E4" t="inlineStr">
        <is>
          <t>期間／時點</t>
        </is>
      </c>
      <c r="F4" t="inlineStr">
        <is>
          <t>來源（名稱＋網址）</t>
        </is>
      </c>
      <c r="G4" t="inlineStr">
        <is>
          <t>文件日</t>
        </is>
      </c>
      <c r="H4" t="inlineStr">
        <is>
          <t>標記</t>
        </is>
      </c>
      <c r="I4" t="inlineStr">
        <is>
          <t>利害關係方與誘因</t>
        </is>
      </c>
      <c r="J4" t="inlineStr">
        <is>
          <t>獨立性／備註</t>
        </is>
      </c>
    </row>
    <row r="5">
      <c r="A5" s="5" t="inlineStr">
        <is>
          <t>C01</t>
        </is>
      </c>
      <c r="B5" s="5" t="inlineStr">
        <is>
          <t>OpenAI 資料分享換免費 token（每組織每日）：Build 等級大模型 25 萬／小模型 250 萬；Launch、Grow 等級 100 萬／1,000 萬</t>
        </is>
      </c>
      <c r="C5" s="5" t="inlineStr">
        <is>
          <t>0.25–10</t>
        </is>
      </c>
      <c r="D5" s="5" t="inlineStr">
        <is>
          <t>M tok／日·組織</t>
        </is>
      </c>
      <c r="E5" s="5" t="inlineStr">
        <is>
          <t>現行（終止前 30 日通知）</t>
        </is>
      </c>
      <c r="F5" s="5" t="inlineStr">
        <is>
          <t>OpenAI Help Center https://help.openai.com/en/articles/10306912-sharing-feedback-evaluation-and-fine-tuning-data-and-api-inputs-and-outputs-with-openai</t>
        </is>
      </c>
      <c r="G5" s="5" t="inlineStr">
        <is>
          <t>2026-10-11 讀</t>
        </is>
      </c>
      <c r="H5" s="5" t="inlineStr">
        <is>
          <t>Verified（公司一手）</t>
        </is>
      </c>
      <c r="I5" s="5" t="inlineStr">
        <is>
          <t>OpenAI：換取訓練資料</t>
        </is>
      </c>
      <c r="J5" s="5" t="inlineStr">
        <is>
          <t>參與組織數與總量未揭露</t>
        </is>
      </c>
    </row>
    <row r="6">
      <c r="A6" s="5" t="inlineStr">
        <is>
          <t>C02</t>
        </is>
      </c>
      <c r="B6" s="5" t="inlineStr">
        <is>
          <t>OpenAI 新創點數方案</t>
        </is>
      </c>
      <c r="C6" s="5" t="inlineStr">
        <is>
          <t>已停止（舊：Ramp $2,500）</t>
        </is>
      </c>
      <c r="D6" s="5" t="inlineStr">
        <is>
          <t>$</t>
        </is>
      </c>
      <c r="E6" s="5" t="inlineStr">
        <is>
          <t>2026-09</t>
        </is>
      </c>
      <c r="F6" s="5" t="inlineStr">
        <is>
          <t>guptadeepak 彙整 https://guptadeepak.com/startup-offers/programs/openai-for-startups</t>
        </is>
      </c>
      <c r="G6" s="5" t="inlineStr">
        <is>
          <t>2026-09-14</t>
        </is>
      </c>
      <c r="H6" s="5" t="inlineStr">
        <is>
          <t>Interested-party（彙整站）</t>
        </is>
      </c>
      <c r="I6" s="5" t="inlineStr">
        <is>
          <t>不明</t>
        </is>
      </c>
      <c r="J6" s="5" t="inlineStr">
        <is>
          <t>等級 3</t>
        </is>
      </c>
    </row>
    <row r="7">
      <c r="A7" s="5" t="inlineStr">
        <is>
          <t>C03</t>
        </is>
      </c>
      <c r="B7" s="5" t="inlineStr">
        <is>
          <t>Anthropic 新創點數</t>
        </is>
      </c>
      <c r="C7" s="5" t="inlineStr">
        <is>
          <t>$25,000+</t>
        </is>
      </c>
      <c r="D7" s="5" t="inlineStr">
        <is>
          <t>$／新創</t>
        </is>
      </c>
      <c r="E7" s="5" t="inlineStr">
        <is>
          <t>2026</t>
        </is>
      </c>
      <c r="F7" s="5" t="inlineStr">
        <is>
          <t>同 C02</t>
        </is>
      </c>
      <c r="G7" s="5" t="inlineStr">
        <is>
          <t>2026-09-14</t>
        </is>
      </c>
      <c r="H7" s="5" t="inlineStr">
        <is>
          <t>Interested-party（彙整站）</t>
        </is>
      </c>
      <c r="I7" s="5" t="inlineStr">
        <is>
          <t>不明</t>
        </is>
      </c>
      <c r="J7" s="5" t="inlineStr">
        <is>
          <t>等級 3；總規模未揭露</t>
        </is>
      </c>
    </row>
    <row r="8">
      <c r="A8" s="5" t="inlineStr">
        <is>
          <t>C04</t>
        </is>
      </c>
      <c r="B8" s="5" t="inlineStr">
        <is>
          <t>OpenAI 對訂閱者的免費重置／贈送額度（里程碑重置、推薦）</t>
        </is>
      </c>
      <c r="C8" s="5" t="inlineStr">
        <is>
          <t>定性</t>
        </is>
      </c>
      <c r="D8" s="5" t="inlineStr">
        <is>
          <t>—</t>
        </is>
      </c>
      <c r="E8" s="5" t="inlineStr">
        <is>
          <t>2026-07～08</t>
        </is>
      </c>
      <c r="F8" s="5" t="inlineStr">
        <is>
          <t>同 S07</t>
        </is>
      </c>
      <c r="G8" s="5" t="inlineStr">
        <is>
          <t>2026-08-24</t>
        </is>
      </c>
      <c r="H8" s="5" t="inlineStr">
        <is>
          <t>Verified（定性）</t>
        </is>
      </c>
      <c r="I8" s="5" t="inlineStr">
        <is>
          <t>OpenAI</t>
        </is>
      </c>
      <c r="J8" s="5" t="inlineStr">
        <is>
          <t>規模未揭露</t>
        </is>
      </c>
    </row>
    <row r="9">
      <c r="A9" s="5" t="inlineStr">
        <is>
          <t>C05</t>
        </is>
      </c>
      <c r="B9" s="5" t="inlineStr">
        <is>
          <t>ChatGPT for Teachers 免費至 2027-06；非營利 Business／Enterprise 最高 75% 折扣</t>
        </is>
      </c>
      <c r="C9" s="5" t="inlineStr">
        <is>
          <t>定性</t>
        </is>
      </c>
      <c r="D9" s="5" t="inlineStr">
        <is>
          <t>—</t>
        </is>
      </c>
      <c r="E9" s="5" t="inlineStr">
        <is>
          <t>2026</t>
        </is>
      </c>
      <c r="F9" s="5" t="inlineStr">
        <is>
          <t>https://chatgpt.com/pricing/</t>
        </is>
      </c>
      <c r="G9" s="5" t="inlineStr">
        <is>
          <t>2026-10-11 讀</t>
        </is>
      </c>
      <c r="H9" s="5" t="inlineStr">
        <is>
          <t>Verified</t>
        </is>
      </c>
      <c r="I9" s="5" t="inlineStr">
        <is>
          <t>OpenAI</t>
        </is>
      </c>
      <c r="J9" s="5" t="inlineStr">
        <is>
          <t>付費帳戶內的折扣，規模未揭露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80" customWidth="1" min="5" max="5"/>
  </cols>
  <sheetData>
    <row r="1">
      <c r="A1" s="1" t="inlineStr">
        <is>
          <t>6. 隱含 m 試算（試算副本；藍字可改；不連結 repo 的 Excel）</t>
        </is>
      </c>
    </row>
    <row r="2">
      <c r="A2" t="inlineStr">
        <is>
          <t>m ＝ 付費營收 ÷（付費 token × 層級組合混合有效單價）。單價取 v5.31 IF_PriceRef_*；token 以 T（10^12）計；營收以 $B 計。</t>
        </is>
      </c>
    </row>
    <row r="4">
      <c r="A4" s="6" t="inlineStr">
        <is>
          <t>輸入</t>
        </is>
      </c>
      <c r="B4" s="6" t="inlineStr">
        <is>
          <t>低</t>
        </is>
      </c>
      <c r="C4" s="6" t="inlineStr">
        <is>
          <t>基準</t>
        </is>
      </c>
      <c r="D4" s="6" t="inlineStr">
        <is>
          <t>高</t>
        </is>
      </c>
      <c r="E4" s="6" t="inlineStr">
        <is>
          <t>來源／標記</t>
        </is>
      </c>
    </row>
    <row r="5">
      <c r="A5" t="inlineStr">
        <is>
          <t>單價：混合 $/M（低 m 用高價；高 m 用低價）</t>
        </is>
      </c>
      <c r="B5" s="7" t="n">
        <v>2.434773333333332</v>
      </c>
      <c r="C5" s="7" t="n">
        <v>1.960675555555554</v>
      </c>
      <c r="D5" s="7" t="n">
        <v>1.012479999999999</v>
      </c>
      <c r="E5" t="inlineStr">
        <is>
          <t>IF_PriceRef_* × Cap_In C31 組合；高價 30/50/20、低價 60/35/5（Assumed）</t>
        </is>
      </c>
    </row>
    <row r="6">
      <c r="A6" t="inlineStr">
        <is>
          <t>訂閱營收 $B</t>
        </is>
      </c>
      <c r="B6" s="7" t="n">
        <v>8</v>
      </c>
      <c r="C6" s="7" t="n">
        <v>10</v>
      </c>
      <c r="D6" s="7" t="n">
        <v>10.7</v>
      </c>
      <c r="E6" t="inlineStr">
        <is>
          <t>13.07 × 61–82%（R04、R05；Interested-party）</t>
        </is>
      </c>
    </row>
    <row r="7">
      <c r="A7" t="inlineStr">
        <is>
          <t>API 營收 $B</t>
        </is>
      </c>
      <c r="B7" s="7" t="n">
        <v>2.4</v>
      </c>
      <c r="C7" s="7" t="n">
        <v>3</v>
      </c>
      <c r="D7" s="7" t="n">
        <v>5</v>
      </c>
      <c r="E7" t="inlineStr">
        <is>
          <t>13.07 × 18–38%（Analogy）</t>
        </is>
      </c>
    </row>
    <row r="8">
      <c r="A8" t="inlineStr">
        <is>
          <t>合併營收 $B</t>
        </is>
      </c>
      <c r="B8" s="7" t="n">
        <v>13.07</v>
      </c>
      <c r="C8" s="7" t="n">
        <v>13.07</v>
      </c>
      <c r="D8" s="7" t="n">
        <v>13.07</v>
      </c>
      <c r="E8" t="inlineStr">
        <is>
          <t>SRC_DEM_007</t>
        </is>
      </c>
    </row>
    <row r="9">
      <c r="A9" t="inlineStr">
        <is>
          <t>ChatGPT 每日提示（十億則）</t>
        </is>
      </c>
      <c r="B9" s="7" t="n">
        <v>2.5</v>
      </c>
      <c r="C9" s="7" t="n">
        <v>2.5</v>
      </c>
      <c r="D9" s="7" t="n">
        <v>2.5</v>
      </c>
      <c r="E9" t="inlineStr">
        <is>
          <t>SRC_DEM_012</t>
        </is>
      </c>
    </row>
    <row r="10">
      <c r="A10" t="inlineStr">
        <is>
          <t>每則提示 token（低 m 用高值）</t>
        </is>
      </c>
      <c r="B10" s="7" t="n">
        <v>6400</v>
      </c>
      <c r="C10" s="7" t="n">
        <v>4000</v>
      </c>
      <c r="D10" s="7" t="n">
        <v>2000</v>
      </c>
      <c r="E10" t="inlineStr">
        <is>
          <t>Alloc_In C15（Assumed）</t>
        </is>
      </c>
    </row>
    <row r="11">
      <c r="A11" t="inlineStr">
        <is>
          <t>付費占 ChatGPT token（低 m 用高值）</t>
        </is>
      </c>
      <c r="B11" s="7" t="n">
        <v>0.6</v>
      </c>
      <c r="C11" s="7" t="n">
        <v>0.4</v>
      </c>
      <c r="D11" s="7" t="n">
        <v>0.2</v>
      </c>
      <c r="E11" t="inlineStr">
        <is>
          <t>Alloc_In C16 的 1−免費占（Assumed）</t>
        </is>
      </c>
    </row>
    <row r="12">
      <c r="A12" t="inlineStr">
        <is>
          <t>API tok/min（十億）</t>
        </is>
      </c>
      <c r="B12" s="7" t="n">
        <v>6</v>
      </c>
      <c r="C12" s="7" t="n">
        <v>6</v>
      </c>
      <c r="D12" s="7" t="n">
        <v>6</v>
      </c>
      <c r="E12" t="inlineStr">
        <is>
          <t>SRC_DEM_010</t>
        </is>
      </c>
    </row>
    <row r="13">
      <c r="A13" t="inlineStr">
        <is>
          <t>API 全年平均係數（低 m 用高值）</t>
        </is>
      </c>
      <c r="B13" s="7" t="n">
        <v>0.9</v>
      </c>
      <c r="C13" s="7" t="n">
        <v>0.75</v>
      </c>
      <c r="D13" s="7" t="n">
        <v>0.6</v>
      </c>
      <c r="E13" t="inlineStr">
        <is>
          <t>Alloc_In C14（Assumed）</t>
        </is>
      </c>
    </row>
    <row r="15">
      <c r="A15" s="6" t="inlineStr">
        <is>
          <t>推算</t>
        </is>
      </c>
      <c r="B15" s="6" t="inlineStr">
        <is>
          <t>低</t>
        </is>
      </c>
      <c r="C15" s="6" t="inlineStr">
        <is>
          <t>基準</t>
        </is>
      </c>
      <c r="D15" s="6" t="inlineStr">
        <is>
          <t>高</t>
        </is>
      </c>
      <c r="E15" s="6" t="inlineStr">
        <is>
          <t>算式</t>
        </is>
      </c>
    </row>
    <row r="16">
      <c r="A16" t="inlineStr">
        <is>
          <t>ChatGPT 付費 token（T／年）</t>
        </is>
      </c>
      <c r="B16">
        <f>B9*1e9*B10*365*B11/1e12</f>
        <v/>
      </c>
      <c r="C16">
        <f>C9*1e9*C10*365*C11/1e12</f>
        <v/>
      </c>
      <c r="D16">
        <f>D9*1e9*D10*365*D11/1e12</f>
        <v/>
      </c>
      <c r="E16" t="inlineStr">
        <is>
          <t>提示 × token × 365 × 付費占</t>
        </is>
      </c>
    </row>
    <row r="17">
      <c r="A17" t="inlineStr">
        <is>
          <t>API token（T／年）</t>
        </is>
      </c>
      <c r="B17">
        <f>B12*1e9*525600*B13/1e12</f>
        <v/>
      </c>
      <c r="C17">
        <f>C12*1e9*525600*C13/1e12</f>
        <v/>
      </c>
      <c r="D17">
        <f>D12*1e9*525600*D13/1e12</f>
        <v/>
      </c>
      <c r="E17" t="inlineStr">
        <is>
          <t>tok/min × 525,600 × 係數</t>
        </is>
      </c>
    </row>
    <row r="18">
      <c r="A18" t="inlineStr">
        <is>
          <t>隱含 m — 訂閱路線</t>
        </is>
      </c>
      <c r="B18" s="8">
        <f>B6*1e9/(B16*1e6*B5)</f>
        <v/>
      </c>
      <c r="C18" s="8">
        <f>C6*1e9/(C16*1e6*C5)</f>
        <v/>
      </c>
      <c r="D18" s="8">
        <f>D6*1e9/(D16*1e6*D5)</f>
        <v/>
      </c>
      <c r="E18" t="inlineStr">
        <is>
          <t>訂閱營收 ÷（ChatGPT 付費 token × 單價）</t>
        </is>
      </c>
    </row>
    <row r="19">
      <c r="A19" t="inlineStr">
        <is>
          <t>隱含 m — API 路線</t>
        </is>
      </c>
      <c r="B19" s="8">
        <f>B7*1e9/(B17*1e6*B5)</f>
        <v/>
      </c>
      <c r="C19" s="8">
        <f>C7*1e9/(C17*1e6*C5)</f>
        <v/>
      </c>
      <c r="D19" s="8">
        <f>D7*1e9/(D17*1e6*D5)</f>
        <v/>
      </c>
      <c r="E19" t="inlineStr">
        <is>
          <t>API 營收 ÷（API token × 單價）</t>
        </is>
      </c>
    </row>
    <row r="20">
      <c r="A20" t="inlineStr">
        <is>
          <t>隱含 m — 合併</t>
        </is>
      </c>
      <c r="B20" s="8">
        <f>B8*1e9/((B16+B17)*1e6*B5)</f>
        <v/>
      </c>
      <c r="C20" s="8">
        <f>C8*1e9/((C16+C17)*1e6*C5)</f>
        <v/>
      </c>
      <c r="D20" s="8">
        <f>D8*1e9/((D16+D17)*1e6*D5)</f>
        <v/>
      </c>
      <c r="E20" t="inlineStr">
        <is>
          <t>總營收 ÷（全部付費 token × 單價）</t>
        </is>
      </c>
    </row>
    <row r="21">
      <c r="A21" t="inlineStr">
        <is>
          <t>Gov_Map 區間</t>
        </is>
      </c>
      <c r="B21" t="n">
        <v>0.3</v>
      </c>
      <c r="C21" t="n">
        <v>1</v>
      </c>
      <c r="D21" t="inlineStr"/>
      <c r="E21" t="inlineStr">
        <is>
          <t>CTL_Monetize 基準 1</t>
        </is>
      </c>
    </row>
    <row r="23">
      <c r="A23" s="6" t="inlineStr">
        <is>
          <t>對照點（數值；算式見報告第 6 節）</t>
        </is>
      </c>
      <c r="B23" s="6" t="inlineStr">
        <is>
          <t>低</t>
        </is>
      </c>
      <c r="C23" s="6" t="inlineStr">
        <is>
          <t>基準</t>
        </is>
      </c>
      <c r="D23" s="6" t="inlineStr">
        <is>
          <t>高</t>
        </is>
      </c>
      <c r="E23" s="6" t="inlineStr">
        <is>
          <t>標記／說明</t>
        </is>
      </c>
    </row>
    <row r="24">
      <c r="A24" t="inlineStr">
        <is>
          <t>對照 A：API 2026 Q1 時點</t>
        </is>
      </c>
      <c r="B24" t="n">
        <v>0.19</v>
      </c>
      <c r="C24" t="n">
        <v>0.31</v>
      </c>
      <c r="D24" t="n">
        <v>0.75</v>
      </c>
      <c r="E24" t="inlineStr">
        <is>
          <t>Derived；SRC_DEM_011 15B tok/min × 525,600＝7,884 T（時點值，不打折）</t>
        </is>
      </c>
    </row>
    <row r="25">
      <c r="A25" t="inlineStr">
        <is>
          <t>對照 B：合併，分母改用 Epoch</t>
        </is>
      </c>
      <c r="B25" t="n">
        <v>0.29</v>
      </c>
      <c r="C25" t="n">
        <v>1.74</v>
      </c>
      <c r="D25" t="n">
        <v>2.87</v>
      </c>
      <c r="E25" t="inlineStr">
        <is>
          <t>Derived；Epoch 每日 100／16.5（模型值）／10 T × 365 × 付費占 0.636</t>
        </is>
      </c>
    </row>
    <row r="26">
      <c r="A26" t="inlineStr">
        <is>
          <t>對照 C：Claude Code 訂閱（$200／月，重度）</t>
        </is>
      </c>
      <c r="B26" t="n">
        <v>0.32</v>
      </c>
      <c r="C26" t="n">
        <v>0.73</v>
      </c>
      <c r="D26" t="n">
        <v>0.92</v>
      </c>
      <c r="E26" t="inlineStr">
        <is>
          <t>Analogy；開發者每月列價用量 $630／$273（p90 $30、平均 $13 × 21 天，K06）；分母以 Anthropic 列價計（m 的定義改用 Anthropic 價，非 OpenAI 價）；低＝p90 用量、基準＝平均用量、高＝平均用量且列價扣 20% 有效折扣</t>
        </is>
      </c>
    </row>
    <row r="27">
      <c r="A27" t="inlineStr">
        <is>
          <t>對照 D：$20 方案，上限用量</t>
        </is>
      </c>
      <c r="B27" t="n">
        <v>0.03</v>
      </c>
      <c r="C27" t="n">
        <v>0.03</v>
      </c>
      <c r="D27" t="n">
        <v>0.07000000000000001</v>
      </c>
      <c r="E27" t="inlineStr">
        <is>
          <t>Analogy（僅方向）；S06：$700／月上限用量（SemiAnalysis，不可單獨引用）；高端以 K06 平均 $273 計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14" customWidth="1" min="2" max="2"/>
    <col width="14" customWidth="1" min="3" max="3"/>
    <col width="14" customWidth="1" min="4" max="4"/>
    <col width="50" customWidth="1" min="5" max="5"/>
  </cols>
  <sheetData>
    <row r="1">
      <c r="A1" s="1" t="inlineStr">
        <is>
          <t>6.1 敏感度（一次動一個輸入）</t>
        </is>
      </c>
    </row>
    <row r="2">
      <c r="A2" s="4" t="n"/>
      <c r="B2" s="4" t="n"/>
      <c r="C2" s="4" t="n"/>
      <c r="D2" s="4" t="n"/>
      <c r="E2" s="4" t="n"/>
    </row>
    <row r="3">
      <c r="A3" t="inlineStr">
        <is>
          <t>輸入（低 → 高）</t>
        </is>
      </c>
      <c r="B3" t="inlineStr">
        <is>
          <t>訂閱路線 m</t>
        </is>
      </c>
      <c r="C3" t="inlineStr">
        <is>
          <t>API 路線 m</t>
        </is>
      </c>
      <c r="D3" t="inlineStr">
        <is>
          <t>合併 m</t>
        </is>
      </c>
      <c r="E3" t="inlineStr">
        <is>
          <t>說明</t>
        </is>
      </c>
    </row>
    <row r="4">
      <c r="A4" s="5" t="inlineStr">
        <is>
          <t>ChatGPT 每則提示 token 數（2,000 → 6,400）</t>
        </is>
      </c>
      <c r="B4" s="5" t="inlineStr">
        <is>
          <t>7.0 → 2.2</t>
        </is>
      </c>
      <c r="C4" s="5" t="inlineStr">
        <is>
          <t>—</t>
        </is>
      </c>
      <c r="D4" s="5" t="inlineStr">
        <is>
          <t>2.15 → 1.42</t>
        </is>
      </c>
      <c r="E4" s="5" t="inlineStr">
        <is>
          <t>分母；Alloc_In C15 本身是 Q1 最弱輸入</t>
        </is>
      </c>
    </row>
    <row r="5">
      <c r="A5" s="5" t="inlineStr">
        <is>
          <t>ChatGPT token 中付費占比（0.2 → 0.6）</t>
        </is>
      </c>
      <c r="B5" s="5" t="inlineStr">
        <is>
          <t>7.0 → 2.3</t>
        </is>
      </c>
      <c r="C5" s="5" t="inlineStr">
        <is>
          <t>—</t>
        </is>
      </c>
      <c r="D5" s="5" t="inlineStr">
        <is>
          <t>2.15 → 1.46</t>
        </is>
      </c>
      <c r="E5" s="5" t="inlineStr">
        <is>
          <t>分母；Alloc_In C16 Assumed</t>
        </is>
      </c>
    </row>
    <row r="6">
      <c r="A6" s="5" t="inlineStr">
        <is>
          <t>付費 token 層級組合（Luna 60%／Sol 35%／Astra 5% → 30／50／20）</t>
        </is>
      </c>
      <c r="B6" s="5" t="inlineStr">
        <is>
          <t>6.8 → 2.8</t>
        </is>
      </c>
      <c r="C6" s="5" t="inlineStr">
        <is>
          <t>1.25 → 0.52</t>
        </is>
      </c>
      <c r="D6" s="5" t="inlineStr">
        <is>
          <t>3.38 → 1.40</t>
        </is>
      </c>
      <c r="E6" s="5" t="inlineStr">
        <is>
          <t>單價；Cap_In C31 Assumed；Astra 占比每 +5 點，單價 +約 0.4 $/M</t>
        </is>
      </c>
    </row>
    <row r="7">
      <c r="A7" s="5" t="inlineStr">
        <is>
          <t>API 全年平均 ÷ 10 月時點（0.6 → 0.9）</t>
        </is>
      </c>
      <c r="B7" s="5" t="inlineStr">
        <is>
          <t>—</t>
        </is>
      </c>
      <c r="C7" s="5" t="inlineStr">
        <is>
          <t>0.81 → 0.54</t>
        </is>
      </c>
      <c r="D7" s="5" t="inlineStr">
        <is>
          <t>1.99 → 1.55</t>
        </is>
      </c>
      <c r="E7" s="5" t="inlineStr">
        <is>
          <t>分母；Alloc_In C14</t>
        </is>
      </c>
    </row>
    <row r="8">
      <c r="A8" s="5" t="inlineStr">
        <is>
          <t>API 營收（2.4 → 5.0 $B）</t>
        </is>
      </c>
      <c r="B8" s="5" t="inlineStr">
        <is>
          <t>—</t>
        </is>
      </c>
      <c r="C8" s="5" t="inlineStr">
        <is>
          <t>0.52 → 1.08</t>
        </is>
      </c>
      <c r="D8" s="5" t="inlineStr">
        <is>
          <t>—</t>
        </is>
      </c>
      <c r="E8" s="5" t="inlineStr">
        <is>
          <t>營收拆分無一手資料</t>
        </is>
      </c>
    </row>
    <row r="9">
      <c r="A9" s="5" t="inlineStr">
        <is>
          <t>訂閱營收（8.0 → 10.7 $B）</t>
        </is>
      </c>
      <c r="B9" s="5" t="inlineStr">
        <is>
          <t>2.8 → 3.7</t>
        </is>
      </c>
      <c r="C9" s="5" t="inlineStr">
        <is>
          <t>—</t>
        </is>
      </c>
      <c r="D9" s="5" t="inlineStr">
        <is>
          <t>—</t>
        </is>
      </c>
      <c r="E9" s="5" t="inlineStr"/>
    </row>
    <row r="10">
      <c r="A10" s="5" t="inlineStr">
        <is>
          <t>營收扣 Microsoft 20% 分潤（毛額 → 淨額）</t>
        </is>
      </c>
      <c r="B10" s="5" t="inlineStr">
        <is>
          <t>× 0.8</t>
        </is>
      </c>
      <c r="C10" s="5" t="inlineStr">
        <is>
          <t>× 0.8</t>
        </is>
      </c>
      <c r="D10" s="5" t="inlineStr">
        <is>
          <t>1.74 → 1.39</t>
        </is>
      </c>
      <c r="E10" s="5" t="inlineStr">
        <is>
          <t>模型的有效單價對應毛額；扣分潤是「m 偏離 1 的來源 (4)」</t>
        </is>
      </c>
    </row>
    <row r="11">
      <c r="A11" s="5" t="inlineStr">
        <is>
          <t>分母改用 Epoch 區間（10 → 100 T／日）</t>
        </is>
      </c>
      <c r="B11" s="5" t="inlineStr">
        <is>
          <t>—</t>
        </is>
      </c>
      <c r="C11" s="5" t="inlineStr">
        <is>
          <t>—</t>
        </is>
      </c>
      <c r="D11" s="5" t="inlineStr">
        <is>
          <t>2.87 → 0.29</t>
        </is>
      </c>
      <c r="E11" s="5" t="inlineStr">
        <is>
          <t>分母不確定性跨一個數量級，是最大的單一因素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2" customWidth="1" min="3" max="3"/>
    <col width="14" customWidth="1" min="4" max="4"/>
    <col width="22" customWidth="1" min="5" max="5"/>
    <col width="12" customWidth="1" min="6" max="6"/>
    <col width="14" customWidth="1" min="7" max="7"/>
    <col width="24" customWidth="1" min="8" max="8"/>
    <col width="36" customWidth="1" min="9" max="9"/>
    <col width="14" customWidth="1" min="10" max="10"/>
    <col width="18" customWidth="1" min="11" max="11"/>
    <col width="6" customWidth="1" min="12" max="12"/>
    <col width="10" customWidth="1" min="13" max="13"/>
  </cols>
  <sheetData>
    <row r="1">
      <c r="A1" s="1" t="inlineStr">
        <is>
          <t>7. DB_Evidence 登錄提案（欄位依 DB_Evidence 第 4 列；日期＝2026-10-11；處理版本＝v5.32）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>
      <c r="A3" t="inlineStr">
        <is>
          <t>暫編</t>
        </is>
      </c>
      <c r="B3" t="inlineStr">
        <is>
          <t>主張（摘要）</t>
        </is>
      </c>
      <c r="C3" t="inlineStr">
        <is>
          <t>來源</t>
        </is>
      </c>
      <c r="D3" t="inlineStr">
        <is>
          <t>標記</t>
        </is>
      </c>
      <c r="E3" t="inlineStr">
        <is>
          <t>對應參數</t>
        </is>
      </c>
      <c r="F3" t="inlineStr">
        <is>
          <t>當時值</t>
        </is>
      </c>
      <c r="G3" t="inlineStr">
        <is>
          <t>新資訊值</t>
        </is>
      </c>
      <c r="H3" t="inlineStr">
        <is>
          <t>與現行 SRC 比較</t>
        </is>
      </c>
      <c r="I3" t="inlineStr">
        <is>
          <t>建議判定</t>
        </is>
      </c>
      <c r="J3" t="inlineStr">
        <is>
          <t>相關 SRC_ID</t>
        </is>
      </c>
      <c r="K3" t="inlineStr">
        <is>
          <t>受影響 IF_／L1_</t>
        </is>
      </c>
      <c r="L3" t="inlineStr">
        <is>
          <t>等級</t>
        </is>
      </c>
      <c r="M3" t="inlineStr">
        <is>
          <t>立場</t>
        </is>
      </c>
    </row>
    <row r="4">
      <c r="A4" s="5" t="inlineStr">
        <is>
          <t>N01</t>
        </is>
      </c>
      <c r="B4" s="5" t="inlineStr">
        <is>
          <t>OpenAI：消費訂閱 &gt;5,000 萬、付費商用用戶 &gt;900 萬、Codex WAU 160 萬（2026-02-27）</t>
        </is>
      </c>
      <c r="C4" s="5" t="inlineStr">
        <is>
          <t>U05／U12／U15</t>
        </is>
      </c>
      <c r="D4" s="5" t="inlineStr">
        <is>
          <t>Verified</t>
        </is>
      </c>
      <c r="E4" s="5" t="inlineStr">
        <is>
          <t>SRC_Demand 新列（m 追蹤）</t>
        </is>
      </c>
      <c r="F4" s="5" t="inlineStr">
        <is>
          <t>—</t>
        </is>
      </c>
      <c r="G4" s="5" t="inlineStr">
        <is>
          <t>50 M／9 M／1.6 M</t>
        </is>
      </c>
      <c r="H4" s="5" t="inlineStr">
        <is>
          <t>新紀錄</t>
        </is>
      </c>
      <c r="I4" s="5" t="inlineStr">
        <is>
          <t>採用（訂閱、商用時間序列的一手錨點）</t>
        </is>
      </c>
      <c r="J4" s="5" t="inlineStr">
        <is>
          <t>新 SRC_DEM</t>
        </is>
      </c>
      <c r="K4" s="5" t="inlineStr">
        <is>
          <t>L1_MImplied（B 段）</t>
        </is>
      </c>
      <c r="L4" s="5" t="inlineStr">
        <is>
          <t>1</t>
        </is>
      </c>
      <c r="M4" s="5" t="inlineStr">
        <is>
          <t>利害關係方</t>
        </is>
      </c>
    </row>
    <row r="5">
      <c r="A5" s="5" t="inlineStr">
        <is>
          <t>N02</t>
        </is>
      </c>
      <c r="B5" s="5" t="inlineStr">
        <is>
          <t>OpenAI：&gt;50M 訂閱、月營收 $2B、企業 &gt;40%、API &gt;15B tok/min（2026-03-31）</t>
        </is>
      </c>
      <c r="C5" s="5" t="inlineStr">
        <is>
          <t>U06／R07</t>
        </is>
      </c>
      <c r="D5" s="5" t="inlineStr">
        <is>
          <t>Verified</t>
        </is>
      </c>
      <c r="E5" s="5" t="inlineStr">
        <is>
          <t>SRC_Demand；SRC_DEM_011 同文</t>
        </is>
      </c>
      <c r="F5" s="5" t="inlineStr">
        <is>
          <t>—</t>
        </is>
      </c>
      <c r="G5" s="5" t="inlineStr">
        <is>
          <t>2B／月；&gt;40%</t>
        </is>
      </c>
      <c r="H5" s="5" t="inlineStr">
        <is>
          <t>SRC_DEM_011 已登錄同一公告的 token 數；營收與占比未登錄</t>
        </is>
      </c>
      <c r="I5" s="5" t="inlineStr">
        <is>
          <t>採用（營收拆分下限；「企業」口徑註明未定義）</t>
        </is>
      </c>
      <c r="J5" s="5" t="inlineStr">
        <is>
          <t>SRC_DEM_011（同源）</t>
        </is>
      </c>
      <c r="K5" s="5" t="inlineStr">
        <is>
          <t>L1_MImplied</t>
        </is>
      </c>
      <c r="L5" s="5" t="inlineStr">
        <is>
          <t>1</t>
        </is>
      </c>
      <c r="M5" s="5" t="inlineStr">
        <is>
          <t>利害關係方</t>
        </is>
      </c>
    </row>
    <row r="6">
      <c r="A6" s="5" t="inlineStr">
        <is>
          <t>N03</t>
        </is>
      </c>
      <c r="B6" s="5" t="inlineStr">
        <is>
          <t>ChatGPT 訂閱 15.5M（2025-01）、20M（2025-04）</t>
        </is>
      </c>
      <c r="C6" s="5" t="inlineStr">
        <is>
          <t>U01／U02</t>
        </is>
      </c>
      <c r="D6" s="5" t="inlineStr">
        <is>
          <t>Interested-party</t>
        </is>
      </c>
      <c r="E6" s="5" t="inlineStr">
        <is>
          <t>SRC_Demand 時間序列</t>
        </is>
      </c>
      <c r="F6" s="5" t="inlineStr">
        <is>
          <t>—</t>
        </is>
      </c>
      <c r="G6" s="5" t="inlineStr">
        <is>
          <t>15.5／20</t>
        </is>
      </c>
      <c r="H6" s="5" t="inlineStr">
        <is>
          <t>新紀錄</t>
        </is>
      </c>
      <c r="I6" s="5" t="inlineStr">
        <is>
          <t>部分採用（時間序列早段；同一則報導，算一筆）</t>
        </is>
      </c>
      <c r="J6" s="5" t="inlineStr">
        <is>
          <t>新 SRC_DEM</t>
        </is>
      </c>
      <c r="K6" s="5" t="inlineStr">
        <is>
          <t>—</t>
        </is>
      </c>
      <c r="L6" s="5" t="inlineStr">
        <is>
          <t>2</t>
        </is>
      </c>
      <c r="M6" s="5" t="inlineStr">
        <is>
          <t>利害關係方</t>
        </is>
      </c>
    </row>
    <row r="7">
      <c r="A7" s="5" t="inlineStr">
        <is>
          <t>N04</t>
        </is>
      </c>
      <c r="B7" s="5" t="inlineStr">
        <is>
          <t>ChatGPT 訂閱 35M（2025-07）</t>
        </is>
      </c>
      <c r="C7" s="5" t="inlineStr">
        <is>
          <t>U03</t>
        </is>
      </c>
      <c r="D7" s="5" t="inlineStr">
        <is>
          <t>Interested-party</t>
        </is>
      </c>
      <c r="E7" s="5" t="inlineStr">
        <is>
          <t>SRC_Demand 時間序列；m 試算分母人數</t>
        </is>
      </c>
      <c r="F7" s="5" t="inlineStr">
        <is>
          <t>—</t>
        </is>
      </c>
      <c r="G7" s="5" t="inlineStr">
        <is>
          <t>35</t>
        </is>
      </c>
      <c r="H7" s="5" t="inlineStr">
        <is>
          <t>新紀錄</t>
        </is>
      </c>
      <c r="I7" s="5" t="inlineStr">
        <is>
          <t>採用（2025 年中錨點）</t>
        </is>
      </c>
      <c r="J7" s="5" t="inlineStr">
        <is>
          <t>新 SRC_DEM</t>
        </is>
      </c>
      <c r="K7" s="5" t="inlineStr">
        <is>
          <t>L1_MImplied</t>
        </is>
      </c>
      <c r="L7" s="5" t="inlineStr">
        <is>
          <t>2</t>
        </is>
      </c>
      <c r="M7" s="5" t="inlineStr">
        <is>
          <t>利害關係方</t>
        </is>
      </c>
    </row>
    <row r="8">
      <c r="A8" s="5" t="inlineStr">
        <is>
          <t>N05</t>
        </is>
      </c>
      <c r="B8" s="5" t="inlineStr">
        <is>
          <t>ChatGPT Plus 2025 44M；2026 目標 Go 112M／Plus 9M</t>
        </is>
      </c>
      <c r="C8" s="5" t="inlineStr">
        <is>
          <t>U04／U07</t>
        </is>
      </c>
      <c r="D8" s="5" t="inlineStr">
        <is>
          <t>Interested-party</t>
        </is>
      </c>
      <c r="E8" s="5" t="inlineStr">
        <is>
          <t>—</t>
        </is>
      </c>
      <c r="F8" s="5" t="inlineStr">
        <is>
          <t>—</t>
        </is>
      </c>
      <c r="G8" s="5" t="inlineStr">
        <is>
          <t>44；122（預測）</t>
        </is>
      </c>
      <c r="H8" s="5" t="inlineStr">
        <is>
          <t>新紀錄</t>
        </is>
      </c>
      <c r="I8" s="5" t="inlineStr">
        <is>
          <t>待查（44M 時點不明、二手；預測值不入序列，只作方案組合變化的定性證據）</t>
        </is>
      </c>
      <c r="J8" s="5" t="inlineStr">
        <is>
          <t>—</t>
        </is>
      </c>
      <c r="K8" s="5" t="inlineStr">
        <is>
          <t>—</t>
        </is>
      </c>
      <c r="L8" s="5" t="inlineStr">
        <is>
          <t>2</t>
        </is>
      </c>
      <c r="M8" s="5" t="inlineStr">
        <is>
          <t>利害關係方</t>
        </is>
      </c>
    </row>
    <row r="9">
      <c r="A9" s="5" t="inlineStr">
        <is>
          <t>N06</t>
        </is>
      </c>
      <c r="B9" s="5" t="inlineStr">
        <is>
          <t>付費商用用戶 2M／3M／5M／7M 席次／9M（2025-02 至 2026-02）</t>
        </is>
      </c>
      <c r="C9" s="5" t="inlineStr">
        <is>
          <t>U08–U12</t>
        </is>
      </c>
      <c r="D9" s="5" t="inlineStr">
        <is>
          <t>Verified／Interested-party</t>
        </is>
      </c>
      <c r="E9" s="5" t="inlineStr">
        <is>
          <t>SRC_Demand 時間序列</t>
        </is>
      </c>
      <c r="F9" s="5" t="inlineStr">
        <is>
          <t>—</t>
        </is>
      </c>
      <c r="G9" s="5" t="inlineStr">
        <is>
          <t>2→9 M</t>
        </is>
      </c>
      <c r="H9" s="5" t="inlineStr">
        <is>
          <t>新紀錄</t>
        </is>
      </c>
      <c r="I9" s="5" t="inlineStr">
        <is>
          <t>採用（5 個時點，7M 為「席次」口徑另註）</t>
        </is>
      </c>
      <c r="J9" s="5" t="inlineStr">
        <is>
          <t>新 SRC_DEM（多筆）</t>
        </is>
      </c>
      <c r="K9" s="5" t="inlineStr">
        <is>
          <t>L1_MImplied</t>
        </is>
      </c>
      <c r="L9" s="5" t="inlineStr">
        <is>
          <t>1–2</t>
        </is>
      </c>
      <c r="M9" s="5" t="inlineStr">
        <is>
          <t>利害關係方</t>
        </is>
      </c>
    </row>
    <row r="10">
      <c r="A10" s="5" t="inlineStr">
        <is>
          <t>N07</t>
        </is>
      </c>
      <c r="B10" s="5" t="inlineStr">
        <is>
          <t>OpenAI 平台 400 萬開發者（DevDay 2025）</t>
        </is>
      </c>
      <c r="C10" s="5" t="inlineStr">
        <is>
          <t>U14</t>
        </is>
      </c>
      <c r="D10" s="5" t="inlineStr">
        <is>
          <t>Interested-party</t>
        </is>
      </c>
      <c r="E10" s="5" t="inlineStr">
        <is>
          <t>API 路線分母</t>
        </is>
      </c>
      <c r="F10" s="5" t="inlineStr">
        <is>
          <t>—</t>
        </is>
      </c>
      <c r="G10" s="5" t="inlineStr">
        <is>
          <t>4 M</t>
        </is>
      </c>
      <c r="H10" s="5" t="inlineStr">
        <is>
          <t>新紀錄；與 SRC_DEM_010 同一場合</t>
        </is>
      </c>
      <c r="I10" s="5" t="inlineStr">
        <is>
          <t>部分採用（只作上界分母；付費 API 組織數找不到）</t>
        </is>
      </c>
      <c r="J10" s="5" t="inlineStr">
        <is>
          <t>SRC_DEM_010（同源）</t>
        </is>
      </c>
      <c r="K10" s="5" t="inlineStr">
        <is>
          <t>—</t>
        </is>
      </c>
      <c r="L10" s="5" t="inlineStr">
        <is>
          <t>2</t>
        </is>
      </c>
      <c r="M10" s="5" t="inlineStr">
        <is>
          <t>利害關係方</t>
        </is>
      </c>
    </row>
    <row r="11">
      <c r="A11" s="5" t="inlineStr">
        <is>
          <t>N08</t>
        </is>
      </c>
      <c r="B11" s="5" t="inlineStr">
        <is>
          <t>Anthropic 商用客戶 &gt;30 萬（2025-09）；&gt;$1M 客戶 &gt;500（2026-02）</t>
        </is>
      </c>
      <c r="C11" s="5" t="inlineStr">
        <is>
          <t>U19／U20</t>
        </is>
      </c>
      <c r="D11" s="5" t="inlineStr">
        <is>
          <t>Verified</t>
        </is>
      </c>
      <c r="E11" s="5" t="inlineStr">
        <is>
          <t>SRC_Demand（Anthropic 欄，Alloc_In A8 尚未啟用）</t>
        </is>
      </c>
      <c r="F11" s="5" t="inlineStr">
        <is>
          <t>—</t>
        </is>
      </c>
      <c r="G11" s="5" t="inlineStr">
        <is>
          <t>300k；500</t>
        </is>
      </c>
      <c r="H11" s="5" t="inlineStr">
        <is>
          <t>新紀錄</t>
        </is>
      </c>
      <c r="I11" s="5" t="inlineStr">
        <is>
          <t>採用（Anthropic 序列起點；消費訂閱數未揭露）</t>
        </is>
      </c>
      <c r="J11" s="5" t="inlineStr">
        <is>
          <t>新 SRC_DEM</t>
        </is>
      </c>
      <c r="K11" s="5" t="inlineStr">
        <is>
          <t>—</t>
        </is>
      </c>
      <c r="L11" s="5" t="inlineStr">
        <is>
          <t>1</t>
        </is>
      </c>
      <c r="M11" s="5" t="inlineStr">
        <is>
          <t>利害關係方</t>
        </is>
      </c>
    </row>
    <row r="12">
      <c r="A12" s="5" t="inlineStr">
        <is>
          <t>N09</t>
        </is>
      </c>
      <c r="B12" s="5" t="inlineStr">
        <is>
          <t>Anthropic 2025 營收：用量 3.8、訂閱 0.789、雲端市集 2.16（47%）、平台分潤約 0.351 $B</t>
        </is>
      </c>
      <c r="C12" s="5" t="inlineStr">
        <is>
          <t>R10／R11</t>
        </is>
      </c>
      <c r="D12" s="5" t="inlineStr">
        <is>
          <t>Interested-party</t>
        </is>
      </c>
      <c r="E12" s="5" t="inlineStr">
        <is>
          <t>m 偏離來源 (4) 通路分潤</t>
        </is>
      </c>
      <c r="F12" s="5" t="inlineStr">
        <is>
          <t>—</t>
        </is>
      </c>
      <c r="G12" s="5" t="inlineStr">
        <is>
          <t>分潤 ÷ 市集營收 16%；÷ 總營收 7.6%</t>
        </is>
      </c>
      <c r="H12" s="5" t="inlineStr">
        <is>
          <t>新紀錄</t>
        </is>
      </c>
      <c r="I12" s="5" t="inlineStr">
        <is>
          <t>採用（通路分潤唯一量化依據；機密 S-1 經 Reuters，公開 S-1 出來後升級）</t>
        </is>
      </c>
      <c r="J12" s="5" t="inlineStr">
        <is>
          <t>新 SRC_DEM</t>
        </is>
      </c>
      <c r="K12" s="5" t="inlineStr">
        <is>
          <t>L1_MImplied（若做分潤調整）</t>
        </is>
      </c>
      <c r="L12" s="5" t="inlineStr">
        <is>
          <t>2</t>
        </is>
      </c>
      <c r="M12" s="5" t="inlineStr">
        <is>
          <t>利害關係方</t>
        </is>
      </c>
    </row>
    <row r="13">
      <c r="A13" s="5" t="inlineStr">
        <is>
          <t>N10</t>
        </is>
      </c>
      <c r="B13" s="5" t="inlineStr">
        <is>
          <t>OpenAI 營收消費占比 75%（2024-10）、70%（2025-10）、ChatGPT 2.7／3.7（2024）、8／12.7（2025 預期）</t>
        </is>
      </c>
      <c r="C13" s="5" t="inlineStr">
        <is>
          <t>R01／R02／R04／R05</t>
        </is>
      </c>
      <c r="D13" s="5" t="inlineStr">
        <is>
          <t>Interested-party</t>
        </is>
      </c>
      <c r="E13" s="5" t="inlineStr">
        <is>
          <t>訂閱路線營收（m 試算）</t>
        </is>
      </c>
      <c r="F13" s="5" t="inlineStr">
        <is>
          <t>13.07（SRC_DEM_007）</t>
        </is>
      </c>
      <c r="G13" s="5" t="inlineStr">
        <is>
          <t>訂閱 61–82%</t>
        </is>
      </c>
      <c r="H13" s="5" t="inlineStr">
        <is>
          <t>新紀錄；SRC_DEM_007 只有總額</t>
        </is>
      </c>
      <c r="I13" s="5" t="inlineStr">
        <is>
          <t>採用（訂閱占比區間 0.61–0.82）</t>
        </is>
      </c>
      <c r="J13" s="5" t="inlineStr">
        <is>
          <t>SRC_DEM_007</t>
        </is>
      </c>
      <c r="K13" s="5" t="inlineStr">
        <is>
          <t>L1_MImplied</t>
        </is>
      </c>
      <c r="L13" s="5" t="inlineStr">
        <is>
          <t>2</t>
        </is>
      </c>
      <c r="M13" s="5" t="inlineStr">
        <is>
          <t>利害關係方</t>
        </is>
      </c>
    </row>
    <row r="14">
      <c r="A14" s="5" t="inlineStr">
        <is>
          <t>N11</t>
        </is>
      </c>
      <c r="B14" s="5" t="inlineStr">
        <is>
          <t>Q2 2026 營收 6.7、消費約 70%（WSJ）</t>
        </is>
      </c>
      <c r="C14" s="5" t="inlineStr">
        <is>
          <t>R08</t>
        </is>
      </c>
      <c r="D14" s="5" t="inlineStr">
        <is>
          <t>Interested-party</t>
        </is>
      </c>
      <c r="E14" s="5" t="inlineStr">
        <is>
          <t>同上</t>
        </is>
      </c>
      <c r="F14" s="5" t="inlineStr">
        <is>
          <t>—</t>
        </is>
      </c>
      <c r="G14" s="5" t="inlineStr">
        <is>
          <t>6.7；70%</t>
        </is>
      </c>
      <c r="H14" s="5" t="inlineStr">
        <is>
          <t>新紀錄</t>
        </is>
      </c>
      <c r="I14" s="5" t="inlineStr">
        <is>
          <t>部分採用（營收採用；70% 與「企業 &gt;40%」口徑重疊，占比不採用）</t>
        </is>
      </c>
      <c r="J14" s="5" t="inlineStr">
        <is>
          <t>新 SRC_DEM</t>
        </is>
      </c>
      <c r="K14" s="5" t="inlineStr">
        <is>
          <t>—</t>
        </is>
      </c>
      <c r="L14" s="5" t="inlineStr">
        <is>
          <t>2</t>
        </is>
      </c>
      <c r="M14" s="5" t="inlineStr">
        <is>
          <t>利害關係方</t>
        </is>
      </c>
    </row>
    <row r="15">
      <c r="A15" s="5" t="inlineStr">
        <is>
          <t>N12</t>
        </is>
      </c>
      <c r="B15" s="5" t="inlineStr">
        <is>
          <t>Microsoft 分潤 20% 至 2030、上限 $38B；Azure 回付 OpenAI 已停</t>
        </is>
      </c>
      <c r="C15" s="5" t="inlineStr">
        <is>
          <t>R09</t>
        </is>
      </c>
      <c r="D15" s="5" t="inlineStr">
        <is>
          <t>Interested-party</t>
        </is>
      </c>
      <c r="E15" s="5" t="inlineStr">
        <is>
          <t>m 偏離來源 (4)</t>
        </is>
      </c>
      <c r="F15" s="5" t="inlineStr">
        <is>
          <t>—</t>
        </is>
      </c>
      <c r="G15" s="5" t="inlineStr">
        <is>
          <t>20%</t>
        </is>
      </c>
      <c r="H15" s="5" t="inlineStr">
        <is>
          <t>SRC_DEM_018 備註已有「Microsoft 分成 20%」</t>
        </is>
      </c>
      <c r="I15" s="5" t="inlineStr">
        <is>
          <t>部分採用（20% 採用；$38B 上限待查一手）</t>
        </is>
      </c>
      <c r="J15" s="5" t="inlineStr">
        <is>
          <t>SRC_DEM_018</t>
        </is>
      </c>
      <c r="K15" s="5" t="inlineStr">
        <is>
          <t>—</t>
        </is>
      </c>
      <c r="L15" s="5" t="inlineStr">
        <is>
          <t>2</t>
        </is>
      </c>
      <c r="M15" s="5" t="inlineStr">
        <is>
          <t>利害關係方</t>
        </is>
      </c>
    </row>
    <row r="16">
      <c r="A16" s="5" t="inlineStr">
        <is>
          <t>N13</t>
        </is>
      </c>
      <c r="B16" s="5" t="inlineStr">
        <is>
          <t>Claude Code 企業平均 $13／活躍日（p90 &lt;$30），月 $150–250（舊值 $6／$12）</t>
        </is>
      </c>
      <c r="C16" s="5" t="inlineStr">
        <is>
          <t>K06</t>
        </is>
      </c>
      <c r="D16" s="5" t="inlineStr">
        <is>
          <t>Verified</t>
        </is>
      </c>
      <c r="E16" s="5" t="inlineStr">
        <is>
          <t>程式代理路線每用戶用量</t>
        </is>
      </c>
      <c r="F16" s="5" t="inlineStr">
        <is>
          <t>—</t>
        </is>
      </c>
      <c r="G16" s="5" t="inlineStr">
        <is>
          <t>13 $／日</t>
        </is>
      </c>
      <c r="H16" s="5" t="inlineStr">
        <is>
          <t>新紀錄</t>
        </is>
      </c>
      <c r="I16" s="5" t="inlineStr">
        <is>
          <t>採用（程式代理路線每用戶用量的唯一一手數字；列價口徑）</t>
        </is>
      </c>
      <c r="J16" s="5" t="inlineStr">
        <is>
          <t>新 SRC_DEM</t>
        </is>
      </c>
      <c r="K16" s="5" t="inlineStr">
        <is>
          <t>L1_MImplied（程式代理）</t>
        </is>
      </c>
      <c r="L16" s="5" t="inlineStr">
        <is>
          <t>1</t>
        </is>
      </c>
      <c r="M16" s="5" t="inlineStr">
        <is>
          <t>利害關係方</t>
        </is>
      </c>
    </row>
    <row r="17">
      <c r="A17" s="5" t="inlineStr">
        <is>
          <t>N14</t>
        </is>
      </c>
      <c r="B17" s="5" t="inlineStr">
        <is>
          <t>ChatGPT Enterprise p95 ÷ 中位數訊息數＝6；每組織推理 token ×320／年</t>
        </is>
      </c>
      <c r="C17" s="5" t="inlineStr">
        <is>
          <t>K09</t>
        </is>
      </c>
      <c r="D17" s="5" t="inlineStr">
        <is>
          <t>Verified</t>
        </is>
      </c>
      <c r="E17" s="5" t="inlineStr">
        <is>
          <t>平均 vs 中位數（重度用戶占比）</t>
        </is>
      </c>
      <c r="F17" s="5" t="inlineStr">
        <is>
          <t>—</t>
        </is>
      </c>
      <c r="G17" s="5" t="inlineStr">
        <is>
          <t>6 倍</t>
        </is>
      </c>
      <c r="H17" s="5" t="inlineStr">
        <is>
          <t>新紀錄</t>
        </is>
      </c>
      <c r="I17" s="5" t="inlineStr">
        <is>
          <t>採用（分布形狀唯一一手；平均 ÷ 中位數 ≈1.8 為 Derived）</t>
        </is>
      </c>
      <c r="J17" s="5" t="inlineStr">
        <is>
          <t>新 SRC_DEM</t>
        </is>
      </c>
      <c r="K17" s="5" t="inlineStr">
        <is>
          <t>—</t>
        </is>
      </c>
      <c r="L17" s="5" t="inlineStr">
        <is>
          <t>1</t>
        </is>
      </c>
      <c r="M17" s="5" t="inlineStr">
        <is>
          <t>利害關係方</t>
        </is>
      </c>
    </row>
    <row r="18">
      <c r="A18" s="5" t="inlineStr">
        <is>
          <t>N15</t>
        </is>
      </c>
      <c r="B18" s="5" t="inlineStr">
        <is>
          <t>Pegatron 單一開發者：548M tok／日、快取讀 99.3%、輸入 99.9%</t>
        </is>
      </c>
      <c r="C18" s="5" t="inlineStr">
        <is>
          <t>K08／S03</t>
        </is>
      </c>
      <c r="D18" s="5" t="inlineStr">
        <is>
          <t>Analogy</t>
        </is>
      </c>
      <c r="E18" s="5" t="inlineStr">
        <is>
          <t>Cap_In C13（χ）高端；程式代理組合</t>
        </is>
      </c>
      <c r="F18" s="5" t="inlineStr">
        <is>
          <t>0.55（0.3–0.75）</t>
        </is>
      </c>
      <c r="G18" s="5" t="inlineStr">
        <is>
          <t>0.993</t>
        </is>
      </c>
      <c r="H18" s="5" t="inlineStr">
        <is>
          <t>SRC_DEM_014／015 為 OpenRouter 全市場平均</t>
        </is>
      </c>
      <c r="I18" s="5" t="inlineStr">
        <is>
          <t>部分採用（n＝1，只作程式代理高端佐證）</t>
        </is>
      </c>
      <c r="J18" s="5" t="inlineStr">
        <is>
          <t>SRC_DEM_014</t>
        </is>
      </c>
      <c r="K18" s="5" t="inlineStr">
        <is>
          <t>IF_PriceRef_*（若 B 段另設程式代理組合）</t>
        </is>
      </c>
      <c r="L18" s="5" t="inlineStr">
        <is>
          <t>1</t>
        </is>
      </c>
      <c r="M18" s="5" t="inlineStr">
        <is>
          <t>中立</t>
        </is>
      </c>
    </row>
    <row r="19">
      <c r="A19" s="5" t="inlineStr">
        <is>
          <t>N16</t>
        </is>
      </c>
      <c r="B19" s="5" t="inlineStr">
        <is>
          <t>Requesty：Claude Code 快取命中 91.9%（其他代理 46–89%）</t>
        </is>
      </c>
      <c r="C19" s="5" t="inlineStr">
        <is>
          <t>S02</t>
        </is>
      </c>
      <c r="D19" s="5" t="inlineStr">
        <is>
          <t>Interested-party</t>
        </is>
      </c>
      <c r="E19" s="5" t="inlineStr">
        <is>
          <t>Cap_In C13（χ）</t>
        </is>
      </c>
      <c r="F19" s="5" t="inlineStr">
        <is>
          <t>0.55（0.3–0.75）</t>
        </is>
      </c>
      <c r="G19" s="5" t="inlineStr">
        <is>
          <t>0.92</t>
        </is>
      </c>
      <c r="H19" s="5" t="inlineStr">
        <is>
          <t>新紀錄</t>
        </is>
      </c>
      <c r="I19" s="5" t="inlineStr">
        <is>
          <t>部分採用（程式代理 χ 高於 Cap_In 高端 0.75；樣本數未揭露）</t>
        </is>
      </c>
      <c r="J19" s="5" t="inlineStr">
        <is>
          <t>—</t>
        </is>
      </c>
      <c r="K19" s="5" t="inlineStr">
        <is>
          <t>IF_PriceRef_*</t>
        </is>
      </c>
      <c r="L19" s="5" t="inlineStr">
        <is>
          <t>2</t>
        </is>
      </c>
      <c r="M19" s="5" t="inlineStr">
        <is>
          <t>利害關係方</t>
        </is>
      </c>
    </row>
    <row r="20">
      <c r="A20" s="5" t="inlineStr">
        <is>
          <t>N17</t>
        </is>
      </c>
      <c r="B20" s="5" t="inlineStr">
        <is>
          <t>Anthropic 每週上限：&lt;5% 訂閱者受影響；有人在 $200 方案用掉數萬美元</t>
        </is>
      </c>
      <c r="C20" s="5" t="inlineStr">
        <is>
          <t>S05</t>
        </is>
      </c>
      <c r="D20" s="5" t="inlineStr">
        <is>
          <t>Verified</t>
        </is>
      </c>
      <c r="E20" s="5" t="inlineStr">
        <is>
          <t>m 偏離來源 (1) 訂閱吃到飽（定性）</t>
        </is>
      </c>
      <c r="F20" s="5" t="inlineStr">
        <is>
          <t>—</t>
        </is>
      </c>
      <c r="G20" s="5" t="inlineStr">
        <is>
          <t>—</t>
        </is>
      </c>
      <c r="H20" s="5" t="inlineStr">
        <is>
          <t>新紀錄</t>
        </is>
      </c>
      <c r="I20" s="5" t="inlineStr">
        <is>
          <t>採用（重度用戶補貼的一手定性證據）</t>
        </is>
      </c>
      <c r="J20" s="5" t="inlineStr">
        <is>
          <t>—</t>
        </is>
      </c>
      <c r="K20" s="5" t="inlineStr">
        <is>
          <t>—</t>
        </is>
      </c>
      <c r="L20" s="5" t="inlineStr">
        <is>
          <t>1</t>
        </is>
      </c>
      <c r="M20" s="5" t="inlineStr">
        <is>
          <t>利害關係方</t>
        </is>
      </c>
    </row>
    <row r="21">
      <c r="A21" s="5" t="inlineStr">
        <is>
          <t>N18</t>
        </is>
      </c>
      <c r="B21" s="5" t="inlineStr">
        <is>
          <t>SemiAnalysis：$200 方案上限用量值 $8k–14k 列價</t>
        </is>
      </c>
      <c r="C21" s="5" t="inlineStr">
        <is>
          <t>S06</t>
        </is>
      </c>
      <c r="D21" s="5" t="inlineStr">
        <is>
          <t>Interested-party</t>
        </is>
      </c>
      <c r="E21" s="5" t="inlineStr">
        <is>
          <t>同上</t>
        </is>
      </c>
      <c r="F21" s="5" t="inlineStr">
        <is>
          <t>—</t>
        </is>
      </c>
      <c r="G21" s="5" t="inlineStr">
        <is>
          <t>35–70 倍</t>
        </is>
      </c>
      <c r="H21" s="5" t="inlineStr">
        <is>
          <t>新紀錄</t>
        </is>
      </c>
      <c r="I21" s="5" t="inlineStr">
        <is>
          <t>不採用為數值（SemiAnalysis 不可單獨引用）；登錄為已看過，方向與 N17 一致</t>
        </is>
      </c>
      <c r="J21" s="5" t="inlineStr">
        <is>
          <t>—</t>
        </is>
      </c>
      <c r="K21" s="5" t="inlineStr">
        <is>
          <t>—</t>
        </is>
      </c>
      <c r="L21" s="5" t="inlineStr">
        <is>
          <t>2</t>
        </is>
      </c>
      <c r="M21" s="5" t="inlineStr">
        <is>
          <t>利害關係方</t>
        </is>
      </c>
    </row>
    <row r="22">
      <c r="A22" s="5" t="inlineStr">
        <is>
          <t>N19</t>
        </is>
      </c>
      <c r="B22" s="5" t="inlineStr">
        <is>
          <t>OpenAI Plus 恢復 5 小時上限；Pro 500 額度＝Plus 25 倍</t>
        </is>
      </c>
      <c r="C22" s="5" t="inlineStr">
        <is>
          <t>S07／S08</t>
        </is>
      </c>
      <c r="D22" s="5" t="inlineStr">
        <is>
          <t>Verified</t>
        </is>
      </c>
      <c r="E22" s="5" t="inlineStr">
        <is>
          <t>同上（定性）</t>
        </is>
      </c>
      <c r="F22" s="5" t="inlineStr">
        <is>
          <t>—</t>
        </is>
      </c>
      <c r="G22" s="5" t="inlineStr">
        <is>
          <t>—</t>
        </is>
      </c>
      <c r="H22" s="5" t="inlineStr">
        <is>
          <t>新紀錄</t>
        </is>
      </c>
      <c r="I22" s="5" t="inlineStr">
        <is>
          <t>採用（定性；方案之間每單位額度價格接近，補貼集中在用量接近上限者）</t>
        </is>
      </c>
      <c r="J22" s="5" t="inlineStr">
        <is>
          <t>—</t>
        </is>
      </c>
      <c r="K22" s="5" t="inlineStr">
        <is>
          <t>—</t>
        </is>
      </c>
      <c r="L22" s="5" t="inlineStr">
        <is>
          <t>1–2</t>
        </is>
      </c>
      <c r="M22" s="5" t="inlineStr">
        <is>
          <t>利害關係方</t>
        </is>
      </c>
    </row>
    <row r="23">
      <c r="A23" s="5" t="inlineStr">
        <is>
          <t>N20</t>
        </is>
      </c>
      <c r="B23" s="5" t="inlineStr">
        <is>
          <t>OpenAI 資料分享免費 token：每日 0.25–10M／組織</t>
        </is>
      </c>
      <c r="C23" s="5" t="inlineStr">
        <is>
          <t>C01</t>
        </is>
      </c>
      <c r="D23" s="5" t="inlineStr">
        <is>
          <t>Verified</t>
        </is>
      </c>
      <c r="E23" s="5" t="inlineStr">
        <is>
          <t>m 偏離來源 (5)</t>
        </is>
      </c>
      <c r="F23" s="5" t="inlineStr">
        <is>
          <t>—</t>
        </is>
      </c>
      <c r="G23" s="5" t="inlineStr">
        <is>
          <t>0.25–10 M／日</t>
        </is>
      </c>
      <c r="H23" s="5" t="inlineStr">
        <is>
          <t>新紀錄</t>
        </is>
      </c>
      <c r="I23" s="5" t="inlineStr">
        <is>
          <t>部分採用（機制存在；總量未揭露，不量化）</t>
        </is>
      </c>
      <c r="J23" s="5" t="inlineStr">
        <is>
          <t>—</t>
        </is>
      </c>
      <c r="K23" s="5" t="inlineStr">
        <is>
          <t>—</t>
        </is>
      </c>
      <c r="L23" s="5" t="inlineStr">
        <is>
          <t>1</t>
        </is>
      </c>
      <c r="M23" s="5" t="inlineStr">
        <is>
          <t>利害關係方</t>
        </is>
      </c>
    </row>
    <row r="24">
      <c r="A24" s="5" t="inlineStr">
        <is>
          <t>N21</t>
        </is>
      </c>
      <c r="B24" s="5" t="inlineStr">
        <is>
          <t>MiniMax：Talkie 付費 139 萬、海螺訂閱 31 萬、企業客戶 13 萬（2025-09）</t>
        </is>
      </c>
      <c r="C24" s="5" t="inlineStr">
        <is>
          <t>U23</t>
        </is>
      </c>
      <c r="D24" s="5" t="inlineStr">
        <is>
          <t>Verified（經二手）</t>
        </is>
      </c>
      <c r="E24" s="5" t="inlineStr">
        <is>
          <t>MiniMax 模型（不在 Tokenomics）</t>
        </is>
      </c>
      <c r="F24" s="5" t="inlineStr">
        <is>
          <t>—</t>
        </is>
      </c>
      <c r="G24" s="5" t="inlineStr">
        <is>
          <t>—</t>
        </is>
      </c>
      <c r="H24" s="5" t="inlineStr">
        <is>
          <t>新紀錄</t>
        </is>
      </c>
      <c r="I24" s="5" t="inlineStr">
        <is>
          <t>不採用（Tokenomics 只追 OpenAI；轉交 MiniMax 模型）</t>
        </is>
      </c>
      <c r="J24" s="5" t="inlineStr">
        <is>
          <t>—</t>
        </is>
      </c>
      <c r="K24" s="5" t="inlineStr">
        <is>
          <t>—</t>
        </is>
      </c>
      <c r="L24" s="5" t="inlineStr">
        <is>
          <t>2</t>
        </is>
      </c>
      <c r="M24" s="5" t="inlineStr">
        <is>
          <t>利害關係方</t>
        </is>
      </c>
    </row>
    <row r="25">
      <c r="A25" s="5" t="inlineStr">
        <is>
          <t>N22</t>
        </is>
      </c>
      <c r="B25" s="5" t="inlineStr">
        <is>
          <t>Google 付費訂閱 3.5 億（全服務）</t>
        </is>
      </c>
      <c r="C25" s="5" t="inlineStr">
        <is>
          <t>U24</t>
        </is>
      </c>
      <c r="D25" s="5" t="inlineStr">
        <is>
          <t>Interested-party</t>
        </is>
      </c>
      <c r="E25" s="5" t="inlineStr">
        <is>
          <t>—</t>
        </is>
      </c>
      <c r="F25" s="5" t="inlineStr">
        <is>
          <t>—</t>
        </is>
      </c>
      <c r="G25" s="5" t="inlineStr">
        <is>
          <t>350 M</t>
        </is>
      </c>
      <c r="H25" s="5" t="inlineStr">
        <is>
          <t>新紀錄</t>
        </is>
      </c>
      <c r="I25" s="5" t="inlineStr">
        <is>
          <t>不採用（未拆 AI 方案）</t>
        </is>
      </c>
      <c r="J25" s="5" t="inlineStr">
        <is>
          <t>—</t>
        </is>
      </c>
      <c r="K25" s="5" t="inlineStr">
        <is>
          <t>—</t>
        </is>
      </c>
      <c r="L25" s="5" t="inlineStr">
        <is>
          <t>2</t>
        </is>
      </c>
      <c r="M25" s="5" t="inlineStr">
        <is>
          <t>利害關係方</t>
        </is>
      </c>
    </row>
    <row r="26">
      <c r="A26" s="5" t="inlineStr">
        <is>
          <t>N23</t>
        </is>
      </c>
      <c r="B26" s="5" t="inlineStr">
        <is>
          <t>Codex WAU 約 800 萬（2026-07）</t>
        </is>
      </c>
      <c r="C26" s="5" t="inlineStr">
        <is>
          <t>U17</t>
        </is>
      </c>
      <c r="D26" s="5" t="inlineStr">
        <is>
          <t>Interested-party</t>
        </is>
      </c>
      <c r="E26" s="5" t="inlineStr">
        <is>
          <t>程式代理路線用戶數</t>
        </is>
      </c>
      <c r="F26" s="5" t="inlineStr">
        <is>
          <t>—</t>
        </is>
      </c>
      <c r="G26" s="5" t="inlineStr">
        <is>
          <t>約 8 M</t>
        </is>
      </c>
      <c r="H26" s="5" t="inlineStr">
        <is>
          <t>新紀錄</t>
        </is>
      </c>
      <c r="I26" s="5" t="inlineStr">
        <is>
          <t>待查（彙整站未附原始出處）</t>
        </is>
      </c>
      <c r="J26" s="5" t="inlineStr">
        <is>
          <t>—</t>
        </is>
      </c>
      <c r="K26" s="5" t="inlineStr">
        <is>
          <t>—</t>
        </is>
      </c>
      <c r="L26" s="5" t="inlineStr">
        <is>
          <t>3</t>
        </is>
      </c>
      <c r="M26" s="5" t="inlineStr">
        <is>
          <t>不明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70" customWidth="1" min="3" max="3"/>
    <col width="70" customWidth="1" min="4" max="4"/>
  </cols>
  <sheetData>
    <row r="1">
      <c r="A1" s="1" t="inlineStr">
        <is>
          <t>8. 待 Project 判斷</t>
        </is>
      </c>
    </row>
    <row r="2">
      <c r="A2" s="4" t="n"/>
      <c r="B2" s="4" t="n"/>
      <c r="C2" s="4" t="n"/>
      <c r="D2" s="4" t="n"/>
    </row>
    <row r="3">
      <c r="A3" t="inlineStr">
        <is>
          <t>#</t>
        </is>
      </c>
      <c r="B3" t="inlineStr">
        <is>
          <t>問題</t>
        </is>
      </c>
      <c r="C3" t="inlineStr">
        <is>
          <t>選項</t>
        </is>
      </c>
      <c r="D3" t="inlineStr">
        <is>
          <t>建議</t>
        </is>
      </c>
    </row>
    <row r="4">
      <c r="A4" s="5" t="inlineStr">
        <is>
          <t>J1</t>
        </is>
      </c>
      <c r="B4" s="5" t="inlineStr">
        <is>
          <t>是否以隱含 m 改變 CTL_Monetize 基準或區間</t>
        </is>
      </c>
      <c r="C4" s="5" t="inlineStr">
        <is>
          <t>(a) 不改（基準 1、區間 0.3–1.0），B 段只上線追蹤區塊；(b) 基準不改、區間下限放寬到 0.1（程式代理與 2026 API 時點落在 0.2–0.4，對照 C、D 更低）；(c) 基準改 0.6–0.7（API 路線 0.65、2026 API 時點 0.31 的中間）</t>
        </is>
      </c>
      <c r="D4" s="5" t="inlineStr">
        <is>
          <t>(a)。理由：合併路線的基準 1.74 &gt; 1 主要反映分母（模型自己的 token 需求，L1_ScaleServe＝18 倍落差）偏低，不是證據支持 m &gt; 1；在分母可信之前，改基準會把 Alloc 的弱假設搬進回本結論。若 Andy 要反映「程式代理重度補貼」的方向，(b) 只動區間、不動基準，影響最小</t>
        </is>
      </c>
    </row>
    <row r="5">
      <c r="A5" s="5" t="inlineStr">
        <is>
          <t>J2</t>
        </is>
      </c>
      <c r="B5" s="5" t="inlineStr">
        <is>
          <t>B 段區塊設計</t>
        </is>
      </c>
      <c r="C5" s="5" t="inlineStr">
        <is>
          <t>依工作單第 3 節，另加：(i) 分母分兩欄——「模型 token 路線（Alloc 第 9 列）」與「外部 token（SRC_DEM_011 時點、SRC_DEM_013 Epoch）」並列；(ii) 路線拆三條：訂閱、API、程式代理（程式代理先只放 Analogy 對照，不進合併）；(iii) 單價欄允許選「OpenAI 列價」或「層級組合混合價」</t>
        </is>
      </c>
      <c r="D5" s="5" t="inlineStr">
        <is>
          <t>(i)(ii) 建議做；(iii) 用 Cap_In C31 現有組合即可，不新增輸入。L1_MImplied 外部欄連 CTL_Monetize，判讀文字「區間內／外」</t>
        </is>
      </c>
    </row>
    <row r="6">
      <c r="A6" s="5" t="inlineStr">
        <is>
          <t>J3</t>
        </is>
      </c>
      <c r="B6" s="5" t="inlineStr">
        <is>
          <t>營收口徑：毛額或扣 Microsoft 20% 後</t>
        </is>
      </c>
      <c r="C6" s="5" t="inlineStr">
        <is>
          <t>(a) 毛額（與模型有效單價一致）；(b) 淨額</t>
        </is>
      </c>
      <c r="D6" s="5" t="inlineStr">
        <is>
          <t>(a) 為基準，(b) 列在敏感度；分潤是 m 偏離 1 的來源 (4)，不應先扣</t>
        </is>
      </c>
    </row>
    <row r="7">
      <c r="A7" s="5" t="inlineStr">
        <is>
          <t>J4</t>
        </is>
      </c>
      <c r="B7" s="5" t="inlineStr">
        <is>
          <t>Checks Warning 的觸發條件</t>
        </is>
      </c>
      <c r="C7" s="5" t="inlineStr">
        <is>
          <t>(a) 合併路線基準落在 0.3–1.0 外即 Warning；(b) 只有低／高兩端都在區間外才 Warning</t>
        </is>
      </c>
      <c r="D7" s="5" t="inlineStr">
        <is>
          <t>(a)。目前基準 1.74 會觸發 Warning——這正是要被看到的訊號（分母或 m 至少一個有問題）</t>
        </is>
      </c>
    </row>
    <row r="8">
      <c r="A8" s="5" t="inlineStr">
        <is>
          <t>J5</t>
        </is>
      </c>
      <c r="B8" s="5" t="inlineStr">
        <is>
          <t>追蹤頻率</t>
        </is>
      </c>
      <c r="C8" s="5" t="inlineStr">
        <is>
          <t>(a) 每次升版檢查（工作單第 4 節已規定）；(b) 另加季度固定檢查（OpenAI、Anthropic 季報或融資公告後）</t>
        </is>
      </c>
      <c r="D8" s="5" t="inlineStr">
        <is>
          <t>(a)＋(b)：新揭露多在融資公告、DevDay、季營收報導後出現；Anthropic 公開 S-1 若在 2026 Q4 出來，是第一份經審計的訂閱／用量拆分，應另開工作單</t>
        </is>
      </c>
    </row>
    <row r="9">
      <c r="A9" s="5" t="inlineStr">
        <is>
          <t>J6</t>
        </is>
      </c>
      <c r="B9" s="5" t="inlineStr">
        <is>
          <t>訂閱路線的人數分母</t>
        </is>
      </c>
      <c r="C9" s="5" t="inlineStr">
        <is>
          <t>(a) 期間平均（2025：3,300 萬）；(b) 期末值（5,000 萬）</t>
        </is>
      </c>
      <c r="D9" s="5" t="inlineStr">
        <is>
          <t>(a)。與年營收、年 token 對齊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2026-10-11T02:37:38Z</dcterms:created>
  <dcterms:modified xmlns:dcterms="http://purl.org/dc/terms/" xmlns:xsi="http://www.w3.org/2001/XMLSchema-instance" xsi:type="dcterms:W3CDTF">2026-10-11T02:37:38Z</dcterms:modified>
</cp:coreProperties>
</file>