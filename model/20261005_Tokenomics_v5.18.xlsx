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1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Capability" sheetId="18" state="visible" r:id="rId20"/>
    <sheet name="Price_Frontier" sheetId="19" state="visible" r:id="rId21"/>
    <sheet name="Cache_Store" sheetId="20" state="visible" r:id="rId22"/>
    <sheet name="Fleet_1GW" sheetId="21" state="visible" r:id="rId23"/>
    <sheet name="Amortize" sheetId="22" state="visible" r:id="rId24"/>
    <sheet name="Theory_Rev" sheetId="23" state="visible" r:id="rId25"/>
    <sheet name="Sens_Rev" sheetId="24" state="visible" r:id="rId26"/>
    <sheet name="Har_In" sheetId="25" state="visible" r:id="rId27"/>
    <sheet name="Harness" sheetId="26" state="visible" r:id="rId28"/>
    <sheet name="Sens_Har" sheetId="27" state="visible" r:id="rId29"/>
    <sheet name="Alloc_In" sheetId="28" state="visible" r:id="rId30"/>
    <sheet name="Alloc" sheetId="29" state="visible" r:id="rId31"/>
    <sheet name="Interface" sheetId="30" state="visible" r:id="rId32"/>
    <sheet name="L1" sheetId="31" state="visible" r:id="rId33"/>
    <sheet name="Energy" sheetId="32" state="visible" r:id="rId34"/>
    <sheet name="NonNV" sheetId="33" state="visible" r:id="rId35"/>
    <sheet name="Sensitivity" sheetId="34" state="visible" r:id="rId36"/>
    <sheet name="Checks" sheetId="35" state="visible" r:id="rId37"/>
    <sheet name="Gov_Map" sheetId="36" state="visible" r:id="rId38"/>
    <sheet name="Decisions" sheetId="37" state="visible" r:id="rId39"/>
    <sheet name="SRC_HW" sheetId="38" state="visible" r:id="rId40"/>
    <sheet name="SRC_DC" sheetId="39" state="visible" r:id="rId41"/>
    <sheet name="SRC_Model" sheetId="40" state="visible" r:id="rId42"/>
    <sheet name="SRC_Perf" sheetId="41" state="visible" r:id="rId43"/>
    <sheet name="SRC_Price" sheetId="42" state="visible" r:id="rId44"/>
    <sheet name="SRC_Cap" sheetId="43" state="visible" r:id="rId45"/>
    <sheet name="SRC_Harness" sheetId="44" state="visible" r:id="rId46"/>
    <sheet name="SRC_Demand" sheetId="45" state="visible" r:id="rId47"/>
    <sheet name="SRC_Index" sheetId="46" state="visible" r:id="rId48"/>
    <sheet name="Sources_Legacy" sheetId="47" state="visible" r:id="rId49"/>
    <sheet name="DB_Evidence" sheetId="48" state="visible" r:id="rId50"/>
  </sheets>
  <definedNames>
    <definedName function="false" hidden="false" name="AL_APIratio" vbProcedure="false">Alloc_In!$C$14</definedName>
    <definedName function="false" hidden="false" name="AL_APIratio_Hi" vbProcedure="false">Alloc_In!$E$14</definedName>
    <definedName function="false" hidden="false" name="AL_APIratio_Lo" vbProcedure="false">Alloc_In!$D$14</definedName>
    <definedName function="false" hidden="false" name="AL_BlendFree" vbProcedure="false">Alloc!$C$25</definedName>
    <definedName function="false" hidden="false" name="AL_BlendPaid" vbProcedure="false">Alloc!$C$24</definedName>
    <definedName function="false" hidden="false" name="AL_CapFree" vbProcedure="false">Alloc!$C$23:$F$23</definedName>
    <definedName function="false" hidden="false" name="AL_CapPaid" vbProcedure="false">Alloc!$C$22:$F$22</definedName>
    <definedName function="false" hidden="false" name="AL_D" vbProcedure="false">Alloc!$C$11</definedName>
    <definedName function="false" hidden="false" name="AL_DAPI" vbProcedure="false">Alloc!$C$5</definedName>
    <definedName function="false" hidden="false" name="AL_DChat" vbProcedure="false">Alloc!$C$6</definedName>
    <definedName function="false" hidden="false" name="AL_DChatFree" vbProcedure="false">Alloc!$C$7</definedName>
    <definedName function="false" hidden="false" name="AL_DChatPaid" vbProcedure="false">Alloc!$C$8</definedName>
    <definedName function="false" hidden="false" name="AL_DDaily" vbProcedure="false">Alloc!$C$12</definedName>
    <definedName function="false" hidden="false" name="AL_DFree" vbProcedure="false">Alloc!$C$10</definedName>
    <definedName function="false" hidden="false" name="AL_DPaid" vbProcedure="false">Alloc!$C$9</definedName>
    <definedName function="false" hidden="false" name="AL_FamGWyr" vbProcedure="false">Alloc!$F$37</definedName>
    <definedName function="false" hidden="false" name="AL_FreeServeShare" vbProcedure="false">Alloc!$C$62</definedName>
    <definedName function="false" hidden="false" name="AL_FreeShare" vbProcedure="false">Alloc_In!$C$16</definedName>
    <definedName function="false" hidden="false" name="AL_FreeShare_Hi" vbProcedure="false">Alloc_In!$E$16</definedName>
    <definedName function="false" hidden="false" name="AL_FreeShare_Lo" vbProcedure="false">Alloc_In!$D$16</definedName>
    <definedName function="false" hidden="false" name="AL_FreeSpendShare" vbProcedure="false">Alloc!$C$63</definedName>
    <definedName function="false" hidden="false" name="AL_g" vbProcedure="false">Alloc_In!$C$13</definedName>
    <definedName function="false" hidden="false" name="AL_GenCol" vbProcedure="false">Alloc!$C$17:$F$17</definedName>
    <definedName function="false" hidden="false" name="AL_GenOK" vbProcedure="false">Alloc!$C$19:$F$19</definedName>
    <definedName function="false" hidden="false" name="AL_g_Hi" vbProcedure="false">Alloc_In!$E$13</definedName>
    <definedName function="false" hidden="false" name="AL_g_Lo" vbProcedure="false">Alloc_In!$D$13</definedName>
    <definedName function="false" hidden="false" name="AL_HoldGen" vbProcedure="false">Alloc!$C$30:$F$30</definedName>
    <definedName function="false" hidden="false" name="AL_HoldTrain" vbProcedure="false">Alloc!$C$43</definedName>
    <definedName function="false" hidden="false" name="AL_ImpliedNk" vbProcedure="false">Alloc!$C$57</definedName>
    <definedName function="false" hidden="false" name="AL_ImpliedRDGW" vbProcedure="false">Alloc!$C$56</definedName>
    <definedName function="false" hidden="false" name="AL_J8Gap" vbProcedure="false">Alloc!$C$58</definedName>
    <definedName function="false" hidden="false" name="AL_k" vbProcedure="false">Alloc_In!$C$8</definedName>
    <definedName function="false" hidden="false" name="AL_k_Hi" vbProcedure="false">Alloc_In!$E$8</definedName>
    <definedName function="false" hidden="false" name="AL_k_Lo" vbProcedure="false">Alloc_In!$D$8</definedName>
    <definedName function="false" hidden="false" name="AL_Lab" vbProcedure="false">Alloc_In!$C$5</definedName>
    <definedName function="false" hidden="false" name="AL_MixGB200" vbProcedure="false">Alloc_In!$C$10</definedName>
    <definedName function="false" hidden="false" name="AL_MixGB200_Hi" vbProcedure="false">Alloc_In!$E$10</definedName>
    <definedName function="false" hidden="false" name="AL_MixGB200_Lo" vbProcedure="false">Alloc_In!$D$10</definedName>
    <definedName function="false" hidden="false" name="AL_MixGB300" vbProcedure="false">Alloc_In!$C$11</definedName>
    <definedName function="false" hidden="false" name="AL_MixGB300_Hi" vbProcedure="false">Alloc_In!$E$11</definedName>
    <definedName function="false" hidden="false" name="AL_MixGB300_Lo" vbProcedure="false">Alloc_In!$D$11</definedName>
    <definedName function="false" hidden="false" name="AL_MixGen" vbProcedure="false">Alloc_In!$C$9:$C$12</definedName>
    <definedName function="false" hidden="false" name="AL_MixHopper" vbProcedure="false">Alloc_In!$C$9</definedName>
    <definedName function="false" hidden="false" name="AL_MixHopper_Hi" vbProcedure="false">Alloc_In!$E$9</definedName>
    <definedName function="false" hidden="false" name="AL_MixHopper_Lo" vbProcedure="false">Alloc_In!$D$9</definedName>
    <definedName function="false" hidden="false" name="AL_MixVR200" vbProcedure="false">Alloc_In!$C$12</definedName>
    <definedName function="false" hidden="false" name="AL_MixVR200_Hi" vbProcedure="false">Alloc_In!$E$12</definedName>
    <definedName function="false" hidden="false" name="AL_MixVR200_Lo" vbProcedure="false">Alloc_In!$D$12</definedName>
    <definedName function="false" hidden="false" name="AL_Nmajor" vbProcedure="false">Alloc_In!$C$6</definedName>
    <definedName function="false" hidden="false" name="AL_Nmajor_Hi" vbProcedure="false">Alloc_In!$E$6</definedName>
    <definedName function="false" hidden="false" name="AL_Nmajor_Lo" vbProcedure="false">Alloc_In!$D$6</definedName>
    <definedName function="false" hidden="false" name="AL_Nrefresh" vbProcedure="false">Alloc_In!$C$7</definedName>
    <definedName function="false" hidden="false" name="AL_Nrefresh_Hi" vbProcedure="false">Alloc_In!$E$7</definedName>
    <definedName function="false" hidden="false" name="AL_Nrefresh_Lo" vbProcedure="false">Alloc_In!$D$7</definedName>
    <definedName function="false" hidden="false" name="AL_Q1" vbProcedure="false">Alloc!$C$47</definedName>
    <definedName function="false" hidden="false" name="AL_Q1g" vbProcedure="false">Alloc!$C$50</definedName>
    <definedName function="false" hidden="false" name="AL_Q1R2" vbProcedure="false">Alloc!$C$48</definedName>
    <definedName function="false" hidden="false" name="AL_Q2" vbProcedure="false">Alloc!$C$49</definedName>
    <definedName function="false" hidden="false" name="AL_Q2g" vbProcedure="false">Alloc!$C$51</definedName>
    <definedName function="false" hidden="false" name="AL_RDCost" vbProcedure="false">Alloc!$C$44</definedName>
    <definedName function="false" hidden="false" name="AL_RDGW" vbProcedure="false">Alloc!$C$41</definedName>
    <definedName function="false" hidden="false" name="AL_RDGWg" vbProcedure="false">Alloc!$C$42</definedName>
    <definedName function="false" hidden="false" name="AL_RefGWyr" vbProcedure="false">Alloc!$F$40</definedName>
    <definedName function="false" hidden="false" name="AL_SensCheck" vbProcedure="false">Alloc!$W$71:$W$85</definedName>
    <definedName function="false" hidden="false" name="AL_SensCost" vbProcedure="false">Alloc!$U$71:$U$85</definedName>
    <definedName function="false" hidden="false" name="AL_SensDaily" vbProcedure="false">Alloc!$V$71:$V$85</definedName>
    <definedName function="false" hidden="false" name="AL_SensQ1" vbProcedure="false">Alloc!$S$71:$S$85</definedName>
    <definedName function="false" hidden="false" name="AL_SensQ2" vbProcedure="false">Alloc!$T$71:$T$85</definedName>
    <definedName function="false" hidden="false" name="AL_ServeGen" vbProcedure="false">Alloc!$C$29:$F$29</definedName>
    <definedName function="false" hidden="false" name="AL_ServeGW" vbProcedure="false">Alloc!$C$28</definedName>
    <definedName function="false" hidden="false" name="AL_ServeGWFree" vbProcedure="false">Alloc!$C$27</definedName>
    <definedName function="false" hidden="false" name="AL_ServeGWPaid" vbProcedure="false">Alloc!$C$26</definedName>
    <definedName function="false" hidden="false" name="AL_ServeGWSpend" vbProcedure="false">Alloc!$C$61</definedName>
    <definedName function="false" hidden="false" name="AL_ShareGen" vbProcedure="false">Alloc!$C$18:$F$18</definedName>
    <definedName function="false" hidden="false" name="AL_SpendRatio" vbProcedure="false">Alloc!$C$55</definedName>
    <definedName function="false" hidden="false" name="AL_TokPerPrompt" vbProcedure="false">Alloc_In!$C$15</definedName>
    <definedName function="false" hidden="false" name="AL_TokPerPrompt_Hi" vbProcedure="false">Alloc_In!$E$15</definedName>
    <definedName function="false" hidden="false" name="AL_TokPerPrompt_Lo" vbProcedure="false">Alloc_In!$D$15</definedName>
    <definedName function="false" hidden="false" name="AL_TrainCol" vbProcedure="false">Alloc!$C$34</definedName>
    <definedName function="false" hidden="false" name="AL_TrainGen" vbProcedure="false">Alloc!$C$33</definedName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elVendor" vbProcedure="false">Har_In!$C$44:$G$44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" vbProcedure="false">Harness!$C$44:$G$44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HK_L1Order" vbProcedure="false">Checks!$D$106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TL_GW" vbProcedure="false">Inputs!$E$5</definedName>
    <definedName function="false" hidden="false" name="CTL_PowerCase" vbProcedure="false">Inputs!$E$6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Grade" vbProcedure="false">SRC_Index!$E$5:$E$1375</definedName>
    <definedName function="false" hidden="false" name="IDX_SrcID" vbProcedure="false">SRC_Index!$A$5:$A$1375</definedName>
    <definedName function="false" hidden="false" name="IDX_SrcStat" vbProcedure="false">SRC_Index!$D$5:$D$1375</definedName>
    <definedName function="false" hidden="false" name="IF_AllocDemand" vbProcedure="false">Interface!$C$200</definedName>
    <definedName function="false" hidden="false" name="IF_AllocImpliedNk" vbProcedure="false">Interface!$C$201</definedName>
    <definedName function="false" hidden="false" name="IF_AllocQ1" vbProcedure="false">Interface!$C$195</definedName>
    <definedName function="false" hidden="false" name="IF_AllocQ1_R2" vbProcedure="false">Interface!$C$196</definedName>
    <definedName function="false" hidden="false" name="IF_AllocQ2" vbProcedure="false">Interface!$C$197</definedName>
    <definedName function="false" hidden="false" name="IF_AllocRDGW" vbProcedure="false">Interface!$C$199</definedName>
    <definedName function="false" hidden="false" name="IF_AllocServeGW" vbProcedure="false">Interface!$C$198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Luna" vbProcedure="false">Interface!$C$97:$Q$97</definedName>
    <definedName function="false" hidden="false" name="IF_FullCost_Sol" vbProcedure="false">Interface!$C$115:$Q$115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una" vbProcedure="false">Interface!$C$140:$Q$140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Luna" vbProcedure="false">Interface!$C$101:$Q$101</definedName>
    <definedName function="false" hidden="false" name="IF_RevGW_Sol" vbProcedure="false">Interface!$C$119:$Q$119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Sel" vbProcedure="false">Interface!$C$159:$G$159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L1_Ans1" vbProcedure="false">L1!$D$37</definedName>
    <definedName function="false" hidden="false" name="L1_Ans1_Hi" vbProcedure="false">L1!$F$37</definedName>
    <definedName function="false" hidden="false" name="L1_Ans1_Lo" vbProcedure="false">L1!$E$37</definedName>
    <definedName function="false" hidden="false" name="L1_Ans2" vbProcedure="false">L1!$D$38</definedName>
    <definedName function="false" hidden="false" name="L1_Ans2_Hi" vbProcedure="false">L1!$F$38</definedName>
    <definedName function="false" hidden="false" name="L1_Ans2_Lo" vbProcedure="false">L1!$E$38</definedName>
    <definedName function="false" hidden="false" name="L1_Ans3" vbProcedure="false">L1!$D$39</definedName>
    <definedName function="false" hidden="false" name="L1_Ans3_Hi" vbProcedure="false">L1!$F$39</definedName>
    <definedName function="false" hidden="false" name="L1_Ans3_Lo" vbProcedure="false">L1!$E$39</definedName>
    <definedName function="false" hidden="false" name="L1_Ans4" vbProcedure="false">L1!$D$40</definedName>
    <definedName function="false" hidden="false" name="L1_Ans4_Hi" vbProcedure="false">L1!$F$40</definedName>
    <definedName function="false" hidden="false" name="L1_Ans4_Lo" vbProcedure="false">L1!$E$40</definedName>
    <definedName function="false" hidden="false" name="L1_Ans5" vbProcedure="false">L1!$D$41</definedName>
    <definedName function="false" hidden="false" name="L1_Ans5_FullMargin" vbProcedure="false">L1!$D$50</definedName>
    <definedName function="false" hidden="false" name="L1_Ans5_FullMargin_Hi" vbProcedure="false">L1!$F$50</definedName>
    <definedName function="false" hidden="false" name="L1_Ans5_FullMargin_Lo" vbProcedure="false">L1!$E$50</definedName>
    <definedName function="false" hidden="false" name="L1_Ans5_GM" vbProcedure="false">L1!$D$49</definedName>
    <definedName function="false" hidden="false" name="L1_Ans5_GM_Hi" vbProcedure="false">L1!$F$49</definedName>
    <definedName function="false" hidden="false" name="L1_Ans5_GM_Lo" vbProcedure="false">L1!$E$49</definedName>
    <definedName function="false" hidden="false" name="L1_Ans5_Hi" vbProcedure="false">L1!$F$41</definedName>
    <definedName function="false" hidden="false" name="L1_Ans5_Lo" vbProcedure="false">L1!$E$41</definedName>
    <definedName function="false" hidden="false" name="L1_Ans6" vbProcedure="false">L1!$D$42</definedName>
    <definedName function="false" hidden="false" name="L1_Ans6_GPUh" vbProcedure="false">L1!$D$51</definedName>
    <definedName function="false" hidden="false" name="L1_Ans6_GPUh_Hi" vbProcedure="false">L1!$F$51</definedName>
    <definedName function="false" hidden="false" name="L1_Ans6_GPUh_Lo" vbProcedure="false">L1!$E$51</definedName>
    <definedName function="false" hidden="false" name="L1_Ans6_Hi" vbProcedure="false">L1!$F$42</definedName>
    <definedName function="false" hidden="false" name="L1_Ans6_Lo" vbProcedure="false">L1!$E$42</definedName>
    <definedName function="false" hidden="false" name="L1_Ans7" vbProcedure="false">L1!$D$43</definedName>
    <definedName function="false" hidden="false" name="L1_Ans7_Hi" vbProcedure="false">L1!$F$43</definedName>
    <definedName function="false" hidden="false" name="L1_Ans7_Lo" vbProcedure="false">L1!$E$43</definedName>
    <definedName function="false" hidden="false" name="L1_Ans8" vbProcedure="false">L1!$D$44</definedName>
    <definedName function="false" hidden="false" name="L1_Ans8_Hi" vbProcedure="false">L1!$F$44</definedName>
    <definedName function="false" hidden="false" name="L1_Ans8_Lo" vbProcedure="false">L1!$E$44</definedName>
    <definedName function="false" hidden="false" name="L1_Ans9" vbProcedure="false">L1!$D$45</definedName>
    <definedName function="false" hidden="false" name="L1_Ans9_Hi" vbProcedure="false">L1!$F$45</definedName>
    <definedName function="false" hidden="false" name="L1_Ans9_Lo" vbProcedure="false">L1!$E$45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ExtDaily" vbProcedure="false">L1!$D$48</definedName>
    <definedName function="false" hidden="false" name="L1_ExtDaily_Hi" vbProcedure="false">L1!$F$48</definedName>
    <definedName function="false" hidden="false" name="L1_ExtDaily_Lo" vbProcedure="false">L1!$E$48</definedName>
    <definedName function="false" hidden="false" name="L1_ExtFreeShare" vbProcedure="false">L1!$D$47</definedName>
    <definedName function="false" hidden="false" name="L1_ExtFreeShare_Hi" vbProcedure="false">L1!$F$47</definedName>
    <definedName function="false" hidden="false" name="L1_ExtFreeShare_Lo" vbProcedure="false">L1!$E$47</definedName>
    <definedName function="false" hidden="false" name="L1_ExtServeGW" vbProcedure="false">L1!$D$46</definedName>
    <definedName function="false" hidden="false" name="L1_ExtServeGW_Hi" vbProcedure="false">L1!$F$46</definedName>
    <definedName function="false" hidden="false" name="L1_ExtServeGW_Lo" vbProcedure="false">L1!$E$46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DEM_010" vbProcedure="false">SRC_Demand!$C$14</definedName>
    <definedName function="false" hidden="false" name="SRC_DEM_011" vbProcedure="false">SRC_Demand!$C$15</definedName>
    <definedName function="false" hidden="false" name="SRC_DEM_012" vbProcedure="false">SRC_Demand!$C$16</definedName>
    <definedName function="false" hidden="false" name="SRC_DEM_013" vbProcedure="false">SRC_Demand!$C$17</definedName>
    <definedName function="false" hidden="false" name="SRC_DEM_013_Hi" vbProcedure="false">SRC_Demand!$E$17</definedName>
    <definedName function="false" hidden="false" name="SRC_DEM_013_Lo" vbProcedure="false">SRC_Demand!$D$17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HW_061" vbProcedure="false">SRC_HW!$C$65</definedName>
    <definedName function="false" hidden="false" name="SRC_HW_062" vbProcedure="false">SRC_HW!$C$66</definedName>
    <definedName function="false" hidden="false" name="SRC_HW_063" vbProcedure="false">SRC_HW!$C$67</definedName>
    <definedName function="false" hidden="false" name="SRC_HW_064" vbProcedure="false">SRC_HW!$C$68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MOD_054" vbProcedure="false">SRC_Model!$C$58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<sst xmlns="http://schemas.openxmlformats.org/spreadsheetml/2006/main" count="27351" uniqueCount="6975">
  <si>
    <r>
      <rPr>
        <b val="true"/>
        <sz val="13"/>
        <rFont val="Arial"/>
        <family val="0"/>
        <charset val="1"/>
      </rPr>
      <t xml:space="preserve">Tokenomics v5.11 — Block 1</t>
    </r>
    <r>
      <rPr>
        <b val="true"/>
        <sz val="13"/>
        <rFont val="WenQuanYi Zen Hei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WenQuanYi Zen Hei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WenQuanYi Zen Hei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WenQuanYi Zen Hei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WenQuanYi Zen Hei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（切片一）：機架規格、每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WenQuanYi Zen Hei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WenQuanYi Zen Hei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WenQuanYi Zen Hei"/>
        <family val="2"/>
      </rPr>
      <t xml:space="preserve">與每成功任務成本</t>
    </r>
  </si>
  <si>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</si>
  <si>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</si>
  <si>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WenQuanYi Zen Hei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WenQuanYi Zen Hei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WenQuanYi Zen Hei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WenQuanYi Zen Hei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WenQuanYi Zen Hei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WenQuanYi Zen Hei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WenQuanYi Zen Hei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</si>
  <si>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</si>
  <si>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20261005_Tokenomics_v5.18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第一批寫入，工作單 </t>
    </r>
    <r>
      <rPr>
        <sz val="10"/>
        <color rgb="FF000000"/>
        <rFont val="Arial"/>
        <family val="0"/>
        <charset val="1"/>
      </rPr>
      <t xml:space="preserve">docs/workorders/20261005_v5.18.md r2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等級依 </t>
    </r>
    <r>
      <rPr>
        <sz val="10"/>
        <color rgb="FF000000"/>
        <rFont val="Arial"/>
        <family val="0"/>
        <charset val="1"/>
      </rPr>
      <t xml:space="preserve">S1 (a)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WenQuanYi Zen Hei"/>
        <family val="2"/>
      </rPr>
      <t xml:space="preserve">規則升級並登錄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C44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 C69 </t>
    </r>
    <r>
      <rPr>
        <sz val="10"/>
        <color rgb="FF000000"/>
        <rFont val="WenQuanYi Zen Hei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 </t>
    </r>
    <r>
      <rPr>
        <sz val="10"/>
        <color rgb="FF000000"/>
        <rFont val="WenQuanYi Zen Hei"/>
        <family val="2"/>
      </rPr>
      <t xml:space="preserve">改為內插值；</t>
    </r>
    <r>
      <rPr>
        <sz val="10"/>
        <color rgb="FF000000"/>
        <rFont val="Arial"/>
        <family val="0"/>
        <charset val="1"/>
      </rPr>
      <t xml:space="preserve">Arch KV </t>
    </r>
    <r>
      <rPr>
        <sz val="10"/>
        <color rgb="FF000000"/>
        <rFont val="WenQuanYi Zen Hei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C21 Hopper </t>
    </r>
    <r>
      <rPr>
        <sz val="10"/>
        <color rgb="FF000000"/>
        <rFont val="WenQuanYi Zen Hei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WenQuanYi Zen Hei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兩筆；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機架功率與價格、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機架功率更新；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欄改為單架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WenQuanYi Zen Hei"/>
        <family val="2"/>
      </rPr>
      <t xml:space="preserve">封裝並新增 </t>
    </r>
    <r>
      <rPr>
        <sz val="10"/>
        <color rgb="FF000000"/>
        <rFont val="Arial"/>
        <family val="0"/>
        <charset val="1"/>
      </rPr>
      <t xml:space="preserve">SRC_HW_061–064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WenQuanYi Zen Hei"/>
        <family val="2"/>
      </rPr>
      <t xml:space="preserve">區間依 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WenQuanYi Zen Hei"/>
        <family val="2"/>
      </rPr>
      <t xml:space="preserve">追蹤擴大；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WenQuanYi Zen Hei"/>
        <family val="2"/>
      </rPr>
      <t xml:space="preserve">欄改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法「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WenQuanYi Zen Hei"/>
        <family val="2"/>
      </rPr>
      <t xml:space="preserve">」分段；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WenQuanYi Zen Hei"/>
        <family val="2"/>
      </rPr>
      <t xml:space="preserve">列改述為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內部常數）。以下為 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WenQuanYi Zen Hei"/>
        <family val="2"/>
      </rPr>
      <t xml:space="preserve">（收尾小項：</t>
    </r>
    <r>
      <rPr>
        <sz val="10"/>
        <color rgb="FF000000"/>
        <rFont val="Arial"/>
        <family val="0"/>
        <charset val="1"/>
      </rPr>
      <t xml:space="preserve">L1!I43 </t>
    </r>
    <r>
      <rPr>
        <sz val="10"/>
        <color rgb="FF000000"/>
        <rFont val="WenQuanYi Zen Hei"/>
        <family val="2"/>
      </rPr>
      <t xml:space="preserve">讀法文字改為「依定義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」；數值與公式不變）。以下為 </t>
    </r>
    <r>
      <rPr>
        <sz val="10"/>
        <color rgb="FF000000"/>
        <rFont val="Arial"/>
        <family val="0"/>
        <charset val="1"/>
      </rPr>
      <t xml:space="preserve">v5.16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Answers </t>
    </r>
    <r>
      <rPr>
        <sz val="10"/>
        <color rgb="FF000000"/>
        <rFont val="WenQuanYi Zen Hei"/>
        <family val="2"/>
      </rPr>
      <t xml:space="preserve">修正：第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題新增理論毛利率兩列（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WenQuanYi Zen Hei"/>
        <family val="2"/>
      </rPr>
      <t xml:space="preserve">毛利口徑、</t>
    </r>
    <r>
      <rPr>
        <sz val="10"/>
        <color rgb="FF000000"/>
        <rFont val="Arial"/>
        <family val="0"/>
        <charset val="1"/>
      </rPr>
      <t xml:space="preserve">L1_Ans5_FullMargin </t>
    </r>
    <r>
      <rPr>
        <sz val="10"/>
        <color rgb="FF000000"/>
        <rFont val="WenQuanYi Zen Hei"/>
        <family val="2"/>
      </rPr>
      <t xml:space="preserve">全成本口徑；毛利口徑附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推論毛利隱含值對照）；第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題拆為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WenQuanYi Zen Hei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小時口徑（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WenQuanYi Zen Hei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題改為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前緣單價；第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題改連 </t>
    </r>
    <r>
      <rPr>
        <sz val="10"/>
        <color rgb="FF000000"/>
        <rFont val="Arial"/>
        <family val="0"/>
        <charset val="1"/>
      </rPr>
      <t xml:space="preserve">IF_HarR_Sol</t>
    </r>
    <r>
      <rPr>
        <sz val="10"/>
        <color rgb="FF000000"/>
        <rFont val="WenQuanYi Zen Hei"/>
        <family val="2"/>
      </rPr>
      <t xml:space="preserve">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欄位約定：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WenQuanYi Zen Hei"/>
        <family val="2"/>
      </rPr>
      <t xml:space="preserve">＝高，無區間時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WenQuanYi Zen Hei"/>
        <family val="2"/>
      </rPr>
      <t xml:space="preserve">檢查，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）。模型頁、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不動）。以下為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6 Alloc</t>
    </r>
    <r>
      <rPr>
        <sz val="10"/>
        <color rgb="FF000000"/>
        <rFont val="WenQuanYi Zen Hei"/>
        <family val="2"/>
      </rPr>
      <t xml:space="preserve">：研發與服務的算力配置。新增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（輸入：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、服務世代組合、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數、免費占比；全部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WenQuanYi Zen Hei"/>
        <family val="2"/>
      </rPr>
      <t xml:space="preserve">，附區間，登錄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WenQuanYi Zen Hei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WenQuanYi Zen Hei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→ </t>
    </r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→ </t>
    </r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→ Q1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→ </t>
    </r>
    <r>
      <rPr>
        <sz val="10"/>
        <color rgb="FF000000"/>
        <rFont val="WenQuanYi Zen Hei"/>
        <family val="2"/>
      </rPr>
      <t xml:space="preserve">校準反推 → 外部對照 → 敏感度表）；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WenQuanYi Zen Hei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Answers 9 </t>
    </r>
    <r>
      <rPr>
        <sz val="10"/>
        <color rgb="FF000000"/>
        <rFont val="WenQuanYi Zen Hei"/>
        <family val="2"/>
      </rPr>
      <t xml:space="preserve">題（</t>
    </r>
    <r>
      <rPr>
        <sz val="10"/>
        <color rgb="FF000000"/>
        <rFont val="Arial"/>
        <family val="0"/>
        <charset val="1"/>
      </rPr>
      <t xml:space="preserve">L1_Ans1–9</t>
    </r>
    <r>
      <rPr>
        <sz val="10"/>
        <color rgb="FF000000"/>
        <rFont val="WenQuanYi Zen Hei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SRC_DEM_010–013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E166–E169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A10 </t>
    </r>
    <r>
      <rPr>
        <sz val="10"/>
        <color rgb="FF000000"/>
        <rFont val="WenQuanYi Zen Hei"/>
        <family val="2"/>
      </rPr>
      <t xml:space="preserve">並將 </t>
    </r>
    <r>
      <rPr>
        <sz val="10"/>
        <color rgb="FF000000"/>
        <rFont val="Arial"/>
        <family val="0"/>
        <charset val="1"/>
      </rPr>
      <t xml:space="preserve">A1–A8 </t>
    </r>
    <r>
      <rPr>
        <sz val="10"/>
        <color rgb="FF000000"/>
        <rFont val="WenQuanYi Zen Hei"/>
        <family val="2"/>
      </rPr>
      <t xml:space="preserve">狀態改為「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WenQuanYi Zen Hei"/>
        <family val="2"/>
      </rPr>
      <t xml:space="preserve">已建」；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WenQuanYi Zen Hei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WenQuanYi Zen Hei"/>
        <family val="2"/>
      </rPr>
      <t xml:space="preserve">世代組合合計、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WenQuanYi Zen Hei"/>
        <family val="2"/>
      </rPr>
      <t xml:space="preserve">敏感度自我檢查），計入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WenQuanYi Zen Hei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既有列、既有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列的數值逐格不變）。以下為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WenQuanYi Zen Hei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WenQuanYi Zen Hei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WenQuanYi Zen Hei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WenQuanYi Zen Hei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WenQuanYi Zen Hei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WenQuanYi Zen Hei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WenQuanYi Zen Hei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WenQuanYi Zen Hei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WenQuanYi Zen Hei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WenQuanYi Zen Hei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WenQuanYi Zen Hei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WenQuanYi Zen Hei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WenQuanYi Zen Hei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WenQuanYi Zen Hei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WenQuanYi Zen Hei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WenQuanYi Zen Hei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WenQuanYi Zen Hei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WenQuanYi Zen Hei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WenQuanYi Zen Hei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WenQuanYi Zen Hei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WenQuanYi Zen Hei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WenQuanYi Zen Hei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WenQuanYi Zen Hei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WenQuanYi Zen Hei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WenQuanYi Zen Hei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WenQuanYi Zen Hei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WenQuanYi Zen Hei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WenQuanYi Zen Hei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WenQuanYi Zen Hei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WenQuanYi Zen Hei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WenQuanYi Zen Hei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WenQuanYi Zen Hei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WenQuanYi Zen Hei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WenQuanYi Zen Hei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WenQuanYi Zen Hei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WenQuanYi Zen Hei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WenQuanYi Zen Hei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WenQuanYi Zen Hei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WenQuanYi Zen Hei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WenQuanYi Zen Hei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WenQuanYi Zen Hei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WenQuanYi Zen Hei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WenQuanYi Zen Hei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WenQuanYi Zen Hei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WenQuanYi Zen Hei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WenQuanYi Zen Hei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WenQuanYi Zen Hei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WenQuanYi Zen Hei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WenQuanYi Zen Hei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WenQuanYi Zen Hei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WenQuanYi Zen Hei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WenQuanYi Zen Hei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WenQuanYi Zen Hei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WenQuanYi Zen Hei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WenQuanYi Zen Hei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WenQuanYi Zen Hei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WenQuanYi Zen Hei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WenQuanYi Zen Hei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WenQuanYi Zen Hei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WenQuanYi Zen Hei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WenQuanYi Zen Hei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WenQuanYi Zen Hei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</si>
  <si>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</si>
  <si>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WenQuanYi Zen Hei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WenQuanYi Zen Hei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WenQuanYi Zen Hei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WenQuanYi Zen Hei"/>
        <family val="2"/>
      </rPr>
      <t xml:space="preserve">）。</t>
    </r>
  </si>
  <si>
    <r>
      <rPr>
        <b val="true"/>
        <sz val="10"/>
        <rFont val="WenQuanYi Zen Hei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</si>
  <si>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WenQuanYi Zen Hei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WenQuanYi Zen Hei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WenQuanYi Zen Hei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WenQuanYi Zen Hei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WenQuanYi Zen Hei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WenQuanYi Zen Hei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WenQuanYi Zen Hei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WenQuanYi Zen Hei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WenQuanYi Zen Hei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</si>
  <si>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WenQuanYi Zen Hei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</si>
  <si>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WenQuanYi Zen Hei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WenQuanYi Zen Hei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WenQuanYi Zen Hei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WenQuanYi Zen Hei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WenQuanYi Zen Hei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WenQuanYi Zen Hei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WenQuanYi Zen Hei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WenQuanYi Zen Hei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</si>
  <si>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</si>
  <si>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Capability → Price_Frontier → Cache_Store → Fleet_1GW → Amortize → Theory_Rev → Sens_Rev → Har_In → Harness → Sens_Har → Alloc_In → Alloc → Interface → L1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</si>
  <si>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6 </t>
    </r>
    <r>
      <rPr>
        <b val="true"/>
        <sz val="10"/>
        <rFont val="WenQuanYi Zen Hei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</si>
  <si>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實驗室年度算力＝研發需求＋服務需求。需求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 × 525,600 × </t>
    </r>
    <r>
      <rPr>
        <sz val="10"/>
        <color rgb="FF000000"/>
        <rFont val="WenQuanYi Zen Hei"/>
        <family val="2"/>
      </rPr>
      <t xml:space="preserve">全年平均比例；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WenQuanYi Zen Hei"/>
        <family val="2"/>
      </rPr>
      <t xml:space="preserve">。服務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WenQuanYi Zen Hei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年產能（依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WenQuanYi Zen Hei"/>
        <family val="2"/>
      </rPr>
      <t xml:space="preserve">層級組合與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WenQuanYi Zen Hei"/>
        <family val="2"/>
      </rPr>
      <t xml:space="preserve">，寫法同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19–29 </t>
    </r>
    <r>
      <rPr>
        <sz val="10"/>
        <color rgb="FF000000"/>
        <rFont val="WenQuanYi Zen Hei"/>
        <family val="2"/>
      </rPr>
      <t xml:space="preserve">列）。研發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WenQuanYi Zen Hei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WenQuanYi Zen Hei"/>
        <family val="2"/>
      </rPr>
      <t xml:space="preserve">改版計畫），家族計畫＝</t>
    </r>
    <r>
      <rPr>
        <sz val="10"/>
        <color rgb="FF000000"/>
        <rFont val="Arial"/>
        <family val="0"/>
        <charset val="1"/>
      </rPr>
      <t xml:space="preserve">IF_ProgGWyr </t>
    </r>
    <r>
      <rPr>
        <sz val="10"/>
        <color rgb="FF000000"/>
        <rFont val="WenQuanYi Zen Hei"/>
        <family val="2"/>
      </rPr>
      <t xml:space="preserve">三層級合計，改版計畫＝後訓練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研發倍數換算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年（訓練世代＝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WenQuanYi Zen Hei"/>
        <family val="2"/>
      </rPr>
      <t xml:space="preserve">（研發＋服務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以各世代 </t>
    </r>
    <r>
      <rPr>
        <sz val="10"/>
        <color rgb="FF000000"/>
        <rFont val="Arial"/>
        <family val="0"/>
        <charset val="1"/>
      </rPr>
      <t xml:space="preserve">IF_HoldEcon </t>
    </r>
    <r>
      <rPr>
        <sz val="10"/>
        <color rgb="FF000000"/>
        <rFont val="WenQuanYi Zen Hei"/>
        <family val="2"/>
      </rPr>
      <t xml:space="preserve">加權，利用率不進入。研發占比的物理部分只給下限，實際占比由策略變數決定。隱含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支出比反推（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不可達時回傳文字。決策 </t>
    </r>
    <r>
      <rPr>
        <sz val="10"/>
        <color rgb="FF000000"/>
        <rFont val="Arial"/>
        <family val="0"/>
        <charset val="1"/>
      </rPr>
      <t xml:space="preserve">A1–A10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</si>
  <si>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WenQuanYi Zen Hei"/>
        <family val="2"/>
      </rPr>
      <t xml:space="preserve">推導</t>
    </r>
  </si>
  <si>
    <r>
      <rPr>
        <sz val="10"/>
        <color rgb="FF000000"/>
        <rFont val="WenQuanYi Zen Hei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WenQuanYi Zen Hei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WenQuanYi Zen Hei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WenQuanYi Zen Hei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WenQuanYi Zen Hei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</si>
  <si>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WenQuanYi Zen Hei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</si>
  <si>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WenQuanYi Zen Hei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WenQuanYi Zen Hei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WenQuanYi Zen Hei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WenQuanYi Zen Hei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WenQuanYi Zen Hei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WenQuanYi Zen Hei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WenQuanYi Zen Hei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WenQuanYi Zen Hei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</si>
  <si>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WenQuanYi Zen Hei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</si>
  <si>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</si>
  <si>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</si>
  <si>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</si>
  <si>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</si>
  <si>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WenQuanYi Zen Hei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WenQuanYi Zen Hei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WenQuanYi Zen Hei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WenQuanYi Zen Hei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</si>
  <si>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WenQuanYi Zen Hei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</si>
  <si>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WenQuanYi Zen Hei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WenQuanYi Zen Hei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WenQuanYi Zen Hei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WenQuanYi Zen Hei"/>
        <family val="2"/>
      </rPr>
      <t xml:space="preserve">）。</t>
    </r>
  </si>
  <si>
    <t xml:space="preserve">成本情境</t>
  </si>
  <si>
    <r>
      <rPr>
        <sz val="10"/>
        <color rgb="FF000000"/>
        <rFont val="WenQuanYi Zen Hei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WenQuanYi Zen Hei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WenQuanYi Zen Hei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</si>
  <si>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</si>
  <si>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WenQuanYi Zen Hei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機架數。</t>
    </r>
  </si>
  <si>
    <t xml:space="preserve">顏色</t>
  </si>
  <si>
    <r>
      <rPr>
        <sz val="10"/>
        <color rgb="FF000000"/>
        <rFont val="WenQuanYi Zen Hei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</si>
  <si>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</si>
  <si>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一律給區間。</t>
    </r>
  </si>
  <si>
    <t xml:space="preserve">網站同步</t>
  </si>
  <si>
    <r>
      <rPr>
        <sz val="10"/>
        <color rgb="FF000000"/>
        <rFont val="WenQuanYi Zen Hei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WenQuanYi Zen Hei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WenQuanYi Zen Hei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WenQuanYi Zen Hei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WenQuanYi Zen Hei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</si>
  <si>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</si>
  <si>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WenQuanYi Zen Hei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WenQuanYi Zen Hei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WenQuanYi Zen Hei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WenQuanYi Zen Hei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WenQuanYi Zen Hei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WenQuanYi Zen Hei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WenQuanYi Zen Hei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WenQuanYi Zen Hei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WenQuanYi Zen Hei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WenQuanYi Zen Hei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WenQuanYi Zen Hei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WenQuanYi Zen Hei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WenQuanYi Zen Hei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WenQuanYi Zen Hei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WenQuanYi Zen Hei"/>
        <family val="2"/>
      </rPr>
      <t xml:space="preserve">），兩者下游不得連結。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</si>
  <si>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WenQuanYi Zen Hei"/>
        <family val="2"/>
      </rPr>
      <t xml:space="preserve">推導</t>
    </r>
  </si>
  <si>
    <r>
      <rPr>
        <sz val="10"/>
        <color rgb="FF000000"/>
        <rFont val="WenQuanYi Zen Hei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WenQuanYi Zen Hei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WenQuanYi Zen Hei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WenQuanYi Zen Hei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</si>
  <si>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WenQuanYi Zen Hei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</si>
  <si>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WenQuanYi Zen Hei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WenQuanYi Zen Hei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WenQuanYi Zen Hei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WenQuanYi Zen Hei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WenQuanYi Zen Hei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WenQuanYi Zen Hei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WenQuanYi Zen Hei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WenQuanYi Zen Hei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WenQuanYi Zen Hei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WenQuanYi Zen Hei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WenQuanYi Zen Hei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WenQuanYi Zen Hei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WenQuanYi Zen Hei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WenQuanYi Zen Hei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WenQuanYi Zen Hei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</si>
  <si>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WenQuanYi Zen Hei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</si>
  <si>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WenQuanYi Zen Hei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WenQuanYi Zen Hei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WenQuanYi Zen Hei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</si>
  <si>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WenQuanYi Zen Hei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</si>
  <si>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WenQuanYi Zen Hei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WenQuanYi Zen Hei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WenQuanYi Zen Hei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WenQuanYi Zen Hei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WenQuanYi Zen Hei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WenQuanYi Zen Hei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WenQuanYi Zen Hei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</si>
  <si>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</si>
  <si>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WenQuanYi Zen Hei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</si>
  <si>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</si>
  <si>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WenQuanYi Zen Hei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WenQuanYi Zen Hei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WenQuanYi Zen Hei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WenQuanYi Zen Hei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WenQuanYi Zen Hei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WenQuanYi Zen Hei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WenQuanYi Zen Hei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WenQuanYi Zen Hei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WenQuanYi Zen Hei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WenQuanYi Zen Hei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WenQuanYi Zen Hei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WenQuanYi Zen Hei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WenQuanYi Zen Hei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WenQuanYi Zen Hei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WenQuanYi Zen Hei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WenQuanYi Zen Hei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WenQuanYi Zen Hei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WenQuanYi Zen Hei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WenQuanYi Zen Hei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WenQuanYi Zen Hei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WenQuanYi Zen Hei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WenQuanYi Zen Hei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成本延後。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</si>
  <si>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WenQuanYi Zen Hei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</si>
  <si>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</si>
  <si>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</si>
  <si>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</si>
  <si>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</si>
  <si>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</si>
  <si>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</si>
  <si>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</si>
  <si>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</si>
  <si>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</si>
  <si>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</si>
  <si>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</si>
  <si>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</si>
  <si>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</si>
  <si>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t xml:space="preserve">功率情境（1 低／2 基準／3 高）</t>
  </si>
  <si>
    <t xml:space="preserve">選擇</t>
  </si>
  <si>
    <t xml:space="preserve">決定每架配電設計功率；見 Spec_Rack 第 9–11 列</t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</si>
  <si>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</si>
  <si>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</si>
  <si>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</si>
  <si>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</si>
  <si>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</si>
  <si>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t xml:space="preserve">PUE</t>
  </si>
  <si>
    <t xml:space="preserve">x</t>
  </si>
  <si>
    <t xml:space="preserve">Analogy</t>
  </si>
  <si>
    <t xml:space="preserve">液冷 AI 設施；v4＝1.2。S14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</si>
  <si>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</si>
  <si>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WenQuanYi Zen Hei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</si>
  <si>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</si>
  <si>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</si>
  <si>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</si>
  <si>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WenQuanYi Zen Hei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WenQuanYi Zen Hei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</si>
  <si>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WenQuanYi Zen Hei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</si>
  <si>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WenQuanYi Zen Hei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</si>
  <si>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WenQuanYi Zen Hei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</si>
  <si>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</si>
  <si>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</si>
  <si>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WenQuanYi Zen Hei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</si>
  <si>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</si>
  <si>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</si>
  <si>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</si>
  <si>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WenQuanYi Zen Hei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</si>
  <si>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</si>
  <si>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</si>
  <si>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</si>
  <si>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</si>
  <si>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</si>
  <si>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</si>
  <si>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</si>
  <si>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</si>
  <si>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WenQuanYi Zen Hei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</si>
  <si>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</si>
  <si>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</si>
  <si>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</si>
  <si>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</si>
  <si>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</si>
  <si>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WenQuanYi Zen Hei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WenQuanYi Zen Hei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WenQuanYi Zen Hei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</si>
  <si>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</si>
  <si>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</si>
  <si>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</si>
  <si>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</si>
  <si>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</si>
  <si>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WenQuanYi Zen Hei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</si>
  <si>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</si>
  <si>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</si>
  <si>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維護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</si>
  <si>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WenQuanYi Zen Hei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</si>
  <si>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3%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</si>
  <si>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</si>
  <si>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WenQuanYi Zen Hei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</si>
  <si>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</si>
  <si>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</si>
  <si>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</si>
  <si>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</si>
  <si>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</si>
  <si>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</si>
  <si>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</si>
  <si>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</si>
  <si>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</si>
  <si>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</si>
  <si>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WenQuanYi Zen Hei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</si>
  <si>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</si>
  <si>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WenQuanYi Zen Hei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WenQuanYi Zen Hei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WenQuanYi Zen Hei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</si>
  <si>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</si>
  <si>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</si>
  <si>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</si>
  <si>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</si>
  <si>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</si>
  <si>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</si>
  <si>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b val="true"/>
        <sz val="10"/>
        <color rgb="FF000000"/>
        <rFont val="Arial"/>
        <family val="0"/>
        <charset val="1"/>
      </rPr>
      <t xml:space="preserve">Rubin Ultra</t>
    </r>
    <r>
      <rPr>
        <b val="true"/>
        <sz val="10"/>
        <color rgb="FF000000"/>
        <rFont val="WenQuanYi Zen Hei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MGX NVL </t>
    </r>
    <r>
      <rPr>
        <b val="true"/>
        <sz val="10"/>
        <color rgb="FF000000"/>
        <rFont val="WenQuanYi Zen Hei"/>
        <family val="2"/>
      </rPr>
      <t xml:space="preserve">單架，</t>
    </r>
    <r>
      <rPr>
        <b val="true"/>
        <sz val="10"/>
        <color rgb="FF000000"/>
        <rFont val="Arial"/>
        <family val="0"/>
        <charset val="1"/>
      </rPr>
      <t xml:space="preserve">72 GPU</t>
    </r>
    <r>
      <rPr>
        <b val="true"/>
        <sz val="10"/>
        <color rgb="FF000000"/>
        <rFont val="WenQuanYi Zen Hei"/>
        <family val="2"/>
      </rPr>
      <t xml:space="preserve">）</t>
    </r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</si>
  <si>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</si>
  <si>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</si>
  <si>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</si>
  <si>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WenQuanYi Zen Hei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</si>
  <si>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WenQuanYi Zen Hei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</si>
  <si>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</si>
  <si>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個單架互連）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</si>
  <si>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</si>
  <si>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</si>
  <si>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</si>
  <si>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</si>
  <si>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</si>
  <si>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</si>
  <si>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</si>
  <si>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</si>
  <si>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</si>
  <si>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</si>
  <si>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</si>
  <si>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</si>
  <si>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WenQuanYi Zen Hei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WenQuanYi Zen Hei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WenQuanYi Zen Hei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</si>
  <si>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</si>
  <si>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</t>
  </si>
  <si>
    <r>
      <rPr>
        <sz val="10"/>
        <color rgb="FF808080"/>
        <rFont val="Arial"/>
        <family val="0"/>
        <charset val="1"/>
      </rPr>
      <t xml:space="preserve">72 </t>
    </r>
    <r>
      <rPr>
        <sz val="10"/>
        <color rgb="FF808080"/>
        <rFont val="WenQuanYi Zen Hei"/>
        <family val="2"/>
      </rPr>
      <t xml:space="preserve">封裝（單架）；價格＝</t>
    </r>
    <r>
      <rPr>
        <sz val="10"/>
        <color rgb="FF808080"/>
        <rFont val="Arial"/>
        <family val="0"/>
        <charset val="1"/>
      </rPr>
      <t xml:space="preserve">VR200 </t>
    </r>
    <r>
      <rPr>
        <sz val="10"/>
        <color rgb="FF808080"/>
        <rFont val="WenQuanYi Zen Hei"/>
        <family val="2"/>
      </rPr>
      <t xml:space="preserve">機架價格（</t>
    </r>
    <r>
      <rPr>
        <sz val="10"/>
        <color rgb="FF808080"/>
        <rFont val="Arial"/>
        <family val="0"/>
        <charset val="1"/>
      </rPr>
      <t xml:space="preserve">F12</t>
    </r>
    <r>
      <rPr>
        <sz val="10"/>
        <color rgb="FF808080"/>
        <rFont val="WenQuanYi Zen Hei"/>
        <family val="2"/>
      </rPr>
      <t xml:space="preserve">，售價口徑）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WenQuanYi Zen Hei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WenQuanYi Zen Hei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WenQuanYi Zen Hei"/>
        <family val="2"/>
      </rPr>
      <t xml:space="preserve">（公式；倍數 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WenQuanYi Zen Hei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J2</t>
    </r>
    <r>
      <rPr>
        <sz val="10"/>
        <color rgb="FF808080"/>
        <rFont val="WenQuanYi Zen Hei"/>
        <family val="2"/>
      </rPr>
      <t xml:space="preserve">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</si>
  <si>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</si>
  <si>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WenQuanYi Zen Hei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WenQuanYi Zen Hei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WenQuanYi Zen Hei"/>
        <family val="2"/>
      </rPr>
      <t xml:space="preserve">）</t>
    </r>
  </si>
  <si>
    <t xml:space="preserve">約 120–132 kW（SemiAnalysis 約 120；HPE QuickSpecs TDP 132 nominal；S3）；基準 132；v4＝139</t>
  </si>
  <si>
    <r>
      <rPr>
        <sz val="10"/>
        <color rgb="FF808080"/>
        <rFont val="Arial"/>
        <family val="0"/>
        <charset val="1"/>
      </rPr>
      <t xml:space="preserve">132–140 kW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wing.vc</t>
    </r>
    <r>
      <rPr>
        <sz val="10"/>
        <color rgb="FF808080"/>
        <rFont val="WenQuanYi Zen Hei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WenQuanYi Zen Hei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WenQuanYi Zen Hei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136</t>
    </r>
    <r>
      <rPr>
        <sz val="10"/>
        <color rgb="FF808080"/>
        <rFont val="WenQuanYi Zen Hei"/>
        <family val="2"/>
      </rPr>
      <t xml:space="preserve">（區間中點）</t>
    </r>
  </si>
  <si>
    <r>
      <rPr>
        <sz val="10"/>
        <color rgb="FF808080"/>
        <rFont val="Arial"/>
        <family val="0"/>
        <charset val="1"/>
      </rPr>
      <t xml:space="preserve">Max-Q 188</t>
    </r>
    <r>
      <rPr>
        <sz val="10"/>
        <color rgb="FF808080"/>
        <rFont val="WenQuanYi Zen Hei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227 kW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Schneider Electric </t>
    </r>
    <r>
      <rPr>
        <sz val="10"/>
        <color rgb="FF808080"/>
        <rFont val="WenQuanYi Zen Hei"/>
        <family val="2"/>
      </rPr>
      <t xml:space="preserve">的 </t>
    </r>
    <r>
      <rPr>
        <sz val="10"/>
        <color rgb="FF808080"/>
        <rFont val="Arial"/>
        <family val="0"/>
        <charset val="1"/>
      </rPr>
      <t xml:space="preserve">NVIDIA VR NVL72 </t>
    </r>
    <r>
      <rPr>
        <sz val="10"/>
        <color rgb="FF808080"/>
        <rFont val="WenQuanYi Zen Hei"/>
        <family val="2"/>
      </rPr>
      <t xml:space="preserve">參考設計 </t>
    </r>
    <r>
      <rPr>
        <sz val="10"/>
        <color rgb="FF808080"/>
        <rFont val="Arial"/>
        <family val="0"/>
        <charset val="1"/>
      </rPr>
      <t xml:space="preserve">MaxQ 188</t>
    </r>
    <r>
      <rPr>
        <sz val="10"/>
        <color rgb="FF808080"/>
        <rFont val="WenQuanYi Zen Hei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MaxP 227</t>
    </r>
    <r>
      <rPr>
        <sz val="10"/>
        <color rgb="FF808080"/>
        <rFont val="WenQuanYi Zen Hei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2026-05-08</t>
    </r>
    <r>
      <rPr>
        <sz val="10"/>
        <color rgb="FF808080"/>
        <rFont val="WenQuanYi Zen Hei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WenQuanYi Zen Hei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</t>
    </r>
    <r>
      <rPr>
        <sz val="10"/>
        <color rgb="FF808080"/>
        <rFont val="WenQuanYi Zen Hei"/>
        <family val="2"/>
      </rPr>
      <t xml:space="preserve">產品頁 </t>
    </r>
    <r>
      <rPr>
        <sz val="10"/>
        <color rgb="FF808080"/>
        <rFont val="Arial"/>
        <family val="0"/>
        <charset val="1"/>
      </rPr>
      <t xml:space="preserve">DLC-2 </t>
    </r>
    <r>
      <rPr>
        <sz val="10"/>
        <color rgb="FF808080"/>
        <rFont val="WenQuanYi Zen Hei"/>
        <family val="2"/>
      </rPr>
      <t xml:space="preserve">冷卻 </t>
    </r>
    <r>
      <rPr>
        <sz val="10"/>
        <color rgb="FF808080"/>
        <rFont val="Arial"/>
        <family val="0"/>
        <charset val="1"/>
      </rPr>
      <t xml:space="preserve">sized for 227 kW per rack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SRC_HW_064</t>
    </r>
    <r>
      <rPr>
        <sz val="10"/>
        <color rgb="FF808080"/>
        <rFont val="WenQuanYi Zen Hei"/>
        <family val="2"/>
      </rPr>
      <t xml:space="preserve">，口徑不同）</t>
    </r>
  </si>
  <si>
    <t xml:space="preserve">單架 300／340／454 kW（Derived：低＝舊路線圖 600 kW 依封裝數等比；基準＝72×3.6 kW＋VR 機架非 GPU 功率 61–97 kW 取 340；高＝VR 整架／GPU 功率比值等比；NVIDIA 未公布單架 kW）</t>
  </si>
  <si>
    <t xml:space="preserve">價格來源</t>
  </si>
  <si>
    <r>
      <rPr>
        <sz val="10"/>
        <color rgb="FF808080"/>
        <rFont val="Arial"/>
        <family val="0"/>
        <charset val="1"/>
      </rPr>
      <t xml:space="preserve">HGX H100 8 GPU </t>
    </r>
    <r>
      <rPr>
        <sz val="10"/>
        <color rgb="FF808080"/>
        <rFont val="WenQuanYi Zen Hei"/>
        <family val="2"/>
      </rPr>
      <t xml:space="preserve">伺服器約 </t>
    </r>
    <r>
      <rPr>
        <sz val="10"/>
        <color rgb="FF808080"/>
        <rFont val="Arial"/>
        <family val="0"/>
        <charset val="1"/>
      </rPr>
      <t xml:space="preserve">$220–320K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S2</t>
    </r>
    <r>
      <rPr>
        <sz val="10"/>
        <color rgb="FF808080"/>
        <rFont val="WenQuanYi Zen Hei"/>
        <family val="2"/>
      </rPr>
      <t xml:space="preserve">，弱證據）</t>
    </r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</si>
  <si>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WenQuanYi Zen Hei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WenQuanYi Zen Hei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</si>
  <si>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WenQuanYi Zen Hei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$4M</t>
    </r>
    <r>
      <rPr>
        <sz val="10"/>
        <color rgb="FF808080"/>
        <rFont val="WenQuanYi Zen Hei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2026-08 </t>
    </r>
    <r>
      <rPr>
        <sz val="10"/>
        <color rgb="FF808080"/>
        <rFont val="WenQuanYi Zen Hei"/>
        <family val="2"/>
      </rPr>
      <t xml:space="preserve">採購單約 </t>
    </r>
    <r>
      <rPr>
        <sz val="10"/>
        <color rgb="FF808080"/>
        <rFont val="Arial"/>
        <family val="0"/>
        <charset val="1"/>
      </rPr>
      <t xml:space="preserve">$5M</t>
    </r>
    <r>
      <rPr>
        <sz val="10"/>
        <color rgb="FF808080"/>
        <rFont val="WenQuanYi Zen Hei"/>
        <family val="2"/>
      </rPr>
      <t xml:space="preserve">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WenQuanYi Zen Hei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S6</t>
    </r>
    <r>
      <rPr>
        <sz val="10"/>
        <color rgb="FF808080"/>
        <rFont val="WenQuanYi Zen Hei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</si>
  <si>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WenQuanYi Zen Hei"/>
        <family val="2"/>
      </rPr>
      <t xml:space="preserve">物料成本 </t>
    </r>
    <r>
      <rPr>
        <sz val="10"/>
        <color rgb="FF808080"/>
        <rFont val="Arial"/>
        <family val="0"/>
        <charset val="1"/>
      </rPr>
      <t xml:space="preserve">BOM $7.8M</t>
    </r>
    <r>
      <rPr>
        <sz val="10"/>
        <color rgb="FF808080"/>
        <rFont val="WenQuanYi Zen Hei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WenQuanYi Zen Hei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WenQuanYi Zen Hei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WenQuanYi Zen Hei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v5.18</t>
    </r>
    <r>
      <rPr>
        <sz val="10"/>
        <color rgb="FF808080"/>
        <rFont val="WenQuanYi Zen Hei"/>
        <family val="2"/>
      </rPr>
      <t xml:space="preserve">：基準 </t>
    </r>
    <r>
      <rPr>
        <sz val="10"/>
        <color rgb="FF808080"/>
        <rFont val="Arial"/>
        <family val="0"/>
        <charset val="1"/>
      </rPr>
      <t xml:space="preserve">8.4</t>
    </r>
    <r>
      <rPr>
        <sz val="10"/>
        <color rgb="FF808080"/>
        <rFont val="WenQuanYi Zen Hei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MS BOM 7.8 ×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WenQuanYi Zen Hei"/>
        <family val="2"/>
      </rPr>
      <t xml:space="preserve">＋代工毛利約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WenQuanYi Zen Hei"/>
        <family val="2"/>
      </rPr>
      <t xml:space="preserve">，區間 </t>
    </r>
    <r>
      <rPr>
        <sz val="10"/>
        <color rgb="FF808080"/>
        <rFont val="Arial"/>
        <family val="0"/>
        <charset val="1"/>
      </rPr>
      <t xml:space="preserve">5–10%</t>
    </r>
    <r>
      <rPr>
        <sz val="10"/>
        <color rgb="FF808080"/>
        <rFont val="WenQuanYi Zen Hei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WenQuanYi Zen Hei"/>
        <family val="2"/>
      </rPr>
      <t xml:space="preserve">）；低 </t>
    </r>
    <r>
      <rPr>
        <sz val="10"/>
        <color rgb="FF808080"/>
        <rFont val="Arial"/>
        <family val="0"/>
        <charset val="1"/>
      </rPr>
      <t xml:space="preserve">7.8</t>
    </r>
    <r>
      <rPr>
        <sz val="10"/>
        <color rgb="FF808080"/>
        <rFont val="WenQuanYi Zen Hei"/>
        <family val="2"/>
      </rPr>
      <t xml:space="preserve">（零毛利 </t>
    </r>
    <r>
      <rPr>
        <sz val="10"/>
        <color rgb="FF808080"/>
        <rFont val="Arial"/>
        <family val="0"/>
        <charset val="1"/>
      </rPr>
      <t xml:space="preserve">BOM </t>
    </r>
    <r>
      <rPr>
        <sz val="10"/>
        <color rgb="FF808080"/>
        <rFont val="WenQuanYi Zen Hei"/>
        <family val="2"/>
      </rPr>
      <t xml:space="preserve">下限）、高 </t>
    </r>
    <r>
      <rPr>
        <sz val="10"/>
        <color rgb="FF808080"/>
        <rFont val="Arial"/>
        <family val="0"/>
        <charset val="1"/>
      </rPr>
      <t xml:space="preserve">9.1</t>
    </r>
    <r>
      <rPr>
        <sz val="10"/>
        <color rgb="FF808080"/>
        <rFont val="WenQuanYi Zen Hei"/>
        <family val="2"/>
      </rPr>
      <t xml:space="preserve">（不變，</t>
    </r>
    <r>
      <rPr>
        <sz val="10"/>
        <color rgb="FF808080"/>
        <rFont val="Arial"/>
        <family val="0"/>
        <charset val="1"/>
      </rPr>
      <t xml:space="preserve">Bernstein</t>
    </r>
    <r>
      <rPr>
        <sz val="10"/>
        <color rgb="FF808080"/>
        <rFont val="WenQuanYi Zen Hei"/>
        <family val="2"/>
      </rPr>
      <t xml:space="preserve">）</t>
    </r>
  </si>
  <si>
    <t xml:space="preserve">無公開報價；純推估，不進基準比較</t>
  </si>
  <si>
    <t xml:space="preserve">Interested-party</t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</si>
  <si>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WenQuanYi Zen Hei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Assumed</t>
    </r>
  </si>
  <si>
    <t xml:space="preserve">註：GPU 數為封裝數。Rubin Ultra 欄為 MGX NVL 單架 72 封裝（NVIDIA 2026-09 技術部落格：NVL576＝8 個單架互連為單一 576-GPU NVLink 域；『GPU』＝封裝為推斷 [Derived]，部落格未明載）；Kyber NVL144 屬 Feynman 世代，不納入。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</si>
  <si>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WenQuanYi Zen Hei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WenQuanYi Zen Hei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</si>
  <si>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</si>
  <si>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</si>
  <si>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</si>
  <si>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WenQuanYi Zen Hei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服務</t>
    </r>
  </si>
  <si>
    <r>
      <rPr>
        <sz val="10"/>
        <color rgb="FF000000"/>
        <rFont val="WenQuanYi Zen Hei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WenQuanYi Zen Hei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</si>
  <si>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WenQuanYi Zen Hei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WenQuanYi Zen Hei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WenQuanYi Zen Hei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DGX VR </t>
    </r>
    <r>
      <rPr>
        <sz val="9"/>
        <color rgb="FF595959"/>
        <rFont val="WenQuanYi Zen Hei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2,520 PF÷72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單架 </t>
    </r>
    <r>
      <rPr>
        <sz val="9"/>
        <color rgb="FF595959"/>
        <rFont val="Arial"/>
        <family val="0"/>
        <charset val="1"/>
      </rPr>
      <t xml:space="preserve">72 </t>
    </r>
    <r>
      <rPr>
        <sz val="9"/>
        <color rgb="FF595959"/>
        <rFont val="WenQuanYi Zen Hei"/>
        <family val="2"/>
      </rPr>
      <t xml:space="preserve">封裝：</t>
    </r>
    <r>
      <rPr>
        <sz val="9"/>
        <color rgb="FF595959"/>
        <rFont val="Arial"/>
        <family val="0"/>
        <charset val="1"/>
      </rPr>
      <t xml:space="preserve">2×35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v5.18]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</si>
  <si>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WenQuanYi Zen Hei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</si>
  <si>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WenQuanYi Zen Hei"/>
        <family val="2"/>
      </rPr>
      <t xml:space="preserve">含自適應壓縮（</t>
    </r>
    <r>
      <rPr>
        <sz val="9"/>
        <color rgb="FF595959"/>
        <rFont val="Arial"/>
        <family val="0"/>
        <charset val="1"/>
      </rPr>
      <t xml:space="preserve">Sparse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每封裝 </t>
    </r>
    <r>
      <rPr>
        <sz val="9"/>
        <color rgb="FF595959"/>
        <rFont val="Arial"/>
        <family val="0"/>
        <charset val="1"/>
      </rPr>
      <t xml:space="preserve">2×50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 [Derived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WenQuanYi Zen Hei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15 EF÷144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104]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WenQuanYi Zen Hei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</si>
  <si>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</si>
  <si>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WenQuanYi Zen Hei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WenQuanYi Zen Hei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</si>
  <si>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</si>
  <si>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WenQuanYi Zen Hei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</si>
  <si>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WenQuanYi Zen Hei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</si>
  <si>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WenQuanYi Zen Hei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</si>
  <si>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WenQuanYi Zen Hei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</si>
  <si>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WenQuanYi Zen Hei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</si>
  <si>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WenQuanYi Zen Hei"/>
        <family val="2"/>
      </rPr>
      <t xml:space="preserve">。權重放不下時自動加寬</t>
    </r>
  </si>
  <si>
    <r>
      <rPr>
        <sz val="10"/>
        <color rgb="FF000000"/>
        <rFont val="WenQuanYi Zen Hei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</si>
  <si>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WenQuanYi Zen Hei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WenQuanYi Zen Hei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</si>
  <si>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WenQuanYi Zen Hei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</si>
  <si>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WenQuanYi Zen Hei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</si>
  <si>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</si>
  <si>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</si>
  <si>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WenQuanYi Zen Hei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</si>
  <si>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</si>
  <si>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</si>
  <si>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WenQuanYi Zen Hei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</si>
  <si>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WenQuanYi Zen Hei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WenQuanYi Zen Hei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</si>
  <si>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</si>
  <si>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WenQuanYi Zen Hei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WenQuanYi Zen Hei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WenQuanYi Zen Hei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WenQuanYi Zen Hei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WenQuanYi Zen Hei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</si>
  <si>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</si>
  <si>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</si>
  <si>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WenQuanYi Zen Hei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</si>
  <si>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WenQuanYi Zen Hei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17.5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1,260 PF÷72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WenQuanYi Zen Hei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35.0 [Derived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WenQuanYi Zen Hei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5 EF÷144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34.7]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</si>
  <si>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WenQuanYi Zen Hei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</si>
  <si>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WenQuanYi Zen Hei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WenQuanYi Zen Hei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35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WenQuanYi Zen Hei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VR×104/50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73]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</si>
  <si>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WenQuanYi Zen Hei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WenQuanYi Zen Hei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</si>
  <si>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WenQuanYi Zen Hei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WenQuanYi Zen Hei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</si>
  <si>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WenQuanYi Zen Hei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</si>
  <si>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WenQuanYi Zen Hei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</si>
  <si>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WenQuanYi Zen Hei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</si>
  <si>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</si>
  <si>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</si>
  <si>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</si>
  <si>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</si>
  <si>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WenQuanYi Zen Hei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</si>
  <si>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</si>
  <si>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</si>
  <si>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</si>
  <si>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WenQuanYi Zen Hei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</si>
  <si>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</si>
  <si>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</si>
  <si>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</si>
  <si>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</si>
  <si>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WenQuanYi Zen Hei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</si>
  <si>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</si>
  <si>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WenQuanYi Zen Hei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WenQuanYi Zen Hei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</si>
  <si>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</si>
  <si>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WenQuanYi Zen Hei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WenQuanYi Zen Hei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</si>
  <si>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</si>
  <si>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WenQuanYi Zen Hei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</si>
  <si>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</si>
  <si>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</si>
  <si>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</si>
  <si>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</si>
  <si>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</si>
  <si>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WenQuanYi Zen Hei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全層注意力</t>
    </r>
  </si>
  <si>
    <r>
      <rPr>
        <sz val="10"/>
        <color rgb="FF000000"/>
        <rFont val="WenQuanYi Zen Hei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＝全上下文）</t>
    </r>
  </si>
  <si>
    <t xml:space="preserve">tok</t>
  </si>
  <si>
    <t xml:space="preserve">Derived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</si>
  <si>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WenQuanYi Zen Hei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WenQuanYi Zen Hei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WenQuanYi Zen Hei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</si>
  <si>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</si>
  <si>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WenQuanYi Zen Hei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</si>
  <si>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</si>
  <si>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WenQuanYi Zen Hei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</si>
  <si>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WenQuanYi Zen Hei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</si>
  <si>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</si>
  <si>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</si>
  <si>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WenQuanYi Zen Hei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WenQuanYi Zen Hei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WenQuanYi Zen Hei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WenQuanYi Zen Hei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WenQuanYi Zen Hei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WenQuanYi Zen Hei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</si>
  <si>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</si>
  <si>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WenQuanYi Zen Hei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WenQuanYi Zen Hei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</si>
  <si>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</si>
  <si>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</si>
  <si>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</si>
  <si>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WenQuanYi Zen Hei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</si>
  <si>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WenQuanYi Zen Hei"/>
        <family val="2"/>
      </rPr>
      <t xml:space="preserve">參數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</si>
  <si>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WenQuanYi Zen Hei"/>
        <family val="2"/>
      </rPr>
      <t xml:space="preserve">參數</t>
    </r>
  </si>
  <si>
    <r>
      <rPr>
        <sz val="9"/>
        <color rgb="FF595959"/>
        <rFont val="WenQuanYi Zen Hei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方法）</t>
    </r>
  </si>
  <si>
    <r>
      <rPr>
        <sz val="10"/>
        <color rgb="FF000000"/>
        <rFont val="WenQuanYi Zen Hei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WenQuanYi Zen Hei"/>
        <family val="2"/>
      </rPr>
      <t xml:space="preserve">）</t>
    </r>
  </si>
  <si>
    <t xml:space="preserve">專家參數</t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</si>
  <si>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</si>
  <si>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</si>
  <si>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WenQuanYi Zen Hei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</si>
  <si>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</si>
  <si>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t xml:space="preserve">上下文長度（上一列顯示用）</t>
  </si>
  <si>
    <t xml:space="preserve">結構選擇</t>
  </si>
  <si>
    <r>
      <rPr>
        <sz val="9"/>
        <color rgb="FF595959"/>
        <rFont val="WenQuanYi Zen Hei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WenQuanYi Zen Hei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WenQuanYi Zen Hei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WenQuanYi Zen Hei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</si>
  <si>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WenQuanYi Zen Hei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WenQuanYi Zen Hei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WenQuanYi Zen Hei"/>
        <family val="2"/>
      </rPr>
      <t xml:space="preserve">列由此計算）</t>
    </r>
  </si>
  <si>
    <r>
      <rPr>
        <sz val="10"/>
        <color rgb="FF000000"/>
        <rFont val="WenQuanYi Zen Hei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WenQuanYi Zen Hei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</si>
  <si>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WenQuanYi Zen Hei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WenQuanYi Zen Hei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WenQuanYi Zen Hei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WenQuanYi Zen Hei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</si>
  <si>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WenQuanYi Zen Hei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）</t>
    </r>
  </si>
  <si>
    <t xml:space="preserve">元素</t>
  </si>
  <si>
    <r>
      <rPr>
        <sz val="9"/>
        <color rgb="FF595959"/>
        <rFont val="WenQuanYi Zen Hei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</si>
  <si>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WenQuanYi Zen Hei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混合）</t>
    </r>
  </si>
  <si>
    <r>
      <rPr>
        <sz val="9"/>
        <color rgb="FF595959"/>
        <rFont val="WenQuanYi Zen Hei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WenQuanYi Zen Hei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</si>
  <si>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</si>
  <si>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</si>
  <si>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WenQuanYi Zen Hei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</si>
  <si>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</si>
  <si>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</si>
  <si>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</si>
  <si>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WenQuanYi Zen Hei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WenQuanYi Zen Hei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WenQuanYi Zen Hei"/>
        <family val="2"/>
      </rPr>
      <t xml:space="preserve">、前綴快取）</t>
    </r>
  </si>
  <si>
    <r>
      <rPr>
        <sz val="9"/>
        <color rgb="FF595959"/>
        <rFont val="WenQuanYi Zen Hei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WenQuanYi Zen Hei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WenQuanYi Zen Hei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</si>
  <si>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</si>
  <si>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</si>
  <si>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</si>
  <si>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</si>
  <si>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WenQuanYi Zen Hei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</si>
  <si>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WenQuanYi Zen Hei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</si>
  <si>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</si>
  <si>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WenQuanYi Zen Hei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</si>
  <si>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WenQuanYi Zen Hei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</si>
  <si>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</si>
  <si>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WenQuanYi Zen Hei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WenQuanYi Zen Hei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</si>
  <si>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WenQuanYi Zen Hei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</si>
  <si>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</si>
  <si>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保留比例（啟用值、工作區）</t>
    </r>
  </si>
  <si>
    <r>
      <rPr>
        <sz val="9"/>
        <color rgb="FF595959"/>
        <rFont val="WenQuanYi Zen Hei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</si>
  <si>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WenQuanYi Zen Hei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上限</t>
    </r>
  </si>
  <si>
    <r>
      <rPr>
        <sz val="9"/>
        <color rgb="FF595959"/>
        <rFont val="WenQuanYi Zen Hei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WenQuanYi Zen Hei"/>
        <family val="2"/>
      </rPr>
      <t xml:space="preserve">切分</t>
    </r>
  </si>
  <si>
    <r>
      <rPr>
        <sz val="10"/>
        <color rgb="FF000000"/>
        <rFont val="WenQuanYi Zen Hei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上限</t>
    </r>
  </si>
  <si>
    <r>
      <rPr>
        <sz val="9"/>
        <color rgb="FF595959"/>
        <rFont val="WenQuanYi Zen Hei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</si>
  <si>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WenQuanYi Zen Hei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</si>
  <si>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</si>
  <si>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</si>
  <si>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WenQuanYi Zen Hei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</si>
  <si>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</si>
  <si>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載入頻寬</t>
    </r>
  </si>
  <si>
    <t xml:space="preserve">TB/s/GPU</t>
  </si>
  <si>
    <r>
      <rPr>
        <sz val="9"/>
        <color rgb="FF595959"/>
        <rFont val="WenQuanYi Zen Hei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WenQuanYi Zen Hei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WenQuanYi Zen Hei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WenQuanYi Zen Hei"/>
        <family val="2"/>
      </rPr>
      <t xml:space="preserve">。未計快取儲存成本</t>
    </r>
  </si>
  <si>
    <r>
      <rPr>
        <sz val="10"/>
        <color rgb="FF000000"/>
        <rFont val="WenQuanYi Zen Hei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WenQuanYi Zen Hei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</si>
  <si>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WenQuanYi Zen Hei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</si>
  <si>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WenQuanYi Zen Hei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</si>
  <si>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WenQuanYi Zen Hei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WenQuanYi Zen Hei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版</t>
    </r>
  </si>
  <si>
    <t xml:space="preserve">實測→生產效率折減</t>
  </si>
  <si>
    <r>
      <rPr>
        <sz val="9"/>
        <color rgb="FF595959"/>
        <rFont val="WenQuanYi Zen Hei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WenQuanYi Zen Hei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WenQuanYi Zen Hei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WenQuanYi Zen Hei"/>
        <family val="2"/>
      </rPr>
      <t xml:space="preserve">節</t>
    </r>
  </si>
  <si>
    <r>
      <rPr>
        <b val="true"/>
        <sz val="10"/>
        <rFont val="WenQuanYi Zen Hei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WenQuanYi Zen Hei"/>
        <family val="2"/>
      </rPr>
      <t xml:space="preserve">與參考任務</t>
    </r>
  </si>
  <si>
    <t xml:space="preserve">項目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</si>
  <si>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WenQuanYi Zen Hei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</si>
  <si>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</si>
  <si>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WenQuanYi Zen Hei"/>
        <family val="2"/>
      </rPr>
      <t xml:space="preserve">（市場觀測）：</t>
    </r>
    <r>
      <rPr>
        <sz val="9"/>
        <color rgb="FF595959"/>
        <rFont val="Arial"/>
        <family val="0"/>
        <charset val="1"/>
      </rPr>
      <t xml:space="preserve">GPT-5.6 Luna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GPT-5.6 Sol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52–56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Opus 5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54 tok/s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WenQuanYi Zen Hei"/>
        <family val="2"/>
      </rPr>
      <t xml:space="preserve">）。區間 </t>
    </r>
    <r>
      <rPr>
        <sz val="9"/>
        <color rgb="FF595959"/>
        <rFont val="Arial"/>
        <family val="0"/>
        <charset val="1"/>
      </rPr>
      <t xml:space="preserve">Luna 100–300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50–100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30–75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</si>
  <si>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WenQuanYi Zen Hei"/>
        <family val="2"/>
      </rPr>
      <t xml:space="preserve">上限（只作檢查）</t>
    </r>
  </si>
  <si>
    <t xml:space="preserve">s</t>
  </si>
  <si>
    <r>
      <rPr>
        <sz val="10"/>
        <color rgb="FF000000"/>
        <rFont val="WenQuanYi Zen Hei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WenQuanYi Zen Hei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</si>
  <si>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</si>
  <si>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WenQuanYi Zen Hei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WenQuanYi Zen Hei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</si>
  <si>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</si>
  <si>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平均位置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</si>
  <si>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WenQuanYi Zen Hei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WenQuanYi Zen Hei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WenQuanYi Zen Hei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</si>
  <si>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WenQuanYi Zen Hei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WenQuanYi Zen Hei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WenQuanYi Zen Hei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WenQuanYi Zen Hei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WenQuanYi Zen Hei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</si>
  <si>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</si>
  <si>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</si>
  <si>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</si>
  <si>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</si>
  <si>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WenQuanYi Zen Hei"/>
        <family val="2"/>
      </rPr>
      <t xml:space="preserve">（長程）</t>
    </r>
  </si>
  <si>
    <r>
      <rPr>
        <sz val="10"/>
        <color rgb="FF000000"/>
        <rFont val="WenQuanYi Zen Hei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</si>
  <si>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</si>
  <si>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10"/>
        <color rgb="FF000000"/>
        <rFont val="WenQuanYi Zen Hei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WenQuanYi Zen Hei"/>
        <family val="2"/>
      </rPr>
      <t xml:space="preserve">（系統提示、歷史、工具定義）</t>
    </r>
  </si>
  <si>
    <r>
      <rPr>
        <sz val="10"/>
        <color rgb="FF000000"/>
        <rFont val="WenQuanYi Zen Hei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WenQuanYi Zen Hei"/>
        <family val="2"/>
      </rPr>
      <t xml:space="preserve">（使用者或工具結果）</t>
    </r>
  </si>
  <si>
    <r>
      <rPr>
        <sz val="10"/>
        <color rgb="FF000000"/>
        <rFont val="WenQuanYi Zen Hei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</si>
  <si>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；服務端思考占比待查</t>
    </r>
  </si>
  <si>
    <r>
      <rPr>
        <sz val="10"/>
        <color rgb="FF000000"/>
        <rFont val="WenQuanYi Zen Hei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</si>
  <si>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WenQuanYi Zen Hei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</si>
  <si>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</si>
  <si>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</si>
  <si>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；代理迴圈前綴重用高</t>
    </r>
  </si>
  <si>
    <r>
      <rPr>
        <sz val="10"/>
        <color rgb="FF000000"/>
        <rFont val="WenQuanYi Zen Hei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</si>
  <si>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</si>
  <si>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</si>
  <si>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WenQuanYi Zen Hei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WenQuanYi Zen Hei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</si>
  <si>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WenQuanYi Zen Hei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＝不壓縮）</t>
    </r>
  </si>
  <si>
    <r>
      <rPr>
        <sz val="9"/>
        <color rgb="FF595959"/>
        <rFont val="WenQuanYi Zen Hei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WenQuanYi Zen Hei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</si>
  <si>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WenQuanYi Zen Hei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</si>
  <si>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採用比例）</t>
    </r>
  </si>
  <si>
    <r>
      <rPr>
        <sz val="10"/>
        <color rgb="FF000000"/>
        <rFont val="WenQuanYi Zen Hei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</si>
  <si>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WenQuanYi Zen Hei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</si>
  <si>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WenQuanYi Zen Hei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</si>
  <si>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WenQuanYi Zen Hei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</si>
  <si>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WenQuanYi Zen Hei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</si>
  <si>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WenQuanYi Zen Hei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</si>
  <si>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</si>
  <si>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WenQuanYi Zen Hei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</si>
  <si>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</si>
  <si>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</si>
  <si>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</si>
  <si>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WenQuanYi Zen Hei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（思考＋可見）</t>
    </r>
  </si>
  <si>
    <r>
      <rPr>
        <sz val="10"/>
        <color rgb="FF000000"/>
        <rFont val="WenQuanYi Zen Hei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WenQuanYi Zen Hei"/>
        <family val="2"/>
      </rPr>
      <t xml:space="preserve">殘差倍數</t>
    </r>
  </si>
  <si>
    <r>
      <rPr>
        <sz val="10"/>
        <color rgb="FF000000"/>
        <rFont val="WenQuanYi Zen Hei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</si>
  <si>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WenQuanYi Zen Hei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</si>
  <si>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WenQuanYi Zen Hei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</si>
  <si>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WenQuanYi Zen Hei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</si>
  <si>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WenQuanYi Zen Hei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WenQuanYi Zen Hei"/>
        <family val="2"/>
      </rPr>
      <t xml:space="preserve">情境</t>
    </r>
  </si>
  <si>
    <r>
      <rPr>
        <sz val="10"/>
        <color rgb="FF000000"/>
        <rFont val="WenQuanYi Zen Hei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</si>
  <si>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WenQuanYi Zen Hei"/>
        <family val="2"/>
      </rPr>
      <t xml:space="preserve">一般聊天</t>
    </r>
  </si>
  <si>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WenQuanYi Zen Hei"/>
        <family val="2"/>
      </rPr>
      <t xml:space="preserve">推理聊天</t>
    </r>
  </si>
  <si>
    <r>
      <rPr>
        <sz val="10"/>
        <color rgb="FF000000"/>
        <rFont val="WenQuanYi Zen Hei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</si>
  <si>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WenQuanYi Zen Hei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WenQuanYi Zen Hei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WenQuanYi Zen Hei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WenQuanYi Zen Hei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WenQuanYi Zen Hei"/>
        <family val="2"/>
      </rPr>
      <t xml:space="preserve">既有假設，未調整）</t>
    </r>
  </si>
  <si>
    <r>
      <rPr>
        <b val="true"/>
        <sz val="10"/>
        <rFont val="WenQuanYi Zen Hei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WenQuanYi Zen Hei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WenQuanYi Zen Hei"/>
        <family val="2"/>
      </rPr>
      <t xml:space="preserve">頁）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</si>
  <si>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</si>
  <si>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</si>
  <si>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</si>
  <si>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</si>
  <si>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</si>
  <si>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</si>
  <si>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</si>
  <si>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WenQuanYi Zen Hei"/>
        <family val="2"/>
      </rPr>
      <t xml:space="preserve">以實測錨點校準效率係數（實測只校準係數，不取代推導）</t>
    </r>
  </si>
  <si>
    <r>
      <rPr>
        <sz val="9"/>
        <color rgb="FF595959"/>
        <rFont val="WenQuanYi Zen Hei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WenQuanYi Zen Hei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WenQuanYi Zen Hei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WenQuanYi Zen Hei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WenQuanYi Zen Hei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</si>
  <si>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</si>
  <si>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</si>
  <si>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WenQuanYi Zen Hei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WenQuanYi Zen Hei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WenQuanYi Zen Hei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</si>
  <si>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錨點（每欄一個實測點）</t>
    </r>
  </si>
  <si>
    <r>
      <rPr>
        <b val="true"/>
        <sz val="10"/>
        <rFont val="WenQuanYi Zen Hei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</si>
  <si>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WenQuanYi Zen Hei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</si>
  <si>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</si>
  <si>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</si>
  <si>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</si>
  <si>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</si>
  <si>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</si>
  <si>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</si>
  <si>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</si>
  <si>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WenQuanYi Zen Hei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</si>
  <si>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</si>
  <si>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＝有）</t>
    </r>
  </si>
  <si>
    <t xml:space="preserve">每用戶速度</t>
  </si>
  <si>
    <t xml:space="preserve">ISL</t>
  </si>
  <si>
    <t xml:space="preserve">OSL</t>
  </si>
  <si>
    <r>
      <rPr>
        <sz val="10"/>
        <color rgb="FF000000"/>
        <rFont val="WenQuanYi Zen Hei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</si>
  <si>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</si>
  <si>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</si>
  <si>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</si>
  <si>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</si>
  <si>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</si>
  <si>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</si>
  <si>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</si>
  <si>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WenQuanYi Zen Hei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WenQuanYi Zen Hei"/>
        <family val="2"/>
      </rPr>
      <t xml:space="preserve">節</t>
    </r>
  </si>
  <si>
    <t xml:space="preserve">點位標籤（世代｜用途｜速度）</t>
  </si>
  <si>
    <t xml:space="preserve">口徑</t>
  </si>
  <si>
    <r>
      <rPr>
        <sz val="9"/>
        <color rgb="FF595959"/>
        <rFont val="WenQuanYi Zen Hei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</si>
  <si>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WenQuanYi Zen Hei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WenQuanYi Zen Hei"/>
        <family val="2"/>
      </rPr>
      <t xml:space="preserve">同一套公式）</t>
    </r>
  </si>
  <si>
    <t xml:space="preserve">計算用峰值</t>
  </si>
  <si>
    <t xml:space="preserve">PF/GPU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</si>
  <si>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</si>
  <si>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頻寬</t>
    </r>
  </si>
  <si>
    <t xml:space="preserve">TB/s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</si>
  <si>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</si>
  <si>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基準寬度</t>
    </r>
  </si>
  <si>
    <r>
      <rPr>
        <sz val="10"/>
        <color rgb="FF000000"/>
        <rFont val="WenQuanYi Zen Hei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</si>
  <si>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WenQuanYi Zen Hei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</si>
  <si>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啟用專家</t>
  </si>
  <si>
    <t xml:space="preserve">非專家參數</t>
  </si>
  <si>
    <t xml:space="preserve">KV bytes/token</t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</si>
  <si>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</si>
  <si>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跨度上限</t>
  </si>
  <si>
    <t xml:space="preserve">壓縮比</t>
  </si>
  <si>
    <t xml:space="preserve">滑動窗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</si>
  <si>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</si>
  <si>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decode FLOPs/token</t>
  </si>
  <si>
    <t xml:space="preserve">GFLOP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</si>
  <si>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</si>
  <si>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prefill FLOPs/token</t>
  </si>
  <si>
    <r>
      <rPr>
        <sz val="10"/>
        <color rgb="FF000000"/>
        <rFont val="WenQuanYi Zen Hei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</si>
  <si>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WenQuanYi Zen Hei"/>
        <family val="2"/>
      </rPr>
      <t xml:space="preserve">度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</si>
  <si>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寬度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</si>
  <si>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權重</t>
    </r>
  </si>
  <si>
    <r>
      <rPr>
        <sz val="10"/>
        <color rgb="FF000000"/>
        <rFont val="WenQuanYi Zen Hei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</si>
  <si>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</si>
  <si>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基準）</t>
    </r>
  </si>
  <si>
    <r>
      <rPr>
        <sz val="10"/>
        <color rgb="FF000000"/>
        <rFont val="WenQuanYi Zen Hei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</si>
  <si>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ms</t>
  </si>
  <si>
    <r>
      <rPr>
        <sz val="10"/>
        <color rgb="FF000000"/>
        <rFont val="WenQuanYi Zen Hei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WenQuanYi Zen Hei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</si>
  <si>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WenQuanYi Zen Hei"/>
        <family val="2"/>
      </rPr>
      <t xml:space="preserve">依工作量配比</t>
    </r>
  </si>
  <si>
    <t xml:space="preserve">實測反推批次</t>
  </si>
  <si>
    <r>
      <rPr>
        <sz val="10"/>
        <color rgb="FF000000"/>
        <rFont val="WenQuanYi Zen Hei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</si>
  <si>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WenQuanYi Zen Hei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</si>
  <si>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</si>
  <si>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WenQuanYi Zen Hei"/>
        <family val="2"/>
      </rPr>
      <t xml:space="preserve">固定延遲；兩點相減消去固定延遲</t>
    </r>
  </si>
  <si>
    <r>
      <rPr>
        <sz val="10"/>
        <color rgb="FF000000"/>
        <rFont val="WenQuanYi Zen Hei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</si>
  <si>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</si>
  <si>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</si>
  <si>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WenQuanYi Zen Hei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WenQuanYi Zen Hei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WenQuanYi Zen Hei"/>
        <family val="2"/>
      </rPr>
      <t xml:space="preserve">啟動、同步</t>
    </r>
  </si>
  <si>
    <r>
      <rPr>
        <sz val="10"/>
        <color rgb="FF000000"/>
        <rFont val="WenQuanYi Zen Hei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算力項為綁定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</si>
  <si>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WenQuanYi Zen Hei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</si>
  <si>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</si>
  <si>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WenQuanYi Zen Hei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WenQuanYi Zen Hei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WenQuanYi Zen Hei"/>
        <family val="2"/>
      </rPr>
      <t xml:space="preserve">約達峰值 </t>
    </r>
    <r>
      <rPr>
        <sz val="9"/>
        <color rgb="FF595959"/>
        <rFont val="Arial"/>
        <family val="0"/>
        <charset val="1"/>
      </rPr>
      <t xml:space="preserve">18%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WenQuanYi Zen Hei"/>
        <family val="2"/>
      </rPr>
      <t xml:space="preserve">；當時峰值誤用 </t>
    </r>
    <r>
      <rPr>
        <sz val="9"/>
        <color rgb="FF595959"/>
        <rFont val="Arial"/>
        <family val="0"/>
        <charset val="1"/>
      </rPr>
      <t xml:space="preserve">989 TF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WenQuanYi Zen Hei"/>
        <family val="2"/>
      </rPr>
      <t xml:space="preserve">峰值更正為 </t>
    </r>
    <r>
      <rPr>
        <sz val="9"/>
        <color rgb="FF595959"/>
        <rFont val="Arial"/>
        <family val="0"/>
        <charset val="1"/>
      </rPr>
      <t xml:space="preserve">FP8 1,979 TF</t>
    </r>
    <r>
      <rPr>
        <sz val="9"/>
        <color rgb="FF595959"/>
        <rFont val="WenQuanYi Zen Hei"/>
        <family val="2"/>
      </rPr>
      <t xml:space="preserve">，倍數同步減半為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WenQuanYi Zen Hei"/>
        <family val="2"/>
      </rPr>
      <t xml:space="preserve">，使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產出不變；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WenQuanYi Zen Hei"/>
        <family val="2"/>
      </rPr>
      <t xml:space="preserve">口徑查核後重推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0.5–2.5]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</si>
  <si>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</si>
  <si>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WenQuanYi Zen Hei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[Assumed 1.5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</si>
  <si>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</si>
  <si>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WenQuanYi Zen Hei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WenQuanYi Zen Hei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WenQuanYi Zen Hei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WenQuanYi Zen Hei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</si>
  <si>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WenQuanYi Zen Hei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</si>
  <si>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</si>
  <si>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WenQuanYi Zen Hei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</si>
  <si>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WenQuanYi Zen Hei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</si>
  <si>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WenQuanYi Zen Hei"/>
        <family val="2"/>
      </rPr>
      <t xml:space="preserve">（該世代）</t>
    </r>
  </si>
  <si>
    <t xml:space="preserve">每層延遲（該世代）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</si>
  <si>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WenQuanYi Zen Hei"/>
        <family val="2"/>
      </rPr>
      <t xml:space="preserve">（該世代）</t>
    </r>
  </si>
  <si>
    <t xml:space="preserve">prefill tok/s/GPU</t>
  </si>
  <si>
    <t xml:space="preserve">每步固定延遲</t>
  </si>
  <si>
    <t xml:space="preserve">每序列每步時間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</si>
  <si>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批次上限</t>
    </r>
  </si>
  <si>
    <t xml:space="preserve">序列</t>
  </si>
  <si>
    <t xml:space="preserve">容量批次上限</t>
  </si>
  <si>
    <t xml:space="preserve">B*</t>
  </si>
  <si>
    <t xml:space="preserve">decode tok/s/GPU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</si>
  <si>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</si>
  <si>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實測</t>
    </r>
  </si>
  <si>
    <t xml:space="preserve">判讀</t>
  </si>
  <si>
    <r>
      <rPr>
        <sz val="9"/>
        <color rgb="FF595959"/>
        <rFont val="WenQuanYi Zen Hei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</si>
  <si>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</si>
  <si>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</si>
  <si>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WenQuanYi Zen Hei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WenQuanYi Zen Hei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WenQuanYi Zen Hei"/>
        <family val="2"/>
      </rPr>
      <t xml:space="preserve">說明）</t>
    </r>
  </si>
  <si>
    <r>
      <rPr>
        <sz val="9"/>
        <color rgb="FF595959"/>
        <rFont val="WenQuanYi Zen Hei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</si>
  <si>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WenQuanYi Zen Hei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WenQuanYi Zen Hei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WenQuanYi Zen Hei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WenQuanYi Zen Hei"/>
        <family val="2"/>
      </rPr>
      <t xml:space="preserve">分攤）</t>
    </r>
  </si>
  <si>
    <t xml:space="preserve">η_p</t>
  </si>
  <si>
    <r>
      <rPr>
        <sz val="10"/>
        <color rgb="FF000000"/>
        <rFont val="WenQuanYi Zen Hei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</si>
  <si>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10"/>
        <color rgb="FF000000"/>
        <rFont val="WenQuanYi Zen Hei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</si>
  <si>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10"/>
        <color rgb="FF000000"/>
        <rFont val="WenQuanYi Zen Hei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反推批次</t>
    </r>
  </si>
  <si>
    <r>
      <rPr>
        <sz val="10"/>
        <color rgb="FF000000"/>
        <rFont val="WenQuanYi Zen Hei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反推批次</t>
    </r>
  </si>
  <si>
    <t xml:space="preserve">η_d</t>
  </si>
  <si>
    <r>
      <rPr>
        <sz val="10"/>
        <color rgb="FF000000"/>
        <rFont val="WenQuanYi Zen Hei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</si>
  <si>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WenQuanYi Zen Hei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WenQuanYi Zen Hei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WenQuanYi Zen Hei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</si>
  <si>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WenQuanYi Zen Hei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</si>
  <si>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WenQuanYi Zen Hei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</si>
  <si>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</si>
  <si>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WenQuanYi Zen Hei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</si>
  <si>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</si>
  <si>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資料集）</t>
    </r>
  </si>
  <si>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</si>
  <si>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</si>
  <si>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</si>
  <si>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</si>
  <si>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WenQuanYi Zen Hei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</si>
  <si>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</si>
  <si>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</si>
  <si>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</si>
  <si>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WenQuanYi Zen Hei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WenQuanYi Zen Hei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WenQuanYi Zen Hei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WenQuanYi Zen Hei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</si>
  <si>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WenQuanYi Zen Hei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WenQuanYi Zen Hei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</si>
  <si>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</si>
  <si>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WenQuanYi Zen Hei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WenQuanYi Zen Hei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</si>
  <si>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WenQuanYi Zen Hei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</si>
  <si>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WenQuanYi Zen Hei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提交（預覽類）</t>
    </r>
  </si>
  <si>
    <r>
      <rPr>
        <sz val="9"/>
        <color rgb="FF595959"/>
        <rFont val="WenQuanYi Zen Hei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</si>
  <si>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</si>
  <si>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</si>
  <si>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</si>
  <si>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基準</t>
    </r>
  </si>
  <si>
    <r>
      <rPr>
        <sz val="10"/>
        <color rgb="FF000000"/>
        <rFont val="WenQuanYi Zen Hei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</si>
  <si>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WenQuanYi Zen Hei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</si>
  <si>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</si>
  <si>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</si>
  <si>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</si>
  <si>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WenQuanYi Zen Hei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分攤）</t>
    </r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</si>
  <si>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</si>
  <si>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WenQuanYi Zen Hei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</si>
  <si>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</si>
  <si>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</si>
  <si>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WenQuanYi Zen Hei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</si>
  <si>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WenQuanYi Zen Hei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WenQuanYi Zen Hei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WenQuanYi Zen Hei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WenQuanYi Zen Hei"/>
        <family val="2"/>
      </rPr>
      <t xml:space="preserve">應視為區間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</si>
  <si>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WenQuanYi Zen Hei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WenQuanYi Zen Hei"/>
        <family val="2"/>
      </rPr>
      <t xml:space="preserve">時套用）</t>
    </r>
  </si>
  <si>
    <r>
      <rPr>
        <sz val="9"/>
        <color rgb="FF595959"/>
        <rFont val="WenQuanYi Zen Hei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WenQuanYi Zen Hei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WenQuanYi Zen Hei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</si>
  <si>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</si>
  <si>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</si>
  <si>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</si>
  <si>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</si>
  <si>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</si>
  <si>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</si>
  <si>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</si>
  <si>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WenQuanYi Zen Hei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</si>
  <si>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</si>
  <si>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</si>
  <si>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WenQuanYi Zen Hei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</si>
  <si>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WenQuanYi Zen Hei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</si>
  <si>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</si>
  <si>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</si>
  <si>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WenQuanYi Zen Hei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</si>
  <si>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</si>
  <si>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</si>
  <si>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</si>
  <si>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</si>
  <si>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</si>
  <si>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</si>
  <si>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</si>
  <si>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WenQuanYi Zen Hei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</si>
  <si>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</si>
  <si>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</si>
  <si>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WenQuanYi Zen Hei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WenQuanYi Zen Hei"/>
        <family val="2"/>
      </rPr>
      <t xml:space="preserve">基準</t>
    </r>
  </si>
  <si>
    <t xml:space="preserve">T02</t>
  </si>
  <si>
    <r>
      <rPr>
        <sz val="10"/>
        <color rgb="FF000000"/>
        <rFont val="WenQuanYi Zen Hei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WenQuanYi Zen Hei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</si>
  <si>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</si>
  <si>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WenQuanYi Zen Hei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WenQuanYi Zen Hei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</si>
  <si>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</si>
  <si>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WenQuanYi Zen Hei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</si>
  <si>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WenQuanYi Zen Hei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</si>
  <si>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WenQuanYi Zen Hei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WenQuanYi Zen Hei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WenQuanYi Zen Hei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</si>
  <si>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</si>
  <si>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WenQuanYi Zen Hei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</si>
  <si>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WenQuanYi Zen Hei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WenQuanYi Zen Hei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</si>
  <si>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</si>
  <si>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WenQuanYi Zen Hei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</si>
  <si>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WenQuanYi Zen Hei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</si>
  <si>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WenQuanYi Zen Hei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WenQuanYi Zen Hei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WenQuanYi Zen Hei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WenQuanYi Zen Hei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WenQuanYi Zen Hei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</si>
  <si>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</si>
  <si>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WenQuanYi Zen Hei"/>
        <family val="2"/>
      </rPr>
      <t xml:space="preserve">優化器</t>
    </r>
  </si>
  <si>
    <t xml:space="preserve">H_TOK</t>
  </si>
  <si>
    <r>
      <rPr>
        <sz val="10"/>
        <color rgb="FF000000"/>
        <rFont val="WenQuanYi Zen Hei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</si>
  <si>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</si>
  <si>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WenQuanYi Zen Hei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數為實際值，已隱含其效果，故不套倍數</t>
    </r>
  </si>
  <si>
    <r>
      <rPr>
        <sz val="9"/>
        <color rgb="FF595959"/>
        <rFont val="WenQuanYi Zen Hei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</si>
  <si>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</si>
  <si>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</si>
  <si>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</si>
  <si>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</si>
  <si>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</si>
  <si>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WenQuanYi Zen Hei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WenQuanYi Zen Hei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WenQuanYi Zen Hei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WenQuanYi Zen Hei"/>
        <family val="2"/>
      </rPr>
      <t xml:space="preserve">可能同步下降，未計</t>
    </r>
  </si>
  <si>
    <r>
      <rPr>
        <sz val="9"/>
        <color rgb="FF595959"/>
        <rFont val="WenQuanYi Zen Hei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WenQuanYi Zen Hei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</si>
  <si>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</si>
  <si>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WenQuanYi Zen Hei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</si>
  <si>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</si>
  <si>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</si>
  <si>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</si>
  <si>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WenQuanYi Zen Hei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WenQuanYi Zen Hei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WenQuanYi Zen Hei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WenQuanYi Zen Hei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</si>
  <si>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</si>
  <si>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</si>
  <si>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WenQuanYi Zen Hei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</si>
  <si>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</si>
  <si>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</si>
  <si>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WenQuanYi Zen Hei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WenQuanYi Zen Hei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WenQuanYi Zen Hei"/>
        <family val="2"/>
      </rPr>
      <t xml:space="preserve">同時開關</t>
    </r>
  </si>
  <si>
    <r>
      <rPr>
        <sz val="9"/>
        <color rgb="FF595959"/>
        <rFont val="WenQuanYi Zen Hei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</si>
  <si>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</si>
  <si>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WenQuanYi Zen Hei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WenQuanYi Zen Hei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</si>
  <si>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</si>
  <si>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</t>
    </r>
  </si>
  <si>
    <r>
      <rPr>
        <sz val="9"/>
        <color rgb="FF595959"/>
        <rFont val="WenQuanYi Zen Hei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WenQuanYi Zen Hei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WenQuanYi Zen Hei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WenQuanYi Zen Hei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WenQuanYi Zen Hei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WenQuanYi Zen Hei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WenQuanYi Zen Hei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</si>
  <si>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WenQuanYi Zen Hei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</si>
  <si>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</si>
  <si>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WenQuanYi Zen Hei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</si>
  <si>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</si>
  <si>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WenQuanYi Zen Hei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</si>
  <si>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</si>
  <si>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</si>
  <si>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</si>
  <si>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</si>
  <si>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</si>
  <si>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</si>
  <si>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WenQuanYi Zen Hei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WenQuanYi Zen Hei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WenQuanYi Zen Hei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WenQuanYi Zen Hei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WenQuanYi Zen Hei"/>
        <family val="2"/>
      </rPr>
      <t xml:space="preserve">）尚未評估</t>
    </r>
  </si>
  <si>
    <r>
      <rPr>
        <sz val="9"/>
        <color rgb="FF595959"/>
        <rFont val="WenQuanYi Zen Hei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WenQuanYi Zen Hei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對照</t>
    </r>
  </si>
  <si>
    <t xml:space="preserve">門檻</t>
  </si>
  <si>
    <r>
      <rPr>
        <sz val="10"/>
        <color rgb="FF000000"/>
        <rFont val="WenQuanYi Zen Hei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WenQuanYi Zen Hei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</si>
  <si>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WenQuanYi Zen Hei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</si>
  <si>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WenQuanYi Zen Hei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</si>
  <si>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</si>
  <si>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</si>
  <si>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</si>
  <si>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</si>
  <si>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</si>
  <si>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</si>
  <si>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WenQuanYi Zen Hei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</si>
  <si>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</si>
  <si>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WenQuanYi Zen Hei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</si>
  <si>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WenQuanYi Zen Hei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WenQuanYi Zen Hei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</si>
  <si>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</si>
  <si>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WenQuanYi Zen Hei"/>
        <family val="2"/>
      </rPr>
      <t xml:space="preserve">列</t>
    </r>
  </si>
  <si>
    <t xml:space="preserve">H_WB</t>
  </si>
  <si>
    <r>
      <rPr>
        <sz val="10"/>
        <color rgb="FF000000"/>
        <rFont val="WenQuanYi Zen Hei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</si>
  <si>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WenQuanYi Zen Hei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</si>
  <si>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</si>
  <si>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WenQuanYi Zen Hei"/>
        <family val="2"/>
      </rPr>
      <t xml:space="preserve">列</t>
    </r>
  </si>
  <si>
    <t xml:space="preserve">H_MFU</t>
  </si>
  <si>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</si>
  <si>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</si>
  <si>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</si>
  <si>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WenQuanYi Zen Hei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</si>
  <si>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</si>
  <si>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WenQuanYi Zen Hei"/>
        <family val="2"/>
      </rPr>
      <t xml:space="preserve">列</t>
    </r>
  </si>
  <si>
    <t xml:space="preserve">H_CAP</t>
  </si>
  <si>
    <r>
      <rPr>
        <sz val="10"/>
        <color rgb="FF000000"/>
        <rFont val="WenQuanYi Zen Hei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WenQuanYi Zen Hei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</si>
  <si>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</si>
  <si>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WenQuanYi Zen Hei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</si>
  <si>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WenQuanYi Zen Hei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</si>
  <si>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t xml:space="preserve">注意</t>
  </si>
  <si>
    <r>
      <rPr>
        <sz val="9"/>
        <color rgb="FF595959"/>
        <rFont val="WenQuanYi Zen Hei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WenQuanYi Zen Hei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WenQuanYi Zen Hei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</si>
  <si>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WenQuanYi Zen Hei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WenQuanYi Zen Hei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WenQuanYi Zen Hei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</si>
  <si>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WenQuanYi Zen Hei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WenQuanYi Zen Hei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WenQuanYi Zen Hei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WenQuanYi Zen Hei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WenQuanYi Zen Hei"/>
        <family val="2"/>
      </rPr>
      <t xml:space="preserve">為算力受限。黃底為關鍵輸出</t>
    </r>
  </si>
  <si>
    <t xml:space="preserve">層級</t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</si>
  <si>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</si>
  <si>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WenQuanYi Zen Hei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WenQuanYi Zen Hei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WenQuanYi Zen Hei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</si>
  <si>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</si>
  <si>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</si>
  <si>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</si>
  <si>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WenQuanYi Zen Hei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</si>
  <si>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</si>
  <si>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通訊頻寬（單向）</t>
    </r>
  </si>
  <si>
    <t xml:space="preserve">GPU</t>
  </si>
  <si>
    <r>
      <rPr>
        <sz val="10"/>
        <color rgb="FF000000"/>
        <rFont val="WenQuanYi Zen Hei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</si>
  <si>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</si>
  <si>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</si>
  <si>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</si>
  <si>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</si>
  <si>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</si>
  <si>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存取能量</t>
    </r>
  </si>
  <si>
    <t xml:space="preserve">pJ/B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</si>
  <si>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</si>
  <si>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</si>
  <si>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</si>
  <si>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</si>
  <si>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</si>
  <si>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</si>
  <si>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WenQuanYi Zen Hei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</si>
  <si>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</si>
  <si>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WenQuanYi Zen Hei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</si>
  <si>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WenQuanYi Zen Hei"/>
        <family val="2"/>
      </rPr>
      <t xml:space="preserve">上限</t>
    </r>
  </si>
  <si>
    <r>
      <rPr>
        <sz val="10"/>
        <color rgb="FF000000"/>
        <rFont val="WenQuanYi Zen Hei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</si>
  <si>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草稿數</t>
    </r>
  </si>
  <si>
    <t xml:space="preserve">草稿接受率</t>
  </si>
  <si>
    <r>
      <rPr>
        <sz val="10"/>
        <color rgb="FF000000"/>
        <rFont val="WenQuanYi Zen Hei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</si>
  <si>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</si>
  <si>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WenQuanYi Zen Hei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</si>
  <si>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每序列算力效率；含折減）</t>
    </r>
  </si>
  <si>
    <r>
      <rPr>
        <sz val="10"/>
        <color rgb="FF000000"/>
        <rFont val="WenQuanYi Zen Hei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WenQuanYi Zen Hei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</si>
  <si>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</si>
  <si>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保留比例</t>
    </r>
  </si>
  <si>
    <r>
      <rPr>
        <sz val="10"/>
        <color rgb="FF000000"/>
        <rFont val="WenQuanYi Zen Hei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上限</t>
    </r>
  </si>
  <si>
    <r>
      <rPr>
        <sz val="10"/>
        <color rgb="FF000000"/>
        <rFont val="WenQuanYi Zen Hei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</si>
  <si>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WenQuanYi Zen Hei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</si>
  <si>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</si>
  <si>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</si>
  <si>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</si>
  <si>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</si>
  <si>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</si>
  <si>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</si>
  <si>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WenQuanYi Zen Hei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WenQuanYi Zen Hei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</si>
  <si>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WenQuanYi Zen Hei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</si>
  <si>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WenQuanYi Zen Hei"/>
        <family val="2"/>
      </rPr>
      <t xml:space="preserve">寬度（自動）</t>
    </r>
  </si>
  <si>
    <r>
      <rPr>
        <sz val="10"/>
        <color rgb="FF000000"/>
        <rFont val="WenQuanYi Zen Hei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</si>
  <si>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WenQuanYi Zen Hei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</si>
  <si>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WenQuanYi Zen Hei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</si>
  <si>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WenQuanYi Zen Hei"/>
        <family val="2"/>
      </rPr>
      <t xml:space="preserve">（計算部分）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</si>
  <si>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WenQuanYi Zen Hei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</si>
  <si>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WenQuanYi Zen Hei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WenQuanYi Zen Hei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WenQuanYi Zen Hei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WenQuanYi Zen Hei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WenQuanYi Zen Hei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</si>
  <si>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</si>
  <si>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</si>
  <si>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WenQuanYi Zen Hei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讀取項</t>
    </r>
  </si>
  <si>
    <r>
      <rPr>
        <sz val="10"/>
        <color rgb="FF000000"/>
        <rFont val="WenQuanYi Zen Hei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</si>
  <si>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</si>
  <si>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</si>
  <si>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</si>
  <si>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容量允許的批次上限</t>
    </r>
  </si>
  <si>
    <r>
      <rPr>
        <sz val="10"/>
        <color rgb="FF000000"/>
        <rFont val="WenQuanYi Zen Hei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</si>
  <si>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WenQuanYi Zen Hei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WenQuanYi Zen Hei"/>
        <family val="2"/>
      </rPr>
      <t xml:space="preserve">）</t>
    </r>
  </si>
  <si>
    <t xml:space="preserve">實際每用戶速度</t>
  </si>
  <si>
    <t xml:space="preserve">綁定約束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</si>
  <si>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</si>
  <si>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WenQuanYi Zen Hei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WenQuanYi Zen Hei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WenQuanYi Zen Hei"/>
        <family val="2"/>
      </rPr>
      <t xml:space="preserve">利用率）</t>
    </r>
  </si>
  <si>
    <r>
      <rPr>
        <sz val="10"/>
        <color rgb="FF000000"/>
        <rFont val="WenQuanYi Zen Hei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秒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</si>
  <si>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</si>
  <si>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WenQuanYi Zen Hei"/>
        <family val="2"/>
      </rPr>
      <t xml:space="preserve">占比</t>
    </r>
  </si>
  <si>
    <r>
      <rPr>
        <sz val="10"/>
        <color rgb="FF000000"/>
        <rFont val="WenQuanYi Zen Hei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</si>
  <si>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WenQuanYi Zen Hei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</si>
  <si>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WenQuanYi Zen Hei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</si>
  <si>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</si>
  <si>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</si>
  <si>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WenQuanYi Zen Hei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</si>
  <si>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WenQuanYi Zen Hei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WenQuanYi Zen Hei"/>
        <family val="2"/>
      </rPr>
      <t xml:space="preserve">）與速覽成本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</si>
  <si>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</si>
  <si>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</si>
  <si>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</si>
  <si>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不可達）</t>
    </r>
  </si>
  <si>
    <r>
      <rPr>
        <sz val="10"/>
        <color rgb="FF000000"/>
        <rFont val="WenQuanYi Zen Hei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</t>
    </r>
  </si>
  <si>
    <t xml:space="preserve">$/M</t>
  </si>
  <si>
    <r>
      <rPr>
        <sz val="10"/>
        <color rgb="FF000000"/>
        <rFont val="WenQuanYi Zen Hei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WenQuanYi Zen Hei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</si>
  <si>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WenQuanYi Zen Hei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</si>
  <si>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</si>
  <si>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</si>
  <si>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</si>
  <si>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WenQuanYi Zen Hei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</si>
  <si>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WenQuanYi Zen Hei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</si>
  <si>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WenQuanYi Zen Hei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</si>
  <si>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</si>
  <si>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</si>
  <si>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</si>
  <si>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</si>
  <si>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WenQuanYi Zen Hei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WenQuanYi Zen Hei"/>
        <family val="2"/>
      </rPr>
      <t xml:space="preserve">假設）</t>
    </r>
  </si>
  <si>
    <r>
      <rPr>
        <sz val="10"/>
        <color rgb="FF000000"/>
        <rFont val="WenQuanYi Zen Hei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</si>
  <si>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WenQuanYi Zen Hei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，平均用電口徑）</t>
    </r>
  </si>
  <si>
    <t xml:space="preserve">tok/J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</si>
  <si>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WenQuanYi Zen Hei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</si>
  <si>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WenQuanYi Zen Hei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WenQuanYi Zen Hei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</si>
  <si>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WenQuanYi Zen Hei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</si>
  <si>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WenQuanYi Zen Hei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WenQuanYi Zen Hei"/>
        <family val="2"/>
      </rPr>
      <t xml:space="preserve">的單變數敏感度（先看敏感度，再看基準）</t>
    </r>
  </si>
  <si>
    <r>
      <rPr>
        <sz val="9"/>
        <color rgb="FF595959"/>
        <rFont val="WenQuanYi Zen Hei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WenQuanYi Zen Hei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WenQuanYi Zen Hei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WenQuanYi Zen Hei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WenQuanYi Zen Hei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</si>
  <si>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</si>
  <si>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WenQuanYi Zen Hei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</si>
  <si>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</si>
  <si>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WenQuanYi Zen Hei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</si>
  <si>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WenQuanYi Zen Hei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</si>
  <si>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WenQuanYi Zen Hei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WenQuanYi Zen Hei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</si>
  <si>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</si>
  <si>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</si>
  <si>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WenQuanYi Zen Hei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</si>
  <si>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WenQuanYi Zen Hei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</si>
  <si>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</si>
  <si>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</si>
  <si>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WenQuanYi Zen Hei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WenQuanYi Zen Hei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</si>
  <si>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WenQuanYi Zen Hei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</si>
  <si>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WenQuanYi Zen Hei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WenQuanYi Zen Hei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</si>
  <si>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WenQuanYi Zen Hei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</si>
  <si>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WenQuanYi Zen Hei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</si>
  <si>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WenQuanYi Zen Hei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</si>
  <si>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WenQuanYi Zen Hei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</si>
  <si>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WenQuanYi Zen Hei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WenQuanYi Zen Hei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WenQuanYi Zen Hei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</si>
  <si>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WenQuanYi Zen Hei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WenQuanYi Zen Hei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WenQuanYi Zen Hei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時間，未計儲存成本</t>
    </r>
  </si>
  <si>
    <t xml:space="preserve">共用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</si>
  <si>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</si>
  <si>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</si>
  <si>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會計</t>
    </r>
  </si>
  <si>
    <t xml:space="preserve">基準利用率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</si>
  <si>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</si>
  <si>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</si>
  <si>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不可達）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</si>
  <si>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WenQuanYi Zen Hei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</si>
  <si>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WenQuanYi Zen Hei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</si>
  <si>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</si>
  <si>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WenQuanYi Zen Hei"/>
        <family val="2"/>
      </rPr>
      <t xml:space="preserve">經濟、基準利用率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</si>
  <si>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WenQuanYi Zen Hei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</si>
  <si>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</si>
  <si>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</si>
  <si>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WenQuanYi Zen Hei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</si>
  <si>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WenQuanYi Zen Hei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WenQuanYi Zen Hei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WenQuanYi Zen Hei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WenQuanYi Zen Hei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WenQuanYi Zen Hei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WenQuanYi Zen Hei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WenQuanYi Zen Hei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WenQuanYi Zen Hei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WenQuanYi Zen Hei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</si>
  <si>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</si>
  <si>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WenQuanYi Zen Hei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</si>
  <si>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</si>
  <si>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</si>
  <si>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</si>
  <si>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</si>
  <si>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r>
      <rPr>
        <sz val="10"/>
        <color rgb="FF000000"/>
        <rFont val="Noto Sans CJK SC"/>
        <family val="2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數（設施）</t>
    </r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</si>
  <si>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</si>
  <si>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WenQuanYi Zen Hei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WenQuanYi Zen Hei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</si>
  <si>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</si>
  <si>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</si>
  <si>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</si>
  <si>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</si>
  <si>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WenQuanYi Zen Hei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</si>
  <si>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</si>
  <si>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</si>
  <si>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</si>
  <si>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</si>
  <si>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</si>
  <si>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</si>
  <si>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</si>
  <si>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</si>
  <si>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</si>
  <si>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</si>
  <si>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</si>
  <si>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</si>
  <si>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</si>
  <si>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WenQuanYi Zen Hei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WenQuanYi Zen Hei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</si>
  <si>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</si>
  <si>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</t>
    </r>
  </si>
  <si>
    <t xml:space="preserve">廠房折舊（土地不折舊）</t>
  </si>
  <si>
    <t xml:space="preserve">電費</t>
  </si>
  <si>
    <t xml:space="preserve">人員、軟體、水與耗材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</si>
  <si>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</si>
  <si>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</si>
  <si>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WenQuanYi Zen Hei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</si>
  <si>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</si>
  <si>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</si>
  <si>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</si>
  <si>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</si>
  <si>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</si>
  <si>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WenQuanYi Zen Hei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</si>
  <si>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</si>
  <si>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</si>
  <si>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</si>
  <si>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</si>
  <si>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</si>
  <si>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</si>
  <si>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</si>
  <si>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</si>
  <si>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WenQuanYi Zen Hei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WenQuanYi Zen Hei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</si>
  <si>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WenQuanYi Zen Hei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WenQuanYi Zen Hei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</si>
  <si>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WenQuanYi Zen Hei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</si>
  <si>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</si>
  <si>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WenQuanYi Zen Hei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WenQuanYi Zen Hei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</si>
  <si>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</si>
  <si>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WenQuanYi Zen Hei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WenQuanYi Zen Hei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WenQuanYi Zen Hei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WenQuanYi Zen Hei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WenQuanYi Zen Hei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WenQuanYi Zen Hei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WenQuanYi Zen Hei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</si>
  <si>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WenQuanYi Zen Hei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WenQuanYi Zen Hei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</si>
  <si>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WenQuanYi Zen Hei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WenQuanYi Zen Hei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</si>
  <si>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WenQuanYi Zen Hei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</si>
  <si>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</si>
  <si>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WenQuanYi Zen Hei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</si>
  <si>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WenQuanYi Zen Hei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WenQuanYi Zen Hei"/>
        <family val="2"/>
      </rPr>
      <t xml:space="preserve">。蒸餾學生更新沿用</t>
    </r>
  </si>
  <si>
    <r>
      <rPr>
        <sz val="10"/>
        <color rgb="FF000000"/>
        <rFont val="WenQuanYi Zen Hei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WenQuanYi Zen Hei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</si>
  <si>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WenQuanYi Zen Hei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WenQuanYi Zen Hei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</si>
  <si>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</si>
  <si>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WenQuanYi Zen Hei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WenQuanYi Zen Hei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WenQuanYi Zen Hei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WenQuanYi Zen Hei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WenQuanYi Zen Hei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WenQuanYi Zen Hei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WenQuanYi Zen Hei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</si>
  <si>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WenQuanYi Zen Hei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</si>
  <si>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WenQuanYi Zen Hei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WenQuanYi Zen Hei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</si>
  <si>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WenQuanYi Zen Hei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</si>
  <si>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WenQuanYi Zen Hei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WenQuanYi Zen Hei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WenQuanYi Zen Hei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WenQuanYi Zen Hei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小時上</t>
    </r>
  </si>
  <si>
    <t xml:space="preserve">研發歸屬</t>
  </si>
  <si>
    <r>
      <rPr>
        <sz val="10"/>
        <color rgb="FF0000FF"/>
        <rFont val="WenQuanYi Zen Hei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WenQuanYi Zen Hei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</si>
  <si>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WenQuanYi Zen Hei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WenQuanYi Zen Hei"/>
        <family val="2"/>
      </rPr>
      <t xml:space="preserve">節另列家族合計</t>
    </r>
  </si>
  <si>
    <r>
      <rPr>
        <sz val="10"/>
        <color rgb="FF000000"/>
        <rFont val="WenQuanYi Zen Hei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</si>
  <si>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</si>
  <si>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</si>
  <si>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</si>
  <si>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WenQuanYi Zen Hei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WenQuanYi Zen Hei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</si>
  <si>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</si>
  <si>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</si>
  <si>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t xml:space="preserve">各世代</t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</si>
  <si>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</si>
  <si>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v5.18 E1 </t>
    </r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0.8–1.2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WenQuanYi Zen Hei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WenQuanYi Zen Hei"/>
        <family val="2"/>
      </rPr>
      <t xml:space="preserve">推導值，</t>
    </r>
    <r>
      <rPr>
        <sz val="9"/>
        <color rgb="FF595959"/>
        <rFont val="Arial"/>
        <family val="0"/>
        <charset val="1"/>
      </rPr>
      <t xml:space="preserve">MegaScale-MoE </t>
    </r>
    <r>
      <rPr>
        <sz val="9"/>
        <color rgb="FF595959"/>
        <rFont val="WenQuanYi Zen Hei"/>
        <family val="2"/>
      </rPr>
      <t xml:space="preserve">方向性證據與此相反，已讀未採用）；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WenQuanYi Zen Hei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WenQuanYi Zen Hei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WenQuanYi Zen Hei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</si>
  <si>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</si>
  <si>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</si>
  <si>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</si>
  <si>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WenQuanYi Zen Hei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</si>
  <si>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WenQuanYi Zen Hei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WenQuanYi Zen Hei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</si>
  <si>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WenQuanYi Zen Hei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WenQuanYi Zen Hei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</si>
  <si>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WenQuanYi Zen Hei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</si>
  <si>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</si>
  <si>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</si>
  <si>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</si>
  <si>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</si>
  <si>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WenQuanYi Zen Hei"/>
        <family val="2"/>
      </rPr>
      <t xml:space="preserve">序列長</t>
    </r>
  </si>
  <si>
    <r>
      <rPr>
        <sz val="10"/>
        <color rgb="FF000000"/>
        <rFont val="WenQuanYi Zen Hei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WenQuanYi Zen Hei"/>
        <family val="2"/>
      </rPr>
      <t xml:space="preserve">、合成、評測）</t>
    </r>
  </si>
  <si>
    <r>
      <rPr>
        <sz val="9"/>
        <color rgb="FF595959"/>
        <rFont val="WenQuanYi Zen Hei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WenQuanYi Zen Hei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</si>
  <si>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WenQuanYi Zen Hei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</si>
  <si>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</si>
  <si>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</si>
  <si>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</si>
  <si>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WenQuanYi Zen Hei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WenQuanYi Zen Hei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WenQuanYi Zen Hei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WenQuanYi Zen Hei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WenQuanYi Zen Hei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WenQuanYi Zen Hei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WenQuanYi Zen Hei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WenQuanYi Zen Hei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小時或預算口徑）。區間：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0.3–6T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2.5–25T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</si>
  <si>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WenQuanYi Zen Hei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</si>
  <si>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</si>
  <si>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WenQuanYi Zen Hei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</si>
  <si>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</si>
  <si>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WenQuanYi Zen Hei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</si>
  <si>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</si>
  <si>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WenQuanYi Zen Hei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</si>
  <si>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WenQuanYi Zen Hei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WenQuanYi Zen Hei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</si>
  <si>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</si>
  <si>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WenQuanYi Zen Hei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</si>
  <si>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WenQuanYi Zen Hei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</si>
  <si>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</si>
  <si>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WenQuanYi Zen Hei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WenQuanYi Zen Hei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WenQuanYi Zen Hei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</si>
  <si>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WenQuanYi Zen Hei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</si>
  <si>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</si>
  <si>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WenQuanYi Zen Hei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</si>
  <si>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WenQuanYi Zen Hei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</si>
  <si>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WenQuanYi Zen Hei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</si>
  <si>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WenQuanYi Zen Hei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WenQuanYi Zen Hei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</si>
  <si>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</si>
  <si>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WenQuanYi Zen Hei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WenQuanYi Zen Hei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WenQuanYi Zen Hei"/>
        <family val="2"/>
      </rPr>
      <t xml:space="preserve">倍</t>
    </r>
  </si>
  <si>
    <t xml:space="preserve">前沿預訓練錨點 中</t>
  </si>
  <si>
    <t xml:space="preserve">前沿預訓練錨點 高</t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</si>
  <si>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WenQuanYi Zen Hei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WenQuanYi Zen Hei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WenQuanYi Zen Hei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</si>
  <si>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WenQuanYi Zen Hei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WenQuanYi Zen Hei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WenQuanYi Zen Hei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WenQuanYi Zen Hei"/>
        <family val="2"/>
      </rPr>
      <t xml:space="preserve">（非情境改動）；黃底＝情境改動</t>
    </r>
  </si>
  <si>
    <t xml:space="preserve">欄位</t>
  </si>
  <si>
    <r>
      <rPr>
        <b val="true"/>
        <sz val="10"/>
        <rFont val="WenQuanYi Zen Hei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</si>
  <si>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WenQuanYi Zen Hei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WenQuanYi Zen Hei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WenQuanYi Zen Hei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</si>
  <si>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WenQuanYi Zen Hei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</si>
  <si>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</si>
  <si>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WenQuanYi Zen Hei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WenQuanYi Zen Hei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WenQuanYi Zen Hei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WenQuanYi Zen Hei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WenQuanYi Zen Hei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</si>
  <si>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WenQuanYi Zen Hei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WenQuanYi Zen Hei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</si>
  <si>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WenQuanYi Zen Hei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</si>
  <si>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</si>
  <si>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WenQuanYi Zen Hei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</si>
  <si>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分母）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</si>
  <si>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</si>
  <si>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世代倍數</t>
    </r>
  </si>
  <si>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</si>
  <si>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（採用）</t>
    </r>
  </si>
  <si>
    <t xml:space="preserve">goodput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</si>
  <si>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</si>
  <si>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經濟（基準成本）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</si>
  <si>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</si>
  <si>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WenQuanYi Zen Hei"/>
        <family val="2"/>
      </rPr>
      <t xml:space="preserve">前向）</t>
    </r>
  </si>
  <si>
    <r>
      <rPr>
        <sz val="10"/>
        <color rgb="FF000000"/>
        <rFont val="WenQuanYi Zen Hei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WenQuanYi Zen Hei"/>
        <family val="2"/>
      </rPr>
      <t xml:space="preserve">）</t>
    </r>
  </si>
  <si>
    <t xml:space="preserve">序列長</t>
  </si>
  <si>
    <r>
      <rPr>
        <sz val="10"/>
        <color rgb="FF000000"/>
        <rFont val="WenQuanYi Zen Hei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WenQuanYi Zen Hei"/>
        <family val="2"/>
      </rPr>
      <t xml:space="preserve">注意力＝平均位置）</t>
    </r>
  </si>
  <si>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</si>
  <si>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</si>
  <si>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</si>
  <si>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</si>
  <si>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長上下文延伸（反向傳播型；稀疏注意力路徑）</t>
    </r>
  </si>
  <si>
    <r>
      <rPr>
        <sz val="10"/>
        <color rgb="FF000000"/>
        <rFont val="WenQuanYi Zen Hei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</si>
  <si>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</si>
  <si>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</si>
  <si>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</si>
  <si>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WenQuanYi Zen Hei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</si>
  <si>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</si>
  <si>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WenQuanYi Zen Hei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</si>
  <si>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WenQuanYi Zen Hei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</si>
  <si>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WenQuanYi Zen Hei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WenQuanYi Zen Hei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WenQuanYi Zen Hei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</si>
  <si>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</si>
  <si>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</si>
  <si>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</si>
  <si>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</si>
  <si>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WenQuanYi Zen Hei"/>
        <family val="2"/>
      </rPr>
      <t xml:space="preserve">每題取樣數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</si>
  <si>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WenQuanYi Zen Hei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</si>
  <si>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WenQuanYi Zen Hei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</si>
  <si>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</si>
  <si>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</si>
  <si>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</si>
  <si>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</si>
  <si>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</si>
  <si>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WenQuanYi Zen Hei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</si>
  <si>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WenQuanYi Zen Hei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</si>
  <si>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WenQuanYi Zen Hei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</si>
  <si>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WenQuanYi Zen Hei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</si>
  <si>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</si>
  <si>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</si>
  <si>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WenQuanYi Zen Hei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</si>
  <si>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</si>
  <si>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</si>
  <si>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小時（推論型）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</si>
  <si>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WenQuanYi Zen Hei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</si>
  <si>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WenQuanYi Zen Hei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</si>
  <si>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</si>
  <si>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</si>
  <si>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</si>
  <si>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WenQuanYi Zen Hei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WenQuanYi Zen Hei"/>
        <family val="2"/>
      </rPr>
      <t xml:space="preserve">＋教師評分＝推論型；學生更新＝反向傳播型）</t>
    </r>
  </si>
  <si>
    <r>
      <rPr>
        <sz val="10"/>
        <color rgb="FF000000"/>
        <rFont val="WenQuanYi Zen Hei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</si>
  <si>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</si>
  <si>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WenQuanYi Zen Hei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（輸入＋輸出）</t>
    </r>
  </si>
  <si>
    <r>
      <rPr>
        <sz val="10"/>
        <color rgb="FF000000"/>
        <rFont val="WenQuanYi Zen Hei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</si>
  <si>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WenQuanYi Zen Hei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</si>
  <si>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WenQuanYi Zen Hei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</si>
  <si>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</si>
  <si>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</si>
  <si>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</si>
  <si>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小時合計</t>
    </r>
  </si>
  <si>
    <r>
      <rPr>
        <sz val="10"/>
        <color rgb="FF000000"/>
        <rFont val="WenQuanYi Zen Hei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</si>
  <si>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WenQuanYi Zen Hei"/>
        <family val="2"/>
      </rPr>
      <t xml:space="preserve">合成資料與評測（推論型）</t>
    </r>
  </si>
  <si>
    <r>
      <rPr>
        <sz val="10"/>
        <color rgb="FF000000"/>
        <rFont val="WenQuanYi Zen Hei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</si>
  <si>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</si>
  <si>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WenQuanYi Zen Hei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</si>
  <si>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WenQuanYi Zen Hei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</si>
  <si>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WenQuanYi Zen Hei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</si>
  <si>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</si>
  <si>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</si>
  <si>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</si>
  <si>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WenQuanYi Zen Hei"/>
        <family val="2"/>
      </rPr>
      <t xml:space="preserve">最終訓練合計（單一模型）</t>
    </r>
  </si>
  <si>
    <r>
      <rPr>
        <sz val="10"/>
        <color rgb="FF000000"/>
        <rFont val="WenQuanYi Zen Hei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小時（預訓練＋長上下文）</t>
    </r>
  </si>
  <si>
    <r>
      <rPr>
        <sz val="10"/>
        <color rgb="FF000000"/>
        <rFont val="WenQuanYi Zen Hei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＋蒸餾）</t>
    </r>
  </si>
  <si>
    <r>
      <rPr>
        <sz val="10"/>
        <color rgb="FF000000"/>
        <rFont val="WenQuanYi Zen Hei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</si>
  <si>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</si>
  <si>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</si>
  <si>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</si>
  <si>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</si>
  <si>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口徑）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</si>
  <si>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小時口徑）</t>
    </r>
  </si>
  <si>
    <r>
      <rPr>
        <sz val="10"/>
        <color rgb="FF000000"/>
        <rFont val="WenQuanYi Zen Hei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</si>
  <si>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</si>
  <si>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</si>
  <si>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</si>
  <si>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</si>
  <si>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WenQuanYi Zen Hei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</si>
  <si>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WenQuanYi Zen Hei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WenQuanYi Zen Hei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倍數）</t>
    </r>
  </si>
  <si>
    <t xml:space="preserve">研發倍數</t>
  </si>
  <si>
    <r>
      <rPr>
        <sz val="10"/>
        <color rgb="FF000000"/>
        <rFont val="WenQuanYi Zen Hei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</si>
  <si>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</si>
  <si>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</si>
  <si>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WenQuanYi Zen Hei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</si>
  <si>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WenQuanYi Zen Hei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WenQuanYi Zen Hei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WenQuanYi Zen Hei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</si>
  <si>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</si>
  <si>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WenQuanYi Zen Hei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WenQuanYi Zen Hei"/>
        <family val="2"/>
      </rPr>
      <t xml:space="preserve">、參考、蒸餾學生與教師）</t>
    </r>
  </si>
  <si>
    <r>
      <rPr>
        <sz val="10"/>
        <color rgb="FF000000"/>
        <rFont val="WenQuanYi Zen Hei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WenQuanYi Zen Hei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</si>
  <si>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</si>
  <si>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</si>
  <si>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WenQuanYi Zen Hei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WenQuanYi Zen Hei"/>
        <family val="2"/>
      </rPr>
      <t xml:space="preserve">研發歸屬的總額）</t>
    </r>
  </si>
  <si>
    <r>
      <rPr>
        <sz val="10"/>
        <color rgb="FF000000"/>
        <rFont val="WenQuanYi Zen Hei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</si>
  <si>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</si>
  <si>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</si>
  <si>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WenQuanYi Zen Hei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</si>
  <si>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WenQuanYi Zen Hei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WenQuanYi Zen Hei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WenQuanYi Zen Hei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WenQuanYi Zen Hei"/>
        <family val="2"/>
      </rPr>
      <t xml:space="preserve">；先看敏感度，再看基準）</t>
    </r>
  </si>
  <si>
    <r>
      <rPr>
        <sz val="9"/>
        <color rgb="FF595959"/>
        <rFont val="WenQuanYi Zen Hei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WenQuanYi Zen Hei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）的比值</t>
    </r>
  </si>
  <si>
    <r>
      <rPr>
        <b val="true"/>
        <sz val="10"/>
        <rFont val="WenQuanYi Zen Hei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WenQuanYi Zen Hei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</si>
  <si>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WenQuanYi Zen Hei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WenQuanYi Zen Hei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</si>
  <si>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WenQuanYi Zen Hei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WenQuanYi Zen Hei"/>
        <family val="2"/>
      </rPr>
      <t xml:space="preserve">替代）</t>
    </r>
  </si>
  <si>
    <r>
      <rPr>
        <b val="true"/>
        <sz val="10"/>
        <rFont val="WenQuanYi Zen Hei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</si>
  <si>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WenQuanYi Zen Hei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</si>
  <si>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</si>
  <si>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</si>
  <si>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WenQuanYi Zen Hei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WenQuanYi Zen Hei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WenQuanYi Zen Hei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</si>
  <si>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WenQuanYi Zen Hei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WenQuanYi Zen Hei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</si>
  <si>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WenQuanYi Zen Hei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WenQuanYi Zen Hei"/>
        <family val="2"/>
      </rPr>
      <t xml:space="preserve">替代）</t>
    </r>
  </si>
  <si>
    <r>
      <rPr>
        <b val="true"/>
        <sz val="10"/>
        <rFont val="WenQuanYi Zen Hei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</si>
  <si>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WenQuanYi Zen Hei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</si>
  <si>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WenQuanYi Zen Hei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</si>
  <si>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WenQuanYi Zen Hei"/>
        <family val="2"/>
      </rPr>
      <t xml:space="preserve">）</t>
    </r>
  </si>
  <si>
    <t xml:space="preserve">goodput 0.80</t>
  </si>
  <si>
    <r>
      <rPr>
        <b val="true"/>
        <sz val="10"/>
        <rFont val="WenQuanYi Zen Hei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WenQuanYi Zen Hei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</si>
  <si>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WenQuanYi Zen Hei"/>
        <family val="2"/>
      </rPr>
      <t xml:space="preserve">對基準的比值（同層級）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</si>
  <si>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基準</t>
    </r>
  </si>
  <si>
    <r>
      <rPr>
        <sz val="10"/>
        <color rgb="FF000000"/>
        <rFont val="WenQuanYi Zen Hei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基準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</si>
  <si>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</si>
  <si>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WenQuanYi Zen Hei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WenQuanYi Zen Hei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WenQuanYi Zen Hei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</si>
  <si>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WenQuanYi Zen Hei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WenQuanYi Zen Hei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</si>
  <si>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WenQuanYi Zen Hei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WenQuanYi Zen Hei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WenQuanYi Zen Hei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</si>
  <si>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</si>
  <si>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</si>
  <si>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</si>
  <si>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</si>
  <si>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）</t>
    </r>
  </si>
  <si>
    <t xml:space="preserve">快取輸入</t>
  </si>
  <si>
    <r>
      <rPr>
        <sz val="9"/>
        <color rgb="FF595959"/>
        <rFont val="WenQuanYi Zen Hei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</si>
  <si>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</si>
  <si>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WenQuanYi Zen Hei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</si>
  <si>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</si>
  <si>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</si>
  <si>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</si>
  <si>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WenQuanYi Zen Hei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WenQuanYi Zen Hei"/>
        <family val="2"/>
      </rPr>
      <t xml:space="preserve">半價＋企業議價，加權）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</si>
  <si>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WenQuanYi Zen Hei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</si>
  <si>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WenQuanYi Zen Hei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WenQuanYi Zen Hei"/>
        <family val="2"/>
      </rPr>
      <t xml:space="preserve">（輸入中屬快取命中的比例）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</si>
  <si>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</si>
  <si>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10"/>
        <color rgb="FF000000"/>
        <rFont val="WenQuanYi Zen Hei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WenQuanYi Zen Hei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</si>
  <si>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WenQuanYi Zen Hei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Capability C </t>
    </r>
    <r>
      <rPr>
        <sz val="9"/>
        <color rgb="FF595959"/>
        <rFont val="WenQuanYi Zen Hei"/>
        <family val="2"/>
      </rPr>
      <t xml:space="preserve">節）</t>
    </r>
  </si>
  <si>
    <r>
      <rPr>
        <sz val="10"/>
        <color rgb="FF000000"/>
        <rFont val="WenQuanYi Zen Hei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WenQuanYi Zen Hei"/>
        <family val="2"/>
      </rPr>
      <t xml:space="preserve">基準；情境用）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</si>
  <si>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WenQuanYi Zen Hei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WenQuanYi Zen Hei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WenQuanYi Zen Hei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基準的倍數</t>
    </r>
  </si>
  <si>
    <r>
      <rPr>
        <sz val="10"/>
        <color rgb="FF000000"/>
        <rFont val="WenQuanYi Zen Hei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</si>
  <si>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WenQuanYi Zen Hei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</si>
  <si>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</si>
  <si>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</si>
  <si>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WenQuanYi Zen Hei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WenQuanYi Zen Hei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</si>
  <si>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</si>
  <si>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</si>
  <si>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WenQuanYi Zen Hei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</si>
  <si>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</si>
  <si>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</si>
  <si>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WenQuanYi Zen Hei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WenQuanYi Zen Hei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WenQuanYi Zen Hei"/>
        <family val="2"/>
      </rPr>
      <t xml:space="preserve">）</t>
    </r>
  </si>
  <si>
    <t xml:space="preserve">商業壽命 低</t>
  </si>
  <si>
    <t xml:space="preserve">商業壽命 高</t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</si>
  <si>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WenQuanYi Zen Hei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WenQuanYi Zen Hei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WenQuanYi Zen Hei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</si>
  <si>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</si>
  <si>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</si>
  <si>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WenQuanYi Zen Hei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WenQuanYi Zen Hei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WenQuanYi Zen Hei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WenQuanYi Zen Hei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</si>
  <si>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</si>
  <si>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WenQuanYi Zen Hei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</si>
  <si>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</si>
  <si>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</si>
  <si>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WenQuanYi Zen Hei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</si>
  <si>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</si>
  <si>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WenQuanYi Zen Hei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欄＝低、高）</t>
    </r>
  </si>
  <si>
    <r>
      <rPr>
        <sz val="10"/>
        <color rgb="FF000000"/>
        <rFont val="WenQuanYi Zen Hei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</si>
  <si>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</si>
  <si>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</si>
  <si>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WenQuanYi Zen Hei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WenQuanYi Zen Hei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</si>
  <si>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</si>
  <si>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</si>
  <si>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</si>
  <si>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WenQuanYi Zen Hei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</si>
  <si>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</si>
  <si>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</si>
  <si>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WenQuanYi Zen Hei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</si>
  <si>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WenQuanYi Zen Hei"/>
        <family val="2"/>
      </rPr>
      <t xml:space="preserve">取得成本</t>
    </r>
  </si>
  <si>
    <r>
      <rPr>
        <sz val="9"/>
        <color rgb="FF595959"/>
        <rFont val="WenQuanYi Zen Hei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</si>
  <si>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WenQuanYi Zen Hei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</si>
  <si>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WenQuanYi Zen Hei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WenQuanYi Zen Hei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WenQuanYi Zen Hei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</si>
  <si>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</si>
  <si>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</si>
  <si>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</si>
  <si>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</si>
  <si>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WenQuanYi Zen Hei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</si>
  <si>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WenQuanYi Zen Hei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</si>
  <si>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WenQuanYi Zen Hei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</si>
  <si>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WenQuanYi Zen Hei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</si>
  <si>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</si>
  <si>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</si>
  <si>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</si>
  <si>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WenQuanYi Zen Hei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</si>
  <si>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</si>
  <si>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</si>
  <si>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</si>
  <si>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</si>
  <si>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</si>
  <si>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WenQuanYi Zen Hei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</si>
  <si>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</si>
  <si>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</si>
  <si>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</si>
  <si>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</si>
  <si>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</si>
  <si>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</si>
  <si>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</si>
  <si>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</si>
  <si>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WenQuanYi Zen Hei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</si>
  <si>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</si>
  <si>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</si>
  <si>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</si>
  <si>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</si>
  <si>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</si>
  <si>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</si>
  <si>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WenQuanYi Zen Hei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</si>
  <si>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</si>
  <si>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</si>
  <si>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</si>
  <si>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</si>
  <si>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WenQuanYi Zen Hei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</si>
  <si>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</si>
  <si>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WenQuanYi Zen Hei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WenQuanYi Zen Hei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</si>
  <si>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</si>
  <si>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</si>
  <si>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</si>
  <si>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WenQuanYi Zen Hei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</si>
  <si>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</si>
  <si>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</si>
  <si>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</si>
  <si>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</si>
  <si>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</si>
  <si>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WenQuanYi Zen Hei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WenQuanYi Zen Hei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</si>
  <si>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</si>
  <si>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</si>
  <si>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</si>
  <si>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</si>
  <si>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WenQuanYi Zen Hei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WenQuanYi Zen Hei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WenQuanYi Zen Hei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</si>
  <si>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</si>
  <si>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</si>
  <si>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WenQuanYi Zen Hei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WenQuanYi Zen Hei"/>
        <family val="2"/>
      </rPr>
      <t xml:space="preserve">輸入；快取價未取得）；指數未取得</t>
    </r>
  </si>
  <si>
    <r>
      <rPr>
        <sz val="9"/>
        <color rgb="FF595959"/>
        <rFont val="WenQuanYi Zen Hei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WenQuanYi Zen Hei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WenQuanYi Zen Hei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</si>
  <si>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Capability — </t>
    </r>
    <r>
      <rPr>
        <b val="true"/>
        <sz val="13"/>
        <rFont val="WenQuanYi Zen Hei"/>
        <family val="2"/>
      </rPr>
      <t xml:space="preserve">算力 → 能力 → 單價（</t>
    </r>
    <r>
      <rPr>
        <b val="true"/>
        <sz val="13"/>
        <rFont val="Arial"/>
        <family val="0"/>
        <charset val="1"/>
      </rPr>
      <t xml:space="preserve">K3</t>
    </r>
    <r>
      <rPr>
        <b val="true"/>
        <sz val="13"/>
        <rFont val="WenQuanYi Zen Hei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AA </t>
    </r>
    <r>
      <rPr>
        <b val="true"/>
        <sz val="13"/>
        <rFont val="WenQuanYi Zen Hei"/>
        <family val="2"/>
      </rPr>
      <t xml:space="preserve">指數為主、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WenQuanYi Zen Hei"/>
        <family val="2"/>
      </rPr>
      <t xml:space="preserve">為檢查；</t>
    </r>
    <r>
      <rPr>
        <b val="true"/>
        <sz val="13"/>
        <rFont val="Arial"/>
        <family val="0"/>
        <charset val="1"/>
      </rPr>
      <t xml:space="preserve">K4</t>
    </r>
    <r>
      <rPr>
        <b val="true"/>
        <sz val="13"/>
        <rFont val="WenQuanYi Zen Hei"/>
        <family val="2"/>
      </rPr>
      <t xml:space="preserve">：只作檢查與反解，不驅動基準營收）</t>
    </r>
  </si>
  <si>
    <r>
      <rPr>
        <sz val="9"/>
        <color rgb="FF595959"/>
        <rFont val="WenQuanYi Zen Hei"/>
        <family val="2"/>
      </rPr>
      <t xml:space="preserve">本頁回答三件事：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各層級門檻模型的能力位置；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WenQuanYi Zen Hei"/>
        <family val="2"/>
      </rPr>
      <t xml:space="preserve">本模型各層級的訓練算力與能力的對應（檢查用，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架構為代理，不等於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實際模型）；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WenQuanYi Zen Hei"/>
        <family val="2"/>
      </rPr>
      <t xml:space="preserve">為何不由斜率驅動單價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</si>
  <si>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各層級（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WenQuanYi Zen Hei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FLOPs </t>
    </r>
    <r>
      <rPr>
        <b val="true"/>
        <sz val="10"/>
        <rFont val="WenQuanYi Zen Hei"/>
        <family val="2"/>
      </rPr>
      <t xml:space="preserve">與世代無關）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</si>
  <si>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（預訓練＋後訓練；</t>
    </r>
    <r>
      <rPr>
        <sz val="10"/>
        <color rgb="FF000000"/>
        <rFont val="Arial"/>
        <family val="0"/>
        <charset val="1"/>
      </rPr>
      <t xml:space="preserve">Training Cfin</t>
    </r>
    <r>
      <rPr>
        <sz val="10"/>
        <color rgb="FF000000"/>
        <rFont val="WenQuanYi Zen Hei"/>
        <family val="2"/>
      </rPr>
      <t xml:space="preserve">）</t>
    </r>
  </si>
  <si>
    <t xml:space="preserve">Block 3</t>
  </si>
  <si>
    <t xml:space="preserve">log10 FLOPs</t>
  </si>
  <si>
    <r>
      <rPr>
        <sz val="10"/>
        <color rgb="FF000000"/>
        <rFont val="WenQuanYi Zen Hei"/>
        <family val="2"/>
      </rPr>
      <t xml:space="preserve">門檻模型能力指數（</t>
    </r>
    <r>
      <rPr>
        <sz val="10"/>
        <color rgb="FF000000"/>
        <rFont val="Arial"/>
        <family val="0"/>
        <charset val="1"/>
      </rPr>
      <t xml:space="preserve">AA</t>
    </r>
    <r>
      <rPr>
        <sz val="10"/>
        <color rgb="FF000000"/>
        <rFont val="WenQuanYi Zen Hei"/>
        <family val="2"/>
      </rPr>
      <t xml:space="preserve">）</t>
    </r>
  </si>
  <si>
    <t xml:space="preserve">指數</t>
  </si>
  <si>
    <r>
      <rPr>
        <sz val="9"/>
        <color rgb="FF595959"/>
        <rFont val="Arial"/>
        <family val="0"/>
        <charset val="1"/>
      </rPr>
      <t xml:space="preserve">Cap_In F </t>
    </r>
    <r>
      <rPr>
        <sz val="9"/>
        <color rgb="FF595959"/>
        <rFont val="WenQuanYi Zen Hei"/>
        <family val="2"/>
      </rPr>
      <t xml:space="preserve">節前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</si>
  <si>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相鄰層級：每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倍算力的指數增量</t>
    </r>
  </si>
  <si>
    <r>
      <rPr>
        <sz val="10"/>
        <color rgb="FF000000"/>
        <rFont val="WenQuanYi Zen Hei"/>
        <family val="2"/>
      </rPr>
      <t xml:space="preserve">點／</t>
    </r>
    <r>
      <rPr>
        <sz val="10"/>
        <color rgb="FF000000"/>
        <rFont val="Arial"/>
        <family val="0"/>
        <charset val="1"/>
      </rPr>
      <t xml:space="preserve">10x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</si>
  <si>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；代理架構，僅示意</t>
    </r>
  </si>
  <si>
    <r>
      <rPr>
        <sz val="10"/>
        <color rgb="FF000000"/>
        <rFont val="WenQuanYi Zen Hei"/>
        <family val="2"/>
      </rPr>
      <t xml:space="preserve">相鄰層級：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混合單價倍數</t>
    </r>
  </si>
  <si>
    <r>
      <rPr>
        <sz val="9"/>
        <color rgb="FF595959"/>
        <rFont val="Arial"/>
        <family val="0"/>
        <charset val="1"/>
      </rPr>
      <t xml:space="preserve">Price_Frontier B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</si>
  <si>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相鄰層級：本模型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成本倍數（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基準）</t>
    </r>
  </si>
  <si>
    <t xml:space="preserve">價格倍數 ≈ 成本倍數時，層級價差主要反映服務成本</t>
  </si>
  <si>
    <r>
      <rPr>
        <b val="true"/>
        <sz val="10"/>
        <rFont val="Arial"/>
        <family val="0"/>
        <charset val="1"/>
      </rPr>
      <t xml:space="preserve">B. J8 </t>
    </r>
    <r>
      <rPr>
        <b val="true"/>
        <sz val="10"/>
        <rFont val="WenQuanYi Zen Hei"/>
        <family val="2"/>
      </rPr>
      <t xml:space="preserve">檢查：前沿預訓練錨點 </t>
    </r>
    <r>
      <rPr>
        <b val="true"/>
        <sz val="10"/>
        <rFont val="Arial"/>
        <family val="0"/>
        <charset val="1"/>
      </rPr>
      <t xml:space="preserve">vs Astra</t>
    </r>
  </si>
  <si>
    <r>
      <rPr>
        <sz val="10"/>
        <color rgb="FF000000"/>
        <rFont val="WenQuanYi Zen Hei"/>
        <family val="2"/>
      </rPr>
      <t xml:space="preserve">前沿錨點中值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</si>
  <si>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9"/>
        <color rgb="FF595959"/>
        <rFont val="WenQuanYi Zen Hei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對標 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WenQuanYi Zen Hei"/>
        <family val="2"/>
      </rPr>
      <t xml:space="preserve">，算力可能低估約此倍數（</t>
    </r>
    <r>
      <rPr>
        <sz val="9"/>
        <color rgb="FF595959"/>
        <rFont val="Arial"/>
        <family val="0"/>
        <charset val="1"/>
      </rPr>
      <t xml:space="preserve">E006 </t>
    </r>
    <r>
      <rPr>
        <sz val="9"/>
        <color rgb="FF595959"/>
        <rFont val="WenQuanYi Zen Hei"/>
        <family val="2"/>
      </rPr>
      <t xml:space="preserve">待查）；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WenQuanYi Zen Hei"/>
        <family val="2"/>
      </rPr>
      <t xml:space="preserve">有效訓練算力倍數高值即取此量級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</si>
  <si>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為何 </t>
    </r>
    <r>
      <rPr>
        <b val="true"/>
        <sz val="10"/>
        <rFont val="Arial"/>
        <family val="0"/>
        <charset val="1"/>
      </rPr>
      <t xml:space="preserve">K4 </t>
    </r>
    <r>
      <rPr>
        <b val="true"/>
        <sz val="10"/>
        <rFont val="WenQuanYi Zen Hei"/>
        <family val="2"/>
      </rPr>
      <t xml:space="preserve">不採 </t>
    </r>
    <r>
      <rPr>
        <b val="true"/>
        <sz val="10"/>
        <rFont val="Arial"/>
        <family val="0"/>
        <charset val="1"/>
      </rPr>
      <t xml:space="preserve">(a)</t>
    </r>
    <r>
      <rPr>
        <b val="true"/>
        <sz val="10"/>
        <rFont val="WenQuanYi Zen Hei"/>
        <family val="2"/>
      </rPr>
      <t xml:space="preserve">（摘要；數字見 </t>
    </r>
    <r>
      <rPr>
        <b val="true"/>
        <sz val="10"/>
        <rFont val="Arial"/>
        <family val="0"/>
        <charset val="1"/>
      </rPr>
      <t xml:space="preserve">Checks Block 4 </t>
    </r>
    <r>
      <rPr>
        <b val="true"/>
        <sz val="10"/>
        <rFont val="WenQuanYi Zen Hei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Price_Frontier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</si>
  <si>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1. </t>
    </r>
    <r>
      <rPr>
        <sz val="9"/>
        <color rgb="FF595959"/>
        <rFont val="WenQuanYi Zen Hei"/>
        <family val="2"/>
      </rPr>
      <t xml:space="preserve">識別：同層級牌價跨廠商差距大（例：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級輸出價 </t>
    </r>
    <r>
      <rPr>
        <sz val="9"/>
        <color rgb="FF595959"/>
        <rFont val="Arial"/>
        <family val="0"/>
        <charset val="1"/>
      </rPr>
      <t xml:space="preserve">DeepSeek V4-Pro </t>
    </r>
    <r>
      <rPr>
        <sz val="9"/>
        <color rgb="FF595959"/>
        <rFont val="WenQuanYi Zen Hei"/>
        <family val="2"/>
      </rPr>
      <t xml:space="preserve">離峰 </t>
    </r>
    <r>
      <rPr>
        <sz val="9"/>
        <color rgb="FF595959"/>
        <rFont val="Arial"/>
        <family val="0"/>
        <charset val="1"/>
      </rPr>
      <t xml:space="preserve">$1.98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Kimi K3 $15</t>
    </r>
    <r>
      <rPr>
        <sz val="9"/>
        <color rgb="FF595959"/>
        <rFont val="WenQuanYi Zen Hei"/>
        <family val="2"/>
      </rPr>
      <t xml:space="preserve">），主要由廠商策略與成本決定，斜率無法與能力分離。</t>
    </r>
  </si>
  <si>
    <r>
      <rPr>
        <sz val="9"/>
        <color rgb="FF595959"/>
        <rFont val="Arial"/>
        <family val="0"/>
        <charset val="1"/>
      </rPr>
      <t xml:space="preserve">2. </t>
    </r>
    <r>
      <rPr>
        <sz val="9"/>
        <color rgb="FF595959"/>
        <rFont val="WenQuanYi Zen Hei"/>
        <family val="2"/>
      </rPr>
      <t xml:space="preserve">循環：前緣由接近成本定價的廠商決定（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WenQuanYi Zen Hei"/>
        <family val="2"/>
      </rPr>
      <t xml:space="preserve">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同架構成本約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WenQuanYi Zen Hei"/>
        <family val="2"/>
      </rPr>
      <t xml:space="preserve">），前緣斜率≈服務成本斜率，已由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WenQuanYi Zen Hei"/>
        <family val="2"/>
      </rPr>
      <t xml:space="preserve">計算。</t>
    </r>
  </si>
  <si>
    <r>
      <rPr>
        <sz val="9"/>
        <color rgb="FF595959"/>
        <rFont val="Arial"/>
        <family val="0"/>
        <charset val="1"/>
      </rPr>
      <t xml:space="preserve">3. </t>
    </r>
    <r>
      <rPr>
        <sz val="9"/>
        <color rgb="FF595959"/>
        <rFont val="WenQuanYi Zen Hei"/>
        <family val="2"/>
      </rPr>
      <t xml:space="preserve">重複：層級牌價已含能力；只有增量（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WenQuanYi Zen Hei"/>
        <family val="2"/>
      </rPr>
      <t xml:space="preserve">）可再進入，故以 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WenQuanYi Zen Hei"/>
        <family val="2"/>
      </rPr>
      <t xml:space="preserve">乘在增量上，基準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</si>
  <si>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4. </t>
    </r>
    <r>
      <rPr>
        <sz val="9"/>
        <color rgb="FF595959"/>
        <rFont val="WenQuanYi Zen Hei"/>
        <family val="2"/>
      </rPr>
      <t xml:space="preserve">誤差相乘：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WenQuanYi Zen Hei"/>
        <family val="2"/>
      </rPr>
      <t xml:space="preserve">算力缺口約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WenQuanYi Zen Hei"/>
        <family val="2"/>
      </rPr>
      <t xml:space="preserve">倍 </t>
    </r>
    <r>
      <rPr>
        <sz val="9"/>
        <color rgb="FF595959"/>
        <rFont val="Arial"/>
        <family val="0"/>
        <charset val="1"/>
      </rPr>
      <t xml:space="preserve">× ε 0–0.5 → </t>
    </r>
    <r>
      <rPr>
        <sz val="9"/>
        <color rgb="FF595959"/>
        <rFont val="WenQuanYi Zen Hei"/>
        <family val="2"/>
      </rPr>
      <t xml:space="preserve">單價倍數 </t>
    </r>
    <r>
      <rPr>
        <sz val="9"/>
        <color rgb="FF595959"/>
        <rFont val="Arial"/>
        <family val="0"/>
        <charset val="1"/>
      </rPr>
      <t xml:space="preserve">1.0–2.6</t>
    </r>
    <r>
      <rPr>
        <sz val="9"/>
        <color rgb="FF595959"/>
        <rFont val="WenQuanYi Zen Hei"/>
        <family val="2"/>
      </rPr>
      <t xml:space="preserve">，大於利用率區間的影響。</t>
    </r>
  </si>
  <si>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WenQuanYi Zen Hei"/>
        <family val="2"/>
      </rPr>
      <t xml:space="preserve">反解：</t>
    </r>
    <r>
      <rPr>
        <sz val="9"/>
        <color rgb="FF595959"/>
        <rFont val="Arial"/>
        <family val="0"/>
        <charset val="1"/>
      </rPr>
      <t xml:space="preserve">Amortize </t>
    </r>
    <r>
      <rPr>
        <sz val="9"/>
        <color rgb="FF595959"/>
        <rFont val="WenQuanYi Zen Hei"/>
        <family val="2"/>
      </rPr>
      <t xml:space="preserve">頁『回本所需單價溢價』與觀測層級價差並列，回答『訓練能否回本』而不假設斜率。</t>
    </r>
  </si>
  <si>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WenQuanYi Zen Hei"/>
        <family val="2"/>
      </rPr>
      <t xml:space="preserve">時間長度（</t>
    </r>
    <r>
      <rPr>
        <sz val="9"/>
        <color rgb="FF595959"/>
        <rFont val="Arial"/>
        <family val="0"/>
        <charset val="1"/>
      </rPr>
      <t xml:space="preserve">K3 </t>
    </r>
    <r>
      <rPr>
        <sz val="9"/>
        <color rgb="FF595959"/>
        <rFont val="WenQuanYi Zen Hei"/>
        <family val="2"/>
      </rPr>
      <t xml:space="preserve">檢查）：尚未入表，待查。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</si>
  <si>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WenQuanYi Zen Hei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WenQuanYi Zen Hei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WenQuanYi Zen Hei"/>
        <family val="2"/>
      </rPr>
      <t xml:space="preserve">層級模型者之中，參考請求混合單價最低者）</t>
    </r>
  </si>
  <si>
    <r>
      <rPr>
        <sz val="9"/>
        <color rgb="FF595959"/>
        <rFont val="WenQuanYi Zen Hei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WenQuanYi Zen Hei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WenQuanYi Zen Hei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WenQuanYi Zen Hei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WenQuanYi Zen Hei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WenQuanYi Zen Hei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WenQuanYi Zen Hei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WenQuanYi Zen Hei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</si>
  <si>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</si>
  <si>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</si>
  <si>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</si>
  <si>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WenQuanYi Zen Hei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</si>
  <si>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WenQuanYi Zen Hei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</si>
  <si>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WenQuanYi Zen Hei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</si>
  <si>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WenQuanYi Zen Hei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</si>
  <si>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WenQuanYi Zen Hei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</si>
  <si>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WenQuanYi Zen Hei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</si>
  <si>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WenQuanYi Zen Hei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</si>
  <si>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WenQuanYi Zen Hei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</si>
  <si>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WenQuanYi Zen Hei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</si>
  <si>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WenQuanYi Zen Hei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WenQuanYi Zen Hei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</si>
  <si>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</si>
  <si>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層級模型的指數）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</si>
  <si>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層級模型 混合單價（表列）</t>
    </r>
  </si>
  <si>
    <t xml:space="preserve">前緣 混合單價（表列）</t>
  </si>
  <si>
    <t xml:space="preserve">前緣模型</t>
  </si>
  <si>
    <t xml:space="preserve">前緣 新鮮輸入（表列、時段加權）</t>
  </si>
  <si>
    <t xml:space="preserve">前緣 快取輸入</t>
  </si>
  <si>
    <t xml:space="preserve">前緣 輸出（含思考）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</si>
  <si>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WenQuanYi Zen Hei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即前緣）</t>
    </r>
  </si>
  <si>
    <t xml:space="preserve">中國廠商 合格者最低 混合單價</t>
  </si>
  <si>
    <t xml:space="preserve">中國廠商 合格者最低 模型</t>
  </si>
  <si>
    <r>
      <rPr>
        <sz val="10"/>
        <color rgb="FF000000"/>
        <rFont val="WenQuanYi Zen Hei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WenQuanYi Zen Hei"/>
        <family val="2"/>
      </rPr>
      <t xml:space="preserve">層級模型</t>
    </r>
  </si>
  <si>
    <t xml:space="preserve">中國廠商 合格家數（候選表中）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</si>
  <si>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WenQuanYi Zen Hei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</si>
  <si>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WenQuanYi Zen Hei"/>
        <family val="2"/>
      </rPr>
      <t xml:space="preserve">有效倍數（能力增量，以有效算力表示）</t>
    </r>
  </si>
  <si>
    <r>
      <rPr>
        <sz val="10"/>
        <color rgb="FF000000"/>
        <rFont val="WenQuanYi Zen Hei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WenQuanYi Zen Hei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</si>
  <si>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WenQuanYi Zen Hei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WenQuanYi Zen Hei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</si>
  <si>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（有效）</t>
    </r>
  </si>
  <si>
    <r>
      <rPr>
        <sz val="10"/>
        <color rgb="FF000000"/>
        <rFont val="WenQuanYi Zen Hei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（有效）</t>
    </r>
  </si>
  <si>
    <r>
      <rPr>
        <sz val="10"/>
        <color rgb="FF000000"/>
        <rFont val="WenQuanYi Zen Hei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（有效；依輸出價計費）</t>
    </r>
  </si>
  <si>
    <r>
      <rPr>
        <sz val="10"/>
        <color rgb="FF000000"/>
        <rFont val="WenQuanYi Zen Hei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（有效）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</si>
  <si>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有效）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</si>
  <si>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WenQuanYi Zen Hei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</si>
  <si>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WenQuanYi Zen Hei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WenQuanYi Zen Hei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WenQuanYi Zen Hei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WenQuanYi Zen Hei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WenQuanYi Zen Hei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WenQuanYi Zen Hei"/>
        <family val="2"/>
      </rPr>
      <t xml:space="preserve">之上）</t>
    </r>
  </si>
  <si>
    <r>
      <rPr>
        <sz val="9"/>
        <color rgb="FF595959"/>
        <rFont val="WenQuanYi Zen Hei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WenQuanYi Zen Hei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WenQuanYi Zen Hei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WenQuanYi Zen Hei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WenQuanYi Zen Hei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WenQuanYi Zen Hei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WenQuanYi Zen Hei"/>
        <family val="2"/>
      </rPr>
      <t xml:space="preserve">，為上限）</t>
    </r>
  </si>
  <si>
    <t xml:space="preserve">欄索引</t>
  </si>
  <si>
    <r>
      <rPr>
        <b val="true"/>
        <sz val="10"/>
        <rFont val="WenQuanYi Zen Hei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WenQuanYi Zen Hei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</si>
  <si>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</si>
  <si>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</si>
  <si>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</si>
  <si>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WenQuanYi Zen Hei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</si>
  <si>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</si>
  <si>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WenQuanYi Zen Hei"/>
        <family val="2"/>
      </rPr>
      <t xml:space="preserve">採用列）</t>
    </r>
  </si>
  <si>
    <r>
      <rPr>
        <sz val="10"/>
        <color rgb="FF000000"/>
        <rFont val="WenQuanYi Zen Hei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</si>
  <si>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WenQuanYi Zen Hei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</si>
  <si>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WenQuanYi Zen Hei"/>
        <family val="2"/>
      </rPr>
      <t xml:space="preserve">快取輸入有效價</t>
    </r>
  </si>
  <si>
    <r>
      <rPr>
        <sz val="10"/>
        <color rgb="FF000000"/>
        <rFont val="WenQuanYi Zen Hei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</si>
  <si>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WenQuanYi Zen Hei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</si>
  <si>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WenQuanYi Zen Hei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WenQuanYi Zen Hei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</si>
  <si>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WenQuanYi Zen Hei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WenQuanYi Zen Hei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WenQuanYi Zen Hei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WenQuanYi Zen Hei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研發倍數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</si>
  <si>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</si>
  <si>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</si>
  <si>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</si>
  <si>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</si>
  <si>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</si>
  <si>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</si>
  <si>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t xml:space="preserve">  研發實驗（不含最終訓練）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</si>
  <si>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WenQuanYi Zen Hei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WenQuanYi Zen Hei"/>
        <family val="2"/>
      </rPr>
      <t xml:space="preserve">年）</t>
    </r>
  </si>
  <si>
    <r>
      <rPr>
        <sz val="10"/>
        <color rgb="FF000000"/>
        <rFont val="WenQuanYi Zen Hei"/>
        <family val="2"/>
      </rPr>
      <t xml:space="preserve">可服務（組合內各層級皆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</si>
  <si>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旗標</t>
  </si>
  <si>
    <r>
      <rPr>
        <sz val="10"/>
        <color rgb="FF000000"/>
        <rFont val="WenQuanYi Zen Hei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總量</t>
    </r>
  </si>
  <si>
    <r>
      <rPr>
        <sz val="10"/>
        <color rgb="FF000000"/>
        <rFont val="WenQuanYi Zen Hei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總量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</si>
  <si>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</si>
  <si>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</si>
  <si>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</si>
  <si>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</si>
  <si>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</si>
  <si>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</si>
  <si>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</si>
  <si>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</si>
  <si>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</si>
  <si>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WenQuanYi Zen Hei"/>
        <family val="2"/>
      </rPr>
      <t xml:space="preserve">檢查：各層級服務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</si>
  <si>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WenQuanYi Zen Hei"/>
        <family val="2"/>
      </rPr>
      <t xml:space="preserve">一致性</t>
    </r>
  </si>
  <si>
    <r>
      <rPr>
        <sz val="10"/>
        <color rgb="FF000000"/>
        <rFont val="WenQuanYi Zen Hei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年（三層級合計）</t>
    </r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</si>
  <si>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家族計畫）</t>
    </r>
  </si>
  <si>
    <r>
      <rPr>
        <sz val="9"/>
        <color rgb="FF595959"/>
        <rFont val="WenQuanYi Zen Hei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WenQuanYi Zen Hei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WenQuanYi Zen Hei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WenQuanYi Zen Hei"/>
        <family val="2"/>
      </rPr>
      <t xml:space="preserve">）或機隊訓練占比偏高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</si>
  <si>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WenQuanYi Zen Hei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WenQuanYi Zen Hei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WenQuanYi Zen Hei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</si>
  <si>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WenQuanYi Zen Hei"/>
        <family val="2"/>
      </rPr>
      <t xml:space="preserve">只改變層級間分配，總額同由上而下</t>
    </r>
  </si>
  <si>
    <r>
      <rPr>
        <sz val="10"/>
        <color rgb="FF000000"/>
        <rFont val="WenQuanYi Zen Hei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</si>
  <si>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（付費＋免費）</t>
    </r>
  </si>
  <si>
    <r>
      <rPr>
        <sz val="10"/>
        <color rgb="FF000000"/>
        <rFont val="WenQuanYi Zen Hei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（付費＋免費）</t>
    </r>
  </si>
  <si>
    <t xml:space="preserve">M tok</t>
  </si>
  <si>
    <r>
      <rPr>
        <sz val="10"/>
        <color rgb="FF000000"/>
        <rFont val="WenQuanYi Zen Hei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</si>
  <si>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</si>
  <si>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WenQuanYi Zen Hei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</si>
  <si>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WenQuanYi Zen Hei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自下而上</t>
    </r>
  </si>
  <si>
    <r>
      <rPr>
        <sz val="10"/>
        <color rgb="FF000000"/>
        <rFont val="WenQuanYi Zen Hei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</si>
  <si>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WenQuanYi Zen Hei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</si>
  <si>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WenQuanYi Zen Hei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有效混合單價）</t>
    </r>
  </si>
  <si>
    <r>
      <rPr>
        <sz val="10"/>
        <color rgb="FF000000"/>
        <rFont val="WenQuanYi Zen Hei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</si>
  <si>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WenQuanYi Zen Hei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</si>
  <si>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WenQuanYi Zen Hei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WenQuanYi Zen Hei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WenQuanYi Zen Hei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WenQuanYi Zen Hei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營收權重（並列）</t>
    </r>
  </si>
  <si>
    <t xml:space="preserve">由上而下年化總額（三層級合計）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</si>
  <si>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</si>
  <si>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WenQuanYi Zen Hei"/>
        <family val="2"/>
      </rPr>
      <t xml:space="preserve">商業壽命，合計）</t>
    </r>
  </si>
  <si>
    <r>
      <rPr>
        <sz val="10"/>
        <color rgb="FF000000"/>
        <rFont val="WenQuanYi Zen Hei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自下而上總額）</t>
    </r>
  </si>
  <si>
    <r>
      <rPr>
        <sz val="10"/>
        <color rgb="FF000000"/>
        <rFont val="WenQuanYi Zen Hei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</si>
  <si>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</si>
  <si>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</si>
  <si>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</si>
  <si>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</si>
  <si>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</si>
  <si>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</si>
  <si>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攤提占付費營收（各層級相同）</t>
    </r>
  </si>
  <si>
    <r>
      <rPr>
        <sz val="9"/>
        <color rgb="FF595959"/>
        <rFont val="WenQuanYi Zen Hei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WenQuanYi Zen Hei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WenQuanYi Zen Hei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WenQuanYi Zen Hei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WenQuanYi Zen Hei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WenQuanYi Zen Hei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</si>
  <si>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WenQuanYi Zen Hei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WenQuanYi Zen Hei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WenQuanYi Zen Hei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</si>
  <si>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WenQuanYi Zen Hei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WenQuanYi Zen Hei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WenQuanYi Zen Hei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</si>
  <si>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WenQuanYi Zen Hei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WenQuanYi Zen Hei"/>
        <family val="2"/>
      </rPr>
      <t xml:space="preserve">只服務本層級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</si>
  <si>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產出（基準利用率）</t>
    </r>
  </si>
  <si>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</si>
  <si>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</si>
  <si>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</si>
  <si>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</si>
  <si>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</si>
  <si>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持有成本</t>
    </r>
  </si>
  <si>
    <r>
      <rPr>
        <sz val="10"/>
        <color rgb="FF000000"/>
        <rFont val="WenQuanYi Zen Hei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持有成本</t>
    </r>
  </si>
  <si>
    <r>
      <rPr>
        <sz val="10"/>
        <color rgb="FF000000"/>
        <rFont val="WenQuanYi Zen Hei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（參考請求，含快取儲存，基準利用率）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</si>
  <si>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</si>
  <si>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（服務＋由上而下攤提）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</si>
  <si>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</si>
  <si>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WenQuanYi Zen Hei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單價；不含攤提，可與公司揭露毛利率比較）</t>
    </r>
  </si>
  <si>
    <r>
      <rPr>
        <sz val="10"/>
        <color rgb="FF000000"/>
        <rFont val="WenQuanYi Zen Hei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單價；自下而上全成本）</t>
    </r>
  </si>
  <si>
    <r>
      <rPr>
        <sz val="10"/>
        <color rgb="FF000000"/>
        <rFont val="WenQuanYi Zen Hei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單價；由上而下全成本）</t>
    </r>
  </si>
  <si>
    <r>
      <rPr>
        <sz val="10"/>
        <color rgb="FF000000"/>
        <rFont val="WenQuanYi Zen Hei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全成本）</t>
    </r>
  </si>
  <si>
    <t xml:space="preserve">理論毛利率（前緣單價；由上而下全成本）</t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</si>
  <si>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WenQuanYi Zen Hei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WenQuanYi Zen Hei"/>
        <family val="2"/>
      </rPr>
      <t xml:space="preserve">只服務本層級</t>
    </r>
  </si>
  <si>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</si>
  <si>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WenQuanYi Zen Hei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</si>
  <si>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</si>
  <si>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</si>
  <si>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WenQuanYi Zen Hei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WenQuanYi Zen Hei"/>
        <family val="2"/>
      </rPr>
      <t xml:space="preserve">只服務本層級</t>
    </r>
  </si>
  <si>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</si>
  <si>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WenQuanYi Zen Hei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</si>
  <si>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</si>
  <si>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</si>
  <si>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WenQuanYi Zen Hei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WenQuanYi Zen Hei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</si>
  <si>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</si>
  <si>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</si>
  <si>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</si>
  <si>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WenQuanYi Zen Hei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WenQuanYi Zen Hei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</si>
  <si>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</si>
  <si>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</si>
  <si>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</si>
  <si>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WenQuanYi Zen Hei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</si>
  <si>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WenQuanYi Zen Hei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年持有成本（服務＋訓練＋研發）</t>
    </r>
  </si>
  <si>
    <r>
      <rPr>
        <sz val="10"/>
        <color rgb="FF000000"/>
        <rFont val="WenQuanYi Zen Hei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持有成本</t>
    </r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</si>
  <si>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加權平均有效單價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</si>
  <si>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WenQuanYi Zen Hei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WenQuanYi Zen Hei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WenQuanYi Zen Hei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WenQuanYi Zen Hei"/>
        <family val="2"/>
      </rPr>
      <t xml:space="preserve">混合）</t>
    </r>
  </si>
  <si>
    <r>
      <rPr>
        <b val="true"/>
        <sz val="10"/>
        <rFont val="WenQuanYi Zen Hei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</si>
  <si>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每任務營收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</si>
  <si>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每任務營收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</si>
  <si>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每任務營收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</si>
  <si>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</si>
  <si>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</si>
  <si>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</si>
  <si>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</si>
  <si>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</si>
  <si>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</si>
  <si>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WenQuanYi Zen Hei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WenQuanYi Zen Hei"/>
        <family val="2"/>
      </rPr>
      <t xml:space="preserve">不同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</si>
  <si>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WenQuanYi Zen Hei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WenQuanYi Zen Hei"/>
        <family val="2"/>
      </rPr>
      <t xml:space="preserve">、基準成本；單一輸入變動，其餘不變）</t>
    </r>
  </si>
  <si>
    <r>
      <rPr>
        <sz val="9"/>
        <color rgb="FF595959"/>
        <rFont val="WenQuanYi Zen Hei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WenQuanYi Zen Hei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WenQuanYi Zen Hei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WenQuanYi Zen Hei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</si>
  <si>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</si>
  <si>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WenQuanYi Zen Hei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持有成本</t>
    </r>
  </si>
  <si>
    <t xml:space="preserve">相對基準</t>
  </si>
  <si>
    <r>
      <rPr>
        <b val="true"/>
        <sz val="10"/>
        <rFont val="WenQuanYi Zen Hei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</si>
  <si>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WenQuanYi Zen Hei"/>
        <family val="2"/>
      </rPr>
      <t xml:space="preserve">基準</t>
    </r>
  </si>
  <si>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</si>
  <si>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WenQuanYi Zen Hei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同比；持有成本不變</t>
    </r>
  </si>
  <si>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</si>
  <si>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WenQuanYi Zen Hei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</si>
  <si>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WenQuanYi Zen Hei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</si>
  <si>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</si>
  <si>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WenQuanYi Zen Hei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混合單價；機隊需重算各層級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</si>
  <si>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</si>
  <si>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WenQuanYi Zen Hei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</si>
  <si>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</si>
  <si>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WenQuanYi Zen Hei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</si>
  <si>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WenQuanYi Zen Hei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</si>
  <si>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WenQuanYi Zen Hei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</si>
  <si>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WenQuanYi Zen Hei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</si>
  <si>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WenQuanYi Zen Hei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</si>
  <si>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WenQuanYi Zen Hei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</si>
  <si>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WenQuanYi Zen Hei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WenQuanYi Zen Hei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</si>
  <si>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WenQuanYi Zen Hei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</si>
  <si>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WenQuanYi Zen Hei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WenQuanYi Zen Hei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</si>
  <si>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WenQuanYi Zen Hei"/>
        <family val="2"/>
      </rPr>
      <t xml:space="preserve">）對商業壽命</t>
    </r>
  </si>
  <si>
    <r>
      <rPr>
        <sz val="10"/>
        <color rgb="FF000000"/>
        <rFont val="WenQuanYi Zen Hei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個月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</si>
  <si>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WenQuanYi Zen Hei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有效混合單價相比仍極小</t>
    </r>
  </si>
  <si>
    <r>
      <rPr>
        <sz val="10"/>
        <color rgb="FF000000"/>
        <rFont val="WenQuanYi Zen Hei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個月</t>
    </r>
  </si>
  <si>
    <r>
      <rPr>
        <sz val="9"/>
        <color rgb="FF595959"/>
        <rFont val="WenQuanYi Zen Hei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WenQuanYi Zen Hei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</si>
  <si>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WenQuanYi Zen Hei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WenQuanYi Zen Hei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WenQuanYi Zen Hei"/>
        <family val="2"/>
      </rPr>
      <t xml:space="preserve">附區間）</t>
    </r>
  </si>
  <si>
    <r>
      <rPr>
        <sz val="9"/>
        <color rgb="FF595959"/>
        <rFont val="WenQuanYi Zen Hei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WenQuanYi Zen Hei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WenQuanYi Zen Hei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WenQuanYi Zen Hei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WenQuanYi Zen Hei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</si>
  <si>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選擇與混合</t>
    </r>
  </si>
  <si>
    <r>
      <rPr>
        <sz val="10"/>
        <color rgb="FF000000"/>
        <rFont val="WenQuanYi Zen Hei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＝多代理編排）</t>
    </r>
  </si>
  <si>
    <r>
      <rPr>
        <sz val="9"/>
        <color rgb="FF595959"/>
        <rFont val="WenQuanYi Zen Hei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WenQuanYi Zen Hei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</si>
  <si>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</si>
  <si>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WenQuanYi Zen Hei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</si>
  <si>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WenQuanYi Zen Hei"/>
        <family val="2"/>
      </rPr>
      <t xml:space="preserve">一致</t>
    </r>
  </si>
  <si>
    <r>
      <rPr>
        <sz val="10"/>
        <color rgb="FF000000"/>
        <rFont val="WenQuanYi Zen Hei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WenQuanYi Zen Hei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</si>
  <si>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WenQuanYi Zen Hei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WenQuanYi Zen Hei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WenQuanYi Zen Hei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</si>
  <si>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WenQuanYi Zen Hei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WenQuanYi Zen Hei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WenQuanYi Zen Hei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</si>
  <si>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：供應商原生增強（保留推理狀態＋上下文壓縮）</t>
    </r>
  </si>
  <si>
    <t xml:space="preserve">輪數倍數</t>
  </si>
  <si>
    <r>
      <rPr>
        <sz val="9"/>
        <color rgb="FF595959"/>
        <rFont val="WenQuanYi Zen Hei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WenQuanYi Zen Hei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WenQuanYi Zen Hei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WenQuanYi Zen Hei"/>
        <family val="2"/>
      </rPr>
      <t xml:space="preserve">）；區間見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</si>
  <si>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</si>
  <si>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</si>
  <si>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WenQuanYi Zen Hei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</si>
  <si>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</si>
  <si>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</si>
  <si>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WenQuanYi Zen Hei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WenQuanYi Zen Hei"/>
        <family val="2"/>
      </rPr>
      <t xml:space="preserve">（壓縮後）</t>
    </r>
  </si>
  <si>
    <r>
      <rPr>
        <sz val="9"/>
        <color rgb="FF595959"/>
        <rFont val="WenQuanYi Zen Hei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</si>
  <si>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</si>
  <si>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</si>
  <si>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WenQuanYi Zen Hei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WenQuanYi Zen Hei"/>
        <family val="2"/>
      </rPr>
      <t xml:space="preserve">之上</t>
    </r>
  </si>
  <si>
    <t xml:space="preserve">子代理數增量</t>
  </si>
  <si>
    <r>
      <rPr>
        <sz val="9"/>
        <color rgb="FF595959"/>
        <rFont val="WenQuanYi Zen Hei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WenQuanYi Zen Hei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</si>
  <si>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</si>
  <si>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WenQuanYi Zen Hei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WenQuanYi Zen Hei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</si>
  <si>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</si>
  <si>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WenQuanYi Zen Hei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WenQuanYi Zen Hei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WenQuanYi Zen Hei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</si>
  <si>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＝是）</t>
    </r>
  </si>
  <si>
    <r>
      <rPr>
        <sz val="9"/>
        <color rgb="FF595959"/>
        <rFont val="WenQuanYi Zen Hei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</si>
  <si>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：多代理編排（主代理＋並行子代理）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</si>
  <si>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</si>
  <si>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WenQuanYi Zen Hei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WenQuanYi Zen Hei"/>
        <family val="2"/>
      </rPr>
      <t xml:space="preserve">）</t>
    </r>
  </si>
  <si>
    <t xml:space="preserve">編排框架多為開源或開發者自建</t>
  </si>
  <si>
    <r>
      <rPr>
        <b val="true"/>
        <sz val="10"/>
        <rFont val="WenQuanYi Zen Hei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WenQuanYi Zen Hei"/>
        <family val="2"/>
      </rPr>
      <t xml:space="preserve">節；公式）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</si>
  <si>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WenQuanYi Zen Hei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WenQuanYi Zen Hei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WenQuanYi Zen Hei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WenQuanYi Zen Hei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WenQuanYi Zen Hei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WenQuanYi Zen Hei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</si>
  <si>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</si>
  <si>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WenQuanYi Zen Hei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WenQuanYi Zen Hei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WenQuanYi Zen Hei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WenQuanYi Zen Hei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WenQuanYi Zen Hei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</si>
  <si>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</si>
  <si>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</si>
  <si>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WenQuanYi Zen Hei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WenQuanYi Zen Hei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WenQuanYi Zen Hei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</si>
  <si>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WenQuanYi Zen Hei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＝高）</t>
    </r>
  </si>
  <si>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WenQuanYi Zen Hei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WenQuanYi Zen Hei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WenQuanYi Zen Hei"/>
        <family val="2"/>
      </rPr>
      <t xml:space="preserve">節）</t>
    </r>
  </si>
  <si>
    <t xml:space="preserve">任務</t>
  </si>
  <si>
    <t xml:space="preserve">任務長度（人類完成時間）</t>
  </si>
  <si>
    <r>
      <rPr>
        <sz val="9"/>
        <color rgb="FF595959"/>
        <rFont val="WenQuanYi Zen Hei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WenQuanYi Zen Hei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WenQuanYi Zen Hei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</si>
  <si>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</si>
  <si>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</si>
  <si>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</si>
  <si>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WenQuanYi Zen Hei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節逐任務輸入</t>
    </r>
  </si>
  <si>
    <r>
      <rPr>
        <sz val="10"/>
        <color rgb="FF000000"/>
        <rFont val="WenQuanYi Zen Hei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（低層）（空白＝用公式）</t>
    </r>
  </si>
  <si>
    <r>
      <rPr>
        <sz val="9"/>
        <color rgb="FF595959"/>
        <rFont val="WenQuanYi Zen Hei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</si>
  <si>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（中層）（空白＝用公式）</t>
    </r>
  </si>
  <si>
    <r>
      <rPr>
        <sz val="10"/>
        <color rgb="FF000000"/>
        <rFont val="WenQuanYi Zen Hei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</si>
  <si>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WenQuanYi Zen Hei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WenQuanYi Zen Hei"/>
        <family val="2"/>
      </rPr>
      <t xml:space="preserve">（長程））</t>
    </r>
  </si>
  <si>
    <r>
      <rPr>
        <sz val="10"/>
        <color rgb="FF000000"/>
        <rFont val="WenQuanYi Zen Hei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</si>
  <si>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</si>
  <si>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</si>
  <si>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WenQuanYi Zen Hei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</si>
  <si>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</si>
  <si>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</si>
  <si>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WenQuanYi Zen Hei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</si>
  <si>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</si>
  <si>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</si>
  <si>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WenQuanYi Zen Hei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</si>
  <si>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</si>
  <si>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WenQuanYi Zen Hei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</si>
  <si>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WenQuanYi Zen Hei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</si>
  <si>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WenQuanYi Zen Hei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</si>
  <si>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WenQuanYi Zen Hei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WenQuanYi Zen Hei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</si>
  <si>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</si>
  <si>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WenQuanYi Zen Hei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</si>
  <si>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</si>
  <si>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WenQuanYi Zen Hei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WenQuanYi Zen Hei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，待核；成本未找到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</si>
  <si>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</si>
  <si>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</si>
  <si>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WenQuanYi Zen Hei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WenQuanYi Zen Hei"/>
        <family val="2"/>
      </rPr>
      <t xml:space="preserve">（內建知識，待查核；非成功率）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</si>
  <si>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WenQuanYi Zen Hei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</si>
  <si>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</si>
  <si>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WenQuanYi Zen Hei"/>
        <family val="2"/>
      </rPr>
      <t xml:space="preserve">）</t>
    </r>
  </si>
  <si>
    <t xml:space="preserve">比值</t>
  </si>
  <si>
    <r>
      <rPr>
        <b val="true"/>
        <sz val="10"/>
        <rFont val="WenQuanYi Zen Hei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</si>
  <si>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</si>
  <si>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WenQuanYi Zen Hei"/>
        <family val="2"/>
      </rPr>
      <t xml:space="preserve">）</t>
    </r>
  </si>
  <si>
    <t xml:space="preserve">S59</t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</si>
  <si>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</si>
  <si>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WenQuanYi Zen Hei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</si>
  <si>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</si>
  <si>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WenQuanYi Zen Hei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WenQuanYi Zen Hei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WenQuanYi Zen Hei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</si>
  <si>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WenQuanYi Zen Hei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WenQuanYi Zen Hei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WenQuanYi Zen Hei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WenQuanYi Zen Hei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WenQuanYi Zen Hei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</si>
  <si>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WenQuanYi Zen Hei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有效參數）</t>
    </r>
  </si>
  <si>
    <r>
      <rPr>
        <b val="true"/>
        <sz val="10"/>
        <rFont val="WenQuanYi Zen Hei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</si>
  <si>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</si>
  <si>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</si>
  <si>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WenQuanYi Zen Hei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</si>
  <si>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</si>
  <si>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WenQuanYi Zen Hei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</si>
  <si>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WenQuanYi Zen Hei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殘差倍數</t>
    </r>
  </si>
  <si>
    <t xml:space="preserve">選定檔案全採用</t>
  </si>
  <si>
    <r>
      <rPr>
        <b val="true"/>
        <sz val="10"/>
        <rFont val="WenQuanYi Zen Hei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</si>
  <si>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</si>
  <si>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WenQuanYi Zen Hei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WenQuanYi Zen Hei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WenQuanYi Zen Hei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</si>
  <si>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</si>
  <si>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</si>
  <si>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</si>
  <si>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</si>
  <si>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</si>
  <si>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</si>
  <si>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</si>
  <si>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WenQuanYi Zen Hei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</si>
  <si>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</si>
  <si>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</si>
  <si>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</si>
  <si>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</si>
  <si>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</si>
  <si>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</si>
  <si>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</si>
  <si>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</si>
  <si>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</si>
  <si>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WenQuanYi Zen Hei"/>
        <family val="2"/>
      </rPr>
      <t xml:space="preserve">／任務；經濟、基準成本、基準利用率；含快取儲存）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</si>
  <si>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</si>
  <si>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</si>
  <si>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</si>
  <si>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</si>
  <si>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</si>
  <si>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</si>
  <si>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</si>
  <si>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</si>
  <si>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</si>
  <si>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</si>
  <si>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</si>
  <si>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</si>
  <si>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</si>
  <si>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</si>
  <si>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</si>
  <si>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</si>
  <si>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</si>
  <si>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</si>
  <si>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WenQuanYi Zen Hei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</si>
  <si>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</si>
  <si>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</si>
  <si>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</si>
  <si>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</si>
  <si>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</si>
  <si>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</si>
  <si>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</si>
  <si>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</si>
  <si>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</si>
  <si>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WenQuanYi Zen Hei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WenQuanYi Zen Hei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</si>
  <si>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</si>
  <si>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</si>
  <si>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</si>
  <si>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</si>
  <si>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</si>
  <si>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</si>
  <si>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</si>
  <si>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</si>
  <si>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</si>
  <si>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</si>
  <si>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</si>
  <si>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</si>
  <si>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</si>
  <si>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</si>
  <si>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</si>
  <si>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</si>
  <si>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</si>
  <si>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</si>
  <si>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WenQuanYi Zen Hei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WenQuanYi Zen Hei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</si>
  <si>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WenQuanYi Zen Hei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</si>
  <si>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WenQuanYi Zen Hei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</si>
  <si>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WenQuanYi Zen Hei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</si>
  <si>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WenQuanYi Zen Hei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</si>
  <si>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WenQuanYi Zen Hei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</si>
  <si>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WenQuanYi Zen Hei"/>
        <family val="2"/>
      </rPr>
      <t xml:space="preserve">（頂層）</t>
    </r>
  </si>
  <si>
    <r>
      <rPr>
        <sz val="10"/>
        <color rgb="FF000000"/>
        <rFont val="WenQuanYi Zen Hei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</t>
    </r>
  </si>
  <si>
    <r>
      <rPr>
        <sz val="10"/>
        <color rgb="FF000000"/>
        <rFont val="WenQuanYi Zen Hei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</t>
    </r>
  </si>
  <si>
    <r>
      <rPr>
        <sz val="10"/>
        <color rgb="FF000000"/>
        <rFont val="WenQuanYi Zen Hei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</si>
  <si>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WenQuanYi Zen Hei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WenQuanYi Zen Hei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WenQuanYi Zen Hei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WenQuanYi Zen Hei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WenQuanYi Zen Hei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WenQuanYi Zen Hei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</si>
  <si>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最低每成功任務成本</t>
    </r>
  </si>
  <si>
    <r>
      <rPr>
        <sz val="10"/>
        <color rgb="FF000000"/>
        <rFont val="WenQuanYi Zen Hei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前緣組合（層級｜檔案）</t>
    </r>
  </si>
  <si>
    <r>
      <rPr>
        <sz val="10"/>
        <color rgb="FF000000"/>
        <rFont val="WenQuanYi Zen Hei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最低每成功任務成本</t>
    </r>
  </si>
  <si>
    <r>
      <rPr>
        <sz val="10"/>
        <color rgb="FF000000"/>
        <rFont val="WenQuanYi Zen Hei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前緣組合（層級｜檔案）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</si>
  <si>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</si>
  <si>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</si>
  <si>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</si>
  <si>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</si>
  <si>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</si>
  <si>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</si>
  <si>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WenQuanYi Zen Hei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時相同。前緣只比較成本，不含延遲；選定檔案『供應商專屬』時，前緣組合綁定該供應商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WenQuanYi Zen Hei"/>
        <family val="2"/>
      </rPr>
      <t xml:space="preserve">旗標）。可靠度下限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WenQuanYi Zen Hei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WenQuanYi Zen Hei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</si>
  <si>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WenQuanYi Zen Hei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WenQuanYi Zen Hei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WenQuanYi Zen Hei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時間範圍倍數；現行）</t>
    </r>
  </si>
  <si>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（低層）｜現行</t>
    </r>
  </si>
  <si>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（中層）｜現行</t>
    </r>
  </si>
  <si>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</si>
  <si>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WenQuanYi Zen Hei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WenQuanYi Zen Hei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WenQuanYi Zen Hei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WenQuanYi Zen Hei"/>
        <family val="2"/>
      </rPr>
      <t xml:space="preserve">標準）</t>
    </r>
  </si>
  <si>
    <r>
      <rPr>
        <sz val="9"/>
        <color rgb="FF595959"/>
        <rFont val="WenQuanYi Zen Hei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WenQuanYi Zen Hei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WenQuanYi Zen Hei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WenQuanYi Zen Hei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</si>
  <si>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</si>
  <si>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</si>
  <si>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</si>
  <si>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</si>
  <si>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WenQuanYi Zen Hei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WenQuanYi Zen Hei"/>
        <family val="2"/>
      </rPr>
      <t xml:space="preserve">低</t>
    </r>
  </si>
  <si>
    <r>
      <rPr>
        <b val="true"/>
        <sz val="10"/>
        <rFont val="WenQuanYi Zen Hei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WenQuanYi Zen Hei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</si>
  <si>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</si>
  <si>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</si>
  <si>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</si>
  <si>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</si>
  <si>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</si>
  <si>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</si>
  <si>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WenQuanYi Zen Hei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</si>
  <si>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WenQuanYi Zen Hei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</si>
  <si>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WenQuanYi Zen Hei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</si>
  <si>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WenQuanYi Zen Hei"/>
        <family val="2"/>
      </rPr>
      <t xml:space="preserve">時間範圍 高</t>
    </r>
  </si>
  <si>
    <t xml:space="preserve">時間範圍倍數</t>
  </si>
  <si>
    <r>
      <rPr>
        <sz val="10"/>
        <color rgb="FF000000"/>
        <rFont val="WenQuanYi Zen Hei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WenQuanYi Zen Hei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</si>
  <si>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</si>
  <si>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</si>
  <si>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</si>
  <si>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WenQuanYi Zen Hei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</si>
  <si>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</si>
  <si>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</si>
  <si>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</si>
  <si>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</si>
  <si>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</si>
  <si>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WenQuanYi Zen Hei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</si>
  <si>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WenQuanYi Zen Hei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</si>
  <si>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WenQuanYi Zen Hei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</si>
  <si>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</si>
  <si>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</si>
  <si>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</si>
  <si>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</si>
  <si>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</si>
  <si>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</si>
  <si>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</si>
  <si>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</si>
  <si>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</si>
  <si>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</si>
  <si>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</si>
  <si>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</si>
  <si>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</t>
    </r>
  </si>
  <si>
    <r>
      <rPr>
        <sz val="9"/>
        <color rgb="FF595959"/>
        <rFont val="WenQuanYi Zen Hei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WenQuanYi Zen Hei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WenQuanYi Zen Hei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WenQuanYi Zen Hei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WenQuanYi Zen Hei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</si>
  <si>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Alloc_In — Block 6 </t>
    </r>
    <r>
      <rPr>
        <b val="true"/>
        <sz val="13"/>
        <rFont val="WenQuanYi Zen Hei"/>
        <family val="2"/>
      </rPr>
      <t xml:space="preserve">輸入（藍字＝輸入；全部 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WenQuanYi Zen Hei"/>
        <family val="2"/>
      </rPr>
      <t xml:space="preserve">或 </t>
    </r>
    <r>
      <rPr>
        <b val="true"/>
        <sz val="13"/>
        <rFont val="Arial"/>
        <family val="0"/>
        <charset val="1"/>
      </rPr>
      <t xml:space="preserve">Decision</t>
    </r>
    <r>
      <rPr>
        <b val="true"/>
        <sz val="13"/>
        <rFont val="WenQuanYi Zen Hei"/>
        <family val="2"/>
      </rPr>
      <t xml:space="preserve">，附區間；登錄於 </t>
    </r>
    <r>
      <rPr>
        <b val="true"/>
        <sz val="13"/>
        <rFont val="Arial"/>
        <family val="0"/>
        <charset val="1"/>
      </rPr>
      <t xml:space="preserve">Gov_Map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</si>
  <si>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研發與服務的算力配置（</t>
    </r>
    <r>
      <rPr>
        <sz val="9"/>
        <color rgb="FF595959"/>
        <rFont val="Arial"/>
        <family val="0"/>
        <charset val="1"/>
      </rPr>
      <t xml:space="preserve">A1–A10</t>
    </r>
    <r>
      <rPr>
        <sz val="9"/>
        <color rgb="FF595959"/>
        <rFont val="WenQuanYi Zen Hei"/>
        <family val="2"/>
      </rPr>
      <t xml:space="preserve">）：實驗室年度算力＝研發需求＋服務需求。研發占比的物理部分只給下限，實際占比由策略變數決定。訓練世代不設輸入，沿用 </t>
    </r>
    <r>
      <rPr>
        <sz val="9"/>
        <color rgb="FF595959"/>
        <rFont val="Arial"/>
        <family val="0"/>
        <charset val="1"/>
      </rPr>
      <t xml:space="preserve">Interface IF_TrainGenDefault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WenQuanYi Zen Hei"/>
        <family val="2"/>
      </rPr>
      <t xml:space="preserve">）</t>
    </r>
  </si>
  <si>
    <t xml:space="preserve">標籤</t>
  </si>
  <si>
    <t xml:space="preserve">決策／來源</t>
  </si>
  <si>
    <t xml:space="preserve">實驗室</t>
  </si>
  <si>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WenQuanYi Zen Hei"/>
        <family val="2"/>
      </rPr>
      <t xml:space="preserve">（只放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一組；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待來源查核後加入）</t>
    </r>
  </si>
  <si>
    <r>
      <rPr>
        <sz val="10"/>
        <color rgb="FF000000"/>
        <rFont val="WenQuanYi Zen Hei"/>
        <family val="2"/>
      </rPr>
      <t xml:space="preserve">家族計畫數 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WenQuanYi Zen Hei"/>
        <family val="2"/>
      </rPr>
      <t xml:space="preserve">（個／年）</t>
    </r>
  </si>
  <si>
    <t xml:space="preserve">個／年</t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</si>
  <si>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WenQuanYi Zen Hei"/>
        <family val="2"/>
      </rPr>
      <t xml:space="preserve">驅動表：前沿實驗室每年約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WenQuanYi Zen Hei"/>
        <family val="2"/>
      </rPr>
      <t xml:space="preserve">個旗艦家族</t>
    </r>
  </si>
  <si>
    <r>
      <rPr>
        <sz val="10"/>
        <color rgb="FF000000"/>
        <rFont val="WenQuanYi Zen Hei"/>
        <family val="2"/>
      </rPr>
      <t xml:space="preserve">改版計畫數 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WenQuanYi Zen Hei"/>
        <family val="2"/>
      </rPr>
      <t xml:space="preserve">（個／年）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</si>
  <si>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WenQuanYi Zen Hei"/>
        <family val="2"/>
      </rPr>
      <t xml:space="preserve">驅動表、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WenQuanYi Zen Hei"/>
        <family val="2"/>
      </rPr>
      <t xml:space="preserve">：改版計畫計入</t>
    </r>
  </si>
  <si>
    <r>
      <rPr>
        <sz val="10"/>
        <color rgb="FF000000"/>
        <rFont val="WenQuanYi Zen Hei"/>
        <family val="2"/>
      </rPr>
      <t xml:space="preserve">計畫規模倍數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（相對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</si>
  <si>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WenQuanYi Zen Hei"/>
        <family val="2"/>
      </rPr>
      <t xml:space="preserve">：不以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WenQuanYi Zen Hei"/>
        <family val="2"/>
      </rPr>
      <t xml:space="preserve">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；校準值只反推隱含 </t>
    </r>
    <r>
      <rPr>
        <sz val="9"/>
        <color rgb="FF595959"/>
        <rFont val="Arial"/>
        <family val="0"/>
        <charset val="1"/>
      </rPr>
      <t xml:space="preserve">N × 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WenQuanYi Zen Hei"/>
        <family val="2"/>
      </rPr>
      <t xml:space="preserve">節）</t>
    </r>
  </si>
  <si>
    <r>
      <rPr>
        <sz val="10"/>
        <color rgb="FF000000"/>
        <rFont val="WenQuanYi Zen Hei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</si>
  <si>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WenQuanYi Zen Hei"/>
        <family val="2"/>
      </rPr>
      <t xml:space="preserve">補充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機隊含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WenQuanYi Zen Hei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h_alloc_mix_2025 </t>
    </r>
    <r>
      <rPr>
        <sz val="9"/>
        <color rgb="FF595959"/>
        <rFont val="WenQuanYi Zen Hei"/>
        <family val="2"/>
      </rPr>
      <t xml:space="preserve">情境為 </t>
    </r>
    <r>
      <rPr>
        <sz val="9"/>
        <color rgb="FF595959"/>
        <rFont val="Arial"/>
        <family val="0"/>
        <charset val="1"/>
      </rPr>
      <t xml:space="preserve">Hopper 60%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40%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</si>
  <si>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</si>
  <si>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WenQuanYi Zen Hei"/>
        <family val="2"/>
      </rPr>
      <t xml:space="preserve">驅動表：服務機隊的世代組合（四者合計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</si>
  <si>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</si>
  <si>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WenQuanYi Zen Hei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</si>
  <si>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WenQuanYi Zen Hei"/>
        <family val="2"/>
      </rPr>
      <t xml:space="preserve">機隊年成長率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</si>
  <si>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（情境）</t>
    </r>
  </si>
  <si>
    <r>
      <rPr>
        <sz val="9"/>
        <color rgb="FF595959"/>
        <rFont val="Arial"/>
        <family val="0"/>
        <charset val="1"/>
      </rPr>
      <t xml:space="preserve">A6</t>
    </r>
    <r>
      <rPr>
        <sz val="9"/>
        <color rgb="FF595959"/>
        <rFont val="WenQuanYi Zen Hei"/>
        <family val="2"/>
      </rPr>
      <t xml:space="preserve">：成長只作情境；基準為穩態年度（</t>
    </r>
    <r>
      <rPr>
        <sz val="9"/>
        <color rgb="FF595959"/>
        <rFont val="Arial"/>
        <family val="0"/>
        <charset val="1"/>
      </rPr>
      <t xml:space="preserve">A1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</si>
  <si>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WenQuanYi Zen Hei"/>
        <family val="2"/>
      </rPr>
      <t xml:space="preserve">月時點值</t>
    </r>
  </si>
  <si>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處理量為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WenQuanYi Zen Hei"/>
        <family val="2"/>
      </rPr>
      <t xml:space="preserve">時點值，換成全年平均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</si>
  <si>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</t>
    </r>
  </si>
  <si>
    <r>
      <rPr>
        <sz val="9"/>
        <color rgb="FF595959"/>
        <rFont val="Arial"/>
        <family val="0"/>
        <charset val="1"/>
      </rPr>
      <t xml:space="preserve">A10</t>
    </r>
    <r>
      <rPr>
        <sz val="9"/>
        <color rgb="FF595959"/>
        <rFont val="WenQuanYi Zen Hei"/>
        <family val="2"/>
      </rPr>
      <t xml:space="preserve">：含輸入、上下文、推理與輸出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6,000 </t>
    </r>
    <r>
      <rPr>
        <sz val="9"/>
        <color rgb="FF595959"/>
        <rFont val="WenQuanYi Zen Hei"/>
        <family val="2"/>
      </rPr>
      <t xml:space="preserve">無直接來源（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WenQuanYi Zen Hei"/>
        <family val="2"/>
      </rPr>
      <t xml:space="preserve">最弱輸入）</t>
    </r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</si>
  <si>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WenQuanYi Zen Hei"/>
        <family val="2"/>
      </rPr>
      <t xml:space="preserve">中免費用戶占比</t>
    </r>
  </si>
  <si>
    <r>
      <rPr>
        <sz val="9"/>
        <color rgb="FF595959"/>
        <rFont val="WenQuanYi Zen Hei"/>
        <family val="2"/>
      </rPr>
      <t xml:space="preserve">新增；以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WenQuanYi Zen Hei"/>
        <family val="2"/>
      </rPr>
      <t xml:space="preserve">外部對照（免費服務算力占比）檢查</t>
    </r>
  </si>
  <si>
    <r>
      <rPr>
        <b val="true"/>
        <sz val="10"/>
        <rFont val="WenQuanYi Zen Hei"/>
        <family val="2"/>
      </rPr>
      <t xml:space="preserve">服務世代組合合計（應為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H1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</si>
  <si>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訓練世代不設輸入：沿用 </t>
    </r>
    <r>
      <rPr>
        <sz val="9"/>
        <color rgb="FF595959"/>
        <rFont val="Arial"/>
        <family val="0"/>
        <charset val="1"/>
      </rPr>
      <t xml:space="preserve">IF_TrainGenDefault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WenQuanYi Zen Hei"/>
        <family val="2"/>
      </rPr>
      <t xml:space="preserve">，目前為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）。實驗室選擇器目前只有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WenQuanYi Zen Hei"/>
        <family val="2"/>
      </rPr>
      <t xml:space="preserve">）。</t>
    </r>
  </si>
  <si>
    <r>
      <rPr>
        <b val="true"/>
        <sz val="13"/>
        <rFont val="Arial"/>
        <family val="0"/>
        <charset val="1"/>
      </rPr>
      <t xml:space="preserve">Alloc — </t>
    </r>
    <r>
      <rPr>
        <b val="true"/>
        <sz val="13"/>
        <rFont val="WenQuanYi Zen Hei"/>
        <family val="2"/>
      </rPr>
      <t xml:space="preserve">研發與服務的算力配置（需求 </t>
    </r>
    <r>
      <rPr>
        <b val="true"/>
        <sz val="13"/>
        <rFont val="Arial"/>
        <family val="0"/>
        <charset val="1"/>
      </rPr>
      <t xml:space="preserve">D → </t>
    </r>
    <r>
      <rPr>
        <b val="true"/>
        <sz val="13"/>
        <rFont val="WenQuanYi Zen Hei"/>
        <family val="2"/>
      </rPr>
      <t xml:space="preserve">服務 </t>
    </r>
    <r>
      <rPr>
        <b val="true"/>
        <sz val="13"/>
        <rFont val="Arial"/>
        <family val="0"/>
        <charset val="1"/>
      </rPr>
      <t xml:space="preserve">GW → </t>
    </r>
    <r>
      <rPr>
        <b val="true"/>
        <sz val="13"/>
        <rFont val="WenQuanYi Zen Hei"/>
        <family val="2"/>
      </rPr>
      <t xml:space="preserve">研發 </t>
    </r>
    <r>
      <rPr>
        <b val="true"/>
        <sz val="13"/>
        <rFont val="Arial"/>
        <family val="0"/>
        <charset val="1"/>
      </rPr>
      <t xml:space="preserve">GW → Q1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Q2</t>
    </r>
    <r>
      <rPr>
        <b val="true"/>
        <sz val="13"/>
        <rFont val="WenQuanYi Zen Hei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A1–A10</t>
    </r>
    <r>
      <rPr>
        <b val="true"/>
        <sz val="13"/>
        <rFont val="WenQuanYi Zen Hei"/>
        <family val="2"/>
      </rPr>
      <t xml:space="preserve">；基準為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WenQuanYi Zen Hei"/>
        <family val="2"/>
      </rPr>
      <t xml:space="preserve">穩態年度）</t>
    </r>
  </si>
  <si>
    <r>
      <rPr>
        <sz val="9"/>
        <color rgb="FF595959"/>
        <rFont val="WenQuanYi Zen Hei"/>
        <family val="2"/>
      </rPr>
      <t xml:space="preserve">每列顯示推導：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欄為數值（世代、層級分列者為 </t>
    </r>
    <r>
      <rPr>
        <sz val="9"/>
        <color rgb="FF595959"/>
        <rFont val="Arial"/>
        <family val="0"/>
        <charset val="1"/>
      </rPr>
      <t xml:space="preserve">C–E </t>
    </r>
    <r>
      <rPr>
        <sz val="9"/>
        <color rgb="FF595959"/>
        <rFont val="WenQuanYi Zen Hei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欄為算式說明（向右延伸顯示）。需求以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路線為基準（</t>
    </r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WenQuanYi Zen Hei"/>
        <family val="2"/>
      </rPr>
      <t xml:space="preserve">），支出路線在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節並列為外部對照。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不可達時各格回傳文字「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不可達」（比照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WenQuanYi Zen Hei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</si>
  <si>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WenQuanYi Zen Hei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路線為基準，</t>
    </r>
    <r>
      <rPr>
        <b val="true"/>
        <sz val="10"/>
        <rFont val="Arial"/>
        <family val="0"/>
        <charset val="1"/>
      </rPr>
      <t xml:space="preserve">A9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</si>
  <si>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WenQuanYi Zen Hei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全年平均比例）</t>
    </r>
  </si>
  <si>
    <r>
      <rPr>
        <sz val="9"/>
        <color rgb="FF595959"/>
        <rFont val="Arial"/>
        <family val="0"/>
        <charset val="1"/>
      </rPr>
      <t xml:space="preserve">SRC_DEM_010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tok/min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WenQuanYi Zen Hei"/>
        <family val="2"/>
      </rPr>
      <t xml:space="preserve">時點值）</t>
    </r>
    <r>
      <rPr>
        <sz val="9"/>
        <color rgb="FF595959"/>
        <rFont val="Arial"/>
        <family val="0"/>
        <charset val="1"/>
      </rPr>
      <t xml:space="preserve">× 1e9 × 525,600 × </t>
    </r>
    <r>
      <rPr>
        <sz val="9"/>
        <color rgb="FF595959"/>
        <rFont val="WenQuanYi Zen Hei"/>
        <family val="2"/>
      </rPr>
      <t xml:space="preserve">全年平均比例 </t>
    </r>
    <r>
      <rPr>
        <sz val="9"/>
        <color rgb="FF595959"/>
        <rFont val="Arial"/>
        <family val="0"/>
        <charset val="1"/>
      </rPr>
      <t xml:space="preserve">÷ 1e6</t>
    </r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</si>
  <si>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</si>
  <si>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SRC_DEM_012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則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WenQuanYi Zen Hei"/>
        <family val="2"/>
      </rPr>
      <t xml:space="preserve">日，</t>
    </r>
    <r>
      <rPr>
        <sz val="9"/>
        <color rgb="FF595959"/>
        <rFont val="Arial"/>
        <family val="0"/>
        <charset val="1"/>
      </rPr>
      <t xml:space="preserve">2025-07 </t>
    </r>
    <r>
      <rPr>
        <sz val="9"/>
        <color rgb="FF595959"/>
        <rFont val="WenQuanYi Zen Hei"/>
        <family val="2"/>
      </rPr>
      <t xml:space="preserve">時點值視同全年平均：年內近似線性成長；不乘比例）</t>
    </r>
    <r>
      <rPr>
        <sz val="9"/>
        <color rgb="FF595959"/>
        <rFont val="Arial"/>
        <family val="0"/>
        <charset val="1"/>
      </rPr>
      <t xml:space="preserve">× 1e9 × </t>
    </r>
    <r>
      <rPr>
        <sz val="9"/>
        <color rgb="FF595959"/>
        <rFont val="WenQuanYi Zen Hei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× 365 ÷ 1e6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</si>
  <si>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</si>
  <si>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× </t>
    </r>
    <r>
      <rPr>
        <sz val="9"/>
        <color rgb="FF595959"/>
        <rFont val="WenQuanYi Zen Hei"/>
        <family val="2"/>
      </rPr>
      <t xml:space="preserve">免費占比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</si>
  <si>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</si>
  <si>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− </t>
    </r>
    <r>
      <rPr>
        <sz val="9"/>
        <color rgb="FF595959"/>
        <rFont val="WenQuanYi Zen Hei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</si>
  <si>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付費）</t>
    </r>
  </si>
  <si>
    <r>
      <rPr>
        <sz val="10"/>
        <color rgb="FF000000"/>
        <rFont val="WenQuanYi Zen Hei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免費）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</si>
  <si>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合計</t>
    </r>
  </si>
  <si>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合計（供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對照）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</si>
  <si>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WenQuanYi Zen Hei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</si>
  <si>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合計 </t>
    </r>
    <r>
      <rPr>
        <sz val="9"/>
        <color rgb="FF595959"/>
        <rFont val="Arial"/>
        <family val="0"/>
        <charset val="1"/>
      </rPr>
      <t xml:space="preserve">÷ 365 ÷ 1e6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→ T</t>
    </r>
    <r>
      <rPr>
        <sz val="9"/>
        <color rgb="FF595959"/>
        <rFont val="WenQuanYi Zen Hei"/>
        <family val="2"/>
      </rPr>
      <t xml:space="preserve">）；對照 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10–100 T/</t>
    </r>
    <r>
      <rPr>
        <sz val="9"/>
        <color rgb="FF595959"/>
        <rFont val="WenQuanYi Zen Hei"/>
        <family val="2"/>
      </rPr>
      <t xml:space="preserve">日）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</si>
  <si>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路線；欄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WenQuanYi Zen Hei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</si>
  <si>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世代索引（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WenQuanYi Zen Hei"/>
        <family val="2"/>
      </rPr>
      <t xml:space="preserve">順序）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</si>
  <si>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WenQuanYi Zen Hei"/>
        <family val="2"/>
      </rPr>
      <t xml:space="preserve">用法一致）</t>
    </r>
  </si>
  <si>
    <r>
      <rPr>
        <sz val="10"/>
        <color rgb="FF000000"/>
        <rFont val="WenQuanYi Zen Hei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</si>
  <si>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可服務（付費與免費組合內各層級皆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WenQuanYi Zen Hei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</si>
  <si>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WenQuanYi Zen Hei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</si>
  <si>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WenQuanYi Zen Hei"/>
        <family val="2"/>
      </rPr>
      <t xml:space="preserve">年／</t>
    </r>
    <r>
      <rPr>
        <sz val="10"/>
        <color rgb="FF000000"/>
        <rFont val="Arial"/>
        <family val="0"/>
        <charset val="1"/>
      </rPr>
      <t xml:space="preserve">M tok</t>
    </r>
  </si>
  <si>
    <r>
      <rPr>
        <sz val="9"/>
        <color rgb="FF595959"/>
        <rFont val="WenQuanYi Zen Hei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的層級組合（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WenQuanYi Zen Hei"/>
        <family val="2"/>
      </rPr>
      <t xml:space="preserve">）依各層級每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總產出（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WenQuanYi Zen Hei"/>
        <family val="2"/>
      </rPr>
      <t xml:space="preserve">）加權：每 </t>
    </r>
    <r>
      <rPr>
        <sz val="9"/>
        <color rgb="FF595959"/>
        <rFont val="Arial"/>
        <family val="0"/>
        <charset val="1"/>
      </rPr>
      <t xml:space="preserve">M tok </t>
    </r>
    <r>
      <rPr>
        <sz val="9"/>
        <color rgb="FF595959"/>
        <rFont val="WenQuanYi Zen Hei"/>
        <family val="2"/>
      </rPr>
      <t xml:space="preserve">佔用的 </t>
    </r>
    <r>
      <rPr>
        <sz val="9"/>
        <color rgb="FF595959"/>
        <rFont val="Arial"/>
        <family val="0"/>
        <charset val="1"/>
      </rPr>
      <t xml:space="preserve">GW·</t>
    </r>
    <r>
      <rPr>
        <sz val="9"/>
        <color rgb="FF595959"/>
        <rFont val="WenQuanYi Zen Hei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</si>
  <si>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WenQuanYi Zen Hei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</si>
  <si>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年產能（付費；基準利用率）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</si>
  <si>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WenQuanYi Zen Hei"/>
        <family val="2"/>
      </rPr>
      <t xml:space="preserve">年</t>
    </r>
  </si>
  <si>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WenQuanYi Zen Hei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WenQuanYi Zen Hei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</si>
  <si>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年產能（免費；基準利用率）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</si>
  <si>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WenQuanYi Zen Hei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</si>
  <si>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WenQuanYi Zen Hei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各世代產能</t>
    </r>
  </si>
  <si>
    <r>
      <rPr>
        <sz val="10"/>
        <color rgb="FF000000"/>
        <rFont val="WenQuanYi Zen Hei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年產能（免費）</t>
    </r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</si>
  <si>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WenQuanYi Zen Hei"/>
        <family val="2"/>
      </rPr>
      <t xml:space="preserve">付費產能</t>
    </r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</si>
  <si>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WenQuanYi Zen Hei"/>
        <family val="2"/>
      </rPr>
      <t xml:space="preserve">免費產能</t>
    </r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</si>
  <si>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</t>
    </r>
  </si>
  <si>
    <r>
      <rPr>
        <sz val="10"/>
        <color rgb="FF000000"/>
        <rFont val="WenQuanYi Zen Hei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＝合計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世代占比</t>
    </r>
  </si>
  <si>
    <r>
      <rPr>
        <sz val="10"/>
        <color rgb="FF000000"/>
        <rFont val="WenQuanYi Zen Hei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WenQuanYi Zen Hei"/>
        <family val="2"/>
      </rPr>
      <t xml:space="preserve">，基準成本）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</si>
  <si>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WenQuanYi Zen Hei"/>
        <family val="2"/>
      </rPr>
      <t xml:space="preserve">年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</si>
  <si>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年（物理下限；訓練世代＝</t>
    </r>
    <r>
      <rPr>
        <b val="true"/>
        <sz val="10"/>
        <rFont val="Arial"/>
        <family val="0"/>
        <charset val="1"/>
      </rPr>
      <t xml:space="preserve">IF_TrainGenDefault</t>
    </r>
    <r>
      <rPr>
        <b val="true"/>
        <sz val="10"/>
        <rFont val="WenQuanYi Zen Hei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C–E</t>
    </r>
    <r>
      <rPr>
        <b val="true"/>
        <sz val="10"/>
        <rFont val="WenQuanYi Zen Hei"/>
        <family val="2"/>
      </rPr>
      <t xml:space="preserve">＝層級 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WenQuanYi Zen Hei"/>
        <family val="2"/>
      </rPr>
      <t xml:space="preserve">＝合計）</t>
    </r>
  </si>
  <si>
    <r>
      <rPr>
        <sz val="10"/>
        <color rgb="FF000000"/>
        <rFont val="WenQuanYi Zen Hei"/>
        <family val="2"/>
      </rPr>
      <t xml:space="preserve">訓練世代索引（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</si>
  <si>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欄索引（基準成本欄；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另加層級索引）</t>
    </r>
  </si>
  <si>
    <t xml:space="preserve">合計</t>
  </si>
  <si>
    <r>
      <rPr>
        <sz val="10"/>
        <color rgb="FF000000"/>
        <rFont val="WenQuanYi Zen Hei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IF_ProgGWyr</t>
    </r>
    <r>
      <rPr>
        <sz val="10"/>
        <color rgb="FF000000"/>
        <rFont val="WenQuanYi Zen Hei"/>
        <family val="2"/>
      </rPr>
      <t xml:space="preserve">；含研發倍數；等同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WenQuanYi Zen Hei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</si>
  <si>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WenQuanYi Zen Hei"/>
        <family val="2"/>
      </rPr>
      <t xml:space="preserve">年</t>
    </r>
  </si>
  <si>
    <r>
      <rPr>
        <sz val="9"/>
        <color rgb="FF595959"/>
        <rFont val="WenQuanYi Zen Hei"/>
        <family val="2"/>
      </rPr>
      <t xml:space="preserve">每個家族計畫：三層級最終訓練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研發倍數，換算為訓練世代的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</si>
  <si>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＋蒸餾；單一模型；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頁）</t>
    </r>
  </si>
  <si>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104 </t>
    </r>
    <r>
      <rPr>
        <sz val="9"/>
        <color rgb="FF595959"/>
        <rFont val="WenQuanYi Zen Hei"/>
        <family val="2"/>
      </rPr>
      <t xml:space="preserve">列「後訓練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RL</t>
    </r>
    <r>
      <rPr>
        <sz val="9"/>
        <color rgb="FF595959"/>
        <rFont val="WenQuanYi Zen Hei"/>
        <family val="2"/>
      </rPr>
      <t xml:space="preserve">＋蒸餾）」，不含第 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WenQuanYi Zen Hei"/>
        <family val="2"/>
      </rPr>
      <t xml:space="preserve">列；依訓練世代與層級取值；依欄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標籤定位（工作單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WenQuanYi Zen Hei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</si>
  <si>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WenQuanYi Zen Hei"/>
        <family val="2"/>
      </rPr>
      <t xml:space="preserve">數（訓練世代）</t>
    </r>
  </si>
  <si>
    <r>
      <rPr>
        <sz val="10"/>
        <color rgb="FF000000"/>
        <rFont val="WenQuanYi Zen Hei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WenQuanYi Zen Hei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</si>
  <si>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改版（</t>
    </r>
    <r>
      <rPr>
        <sz val="9"/>
        <color rgb="FF595959"/>
        <rFont val="Arial"/>
        <family val="0"/>
        <charset val="1"/>
      </rPr>
      <t xml:space="preserve">refresh</t>
    </r>
    <r>
      <rPr>
        <sz val="9"/>
        <color rgb="FF595959"/>
        <rFont val="WenQuanYi Zen Hei"/>
        <family val="2"/>
      </rPr>
      <t xml:space="preserve">）計畫：後訓練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研發倍數（</t>
    </r>
    <r>
      <rPr>
        <sz val="9"/>
        <color rgb="FF595959"/>
        <rFont val="Arial"/>
        <family val="0"/>
        <charset val="1"/>
      </rPr>
      <t xml:space="preserve">IF_RDMult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年換算同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「占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一年」</t>
    </r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</si>
  <si>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WenQuanYi Zen Hei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WenQuanYi Zen Hei"/>
        <family val="2"/>
      </rPr>
      <t xml:space="preserve">改版計畫）</t>
    </r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</si>
  <si>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年（成長情境，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WenQuanYi Zen Hei"/>
        <family val="2"/>
      </rPr>
      <t xml:space="preserve">）＝研發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不變</t>
    </r>
  </si>
  <si>
    <r>
      <rPr>
        <sz val="10"/>
        <color rgb="FF000000"/>
        <rFont val="WenQuanYi Zen Hei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WenQuanYi Zen Hei"/>
        <family val="2"/>
      </rPr>
      <t xml:space="preserve">，基準成本）</t>
    </r>
  </si>
  <si>
    <r>
      <rPr>
        <sz val="10"/>
        <color rgb="FF000000"/>
        <rFont val="WenQuanYi Zen Hei"/>
        <family val="2"/>
      </rPr>
      <t xml:space="preserve">研發算力成本（研發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訓練世代持有成本；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的算力部分）</t>
    </r>
  </si>
  <si>
    <r>
      <rPr>
        <b val="true"/>
        <sz val="10"/>
        <rFont val="Arial"/>
        <family val="0"/>
        <charset val="1"/>
      </rPr>
      <t xml:space="preserve">D. Q1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WenQuanYi Zen Hei"/>
        <family val="2"/>
      </rPr>
      <t xml:space="preserve">基準，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WenQuanYi Zen Hei"/>
        <family val="2"/>
      </rPr>
      <t xml:space="preserve">並列；</t>
    </r>
    <r>
      <rPr>
        <b val="true"/>
        <sz val="10"/>
        <rFont val="Arial"/>
        <family val="0"/>
        <charset val="1"/>
      </rPr>
      <t xml:space="preserve">A7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</si>
  <si>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）研發算力占比＝研發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WenQuanYi Zen Hei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</si>
  <si>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WenQuanYi Zen Hei"/>
        <family val="2"/>
      </rPr>
      <t xml:space="preserve">，免費服務算作產品改良）＝（研發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＋免費服務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</si>
  <si>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研發算力成本占比＝研發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持有成本＋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WenQuanYi Zen Hei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各世代持有成本）</t>
    </r>
  </si>
  <si>
    <r>
      <rPr>
        <sz val="9"/>
        <color rgb="FF595959"/>
        <rFont val="WenQuanYi Zen Hei"/>
        <family val="2"/>
      </rPr>
      <t xml:space="preserve">利用率不進入成本占比（</t>
    </r>
    <r>
      <rPr>
        <sz val="9"/>
        <color rgb="FF595959"/>
        <rFont val="Arial"/>
        <family val="0"/>
        <charset val="1"/>
      </rPr>
      <t xml:space="preserve">A5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</si>
  <si>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；成長情境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</si>
  <si>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WenQuanYi Zen Hei"/>
        <family val="2"/>
      </rPr>
      <t xml:space="preserve">（成長情境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</si>
  <si>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WenQuanYi Zen Hei"/>
        <family val="2"/>
      </rPr>
      <t xml:space="preserve">（內部使用）</t>
    </r>
  </si>
  <si>
    <r>
      <rPr>
        <sz val="10"/>
        <color rgb="FF000000"/>
        <rFont val="WenQuanYi Zen Hei"/>
        <family val="2"/>
      </rPr>
      <t xml:space="preserve">缺口：無參數（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</si>
  <si>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WenQuanYi Zen Hei"/>
        <family val="2"/>
      </rPr>
      <t xml:space="preserve">不設公式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</si>
  <si>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校準反推（</t>
    </r>
    <r>
      <rPr>
        <b val="true"/>
        <sz val="10"/>
        <rFont val="Arial"/>
        <family val="0"/>
        <charset val="1"/>
      </rPr>
      <t xml:space="preserve">A3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WenQuanYi Zen Hei"/>
        <family val="2"/>
      </rPr>
      <t xml:space="preserve">支出比不用來校準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WenQuanYi Zen Hei"/>
        <family val="2"/>
      </rPr>
      <t xml:space="preserve">，只反推隱含 </t>
    </r>
    <r>
      <rPr>
        <b val="true"/>
        <sz val="10"/>
        <rFont val="Arial"/>
        <family val="0"/>
        <charset val="1"/>
      </rPr>
      <t xml:space="preserve">N × k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</si>
  <si>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支出比＝訓練支出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（推論支出＋訓練支出）</t>
    </r>
  </si>
  <si>
    <r>
      <rPr>
        <sz val="9"/>
        <color rgb="FF595959"/>
        <rFont val="Arial"/>
        <family val="0"/>
        <charset val="1"/>
      </rPr>
      <t xml:space="preserve">SRC_DEM_006 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SRC_DEM_006</t>
    </r>
    <r>
      <rPr>
        <sz val="9"/>
        <color rgb="FF595959"/>
        <rFont val="WenQuanYi Zen Hei"/>
        <family val="2"/>
      </rPr>
      <t xml:space="preserve">）（約 </t>
    </r>
    <r>
      <rPr>
        <sz val="9"/>
        <color rgb="FF595959"/>
        <rFont val="Arial"/>
        <family val="0"/>
        <charset val="1"/>
      </rPr>
      <t xml:space="preserve">58.8%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</si>
  <si>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隱含研發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＝支出比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支出比）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</t>
    </r>
  </si>
  <si>
    <r>
      <rPr>
        <sz val="10"/>
        <color rgb="FF000000"/>
        <rFont val="WenQuanYi Zen Hei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WenQuanYi Zen Hei"/>
        <family val="2"/>
      </rPr>
      <t xml:space="preserve">（以家族計畫當量）＝隱含研發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</si>
  <si>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落差＝隱含 </t>
    </r>
    <r>
      <rPr>
        <sz val="10"/>
        <color rgb="FF000000"/>
        <rFont val="Arial"/>
        <family val="0"/>
        <charset val="1"/>
      </rPr>
      <t xml:space="preserve">N × k 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WenQuanYi Zen Hei"/>
        <family val="2"/>
      </rPr>
      <t xml:space="preserve">改版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家族）</t>
    </r>
  </si>
  <si>
    <r>
      <rPr>
        <sz val="9"/>
        <color rgb="FF595959"/>
        <rFont val="WenQuanYi Zen Hei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WenQuanYi Zen Hei"/>
        <family val="2"/>
      </rPr>
      <t xml:space="preserve">基準的規模落差：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表示基準 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已吻合支出比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</si>
  <si>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WenQuanYi Zen Hei"/>
        <family val="2"/>
      </rPr>
      <t xml:space="preserve">外部對照（同時寫入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WenQuanYi Zen Hei"/>
        <family val="2"/>
      </rPr>
      <t xml:space="preserve">；支出路線與 </t>
    </r>
    <r>
      <rPr>
        <b val="true"/>
        <sz val="10"/>
        <rFont val="Arial"/>
        <family val="0"/>
        <charset val="1"/>
      </rPr>
      <t xml:space="preserve">SRC_DEM_013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</si>
  <si>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WenQuanYi Zen Hei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各世代持有成本）</t>
    </r>
  </si>
  <si>
    <r>
      <rPr>
        <sz val="9"/>
        <color rgb="FF595959"/>
        <rFont val="WenQuanYi Zen Hei"/>
        <family val="2"/>
      </rPr>
      <t xml:space="preserve">單位：</t>
    </r>
    <r>
      <rPr>
        <sz val="9"/>
        <color rgb="FF595959"/>
        <rFont val="Arial"/>
        <family val="0"/>
        <charset val="1"/>
      </rPr>
      <t xml:space="preserve">$B ÷ ($B/GW/</t>
    </r>
    <r>
      <rPr>
        <sz val="9"/>
        <color rgb="FF595959"/>
        <rFont val="WenQuanYi Zen Hei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WenQuanYi Zen Hei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（不乘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WenQuanYi Zen Hei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WenQuanYi Zen Hei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chat 2026-10-04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</si>
  <si>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免費服務算力占比（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路線）＝免費服務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</t>
    </r>
  </si>
  <si>
    <r>
      <rPr>
        <sz val="10"/>
        <color rgb="FF000000"/>
        <rFont val="WenQuanYi Zen Hei"/>
        <family val="2"/>
      </rPr>
      <t xml:space="preserve">免費推論支出占比（支出口徑）＝</t>
    </r>
    <r>
      <rPr>
        <sz val="10"/>
        <color rgb="FF000000"/>
        <rFont val="Arial"/>
        <family val="0"/>
        <charset val="1"/>
      </rPr>
      <t xml:space="preserve">SRC_DEM_005 ÷ SRC_DEM_004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</si>
  <si>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SRC_DEM_013_Lo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</si>
  <si>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SRC_DEM_013_Hi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</si>
  <si>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合計是否在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區間內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</si>
  <si>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WenQuanYi Zen Hei"/>
        <family val="2"/>
      </rPr>
      <t xml:space="preserve">敏感度表（一次動一個輸入，取區間低與高；每列以閉式公式重寫 </t>
    </r>
    <r>
      <rPr>
        <b val="true"/>
        <sz val="10"/>
        <rFont val="Arial"/>
        <family val="0"/>
        <charset val="1"/>
      </rPr>
      <t xml:space="preserve">A–D </t>
    </r>
    <r>
      <rPr>
        <b val="true"/>
        <sz val="10"/>
        <rFont val="WenQuanYi Zen Hei"/>
        <family val="2"/>
      </rPr>
      <t xml:space="preserve">節推導鏈；端點值引用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WenQuanYi Zen Hei"/>
        <family val="2"/>
      </rPr>
      <t xml:space="preserve">的區間格）</t>
    </r>
  </si>
  <si>
    <r>
      <rPr>
        <sz val="9"/>
        <color rgb="FF595959"/>
        <rFont val="WenQuanYi Zen Hei"/>
        <family val="2"/>
      </rPr>
      <t xml:space="preserve">左側 </t>
    </r>
    <r>
      <rPr>
        <sz val="9"/>
        <color rgb="FF595959"/>
        <rFont val="Arial"/>
        <family val="0"/>
        <charset val="1"/>
      </rPr>
      <t xml:space="preserve">C–L </t>
    </r>
    <r>
      <rPr>
        <sz val="9"/>
        <color rgb="FF595959"/>
        <rFont val="WenQuanYi Zen Hei"/>
        <family val="2"/>
      </rPr>
      <t xml:space="preserve">為該列輸入；</t>
    </r>
    <r>
      <rPr>
        <sz val="9"/>
        <color rgb="FF595959"/>
        <rFont val="Arial"/>
        <family val="0"/>
        <charset val="1"/>
      </rPr>
      <t xml:space="preserve">M–V </t>
    </r>
    <r>
      <rPr>
        <sz val="9"/>
        <color rgb="FF595959"/>
        <rFont val="WenQuanYi Zen Hei"/>
        <family val="2"/>
      </rPr>
      <t xml:space="preserve">為推導鏈；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WenQuanYi Zen Hei"/>
        <family val="2"/>
      </rPr>
      <t xml:space="preserve">為自我檢查（同一公式、輸入全改回基準，須等於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WenQuanYi Zen Hei"/>
        <family val="2"/>
      </rPr>
      <t xml:space="preserve">；容差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＝通過）。不使用運算列表，也不在 </t>
    </r>
    <r>
      <rPr>
        <sz val="9"/>
        <color rgb="FF595959"/>
        <rFont val="Arial"/>
        <family val="0"/>
        <charset val="1"/>
      </rPr>
      <t xml:space="preserve">Python </t>
    </r>
    <r>
      <rPr>
        <sz val="9"/>
        <color rgb="FF595959"/>
        <rFont val="WenQuanYi Zen Hei"/>
        <family val="2"/>
      </rPr>
      <t xml:space="preserve">端計算。</t>
    </r>
  </si>
  <si>
    <t xml:space="preserve">動的輸入</t>
  </si>
  <si>
    <t xml:space="preserve">N_major</t>
  </si>
  <si>
    <t xml:space="preserve">N_refresh</t>
  </si>
  <si>
    <t xml:space="preserve">k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</si>
  <si>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WenQuanYi Zen Hei"/>
        <family val="2"/>
      </rPr>
      <t xml:space="preserve">比例</t>
    </r>
  </si>
  <si>
    <r>
      <rPr>
        <b val="true"/>
        <sz val="10"/>
        <rFont val="WenQuanYi Zen Hei"/>
        <family val="2"/>
      </rPr>
      <t xml:space="preserve">每則 </t>
    </r>
    <r>
      <rPr>
        <b val="true"/>
        <sz val="10"/>
        <rFont val="Arial"/>
        <family val="0"/>
        <charset val="1"/>
      </rPr>
      <t xml:space="preserve">token</t>
    </r>
  </si>
  <si>
    <t xml:space="preserve">免費占比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</si>
  <si>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</si>
  <si>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</si>
  <si>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</si>
  <si>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</si>
  <si>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0"/>
        <rFont val="WenQuanYi Zen Hei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D</t>
    </r>
  </si>
  <si>
    <r>
      <rPr>
        <b val="true"/>
        <sz val="10"/>
        <rFont val="WenQuanYi Zen Hei"/>
        <family val="2"/>
      </rPr>
      <t xml:space="preserve">免費 </t>
    </r>
    <r>
      <rPr>
        <b val="true"/>
        <sz val="10"/>
        <rFont val="Arial"/>
        <family val="0"/>
        <charset val="1"/>
      </rPr>
      <t xml:space="preserve">D</t>
    </r>
  </si>
  <si>
    <t xml:space="preserve">付費產能</t>
  </si>
  <si>
    <t xml:space="preserve">免費產能</t>
  </si>
  <si>
    <r>
      <rPr>
        <b val="true"/>
        <sz val="10"/>
        <rFont val="WenQuanYi Zen Hei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</si>
  <si>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WenQuanYi Zen Hei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</si>
  <si>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WenQuanYi Zen Hei"/>
        <family val="2"/>
      </rPr>
      <t xml:space="preserve">）</t>
    </r>
  </si>
  <si>
    <t xml:space="preserve">Q2</t>
  </si>
  <si>
    <r>
      <rPr>
        <b val="true"/>
        <sz val="10"/>
        <rFont val="WenQuanYi Zen Hei"/>
        <family val="2"/>
      </rPr>
      <t xml:space="preserve">研發算力成本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</si>
  <si>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WenQuanYi Zen Hei"/>
        <family val="2"/>
      </rPr>
      <t xml:space="preserve">每日 </t>
    </r>
    <r>
      <rPr>
        <b val="true"/>
        <sz val="10"/>
        <rFont val="Arial"/>
        <family val="0"/>
        <charset val="1"/>
      </rPr>
      <t xml:space="preserve">T tok</t>
    </r>
  </si>
  <si>
    <t xml:space="preserve">自我檢查</t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</si>
  <si>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WenQuanYi Zen Hei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</si>
  <si>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WenQuanYi Zen Hei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</si>
  <si>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WenQuanYi Zen Hei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</si>
  <si>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WenQuanYi Zen Hei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</si>
  <si>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WenQuanYi Zen Hei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</si>
  <si>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WenQuanYi Zen Hei"/>
        <family val="2"/>
      </rPr>
      <t xml:space="preserve">高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</si>
  <si>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 低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</si>
  <si>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 高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</si>
  <si>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 低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</si>
  <si>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</si>
  <si>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 高</t>
    </r>
  </si>
  <si>
    <t xml:space="preserve">免費占比 低</t>
  </si>
  <si>
    <t xml:space="preserve">免費占比 高</t>
  </si>
  <si>
    <r>
      <rPr>
        <sz val="10"/>
        <color rgb="FF000000"/>
        <rFont val="WenQuanYi Zen Hei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</si>
  <si>
    <t xml:space="preserve">世代組合</t>
  </si>
  <si>
    <r>
      <rPr>
        <sz val="10"/>
        <color rgb="FF000000"/>
        <rFont val="WenQuanYi Zen Hei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VR200</t>
    </r>
  </si>
  <si>
    <t xml:space="preserve">檢查：基準（輸入全為基準）</t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</si>
  <si>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WenQuanYi Zen Hei"/>
        <family val="2"/>
      </rPr>
      <t xml:space="preserve">低（輸入全為基準）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</si>
  <si>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WenQuanYi Zen Hei"/>
        <family val="2"/>
      </rPr>
      <t xml:space="preserve">高（輸入全為基準）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</si>
  <si>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WenQuanYi Zen Hei"/>
        <family val="2"/>
      </rPr>
      <t xml:space="preserve">低（輸入全為基準）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</si>
  <si>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WenQuanYi Zen Hei"/>
        <family val="2"/>
      </rPr>
      <t xml:space="preserve">高（輸入全為基準）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</si>
  <si>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低（輸入全為基準）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</si>
  <si>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高（輸入全為基準）</t>
    </r>
  </si>
  <si>
    <r>
      <rPr>
        <sz val="9"/>
        <color rgb="FF595959"/>
        <rFont val="WenQuanYi Zen Hei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數 低（輸入全為基準）</t>
    </r>
  </si>
  <si>
    <r>
      <rPr>
        <sz val="9"/>
        <color rgb="FF595959"/>
        <rFont val="WenQuanYi Zen Hei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數</t>
    </r>
  </si>
  <si>
    <r>
      <rPr>
        <sz val="9"/>
        <color rgb="FF595959"/>
        <rFont val="WenQuanYi Zen Hei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數 高（輸入全為基準）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</si>
  <si>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全年平均比例 低（輸入全為基準）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</si>
  <si>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全年平均比例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</si>
  <si>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全年平均比例 高（輸入全為基準）</t>
    </r>
  </si>
  <si>
    <t xml:space="preserve">檢查：免費占比 低（輸入全為基準）</t>
  </si>
  <si>
    <t xml:space="preserve">檢查：免費占比 高（輸入全為基準）</t>
  </si>
  <si>
    <r>
      <rPr>
        <sz val="9"/>
        <color rgb="FF595959"/>
        <rFont val="WenQuanYi Zen Hei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（輸入全為基準）</t>
    </r>
  </si>
  <si>
    <r>
      <rPr>
        <sz val="9"/>
        <color rgb="FF595959"/>
        <rFont val="WenQuanYi Zen Hei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（輸入全為基準）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</si>
  <si>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WenQuanYi Zen Hei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WenQuanYi Zen Hei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WenQuanYi Zen Hei"/>
        <family val="2"/>
      </rPr>
      <t xml:space="preserve">關鍵電力）</t>
    </r>
  </si>
  <si>
    <r>
      <rPr>
        <sz val="9"/>
        <color rgb="FF595959"/>
        <rFont val="WenQuanYi Zen Hei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WenQuanYi Zen Hei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WenQuanYi Zen Hei"/>
        <family val="2"/>
      </rPr>
      <t xml:space="preserve">產出依層級分區（物理量不隨成本情境變動）</t>
    </r>
  </si>
  <si>
    <t xml:space="preserve">指標</t>
  </si>
  <si>
    <t xml:space="preserve">每 GW 機架數</t>
  </si>
  <si>
    <t xml:space="preserve">每 GW GPU 數</t>
  </si>
  <si>
    <t xml:space="preserve">每 IT GW 對應設施電力</t>
  </si>
  <si>
    <t xml:space="preserve">每 GW 資本支出 — IT 設備</t>
  </si>
  <si>
    <t xml:space="preserve">每 GW 資本支出 — 廠房</t>
  </si>
  <si>
    <t xml:space="preserve">每 GW 資本支出 — 合計</t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</si>
  <si>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</si>
  <si>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WenQuanYi Zen Hei"/>
        <family val="2"/>
      </rPr>
      <t xml:space="preserve">年</t>
    </r>
  </si>
  <si>
    <t xml:space="preserve">每 GW 年持有成本 — 經濟口徑</t>
  </si>
  <si>
    <t xml:space="preserve">其中：每 GW 年電費</t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</si>
  <si>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WenQuanYi Zen Hei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WenQuanYi Zen Hei"/>
        <family val="2"/>
      </rPr>
      <t xml:space="preserve">＝理想上限；下游以自身利用率換算）</t>
    </r>
  </si>
  <si>
    <r>
      <rPr>
        <sz val="10"/>
        <color rgb="FF000000"/>
        <rFont val="WenQuanYi Zen Hei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</si>
  <si>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r>
      <rPr>
        <sz val="10"/>
        <color rgb="FF000000"/>
        <rFont val="WenQuanYi Zen Hei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</si>
  <si>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</si>
  <si>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WenQuanYi Zen Hei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</si>
  <si>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</si>
  <si>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</si>
  <si>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</si>
  <si>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</si>
  <si>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WenQuanYi Zen Hei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</si>
  <si>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10"/>
        <color rgb="FF000000"/>
        <rFont val="WenQuanYi Zen Hei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</si>
  <si>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WenQuanYi Zen Hei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</si>
  <si>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</si>
  <si>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WenQuanYi Zen Hei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</si>
  <si>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</si>
  <si>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</si>
  <si>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</si>
  <si>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</si>
  <si>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WenQuanYi Zen Hei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</si>
  <si>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WenQuanYi Zen Hei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</si>
  <si>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WenQuanYi Zen Hei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</si>
  <si>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</si>
  <si>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WenQuanYi Zen Hei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</si>
  <si>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</si>
  <si>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</si>
  <si>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</si>
  <si>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</si>
  <si>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WenQuanYi Zen Hei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</si>
  <si>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WenQuanYi Zen Hei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</si>
  <si>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</t>
    </r>
  </si>
  <si>
    <r>
      <rPr>
        <sz val="9"/>
        <color rgb="FF595959"/>
        <rFont val="WenQuanYi Zen Hei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</si>
  <si>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WenQuanYi Zen Hei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WenQuanYi Zen Hei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</si>
  <si>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</si>
  <si>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10"/>
        <color rgb="FF000000"/>
        <rFont val="WenQuanYi Zen Hei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</si>
  <si>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</si>
  <si>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</si>
  <si>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</si>
  <si>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10"/>
        <color rgb="FF000000"/>
        <rFont val="WenQuanYi Zen Hei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</si>
  <si>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10"/>
        <color rgb="FF000000"/>
        <rFont val="WenQuanYi Zen Hei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</si>
  <si>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WenQuanYi Zen Hei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</si>
  <si>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</si>
  <si>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WenQuanYi Zen Hei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</si>
  <si>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</si>
  <si>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</si>
  <si>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</si>
  <si>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WenQuanYi Zen Hei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</si>
  <si>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WenQuanYi Zen Hei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</si>
  <si>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WenQuanYi Zen Hei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</si>
  <si>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</si>
  <si>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WenQuanYi Zen Hei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</si>
  <si>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</si>
  <si>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</si>
  <si>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</si>
  <si>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WenQuanYi Zen Hei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</si>
  <si>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WenQuanYi Zen Hei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</si>
  <si>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sz val="10"/>
        <color rgb="FF000000"/>
        <rFont val="WenQuanYi Zen Hei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</si>
  <si>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WenQuanYi Zen Hei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</si>
  <si>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10"/>
        <color rgb="FF000000"/>
        <rFont val="WenQuanYi Zen Hei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</si>
  <si>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10"/>
        <color rgb="FF000000"/>
        <rFont val="WenQuanYi Zen Hei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</si>
  <si>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WenQuanYi Zen Hei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WenQuanYi Zen Hei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WenQuanYi Zen Hei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WenQuanYi Zen Hei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成本情境）</t>
    </r>
  </si>
  <si>
    <r>
      <rPr>
        <sz val="10"/>
        <color rgb="FF000000"/>
        <rFont val="WenQuanYi Zen Hei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</si>
  <si>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10"/>
        <color rgb="FF000000"/>
        <rFont val="WenQuanYi Zen Hei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</si>
  <si>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WenQuanYi Zen Hei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</si>
  <si>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WenQuanYi Zen Hei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</si>
  <si>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</si>
  <si>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</si>
  <si>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10"/>
        <color rgb="FF000000"/>
        <rFont val="WenQuanYi Zen Hei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</si>
  <si>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10"/>
        <color rgb="FF000000"/>
        <rFont val="WenQuanYi Zen Hei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</si>
  <si>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WenQuanYi Zen Hei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</si>
  <si>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WenQuanYi Zen Hei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</si>
  <si>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10"/>
        <color rgb="FF000000"/>
        <rFont val="WenQuanYi Zen Hei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</si>
  <si>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</si>
  <si>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</si>
  <si>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</si>
  <si>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</si>
  <si>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</si>
  <si>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</si>
  <si>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WenQuanYi Zen Hei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</si>
  <si>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WenQuanYi Zen Hei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</si>
  <si>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WenQuanYi Zen Hei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</si>
  <si>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WenQuanYi Zen Hei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</si>
  <si>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</si>
  <si>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</si>
  <si>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WenQuanYi Zen Hei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</si>
  <si>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WenQuanYi Zen Hei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</si>
  <si>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WenQuanYi Zen Hei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</si>
  <si>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WenQuanYi Zen Hei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</si>
  <si>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WenQuanYi Zen Hei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</si>
  <si>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</si>
  <si>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</si>
  <si>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</si>
  <si>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</si>
  <si>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</si>
  <si>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</si>
  <si>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WenQuanYi Zen Hei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</si>
  <si>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WenQuanYi Zen Hei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</si>
  <si>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WenQuanYi Zen Hei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</si>
  <si>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WenQuanYi Zen Hei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</si>
  <si>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</si>
  <si>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</si>
  <si>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WenQuanYi Zen Hei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</si>
  <si>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WenQuanYi Zen Hei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</si>
  <si>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WenQuanYi Zen Hei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</si>
  <si>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10"/>
        <color rgb="FF000000"/>
        <rFont val="WenQuanYi Zen Hei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</si>
  <si>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WenQuanYi Zen Hei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</si>
  <si>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</si>
  <si>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</si>
  <si>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</si>
  <si>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</si>
  <si>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</si>
  <si>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</si>
  <si>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WenQuanYi Zen Hei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WenQuanYi Zen Hei"/>
        <family val="2"/>
      </rPr>
      <t xml:space="preserve">組合；各層級貢獻另列，合計＝三層級貢獻之和）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</si>
  <si>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</si>
  <si>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</si>
  <si>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</si>
  <si>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WenQuanYi Zen Hei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</si>
  <si>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</si>
  <si>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</si>
  <si>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</si>
  <si>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WenQuanYi Zen Hei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</si>
  <si>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WenQuanYi Zen Hei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</si>
  <si>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10"/>
        <color rgb="FF000000"/>
        <rFont val="WenQuanYi Zen Hei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</si>
  <si>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WenQuanYi Zen Hei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WenQuanYi Zen Hei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WenQuanYi Zen Hei"/>
        <family val="2"/>
      </rPr>
      <t xml:space="preserve">基準成本）</t>
    </r>
  </si>
  <si>
    <r>
      <rPr>
        <b val="true"/>
        <sz val="10"/>
        <rFont val="WenQuanYi Zen Hei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</si>
  <si>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</si>
  <si>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10"/>
        <color rgb="FF000000"/>
        <rFont val="WenQuanYi Zen Hei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</si>
  <si>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WenQuanYi Zen Hei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</si>
  <si>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WenQuanYi Zen Hei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</si>
  <si>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10"/>
        <color rgb="FF000000"/>
        <rFont val="WenQuanYi Zen Hei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</si>
  <si>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WenQuanYi Zen Hei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WenQuanYi Zen Hei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</si>
  <si>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10"/>
        <color rgb="FF000000"/>
        <rFont val="WenQuanYi Zen Hei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</si>
  <si>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</si>
  <si>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</si>
  <si>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</si>
  <si>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</si>
  <si>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</si>
  <si>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10"/>
        <color rgb="FF000000"/>
        <rFont val="WenQuanYi Zen Hei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</si>
  <si>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</si>
  <si>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</si>
  <si>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</si>
  <si>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</si>
  <si>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</si>
  <si>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WenQuanYi Zen Hei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</si>
  <si>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</si>
  <si>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</si>
  <si>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</si>
  <si>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</si>
  <si>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</si>
  <si>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WenQuanYi Zen Hei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</si>
  <si>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</si>
  <si>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WenQuanYi Zen Hei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</si>
  <si>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WenQuanYi Zen Hei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</si>
  <si>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</si>
  <si>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WenQuanYi Zen Hei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</si>
  <si>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</si>
  <si>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WenQuanYi Zen Hei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</si>
  <si>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</si>
  <si>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WenQuanYi Zen Hei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</si>
  <si>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WenQuanYi Zen Hei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</si>
  <si>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10"/>
        <color rgb="FF000000"/>
        <rFont val="WenQuanYi Zen Hei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</si>
  <si>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WenQuanYi Zen Hei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</si>
  <si>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0"/>
        <rFont val="Arial"/>
        <family val="0"/>
        <charset val="1"/>
      </rPr>
      <t xml:space="preserve">F. Block 6 </t>
    </r>
    <r>
      <rPr>
        <b val="true"/>
        <sz val="10"/>
        <rFont val="WenQuanYi Zen Hei"/>
        <family val="2"/>
      </rPr>
      <t xml:space="preserve">產出（研發與服務的算力配置；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WenQuanYi Zen Hei"/>
        <family val="2"/>
      </rPr>
      <t xml:space="preserve">穩態年度；服務世代組合與訓練世代見 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WenQuanYi Zen Hei"/>
        <family val="2"/>
      </rPr>
      <t xml:space="preserve">不可達時為文字）</t>
    </r>
  </si>
  <si>
    <r>
      <rPr>
        <sz val="10"/>
        <color rgb="FF000000"/>
        <rFont val="WenQuanYi Zen Hei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[IF_AllocQ1]</t>
    </r>
  </si>
  <si>
    <r>
      <rPr>
        <sz val="10"/>
        <color rgb="FF000000"/>
        <rFont val="WenQuanYi Zen Hei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WenQuanYi Zen Hei"/>
        <family val="2"/>
      </rPr>
      <t xml:space="preserve">：免費服務算作產品改良）　</t>
    </r>
    <r>
      <rPr>
        <sz val="10"/>
        <color rgb="FF000000"/>
        <rFont val="Arial"/>
        <family val="0"/>
        <charset val="1"/>
      </rPr>
      <t xml:space="preserve">[IF_AllocQ1_R2]</t>
    </r>
  </si>
  <si>
    <r>
      <rPr>
        <sz val="10"/>
        <color rgb="FF000000"/>
        <rFont val="WenQuanYi Zen Hei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WenQuanYi Zen Hei"/>
        <family val="2"/>
      </rPr>
      <t xml:space="preserve">（已裝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年持有成本；利用率不進入）　</t>
    </r>
    <r>
      <rPr>
        <sz val="10"/>
        <color rgb="FF000000"/>
        <rFont val="Arial"/>
        <family val="0"/>
        <charset val="1"/>
      </rPr>
      <t xml:space="preserve">[IF_AllocQ2]</t>
    </r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</si>
  <si>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</si>
  <si>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WenQuanYi Zen Hei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WenQuanYi Zen Hei"/>
        <family val="2"/>
      </rPr>
      <t xml:space="preserve">改版）；訓練世代＝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[IF_AllocRDGW]</t>
    </r>
  </si>
  <si>
    <r>
      <rPr>
        <sz val="10"/>
        <color rgb="FF000000"/>
        <rFont val="WenQuanYi Zen Hei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WenQuanYi Zen Hei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[IF_AllocDemand]</t>
    </r>
  </si>
  <si>
    <r>
      <rPr>
        <sz val="10"/>
        <color rgb="FF000000"/>
        <rFont val="WenQuanYi Zen Hei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</si>
  <si>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WenQuanYi Zen Hei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WenQuanYi Zen Hei"/>
        <family val="2"/>
      </rPr>
      <t xml:space="preserve">；即時公式、不貼值；附條件、區間與外部對照）</t>
    </r>
  </si>
  <si>
    <r>
      <rPr>
        <sz val="9"/>
        <color rgb="FF595959"/>
        <rFont val="WenQuanYi Zen Hei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WenQuanYi Zen Hei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WenQuanYi Zen Hei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WenQuanYi Zen Hei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WenQuanYi Zen Hei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WenQuanYi Zen Hei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WenQuanYi Zen Hei"/>
        <family val="2"/>
      </rPr>
      <t xml:space="preserve">補入 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WenQuanYi Zen Hei"/>
        <family val="2"/>
      </rPr>
      <t xml:space="preserve">題（</t>
    </r>
    <r>
      <rPr>
        <sz val="9"/>
        <color rgb="FF595959"/>
        <rFont val="Arial"/>
        <family val="0"/>
        <charset val="1"/>
      </rPr>
      <t xml:space="preserve">L1_Ans1–9</t>
    </r>
    <r>
      <rPr>
        <sz val="9"/>
        <color rgb="FF595959"/>
        <rFont val="WenQuanYi Zen Hei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列外部對照；</t>
    </r>
    <r>
      <rPr>
        <sz val="9"/>
        <color rgb="FF595959"/>
        <rFont val="Arial"/>
        <family val="0"/>
        <charset val="1"/>
      </rPr>
      <t xml:space="preserve">v5.16 </t>
    </r>
    <r>
      <rPr>
        <sz val="9"/>
        <color rgb="FF595959"/>
        <rFont val="WenQuanYi Zen Hei"/>
        <family val="2"/>
      </rPr>
      <t xml:space="preserve">補毛利率兩列與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小時口徑一列。欄位約定（</t>
    </r>
    <r>
      <rPr>
        <sz val="9"/>
        <color rgb="FF595959"/>
        <rFont val="Arial"/>
        <family val="0"/>
        <charset val="1"/>
      </rPr>
      <t xml:space="preserve">v5.16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WenQuanYi Zen Hei"/>
        <family val="2"/>
      </rPr>
      <t xml:space="preserve">＝高；無區間時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WenQuanYi Zen Hei"/>
        <family val="2"/>
      </rPr>
      <t xml:space="preserve">欄寫「無區間」；不同口徑或對照量一律另列一列，不放在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WenQuanYi Zen Hei"/>
        <family val="2"/>
      </rPr>
      <t xml:space="preserve">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</si>
  <si>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</si>
  <si>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</si>
  <si>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</si>
  <si>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</si>
  <si>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</si>
  <si>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</si>
  <si>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</si>
  <si>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</si>
  <si>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WenQuanYi Zen Hei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</si>
  <si>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</si>
  <si>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</si>
  <si>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WenQuanYi Zen Hei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外部</t>
    </r>
  </si>
  <si>
    <t xml:space="preserve">所在頁與列</t>
  </si>
  <si>
    <t xml:space="preserve">未能回答的部分</t>
  </si>
  <si>
    <t xml:space="preserve">L1_CapexGW_Hopper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</si>
  <si>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</si>
  <si>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</si>
  <si>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</si>
  <si>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</si>
  <si>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</si>
  <si>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WenQuanYi Zen Hei"/>
        <family val="2"/>
      </rPr>
      <t xml:space="preserve">敏感度）</t>
    </r>
  </si>
  <si>
    <r>
      <rPr>
        <sz val="10"/>
        <color rgb="FF000000"/>
        <rFont val="WenQuanYi Zen Hei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</si>
  <si>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WenQuanYi Zen Hei"/>
        <family val="2"/>
      </rPr>
      <t xml:space="preserve">列</t>
    </r>
  </si>
  <si>
    <t xml:space="preserve">L1_CapexGW_GB200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</si>
  <si>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）</t>
    </r>
  </si>
  <si>
    <t xml:space="preserve">L1_CapexGW_GB300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</si>
  <si>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</si>
  <si>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L1_CapexGW_VR200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</si>
  <si>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</si>
  <si>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SRC_DC_010</t>
  </si>
  <si>
    <r>
      <rPr>
        <sz val="10"/>
        <color rgb="FF000000"/>
        <rFont val="WenQuanYi Zen Hei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或設施）</t>
    </r>
  </si>
  <si>
    <t xml:space="preserve">L1_NvContentGW_VR200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</si>
  <si>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WenQuanYi Zen Hei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</si>
  <si>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基準功率情境</t>
  </si>
  <si>
    <r>
      <rPr>
        <sz val="10"/>
        <color rgb="FF000000"/>
        <rFont val="WenQuanYi Zen Hei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</si>
  <si>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</si>
  <si>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</si>
  <si>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</si>
  <si>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</t>
    </r>
  </si>
  <si>
    <t xml:space="preserve">L1_FacCapexMW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</si>
  <si>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WenQuanYi Zen Hei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</si>
  <si>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</si>
  <si>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WenQuanYi Zen Hei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設備）</t>
    </r>
  </si>
  <si>
    <r>
      <rPr>
        <sz val="10"/>
        <color rgb="FF000000"/>
        <rFont val="WenQuanYi Zen Hei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</si>
  <si>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</si>
  <si>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</si>
  <si>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</si>
  <si>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WenQuanYi Zen Hei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或設施）待查</t>
    </r>
  </si>
  <si>
    <t xml:space="preserve">L1_HoldEconGW_Hopper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</si>
  <si>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</si>
  <si>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WenQuanYi Zen Hei"/>
        <family val="2"/>
      </rPr>
      <t xml:space="preserve">）＋營運費用</t>
    </r>
  </si>
  <si>
    <r>
      <rPr>
        <sz val="10"/>
        <color rgb="FF000000"/>
        <rFont val="WenQuanYi Zen Hei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WenQuanYi Zen Hei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</si>
  <si>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折舊年限、機架價格</t>
    </r>
  </si>
  <si>
    <r>
      <rPr>
        <sz val="10"/>
        <color rgb="FF000000"/>
        <rFont val="WenQuanYi Zen Hei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</si>
  <si>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WenQuanYi Zen Hei"/>
        <family val="2"/>
      </rPr>
      <t xml:space="preserve">列</t>
    </r>
  </si>
  <si>
    <t xml:space="preserve">L1_HoldEconGW_GB200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</si>
  <si>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）</t>
    </r>
  </si>
  <si>
    <t xml:space="preserve">L1_HoldEconGW_GB300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</si>
  <si>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</si>
  <si>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L1_HoldEconGW_VR200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</si>
  <si>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</si>
  <si>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L1_GPUhr_Hopper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</si>
  <si>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</si>
  <si>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時數；不含利潤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</si>
  <si>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</si>
  <si>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</si>
  <si>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WenQuanYi Zen Hei"/>
        <family val="2"/>
      </rPr>
      <t xml:space="preserve">列</t>
    </r>
  </si>
  <si>
    <t xml:space="preserve">L1_GPUhr_GB200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</si>
  <si>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）</t>
    </r>
  </si>
  <si>
    <t xml:space="preserve">SRC_DC_012</t>
  </si>
  <si>
    <r>
      <rPr>
        <sz val="10"/>
        <color rgb="FF000000"/>
        <rFont val="WenQuanYi Zen Hei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WenQuanYi Zen Hei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WenQuanYi Zen Hei"/>
        <family val="2"/>
      </rPr>
      <t xml:space="preserve">）</t>
    </r>
  </si>
  <si>
    <t xml:space="preserve">L1_GPUhr_GB300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</si>
  <si>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</si>
  <si>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SRC_DC_013</t>
  </si>
  <si>
    <t xml:space="preserve">L1_GPUhr_VR200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</si>
  <si>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</si>
  <si>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</si>
  <si>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</si>
  <si>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</t>
    </r>
  </si>
  <si>
    <r>
      <rPr>
        <sz val="10"/>
        <color rgb="FF000000"/>
        <rFont val="WenQuanYi Zen Hei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</si>
  <si>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WenQuanYi Zen Hei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WenQuanYi Zen Hei"/>
        <family val="2"/>
      </rPr>
      <t xml:space="preserve">、生產折減</t>
    </r>
  </si>
  <si>
    <r>
      <rPr>
        <sz val="10"/>
        <color rgb="FF000000"/>
        <rFont val="WenQuanYi Zen Hei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</si>
  <si>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WenQuanYi Zen Hei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</si>
  <si>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</si>
  <si>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</si>
  <si>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</si>
  <si>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</si>
  <si>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</si>
  <si>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</si>
  <si>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</si>
  <si>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</si>
  <si>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</si>
  <si>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</si>
  <si>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</si>
  <si>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</si>
  <si>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WenQuanYi Zen Hei"/>
        <family val="2"/>
      </rPr>
      <t xml:space="preserve">實測產出計）</t>
    </r>
  </si>
  <si>
    <r>
      <rPr>
        <sz val="10"/>
        <color rgb="FF000000"/>
        <rFont val="WenQuanYi Zen Hei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WenQuanYi Zen Hei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</si>
  <si>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</si>
  <si>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WenQuanYi Zen Hei"/>
        <family val="2"/>
      </rPr>
      <t xml:space="preserve">（產出相同）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</si>
  <si>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</si>
  <si>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</si>
  <si>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</si>
  <si>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WenQuanYi Zen Hei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</si>
  <si>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WenQuanYi Zen Hei"/>
        <family val="2"/>
      </rPr>
      <t xml:space="preserve">假設未公開</t>
    </r>
  </si>
  <si>
    <t xml:space="preserve">L1_RevGW_Luna_VR200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</si>
  <si>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</si>
  <si>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有效單價、基準成本、基準利用率</t>
    </r>
  </si>
  <si>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WenQuanYi Zen Hei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</si>
  <si>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</si>
  <si>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WenQuanYi Zen Hei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</si>
  <si>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WenQuanYi Zen Hei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</si>
  <si>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</si>
  <si>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WenQuanYi Zen Hei"/>
        <family val="2"/>
      </rPr>
      <t xml:space="preserve">）</t>
    </r>
  </si>
  <si>
    <t xml:space="preserve">L1_RevGW_Sol_VR200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</si>
  <si>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</si>
  <si>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L1_RevGW_Astra_VR200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</si>
  <si>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</si>
  <si>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</si>
  <si>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</si>
  <si>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L1_GPUhr_GB200_vsCW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</si>
  <si>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隨需牌價</t>
    </r>
  </si>
  <si>
    <r>
      <rPr>
        <sz val="10"/>
        <color rgb="FF000000"/>
        <rFont val="WenQuanYi Zen Hei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倍：含利潤、閒置與風險溢價；長約價通常較低</t>
    </r>
  </si>
  <si>
    <r>
      <rPr>
        <sz val="10"/>
        <color rgb="FF000000"/>
        <rFont val="WenQuanYi Zen Hei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</si>
  <si>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</si>
  <si>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WenQuanYi Zen Hei"/>
        <family val="2"/>
      </rPr>
      <t xml:space="preserve">列</t>
    </r>
  </si>
  <si>
    <t xml:space="preserve">長約價未公開</t>
  </si>
  <si>
    <t xml:space="preserve">L1_GPUhr_GB300_vsBE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</si>
  <si>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）對新雲損益兩平租金</t>
    </r>
  </si>
  <si>
    <r>
      <rPr>
        <sz val="10"/>
        <color rgb="FF000000"/>
        <rFont val="WenQuanYi Zen Hei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WenQuanYi Zen Hei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時數的持有成本</t>
    </r>
  </si>
  <si>
    <r>
      <rPr>
        <sz val="10"/>
        <color rgb="FF000000"/>
        <rFont val="WenQuanYi Zen Hei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</si>
  <si>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</si>
  <si>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列</t>
    </r>
  </si>
  <si>
    <t xml:space="preserve">外部值機型未明</t>
  </si>
  <si>
    <t xml:space="preserve">L1_RLshare_Sol_VR200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</si>
  <si>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</si>
  <si>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WenQuanYi Zen Hei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</si>
  <si>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情境倍數）</t>
    </r>
  </si>
  <si>
    <r>
      <rPr>
        <sz val="10"/>
        <color rgb="FF000000"/>
        <rFont val="WenQuanYi Zen Hei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</si>
  <si>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</si>
  <si>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WenQuanYi Zen Hei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</si>
  <si>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</si>
  <si>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</si>
  <si>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WenQuanYi Zen Hei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規模</t>
    </r>
  </si>
  <si>
    <t xml:space="preserve">L1_RLshare_Astra_VR200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</si>
  <si>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</si>
  <si>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</si>
  <si>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</si>
  <si>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</si>
  <si>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WenQuanYi Zen Hei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WenQuanYi Zen Hei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）不明</t>
    </r>
  </si>
  <si>
    <t xml:space="preserve">L1_FinalTrainShare</t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</si>
  <si>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</si>
  <si>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WenQuanYi Zen Hei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</si>
  <si>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WenQuanYi Zen Hei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</si>
  <si>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</si>
  <si>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WenQuanYi Zen Hei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</si>
  <si>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</si>
  <si>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</si>
  <si>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</si>
  <si>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</si>
  <si>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</si>
  <si>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</si>
  <si>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57%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D4</t>
    </r>
    <r>
      <rPr>
        <sz val="10"/>
        <color rgb="FF000000"/>
        <rFont val="WenQuanYi Zen Hei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50–60%</t>
    </r>
    <r>
      <rPr>
        <sz val="10"/>
        <color rgb="FF000000"/>
        <rFont val="WenQuanYi Zen Hei"/>
        <family val="2"/>
      </rPr>
      <t xml:space="preserve">）</t>
    </r>
  </si>
  <si>
    <t xml:space="preserve">無區間（單一對帳值）</t>
  </si>
  <si>
    <r>
      <rPr>
        <sz val="10"/>
        <color rgb="FF000000"/>
        <rFont val="WenQuanYi Zen Hei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</si>
  <si>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</si>
  <si>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出貨 </t>
    </r>
    <r>
      <rPr>
        <sz val="10"/>
        <color rgb="FF000000"/>
        <rFont val="Arial"/>
        <family val="0"/>
        <charset val="1"/>
      </rPr>
      <t xml:space="preserve">4/7</t>
    </r>
    <r>
      <rPr>
        <sz val="10"/>
        <color rgb="FF000000"/>
        <rFont val="WenQuanYi Zen Hei"/>
        <family val="2"/>
      </rPr>
      <t xml:space="preserve">；全球口徑）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</si>
  <si>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</si>
  <si>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</si>
  <si>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</si>
  <si>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</si>
  <si>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</si>
  <si>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</si>
  <si>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</si>
  <si>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WenQuanYi Zen Hei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WenQuanYi Zen Hei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</si>
  <si>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</si>
  <si>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</si>
  <si>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SRC_MOD_033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</si>
  <si>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</si>
  <si>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估計；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實際算力未揭露</t>
    </r>
  </si>
  <si>
    <t xml:space="preserve">L1_Ans1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</si>
  <si>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</si>
  <si>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WenQuanYi Zen Hei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</si>
  <si>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WenQuanYi Zen Hei"/>
        <family val="2"/>
      </rPr>
      <t xml:space="preserve">節：一次動一個輸入（區間低與高）的最小與最大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WenQuanYi Zen Hei"/>
        <family val="2"/>
      </rPr>
      <t xml:space="preserve">（免費服務算作產品改良）見 </t>
    </r>
    <r>
      <rPr>
        <sz val="10"/>
        <color rgb="FF000000"/>
        <rFont val="Arial"/>
        <family val="0"/>
        <charset val="1"/>
      </rPr>
      <t xml:space="preserve">IF_AllocQ1_R2</t>
    </r>
  </si>
  <si>
    <r>
      <rPr>
        <sz val="10"/>
        <color rgb="FF000000"/>
        <rFont val="WenQuanYi Zen Hei"/>
        <family val="2"/>
      </rPr>
      <t xml:space="preserve">物理部分只給下限（家族＋改版計畫的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年）；實際占比由策略變數決定（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WenQuanYi Zen Hei"/>
        <family val="2"/>
      </rPr>
      <t xml:space="preserve">另列於 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</si>
  <si>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WenQuanYi Zen Hei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</si>
  <si>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</si>
  <si>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</si>
  <si>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WenQuanYi Zen Hei"/>
        <family val="2"/>
      </rPr>
      <t xml:space="preserve">（內部使用）無參數（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WenQuanYi Zen Hei"/>
        <family val="2"/>
      </rPr>
      <t xml:space="preserve">）；本題為單一實驗室（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穩態年度；成長情境見 </t>
    </r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WenQuanYi Zen Hei"/>
        <family val="2"/>
      </rPr>
      <t xml:space="preserve">節</t>
    </r>
  </si>
  <si>
    <t xml:space="preserve">L1_Ans2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</si>
  <si>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：研發算力成本占比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</si>
  <si>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；已裝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年持有成本；利用率不進入（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</si>
  <si>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WenQuanYi Zen Hei"/>
        <family val="2"/>
      </rPr>
      <t xml:space="preserve">節：一次動一個輸入的最小與最大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</si>
  <si>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訓練世代持有成本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（同＋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WenQuanYi Zen Hei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各世代持有成本）；雲端與自有的差異留在下游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</si>
  <si>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WenQuanYi Zen Hei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數、服務世代組合</t>
    </r>
  </si>
  <si>
    <r>
      <rPr>
        <sz val="10"/>
        <color rgb="FF000000"/>
        <rFont val="WenQuanYi Zen Hei"/>
        <family val="2"/>
      </rPr>
      <t xml:space="preserve">雲端租用與自有的成本差異在下游（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WenQuanYi Zen Hei"/>
        <family val="2"/>
      </rPr>
      <t xml:space="preserve">）</t>
    </r>
  </si>
  <si>
    <t xml:space="preserve">L1_Ans3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</si>
  <si>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WenQuanYi Zen Hei"/>
        <family val="2"/>
      </rPr>
      <t xml:space="preserve">（算力部分）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</si>
  <si>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</si>
  <si>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WenQuanYi Zen Hei"/>
        <family val="2"/>
      </rPr>
      <t xml:space="preserve">節：一次動一個輸入的研發算力成本最小與最大值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</si>
  <si>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欄＝研發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年經濟持有成本（算力部分）；整體成本需加非算力成本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</si>
  <si>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</si>
  <si>
    <r>
      <rPr>
        <sz val="10"/>
        <color rgb="FF000000"/>
        <rFont val="WenQuanYi Zen Hei"/>
        <family val="2"/>
      </rPr>
      <t xml:space="preserve">計畫規模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</si>
  <si>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</si>
  <si>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未能回答：非算力成本（人事、資料、評測、非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費用）不在第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層，歸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v0.6</t>
    </r>
  </si>
  <si>
    <t xml:space="preserve">L1_Ans4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</si>
  <si>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：各層級每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；本列為 </t>
    </r>
    <r>
      <rPr>
        <sz val="10"/>
        <color rgb="FF000000"/>
        <rFont val="Arial"/>
        <family val="0"/>
        <charset val="1"/>
      </rPr>
      <t xml:space="preserve">Sol decode </t>
    </r>
    <r>
      <rPr>
        <sz val="10"/>
        <color rgb="FF000000"/>
        <rFont val="WenQuanYi Zen Hei"/>
        <family val="2"/>
      </rPr>
      <t xml:space="preserve">含思考，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在另兩列）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</si>
  <si>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</t>
    </r>
  </si>
  <si>
    <r>
      <rPr>
        <sz val="10"/>
        <color rgb="FF000000"/>
        <rFont val="WenQuanYi Zen Hei"/>
        <family val="2"/>
      </rPr>
      <t xml:space="preserve">本列為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WenQuanYi Zen Hei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L1_CostDec_Luna_VR200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見第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WenQuanYi Zen Hei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L1_CostDec_Astra_VR200</t>
    </r>
    <r>
      <rPr>
        <sz val="10"/>
        <color rgb="FF000000"/>
        <rFont val="WenQuanYi Zen Hei"/>
        <family val="2"/>
      </rPr>
      <t xml:space="preserve">）。新鮮輸入與快取輸入見 </t>
    </r>
    <r>
      <rPr>
        <sz val="10"/>
        <color rgb="FF000000"/>
        <rFont val="Arial"/>
        <family val="0"/>
        <charset val="1"/>
      </rPr>
      <t xml:space="preserve">IF_CostPre_*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IF_CostCache_*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</si>
  <si>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</si>
  <si>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；本題只連結既有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列，未新增計算</t>
    </r>
  </si>
  <si>
    <t xml:space="preserve">L1_Ans5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</si>
  <si>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</si>
  <si>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有效單價、基準成本、基準利用率；單一層級滿載的上限</t>
    </r>
  </si>
  <si>
    <r>
      <rPr>
        <sz val="10"/>
        <color rgb="FF000000"/>
        <rFont val="WenQuanYi Zen Hei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L1_RevGW_*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、機隊各一列）；毛利率見 </t>
    </r>
    <r>
      <rPr>
        <sz val="10"/>
        <color rgb="FF000000"/>
        <rFont val="Arial"/>
        <family val="0"/>
        <charset val="1"/>
      </rPr>
      <t xml:space="preserve">L1_Ans5_GM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WenQuanYi Zen Hei"/>
        <family val="2"/>
      </rPr>
      <t xml:space="preserve">；全成本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IF_FullCost_*</t>
    </r>
  </si>
  <si>
    <r>
      <rPr>
        <sz val="10"/>
        <color rgb="FF000000"/>
        <rFont val="WenQuanYi Zen Hei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WenQuanYi Zen Hei"/>
        <family val="2"/>
      </rPr>
      <t xml:space="preserve">、單價快照</t>
    </r>
  </si>
  <si>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</si>
  <si>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WenQuanYi Zen Hei"/>
        <family val="2"/>
      </rPr>
      <t xml:space="preserve">節</t>
    </r>
  </si>
  <si>
    <t xml:space="preserve">L1_Ans6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</si>
  <si>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</si>
  <si>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單一模型最終訓練；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WenQuanYi Zen Hei"/>
        <family val="2"/>
      </rPr>
      <t xml:space="preserve">基準</t>
    </r>
  </si>
  <si>
    <t xml:space="preserve">無區間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</si>
  <si>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小時口徑見 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以推論型運算計價，兩種口徑的後訓練占比不同；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IF_PostShare*_Luna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</si>
  <si>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Arial"/>
        <family val="0"/>
        <charset val="1"/>
      </rPr>
      <t xml:space="preserve">RL rollout 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</si>
  <si>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Interface C </t>
    </r>
    <r>
      <rPr>
        <sz val="10"/>
        <color rgb="FF000000"/>
        <rFont val="WenQuanYi Zen Hei"/>
        <family val="2"/>
      </rPr>
      <t xml:space="preserve">節</t>
    </r>
  </si>
  <si>
    <t xml:space="preserve">本題只連結既有名稱</t>
  </si>
  <si>
    <t xml:space="preserve">L1_Ans7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</si>
  <si>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前緣單價（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；參考請求混合）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</si>
  <si>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前緣有效單價；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快照</t>
    </r>
  </si>
  <si>
    <r>
      <rPr>
        <sz val="10"/>
        <color rgb="FF000000"/>
        <rFont val="WenQuanYi Zen Hei"/>
        <family val="2"/>
      </rPr>
      <t xml:space="preserve">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（前緣＝能力指數不低於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該層級模型的最便宜模型，集合含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本身，</t>
    </r>
    <r>
      <rPr>
        <sz val="10"/>
        <color rgb="FF000000"/>
        <rFont val="Arial"/>
        <family val="0"/>
        <charset val="1"/>
      </rPr>
      <t xml:space="preserve">K2 (i)</t>
    </r>
    <r>
      <rPr>
        <sz val="10"/>
        <color rgb="FF000000"/>
        <rFont val="WenQuanYi Zen Hei"/>
        <family val="2"/>
      </rPr>
      <t xml:space="preserve">）；＝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該層級即在前緣上，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WenQuanYi Zen Hei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高於前緣；兩個單價見 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IF_FrontRef_Sol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IF_PriceRef_*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IF_FrontRef_*</t>
    </r>
  </si>
  <si>
    <r>
      <rPr>
        <sz val="10"/>
        <color rgb="FF000000"/>
        <rFont val="WenQuanYi Zen Hei"/>
        <family val="2"/>
      </rPr>
      <t xml:space="preserve">能力指數、中國廠商單價、前緣定義（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</si>
  <si>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WenQuanYi Zen Hei"/>
        <family val="2"/>
      </rPr>
      <t xml:space="preserve">指數：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級、改版頻繁</t>
    </r>
  </si>
  <si>
    <t xml:space="preserve">L1_Ans8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</si>
  <si>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是否降低每成功任務成本：選定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</si>
  <si>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（長程，第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欄）；選定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檔案全採用 對 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</si>
  <si>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&lt; 1 </t>
    </r>
    <r>
      <rPr>
        <sz val="10"/>
        <color rgb="FF000000"/>
        <rFont val="WenQuanYi Zen Hei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降低每成功任務成本；各任務見 </t>
    </r>
    <r>
      <rPr>
        <sz val="10"/>
        <color rgb="FF000000"/>
        <rFont val="Arial"/>
        <family val="0"/>
        <charset val="1"/>
      </rPr>
      <t xml:space="preserve">IF_HarR_Sol </t>
    </r>
    <r>
      <rPr>
        <sz val="10"/>
        <color rgb="FF000000"/>
        <rFont val="WenQuanYi Zen Hei"/>
        <family val="2"/>
      </rPr>
      <t xml:space="preserve">各欄、其他層級見 </t>
    </r>
    <r>
      <rPr>
        <sz val="10"/>
        <color rgb="FF000000"/>
        <rFont val="Arial"/>
        <family val="0"/>
        <charset val="1"/>
      </rPr>
      <t xml:space="preserve">IF_HarR_Luna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</si>
  <si>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WenQuanYi Zen Hei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檔案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</si>
  <si>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成功率：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</si>
  <si>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WenQuanYi Zen Hei"/>
        <family val="2"/>
      </rPr>
      <t xml:space="preserve">節</t>
    </r>
  </si>
  <si>
    <t xml:space="preserve">L1_Ans9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</si>
  <si>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：成功任務成本前緣（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</si>
  <si>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欄）；層級與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檔案見 </t>
    </r>
    <r>
      <rPr>
        <sz val="10"/>
        <color rgb="FF000000"/>
        <rFont val="Arial"/>
        <family val="0"/>
        <charset val="1"/>
      </rPr>
      <t xml:space="preserve">IF_FrontSuccVRName</t>
    </r>
  </si>
  <si>
    <t xml:space="preserve">無區間（單一前緣值）</t>
  </si>
  <si>
    <r>
      <rPr>
        <sz val="10"/>
        <color rgb="FF000000"/>
        <rFont val="WenQuanYi Zen Hei"/>
        <family val="2"/>
      </rPr>
      <t xml:space="preserve">前緣組合名稱見 </t>
    </r>
    <r>
      <rPr>
        <sz val="10"/>
        <color rgb="FF000000"/>
        <rFont val="Arial"/>
        <family val="0"/>
        <charset val="1"/>
      </rPr>
      <t xml:space="preserve">IF_FrontSuccVRName</t>
    </r>
    <r>
      <rPr>
        <sz val="10"/>
        <color rgb="FF000000"/>
        <rFont val="WenQuanYi Zen Hei"/>
        <family val="2"/>
      </rPr>
      <t xml:space="preserve">、成功率見 </t>
    </r>
    <r>
      <rPr>
        <sz val="10"/>
        <color rgb="FF000000"/>
        <rFont val="Arial"/>
        <family val="0"/>
        <charset val="1"/>
      </rPr>
      <t xml:space="preserve">IF_FrontSuccVRP</t>
    </r>
    <r>
      <rPr>
        <sz val="10"/>
        <color rgb="FF000000"/>
        <rFont val="WenQuanYi Zen Hei"/>
        <family val="2"/>
      </rPr>
      <t xml:space="preserve">；『無合格』表示無組合達 </t>
    </r>
    <r>
      <rPr>
        <sz val="10"/>
        <color rgb="FF000000"/>
        <rFont val="Arial"/>
        <family val="0"/>
        <charset val="1"/>
      </rPr>
      <t xml:space="preserve">p_min</t>
    </r>
  </si>
  <si>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、任務成功率、單價</t>
    </r>
  </si>
  <si>
    <r>
      <rPr>
        <sz val="10"/>
        <color rgb="FF000000"/>
        <rFont val="Arial"/>
        <family val="0"/>
        <charset val="1"/>
      </rPr>
      <t xml:space="preserve">p_min 50%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</si>
  <si>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WenQuanYi Zen Hei"/>
        <family val="2"/>
      </rPr>
      <t xml:space="preserve">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）未由工作單指定；其他任務見 </t>
    </r>
    <r>
      <rPr>
        <sz val="10"/>
        <color rgb="FF000000"/>
        <rFont val="Arial"/>
        <family val="0"/>
        <charset val="1"/>
      </rPr>
      <t xml:space="preserve">IF_FrontSuccVR </t>
    </r>
    <r>
      <rPr>
        <sz val="10"/>
        <color rgb="FF000000"/>
        <rFont val="WenQuanYi Zen Hei"/>
        <family val="2"/>
      </rPr>
      <t xml:space="preserve">各欄</t>
    </r>
  </si>
  <si>
    <t xml:space="preserve">L1_ExtServeGW</t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</si>
  <si>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 對 支出路線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</si>
  <si>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路線＝需求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產能；支出路線＝推論支出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持有成本</t>
    </r>
  </si>
  <si>
    <t xml:space="preserve">無區間（單一對照值）</t>
  </si>
  <si>
    <r>
      <rPr>
        <sz val="10"/>
        <color rgb="FF000000"/>
        <rFont val="WenQuanYi Zen Hei"/>
        <family val="2"/>
      </rPr>
      <t xml:space="preserve">兩路線差距指出需求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產能或支出口徑之一偏離；對照列落在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WenQuanYi Zen Hei"/>
        <family val="2"/>
      </rPr>
      <t xml:space="preserve">外是預期結果之一，不調整輸入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</si>
  <si>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數、服務世代組合、每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</t>
    </r>
  </si>
  <si>
    <t xml:space="preserve">SRC_DEM_004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</si>
  <si>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</si>
  <si>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支出路線以經濟持有成本換算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，與外部揭露的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）無關</t>
    </r>
  </si>
  <si>
    <t xml:space="preserve">L1_ExtFreeShare</t>
  </si>
  <si>
    <r>
      <rPr>
        <sz val="10"/>
        <color rgb="FF000000"/>
        <rFont val="WenQuanYi Zen Hei"/>
        <family val="2"/>
      </rPr>
      <t xml:space="preserve">免費服務算力占比：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 對 支出口徑（</t>
    </r>
    <r>
      <rPr>
        <sz val="10"/>
        <color rgb="FF000000"/>
        <rFont val="Arial"/>
        <family val="0"/>
        <charset val="1"/>
      </rPr>
      <t xml:space="preserve">SRC_DEM_005 ÷ SRC_DEM_004</t>
    </r>
    <r>
      <rPr>
        <sz val="10"/>
        <color rgb="FF000000"/>
        <rFont val="WenQuanYi Zen Hei"/>
        <family val="2"/>
      </rPr>
      <t xml:space="preserve">）</t>
    </r>
  </si>
  <si>
    <t xml:space="preserve">OpenAI 2025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</si>
  <si>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；支出口徑＝免費推論支出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推論支出</t>
    </r>
  </si>
  <si>
    <r>
      <rPr>
        <sz val="10"/>
        <color rgb="FF000000"/>
        <rFont val="WenQuanYi Zen Hei"/>
        <family val="2"/>
      </rPr>
      <t xml:space="preserve">免費占比、層級組合（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</si>
  <si>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免費用戶占比：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</si>
  <si>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SRC_DEM_005</t>
  </si>
  <si>
    <r>
      <rPr>
        <sz val="10"/>
        <color rgb="FF000000"/>
        <rFont val="WenQuanYi Zen Hei"/>
        <family val="2"/>
      </rPr>
      <t xml:space="preserve">兩口徑不同（算力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支出）</t>
    </r>
  </si>
  <si>
    <t xml:space="preserve">L1_ExtDaily</t>
  </si>
  <si>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合計 對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WenQuanYi Zen Hei"/>
        <family val="2"/>
      </rPr>
      <t xml:space="preserve">低、高）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</si>
  <si>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</si>
  <si>
    <r>
      <rPr>
        <sz val="10"/>
        <color rgb="FF000000"/>
        <rFont val="WenQuanYi Zen Hei"/>
        <family val="2"/>
      </rPr>
      <t xml:space="preserve">基準約 </t>
    </r>
    <r>
      <rPr>
        <sz val="10"/>
        <color rgb="FF000000"/>
        <rFont val="Arial"/>
        <family val="0"/>
        <charset val="1"/>
      </rPr>
      <t xml:space="preserve">11.5T</t>
    </r>
    <r>
      <rPr>
        <sz val="10"/>
        <color rgb="FF000000"/>
        <rFont val="WenQuanYi Zen Hei"/>
        <family val="2"/>
      </rPr>
      <t xml:space="preserve">，只略高於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下限 </t>
    </r>
    <r>
      <rPr>
        <sz val="10"/>
        <color rgb="FF000000"/>
        <rFont val="Arial"/>
        <family val="0"/>
        <charset val="1"/>
      </rPr>
      <t xml:space="preserve">10T</t>
    </r>
    <r>
      <rPr>
        <sz val="10"/>
        <color rgb="FF000000"/>
        <rFont val="WenQuanYi Zen Hei"/>
        <family val="2"/>
      </rPr>
      <t xml:space="preserve">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比例同取低端時約 </t>
    </r>
    <r>
      <rPr>
        <sz val="10"/>
        <color rgb="FF000000"/>
        <rFont val="Arial"/>
        <family val="0"/>
        <charset val="1"/>
      </rPr>
      <t xml:space="preserve">7.7T</t>
    </r>
    <r>
      <rPr>
        <sz val="10"/>
        <color rgb="FF000000"/>
        <rFont val="WenQuanYi Zen Hei"/>
        <family val="2"/>
      </rPr>
      <t xml:space="preserve">，落在區間外（預期，不是錯誤）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</si>
  <si>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</si>
  <si>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</si>
  <si>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Alloc 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</si>
  <si>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為由算力推估的區間</t>
    </r>
  </si>
  <si>
    <t xml:space="preserve">L1_Ans5_GM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</si>
  <si>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：理論毛利率（毛利口徑：服務＋快取儲存，不含訓練攤提；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</si>
  <si>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；基準利用率；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下單一層級滿載（理想上限）</t>
    </r>
  </si>
  <si>
    <t xml:space="preserve">成本角落情境（高成本／低成本欄；毛利率隨成本反向）</t>
  </si>
  <si>
    <r>
      <rPr>
        <sz val="10"/>
        <color rgb="FF000000"/>
        <rFont val="Arial"/>
        <family val="0"/>
        <charset val="1"/>
      </rPr>
      <t xml:space="preserve">1 −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IF_FullCost_Sol − IF_AmortBU_Sol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WenQuanYi Zen Hei"/>
        <family val="2"/>
      </rPr>
      <t xml:space="preserve">：推論算力計入營業成本、訓練計入研發（不含攤提）。理論毛利率是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下單一層級滿載、基準利用率的上限；與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隱含值約 </t>
    </r>
    <r>
      <rPr>
        <sz val="10"/>
        <color rgb="FF000000"/>
        <rFont val="Arial"/>
        <family val="0"/>
        <charset val="1"/>
      </rPr>
      <t xml:space="preserve">36% </t>
    </r>
    <r>
      <rPr>
        <sz val="10"/>
        <color rgb="FF000000"/>
        <rFont val="WenQuanYi Zen Hei"/>
        <family val="2"/>
      </rPr>
      <t xml:space="preserve">的差距，與「兩路線差約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WenQuanYi Zen Hei"/>
        <family val="2"/>
      </rPr>
      <t xml:space="preserve">倍」同源（物理產能上限 對 實際營運），屬預期，不調整輸入。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WenQuanYi Zen Hei"/>
        <family val="2"/>
      </rPr>
      <t xml:space="preserve">＝低成本欄</t>
    </r>
  </si>
  <si>
    <r>
      <rPr>
        <sz val="10"/>
        <color rgb="FF000000"/>
        <rFont val="WenQuanYi Zen Hei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WenQuanYi Zen Hei"/>
        <family val="2"/>
      </rPr>
      <t xml:space="preserve">、利用率、單價快照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</si>
  <si>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</si>
  <si>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WenQuanYi Zen Hei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IF_AmortBU_Sol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</si>
  <si>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；兩者皆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），與本列的物理上限口徑不同</t>
    </r>
  </si>
  <si>
    <t xml:space="preserve">L1_Ans5_FullMargin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</si>
  <si>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：理論毛利率（全成本口徑：含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</si>
  <si>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1 − IF_FullCostDefault_Sol ÷ IF_PriceRef_Sol</t>
    </r>
    <r>
      <rPr>
        <sz val="10"/>
        <color rgb="FF000000"/>
        <rFont val="WenQuanYi Zen Hei"/>
        <family val="2"/>
      </rPr>
      <t xml:space="preserve">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預設攤提（自下而上總額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權重）的全成本口徑，為第二列。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WenQuanYi Zen Hei"/>
        <family val="2"/>
      </rPr>
      <t xml:space="preserve">＝低成本欄</t>
    </r>
  </si>
  <si>
    <r>
      <rPr>
        <sz val="10"/>
        <color rgb="FF000000"/>
        <rFont val="WenQuanYi Zen Hei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WenQuanYi Zen Hei"/>
        <family val="2"/>
      </rPr>
      <t xml:space="preserve">、利用率、訓練攤提（</t>
    </r>
    <r>
      <rPr>
        <sz val="10"/>
        <color rgb="FF000000"/>
        <rFont val="Arial"/>
        <family val="0"/>
        <charset val="1"/>
      </rPr>
      <t xml:space="preserve">K6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</si>
  <si>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WenQuanYi Zen Hei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WenQuanYi Zen Hei"/>
        <family val="2"/>
      </rPr>
      <t xml:space="preserve">）</t>
    </r>
  </si>
  <si>
    <t xml:space="preserve">L1_Ans6_GPUh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</si>
  <si>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</si>
  <si>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IF_PostShareGPUh_Luna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</si>
  <si>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WenQuanYi Zen Hei"/>
        <family val="2"/>
      </rPr>
      <t xml:space="preserve">逐步能量下限與閉合檢查</t>
    </r>
  </si>
  <si>
    <r>
      <rPr>
        <sz val="9"/>
        <color rgb="FF595959"/>
        <rFont val="WenQuanYi Zen Hei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WenQuanYi Zen Hei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WenQuanYi Zen Hei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WenQuanYi Zen Hei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WenQuanYi Zen Hei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WenQuanYi Zen Hei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</si>
  <si>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</si>
  <si>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</si>
  <si>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</si>
  <si>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</si>
  <si>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</si>
  <si>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WenQuanYi Zen Hei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WenQuanYi Zen Hei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</si>
  <si>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</si>
  <si>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</si>
  <si>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WenQuanYi Zen Hei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WenQuanYi Zen Hei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WenQuanYi Zen Hei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WenQuanYi Zen Hei"/>
        <family val="2"/>
      </rPr>
      <t xml:space="preserve">，以區間表示）</t>
    </r>
  </si>
  <si>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WenQuanYi Zen Hei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WenQuanYi Zen Hei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</si>
  <si>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</si>
  <si>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</si>
  <si>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</si>
  <si>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</si>
  <si>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</si>
  <si>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</si>
  <si>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</si>
  <si>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</si>
  <si>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</si>
  <si>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</si>
  <si>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</si>
  <si>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WenQuanYi Zen Hei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WenQuanYi Zen Hei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WenQuanYi Zen Hei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WenQuanYi Zen Hei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WenQuanYi Zen Hei"/>
        <family val="2"/>
      </rPr>
      <t xml:space="preserve">所屬部落格），軟體成熟度為主要不確定</t>
    </r>
  </si>
  <si>
    <t xml:space="preserve">Google TPU v7 Ironwood</t>
  </si>
  <si>
    <t xml:space="preserve">自用為主，無公開同口徑實測</t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</si>
  <si>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</si>
  <si>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WenQuanYi Zen Hei"/>
        <family val="2"/>
      </rPr>
      <t xml:space="preserve">合約為輸入</t>
    </r>
  </si>
  <si>
    <t xml:space="preserve">Cerebras WSE-3</t>
  </si>
  <si>
    <r>
      <rPr>
        <sz val="9"/>
        <color rgb="FF595959"/>
        <rFont val="WenQuanYi Zen Hei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吞吐低、單用戶速度高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</si>
  <si>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客製</t>
    </r>
  </si>
  <si>
    <r>
      <rPr>
        <sz val="9"/>
        <color rgb="FF595959"/>
        <rFont val="WenQuanYi Zen Hei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WenQuanYi Zen Hei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WenQuanYi Zen Hei"/>
        <family val="2"/>
      </rPr>
      <t xml:space="preserve">）」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</si>
  <si>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WenQuanYi Zen Hei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</si>
  <si>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</si>
  <si>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</si>
  <si>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</si>
  <si>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</si>
  <si>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</si>
  <si>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</si>
  <si>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</si>
  <si>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</si>
  <si>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</si>
  <si>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</si>
  <si>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</si>
  <si>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WenQuanYi Zen Hei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WenQuanYi Zen Hei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WenQuanYi Zen Hei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</si>
  <si>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WenQuanYi Zen Hei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WenQuanYi Zen Hei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WenQuanYi Zen Hei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</si>
  <si>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WenQuanYi Zen Hei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</si>
  <si>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WenQuanYi Zen Hei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</si>
  <si>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</si>
  <si>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</si>
  <si>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WenQuanYi Zen Hei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</si>
  <si>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WenQuanYi Zen Hei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</si>
  <si>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</si>
  <si>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</si>
  <si>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</si>
  <si>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</si>
  <si>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</si>
  <si>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WenQuanYi Zen Hei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WenQuanYi Zen Hei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WenQuanYi Zen Hei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</si>
  <si>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</si>
  <si>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WenQuanYi Zen Hei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WenQuanYi Zen Hei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WenQuanYi Zen Hei"/>
        <family val="2"/>
      </rPr>
      <t xml:space="preserve">／年）</t>
    </r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</si>
  <si>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WenQuanYi Zen Hei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</si>
  <si>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</si>
  <si>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</si>
  <si>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</si>
  <si>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</si>
  <si>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</si>
  <si>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</si>
  <si>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</si>
  <si>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</si>
  <si>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WenQuanYi Zen Hei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</si>
  <si>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WenQuanYi Zen Hei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</si>
  <si>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</si>
  <si>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</si>
  <si>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</si>
  <si>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</si>
  <si>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</si>
  <si>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</si>
  <si>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</si>
  <si>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</si>
  <si>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WenQuanYi Zen Hei"/>
        <family val="2"/>
      </rPr>
      <t xml:space="preserve">交叉檢查（外部數字多為利害關係方或第三方估計，只作方向驗證）</t>
    </r>
  </si>
  <si>
    <t xml:space="preserve">本模型（基準）</t>
  </si>
  <si>
    <t xml:space="preserve">外部參照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</si>
  <si>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總資本支出</t>
    </r>
  </si>
  <si>
    <t xml:space="preserve">黃仁勳 2025-08：每 GW $50–60B（S16，Interested-party；口徑未明）［SRC_DC_010］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</si>
  <si>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WenQuanYi Zen Hei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</si>
  <si>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</si>
  <si>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WenQuanYi Zen Hei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WenQuanYi Zen Hei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WenQuanYi Zen Hei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</si>
  <si>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</si>
  <si>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WenQuanYi Zen Hei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</si>
  <si>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</si>
  <si>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</si>
  <si>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</si>
  <si>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WenQuanYi Zen Hei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WenQuanYi Zen Hei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WenQuanYi Zen Hei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</si>
  <si>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</si>
  <si>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</si>
  <si>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WenQuanYi Zen Hei"/>
        <family val="2"/>
      </rPr>
      <t xml:space="preserve">檢查</t>
    </r>
  </si>
  <si>
    <t xml:space="preserve">本模型</t>
  </si>
  <si>
    <r>
      <rPr>
        <sz val="10"/>
        <color rgb="FF000000"/>
        <rFont val="WenQuanYi Zen Hei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WenQuanYi Zen Hei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</si>
  <si>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</si>
  <si>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</si>
  <si>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</si>
  <si>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</si>
  <si>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WenQuanYi Zen Hei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</si>
  <si>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WenQuanYi Zen Hei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</si>
  <si>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</si>
  <si>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WenQuanYi Zen Hei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</si>
  <si>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WenQuanYi Zen Hei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WenQuanYi Zen Hei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</si>
  <si>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</si>
  <si>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WenQuanYi Zen Hei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</si>
  <si>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WenQuanYi Zen Hei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WenQuanYi Zen Hei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</si>
  <si>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</si>
  <si>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WenQuanYi Zen Hei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</si>
  <si>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</si>
  <si>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</si>
  <si>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WenQuanYi Zen Hei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</si>
  <si>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WenQuanYi Zen Hei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</si>
  <si>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</si>
  <si>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基準）</t>
    </r>
  </si>
  <si>
    <r>
      <rPr>
        <sz val="9"/>
        <color rgb="FF595959"/>
        <rFont val="WenQuanYi Zen Hei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</si>
  <si>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</si>
  <si>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</si>
  <si>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</si>
  <si>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</si>
  <si>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內部常數（</t>
    </r>
    <r>
      <rPr>
        <sz val="9"/>
        <color rgb="FF595959"/>
        <rFont val="Arial"/>
        <family val="0"/>
        <charset val="1"/>
      </rPr>
      <t xml:space="preserve">GB300 2.12 kW/GPU</t>
    </r>
    <r>
      <rPr>
        <sz val="9"/>
        <color rgb="FF595959"/>
        <rFont val="WenQuanYi Zen Hei"/>
        <family val="2"/>
      </rPr>
      <t xml:space="preserve">），非獨立對照：該頁 </t>
    </r>
    <r>
      <rPr>
        <sz val="9"/>
        <color rgb="FF595959"/>
        <rFont val="Arial"/>
        <family val="0"/>
        <charset val="1"/>
      </rPr>
      <t xml:space="preserve">tok/s/MW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tok/s/GPU÷</t>
    </r>
    <r>
      <rPr>
        <sz val="9"/>
        <color rgb="FF595959"/>
        <rFont val="WenQuanYi Zen Hei"/>
        <family val="2"/>
      </rPr>
      <t xml:space="preserve">此常數（</t>
    </r>
    <r>
      <rPr>
        <sz val="9"/>
        <color rgb="FF595959"/>
        <rFont val="Arial"/>
        <family val="0"/>
        <charset val="1"/>
      </rPr>
      <t xml:space="preserve">9,506.83÷4,484,352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2,120 W</t>
    </r>
    <r>
      <rPr>
        <sz val="9"/>
        <color rgb="FF595959"/>
        <rFont val="WenQuanYi Zen Hei"/>
        <family val="2"/>
      </rPr>
      <t xml:space="preserve">），由 </t>
    </r>
    <r>
      <rPr>
        <sz val="9"/>
        <color rgb="FF595959"/>
        <rFont val="Arial"/>
        <family val="0"/>
        <charset val="1"/>
      </rPr>
      <t xml:space="preserve">9,384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4.43M </t>
    </r>
    <r>
      <rPr>
        <sz val="9"/>
        <color rgb="FF595959"/>
        <rFont val="WenQuanYi Zen Hei"/>
        <family val="2"/>
      </rPr>
      <t xml:space="preserve">反推 </t>
    </r>
    <r>
      <rPr>
        <sz val="9"/>
        <color rgb="FF595959"/>
        <rFont val="Arial"/>
        <family val="0"/>
        <charset val="1"/>
      </rPr>
      <t xml:space="preserve">2.12 </t>
    </r>
    <r>
      <rPr>
        <sz val="9"/>
        <color rgb="FF595959"/>
        <rFont val="WenQuanYi Zen Hei"/>
        <family val="2"/>
      </rPr>
      <t xml:space="preserve">是循環；常數是否含設施頁面未載明；不作外部驗證（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</si>
  <si>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</si>
  <si>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WenQuanYi Zen Hei"/>
        <family val="2"/>
      </rPr>
      <t xml:space="preserve">較便宜</t>
    </r>
  </si>
  <si>
    <r>
      <rPr>
        <sz val="10"/>
        <color rgb="FF000000"/>
        <rFont val="WenQuanYi Zen Hei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</si>
  <si>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WenQuanYi Zen Hei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WenQuanYi Zen Hei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</si>
  <si>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</si>
  <si>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WenQuanYi Zen Hei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WenQuanYi Zen Hei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</si>
  <si>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WenQuanYi Zen Hei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WenQuanYi Zen Hei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效率係數</t>
    </r>
  </si>
  <si>
    <t xml:space="preserve">S32</t>
  </si>
  <si>
    <r>
      <rPr>
        <sz val="10"/>
        <color rgb="FF000000"/>
        <rFont val="WenQuanYi Zen Hei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WenQuanYi Zen Hei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</si>
  <si>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WenQuanYi Zen Hei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</si>
  <si>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</si>
  <si>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</si>
  <si>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</si>
  <si>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</si>
  <si>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</si>
  <si>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WenQuanYi Zen Hei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</si>
  <si>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</si>
  <si>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下皆可達；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僅約 </t>
    </r>
    <r>
      <rPr>
        <sz val="9"/>
        <color rgb="FF595959"/>
        <rFont val="Arial"/>
        <family val="0"/>
        <charset val="1"/>
      </rPr>
      <t xml:space="preserve">25 tok/s</t>
    </r>
    <r>
      <rPr>
        <sz val="9"/>
        <color rgb="FF595959"/>
        <rFont val="WenQuanYi Zen Hei"/>
        <family val="2"/>
      </rPr>
      <t xml:space="preserve">，物理上可達但經濟上不可行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</si>
  <si>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</si>
  <si>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WenQuanYi Zen Hei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</si>
  <si>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WenQuanYi Zen Hei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WenQuanYi Zen Hei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WenQuanYi Zen Hei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WenQuanYi Zen Hei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</si>
  <si>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</si>
  <si>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WenQuanYi Zen Hei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WenQuanYi Zen Hei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WenQuanYi Zen Hei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</si>
  <si>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WenQuanYi Zen Hei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分母）</t>
    </r>
  </si>
  <si>
    <r>
      <rPr>
        <sz val="9"/>
        <color rgb="FF595959"/>
        <rFont val="WenQuanYi Zen Hei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WenQuanYi Zen Hei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WenQuanYi Zen Hei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</si>
  <si>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</si>
  <si>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WenQuanYi Zen Hei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</si>
  <si>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WenQuanYi Zen Hei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</si>
  <si>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</si>
  <si>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WenQuanYi Zen Hei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</si>
  <si>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WenQuanYi Zen Hei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</si>
  <si>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</si>
  <si>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</si>
  <si>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WenQuanYi Zen Hei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</si>
  <si>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</si>
  <si>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WenQuanYi Zen Hei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WenQuanYi Zen Hei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</si>
  <si>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</si>
  <si>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WenQuanYi Zen Hei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WenQuanYi Zen Hei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</si>
  <si>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</si>
  <si>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</si>
  <si>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WenQuanYi Zen Hei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</si>
  <si>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WenQuanYi Zen Hei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</si>
  <si>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WenQuanYi Zen Hei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WenQuanYi Zen Hei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</si>
  <si>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WenQuanYi Zen Hei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</si>
  <si>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WenQuanYi Zen Hei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</si>
  <si>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</si>
  <si>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WenQuanYi Zen Hei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</si>
  <si>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</si>
  <si>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WenQuanYi Zen Hei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WenQuanYi Zen Hei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WenQuanYi Zen Hei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WenQuanYi Zen Hei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</si>
  <si>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</si>
  <si>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</si>
  <si>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WenQuanYi Zen Hei"/>
        <family val="2"/>
      </rPr>
      <t xml:space="preserve">年</t>
    </r>
  </si>
  <si>
    <r>
      <rPr>
        <sz val="9"/>
        <color rgb="FF595959"/>
        <rFont val="WenQuanYi Zen Hei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WenQuanYi Zen Hei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快照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</si>
  <si>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WenQuanYi Zen Hei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WenQuanYi Zen Hei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WenQuanYi Zen Hei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</si>
  <si>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</si>
  <si>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WenQuanYi Zen Hei"/>
        <family val="2"/>
      </rPr>
      <t xml:space="preserve">成本（基準利用率）</t>
    </r>
  </si>
  <si>
    <t xml:space="preserve">≈1</t>
  </si>
  <si>
    <r>
      <rPr>
        <sz val="9"/>
        <color rgb="FF595959"/>
        <rFont val="Arial"/>
        <family val="0"/>
        <charset val="1"/>
      </rPr>
      <t xml:space="preserve">≈1</t>
    </r>
    <r>
      <rPr>
        <sz val="9"/>
        <color rgb="FF595959"/>
        <rFont val="WenQuanYi Zen Hei"/>
        <family val="2"/>
      </rPr>
      <t xml:space="preserve">：中國廠商定價接近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級物理成本；前緣由接近成本者決定（</t>
    </r>
    <r>
      <rPr>
        <sz val="9"/>
        <color rgb="FF595959"/>
        <rFont val="Arial"/>
        <family val="0"/>
        <charset val="1"/>
      </rPr>
      <t xml:space="preserve">K4 </t>
    </r>
    <r>
      <rPr>
        <sz val="9"/>
        <color rgb="FF595959"/>
        <rFont val="WenQuanYi Zen Hei"/>
        <family val="2"/>
      </rPr>
      <t xml:space="preserve">理由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</si>
  <si>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</si>
  <si>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</si>
  <si>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WenQuanYi Zen Hei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</si>
  <si>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</si>
  <si>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</si>
  <si>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WenQuanYi Zen Hei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WenQuanYi Zen Hei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</si>
  <si>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WenQuanYi Zen Hei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WenQuanYi Zen Hei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</si>
  <si>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WenQuanYi Zen Hei"/>
        <family val="2"/>
      </rPr>
      <t xml:space="preserve">占機隊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</si>
  <si>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v5.18 D4</t>
    </r>
    <r>
      <rPr>
        <sz val="9"/>
        <color rgb="FF595959"/>
        <rFont val="WenQuanYi Zen Hei"/>
        <family val="2"/>
      </rPr>
      <t xml:space="preserve">）：區間 </t>
    </r>
    <r>
      <rPr>
        <sz val="9"/>
        <color rgb="FF595959"/>
        <rFont val="Arial"/>
        <family val="0"/>
        <charset val="1"/>
      </rPr>
      <t xml:space="preserve">0.5–0.6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WenQuanYi Zen Hei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揭露，至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WenQuanYi Zen Hei"/>
        <family val="2"/>
      </rPr>
      <t xml:space="preserve">累計出貨 </t>
    </r>
    <r>
      <rPr>
        <sz val="9"/>
        <color rgb="FF595959"/>
        <rFont val="Arial"/>
        <family val="0"/>
        <charset val="1"/>
      </rPr>
      <t xml:space="preserve">Hopper 4 M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 3 M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4/7</t>
    </r>
    <r>
      <rPr>
        <sz val="9"/>
        <color rgb="FF595959"/>
        <rFont val="WenQuanYi Zen Hei"/>
        <family val="2"/>
      </rPr>
      <t xml:space="preserve">；全球口徑，非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機隊；證據見 </t>
    </r>
    <r>
      <rPr>
        <sz val="9"/>
        <color rgb="FF595959"/>
        <rFont val="Arial"/>
        <family val="0"/>
        <charset val="1"/>
      </rPr>
      <t xml:space="preserve">DB_Evidence</t>
    </r>
  </si>
  <si>
    <r>
      <rPr>
        <sz val="10"/>
        <color rgb="FF000000"/>
        <rFont val="WenQuanYi Zen Hei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</si>
  <si>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</si>
  <si>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</si>
  <si>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WenQuanYi Zen Hei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</si>
  <si>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WenQuanYi Zen Hei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</si>
  <si>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WenQuanYi Zen Hei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門檻，前緣將下移</t>
    </r>
  </si>
  <si>
    <r>
      <rPr>
        <sz val="10"/>
        <color rgb="FF000000"/>
        <rFont val="WenQuanYi Zen Hei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</si>
  <si>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</si>
  <si>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WenQuanYi Zen Hei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便宜</t>
    </r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</si>
  <si>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</si>
  <si>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1–3</t>
  </si>
  <si>
    <r>
      <rPr>
        <sz val="9"/>
        <color rgb="FF595959"/>
        <rFont val="WenQuanYi Zen Hei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WenQuanYi Zen Hei"/>
        <family val="2"/>
      </rPr>
      <t xml:space="preserve">單一計畫規模偏小或訓練占比偏高</t>
    </r>
  </si>
  <si>
    <t xml:space="preserve">Fleet_1GW</t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</si>
  <si>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</si>
  <si>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0</t>
  </si>
  <si>
    <r>
      <rPr>
        <sz val="10"/>
        <color rgb="FF000000"/>
        <rFont val="WenQuanYi Zen Hei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WenQuanYi Zen Hei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</si>
  <si>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回本所需溢價占單價的比例</t>
  </si>
  <si>
    <t xml:space="preserve">Amortize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</si>
  <si>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</si>
  <si>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WenQuanYi Zen Hei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</si>
  <si>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WenQuanYi Zen Hei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WenQuanYi Zen Hei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</si>
  <si>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WenQuanYi Zen Hei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</si>
  <si>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單價中訓練攤提所占比例</t>
    </r>
  </si>
  <si>
    <r>
      <rPr>
        <sz val="10"/>
        <color rgb="FF000000"/>
        <rFont val="WenQuanYi Zen Hei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</si>
  <si>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WenQuanYi Zen Hei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</si>
  <si>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WenQuanYi Zen Hei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WenQuanYi Zen Hei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</si>
  <si>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</si>
  <si>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WenQuanYi Zen Hei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WenQuanYi Zen Hei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</si>
  <si>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</si>
  <si>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WenQuanYi Zen Hei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</si>
  <si>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</si>
  <si>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</si>
  <si>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</si>
  <si>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WenQuanYi Zen Hei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</si>
  <si>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WenQuanYi Zen Hei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WenQuanYi Zen Hei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WenQuanYi Zen Hei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</si>
  <si>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WenQuanYi Zen Hei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</si>
  <si>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WenQuanYi Zen Hei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</si>
  <si>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WenQuanYi Zen Hei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WenQuanYi Zen Hei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</si>
  <si>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區間）</t>
    </r>
  </si>
  <si>
    <r>
      <rPr>
        <sz val="9"/>
        <color rgb="FF595959"/>
        <rFont val="WenQuanYi Zen Hei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WenQuanYi Zen Hei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WenQuanYi Zen Hei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WenQuanYi Zen Hei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</si>
  <si>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</si>
  <si>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WenQuanYi Zen Hei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</si>
  <si>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</si>
  <si>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WenQuanYi Zen Hei"/>
        <family val="2"/>
      </rPr>
      <t xml:space="preserve">成功率</t>
    </r>
  </si>
  <si>
    <r>
      <rPr>
        <sz val="9"/>
        <color rgb="FF595959"/>
        <rFont val="WenQuanYi Zen Hei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WenQuanYi Zen Hei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WenQuanYi Zen Hei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</si>
  <si>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</si>
  <si>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WenQuanYi Zen Hei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</si>
  <si>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</si>
  <si>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</si>
  <si>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WenQuanYi Zen Hei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</si>
  <si>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WenQuanYi Zen Hei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</si>
  <si>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</si>
  <si>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WenQuanYi Zen Hei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</si>
  <si>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（基準）</t>
    </r>
  </si>
  <si>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</si>
  <si>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</si>
  <si>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</si>
  <si>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</si>
  <si>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WenQuanYi Zen Hei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</si>
  <si>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WenQuanYi Zen Hei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WenQuanYi Zen Hei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WenQuanYi Zen Hei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WenQuanYi Zen Hei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WenQuanYi Zen Hei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WenQuanYi Zen Hei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WenQuanYi Zen Hei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WenQuanYi Zen Hei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</si>
  <si>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</si>
  <si>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</si>
  <si>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</si>
  <si>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</si>
  <si>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</si>
  <si>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</si>
  <si>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WenQuanYi Zen Hei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</si>
  <si>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</si>
  <si>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WenQuanYi Zen Hei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WenQuanYi Zen Hei"/>
        <family val="2"/>
      </rPr>
      <t xml:space="preserve">保留與切片二另計）</t>
    </r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</si>
  <si>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</si>
  <si>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WenQuanYi Zen Hei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</si>
  <si>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</si>
  <si>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</si>
  <si>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</si>
  <si>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WenQuanYi Zen Hei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</si>
  <si>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</si>
  <si>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WenQuanYi Zen Hei"/>
        <family val="2"/>
      </rPr>
      <t xml:space="preserve">缺理由</t>
    </r>
  </si>
  <si>
    <t xml:space="preserve">E5</t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</si>
  <si>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WenQuanYi Zen Hei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</si>
  <si>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t xml:space="preserve">E6</t>
  </si>
  <si>
    <r>
      <rPr>
        <sz val="10"/>
        <color rgb="FF000000"/>
        <rFont val="WenQuanYi Zen Hei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WenQuanYi Zen Hei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WenQuanYi Zen Hei"/>
        <family val="2"/>
      </rPr>
      <t xml:space="preserve">頁</t>
    </r>
  </si>
  <si>
    <t xml:space="preserve">Gov_Map × Decisions</t>
  </si>
  <si>
    <t xml:space="preserve">E7</t>
  </si>
  <si>
    <r>
      <rPr>
        <sz val="10"/>
        <color rgb="FF000000"/>
        <rFont val="WenQuanYi Zen Hei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</si>
  <si>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WenQuanYi Zen Hei"/>
        <family val="2"/>
      </rPr>
      <t xml:space="preserve">欄（逐筆計數，重複者每筆各計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）</t>
    </r>
  </si>
  <si>
    <t xml:space="preserve">E8</t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</si>
  <si>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WenQuanYi Zen Hei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</si>
  <si>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WenQuanYi Zen Hei"/>
        <family val="2"/>
      </rPr>
      <t xml:space="preserve">欄</t>
    </r>
  </si>
  <si>
    <t xml:space="preserve">E9</t>
  </si>
  <si>
    <r>
      <rPr>
        <sz val="10"/>
        <color rgb="FF000000"/>
        <rFont val="WenQuanYi Zen Hei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</si>
  <si>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WenQuanYi Zen Hei"/>
        <family val="2"/>
      </rPr>
      <t xml:space="preserve">類別＝原始數據</t>
    </r>
  </si>
  <si>
    <t xml:space="preserve">E10</t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</si>
  <si>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</si>
  <si>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WenQuanYi Zen Hei"/>
        <family val="2"/>
      </rPr>
      <t xml:space="preserve">數值區間（低、高不分方向）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</si>
  <si>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</si>
  <si>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數值欄不是公式（貼值）</t>
    </r>
  </si>
  <si>
    <r>
      <rPr>
        <sz val="9"/>
        <color rgb="FF595959"/>
        <rFont val="WenQuanYi Zen Hei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WenQuanYi Zen Hei"/>
        <family val="2"/>
      </rPr>
      <t xml:space="preserve">）</t>
    </r>
  </si>
  <si>
    <t xml:space="preserve">E12</t>
  </si>
  <si>
    <r>
      <rPr>
        <sz val="10"/>
        <color rgb="FF000000"/>
        <rFont val="WenQuanYi Zen Hei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WenQuanYi Zen Hei"/>
        <family val="2"/>
      </rPr>
      <t xml:space="preserve">不存在</t>
    </r>
  </si>
  <si>
    <t xml:space="preserve">E13</t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</si>
  <si>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WenQuanYi Zen Hei"/>
        <family val="2"/>
      </rPr>
      <t xml:space="preserve">範圍（需重建）</t>
    </r>
  </si>
  <si>
    <r>
      <rPr>
        <sz val="9"/>
        <color rgb="FF595959"/>
        <rFont val="WenQuanYi Zen Hei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WenQuanYi Zen Hei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WenQuanYi Zen Hei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WenQuanYi Zen Hei"/>
        <family val="2"/>
      </rPr>
      <t xml:space="preserve">）</t>
    </r>
  </si>
  <si>
    <t xml:space="preserve">W1</t>
  </si>
  <si>
    <r>
      <rPr>
        <sz val="10"/>
        <color rgb="FF000000"/>
        <rFont val="WenQuanYi Zen Hei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WenQuanYi Zen Hei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</si>
  <si>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</si>
  <si>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WenQuanYi Zen Hei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WenQuanYi Zen Hei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WenQuanYi Zen Hei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</si>
  <si>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</si>
  <si>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WenQuanYi Zen Hei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</si>
  <si>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WenQuanYi Zen Hei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</si>
  <si>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</si>
  <si>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</si>
  <si>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</si>
  <si>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WenQuanYi Zen Hei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</si>
  <si>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</si>
  <si>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</si>
  <si>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</si>
  <si>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WenQuanYi Zen Hei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</si>
  <si>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WenQuanYi Zen Hei"/>
        <family val="2"/>
      </rPr>
      <t xml:space="preserve">欄</t>
    </r>
  </si>
  <si>
    <t xml:space="preserve">I4</t>
  </si>
  <si>
    <r>
      <rPr>
        <sz val="10"/>
        <color rgb="FF000000"/>
        <rFont val="WenQuanYi Zen Hei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</si>
  <si>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</si>
  <si>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WenQuanYi Zen Hei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</si>
  <si>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WenQuanYi Zen Hei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WenQuanYi Zen Hei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WenQuanYi Zen Hei"/>
        <family val="2"/>
      </rPr>
      <t xml:space="preserve">等）</t>
    </r>
  </si>
  <si>
    <t xml:space="preserve">I6</t>
  </si>
  <si>
    <t xml:space="preserve">結構選擇（無數值區間）</t>
  </si>
  <si>
    <t xml:space="preserve">I7</t>
  </si>
  <si>
    <r>
      <rPr>
        <sz val="10"/>
        <color rgb="FF000000"/>
        <rFont val="WenQuanYi Zen Hei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</si>
  <si>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WenQuanYi Zen Hei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WenQuanYi Zen Hei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WenQuanYi Zen Hei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WenQuanYi Zen Hei"/>
        <family val="2"/>
      </rPr>
      <t xml:space="preserve">補紀錄）</t>
    </r>
  </si>
  <si>
    <t xml:space="preserve">I8</t>
  </si>
  <si>
    <r>
      <rPr>
        <sz val="10"/>
        <color rgb="FF000000"/>
        <rFont val="WenQuanYi Zen Hei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WenQuanYi Zen Hei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</si>
  <si>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WenQuanYi Zen Hei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</si>
  <si>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WenQuanYi Zen Hei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WenQuanYi Zen Hei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WenQuanYi Zen Hei"/>
        <family val="2"/>
      </rPr>
      <t xml:space="preserve">；含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WenQuanYi Zen Hei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WenQuanYi Zen Hei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</si>
  <si>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WenQuanYi Zen Hei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H3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</si>
  <si>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WenQuanYi Zen Hei"/>
        <family val="2"/>
      </rPr>
      <t xml:space="preserve">合計</t>
    </r>
  </si>
  <si>
    <r>
      <rPr>
        <sz val="9"/>
        <color rgb="FF595959"/>
        <rFont val="WenQuanYi Zen Hei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WenQuanYi Zen Hei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WenQuanYi Zen Hei"/>
        <family val="2"/>
      </rPr>
      <t xml:space="preserve">一致）</t>
    </r>
  </si>
  <si>
    <r>
      <rPr>
        <b val="true"/>
        <sz val="10"/>
        <rFont val="Arial"/>
        <family val="0"/>
        <charset val="1"/>
      </rPr>
      <t xml:space="preserve">H. Alloc </t>
    </r>
    <r>
      <rPr>
        <b val="true"/>
        <sz val="10"/>
        <rFont val="WenQuanYi Zen Hei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WenQuanYi Zen Hei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Block 6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v5.16</t>
    </r>
    <r>
      <rPr>
        <b val="true"/>
        <sz val="10"/>
        <rFont val="WenQuanYi Zen Hei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WenQuanYi Zen Hei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WenQuanYi Zen Hei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</t>
    </r>
    <r>
      <rPr>
        <b val="true"/>
        <sz val="10"/>
        <rFont val="WenQuanYi Zen Hei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WenQuanYi Zen Hei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</si>
  <si>
    <t xml:space="preserve">H1</t>
  </si>
  <si>
    <r>
      <rPr>
        <sz val="10"/>
        <color rgb="FF000000"/>
        <rFont val="WenQuanYi Zen Hei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</si>
  <si>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WenQuanYi Zen Hei"/>
        <family val="2"/>
      </rPr>
      <t xml:space="preserve">世代組合四格</t>
    </r>
  </si>
  <si>
    <t xml:space="preserve">H2</t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</si>
  <si>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WenQuanYi Zen Hei"/>
        <family val="2"/>
      </rPr>
      <t xml:space="preserve">節自我檢查不等於基準的列數（兩邊皆為文字時不報錯）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</si>
  <si>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WenQuanYi Zen Hei"/>
        <family val="2"/>
      </rPr>
      <t xml:space="preserve">敏感度表 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WenQuanYi Zen Hei"/>
        <family val="2"/>
      </rPr>
      <t xml:space="preserve">欄（容差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WenQuanYi Zen Hei"/>
        <family val="2"/>
      </rPr>
      <t xml:space="preserve">）</t>
    </r>
  </si>
  <si>
    <t xml:space="preserve">H3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</si>
  <si>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WenQuanYi Zen Hei"/>
        <family val="2"/>
      </rPr>
      <t xml:space="preserve">皆為數字，但不滿足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WenQuanYi Zen Hei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</si>
  <si>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L1 D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WenQuanYi Zen Hei"/>
        <family val="2"/>
      </rPr>
      <t xml:space="preserve">＝高；只用比較、不做算術，故含文字的列不會產生錯誤值，也不套容差）；情境下利用率或成本參數改變時可能合理翻轉，不計入 </t>
    </r>
    <r>
      <rPr>
        <sz val="9"/>
        <color rgb="FF595959"/>
        <rFont val="Arial"/>
        <family val="0"/>
        <charset val="1"/>
      </rPr>
      <t xml:space="preserve">GOV_Errors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</si>
  <si>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WenQuanYi Zen Hei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WenQuanYi Zen Hei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WenQuanYi Zen Hei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</si>
  <si>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WenQuanYi Zen Hei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WenQuanYi Zen Hei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WenQuanYi Zen Hei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WenQuanYi Zen Hei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WenQuanYi Zen Hei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WenQuanYi Zen Hei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WenQuanYi Zen Hei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WenQuanYi Zen Hei"/>
        <family val="2"/>
      </rPr>
      <t xml:space="preserve">欄。區間角色＝低／高者為另一格的端點，不另檢查區間。</t>
    </r>
  </si>
  <si>
    <t xml:space="preserve">GM_ID</t>
  </si>
  <si>
    <t xml:space="preserve">範圍</t>
  </si>
  <si>
    <t xml:space="preserve">格</t>
  </si>
  <si>
    <t xml:space="preserve">列標籤</t>
  </si>
  <si>
    <t xml:space="preserve">類別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</si>
  <si>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</si>
  <si>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WenQuanYi Zen Hei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</si>
  <si>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</si>
  <si>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</si>
  <si>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</si>
  <si>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</si>
  <si>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</si>
  <si>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WenQuanYi Zen Hei"/>
        <family val="2"/>
      </rPr>
      <t xml:space="preserve">敏感度分段</t>
    </r>
  </si>
  <si>
    <t xml:space="preserve">模型值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</si>
  <si>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WenQuanYi Zen Hei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</si>
  <si>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WenQuanYi Zen Hei"/>
        <family val="2"/>
      </rPr>
      <t xml:space="preserve">狀態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</si>
  <si>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WenQuanYi Zen Hei"/>
        <family val="2"/>
      </rPr>
      <t xml:space="preserve">等級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</si>
  <si>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</si>
  <si>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WenQuanYi Zen Hei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</si>
  <si>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WenQuanYi Zen Hei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</si>
  <si>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WenQuanYi Zen Hei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</si>
  <si>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WenQuanYi Zen Hei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</si>
  <si>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WenQuanYi Zen Hei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</si>
  <si>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WenQuanYi Zen Hei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WenQuanYi Zen Hei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</si>
  <si>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WenQuanYi Zen Hei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</si>
  <si>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WenQuanYi Zen Hei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</si>
  <si>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WenQuanYi Zen Hei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WenQuanYi Zen Hei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</si>
  <si>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WenQuanYi Zen Hei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</si>
  <si>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WenQuanYi Zen Hei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WenQuanYi Zen Hei"/>
        <family val="2"/>
      </rPr>
      <t xml:space="preserve">）</t>
    </r>
  </si>
  <si>
    <t xml:space="preserve">GM001</t>
  </si>
  <si>
    <t xml:space="preserve">切片一</t>
  </si>
  <si>
    <t xml:space="preserve">Inputs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</si>
  <si>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</si>
  <si>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</si>
  <si>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WenQuanYi Zen Hei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輸出已除以本格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全欄分段，非分段依據）：低</t>
    </r>
  </si>
  <si>
    <t xml:space="preserve">無</t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</si>
  <si>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</si>
  <si>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</si>
  <si>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</si>
  <si>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WenQuanYi Zen Hei"/>
        <family val="2"/>
      </rPr>
      <t xml:space="preserve">功率情境</t>
    </r>
  </si>
  <si>
    <t xml:space="preserve">GM003</t>
  </si>
  <si>
    <t xml:space="preserve">5–12%</t>
  </si>
  <si>
    <t xml:space="preserve">GM004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</si>
  <si>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WenQuanYi Zen Hei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</t>
    </r>
  </si>
  <si>
    <t xml:space="preserve">GM005</t>
  </si>
  <si>
    <t xml:space="preserve">D9</t>
  </si>
  <si>
    <t xml:space="preserve">GM006</t>
  </si>
  <si>
    <t xml:space="preserve">F9</t>
  </si>
  <si>
    <t xml:space="preserve">GM007</t>
  </si>
  <si>
    <t xml:space="preserve">GM008</t>
  </si>
  <si>
    <t xml:space="preserve">D10</t>
  </si>
  <si>
    <t xml:space="preserve">GM009</t>
  </si>
  <si>
    <t xml:space="preserve">F10</t>
  </si>
  <si>
    <t xml:space="preserve">GM010</t>
  </si>
  <si>
    <t xml:space="preserve">SRC_DC_006</t>
  </si>
  <si>
    <t xml:space="preserve">可比</t>
  </si>
  <si>
    <t xml:space="preserve">GM011</t>
  </si>
  <si>
    <t xml:space="preserve">D11</t>
  </si>
  <si>
    <t xml:space="preserve">GM012</t>
  </si>
  <si>
    <t xml:space="preserve">F11</t>
  </si>
  <si>
    <t xml:space="preserve">GM013</t>
  </si>
  <si>
    <t xml:space="preserve">SRC_DC_001</t>
  </si>
  <si>
    <t xml:space="preserve">GM014</t>
  </si>
  <si>
    <t xml:space="preserve">D13</t>
  </si>
  <si>
    <t xml:space="preserve">GM015</t>
  </si>
  <si>
    <t xml:space="preserve">F13</t>
  </si>
  <si>
    <t xml:space="preserve">SRC_DC_002</t>
  </si>
  <si>
    <t xml:space="preserve">直接</t>
  </si>
  <si>
    <t xml:space="preserve">連結 SRC（G1） ｜補充旗標（IF 全欄分段，非分段依據）：中</t>
  </si>
  <si>
    <r>
      <rPr>
        <sz val="10"/>
        <color rgb="FF000000"/>
        <rFont val="WenQuanYi Zen Hei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</si>
  <si>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</si>
  <si>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E14</t>
  </si>
  <si>
    <t xml:space="preserve">GM017</t>
  </si>
  <si>
    <t xml:space="preserve">D14</t>
  </si>
  <si>
    <t xml:space="preserve">GM018</t>
  </si>
  <si>
    <t xml:space="preserve">F14</t>
  </si>
  <si>
    <t xml:space="preserve">GM019</t>
  </si>
  <si>
    <t xml:space="preserve">E16</t>
  </si>
  <si>
    <t xml:space="preserve">GM020</t>
  </si>
  <si>
    <t xml:space="preserve">D16</t>
  </si>
  <si>
    <t xml:space="preserve">GM021</t>
  </si>
  <si>
    <t xml:space="preserve">F16</t>
  </si>
  <si>
    <t xml:space="preserve">GM022</t>
  </si>
  <si>
    <t xml:space="preserve">E17</t>
  </si>
  <si>
    <t xml:space="preserve">GM023</t>
  </si>
  <si>
    <t xml:space="preserve">D17</t>
  </si>
  <si>
    <t xml:space="preserve">GM024</t>
  </si>
  <si>
    <t xml:space="preserve">F17</t>
  </si>
  <si>
    <t xml:space="preserve">GM025</t>
  </si>
  <si>
    <t xml:space="preserve">E18</t>
  </si>
  <si>
    <t xml:space="preserve">分項為假設；總額以 JLL 校準（S12 → SRC_DC_003）</t>
  </si>
  <si>
    <t xml:space="preserve">中</t>
  </si>
  <si>
    <t xml:space="preserve">GM026</t>
  </si>
  <si>
    <t xml:space="preserve">D18</t>
  </si>
  <si>
    <t xml:space="preserve">GM027</t>
  </si>
  <si>
    <t xml:space="preserve">F18</t>
  </si>
  <si>
    <t xml:space="preserve">GM028</t>
  </si>
  <si>
    <t xml:space="preserve">E19</t>
  </si>
  <si>
    <t xml:space="preserve">GM029</t>
  </si>
  <si>
    <t xml:space="preserve">D19</t>
  </si>
  <si>
    <t xml:space="preserve">GM030</t>
  </si>
  <si>
    <t xml:space="preserve">F19</t>
  </si>
  <si>
    <t xml:space="preserve">GM031</t>
  </si>
  <si>
    <t xml:space="preserve">E20</t>
  </si>
  <si>
    <t xml:space="preserve">同第 17–19 列：分項假設、總額以 JLL 校準</t>
  </si>
  <si>
    <t xml:space="preserve">GM032</t>
  </si>
  <si>
    <t xml:space="preserve">D20</t>
  </si>
  <si>
    <t xml:space="preserve">GM033</t>
  </si>
  <si>
    <t xml:space="preserve">F20</t>
  </si>
  <si>
    <t xml:space="preserve">GM034</t>
  </si>
  <si>
    <t xml:space="preserve">E21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</si>
  <si>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WenQuanYi Zen Hei"/>
        <family val="2"/>
      </rPr>
      <t xml:space="preserve">；工程預備費慣例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全欄分段，非分段依據）：中</t>
    </r>
  </si>
  <si>
    <t xml:space="preserve">GM035</t>
  </si>
  <si>
    <t xml:space="preserve">D21</t>
  </si>
  <si>
    <t xml:space="preserve">GM036</t>
  </si>
  <si>
    <t xml:space="preserve">F21</t>
  </si>
  <si>
    <t xml:space="preserve">GM037</t>
  </si>
  <si>
    <t xml:space="preserve">E28</t>
  </si>
  <si>
    <t xml:space="preserve">GM038</t>
  </si>
  <si>
    <t xml:space="preserve">D28</t>
  </si>
  <si>
    <t xml:space="preserve">GM039</t>
  </si>
  <si>
    <t xml:space="preserve">F28</t>
  </si>
  <si>
    <t xml:space="preserve">GM040</t>
  </si>
  <si>
    <t xml:space="preserve">E30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</si>
  <si>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3% </t>
    </r>
    <r>
      <rPr>
        <sz val="10"/>
        <color rgb="FF000000"/>
        <rFont val="WenQuanYi Zen Hei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全欄分段，非分段依據）：中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</si>
  <si>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WenQuanYi Zen Hei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</t>
    </r>
  </si>
  <si>
    <t xml:space="preserve">GM041</t>
  </si>
  <si>
    <t xml:space="preserve">D30</t>
  </si>
  <si>
    <t xml:space="preserve">GM042</t>
  </si>
  <si>
    <t xml:space="preserve">F30</t>
  </si>
  <si>
    <t xml:space="preserve">GM043</t>
  </si>
  <si>
    <t xml:space="preserve">E31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</si>
  <si>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WenQuanYi Zen Hei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</t>
    </r>
  </si>
  <si>
    <t xml:space="preserve">GM044</t>
  </si>
  <si>
    <t xml:space="preserve">D31</t>
  </si>
  <si>
    <t xml:space="preserve">GM045</t>
  </si>
  <si>
    <t xml:space="preserve">F31</t>
  </si>
  <si>
    <t xml:space="preserve">GM046</t>
  </si>
  <si>
    <t xml:space="preserve">E32</t>
  </si>
  <si>
    <t xml:space="preserve">GM047</t>
  </si>
  <si>
    <t xml:space="preserve">D32</t>
  </si>
  <si>
    <t xml:space="preserve">GM048</t>
  </si>
  <si>
    <t xml:space="preserve">F32</t>
  </si>
  <si>
    <t xml:space="preserve">GM049</t>
  </si>
  <si>
    <t xml:space="preserve">E33</t>
  </si>
  <si>
    <t xml:space="preserve">GM050</t>
  </si>
  <si>
    <t xml:space="preserve">D33</t>
  </si>
  <si>
    <t xml:space="preserve">GM051</t>
  </si>
  <si>
    <t xml:space="preserve">F33</t>
  </si>
  <si>
    <t xml:space="preserve">GM052</t>
  </si>
  <si>
    <t xml:space="preserve">E34</t>
  </si>
  <si>
    <t xml:space="preserve">GM053</t>
  </si>
  <si>
    <t xml:space="preserve">D34</t>
  </si>
  <si>
    <t xml:space="preserve">GM054</t>
  </si>
  <si>
    <t xml:space="preserve">F34</t>
  </si>
  <si>
    <t xml:space="preserve">GM055</t>
  </si>
  <si>
    <t xml:space="preserve">E35</t>
  </si>
  <si>
    <t xml:space="preserve">GM056</t>
  </si>
  <si>
    <t xml:space="preserve">D35</t>
  </si>
  <si>
    <t xml:space="preserve">GM057</t>
  </si>
  <si>
    <t xml:space="preserve">F35</t>
  </si>
  <si>
    <t xml:space="preserve">GM058</t>
  </si>
  <si>
    <t xml:space="preserve">D23</t>
  </si>
  <si>
    <t xml:space="preserve">SRC_DC_007</t>
  </si>
  <si>
    <t xml:space="preserve">D4</t>
  </si>
  <si>
    <t xml:space="preserve">連結 SRC（G1）</t>
  </si>
  <si>
    <t xml:space="preserve">GM059</t>
  </si>
  <si>
    <t xml:space="preserve">E23</t>
  </si>
  <si>
    <t xml:space="preserve">GM060</t>
  </si>
  <si>
    <t xml:space="preserve">F23</t>
  </si>
  <si>
    <t xml:space="preserve">SRC_DC_008</t>
  </si>
  <si>
    <t xml:space="preserve">GM061</t>
  </si>
  <si>
    <t xml:space="preserve">E24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</si>
  <si>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</si>
  <si>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建物年限：v4＝30；一般商用建物 25–40 年</t>
  </si>
  <si>
    <t xml:space="preserve">GM062</t>
  </si>
  <si>
    <t xml:space="preserve">E25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</si>
  <si>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</si>
  <si>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電力設施年限：v4＝20；變電與 UPS 15–25 年</t>
  </si>
  <si>
    <t xml:space="preserve">GM063</t>
  </si>
  <si>
    <t xml:space="preserve">E26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</si>
  <si>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</si>
  <si>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機械與散熱年限：v4＝15；液冷設備 10–20 年</t>
  </si>
  <si>
    <t xml:space="preserve">GM064</t>
  </si>
  <si>
    <t xml:space="preserve">E27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</si>
  <si>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</si>
  <si>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</si>
  <si>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</si>
  <si>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Spec_Rack</t>
  </si>
  <si>
    <t xml:space="preserve">C6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</si>
  <si>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</si>
  <si>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WenQuanYi Zen Hei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WenQuanYi Zen Hei"/>
        <family val="2"/>
      </rPr>
      <t xml:space="preserve">）</t>
    </r>
  </si>
  <si>
    <t xml:space="preserve">GM066</t>
  </si>
  <si>
    <t xml:space="preserve">D6</t>
  </si>
  <si>
    <t xml:space="preserve">SRC_HW_047</t>
  </si>
  <si>
    <t xml:space="preserve">GM067</t>
  </si>
  <si>
    <t xml:space="preserve">GM068</t>
  </si>
  <si>
    <t xml:space="preserve">F6</t>
  </si>
  <si>
    <t xml:space="preserve">GM069</t>
  </si>
  <si>
    <t xml:space="preserve">G6</t>
  </si>
  <si>
    <t xml:space="preserve">SRC_HW_061</t>
  </si>
  <si>
    <t xml:space="preserve">GM070</t>
  </si>
  <si>
    <t xml:space="preserve">C8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</si>
  <si>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WenQuanYi Zen Hei"/>
        <family val="2"/>
      </rPr>
      <t xml:space="preserve">下修</t>
    </r>
  </si>
  <si>
    <t xml:space="preserve">GM071</t>
  </si>
  <si>
    <t xml:space="preserve">D8</t>
  </si>
  <si>
    <t xml:space="preserve">SRC_HW_004</t>
  </si>
  <si>
    <t xml:space="preserve">GM072</t>
  </si>
  <si>
    <t xml:space="preserve">SRC_HW_005</t>
  </si>
  <si>
    <t xml:space="preserve">GM073</t>
  </si>
  <si>
    <t xml:space="preserve">F8</t>
  </si>
  <si>
    <t xml:space="preserve">SRC_HW_011</t>
  </si>
  <si>
    <t xml:space="preserve">GM074</t>
  </si>
  <si>
    <t xml:space="preserve">G8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</si>
  <si>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WenQuanYi Zen Hei"/>
        <family val="2"/>
      </rPr>
      <t xml:space="preserve">＝舊路線圖 </t>
    </r>
    <r>
      <rPr>
        <sz val="10"/>
        <color rgb="FF000000"/>
        <rFont val="Arial"/>
        <family val="0"/>
        <charset val="1"/>
      </rPr>
      <t xml:space="preserve">600 kW × 72/144</t>
    </r>
    <r>
      <rPr>
        <sz val="10"/>
        <color rgb="FF000000"/>
        <rFont val="WenQuanYi Zen Hei"/>
        <family val="2"/>
      </rPr>
      <t xml:space="preserve">（每封裝功率等比）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未公布單架 </t>
    </r>
    <r>
      <rPr>
        <sz val="10"/>
        <color rgb="FF000000"/>
        <rFont val="Arial"/>
        <family val="0"/>
        <charset val="1"/>
      </rPr>
      <t xml:space="preserve">kW</t>
    </r>
  </si>
  <si>
    <t xml:space="preserve">GM075</t>
  </si>
  <si>
    <t xml:space="preserve">C9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</si>
  <si>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</si>
  <si>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</si>
  <si>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</si>
  <si>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</si>
  <si>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</si>
  <si>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直接（SRC_HW_004 上緣 132；HPE QuickSpecs V6 TDP 132 kW nominal）</t>
  </si>
  <si>
    <t xml:space="preserve">v5.18 G2：基準 132＝SRC_HW_004 上緣（連結）；低 120（SemiAnalysis）；高 140 為 Assumed</t>
  </si>
  <si>
    <t xml:space="preserve">GM077</t>
  </si>
  <si>
    <t xml:space="preserve">Derived：區間中點 (132＋140)/2＝136</t>
  </si>
  <si>
    <t xml:space="preserve">v5.18 G3：基準 136＝SRC_HW_005 區間 132–140（wing.vc）中點 [Derived]</t>
  </si>
  <si>
    <r>
      <rPr>
        <sz val="10"/>
        <color rgb="FF000000"/>
        <rFont val="WenQuanYi Zen Hei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保留）→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G3</t>
    </r>
    <r>
      <rPr>
        <sz val="10"/>
        <color rgb="FF000000"/>
        <rFont val="WenQuanYi Zen Hei"/>
        <family val="2"/>
      </rPr>
      <t xml:space="preserve">）</t>
    </r>
  </si>
  <si>
    <t xml:space="preserve">GM078</t>
  </si>
  <si>
    <t xml:space="preserve">SRC_HW_014</t>
  </si>
  <si>
    <t xml:space="preserve">GM079</t>
  </si>
  <si>
    <t xml:space="preserve">G9</t>
  </si>
  <si>
    <t xml:space="preserve">換算（72×3.6 kW GPU＋VR 機架非 GPU 功率 61–97 kW → 320–357，取 340）</t>
  </si>
  <si>
    <t xml:space="preserve">v5.18 RU：基準 340＝72×3.6 kW ＋ (227 − 72×1.8–2.3 kW)＝320–357 取 340 [Derived]；SRC_HW_013（單架 600 kW）已 Superseded</t>
  </si>
  <si>
    <r>
      <rPr>
        <sz val="10"/>
        <color rgb="FF000000"/>
        <rFont val="WenQuanYi Zen Hei"/>
        <family val="2"/>
      </rPr>
      <t xml:space="preserve">原始數據→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WenQuanYi Zen Hei"/>
        <family val="2"/>
      </rPr>
      <t xml:space="preserve">）</t>
    </r>
  </si>
  <si>
    <t xml:space="preserve">GM080</t>
  </si>
  <si>
    <t xml:space="preserve">C10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</si>
  <si>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WenQuanYi Zen Hei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</si>
  <si>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</si>
  <si>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WenQuanYi Zen Hei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WenQuanYi Zen Hei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</si>
  <si>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</si>
  <si>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</si>
  <si>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</si>
  <si>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</si>
  <si>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t xml:space="preserve">G10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</si>
  <si>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454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259 kW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72×3.6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VR </t>
    </r>
    <r>
      <rPr>
        <sz val="10"/>
        <color rgb="FF000000"/>
        <rFont val="WenQuanYi Zen Hei"/>
        <family val="2"/>
      </rPr>
      <t xml:space="preserve">整架／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功率比值 </t>
    </r>
    <r>
      <rPr>
        <sz val="10"/>
        <color rgb="FF000000"/>
        <rFont val="Arial"/>
        <family val="0"/>
        <charset val="1"/>
      </rPr>
      <t xml:space="preserve">227/(72×1.8)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1.75 [Derived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Analogy]</t>
    </r>
  </si>
  <si>
    <t xml:space="preserve">GM085</t>
  </si>
  <si>
    <t xml:space="preserve">C11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</si>
  <si>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</si>
  <si>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</si>
  <si>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 ｜補充旗標（IF 全欄分段，非分段依據）：高</t>
  </si>
  <si>
    <t xml:space="preserve">GM086</t>
  </si>
  <si>
    <t xml:space="preserve">SRC_HW_006</t>
  </si>
  <si>
    <t xml:space="preserve">連結 SRC（G1） ｜補充旗標（IF 全欄分段，非分段依據）：高</t>
  </si>
  <si>
    <t xml:space="preserve">GM087</t>
  </si>
  <si>
    <t xml:space="preserve">SRC_HW_052</t>
  </si>
  <si>
    <t xml:space="preserve">GM088</t>
  </si>
  <si>
    <t xml:space="preserve">SRC_HW_015</t>
  </si>
  <si>
    <t xml:space="preserve">Derived：MS BOM 7.8（零毛利下限；r3 I2）</t>
  </si>
  <si>
    <t xml:space="preserve">v5.18 G4／I2：低 7.8＝MS BOM（零毛利下限；BOM 本身為分析師估計，區間保留其不確定）；原 6.7（SRC_HW_016）不再連結 ｜補充旗標（IF 全欄分段，非分段依據）：高</t>
  </si>
  <si>
    <r>
      <rPr>
        <sz val="10"/>
        <color rgb="FF000000"/>
        <rFont val="WenQuanYi Zen Hei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保留）→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G4</t>
    </r>
    <r>
      <rPr>
        <sz val="10"/>
        <color rgb="FF000000"/>
        <rFont val="WenQuanYi Zen Hei"/>
        <family val="2"/>
      </rPr>
      <t xml:space="preserve">）</t>
    </r>
  </si>
  <si>
    <t xml:space="preserve">GM089</t>
  </si>
  <si>
    <t xml:space="preserve">G11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</si>
  <si>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WenQuanYi Zen Hei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WenQuanYi Zen Hei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</si>
  <si>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（倍數）＋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F12 </t>
    </r>
    <r>
      <rPr>
        <sz val="10"/>
        <color rgb="FF000000"/>
        <rFont val="WenQuanYi Zen Hei"/>
        <family val="2"/>
      </rPr>
      <t xml:space="preserve">為底；</t>
    </r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WenQuanYi Zen Hei"/>
        <family val="2"/>
      </rPr>
      <t xml:space="preserve">）</t>
    </r>
  </si>
  <si>
    <t xml:space="preserve">公式</t>
  </si>
  <si>
    <t xml:space="preserve">GM090</t>
  </si>
  <si>
    <t xml:space="preserve">C12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</si>
  <si>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</si>
  <si>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</si>
  <si>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</si>
  <si>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D12</t>
  </si>
  <si>
    <t xml:space="preserve">區間中點</t>
  </si>
  <si>
    <t xml:space="preserve">值與來源不等（區間中點）：Stage 1 保留藍字，Stage 2 逐筆決定（G0-2）</t>
  </si>
  <si>
    <t xml:space="preserve">GM092</t>
  </si>
  <si>
    <t xml:space="preserve">SRC_HW_010</t>
  </si>
  <si>
    <t xml:space="preserve">GM093</t>
  </si>
  <si>
    <t xml:space="preserve">F12</t>
  </si>
  <si>
    <t xml:space="preserve">Derived：MS BOM 7.8 ×（1＋代工毛利 7.5%，Assumed）＝8.4</t>
  </si>
  <si>
    <t xml:space="preserve">v5.18 G4：基準 8.4＝7.8 × (1＋7.5%)；7.8 為 Morgan Stanley 成本（BOM），不是售價，差距以代工毛利假設補（Assumed，區間 5–10%）；低 7.8、高 9.1</t>
  </si>
  <si>
    <r>
      <rPr>
        <sz val="10"/>
        <color rgb="FF000000"/>
        <rFont val="WenQuanYi Zen Hei"/>
        <family val="2"/>
      </rPr>
      <t xml:space="preserve">原始數據→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G4</t>
    </r>
    <r>
      <rPr>
        <sz val="10"/>
        <color rgb="FF000000"/>
        <rFont val="WenQuanYi Zen Hei"/>
        <family val="2"/>
      </rPr>
      <t xml:space="preserve">）</t>
    </r>
  </si>
  <si>
    <t xml:space="preserve">GM094</t>
  </si>
  <si>
    <t xml:space="preserve">G12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</si>
  <si>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G12 </t>
    </r>
    <r>
      <rPr>
        <sz val="10"/>
        <color rgb="FF000000"/>
        <rFont val="WenQuanYi Zen Hei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WenQuanYi Zen Hei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尚未定價，無外部報價（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已記查詢詞）</t>
    </r>
  </si>
  <si>
    <t xml:space="preserve">GM095</t>
  </si>
  <si>
    <t xml:space="preserve">C13</t>
  </si>
  <si>
    <t xml:space="preserve">換算取整（$320K × 4 → 1.3）</t>
  </si>
  <si>
    <t xml:space="preserve">值與來源不等（換算取整（$320K × 4 → 1.3））：Stage 1 保留藍字，Stage 2 逐筆決定（G0-2） ｜補充旗標（IF 全欄分段，非分段依據）：高</t>
  </si>
  <si>
    <t xml:space="preserve">GM096</t>
  </si>
  <si>
    <t xml:space="preserve">GM097</t>
  </si>
  <si>
    <t xml:space="preserve">SRC_HW_007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</si>
  <si>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</si>
  <si>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</si>
  <si>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</si>
  <si>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 ｜補充旗標（IF 全欄分段，非分段依據）：高</t>
  </si>
  <si>
    <t xml:space="preserve">GM099</t>
  </si>
  <si>
    <t xml:space="preserve">G13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</si>
  <si>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2.5</t>
    </r>
    <r>
      <rPr>
        <sz val="10"/>
        <color rgb="FF000000"/>
        <rFont val="WenQuanYi Zen Hei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WenQuanYi Zen Hei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</si>
  <si>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GM100</t>
  </si>
  <si>
    <t xml:space="preserve">C23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</si>
  <si>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</si>
  <si>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</si>
  <si>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</si>
  <si>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</si>
  <si>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</si>
  <si>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</si>
  <si>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</si>
  <si>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</si>
  <si>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</si>
  <si>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G23</t>
  </si>
  <si>
    <t xml:space="preserve">SRC_HW_063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</si>
  <si>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 × VR NVFP4 </t>
    </r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35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2,520 PF ÷ 72</t>
    </r>
    <r>
      <rPr>
        <sz val="10"/>
        <color rgb="FF000000"/>
        <rFont val="WenQuanYi Zen Hei"/>
        <family val="2"/>
      </rPr>
      <t xml:space="preserve">，註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WenQuanYi Zen Hei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Ultra 4 die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Rubin 2 die</t>
    </r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</si>
  <si>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</si>
  <si>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 × 35 [Derived]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未直接公布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每封裝 </t>
    </r>
    <r>
      <rPr>
        <sz val="10"/>
        <color rgb="FF000000"/>
        <rFont val="Arial"/>
        <family val="0"/>
        <charset val="1"/>
      </rPr>
      <t xml:space="preserve">NVFP4 dense </t>
    </r>
    <r>
      <rPr>
        <sz val="10"/>
        <color rgb="FF000000"/>
        <rFont val="WenQuanYi Zen Hei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</si>
  <si>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WenQuanYi Zen Hei"/>
        <family val="2"/>
      </rPr>
      <t xml:space="preserve">）</t>
    </r>
  </si>
  <si>
    <t xml:space="preserve">GM105</t>
  </si>
  <si>
    <t xml:space="preserve">C24</t>
  </si>
  <si>
    <t xml:space="preserve">峰值（高情境：NVFP4 推論口徑）PF/GPU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</si>
  <si>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（公式）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</si>
  <si>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WenQuanYi Zen Hei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改公式）</t>
    </r>
  </si>
  <si>
    <t xml:space="preserve">GM106</t>
  </si>
  <si>
    <t xml:space="preserve">D24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</si>
  <si>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</si>
  <si>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</si>
  <si>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</si>
  <si>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</si>
  <si>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</si>
  <si>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G24</t>
  </si>
  <si>
    <t xml:space="preserve">Derived：2 × VR NVFP4 推論 50（Sparse；3,600 PF ÷ 72）＝100</t>
  </si>
  <si>
    <t xml:space="preserve">v5.18 RU：100＝2 × 50 [Derived]；SRC_HW_031（15 EF ÷ 144＝104）屬 Kyber 舊路線圖，差 4%</t>
  </si>
  <si>
    <r>
      <rPr>
        <sz val="10"/>
        <color rgb="FF000000"/>
        <rFont val="WenQuanYi Zen Hei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保留）→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WenQuanYi Zen Hei"/>
        <family val="2"/>
      </rPr>
      <t xml:space="preserve">）</t>
    </r>
  </si>
  <si>
    <t xml:space="preserve">GM110</t>
  </si>
  <si>
    <t xml:space="preserve">C25</t>
  </si>
  <si>
    <t xml:space="preserve">SRC_HW_020</t>
  </si>
  <si>
    <t xml:space="preserve">GM111</t>
  </si>
  <si>
    <t xml:space="preserve">D25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</si>
  <si>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</si>
  <si>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</si>
  <si>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 ｜補充旗標（IF 全欄分段，非分段依據）：高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</si>
  <si>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</si>
  <si>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</si>
  <si>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</si>
  <si>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</si>
  <si>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</si>
  <si>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</si>
  <si>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t xml:space="preserve">G25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</si>
  <si>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WenQuanYi Zen Hei"/>
        <family val="2"/>
      </rPr>
      <t xml:space="preserve">），不進基準比較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</si>
  <si>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GM115</t>
  </si>
  <si>
    <t xml:space="preserve">C26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</si>
  <si>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</si>
  <si>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</si>
  <si>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</si>
  <si>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</si>
  <si>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</si>
  <si>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</si>
  <si>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</si>
  <si>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</si>
  <si>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</si>
  <si>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</si>
  <si>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G26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</si>
  <si>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</si>
  <si>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</si>
  <si>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 ｜補充旗標（IF 全欄分段，非分段依據）：高</t>
  </si>
  <si>
    <t xml:space="preserve">GM120</t>
  </si>
  <si>
    <t xml:space="preserve">C27</t>
  </si>
  <si>
    <t xml:space="preserve">SRC_HW_060</t>
  </si>
  <si>
    <t xml:space="preserve">公式換算</t>
  </si>
  <si>
    <t xml:space="preserve">GM121</t>
  </si>
  <si>
    <t xml:space="preserve">D27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</si>
  <si>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</si>
  <si>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</si>
  <si>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</si>
  <si>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</si>
  <si>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</si>
  <si>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</si>
  <si>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t xml:space="preserve">G27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</si>
  <si>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</si>
  <si>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WenQuanYi Zen Hei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WenQuanYi Zen Hei"/>
        <family val="2"/>
      </rPr>
      <t xml:space="preserve">未公布</t>
    </r>
  </si>
  <si>
    <t xml:space="preserve">GM125</t>
  </si>
  <si>
    <t xml:space="preserve">C28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</si>
  <si>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</si>
  <si>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</si>
  <si>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</si>
  <si>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</si>
  <si>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</si>
  <si>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</si>
  <si>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SRC_HW_062</t>
  </si>
  <si>
    <r>
      <rPr>
        <sz val="10"/>
        <color rgb="FF000000"/>
        <rFont val="WenQuanYi Zen Hei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WenQuanYi Zen Hei"/>
        <family val="2"/>
      </rPr>
      <t xml:space="preserve">＝單架內全互連；高 </t>
    </r>
    <r>
      <rPr>
        <sz val="10"/>
        <color rgb="FF000000"/>
        <rFont val="Arial"/>
        <family val="0"/>
        <charset val="1"/>
      </rPr>
      <t xml:space="preserve">576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NVL576 </t>
    </r>
    <r>
      <rPr>
        <sz val="10"/>
        <color rgb="FF000000"/>
        <rFont val="WenQuanYi Zen Hei"/>
        <family val="2"/>
      </rPr>
      <t xml:space="preserve">兩層 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WenQuanYi Zen Hei"/>
        <family val="2"/>
      </rPr>
      <t xml:space="preserve">域（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）</t>
    </r>
  </si>
  <si>
    <t xml:space="preserve">GM130</t>
  </si>
  <si>
    <t xml:space="preserve">C29</t>
  </si>
  <si>
    <t xml:space="preserve">SRC_PERF_051</t>
  </si>
  <si>
    <t xml:space="preserve">可比（DeepSeek H800 decode EP144，18 節點）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</si>
  <si>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</si>
  <si>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WenQuanYi Zen Hei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</si>
  <si>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GM131</t>
  </si>
  <si>
    <t xml:space="preserve">D29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</si>
  <si>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</si>
  <si>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</si>
  <si>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WenQuanYi Zen Hei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</si>
  <si>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WenQuanYi Zen Hei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</si>
  <si>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GM132</t>
  </si>
  <si>
    <t xml:space="preserve">E29</t>
  </si>
  <si>
    <t xml:space="preserve">GM133</t>
  </si>
  <si>
    <t xml:space="preserve">F29</t>
  </si>
  <si>
    <t xml:space="preserve">GM134</t>
  </si>
  <si>
    <t xml:space="preserve">G29</t>
  </si>
  <si>
    <t xml:space="preserve">GM135</t>
  </si>
  <si>
    <t xml:space="preserve">C30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</si>
  <si>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</si>
  <si>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</si>
  <si>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</si>
  <si>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</si>
  <si>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</si>
  <si>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</si>
  <si>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</si>
  <si>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</si>
  <si>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</si>
  <si>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C31</t>
  </si>
  <si>
    <t xml:space="preserve">非專家權重 bytes/param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</si>
  <si>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WenQuanYi Zen Hei"/>
        <family val="2"/>
      </rPr>
      <t xml:space="preserve">）</t>
    </r>
  </si>
  <si>
    <t xml:space="preserve">注意力、路由、embedding 以 FP8 存放；原標 Analogy V4，無 SRC 紀錄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</si>
  <si>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WenQuanYi Zen Hei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</si>
  <si>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</si>
  <si>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</si>
  <si>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</si>
  <si>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</si>
  <si>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G31</t>
  </si>
  <si>
    <t xml:space="preserve">GM145</t>
  </si>
  <si>
    <t xml:space="preserve">C32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</si>
  <si>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</si>
  <si>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</si>
  <si>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WenQuanYi Zen Hei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</si>
  <si>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</si>
  <si>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</si>
  <si>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</si>
  <si>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</si>
  <si>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WenQuanYi Zen Hei"/>
        <family val="2"/>
      </rPr>
      <t xml:space="preserve">）</t>
    </r>
  </si>
  <si>
    <t xml:space="preserve">GM147</t>
  </si>
  <si>
    <t xml:space="preserve">GM148</t>
  </si>
  <si>
    <t xml:space="preserve">GM149</t>
  </si>
  <si>
    <t xml:space="preserve">G32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</si>
  <si>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WenQuanYi Zen Hei"/>
        <family val="2"/>
      </rPr>
      <t xml:space="preserve">），不進基準比較</t>
    </r>
  </si>
  <si>
    <t xml:space="preserve">GM150</t>
  </si>
  <si>
    <t xml:space="preserve">C33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</si>
  <si>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</si>
  <si>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</si>
  <si>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</si>
  <si>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</si>
  <si>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</si>
  <si>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</si>
  <si>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</si>
  <si>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</si>
  <si>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</si>
  <si>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</si>
  <si>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C34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</si>
  <si>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</si>
  <si>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</si>
  <si>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WenQuanYi Zen Hei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</si>
  <si>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</si>
  <si>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</si>
  <si>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</si>
  <si>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</si>
  <si>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</si>
  <si>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</si>
  <si>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</si>
  <si>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</si>
  <si>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C39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</si>
  <si>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</si>
  <si>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</si>
  <si>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</si>
  <si>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</si>
  <si>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</si>
  <si>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</si>
  <si>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</si>
  <si>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</si>
  <si>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</si>
  <si>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</si>
  <si>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</si>
  <si>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</si>
  <si>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C40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</si>
  <si>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</si>
  <si>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</si>
  <si>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</si>
  <si>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</si>
  <si>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</si>
  <si>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</si>
  <si>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</si>
  <si>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</si>
  <si>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</si>
  <si>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G40</t>
  </si>
  <si>
    <t xml:space="preserve">Derived：2 × VR FP8/FP6 訓練 dense 17.5（1,260 PF ÷ 72，註 Dense）＝35.0</t>
  </si>
  <si>
    <t xml:space="preserve">v5.18 RU：35.0＝2 × 17.5 [Derived]；SRC_HW_045（5,000 PF 整機）Superseded ｜補充旗標（IF 全欄分段，非分段依據）：高</t>
  </si>
  <si>
    <t xml:space="preserve">GM170</t>
  </si>
  <si>
    <t xml:space="preserve">C41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</si>
  <si>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WenQuanYi Zen Hei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</si>
  <si>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</si>
  <si>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</si>
  <si>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</si>
  <si>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</si>
  <si>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</si>
  <si>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</si>
  <si>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</si>
  <si>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</si>
  <si>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</si>
  <si>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</si>
  <si>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</si>
  <si>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</si>
  <si>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</si>
  <si>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Arch</t>
  </si>
  <si>
    <t xml:space="preserve">SRC_MOD_005</t>
  </si>
  <si>
    <t xml:space="preserve">GM176</t>
  </si>
  <si>
    <t xml:space="preserve">SRC_MOD_001</t>
  </si>
  <si>
    <t xml:space="preserve">GM177</t>
  </si>
  <si>
    <t xml:space="preserve">C7</t>
  </si>
  <si>
    <t xml:space="preserve">SRC_MOD_006</t>
  </si>
  <si>
    <t xml:space="preserve">GM178</t>
  </si>
  <si>
    <t xml:space="preserve">D7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</si>
  <si>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</si>
  <si>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</si>
  <si>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</si>
  <si>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</si>
  <si>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</si>
  <si>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</si>
  <si>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</si>
  <si>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</si>
  <si>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</si>
  <si>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</si>
  <si>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</si>
  <si>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</si>
  <si>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</si>
  <si>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</si>
  <si>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</si>
  <si>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</si>
  <si>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</si>
  <si>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C14</t>
  </si>
  <si>
    <t xml:space="preserve">SRC_MOD_013</t>
  </si>
  <si>
    <t xml:space="preserve">GM188</t>
  </si>
  <si>
    <t xml:space="preserve">GM189</t>
  </si>
  <si>
    <t xml:space="preserve">C15</t>
  </si>
  <si>
    <t xml:space="preserve">SRC_MOD_014</t>
  </si>
  <si>
    <t xml:space="preserve">GM190</t>
  </si>
  <si>
    <t xml:space="preserve">D15</t>
  </si>
  <si>
    <t xml:space="preserve">GM191</t>
  </si>
  <si>
    <t xml:space="preserve">C16</t>
  </si>
  <si>
    <t xml:space="preserve">SRC_MOD_015</t>
  </si>
  <si>
    <t xml:space="preserve">GM192</t>
  </si>
  <si>
    <t xml:space="preserve">GM193</t>
  </si>
  <si>
    <t xml:space="preserve">C18</t>
  </si>
  <si>
    <t xml:space="preserve">SRC_MOD_016</t>
  </si>
  <si>
    <t xml:space="preserve">GM194</t>
  </si>
  <si>
    <t xml:space="preserve">GM195</t>
  </si>
  <si>
    <t xml:space="preserve">C19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</si>
  <si>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</si>
  <si>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</si>
  <si>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</si>
  <si>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</si>
  <si>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</si>
  <si>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</si>
  <si>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</si>
  <si>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</si>
  <si>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t xml:space="preserve">連結 SRC（V4-Flash 官方 config.json，v5.13 D）</t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</si>
  <si>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</si>
  <si>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</si>
  <si>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WenQuanYi Zen Hei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WenQuanYi Zen Hei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WenQuanYi Zen Hei"/>
        <family val="2"/>
      </rPr>
      <t xml:space="preserve">）</t>
    </r>
  </si>
  <si>
    <t xml:space="preserve">GM201</t>
  </si>
  <si>
    <t xml:space="preserve">C17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</si>
  <si>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</si>
  <si>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</si>
  <si>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</si>
  <si>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</si>
  <si>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WenQuanYi Zen Hei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</si>
  <si>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</si>
  <si>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WenQuanYi Zen Hei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</si>
  <si>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</si>
  <si>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WenQuanYi Zen Hei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</si>
  <si>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</si>
  <si>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</si>
  <si>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</si>
  <si>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未結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</si>
  <si>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</si>
  <si>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</si>
  <si>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</si>
  <si>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</si>
  <si>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</si>
  <si>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</si>
  <si>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</si>
  <si>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</si>
  <si>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GM211</t>
  </si>
  <si>
    <t xml:space="preserve">E15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</si>
  <si>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</si>
  <si>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</si>
  <si>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WenQuanYi Zen Hei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</si>
  <si>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GM213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</si>
  <si>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WenQuanYi Zen Hei"/>
        <family val="2"/>
      </rPr>
      <t xml:space="preserve">情境處理）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</si>
  <si>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</si>
  <si>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</si>
  <si>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</si>
  <si>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</si>
  <si>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</si>
  <si>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</si>
  <si>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GM217</t>
  </si>
  <si>
    <t xml:space="preserve">J1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</si>
  <si>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WenQuanYi Zen Hei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WenQuanYi Zen Hei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）</t>
    </r>
  </si>
  <si>
    <t xml:space="preserve">GM218</t>
  </si>
  <si>
    <t xml:space="preserve">C21</t>
  </si>
  <si>
    <r>
      <rPr>
        <sz val="10"/>
        <color rgb="FF000000"/>
        <rFont val="Noto Sans CJK SC"/>
        <family val="2"/>
        <charset val="1"/>
      </rPr>
      <t xml:space="preserve">v5.13 D </t>
    </r>
    <r>
      <rPr>
        <sz val="10"/>
        <color rgb="FF000000"/>
        <rFont val="WenQuanYi Zen Hei"/>
        <family val="2"/>
      </rPr>
      <t xml:space="preserve">改公式（值不變）：輸入見 </t>
    </r>
    <r>
      <rPr>
        <sz val="10"/>
        <color rgb="FF000000"/>
        <rFont val="Noto Sans CJK SC"/>
        <family val="2"/>
        <charset val="1"/>
      </rPr>
      <t xml:space="preserve">Arch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Noto Sans CJK SC"/>
        <family val="2"/>
        <charset val="1"/>
      </rPr>
      <t xml:space="preserve">KV </t>
    </r>
    <r>
      <rPr>
        <sz val="10"/>
        <color rgb="FF000000"/>
        <rFont val="WenQuanYi Zen Hei"/>
        <family val="2"/>
      </rPr>
      <t xml:space="preserve">推導輸入」列</t>
    </r>
  </si>
  <si>
    <t xml:space="preserve">GM219</t>
  </si>
  <si>
    <t xml:space="preserve">GM220</t>
  </si>
  <si>
    <t xml:space="preserve">GM221</t>
  </si>
  <si>
    <t xml:space="preserve">C22</t>
  </si>
  <si>
    <t xml:space="preserve">GM222</t>
  </si>
  <si>
    <t xml:space="preserve">D22</t>
  </si>
  <si>
    <t xml:space="preserve">GM223</t>
  </si>
  <si>
    <t xml:space="preserve">E22</t>
  </si>
  <si>
    <t xml:space="preserve">GM224</t>
  </si>
  <si>
    <t xml:space="preserve">GM225</t>
  </si>
  <si>
    <t xml:space="preserve">GM226</t>
  </si>
  <si>
    <t xml:space="preserve">GM227</t>
  </si>
  <si>
    <t xml:space="preserve">Serving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</si>
  <si>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</si>
  <si>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</si>
  <si>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WenQuanYi Zen Hei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</si>
  <si>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</si>
  <si>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</si>
  <si>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</si>
  <si>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</si>
  <si>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WenQuanYi Zen Hei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</si>
  <si>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</si>
  <si>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</si>
  <si>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</si>
  <si>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</si>
  <si>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</si>
  <si>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</si>
  <si>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</si>
  <si>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WenQuanYi Zen Hei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</si>
  <si>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</si>
  <si>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WenQuanYi Zen Hei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</si>
  <si>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</si>
  <si>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</si>
  <si>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</si>
  <si>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WenQuanYi Zen Hei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</si>
  <si>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</si>
  <si>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</si>
  <si>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</si>
  <si>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WenQuanYi Zen Hei"/>
        <family val="2"/>
      </rPr>
      <t xml:space="preserve">原註）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</si>
  <si>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</si>
  <si>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確認；交接以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WenQuanYi Zen Hei"/>
        <family val="2"/>
      </rPr>
      <t xml:space="preserve">示範影響）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</si>
  <si>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</si>
  <si>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</si>
  <si>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</si>
  <si>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WenQuanYi Zen Hei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</si>
  <si>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</si>
  <si>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SRC_PERF_018</t>
  </si>
  <si>
    <t xml:space="preserve">J3</t>
  </si>
  <si>
    <t xml:space="preserve">GM240</t>
  </si>
  <si>
    <t xml:space="preserve">SRC_PERF_019</t>
  </si>
  <si>
    <t xml:space="preserve">選取（65；來源 68；G0-3）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</si>
  <si>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G0-3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決定</t>
    </r>
  </si>
  <si>
    <t xml:space="preserve">GM241</t>
  </si>
  <si>
    <t xml:space="preserve">SRC_PERF_020</t>
  </si>
  <si>
    <t xml:space="preserve">選取（55；來源 52–56）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</si>
  <si>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</si>
  <si>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GM242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</si>
  <si>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</si>
  <si>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WenQuanYi Zen Hei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</si>
  <si>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</si>
  <si>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</si>
  <si>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</si>
  <si>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</si>
  <si>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參考 ISL：Astra 用於長任務；上下文敏感度見 Sens_Perf</t>
  </si>
  <si>
    <t xml:space="preserve">GM246</t>
  </si>
  <si>
    <t xml:space="preserve">參考 ISL：Astra 用於長任務；上下文敏感度見 Sens_Perf ｜v5.18 D5（r3 I1）：區間高擴至 68,000 以涵蓋 Copilot 每呼叫提示中位（E211；Analogy）；基準不動；C23（Luna）不套用</t>
  </si>
  <si>
    <t xml:space="preserve">GM247</t>
  </si>
  <si>
    <t xml:space="preserve">GM248</t>
  </si>
  <si>
    <t xml:space="preserve">參考 OSL（含思考）</t>
  </si>
  <si>
    <t xml:space="preserve">GM249</t>
  </si>
  <si>
    <t xml:space="preserve">GM250</t>
  </si>
  <si>
    <t xml:space="preserve">GM251</t>
  </si>
  <si>
    <t xml:space="preserve">Workload</t>
  </si>
  <si>
    <t xml:space="preserve">C5</t>
  </si>
  <si>
    <t xml:space="preserve">輪數 T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</si>
  <si>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</si>
  <si>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標準任務定義（Assumed）；Stage 2 以 Har_In 證據校準</t>
  </si>
  <si>
    <t xml:space="preserve">GM252</t>
  </si>
  <si>
    <t xml:space="preserve">D5</t>
  </si>
  <si>
    <t xml:space="preserve">GM253</t>
  </si>
  <si>
    <t xml:space="preserve">GM254</t>
  </si>
  <si>
    <t xml:space="preserve">F5</t>
  </si>
  <si>
    <t xml:space="preserve">GM255</t>
  </si>
  <si>
    <t xml:space="preserve">G5</t>
  </si>
  <si>
    <t xml:space="preserve">標準任務定義（Assumed）；Stage 2 以 Har_In 證據校準 ｜v5.18 r3 I1：區間不改，Copilot 追蹤已讀且已涵蓋（E208；單位對應見該列）</t>
  </si>
  <si>
    <t xml:space="preserve">GM256</t>
  </si>
  <si>
    <t xml:space="preserve">初始上下文 S（系統提示、歷史、工具定義）</t>
  </si>
  <si>
    <t xml:space="preserve">標準任務定義（Assumed）；Stage 2 以 Har_In 證據校準 ｜補充旗標（IF 全欄分段，非分段依據）：高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</si>
  <si>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</si>
  <si>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</si>
  <si>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</si>
  <si>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</si>
  <si>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</si>
  <si>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</si>
  <si>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</si>
  <si>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</si>
  <si>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</si>
  <si>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F7</t>
  </si>
  <si>
    <t xml:space="preserve">GM265</t>
  </si>
  <si>
    <t xml:space="preserve">G7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</si>
  <si>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</si>
  <si>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</si>
  <si>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</si>
  <si>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</si>
  <si>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</si>
  <si>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</si>
  <si>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</si>
  <si>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</si>
  <si>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</si>
  <si>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</si>
  <si>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</si>
  <si>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</si>
  <si>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</si>
  <si>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</si>
  <si>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</si>
  <si>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</si>
  <si>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</si>
  <si>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</si>
  <si>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</si>
  <si>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</si>
  <si>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</si>
  <si>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WenQuanYi Zen Hei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</si>
  <si>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</si>
  <si>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</si>
  <si>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WenQuanYi Zen Hei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</si>
  <si>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</si>
  <si>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</si>
  <si>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</si>
  <si>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</si>
  <si>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</si>
  <si>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</si>
  <si>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</si>
  <si>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</si>
  <si>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</si>
  <si>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</si>
  <si>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</si>
  <si>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WenQuanYi Zen Hei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</si>
  <si>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</si>
  <si>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</si>
  <si>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</si>
  <si>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 ｜補充旗標（IF 全欄分段，非分段依據）：高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</si>
  <si>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</si>
  <si>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</si>
  <si>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</si>
  <si>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</si>
  <si>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</si>
  <si>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</si>
  <si>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</si>
  <si>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</si>
  <si>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G14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</si>
  <si>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</si>
  <si>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</si>
  <si>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</si>
  <si>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</si>
  <si>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</si>
  <si>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</si>
  <si>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</si>
  <si>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</si>
  <si>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</si>
  <si>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</si>
  <si>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Calib</t>
  </si>
  <si>
    <t xml:space="preserve">SRC_PERF_041</t>
  </si>
  <si>
    <t xml:space="preserve">可比（DeepSeek H800 prefill 每節點吞吐；換算 η_p 需每 token FLOPs）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</si>
  <si>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WenQuanYi Zen Hei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</si>
  <si>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</si>
  <si>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</si>
  <si>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</si>
  <si>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</si>
  <si>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錨點世代索引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</si>
  <si>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</si>
  <si>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</si>
  <si>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</si>
  <si>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</si>
  <si>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</si>
  <si>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</si>
  <si>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</si>
  <si>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直接（內插值 9,342.1，Derived；H1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</si>
  <si>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9,384.4→9,342.1</t>
    </r>
    <r>
      <rPr>
        <sz val="10"/>
        <color rgb="FF000000"/>
        <rFont val="WenQuanYi Zen Hei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WenQuanYi Zen Hei"/>
        <family val="2"/>
      </rPr>
      <t xml:space="preserve">）</t>
    </r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</si>
  <si>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</si>
  <si>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</si>
  <si>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</si>
  <si>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</si>
  <si>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</si>
  <si>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</si>
  <si>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直接（內插值 3,405.2，Derived；H1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</si>
  <si>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3,473.9→3,405.2</t>
    </r>
    <r>
      <rPr>
        <sz val="10"/>
        <color rgb="FF000000"/>
        <rFont val="WenQuanYi Zen Hei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WenQuanYi Zen Hei"/>
        <family val="2"/>
      </rPr>
      <t xml:space="preserve">）</t>
    </r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</si>
  <si>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</si>
  <si>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</si>
  <si>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</si>
  <si>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</si>
  <si>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</si>
  <si>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</si>
  <si>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</si>
  <si>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</si>
  <si>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</si>
  <si>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</si>
  <si>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F15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</si>
  <si>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</si>
  <si>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</si>
  <si>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</si>
  <si>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</si>
  <si>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</si>
  <si>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</si>
  <si>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G15</t>
  </si>
  <si>
    <t xml:space="preserve">GM329</t>
  </si>
  <si>
    <t xml:space="preserve">G16</t>
  </si>
  <si>
    <t xml:space="preserve">GM330</t>
  </si>
  <si>
    <t xml:space="preserve">G17</t>
  </si>
  <si>
    <t xml:space="preserve">GM331</t>
  </si>
  <si>
    <t xml:space="preserve">H13</t>
  </si>
  <si>
    <t xml:space="preserve">SRC_PERF_014</t>
  </si>
  <si>
    <t xml:space="preserve">GM332</t>
  </si>
  <si>
    <t xml:space="preserve">H14</t>
  </si>
  <si>
    <t xml:space="preserve">GM333</t>
  </si>
  <si>
    <t xml:space="preserve">H15</t>
  </si>
  <si>
    <t xml:space="preserve">GM334</t>
  </si>
  <si>
    <t xml:space="preserve">H16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</si>
  <si>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</si>
  <si>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</si>
  <si>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</si>
  <si>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</si>
  <si>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</si>
  <si>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</si>
  <si>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</si>
  <si>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</si>
  <si>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</si>
  <si>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</si>
  <si>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</si>
  <si>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</si>
  <si>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</si>
  <si>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</si>
  <si>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C67</t>
  </si>
  <si>
    <t xml:space="preserve">SRC_PERF_042</t>
  </si>
  <si>
    <t xml:space="preserve">可比（DeepSeek H800 decode 每節點吞吐）</t>
  </si>
  <si>
    <r>
      <rPr>
        <sz val="10"/>
        <color rgb="FF000000"/>
        <rFont val="Arial"/>
        <family val="0"/>
        <charset val="1"/>
      </rPr>
      <t xml:space="preserve">0.5–2.5</t>
    </r>
    <r>
      <rPr>
        <sz val="10"/>
        <color rgb="FF000000"/>
        <rFont val="WenQuanYi Zen Hei"/>
        <family val="2"/>
      </rPr>
      <t xml:space="preserve">（原註）</t>
    </r>
  </si>
  <si>
    <t xml:space="preserve">GM342</t>
  </si>
  <si>
    <t xml:space="preserve">D67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</si>
  <si>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</si>
  <si>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WenQuanYi Zen Hei"/>
        <family val="2"/>
      </rPr>
      <t xml:space="preserve">情境）</t>
    </r>
  </si>
  <si>
    <t xml:space="preserve">非 Hopper 世代沿用 GB300 擬合的 η_d（Block 2 最大 Analogy）</t>
  </si>
  <si>
    <t xml:space="preserve">GM343</t>
  </si>
  <si>
    <t xml:space="preserve">E67</t>
  </si>
  <si>
    <t xml:space="preserve">GM344</t>
  </si>
  <si>
    <t xml:space="preserve">F67</t>
  </si>
  <si>
    <t xml:space="preserve">GM345</t>
  </si>
  <si>
    <t xml:space="preserve">G67</t>
  </si>
  <si>
    <t xml:space="preserve">GM346</t>
  </si>
  <si>
    <t xml:space="preserve">C68</t>
  </si>
  <si>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WenQuanYi Zen Hei"/>
        <family val="2"/>
      </rPr>
      <t xml:space="preserve">（原註）</t>
    </r>
  </si>
  <si>
    <t xml:space="preserve">GM347</t>
  </si>
  <si>
    <t xml:space="preserve">D68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</si>
  <si>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WenQuanYi Zen Hei"/>
        <family val="2"/>
      </rPr>
      <t xml:space="preserve">情境）</t>
    </r>
  </si>
  <si>
    <t xml:space="preserve">沿用 GB300 擬合的每層延遲</t>
  </si>
  <si>
    <t xml:space="preserve">GM348</t>
  </si>
  <si>
    <t xml:space="preserve">E68</t>
  </si>
  <si>
    <t xml:space="preserve">GM349</t>
  </si>
  <si>
    <t xml:space="preserve">F68</t>
  </si>
  <si>
    <t xml:space="preserve">GM350</t>
  </si>
  <si>
    <t xml:space="preserve">G68</t>
  </si>
  <si>
    <t xml:space="preserve">GM351</t>
  </si>
  <si>
    <t xml:space="preserve">C69</t>
  </si>
  <si>
    <r>
      <rPr>
        <sz val="10"/>
        <color rgb="FF000000"/>
        <rFont val="WenQuanYi Zen Hei"/>
        <family val="2"/>
      </rPr>
      <t xml:space="preserve">換算（</t>
    </r>
    <r>
      <rPr>
        <sz val="10"/>
        <color rgb="FF000000"/>
        <rFont val="Arial"/>
        <family val="0"/>
        <charset val="1"/>
      </rPr>
      <t xml:space="preserve">SRC_HW_019 ÷ SRC_HW_040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0.989 ÷ 1.979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0.49975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</si>
  <si>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8000"/>
        <rFont val="Noto Sans CJK SC"/>
        <family val="2"/>
        <charset val="1"/>
      </rPr>
      <t xml:space="preserve">v5.18 C69</t>
    </r>
    <r>
      <rPr>
        <sz val="10"/>
        <color rgb="FF008000"/>
        <rFont val="WenQuanYi Zen Hei"/>
        <family val="2"/>
      </rPr>
      <t xml:space="preserve">：改為公式 </t>
    </r>
    <r>
      <rPr>
        <sz val="10"/>
        <color rgb="FF008000"/>
        <rFont val="Noto Sans CJK SC"/>
        <family val="2"/>
        <charset val="1"/>
      </rPr>
      <t xml:space="preserve">=SRC_HW_019/SRC_HW_040</t>
    </r>
    <r>
      <rPr>
        <sz val="10"/>
        <color rgb="FF008000"/>
        <rFont val="WenQuanYi Zen Hei"/>
        <family val="2"/>
      </rPr>
      <t xml:space="preserve">（</t>
    </r>
    <r>
      <rPr>
        <sz val="10"/>
        <color rgb="FF008000"/>
        <rFont val="Noto Sans CJK SC"/>
        <family val="2"/>
        <charset val="1"/>
      </rPr>
      <t xml:space="preserve">0.49975</t>
    </r>
    <r>
      <rPr>
        <sz val="10"/>
        <color rgb="FF008000"/>
        <rFont val="WenQuanYi Zen Hei"/>
        <family val="2"/>
      </rPr>
      <t xml:space="preserve">）；不確定性仍由 </t>
    </r>
    <r>
      <rPr>
        <sz val="10"/>
        <color rgb="FF008000"/>
        <rFont val="Noto Sans CJK SC"/>
        <family val="2"/>
        <charset val="1"/>
      </rPr>
      <t xml:space="preserve">Calib C5 η_p </t>
    </r>
    <r>
      <rPr>
        <sz val="10"/>
        <color rgb="FF008000"/>
        <rFont val="WenQuanYi Zen Hei"/>
        <family val="2"/>
      </rPr>
      <t xml:space="preserve">區間承擔，不另給區間 ｜補充旗標（</t>
    </r>
    <r>
      <rPr>
        <sz val="10"/>
        <color rgb="FF008000"/>
        <rFont val="Noto Sans CJK SC"/>
        <family val="2"/>
        <charset val="1"/>
      </rPr>
      <t xml:space="preserve">IF </t>
    </r>
    <r>
      <rPr>
        <sz val="10"/>
        <color rgb="FF008000"/>
        <rFont val="WenQuanYi Zen Hei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</si>
  <si>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同意）</t>
    </r>
  </si>
  <si>
    <t xml:space="preserve">GM352</t>
  </si>
  <si>
    <t xml:space="preserve">D69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</si>
  <si>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</si>
  <si>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</si>
  <si>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GM353</t>
  </si>
  <si>
    <t xml:space="preserve">E69</t>
  </si>
  <si>
    <t xml:space="preserve">GM354</t>
  </si>
  <si>
    <t xml:space="preserve">F69</t>
  </si>
  <si>
    <t xml:space="preserve">GM355</t>
  </si>
  <si>
    <t xml:space="preserve">G69</t>
  </si>
  <si>
    <t xml:space="preserve">GM356</t>
  </si>
  <si>
    <t xml:space="preserve">C90:E90</t>
  </si>
  <si>
    <t xml:space="preserve">情境值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</si>
  <si>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敏感度格點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</si>
  <si>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</si>
  <si>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</si>
  <si>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</si>
  <si>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</si>
  <si>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</si>
  <si>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</si>
  <si>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</si>
  <si>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</si>
  <si>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</si>
  <si>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</si>
  <si>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</si>
  <si>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</si>
  <si>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</si>
  <si>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</si>
  <si>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</si>
  <si>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</si>
  <si>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</si>
  <si>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</si>
  <si>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</si>
  <si>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</si>
  <si>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</si>
  <si>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</si>
  <si>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</si>
  <si>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</si>
  <si>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</si>
  <si>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</si>
  <si>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</si>
  <si>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</si>
  <si>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</si>
  <si>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</si>
  <si>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</si>
  <si>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</si>
  <si>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</si>
  <si>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</si>
  <si>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</si>
  <si>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</si>
  <si>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</si>
  <si>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</si>
  <si>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</si>
  <si>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</si>
  <si>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</si>
  <si>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</si>
  <si>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WenQuanYi Zen Hei"/>
        <family val="2"/>
      </rPr>
      <t xml:space="preserve">驗證點世代索引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</si>
  <si>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</si>
  <si>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</si>
  <si>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</si>
  <si>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</si>
  <si>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</si>
  <si>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</si>
  <si>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</si>
  <si>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</si>
  <si>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</si>
  <si>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</si>
  <si>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</si>
  <si>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</si>
  <si>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</si>
  <si>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</si>
  <si>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</si>
  <si>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</si>
  <si>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</si>
  <si>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</si>
  <si>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</si>
  <si>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</si>
  <si>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</si>
  <si>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</si>
  <si>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</si>
  <si>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</si>
  <si>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</si>
  <si>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</si>
  <si>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</si>
  <si>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</si>
  <si>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</si>
  <si>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</si>
  <si>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</si>
  <si>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</si>
  <si>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</si>
  <si>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</si>
  <si>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</si>
  <si>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t xml:space="preserve">SRC_PERF_026</t>
  </si>
  <si>
    <t xml:space="preserve">GM382</t>
  </si>
  <si>
    <t xml:space="preserve">Energy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</si>
  <si>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WenQuanYi Zen Hei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</si>
  <si>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</si>
  <si>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</si>
  <si>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</si>
  <si>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WenQuanYi Zen Hei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</si>
  <si>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</si>
  <si>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WenQuanYi Zen Hei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</si>
  <si>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</si>
  <si>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</si>
  <si>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</si>
  <si>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</si>
  <si>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</si>
  <si>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</si>
  <si>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</si>
  <si>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</si>
  <si>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</si>
  <si>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</si>
  <si>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</si>
  <si>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</si>
  <si>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</si>
  <si>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</si>
  <si>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</si>
  <si>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</si>
  <si>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</si>
  <si>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</si>
  <si>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</si>
  <si>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</si>
  <si>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</si>
  <si>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</si>
  <si>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</si>
  <si>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</si>
  <si>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</si>
  <si>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</si>
  <si>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</si>
  <si>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</si>
  <si>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</si>
  <si>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</si>
  <si>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</si>
  <si>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</si>
  <si>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</si>
  <si>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</si>
  <si>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</si>
  <si>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</si>
  <si>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</si>
  <si>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Perf</t>
  </si>
  <si>
    <t xml:space="preserve">C6:Q6</t>
  </si>
  <si>
    <t xml:space="preserve">世代／層級索引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</si>
  <si>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</si>
  <si>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</si>
  <si>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</si>
  <si>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</si>
  <si>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</si>
  <si>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</si>
  <si>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</si>
  <si>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</si>
  <si>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</si>
  <si>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</si>
  <si>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</si>
  <si>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</si>
  <si>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</si>
  <si>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</si>
  <si>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</si>
  <si>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</si>
  <si>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</si>
  <si>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</si>
  <si>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</si>
  <si>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</si>
  <si>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GM425</t>
  </si>
  <si>
    <t xml:space="preserve">I54:K54</t>
  </si>
  <si>
    <t xml:space="preserve">每層延遲倍數（Tech_Registry H_TL；Sens_Perf 情境覆寫）</t>
  </si>
  <si>
    <t xml:space="preserve">GM426</t>
  </si>
  <si>
    <t xml:space="preserve">Unit_Cost</t>
  </si>
  <si>
    <t xml:space="preserve">GM427</t>
  </si>
  <si>
    <t xml:space="preserve">切片二頁（v5.11 只登錄已連結格）</t>
  </si>
  <si>
    <t xml:space="preserve">Train_In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</si>
  <si>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</si>
  <si>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</si>
  <si>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</si>
  <si>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</si>
  <si>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</si>
  <si>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</si>
  <si>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</si>
  <si>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</si>
  <si>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</si>
  <si>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</si>
  <si>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</si>
  <si>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C42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</si>
  <si>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</si>
  <si>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</si>
  <si>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</si>
  <si>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</si>
  <si>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</si>
  <si>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</si>
  <si>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</si>
  <si>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</si>
  <si>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</si>
  <si>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</si>
  <si>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WenQuanYi Zen Hei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</si>
  <si>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</si>
  <si>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</si>
  <si>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</t>
  </si>
  <si>
    <t xml:space="preserve">GM437</t>
  </si>
  <si>
    <t xml:space="preserve">切片二頁（v5.12 A 包）</t>
  </si>
  <si>
    <t xml:space="preserve">Sens_Train</t>
  </si>
  <si>
    <t xml:space="preserve">O8:R8</t>
  </si>
  <si>
    <t xml:space="preserve">情境倍數：RL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</si>
  <si>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WenQuanYi Zen Hei"/>
        <family val="2"/>
      </rPr>
      <t xml:space="preserve">公式移出（值不變）</t>
    </r>
  </si>
  <si>
    <t xml:space="preserve">GM438</t>
  </si>
  <si>
    <t xml:space="preserve">Y8:AB8</t>
  </si>
  <si>
    <t xml:space="preserve">情境倍數：合成資料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</si>
  <si>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WenQuanYi Zen Hei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WenQuanYi Zen Hei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移出（值不變）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</si>
  <si>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</si>
  <si>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</si>
  <si>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</si>
  <si>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WenQuanYi Zen Hei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</si>
  <si>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WenQuanYi Zen Hei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WenQuanYi Zen Hei"/>
        <family val="2"/>
      </rPr>
      <t xml:space="preserve">公式移出（值不變）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</si>
  <si>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</si>
  <si>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</si>
  <si>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</si>
  <si>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WenQuanYi Zen Hei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WenQuanYi Zen Hei"/>
        <family val="2"/>
      </rPr>
      <t xml:space="preserve">公式移出（值不變）</t>
    </r>
  </si>
  <si>
    <t xml:space="preserve">GM441</t>
  </si>
  <si>
    <t xml:space="preserve">切片二（v5.13 C 包）</t>
  </si>
  <si>
    <t xml:space="preserve">Cap_In</t>
  </si>
  <si>
    <t xml:space="preserve">有效折扣（Batch／Flex 半價＋企業議價，加權）</t>
  </si>
  <si>
    <t xml:space="preserve">加權有效折扣（Batch／Flex 半價為牌價事實，企業議價比例為假設）；與 OpenAI 模型 v0.5 一致</t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</si>
  <si>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</si>
  <si>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</si>
  <si>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</si>
  <si>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WenQuanYi Zen Hei"/>
        <family val="2"/>
      </rPr>
      <t xml:space="preserve">的低、高端點</t>
    </r>
  </si>
  <si>
    <t xml:space="preserve">GM443</t>
  </si>
  <si>
    <t xml:space="preserve">參考請求快取命中率 χ（輸入中屬快取命中的比例）</t>
  </si>
  <si>
    <t xml:space="preserve">參考請求快取命中率；成本與營收用同一 χ；與 OpenAI 模型 v0.5 一致</t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</si>
  <si>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</si>
  <si>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</si>
  <si>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WenQuanYi Zen Hei"/>
        <family val="2"/>
      </rPr>
      <t xml:space="preserve">的低、高端點</t>
    </r>
  </si>
  <si>
    <t xml:space="preserve">GM445</t>
  </si>
  <si>
    <t xml:space="preserve">能力 → 單價彈性 ε（單價 ∝ 有效算力倍數^ε）</t>
  </si>
  <si>
    <t xml:space="preserve">K4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</si>
  <si>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WenQuanYi Zen Hei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WenQuanYi Zen Hei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</si>
  <si>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</si>
  <si>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</si>
  <si>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WenQuanYi Zen Hei"/>
        <family val="2"/>
      </rPr>
      <t xml:space="preserve">的低、高端點</t>
    </r>
  </si>
  <si>
    <t xml:space="preserve">GM447</t>
  </si>
  <si>
    <t xml:space="preserve">有效訓練算力倍數（相對 Block 3 基準；情境用）</t>
  </si>
  <si>
    <t xml:space="preserve">有效訓練算力倍數，只供 ε 情境；高值 7＝J8 前沿錨點中值相對 Astra 基準（K4）</t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</si>
  <si>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</si>
  <si>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</si>
  <si>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WenQuanYi Zen Hei"/>
        <family val="2"/>
      </rPr>
      <t xml:space="preserve">的低、高端點</t>
    </r>
  </si>
  <si>
    <t xml:space="preserve">GM449</t>
  </si>
  <si>
    <t xml:space="preserve">C16:E16</t>
  </si>
  <si>
    <t xml:space="preserve">尖峰／離峰口徑（1＝尖峰價；2＝依時數加權）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</si>
  <si>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</si>
  <si>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WenQuanYi Zen Hei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</si>
  <si>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</si>
  <si>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</si>
  <si>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K5</t>
  </si>
  <si>
    <t xml:space="preserve">低＝第 23 列、高＝第 24 列</t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</si>
  <si>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WenQuanYi Zen Hei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</si>
  <si>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</si>
  <si>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</si>
  <si>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</si>
  <si>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</si>
  <si>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</si>
  <si>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t xml:space="preserve">換算（8.4 ÷（8.4＋12）＝0.4118，模型取 0.41；另用 SRC_DEM_006）</t>
  </si>
  <si>
    <t xml:space="preserve">K7</t>
  </si>
  <si>
    <t xml:space="preserve">值與來源換算不等（取整）：Stage 1 保留藍字，Stage 2 逐筆決定（G0-2）；以支出比代 GW 比為 Derived</t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</si>
  <si>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WenQuanYi Zen Hei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</si>
  <si>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</si>
  <si>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</si>
  <si>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</si>
  <si>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</si>
  <si>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</si>
  <si>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換算（3.9 ÷ 8.4＝0.4643，模型取 0.46）</t>
  </si>
  <si>
    <t xml:space="preserve">值與來源換算不等（取整）：Stage 1 保留藍字，Stage 2 逐筆決定（G0-2）</t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</si>
  <si>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WenQuanYi Zen Hei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</si>
  <si>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</si>
  <si>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</si>
  <si>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</si>
  <si>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</si>
  <si>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</si>
  <si>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</si>
  <si>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t xml:space="preserve">付費服務 token 層級組合</t>
  </si>
  <si>
    <t xml:space="preserve">各層 ±0.15，合計維持 1（Claude 提議，Andy 2026-10-03 確認）</t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</si>
  <si>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</si>
  <si>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</si>
  <si>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</si>
  <si>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t xml:space="preserve">免費服務 token 層級組合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</si>
  <si>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WenQuanYi Zen Hei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</si>
  <si>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</si>
  <si>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</si>
  <si>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C36</t>
  </si>
  <si>
    <t xml:space="preserve">儲存層（1＝SSD；2＝DRAM；3＝HBM）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</si>
  <si>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</si>
  <si>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WenQuanYi Zen Hei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WenQuanYi Zen Hei"/>
        <family val="2"/>
      </rPr>
      <t xml:space="preserve">為儲存層代碼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</si>
  <si>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</si>
  <si>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</si>
  <si>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</si>
  <si>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WenQuanYi Zen Hei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WenQuanYi Zen Hei"/>
        <family val="2"/>
      </rPr>
      <t xml:space="preserve">為儲存層代碼</t>
    </r>
  </si>
  <si>
    <t xml:space="preserve">GM461</t>
  </si>
  <si>
    <t xml:space="preserve">C37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</si>
  <si>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WenQuanYi Zen Hei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WenQuanYi Zen Hei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WenQuanYi Zen Hei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WenQuanYi Zen Hei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</si>
  <si>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WenQuanYi Zen Hei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</si>
  <si>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</si>
  <si>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</si>
  <si>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</si>
  <si>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WenQuanYi Zen Hei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WenQuanYi Zen Hei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WenQuanYi Zen Hei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WenQuanYi Zen Hei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</t>
    </r>
  </si>
  <si>
    <t xml:space="preserve">GM463</t>
  </si>
  <si>
    <t xml:space="preserve">C38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</si>
  <si>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WenQuanYi Zen Hei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WenQuanYi Zen Hei"/>
        <family val="2"/>
      </rPr>
      <t xml:space="preserve">）；代理迴圈高、單次問答低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</si>
  <si>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</si>
  <si>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</si>
  <si>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</si>
  <si>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WenQuanYi Zen Hei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WenQuanYi Zen Hei"/>
        <family val="2"/>
      </rPr>
      <t xml:space="preserve">）；代理迴圈高、單次問答低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</si>
  <si>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</si>
  <si>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記憶體漲價期；含伺服器分攤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</si>
  <si>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</si>
  <si>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</si>
  <si>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</si>
  <si>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記憶體漲價期；含伺服器分攤</t>
    </r>
  </si>
  <si>
    <t xml:space="preserve">GM467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</si>
  <si>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WenQuanYi Zen Hei"/>
        <family val="2"/>
      </rPr>
      <t xml:space="preserve">折舊年限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</si>
  <si>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</si>
  <si>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</si>
  <si>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WenQuanYi Zen Hei"/>
        <family val="2"/>
      </rPr>
      <t xml:space="preserve">的低、高端點</t>
    </r>
  </si>
  <si>
    <t xml:space="preserve">GM469</t>
  </si>
  <si>
    <t xml:space="preserve">企業級 NVMe 取得成本</t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</si>
  <si>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</si>
  <si>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</si>
  <si>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WenQuanYi Zen Hei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</si>
  <si>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</si>
  <si>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</si>
  <si>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</si>
  <si>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WenQuanYi Zen Hei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</si>
  <si>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</si>
  <si>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</si>
  <si>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</si>
  <si>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</si>
  <si>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</si>
  <si>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t xml:space="preserve">牌價結構屬性：目前只有 DeepSeek 有尖峰離峰價（S52）；其餘廠商的屬性尚無逐家 SRC 紀錄（Stage 2 補）</t>
  </si>
  <si>
    <t xml:space="preserve">GM474</t>
  </si>
  <si>
    <t xml:space="preserve">N46:N58</t>
  </si>
  <si>
    <t xml:space="preserve">K13</t>
  </si>
  <si>
    <t xml:space="preserve">中國廠商旗標＝C 欄國別是否為中國；v5.13 D 包改為公式（值不變）</t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</si>
  <si>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</si>
  <si>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</si>
  <si>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WenQuanYi Zen Hei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WenQuanYi Zen Hei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</si>
  <si>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WenQuanYi Zen Hei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</si>
  <si>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WenQuanYi Zen Hei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</si>
  <si>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</si>
  <si>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</si>
  <si>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WenQuanYi Zen Hei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</si>
  <si>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WenQuanYi Zen Hei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</si>
  <si>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</si>
  <si>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</si>
  <si>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</si>
  <si>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t xml:space="preserve">可比（AA v4.3 的「DeepSeek V4 Pro」；與 V4-Pro-0813 是否同版待查）</t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</si>
  <si>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WenQuanYi Zen Hei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</si>
  <si>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值等於可比對象，但版本未確認，不直接連結（G0-2 選取）</t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</si>
  <si>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WenQuanYi Zen Hei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</si>
  <si>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</si>
  <si>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</si>
  <si>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</si>
  <si>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t xml:space="preserve">可比（AA v4.3 的「Qwen3.8 2.4T」；與 Qwen3.8-Max 是否同一模型待查）</t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</si>
  <si>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WenQuanYi Zen Hei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</si>
  <si>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值等於可比對象，但模型未確認，不直接連結（G0-2 選取）</t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</si>
  <si>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WenQuanYi Zen Hei"/>
        <family val="2"/>
      </rPr>
      <t xml:space="preserve">（模型未確認）</t>
    </r>
  </si>
  <si>
    <t xml:space="preserve">GM479</t>
  </si>
  <si>
    <t xml:space="preserve">Har_In</t>
  </si>
  <si>
    <t xml:space="preserve">情境檔案（2＝供應商原生增強；3＝多代理編排）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</si>
  <si>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WenQuanYi Zen Hei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時不作用</t>
    </r>
  </si>
  <si>
    <t xml:space="preserve">GM480</t>
  </si>
  <si>
    <t xml:space="preserve">可靠度下限 p_min（成功任務成本前緣只比較 p ≥ 此值者）</t>
  </si>
  <si>
    <t xml:space="preserve">M1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</si>
  <si>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WenQuanYi Zen Hei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WenQuanYi Zen Hei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</si>
  <si>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WenQuanYi Zen Hei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</si>
  <si>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GM481</t>
  </si>
  <si>
    <t xml:space="preserve">C12:G12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</si>
  <si>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WenQuanYi Zen Hei"/>
        <family val="2"/>
      </rPr>
      <t xml:space="preserve">列）</t>
    </r>
  </si>
  <si>
    <t xml:space="preserve">檔案 2（供應商原生增強）：保留推理狀態後重複探索減少；以 ARC-AGI-3「少用約 49% token」校準（廠商與 ARC 自測，L7 只作對照）</t>
  </si>
  <si>
    <t xml:space="preserve">GM482</t>
  </si>
  <si>
    <t xml:space="preserve">C13:G13</t>
  </si>
  <si>
    <t xml:space="preserve">思考保留 ρ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</si>
  <si>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WenQuanYi Zen Hei"/>
        <family val="2"/>
      </rPr>
      <t xml:space="preserve">（定義域）</t>
    </r>
  </si>
  <si>
    <t xml:space="preserve">檔案 2（供應商原生增強）：Provider Adapter 保留推理狀態為機制事實（S58）；ρ 的數值為參數設定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</si>
  <si>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</si>
  <si>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</si>
  <si>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</si>
  <si>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WenQuanYi Zen Hei"/>
        <family val="2"/>
      </rPr>
      <t xml:space="preserve">列）</t>
    </r>
  </si>
  <si>
    <t xml:space="preserve">檔案 2（供應商原生增強）：前輪推理可見，每輪重推減少</t>
  </si>
  <si>
    <t xml:space="preserve">GM484</t>
  </si>
  <si>
    <t xml:space="preserve">C15:G15</t>
  </si>
  <si>
    <t xml:space="preserve">歷史保留比 c（壓縮後）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</si>
  <si>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WenQuanYi Zen Hei"/>
        <family val="2"/>
      </rPr>
      <t xml:space="preserve">列）</t>
    </r>
  </si>
  <si>
    <t xml:space="preserve">檔案 2（供應商原生增強）：壓縮較長對話（S58）；壓縮比例未揭露</t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</si>
  <si>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</si>
  <si>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</si>
  <si>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WenQuanYi Zen Hei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</si>
  <si>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檔案 2（供應商原生增強）：加在 Workload 第 11 列之上；基準 0</t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</si>
  <si>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</si>
  <si>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</si>
  <si>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WenQuanYi Zen Hei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</si>
  <si>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檔案 2（供應商原生增強）：加在 Workload 第 12 列之上；基準 0</t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</si>
  <si>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</si>
  <si>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</si>
  <si>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WenQuanYi Zen Hei"/>
        <family val="2"/>
      </rPr>
      <t xml:space="preserve">列）</t>
    </r>
  </si>
  <si>
    <t xml:space="preserve">檔案 2（供應商原生增強）：L2：harness 乘在層級 50% 時間範圍上；ARC 結果無法換算為此倍數</t>
  </si>
  <si>
    <t xml:space="preserve">GM488</t>
  </si>
  <si>
    <t xml:space="preserve">C18:G18</t>
  </si>
  <si>
    <t xml:space="preserve">SRC_HAR_003</t>
  </si>
  <si>
    <t xml:space="preserve">可比（ARC-AGI-3 每局約 40 分鐘；單輪任務沿用 5 分鐘 TTL）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</si>
  <si>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WenQuanYi Zen Hei"/>
        <family val="2"/>
      </rPr>
      <t xml:space="preserve">列）</t>
    </r>
  </si>
  <si>
    <t xml:space="preserve">檔案 2（供應商原生增強）：狀態保留時間</t>
  </si>
  <si>
    <t xml:space="preserve">GM489</t>
  </si>
  <si>
    <t xml:space="preserve">C20:G20</t>
  </si>
  <si>
    <t xml:space="preserve">供應商專屬（1＝是）</t>
  </si>
  <si>
    <t xml:space="preserve">檔案 2（供應商原生增強）：不透明推理狀態只能在原廠 API 使用（S58，機制事實）；1＝供應商專屬為檔案定義</t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</si>
  <si>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WenQuanYi Zen Hei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</si>
  <si>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</si>
  <si>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</si>
  <si>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WenQuanYi Zen Hei"/>
        <family val="2"/>
      </rPr>
      <t xml:space="preserve">列）</t>
    </r>
  </si>
  <si>
    <t xml:space="preserve">檔案 3（多代理編排）：輪數倍數；基準同標準檔</t>
  </si>
  <si>
    <t xml:space="preserve">GM491</t>
  </si>
  <si>
    <t xml:space="preserve">C25:G25</t>
  </si>
  <si>
    <t xml:space="preserve">檔案 3（多代理編排）：思考保留；基準 0</t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</si>
  <si>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</si>
  <si>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</si>
  <si>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WenQuanYi Zen Hei"/>
        <family val="2"/>
      </rPr>
      <t xml:space="preserve">列）</t>
    </r>
  </si>
  <si>
    <t xml:space="preserve">檔案 3（多代理編排）：每輪思考倍數</t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</si>
  <si>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</si>
  <si>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</si>
  <si>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WenQuanYi Zen Hei"/>
        <family val="2"/>
      </rPr>
      <t xml:space="preserve">列）</t>
    </r>
  </si>
  <si>
    <t xml:space="preserve">檔案 3（多代理編排）：歷史保留比</t>
  </si>
  <si>
    <t xml:space="preserve">GM494</t>
  </si>
  <si>
    <t xml:space="preserve">C28:G28</t>
  </si>
  <si>
    <t xml:space="preserve">檔案 3（多代理編排）：快取命中變動；基準 0</t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</si>
  <si>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</si>
  <si>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</si>
  <si>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WenQuanYi Zen Hei"/>
        <family val="2"/>
      </rPr>
      <t xml:space="preserve">列）</t>
    </r>
  </si>
  <si>
    <t xml:space="preserve">檔案 3（多代理編排）：狀態保留時間</t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</si>
  <si>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</si>
  <si>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</si>
  <si>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WenQuanYi Zen Hei"/>
        <family val="2"/>
      </rPr>
      <t xml:space="preserve">列）</t>
    </r>
  </si>
  <si>
    <t xml:space="preserve">檔案 3（多代理編排）：時間範圍倍數；Anthropic 自報 +90.2% 只作對照（L7）</t>
  </si>
  <si>
    <t xml:space="preserve">GM497</t>
  </si>
  <si>
    <t xml:space="preserve">C32:G32</t>
  </si>
  <si>
    <t xml:space="preserve">檔案 3（多代理編排）：供應商專屬旗標：編排框架多為開源或自建（0）</t>
  </si>
  <si>
    <t xml:space="preserve">GM498</t>
  </si>
  <si>
    <t xml:space="preserve">C29:G29</t>
  </si>
  <si>
    <t xml:space="preserve">可比（Anthropic 多代理研究系統含 3 個子代理；token 約單代理 4 倍）</t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</si>
  <si>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WenQuanYi Zen Hei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</si>
  <si>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檔案 3（多代理編排）：子代理數增量；來源為 Interested-party（Anthropic）</t>
  </si>
  <si>
    <t xml:space="preserve">GM499</t>
  </si>
  <si>
    <t xml:space="preserve">C48:E48</t>
  </si>
  <si>
    <t xml:space="preserve">SRC_CAP_020</t>
  </si>
  <si>
    <t xml:space="preserve">可比（METR TH1.1：GPT-5.6 Sol 11.3 小時、Claude Mythos Preview 17.4 小時）</t>
  </si>
  <si>
    <t xml:space="preserve">低＝第 49 列、高＝第 50 列</t>
  </si>
  <si>
    <t xml:space="preserve">層級 50% 時間範圍基準；GPT-6 各層級未有 METR 實測（E018）</t>
  </si>
  <si>
    <t xml:space="preserve">GM500</t>
  </si>
  <si>
    <t xml:space="preserve">C49:E49</t>
  </si>
  <si>
    <t xml:space="preserve">層級 50% 時間範圍低值</t>
  </si>
  <si>
    <t xml:space="preserve">GM501</t>
  </si>
  <si>
    <t xml:space="preserve">C50:E50</t>
  </si>
  <si>
    <t xml:space="preserve">SRC_CAP_021</t>
  </si>
  <si>
    <t xml:space="preserve">可比（Mythos 級 ECI 推估 18.8–40 小時為第三方推算）</t>
  </si>
  <si>
    <t xml:space="preserve">層級 50% 時間範圍高值</t>
  </si>
  <si>
    <t xml:space="preserve">GM502</t>
  </si>
  <si>
    <t xml:space="preserve">C51</t>
  </si>
  <si>
    <t xml:space="preserve">斜率 β（C＝基準、D＝低、E＝高）</t>
  </si>
  <si>
    <t xml:space="preserve">SRC_CAP_012</t>
  </si>
  <si>
    <t xml:space="preserve">可比（Har_In 第 77–80 列以 SRC_CAP_012–019 反推）</t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</si>
  <si>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WenQuanYi Zen Hei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WenQuanYi Zen Hei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WenQuanYi Zen Hei"/>
        <family val="2"/>
      </rPr>
      <t xml:space="preserve">；選取屬判斷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</si>
  <si>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WenQuanYi Zen Hei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</si>
  <si>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</si>
  <si>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</si>
  <si>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</si>
  <si>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WenQuanYi Zen Hei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WenQuanYi Zen Hei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WenQuanYi Zen Hei"/>
        <family val="2"/>
      </rPr>
      <t xml:space="preserve">；選取屬判斷</t>
    </r>
  </si>
  <si>
    <t xml:space="preserve">GM504</t>
  </si>
  <si>
    <t xml:space="preserve">C53:G53</t>
  </si>
  <si>
    <t xml:space="preserve">各任務 ×0.5–×2（Claude 提議，Andy 2026-10-03 確認）</t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</si>
  <si>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WenQuanYi Zen Hei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WenQuanYi Zen Hei"/>
        <family val="2"/>
      </rPr>
      <t xml:space="preserve">約一個工作日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</si>
  <si>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</si>
  <si>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</si>
  <si>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WenQuanYi Zen Hei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節參數組的區間依據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</si>
  <si>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</si>
  <si>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</si>
  <si>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WenQuanYi Zen Hei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</si>
  <si>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</si>
  <si>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</si>
  <si>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</si>
  <si>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為實際值，已隱含效果</t>
    </r>
  </si>
  <si>
    <t xml:space="preserve">GM508</t>
  </si>
  <si>
    <t xml:space="preserve">E11:G11</t>
  </si>
  <si>
    <t xml:space="preserve">可比（VR NVFP4 訓練峰值 2520 ÷ FP8 1260＝2；GB300 的 3 為 Assumed）</t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</si>
  <si>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WenQuanYi Zen Hei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</si>
  <si>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WenQuanYi Zen Hei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WenQuanYi Zen Hei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</si>
  <si>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</si>
  <si>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</si>
  <si>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WenQuanYi Zen Hei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WenQuanYi Zen Hei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</si>
  <si>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</si>
  <si>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</si>
  <si>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WenQuanYi Zen Hei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WenQuanYi Zen Hei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WenQuanYi Zen Hei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</si>
  <si>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</si>
  <si>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</si>
  <si>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</si>
  <si>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t xml:space="preserve">可比（Kimi 完全非同步 rollout 1.5 倍；ROLL Flash 2.24–2.72、AReaL 2 倍見 SRC_PERF_038–040）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</si>
  <si>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WenQuanYi Zen Hei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</si>
  <si>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</si>
  <si>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</si>
  <si>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</si>
  <si>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WenQuanYi Zen Hei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WenQuanYi Zen Hei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</si>
  <si>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</si>
  <si>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</si>
  <si>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WenQuanYi Zen Hei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</si>
  <si>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GM514</t>
  </si>
  <si>
    <t xml:space="preserve">H5:H16</t>
  </si>
  <si>
    <t xml:space="preserve">各技術倍數採用低／基準／高（1／2／3）；基準 2</t>
  </si>
  <si>
    <t xml:space="preserve">GM515</t>
  </si>
  <si>
    <t xml:space="preserve">J5:J13</t>
  </si>
  <si>
    <t xml:space="preserve">計數（R 欄所列實驗室）</t>
  </si>
  <si>
    <t xml:space="preserve">G0-6</t>
  </si>
  <si>
    <t xml:space="preserve">公開採用實驗室數；G0-6：T01–T09 待 Stage 2 補採用紀錄（SRC_Model）後改為計數公式</t>
  </si>
  <si>
    <t xml:space="preserve">GM516</t>
  </si>
  <si>
    <t xml:space="preserve">J15:J16</t>
  </si>
  <si>
    <t xml:space="preserve">同上（T11、T12）；T10 的 J14 已由 SRC 採用紀錄計數</t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</si>
  <si>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</si>
  <si>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</si>
  <si>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WenQuanYi Zen Hei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＝全面採用）</t>
    </r>
  </si>
  <si>
    <t xml:space="preserve">採用比例：開關為 1 時倍數效果乘以此比例</t>
  </si>
  <si>
    <t xml:space="preserve">GM518</t>
  </si>
  <si>
    <t xml:space="preserve">O5:O16</t>
  </si>
  <si>
    <t xml:space="preserve">開關：依 J14 主流判定與「已在基準」決定（已在基準者為 1 但不另套倍數）；T07 依 J7、T12 依 L3 為 0</t>
  </si>
  <si>
    <t xml:space="preserve">GM519</t>
  </si>
  <si>
    <t xml:space="preserve">預訓練 MFU 基準（FP8 分母；GB200／GB300）</t>
  </si>
  <si>
    <t xml:space="preserve">SRC_PERF_036</t>
  </si>
  <si>
    <t xml:space="preserve">可比（Llama 3 405B BF16 MFU 38–43%＝FP8 口徑約 19–22%；DeepSeek V3 推導約 20%）</t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</si>
  <si>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</si>
  <si>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預訓練 MFU（FP8 分母；GB200／GB300）</t>
  </si>
  <si>
    <t xml:space="preserve">GM520</t>
  </si>
  <si>
    <t xml:space="preserve">SRC_PERF_037</t>
  </si>
  <si>
    <t xml:space="preserve">可比（Llama 3 有效訓練時間 &gt;90%；值相等但為不同模型與叢集，不直接連結）</t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</si>
  <si>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</si>
  <si>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WenQuanYi Zen Hei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WenQuanYi Zen Hei"/>
        <family val="2"/>
      </rPr>
      <t xml:space="preserve">）</t>
    </r>
  </si>
  <si>
    <t xml:space="preserve">GM521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</si>
  <si>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</si>
  <si>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WenQuanYi Zen Hei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</si>
  <si>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</si>
  <si>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</si>
  <si>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WenQuanYi Zen Hei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交替；蒸餾學生更新沿用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</si>
  <si>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GM523</t>
  </si>
  <si>
    <t xml:space="preserve">參考模型前向（KL 懲罰；0＝無、1＝有）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</si>
  <si>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WenQuanYi Zen Hei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</si>
  <si>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WenQuanYi Zen Hei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WenQuanYi Zen Hei"/>
        <family val="2"/>
      </rPr>
      <t xml:space="preserve">等後續做法移除</t>
    </r>
  </si>
  <si>
    <t xml:space="preserve">GM524</t>
  </si>
  <si>
    <t xml:space="preserve">可比（非同步增益 1.5–2.7 倍，SRC_MOD_046、SRC_PERF_038–040）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</si>
  <si>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WenQuanYi Zen Hei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WenQuanYi Zen Hei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</si>
  <si>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</si>
  <si>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</si>
  <si>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WenQuanYi Zen Hei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WenQuanYi Zen Hei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紀錄）</t>
    </r>
  </si>
  <si>
    <t xml:space="preserve">GM526</t>
  </si>
  <si>
    <t xml:space="preserve">研發倍數（研發總 GPU 小時 ÷ 最終訓練）</t>
  </si>
  <si>
    <t xml:space="preserve">可比（Epoch 最終訓練占研發支出 9.6%–22.6% → 倍數 4.4–10.4；SRC_DEM_001–003）</t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</si>
  <si>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</si>
  <si>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WenQuanYi Zen Hei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</si>
  <si>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</si>
  <si>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t xml:space="preserve">合成資料生成層級（1 Luna／2 Sol／3 Astra）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</si>
  <si>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WenQuanYi Zen Hei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</si>
  <si>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</si>
  <si>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</si>
  <si>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</si>
  <si>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</si>
  <si>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</si>
  <si>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）</t>
    </r>
  </si>
  <si>
    <t xml:space="preserve">GM530</t>
  </si>
  <si>
    <t xml:space="preserve">C21:G21</t>
  </si>
  <si>
    <t xml:space="preserve">預訓練 MFU 世代倍數</t>
  </si>
  <si>
    <t xml:space="preserve">各世代 ±0.2（Claude 提議，Andy 2026-10-03 確認）；v5.18 E1：Hopper（C21）基準 0.8→1.0，區間 0.8–1.2（Assumed）</t>
  </si>
  <si>
    <t xml:space="preserve">預訓練 MFU 世代倍數；v5.18 E1：Hopper 基準 1.0（原 0.8 使 MFU＝20%，對應 DeepSeek V3 推導值）；MegaScale-MoE 方向性證據（MFU 隨 GPU 運算能力下降）與現行倍數相反，已讀未採用，列待判斷</t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</si>
  <si>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</si>
  <si>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</si>
  <si>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</si>
  <si>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WenQuanYi Zen Hei"/>
        <family val="2"/>
      </rPr>
      <t xml:space="preserve">）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</si>
  <si>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</si>
  <si>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WenQuanYi Zen Hei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</si>
  <si>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WenQuanYi Zen Hei"/>
        <family val="2"/>
      </rPr>
      <t xml:space="preserve">注意力預訓練序列長</t>
    </r>
  </si>
  <si>
    <t xml:space="preserve">GM533</t>
  </si>
  <si>
    <t xml:space="preserve">C27:E27</t>
  </si>
  <si>
    <t xml:space="preserve">長上下文延伸 token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</si>
  <si>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WenQuanYi Zen Hei"/>
        <family val="2"/>
      </rPr>
      <t xml:space="preserve">（原註）</t>
    </r>
  </si>
  <si>
    <t xml:space="preserve">長上下文延伸 token；V4 未揭露</t>
  </si>
  <si>
    <t xml:space="preserve">GM534</t>
  </si>
  <si>
    <t xml:space="preserve">C28:E28</t>
  </si>
  <si>
    <t xml:space="preserve">長上下文延伸序列長 128K（設計選擇）</t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</si>
  <si>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</si>
  <si>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</si>
  <si>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WenQuanYi Zen Hei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</si>
  <si>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</si>
  <si>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</si>
  <si>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WenQuanYi Zen Hei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WenQuanYi Zen Hei"/>
        <family val="2"/>
      </rPr>
      <t xml:space="preserve">（設計選擇）</t>
    </r>
  </si>
  <si>
    <t xml:space="preserve">GM537</t>
  </si>
  <si>
    <t xml:space="preserve">批次推論速度下限（rollout、合成、評測）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</si>
  <si>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WenQuanYi Zen Hei"/>
        <family val="2"/>
      </rPr>
      <t xml:space="preserve">（原註）</t>
    </r>
  </si>
  <si>
    <t xml:space="preserve">批次推論速度下限，取代互動 SLO</t>
  </si>
  <si>
    <t xml:space="preserve">GM538</t>
  </si>
  <si>
    <t xml:space="preserve">各層 ×0.5–×2（Claude 提議，Andy 2026-10-03 確認）</t>
  </si>
  <si>
    <t xml:space="preserve">GM539</t>
  </si>
  <si>
    <t xml:space="preserve">C33:E33</t>
  </si>
  <si>
    <t xml:space="preserve">GM540</t>
  </si>
  <si>
    <t xml:space="preserve">C34:E34</t>
  </si>
  <si>
    <t xml:space="preserve">J9</t>
  </si>
  <si>
    <r>
      <rPr>
        <sz val="10"/>
        <color rgb="FF000000"/>
        <rFont val="Arial"/>
        <family val="0"/>
        <charset val="1"/>
      </rPr>
      <t xml:space="preserve">×0.3–×3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WenQuanYi Zen Hei"/>
        <family val="2"/>
      </rPr>
      <t xml:space="preserve">列情境倍數）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</si>
  <si>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WenQuanYi Zen Hei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WenQuanYi Zen Hei"/>
        <family val="2"/>
      </rPr>
      <t xml:space="preserve">只作對照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</si>
  <si>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</si>
  <si>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</si>
  <si>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</si>
  <si>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WenQuanYi Zen Hei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</si>
  <si>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</si>
  <si>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</si>
  <si>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t xml:space="preserve">蒸餾教師層級（1／2／3）</t>
  </si>
  <si>
    <t xml:space="preserve">蒸餾教師層級：同層級專家為教師（V4 做法，S35）</t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</si>
  <si>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WenQuanYi Zen Hei"/>
        <family val="2"/>
      </rPr>
      <t xml:space="preserve">（設計選擇）</t>
    </r>
  </si>
  <si>
    <t xml:space="preserve">GM543</t>
  </si>
  <si>
    <t xml:space="preserve">C37:E37</t>
  </si>
  <si>
    <t xml:space="preserve">合成資料生成 token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</si>
  <si>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WenQuanYi Zen Hei"/>
        <family val="2"/>
      </rPr>
      <t xml:space="preserve">（原註）</t>
    </r>
  </si>
  <si>
    <t xml:space="preserve">GM544</t>
  </si>
  <si>
    <t xml:space="preserve">C38:E38</t>
  </si>
  <si>
    <t xml:space="preserve">評測 token</t>
  </si>
  <si>
    <t xml:space="preserve">GM545</t>
  </si>
  <si>
    <t xml:space="preserve">C44</t>
  </si>
  <si>
    <t xml:space="preserve">換算（147K ÷ 2.664M＝0.0552，模型取 0.055；分母 SRC_MOD_040）</t>
  </si>
  <si>
    <t xml:space="preserve">v5.18 C44：改為公式 =SRC_MOD_034/SRC_MOD_040（0.05518）；所有輸出影響 0</t>
  </si>
  <si>
    <t xml:space="preserve">GM546</t>
  </si>
  <si>
    <t xml:space="preserve">C47</t>
  </si>
  <si>
    <t xml:space="preserve">可比（Epoch：Grok-3 約 4.6e26）</t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</si>
  <si>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WenQuanYi Zen Hei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WenQuanYi Zen Hei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</si>
  <si>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</si>
  <si>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</si>
  <si>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</si>
  <si>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</si>
  <si>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</si>
  <si>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</si>
  <si>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</si>
  <si>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GM550</t>
  </si>
  <si>
    <t xml:space="preserve">GM551</t>
  </si>
  <si>
    <t xml:space="preserve">E13:H13</t>
  </si>
  <si>
    <t xml:space="preserve">預訓練 MFU 基準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</si>
  <si>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低／高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</si>
  <si>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</si>
  <si>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</si>
  <si>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WenQuanYi Zen Hei"/>
        <family val="2"/>
      </rPr>
      <t xml:space="preserve">低</t>
    </r>
  </si>
  <si>
    <t xml:space="preserve">GM553</t>
  </si>
  <si>
    <t xml:space="preserve">K30:N30</t>
  </si>
  <si>
    <t xml:space="preserve">所需 token 倍數（H_TOK）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</si>
  <si>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WenQuanYi Zen Hei"/>
        <family val="2"/>
      </rPr>
      <t xml:space="preserve">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</si>
  <si>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</si>
  <si>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</si>
  <si>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效率低／高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</si>
  <si>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</si>
  <si>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</si>
  <si>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WenQuanYi Zen Hei"/>
        <family val="2"/>
      </rPr>
      <t xml:space="preserve">）</t>
    </r>
  </si>
  <si>
    <t xml:space="preserve">GM556</t>
  </si>
  <si>
    <t xml:space="preserve">Perf_Batch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</si>
  <si>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</si>
  <si>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</si>
  <si>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</si>
  <si>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</si>
  <si>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</si>
  <si>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專家權重 bytes/param（含 H_WB）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</si>
  <si>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</si>
  <si>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WenQuanYi Zen Hei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WenQuanYi Zen Hei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WenQuanYi Zen Hei"/>
        <family val="2"/>
      </rPr>
      <t xml:space="preserve">）</t>
    </r>
  </si>
  <si>
    <t xml:space="preserve">GM559</t>
  </si>
  <si>
    <t xml:space="preserve">GM560</t>
  </si>
  <si>
    <t xml:space="preserve">GM561</t>
  </si>
  <si>
    <t xml:space="preserve">B6:B7</t>
  </si>
  <si>
    <t xml:space="preserve">利用率 40%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</si>
  <si>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WenQuanYi Zen Hei"/>
        <family val="2"/>
      </rPr>
      <t xml:space="preserve">區間）</t>
    </r>
  </si>
  <si>
    <t xml:space="preserve">GM562</t>
  </si>
  <si>
    <t xml:space="preserve">B8:B9</t>
  </si>
  <si>
    <t xml:space="preserve">折扣 10%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</si>
  <si>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</t>
    </r>
  </si>
  <si>
    <t xml:space="preserve">GM563</t>
  </si>
  <si>
    <t xml:space="preserve">B10:B11</t>
  </si>
  <si>
    <t xml:space="preserve">快取命中 χ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</si>
  <si>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</t>
    </r>
  </si>
  <si>
    <t xml:space="preserve">GM564</t>
  </si>
  <si>
    <t xml:space="preserve">B12:B13</t>
  </si>
  <si>
    <t xml:space="preserve">對外服務占機隊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</si>
  <si>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）</t>
    </r>
  </si>
  <si>
    <t xml:space="preserve">GM565</t>
  </si>
  <si>
    <t xml:space="preserve">B14:B15</t>
  </si>
  <si>
    <t xml:space="preserve">免費占服務 35%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</si>
  <si>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</si>
  <si>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</si>
  <si>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</si>
  <si>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WenQuanYi Zen Hei"/>
        <family val="2"/>
      </rPr>
      <t xml:space="preserve">量級情境）</t>
    </r>
  </si>
  <si>
    <t xml:space="preserve">GM567</t>
  </si>
  <si>
    <t xml:space="preserve">B20:B21</t>
  </si>
  <si>
    <t xml:space="preserve">壽命 6 個月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</si>
  <si>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WenQuanYi Zen Hei"/>
        <family val="2"/>
      </rPr>
      <t xml:space="preserve">）</t>
    </r>
  </si>
  <si>
    <t xml:space="preserve">GM568</t>
  </si>
  <si>
    <t xml:space="preserve">Sensitivity</t>
  </si>
  <si>
    <t xml:space="preserve">X8:Y8</t>
  </si>
  <si>
    <t xml:space="preserve">機架外 IT 電力占比低／高（Inputs E8 的區間端點）</t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</si>
  <si>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</si>
  <si>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</si>
  <si>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年</t>
    </r>
  </si>
  <si>
    <t xml:space="preserve">GM570</t>
  </si>
  <si>
    <t xml:space="preserve">切片一（v5.13 D 包）</t>
  </si>
  <si>
    <t xml:space="preserve">C34:D34</t>
  </si>
  <si>
    <t xml:space="preserve">每層 KV bytes/token（壓縮後平均，FP8）</t>
  </si>
  <si>
    <r>
      <rPr>
        <sz val="10"/>
        <color rgb="FF000000"/>
        <rFont val="Arial"/>
        <family val="0"/>
        <charset val="1"/>
      </rPr>
      <t xml:space="preserve">4–130 B</t>
    </r>
    <r>
      <rPr>
        <sz val="10"/>
        <color rgb="FF000000"/>
        <rFont val="WenQuanYi Zen Hei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WenQuanYi Zen Hei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WenQuanYi Zen Hei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WenQuanYi Zen Hei"/>
        <family val="2"/>
      </rPr>
      <t xml:space="preserve">：高 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bf16 KV</t>
    </r>
    <r>
      <rPr>
        <sz val="10"/>
        <color rgb="FF000000"/>
        <rFont val="WenQuanYi Zen Hei"/>
        <family val="2"/>
      </rPr>
      <t xml:space="preserve">、涵蓋 </t>
    </r>
    <r>
      <rPr>
        <sz val="10"/>
        <color rgb="FF000000"/>
        <rFont val="Arial"/>
        <family val="0"/>
        <charset val="1"/>
      </rPr>
      <t xml:space="preserve">indexer key </t>
    </r>
    <r>
      <rPr>
        <sz val="10"/>
        <color rgb="FF000000"/>
        <rFont val="WenQuanYi Zen Hei"/>
        <family val="2"/>
      </rPr>
      <t xml:space="preserve">情境；基準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WenQuanYi Zen Hei"/>
        <family val="2"/>
      </rPr>
      <t xml:space="preserve">不動）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</si>
  <si>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WenQuanYi Zen Hei"/>
        <family val="2"/>
      </rPr>
      <t xml:space="preserve">結構重算（只計壓縮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Flash 64.37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64.98</t>
    </r>
    <r>
      <rPr>
        <sz val="10"/>
        <color rgb="FF000000"/>
        <rFont val="WenQuanYi Zen Hei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WenQuanYi Zen Hei"/>
        <family val="2"/>
      </rPr>
      <t xml:space="preserve">相差 </t>
    </r>
    <r>
      <rPr>
        <sz val="10"/>
        <color rgb="FF000000"/>
        <rFont val="Arial"/>
        <family val="0"/>
        <charset val="1"/>
      </rPr>
      <t xml:space="preserve">&lt;1.1%</t>
    </r>
    <r>
      <rPr>
        <sz val="10"/>
        <color rgb="FF000000"/>
        <rFont val="WenQuanYi Zen Hei"/>
        <family val="2"/>
      </rPr>
      <t xml:space="preserve">；計入 </t>
    </r>
    <r>
      <rPr>
        <sz val="10"/>
        <color rgb="FF000000"/>
        <rFont val="Arial"/>
        <family val="0"/>
        <charset val="1"/>
      </rPr>
      <t xml:space="preserve">indexer key 80.0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80.7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bf16 KV 128.7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130.0</t>
    </r>
    <r>
      <rPr>
        <sz val="10"/>
        <color rgb="FF000000"/>
        <rFont val="WenQuanYi Zen Hei"/>
        <family val="2"/>
      </rPr>
      <t xml:space="preserve">（參考程式預設 </t>
    </r>
    <r>
      <rPr>
        <sz val="10"/>
        <color rgb="FF000000"/>
        <rFont val="Arial"/>
        <family val="0"/>
        <charset val="1"/>
      </rPr>
      <t xml:space="preserve">dtype</t>
    </r>
    <r>
      <rPr>
        <sz val="10"/>
        <color rgb="FF000000"/>
        <rFont val="WenQuanYi Zen Hei"/>
        <family val="2"/>
      </rPr>
      <t xml:space="preserve">；生產精度未找到出處）</t>
    </r>
  </si>
  <si>
    <t xml:space="preserve">GM571</t>
  </si>
  <si>
    <t xml:space="preserve">可比（DeepSeek-V3 MLA 512＋64；Astra 為封閉前沿代理，不直接連結）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</si>
  <si>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WenQuanYi Zen Hei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元素數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</si>
  <si>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GM572</t>
  </si>
  <si>
    <t xml:space="preserve">E36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</si>
  <si>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</si>
  <si>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WenQuanYi Zen Hei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WenQuanYi Zen Hei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WenQuanYi Zen Hei"/>
        <family val="2"/>
      </rPr>
      <t xml:space="preserve">」）</t>
    </r>
  </si>
  <si>
    <t xml:space="preserve">GM573</t>
  </si>
  <si>
    <t xml:space="preserve">E37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</si>
  <si>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WenQuanYi Zen Hei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</si>
  <si>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</si>
  <si>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WenQuanYi Zen Hei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WenQuanYi Zen Hei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</si>
  <si>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GM575</t>
  </si>
  <si>
    <t xml:space="preserve">切片三（v5.15 Block 6）</t>
  </si>
  <si>
    <t xml:space="preserve">Alloc_In</t>
  </si>
  <si>
    <t xml:space="preserve">A8</t>
  </si>
  <si>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WenQuanYi Zen Hei"/>
        <family val="2"/>
      </rPr>
      <t xml:space="preserve">：建「實驗室」選擇器，只放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待來源查核後加入</t>
    </r>
  </si>
  <si>
    <t xml:space="preserve">GM576</t>
  </si>
  <si>
    <t xml:space="preserve">家族計畫數 N_major（個／年）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</si>
  <si>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WenQuanYi Zen Hei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WenQuanYi Zen Hei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</si>
  <si>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GM577</t>
  </si>
  <si>
    <t xml:space="preserve">D6:E6</t>
  </si>
  <si>
    <r>
      <rPr>
        <sz val="10"/>
        <color rgb="FF000000"/>
        <rFont val="Arial"/>
        <family val="0"/>
        <charset val="1"/>
      </rPr>
      <t xml:space="preserve">C6 </t>
    </r>
    <r>
      <rPr>
        <sz val="10"/>
        <color rgb="FF000000"/>
        <rFont val="WenQuanYi Zen Hei"/>
        <family val="2"/>
      </rPr>
      <t xml:space="preserve">的低、高端點</t>
    </r>
  </si>
  <si>
    <t xml:space="preserve">GM578</t>
  </si>
  <si>
    <t xml:space="preserve">改版計畫數 N_refresh（個／年）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</si>
  <si>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WenQuanYi Zen Hei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WenQuanYi Zen Hei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WenQuanYi Zen Hei"/>
        <family val="2"/>
      </rPr>
      <t xml:space="preserve">）</t>
    </r>
  </si>
  <si>
    <t xml:space="preserve">GM579</t>
  </si>
  <si>
    <t xml:space="preserve">D7:E7</t>
  </si>
  <si>
    <r>
      <rPr>
        <sz val="10"/>
        <color rgb="FF000000"/>
        <rFont val="Arial"/>
        <family val="0"/>
        <charset val="1"/>
      </rPr>
      <t xml:space="preserve">C7 </t>
    </r>
    <r>
      <rPr>
        <sz val="10"/>
        <color rgb="FF000000"/>
        <rFont val="WenQuanYi Zen Hei"/>
        <family val="2"/>
      </rPr>
      <t xml:space="preserve">的低、高端點</t>
    </r>
  </si>
  <si>
    <t xml:space="preserve">GM580</t>
  </si>
  <si>
    <t xml:space="preserve">計畫規模倍數 k（相對 Block 3）</t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</si>
  <si>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WenQuanYi Zen Hei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WenQuanYi Zen Hei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WenQuanYi Zen Hei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WenQuanYi Zen Hei"/>
        <family val="2"/>
      </rPr>
      <t xml:space="preserve">）</t>
    </r>
  </si>
  <si>
    <t xml:space="preserve">GM581</t>
  </si>
  <si>
    <t xml:space="preserve">D8:E8</t>
  </si>
  <si>
    <r>
      <rPr>
        <sz val="10"/>
        <color rgb="FF000000"/>
        <rFont val="Arial"/>
        <family val="0"/>
        <charset val="1"/>
      </rPr>
      <t xml:space="preserve">C8 </t>
    </r>
    <r>
      <rPr>
        <sz val="10"/>
        <color rgb="FF000000"/>
        <rFont val="WenQuanYi Zen Hei"/>
        <family val="2"/>
      </rPr>
      <t xml:space="preserve">的低、高端點</t>
    </r>
  </si>
  <si>
    <t xml:space="preserve">GM582</t>
  </si>
  <si>
    <t xml:space="preserve">機隊年成長率 g</t>
  </si>
  <si>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WenQuanYi Zen Hei"/>
        <family val="2"/>
      </rPr>
      <t xml:space="preserve">：成長只作情境；基準為穩態年度（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WenQuanYi Zen Hei"/>
        <family val="2"/>
      </rPr>
      <t xml:space="preserve">）；成長情境下研發計畫依未來需求定規模</t>
    </r>
  </si>
  <si>
    <t xml:space="preserve">GM583</t>
  </si>
  <si>
    <t xml:space="preserve">GM584</t>
  </si>
  <si>
    <t xml:space="preserve">SRC_DEM_010</t>
  </si>
  <si>
    <t xml:space="preserve">換算（時點值→全年平均）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</si>
  <si>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WenQuanYi Zen Hei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</si>
  <si>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GM585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</si>
  <si>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WenQuanYi Zen Hei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</si>
  <si>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t xml:space="preserve">GM586</t>
  </si>
  <si>
    <t xml:space="preserve">每則提示 token 數</t>
  </si>
  <si>
    <t xml:space="preserve">SRC_DEM_012</t>
  </si>
  <si>
    <t xml:space="preserve">換算（每日提示數 × 每則 token；2025-07 視同全年平均）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</si>
  <si>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WenQuanYi Zen Hei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WenQuanYi Zen Hei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WenQuanYi Zen Hei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WenQuanYi Zen Hei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</si>
  <si>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t xml:space="preserve">GM587</t>
  </si>
  <si>
    <t xml:space="preserve">GM588</t>
  </si>
  <si>
    <t xml:space="preserve">外部對照（免費推論支出占比，支出口徑）</t>
  </si>
  <si>
    <t xml:space="preserve">新增；以 L1 外部對照（免費服務算力占比對 SRC_DEM_005 ÷ SRC_DEM_004）檢查 ｜補充旗標（IF 全欄分段，非分段依據）：中</t>
  </si>
  <si>
    <t xml:space="preserve">GM589</t>
  </si>
  <si>
    <t xml:space="preserve">D16:E16</t>
  </si>
  <si>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WenQuanYi Zen Hei"/>
        <family val="2"/>
      </rPr>
      <t xml:space="preserve">的低、高端點</t>
    </r>
  </si>
  <si>
    <t xml:space="preserve">新增；以 L1 外部對照（免費服務算力占比對 SRC_DEM_005 ÷ SRC_DEM_004）檢查</t>
  </si>
  <si>
    <t xml:space="preserve">GM590</t>
  </si>
  <si>
    <t xml:space="preserve">C9:C12</t>
  </si>
  <si>
    <t xml:space="preserve">服務世代組合（Hopper／GB200／GB300／VR200）</t>
  </si>
  <si>
    <t xml:space="preserve">各 0–100%，合計 100%（Checks H1）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</si>
  <si>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WenQuanYi Zen Hei"/>
        <family val="2"/>
      </rPr>
      <t xml:space="preserve">驅動表：服務機隊的世代組合（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WenQuanYi Zen Hei"/>
        <family val="2"/>
      </rPr>
      <t xml:space="preserve">；補充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Hopper 60%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40%</t>
    </r>
    <r>
      <rPr>
        <sz val="10"/>
        <color rgb="FF000000"/>
        <rFont val="WenQuanYi Zen Hei"/>
        <family val="2"/>
      </rPr>
      <t xml:space="preserve">）；四者合計須為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。保留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實際機隊選項；基準定義待 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WenQuanYi Zen Hei"/>
        <family val="2"/>
      </rPr>
      <t xml:space="preserve">討論</t>
    </r>
  </si>
  <si>
    <t xml:space="preserve">GM591</t>
  </si>
  <si>
    <t xml:space="preserve">D9:E12</t>
  </si>
  <si>
    <r>
      <rPr>
        <sz val="10"/>
        <color rgb="FF000000"/>
        <rFont val="Arial"/>
        <family val="0"/>
        <charset val="1"/>
      </rPr>
      <t xml:space="preserve">C9:C12 </t>
    </r>
    <r>
      <rPr>
        <sz val="10"/>
        <color rgb="FF000000"/>
        <rFont val="WenQuanYi Zen Hei"/>
        <family val="2"/>
      </rPr>
      <t xml:space="preserve">的低、高端點（各 </t>
    </r>
    <r>
      <rPr>
        <sz val="10"/>
        <color rgb="FF000000"/>
        <rFont val="Arial"/>
        <family val="0"/>
        <charset val="1"/>
      </rPr>
      <t xml:space="preserve">0–100%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</si>
  <si>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WenQuanYi Zen Hei"/>
        <family val="2"/>
      </rPr>
      <t xml:space="preserve">驅動表：服務機隊的世代組合</t>
    </r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</si>
  <si>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WenQuanYi Zen Hei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WenQuanYi Zen Hei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WenQuanYi Zen Hei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</si>
  <si>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WenQuanYi Zen Hei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WenQuanYi Zen Hei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WenQuanYi Zen Hei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WenQuanYi Zen Hei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WenQuanYi Zen Hei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WenQuanYi Zen Hei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WenQuanYi Zen Hei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</si>
  <si>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</si>
  <si>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</si>
  <si>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WenQuanYi Zen Hei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</si>
  <si>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</si>
  <si>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</si>
  <si>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</si>
  <si>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WenQuanYi Zen Hei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</si>
  <si>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WenQuanYi Zen Hei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WenQuanYi Zen Hei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</si>
  <si>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WenQuanYi Zen Hei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WenQuanYi Zen Hei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</si>
  <si>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</si>
  <si>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WenQuanYi Zen Hei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WenQuanYi Zen Hei"/>
        <family val="2"/>
      </rPr>
      <t xml:space="preserve">）</t>
    </r>
  </si>
  <si>
    <t xml:space="preserve">交接第 2 節</t>
  </si>
  <si>
    <t xml:space="preserve">D2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</si>
  <si>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WenQuanYi Zen Hei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</si>
  <si>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</si>
  <si>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</si>
  <si>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</si>
  <si>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</si>
  <si>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</si>
  <si>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</si>
  <si>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</si>
  <si>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</si>
  <si>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</si>
  <si>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</si>
  <si>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WenQuanYi Zen Hei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WenQuanYi Zen Hei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WenQuanYi Zen Hei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</si>
  <si>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</si>
  <si>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WenQuanYi Zen Hei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WenQuanYi Zen Hei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</si>
  <si>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</si>
  <si>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</si>
  <si>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</si>
  <si>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</si>
  <si>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</si>
  <si>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WenQuanYi Zen Hei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</si>
  <si>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WenQuanYi Zen Hei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</si>
  <si>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</si>
  <si>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</si>
  <si>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</si>
  <si>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</si>
  <si>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</si>
  <si>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</si>
  <si>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</si>
  <si>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</si>
  <si>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</si>
  <si>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</si>
  <si>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</si>
  <si>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</si>
  <si>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</si>
  <si>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</si>
  <si>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</si>
  <si>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J6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</si>
  <si>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</si>
  <si>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WenQuanYi Zen Hei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</si>
  <si>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</si>
  <si>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</si>
  <si>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</si>
  <si>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</si>
  <si>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WenQuanYi Zen Hei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</si>
  <si>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</si>
  <si>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</si>
  <si>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</si>
  <si>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</si>
  <si>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WenQuanYi Zen Hei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WenQuanYi Zen Hei"/>
        <family val="2"/>
      </rPr>
      <t xml:space="preserve">：其資料傾向樂觀）</t>
    </r>
  </si>
  <si>
    <t xml:space="preserve">2026-09-30</t>
  </si>
  <si>
    <t xml:space="preserve">J7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</si>
  <si>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</si>
  <si>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WenQuanYi Zen Hei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WenQuanYi Zen Hei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</si>
  <si>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</si>
  <si>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</si>
  <si>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</si>
  <si>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</si>
  <si>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</si>
  <si>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</si>
  <si>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</si>
  <si>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</si>
  <si>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</si>
  <si>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WenQuanYi Zen Hei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WenQuanYi Zen Hei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</si>
  <si>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</si>
  <si>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WenQuanYi Zen Hei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</si>
  <si>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</si>
  <si>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</si>
  <si>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</si>
  <si>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</si>
  <si>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</si>
  <si>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WenQuanYi Zen Hei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WenQuanYi Zen Hei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WenQuanYi Zen Hei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</si>
  <si>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</si>
  <si>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</si>
  <si>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WenQuanYi Zen Hei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</si>
  <si>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</si>
  <si>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</si>
  <si>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WenQuanYi Zen Hei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</si>
  <si>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</si>
  <si>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</si>
  <si>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</si>
  <si>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WenQuanYi Zen Hei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WenQuanYi Zen Hei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WenQuanYi Zen Hei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WenQuanYi Zen Hei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WenQuanYi Zen Hei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</si>
  <si>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P6</t>
  </si>
  <si>
    <t xml:space="preserve">具名公式（Block 4 起）</t>
  </si>
  <si>
    <t xml:space="preserve">新公式的關鍵物理量以具名範圍引用，使公式可讀；Block 1–3 既有公式不追溯</t>
  </si>
  <si>
    <t xml:space="preserve">K1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</si>
  <si>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</si>
  <si>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WenQuanYi Zen Hei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WenQuanYi Zen Hei"/>
        <family val="2"/>
      </rPr>
      <t xml:space="preserve">）</t>
    </r>
  </si>
  <si>
    <t xml:space="preserve">「K1:單價以OAI為基準我們意見。」（2026-10-01；「我們意見」為「我沒意見」之誤，Andy 2026-10-03 確認）</t>
  </si>
  <si>
    <t xml:space="preserve">K2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</si>
  <si>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</si>
  <si>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WenQuanYi Zen Hei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類型取最低</t>
    </r>
  </si>
  <si>
    <t xml:space="preserve">「K2: (i)」（2026-10-01）</t>
  </si>
  <si>
    <t xml:space="preserve">K3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</si>
  <si>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</si>
  <si>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WenQuanYi Zen Hei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</si>
  <si>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</si>
  <si>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WenQuanYi Zen Hei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WenQuanYi Zen Hei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WenQuanYi Zen Hei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</si>
  <si>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</si>
  <si>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</si>
  <si>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</si>
  <si>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K6</t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</si>
  <si>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</si>
  <si>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</si>
  <si>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</si>
  <si>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</si>
  <si>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</si>
  <si>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</si>
  <si>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</si>
  <si>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</si>
  <si>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</si>
  <si>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</si>
  <si>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</si>
  <si>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</si>
  <si>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</si>
  <si>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</si>
  <si>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</si>
  <si>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</si>
  <si>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</si>
  <si>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</si>
  <si>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</si>
  <si>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</si>
  <si>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</si>
  <si>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</si>
  <si>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t xml:space="preserve">「單價(不一定要在K1)要有中國元素(中國開源廠商的定價)，來展示有中國廠商競爭下的市場樣貌(雖然可能集中在低端)」（2026-10-01）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</si>
  <si>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</si>
  <si>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</si>
  <si>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</si>
  <si>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</si>
  <si>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</si>
  <si>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</si>
  <si>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</si>
  <si>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</si>
  <si>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</si>
  <si>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</si>
  <si>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</si>
  <si>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</si>
  <si>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</si>
  <si>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</si>
  <si>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</si>
  <si>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</si>
  <si>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</si>
  <si>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</si>
  <si>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</si>
  <si>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</si>
  <si>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</si>
  <si>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</si>
  <si>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L6</t>
  </si>
  <si>
    <t xml:space="preserve">非 GPU harness 成本</t>
  </si>
  <si>
    <t xml:space="preserve">不入第 0 層，列待辦（缺每任務沙盒／CPU 成本公開數據）</t>
  </si>
  <si>
    <t xml:space="preserve">L7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</si>
  <si>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</si>
  <si>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</si>
  <si>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</si>
  <si>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</si>
  <si>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WenQuanYi Zen Hei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WenQuanYi Zen Hei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WenQuanYi Zen Hei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</si>
  <si>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</si>
  <si>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</si>
  <si>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</si>
  <si>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</si>
  <si>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</si>
  <si>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</si>
  <si>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WenQuanYi Zen Hei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WenQuanYi Zen Hei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WenQuanYi Zen Hei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WenQuanYi Zen Hei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</si>
  <si>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</si>
  <si>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</si>
  <si>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</si>
  <si>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</si>
  <si>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</si>
  <si>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WenQuanYi Zen Hei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WenQuanYi Zen Hei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</si>
  <si>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</si>
  <si>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</si>
  <si>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</si>
  <si>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</si>
  <si>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</si>
  <si>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</si>
  <si>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</si>
  <si>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WenQuanYi Zen Hei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</si>
  <si>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</si>
  <si>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</si>
  <si>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</si>
  <si>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</si>
  <si>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</si>
  <si>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</si>
  <si>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</si>
  <si>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</si>
  <si>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</si>
  <si>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</si>
  <si>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</si>
  <si>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</si>
  <si>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</si>
  <si>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</si>
  <si>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WenQuanYi Zen Hei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WenQuanYi Zen Hei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WenQuanYi Zen Hei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WenQuanYi Zen Hei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WenQuanYi Zen Hei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WenQuanYi Zen Hei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WenQuanYi Zen Hei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WenQuanYi Zen Hei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WenQuanYi Zen Hei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WenQuanYi Zen Hei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WenQuanYi Zen Hei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</si>
  <si>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</si>
  <si>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</si>
  <si>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</si>
  <si>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</si>
  <si>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</si>
  <si>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WenQuanYi Zen Hei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WenQuanYi Zen Hei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</si>
  <si>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</si>
  <si>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WenQuanYi Zen Hei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</si>
  <si>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</si>
  <si>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</si>
  <si>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</si>
  <si>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</si>
  <si>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</si>
  <si>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</si>
  <si>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r>
      <rPr>
        <sz val="10"/>
        <color rgb="FF000000"/>
        <rFont val="Noto Sans CJK SC"/>
        <family val="2"/>
        <charset val="1"/>
      </rPr>
      <t xml:space="preserve">v5.15 </t>
    </r>
    <r>
      <rPr>
        <sz val="10"/>
        <color rgb="FF000000"/>
        <rFont val="WenQuanYi Zen Hei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</si>
  <si>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WenQuanYi Zen Hei"/>
        <family val="2"/>
      </rPr>
      <t xml:space="preserve">）</t>
    </r>
  </si>
  <si>
    <t xml:space="preserve">交接第 8f 節</t>
  </si>
  <si>
    <t xml:space="preserve">A2</t>
  </si>
  <si>
    <t xml:space="preserve">改版計畫</t>
  </si>
  <si>
    <t xml:space="preserve">計入改版計畫</t>
  </si>
  <si>
    <t xml:space="preserve">A3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</si>
  <si>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WenQuanYi Zen Hei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</si>
  <si>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</si>
  <si>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</si>
  <si>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</si>
  <si>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</si>
  <si>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</si>
  <si>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</si>
  <si>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</si>
  <si>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A6</t>
  </si>
  <si>
    <t xml:space="preserve">成長情境</t>
  </si>
  <si>
    <t xml:space="preserve">成長只作情境：為下一代準備的研發計畫依未來需求定規模</t>
  </si>
  <si>
    <t xml:space="preserve">A7</t>
  </si>
  <si>
    <t xml:space="preserve">研發口徑</t>
  </si>
  <si>
    <t xml:space="preserve">基準輸出 R1；R2 並列；R3 列為缺口、不設參數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</si>
  <si>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</si>
  <si>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</si>
  <si>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</si>
  <si>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</si>
  <si>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</si>
  <si>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</si>
  <si>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</si>
  <si>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</si>
  <si>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</si>
  <si>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</si>
  <si>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</si>
  <si>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</si>
  <si>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</si>
  <si>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</si>
  <si>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WenQuanYi Zen Hei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</si>
  <si>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</si>
  <si>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</si>
  <si>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</si>
  <si>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</si>
  <si>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</si>
  <si>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</si>
  <si>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</si>
  <si>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</si>
  <si>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</si>
  <si>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WenQuanYi Zen Hei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</si>
  <si>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WenQuanYi Zen Hei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WenQuanYi Zen Hei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WenQuanYi Zen Hei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</si>
  <si>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</si>
  <si>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</si>
  <si>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</si>
  <si>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</si>
  <si>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</si>
  <si>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</si>
  <si>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</si>
  <si>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</si>
  <si>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</si>
  <si>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</si>
  <si>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WenQuanYi Zen Hei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WenQuanYi Zen Hei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WenQuanYi Zen Hei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</si>
  <si>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</si>
  <si>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</si>
  <si>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</si>
  <si>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</si>
  <si>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WenQuanYi Zen Hei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</si>
  <si>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</si>
  <si>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</si>
  <si>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</si>
  <si>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</si>
  <si>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WenQuanYi Zen Hei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WenQuanYi Zen Hei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</si>
  <si>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WenQuanYi Zen Hei"/>
        <family val="2"/>
      </rPr>
      <t xml:space="preserve">起</t>
    </r>
  </si>
  <si>
    <r>
      <rPr>
        <sz val="10"/>
        <color rgb="FF000000"/>
        <rFont val="Noto Sans CJK SC"/>
        <family val="2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審閱：選 </t>
    </r>
    <r>
      <rPr>
        <sz val="10"/>
        <color rgb="FF000000"/>
        <rFont val="Noto Sans CJK SC"/>
        <family val="2"/>
        <charset val="1"/>
      </rPr>
      <t xml:space="preserve">(a)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Noto Sans CJK SC"/>
        <family val="2"/>
        <charset val="1"/>
      </rPr>
      <t xml:space="preserve">4 </t>
    </r>
    <r>
      <rPr>
        <sz val="10"/>
        <color rgb="FF000000"/>
        <rFont val="WenQuanYi Zen Hei"/>
        <family val="2"/>
      </rPr>
      <t xml:space="preserve">台 </t>
    </r>
    <r>
      <rPr>
        <sz val="10"/>
        <color rgb="FF000000"/>
        <rFont val="Noto Sans CJK SC"/>
        <family val="2"/>
        <charset val="1"/>
      </rPr>
      <t xml:space="preserve">HGX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Noto Sans CJK SC"/>
        <family val="2"/>
        <charset val="1"/>
      </rPr>
      <t xml:space="preserve">32 GPU</t>
    </r>
    <r>
      <rPr>
        <sz val="10"/>
        <color rgb="FF000000"/>
        <rFont val="WenQuanYi Zen Hei"/>
        <family val="2"/>
      </rPr>
      <t xml:space="preserve">）為一架</t>
    </r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</si>
  <si>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</si>
  <si>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列說明</t>
    </r>
  </si>
  <si>
    <t xml:space="preserve">A9</t>
  </si>
  <si>
    <t xml:space="preserve">需求 D 的來源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</si>
  <si>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路線為基準，支出路線並列為外部對照（選項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原始值（每分鐘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全年平均比例 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WenQuanYi Zen Hei"/>
        <family val="2"/>
      </rPr>
      <t xml:space="preserve">分鐘。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FY2025 2,628T </t>
    </r>
    <r>
      <rPr>
        <sz val="10"/>
        <color rgb="FF000000"/>
        <rFont val="WenQuanYi Zen Hei"/>
        <family val="2"/>
      </rPr>
      <t xml:space="preserve">是下游推導值，不進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WenQuanYi Zen Hei"/>
        <family val="2"/>
      </rPr>
      <t xml:space="preserve">，也不連結。年化：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月時點值，乘「全年平均比例」；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WenQuanYi Zen Hei"/>
        <family val="2"/>
      </rPr>
      <t xml:space="preserve">每日提示數視同全年平均（年內近似線性成長），不另設輸入</t>
    </r>
  </si>
  <si>
    <t xml:space="preserve">2026-10-04</t>
  </si>
  <si>
    <t xml:space="preserve">「D: 先做網路搜索，看看有沒有新的資訊，若無:(c)」；「我沒意見，請繼續」；年化處理：「(a) 保留，Gov_Map 写明理由（建议）」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</si>
  <si>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WenQuanYi Zen Hei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</si>
  <si>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A </t>
    </r>
    <r>
      <rPr>
        <sz val="10"/>
        <color rgb="FF000000"/>
        <rFont val="WenQuanYi Zen Hei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SRC_DEM_010–013</t>
    </r>
  </si>
  <si>
    <t xml:space="preserve">工作單 v5.15 B1</t>
  </si>
  <si>
    <t xml:space="preserve">A10</t>
  </si>
  <si>
    <t xml:space="preserve">基準 2,000，區間 1,000–6,000，Assumed。包含輸入、上下文、推理與輸出 token。上限 6,000 為 chat 端依推理模型與長對話酌定，沒有直接來源。標為 Q1 的最弱輸入</t>
  </si>
  <si>
    <t xml:space="preserve">「我沒意見，請繼續」（工作單 v5.15 B1 新決定 A10）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</si>
  <si>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L1_Ans1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L1_Ans2</t>
    </r>
  </si>
  <si>
    <t xml:space="preserve">S1</t>
  </si>
  <si>
    <t xml:space="preserve">Stage 2</t>
  </si>
  <si>
    <t xml:space="preserve">來源等級的升級權限</t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</si>
  <si>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WenQuanYi Zen Hei"/>
        <family val="2"/>
      </rPr>
      <t xml:space="preserve">讀到原文、附網址與原文摘錄、原文值與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現值相同（容差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；換算後相同須列換算式）時列為升級候選；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端抽查後即寫入，不逐筆問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WenQuanYi Zen Hei"/>
        <family val="2"/>
      </rPr>
      <t xml:space="preserve">。值不同、涉及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級或改變標記者逐筆交 </t>
    </r>
    <r>
      <rPr>
        <sz val="10"/>
        <color rgb="FF000000"/>
        <rFont val="Arial"/>
        <family val="0"/>
        <charset val="1"/>
      </rPr>
      <t xml:space="preserve">Andy</t>
    </r>
  </si>
  <si>
    <t xml:space="preserve">2026-10-05</t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</si>
  <si>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S1, S2:</t>
    </r>
    <r>
      <rPr>
        <sz val="10"/>
        <color rgb="FF000000"/>
        <rFont val="WenQuanYi Zen Hei"/>
        <family val="2"/>
      </rPr>
      <t xml:space="preserve">皆</t>
    </r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WenQuanYi Zen Hei"/>
        <family val="2"/>
      </rPr>
      <t xml:space="preserve">」</t>
    </r>
  </si>
  <si>
    <r>
      <rPr>
        <sz val="10"/>
        <color rgb="FF000000"/>
        <rFont val="WenQuanYi Zen Hei"/>
        <family val="2"/>
      </rPr>
      <t xml:space="preserve">生效（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</si>
  <si>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SRC_* </t>
    </r>
    <r>
      <rPr>
        <sz val="10"/>
        <color rgb="FF000000"/>
        <rFont val="WenQuanYi Zen Hei"/>
        <family val="2"/>
      </rPr>
      <t xml:space="preserve">等級欄；</t>
    </r>
    <r>
      <rPr>
        <sz val="10"/>
        <color rgb="FF000000"/>
        <rFont val="Arial"/>
        <family val="0"/>
        <charset val="1"/>
      </rPr>
      <t xml:space="preserve">DB_Evidence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</si>
  <si>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節</t>
    </r>
  </si>
  <si>
    <t xml:space="preserve">S2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</si>
  <si>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WenQuanYi Zen Hei"/>
        <family val="2"/>
      </rPr>
      <t xml:space="preserve">生產折減的證據蒐集</t>
    </r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</si>
  <si>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WenQuanYi Zen Hei"/>
        <family val="2"/>
      </rPr>
      <t xml:space="preserve">：本批蒐集，只作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參考：不提議數值、不改暫用值（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WenQuanYi Zen Hei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拆解仍依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WenQuanYi Zen Hei"/>
        <family val="2"/>
      </rPr>
      <t xml:space="preserve">『有新數據再說』暫緩</t>
    </r>
  </si>
  <si>
    <r>
      <rPr>
        <sz val="10"/>
        <color rgb="FF000000"/>
        <rFont val="Arial"/>
        <family val="0"/>
        <charset val="1"/>
      </rPr>
      <t xml:space="preserve">Serving 17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</t>
    </r>
  </si>
  <si>
    <r>
      <rPr>
        <sz val="10"/>
        <color rgb="FF000000"/>
        <rFont val="WenQuanYi Zen Hei"/>
        <family val="2"/>
      </rPr>
      <t xml:space="preserve">不得為唯一依據的來源（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，含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WenQuanYi Zen Hei"/>
        <family val="2"/>
      </rPr>
      <t xml:space="preserve">）的等級上限</t>
    </r>
  </si>
  <si>
    <r>
      <rPr>
        <sz val="10"/>
        <color rgb="FF000000"/>
        <rFont val="WenQuanYi Zen Hei"/>
        <family val="2"/>
      </rPr>
      <t xml:space="preserve">若某來源依規定不得作為唯一依據，且同時符合 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WenQuanYi Zen Hei"/>
        <family val="2"/>
      </rPr>
      <t xml:space="preserve">已讀一手原始資料（網址、讀取日期、數值或內插式）、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WenQuanYi Zen Hei"/>
        <family val="2"/>
      </rPr>
      <t xml:space="preserve">已搜尋同口徑第二來源並記錄查詢詞與結果、</t>
    </r>
    <r>
      <rPr>
        <sz val="10"/>
        <color rgb="FF000000"/>
        <rFont val="Arial"/>
        <family val="0"/>
        <charset val="1"/>
      </rPr>
      <t xml:space="preserve">(iii) </t>
    </r>
    <r>
      <rPr>
        <sz val="10"/>
        <color rgb="FF000000"/>
        <rFont val="WenQuanYi Zen Hei"/>
        <family val="2"/>
      </rPr>
      <t xml:space="preserve">口徑與方法已寫明，則等級依 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WenQuanYi Zen Hei"/>
        <family val="2"/>
      </rPr>
      <t xml:space="preserve">判定但上限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級，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WenQuanYi Zen Hei"/>
        <family val="2"/>
      </rPr>
      <t xml:space="preserve">標『待第二來源』，不擋完成條件；三點不齊者維持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級。只適用於明確列名『不得為唯一依據』的來源（目前為 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，含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</si>
  <si>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「很好」（回覆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端提出的規則草案）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</si>
  <si>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W1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</si>
  <si>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</si>
  <si>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區間型紀錄的等級（工作單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WenQuanYi Zen Hei"/>
        <family val="2"/>
      </rPr>
      <t xml:space="preserve">稱『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WenQuanYi Zen Hei"/>
        <family val="2"/>
      </rPr>
      <t xml:space="preserve">規則』）</t>
    </r>
  </si>
  <si>
    <r>
      <rPr>
        <sz val="10"/>
        <color rgb="FF000000"/>
        <rFont val="WenQuanYi Zen Hei"/>
        <family val="2"/>
      </rPr>
      <t xml:space="preserve">區間型紀錄（分析師或經銷商估計）同時符合 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WenQuanYi Zen Hei"/>
        <family val="2"/>
      </rPr>
      <t xml:space="preserve">至少一個值讀到原文、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WenQuanYi Zen Hei"/>
        <family val="2"/>
      </rPr>
      <t xml:space="preserve">基準落在已讀證據範圍內，即不為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級；未讀端點在備註標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；等級依讀到的最好來源記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WenQuanYi Zen Hei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WenQuanYi Zen Hei"/>
        <family val="2"/>
      </rPr>
      <t xml:space="preserve">為另一條規則（原始數據須連結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</si>
  <si>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G1–G4: all ok</t>
    </r>
    <r>
      <rPr>
        <sz val="10"/>
        <color rgb="FF000000"/>
        <rFont val="WenQuanYi Zen Hei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</si>
  <si>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SRC_HW_003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015</t>
    </r>
  </si>
  <si>
    <t xml:space="preserve">C2</t>
  </si>
  <si>
    <r>
      <rPr>
        <sz val="10"/>
        <color rgb="FF000000"/>
        <rFont val="WenQuanYi Zen Hei"/>
        <family val="2"/>
      </rPr>
      <t xml:space="preserve">完成檢查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(b) </t>
    </r>
    <r>
      <rPr>
        <sz val="10"/>
        <color rgb="FF000000"/>
        <rFont val="WenQuanYi Zen Hei"/>
        <family val="2"/>
      </rPr>
      <t xml:space="preserve">項的定義（工作單稱 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</si>
  <si>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WenQuanYi Zen Hei"/>
        <family val="2"/>
      </rPr>
      <t xml:space="preserve">的『候選來源或可比對象』一項：已搜尋（查詢詞列明）＋判定無可比對象＋理由，視為齊備。適用：</t>
    </r>
    <r>
      <rPr>
        <sz val="10"/>
        <color rgb="FF000000"/>
        <rFont val="Arial"/>
        <family val="0"/>
        <charset val="1"/>
      </rPr>
      <t xml:space="preserve">Calib C68:G68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GM346–350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尚未定價，外部報價不存在），以及補搜後仍無候選的列。編號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WenQuanYi Zen Hei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WenQuanYi Zen Hei"/>
        <family val="2"/>
      </rPr>
      <t xml:space="preserve">為另一條決策</t>
    </r>
  </si>
  <si>
    <t xml:space="preserve">2026-10-06</t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</si>
  <si>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WenQuanYi Zen Hei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WenQuanYi Zen Hei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WenQuanYi Zen Hei"/>
        <family val="2"/>
      </rPr>
      <t xml:space="preserve">審查回覆轉達）</t>
    </r>
  </si>
  <si>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WenQuanYi Zen Hei"/>
        <family val="2"/>
      </rPr>
      <t xml:space="preserve">／報告第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WenQuanYi Zen Hei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</si>
  <si>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v5.18 PR #19 </t>
    </r>
    <r>
      <rPr>
        <sz val="10"/>
        <color rgb="FF000000"/>
        <rFont val="WenQuanYi Zen Hei"/>
        <family val="2"/>
      </rPr>
      <t xml:space="preserve">審查回覆 </t>
    </r>
    <r>
      <rPr>
        <sz val="10"/>
        <color rgb="FF000000"/>
        <rFont val="Arial"/>
        <family val="0"/>
        <charset val="1"/>
      </rPr>
      <t xml:space="preserve">4</t>
    </r>
  </si>
  <si>
    <t xml:space="preserve">C3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</si>
  <si>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機架價格公式（工作單稱 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</si>
  <si>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G11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G13 </t>
    </r>
    <r>
      <rPr>
        <sz val="10"/>
        <color rgb="FF000000"/>
        <rFont val="WenQuanYi Zen Hei"/>
        <family val="2"/>
      </rPr>
      <t xml:space="preserve">改為公式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機架價格〔售價口徑，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WenQuanYi Zen Hei"/>
        <family val="2"/>
      </rPr>
      <t xml:space="preserve">〕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WenQuanYi Zen Hei"/>
        <family val="2"/>
      </rPr>
      <t xml:space="preserve">）；倍數為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、價格為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WenQuanYi Zen Hei"/>
        <family val="2"/>
      </rPr>
      <t xml:space="preserve">初版的『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72</t>
    </r>
    <r>
      <rPr>
        <sz val="10"/>
        <color rgb="FF000000"/>
        <rFont val="WenQuanYi Zen Hei"/>
        <family val="2"/>
      </rPr>
      <t xml:space="preserve">』常數 </t>
    </r>
    <r>
      <rPr>
        <sz val="10"/>
        <color rgb="FF000000"/>
        <rFont val="Arial"/>
        <family val="0"/>
        <charset val="1"/>
      </rPr>
      <t xml:space="preserve">11.7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15.6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19.5</t>
    </r>
    <r>
      <rPr>
        <sz val="10"/>
        <color rgb="FF000000"/>
        <rFont val="WenQuanYi Zen Hei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WenQuanYi Zen Hei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WenQuanYi Zen Hei"/>
        <family val="2"/>
      </rPr>
      <t xml:space="preserve">為另一條決策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</si>
  <si>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WenQuanYi Zen Hei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WenQuanYi Zen Hei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WenQuanYi Zen Hei"/>
        <family val="2"/>
      </rPr>
      <t xml:space="preserve">審查回覆轉達）</t>
    </r>
  </si>
  <si>
    <r>
      <rPr>
        <sz val="10"/>
        <color rgb="FF000000"/>
        <rFont val="Arial"/>
        <family val="0"/>
        <charset val="1"/>
      </rPr>
      <t xml:space="preserve">Spec_Rack G11:G13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GM089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GM099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</si>
  <si>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v5.18 PR #19 </t>
    </r>
    <r>
      <rPr>
        <sz val="10"/>
        <color rgb="FF000000"/>
        <rFont val="WenQuanYi Zen Hei"/>
        <family val="2"/>
      </rPr>
      <t xml:space="preserve">審查回覆 </t>
    </r>
    <r>
      <rPr>
        <sz val="10"/>
        <color rgb="FF000000"/>
        <rFont val="Arial"/>
        <family val="0"/>
        <charset val="1"/>
      </rPr>
      <t xml:space="preserve">5</t>
    </r>
  </si>
  <si>
    <t xml:space="preserve">C1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</si>
  <si>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完成條件（讀法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</si>
  <si>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完成＝工作單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節三項檢查全數通過：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＝高且所連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級）＝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；高段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參數逐列三項齊備；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WenQuanYi Zen Hei"/>
        <family val="2"/>
      </rPr>
      <t xml:space="preserve">規則記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級者三點齊備</t>
    </r>
  </si>
  <si>
    <r>
      <rPr>
        <sz val="10"/>
        <color rgb="FF000000"/>
        <rFont val="WenQuanYi Zen Hei"/>
        <family val="2"/>
      </rPr>
      <t xml:space="preserve">「同意把「完成」定為讀法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WenQuanYi Zen Hei"/>
        <family val="2"/>
      </rPr>
      <t xml:space="preserve">。」；「同意」（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參數完成標準）</t>
    </r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</si>
  <si>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WenQuanYi Zen Hei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WenQuanYi Zen Hei"/>
        <family val="2"/>
      </rPr>
      <t xml:space="preserve">；報告第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</si>
  <si>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節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</si>
  <si>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</si>
  <si>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</si>
  <si>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</si>
  <si>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</si>
  <si>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</si>
  <si>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</si>
  <si>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</si>
  <si>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</si>
  <si>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</si>
  <si>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</si>
  <si>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</si>
  <si>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</si>
  <si>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</si>
  <si>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WenQuanYi Zen Hei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</si>
  <si>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</si>
  <si>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</si>
  <si>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</si>
  <si>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</si>
  <si>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</si>
  <si>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</si>
  <si>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WenQuanYi Zen Hei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WenQuanYi Zen Hei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</si>
  <si>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WenQuanYi Zen Hei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</si>
  <si>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</si>
  <si>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</si>
  <si>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WenQuanYi Zen Hei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</si>
  <si>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</si>
  <si>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WenQuanYi Zen Hei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</si>
  <si>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</si>
  <si>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：產品規格</t>
    </r>
  </si>
  <si>
    <t xml:space="preserve">一手（已讀）</t>
  </si>
  <si>
    <t xml:space="preserve">Active</t>
  </si>
  <si>
    <r>
      <rPr>
        <sz val="10"/>
        <color rgb="FF000000"/>
        <rFont val="Arial"/>
        <family val="0"/>
        <charset val="1"/>
      </rPr>
      <t xml:space="preserve">E101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E181</t>
    </r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</si>
  <si>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</si>
  <si>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WenQuanYi Zen Hei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WenQuanYi Zen Hei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WenQuanYi Zen Hei"/>
        <family val="2"/>
      </rPr>
      <t xml:space="preserve">｜原文：</t>
    </r>
    <r>
      <rPr>
        <sz val="10"/>
        <color rgb="FF000000"/>
        <rFont val="Arial"/>
        <family val="0"/>
        <charset val="1"/>
      </rPr>
      <t xml:space="preserve">DGX H100/H200 </t>
    </r>
    <r>
      <rPr>
        <sz val="10"/>
        <color rgb="FF000000"/>
        <rFont val="WenQuanYi Zen Hei"/>
        <family val="2"/>
      </rPr>
      <t xml:space="preserve">使用手冊 </t>
    </r>
    <r>
      <rPr>
        <sz val="10"/>
        <color rgb="FF000000"/>
        <rFont val="Arial"/>
        <family val="0"/>
        <charset val="1"/>
      </rPr>
      <t xml:space="preserve">Table 3 “10.2 kW max.”</t>
    </r>
    <r>
      <rPr>
        <sz val="10"/>
        <color rgb="FF000000"/>
        <rFont val="WenQuanYi Zen Hei"/>
        <family val="2"/>
      </rPr>
      <t xml:space="preserve">，直接寫出，無需反推；手冊標題為 </t>
    </r>
    <r>
      <rPr>
        <sz val="10"/>
        <color rgb="FF000000"/>
        <rFont val="Arial"/>
        <family val="0"/>
        <charset val="1"/>
      </rPr>
      <t xml:space="preserve">H100/H200 </t>
    </r>
    <r>
      <rPr>
        <sz val="10"/>
        <color rgb="FF000000"/>
        <rFont val="WenQuanYi Zen Hei"/>
        <family val="2"/>
      </rPr>
      <t xml:space="preserve">共用，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適用對象為 </t>
    </r>
    <r>
      <rPr>
        <sz val="10"/>
        <color rgb="FF000000"/>
        <rFont val="Arial"/>
        <family val="0"/>
        <charset val="1"/>
      </rPr>
      <t xml:space="preserve">H100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</si>
  <si>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</si>
  <si>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WenQuanYi Zen Hei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</si>
  <si>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</si>
  <si>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</si>
  <si>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WenQuanYi Zen Hei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</si>
  <si>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WenQuanYi Zen Hei"/>
        <family val="2"/>
      </rPr>
      <t xml:space="preserve">：硬體交易平台，報價有成交誘因；低品質</t>
    </r>
  </si>
  <si>
    <t xml:space="preserve">二手</t>
  </si>
  <si>
    <t xml:space="preserve">E102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</si>
  <si>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WenQuanYi Zen Hei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</si>
  <si>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WenQuanYi Zen Hei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</si>
  <si>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</si>
  <si>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E102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E197</t>
    </r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</si>
  <si>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WenQuanYi Zen Hei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</si>
  <si>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WenQuanYi Zen Hei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WenQuanYi Zen Hei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E197</t>
    </r>
    <r>
      <rPr>
        <sz val="10"/>
        <color rgb="FF000000"/>
        <rFont val="WenQuanYi Zen Hei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WenQuanYi Zen Hei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WenQuanYi Zen Hei"/>
        <family val="2"/>
      </rPr>
      <t xml:space="preserve">上限有 </t>
    </r>
    <r>
      <rPr>
        <sz val="10"/>
        <color rgb="FF000000"/>
        <rFont val="Arial"/>
        <family val="0"/>
        <charset val="1"/>
      </rPr>
      <t xml:space="preserve">SHI </t>
    </r>
    <r>
      <rPr>
        <sz val="10"/>
        <color rgb="FF000000"/>
        <rFont val="WenQuanYi Zen Hei"/>
        <family val="2"/>
      </rPr>
      <t xml:space="preserve">德州政府合約標價 </t>
    </r>
    <r>
      <rPr>
        <sz val="10"/>
        <color rgb="FF000000"/>
        <rFont val="Arial"/>
        <family val="0"/>
        <charset val="1"/>
      </rPr>
      <t xml:space="preserve">$311,624 </t>
    </r>
    <r>
      <rPr>
        <sz val="10"/>
        <color rgb="FF000000"/>
        <rFont val="WenQuanYi Zen Hei"/>
        <family val="2"/>
      </rPr>
      <t xml:space="preserve">一手佐證（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端讀取；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WenQuanYi Zen Hei"/>
        <family val="2"/>
      </rPr>
      <t xml:space="preserve">的搜尋摘錄見 </t>
    </r>
    <r>
      <rPr>
        <sz val="10"/>
        <color rgb="FF000000"/>
        <rFont val="Arial"/>
        <family val="0"/>
        <charset val="1"/>
      </rPr>
      <t xml:space="preserve">$311,599.87</t>
    </r>
    <r>
      <rPr>
        <sz val="10"/>
        <color rgb="FF000000"/>
        <rFont val="WenQuanYi Zen Hei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0.01%</t>
    </r>
    <r>
      <rPr>
        <sz val="10"/>
        <color rgb="FF000000"/>
        <rFont val="WenQuanYi Zen Hei"/>
        <family val="2"/>
      </rPr>
      <t xml:space="preserve">，頁面未讀）；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 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275 K×4</t>
    </r>
    <r>
      <rPr>
        <sz val="10"/>
        <color rgb="FF000000"/>
        <rFont val="WenQuanYi Zen Hei"/>
        <family val="2"/>
      </rPr>
      <t xml:space="preserve">）落在已讀範圍 </t>
    </r>
    <r>
      <rPr>
        <sz val="10"/>
        <color rgb="FF000000"/>
        <rFont val="Arial"/>
        <family val="0"/>
        <charset val="1"/>
      </rPr>
      <t xml:space="preserve">190K–312K </t>
    </r>
    <r>
      <rPr>
        <sz val="10"/>
        <color rgb="FF000000"/>
        <rFont val="WenQuanYi Zen Hei"/>
        <family val="2"/>
      </rPr>
      <t xml:space="preserve">內（</t>
    </r>
    <r>
      <rPr>
        <sz val="10"/>
        <color rgb="FF000000"/>
        <rFont val="Arial"/>
        <family val="0"/>
        <charset val="1"/>
      </rPr>
      <t xml:space="preserve">E196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gpuperhour </t>
    </r>
    <r>
      <rPr>
        <sz val="10"/>
        <color rgb="FF000000"/>
        <rFont val="WenQuanYi Zen Hei"/>
        <family val="2"/>
      </rPr>
      <t xml:space="preserve">彙整，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WenQuanYi Zen Hei"/>
        <family val="2"/>
      </rPr>
      <t xml:space="preserve">估計約 </t>
    </r>
    <r>
      <rPr>
        <sz val="10"/>
        <color rgb="FF000000"/>
        <rFont val="Arial"/>
        <family val="0"/>
        <charset val="1"/>
      </rPr>
      <t xml:space="preserve">190K </t>
    </r>
    <r>
      <rPr>
        <sz val="10"/>
        <color rgb="FF000000"/>
        <rFont val="WenQuanYi Zen Hei"/>
        <family val="2"/>
      </rPr>
      <t xml:space="preserve">僅伺服器、約 </t>
    </r>
    <r>
      <rPr>
        <sz val="10"/>
        <color rgb="FF000000"/>
        <rFont val="Arial"/>
        <family val="0"/>
        <charset val="1"/>
      </rPr>
      <t xml:space="preserve">250K </t>
    </r>
    <r>
      <rPr>
        <sz val="10"/>
        <color rgb="FF000000"/>
        <rFont val="WenQuanYi Zen Hei"/>
        <family val="2"/>
      </rPr>
      <t xml:space="preserve">含儲存與網路；</t>
    </r>
    <r>
      <rPr>
        <sz val="10"/>
        <color rgb="FF000000"/>
        <rFont val="Arial"/>
        <family val="0"/>
        <charset val="1"/>
      </rPr>
      <t xml:space="preserve">Newegg </t>
    </r>
    <r>
      <rPr>
        <sz val="10"/>
        <color rgb="FF000000"/>
        <rFont val="WenQuanYi Zen Hei"/>
        <family val="2"/>
      </rPr>
      <t xml:space="preserve">掛牌 </t>
    </r>
    <r>
      <rPr>
        <sz val="10"/>
        <color rgb="FF000000"/>
        <rFont val="Arial"/>
        <family val="0"/>
        <charset val="1"/>
      </rPr>
      <t xml:space="preserve">306,672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WenQuanYi Zen Hei"/>
        <family val="2"/>
      </rPr>
      <t xml:space="preserve">讀取）；下限 </t>
    </r>
    <r>
      <rPr>
        <sz val="10"/>
        <color rgb="FF000000"/>
        <rFont val="Arial"/>
        <family val="0"/>
        <charset val="1"/>
      </rPr>
      <t xml:space="preserve">220,000 </t>
    </r>
    <r>
      <rPr>
        <sz val="10"/>
        <color rgb="FF000000"/>
        <rFont val="WenQuanYi Zen Hei"/>
        <family val="2"/>
      </rPr>
      <t xml:space="preserve">未讀 </t>
    </r>
    <r>
      <rPr>
        <sz val="10"/>
        <color rgb="FF000000"/>
        <rFont val="Arial"/>
        <family val="0"/>
        <charset val="1"/>
      </rPr>
      <t xml:space="preserve">[Assumed]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</si>
  <si>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WenQuanYi Zen Hei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</si>
  <si>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WenQuanYi Zen Hei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</si>
  <si>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</si>
  <si>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</si>
  <si>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HPE QuickSpecs V6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TDP 132 kW nominal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端讀取）；</t>
    </r>
    <r>
      <rPr>
        <sz val="10"/>
        <color rgb="FF000000"/>
        <rFont val="Arial"/>
        <family val="0"/>
        <charset val="1"/>
      </rPr>
      <t xml:space="preserve">SemiAnalysis GB200 hardware architecture</t>
    </r>
    <r>
      <rPr>
        <sz val="10"/>
        <color rgb="FF000000"/>
        <rFont val="WenQuanYi Zen Hei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120 kW</t>
    </r>
    <r>
      <rPr>
        <sz val="10"/>
        <color rgb="FF000000"/>
        <rFont val="WenQuanYi Zen Hei"/>
        <family val="2"/>
      </rPr>
      <t xml:space="preserve">、含轉換損耗總用電 </t>
    </r>
    <r>
      <rPr>
        <sz val="10"/>
        <color rgb="FF000000"/>
        <rFont val="Arial"/>
        <family val="0"/>
        <charset val="1"/>
      </rPr>
      <t xml:space="preserve">123.6 kW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</si>
  <si>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WenQuanYi Zen Hei"/>
        <family val="2"/>
      </rPr>
      <t xml:space="preserve">：零組件／挖礦業者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</si>
  <si>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E195</t>
    </r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</si>
  <si>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</si>
  <si>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WenQuanYi Zen Hei"/>
        <family val="2"/>
      </rPr>
      <t xml:space="preserve">｜選取</t>
    </r>
  </si>
  <si>
    <t xml:space="preserve">模型高值 140 無對應來源（v4＝139） ｜v5.18 G2：基準 130→132（TDP nominal）、低 120 不變；上緣 130→132；等級 3→1（E195；HPE 頁由 chat 端讀取）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</si>
  <si>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</si>
  <si>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</si>
  <si>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</si>
  <si>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E198</t>
    </r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</si>
  <si>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WenQuanYi Zen Hei"/>
        <family val="2"/>
      </rPr>
      <t xml:space="preserve">｜換算</t>
    </r>
  </si>
  <si>
    <t xml:space="preserve">模型基準 137＝區間中點 ｜v5.18：等級 3→2（E198） ｜G1 規則：(i) wing.vc 讀到 132–140 kW（二手已讀）；(ii) 基準 E9 136（中點，Derived）落在 132–140；上緣 142 未讀，v5.18 改為 140（步驟 G3）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</si>
  <si>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WenQuanYi Zen Hei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</si>
  <si>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WenQuanYi Zen Hei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</si>
  <si>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</si>
  <si>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</si>
  <si>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WenQuanYi Zen Hei"/>
        <family val="2"/>
      </rPr>
      <t xml:space="preserve">）</t>
    </r>
  </si>
  <si>
    <t xml:space="preserve">供應鏈消息經媒體轉述（Tom's Hardware）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</si>
  <si>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E199</t>
    </r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</si>
  <si>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</si>
  <si>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WenQuanYi Zen Hei"/>
        <family val="2"/>
      </rPr>
      <t xml:space="preserve">｜換算</t>
    </r>
  </si>
  <si>
    <t xml:space="preserve">模型基準 3.1＝中點（另載 Barron's 約 3） ｜v5.18：等級 3→2（E199） ｜G1 規則：(i) wccftech 讀到 3.1 M（引自 X 貼文 @firstadopter，非 Morgan Stanley；出處更正）；(ii) 基準 D12＝3.1 與其相同；2.8、3.4 端未讀 [Assumed]（3.4 的搜尋摘要實指「72 GPU 模組合計」，口徑不同）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</si>
  <si>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機架價格</t>
    </r>
  </si>
  <si>
    <t xml:space="preserve">E104</t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</si>
  <si>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WenQuanYi Zen Hei"/>
        <family val="2"/>
      </rPr>
      <t xml:space="preserve">｜直接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</si>
  <si>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</si>
  <si>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WenQuanYi Zen Hei"/>
        <family val="2"/>
      </rPr>
      <t xml:space="preserve">）</t>
    </r>
  </si>
  <si>
    <t xml:space="preserve">Alt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</si>
  <si>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</si>
  <si>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</si>
  <si>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WenQuanYi Zen Hei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</si>
  <si>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</si>
  <si>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WenQuanYi Zen Hei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WenQuanYi Zen Hei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</si>
  <si>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WenQuanYi Zen Hei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</si>
  <si>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</si>
  <si>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</si>
  <si>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</si>
  <si>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</si>
  <si>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</si>
  <si>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WenQuanYi Zen Hei"/>
        <family val="2"/>
      </rPr>
      <t xml:space="preserve">）</t>
    </r>
  </si>
  <si>
    <t xml:space="preserve">未具名交易方（Data Gravity 經 wing.vc）</t>
  </si>
  <si>
    <r>
      <rPr>
        <sz val="10"/>
        <color rgb="FF000000"/>
        <rFont val="Arial"/>
        <family val="0"/>
        <charset val="1"/>
      </rPr>
      <t xml:space="preserve">E106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E200</t>
    </r>
  </si>
  <si>
    <t xml:space="preserve">S6</t>
  </si>
  <si>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</si>
  <si>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WenQuanYi Zen Hei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WenQuanYi Zen Hei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wing.vc </t>
    </r>
    <r>
      <rPr>
        <sz val="10"/>
        <color rgb="FF000000"/>
        <rFont val="WenQuanYi Zen Hei"/>
        <family val="2"/>
      </rPr>
      <t xml:space="preserve">讀到採購單「</t>
    </r>
    <r>
      <rPr>
        <sz val="10"/>
        <color rgb="FF000000"/>
        <rFont val="Arial"/>
        <family val="0"/>
        <charset val="1"/>
      </rPr>
      <t xml:space="preserve">just under $5.0M</t>
    </r>
    <r>
      <rPr>
        <sz val="10"/>
        <color rgb="FF000000"/>
        <rFont val="WenQuanYi Zen Hei"/>
        <family val="2"/>
      </rPr>
      <t xml:space="preserve">」（不含機架內 </t>
    </r>
    <r>
      <rPr>
        <sz val="10"/>
        <color rgb="FF000000"/>
        <rFont val="Arial"/>
        <family val="0"/>
        <charset val="1"/>
      </rPr>
      <t xml:space="preserve">CDU</t>
    </r>
    <r>
      <rPr>
        <sz val="10"/>
        <color rgb="FF000000"/>
        <rFont val="WenQuanYi Zen Hei"/>
        <family val="2"/>
      </rPr>
      <t xml:space="preserve">；原文 </t>
    </r>
    <r>
      <rPr>
        <sz val="10"/>
        <color rgb="FF000000"/>
        <rFont val="Arial"/>
        <family val="0"/>
        <charset val="1"/>
      </rPr>
      <t xml:space="preserve">datagravity.dev </t>
    </r>
    <r>
      <rPr>
        <sz val="10"/>
        <color rgb="FF000000"/>
        <rFont val="WenQuanYi Zen Hei"/>
        <family val="2"/>
      </rPr>
      <t xml:space="preserve">被出口政策擋）；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 </t>
    </r>
    <r>
      <rPr>
        <sz val="10"/>
        <color rgb="FF000000"/>
        <rFont val="WenQuanYi Zen Hei"/>
        <family val="2"/>
      </rPr>
      <t xml:space="preserve">與其相符（值非逐字相同）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</si>
  <si>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</si>
  <si>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</si>
  <si>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WenQuanYi Zen Hei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WenQuanYi Zen Hei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WenQuanYi Zen Hei"/>
        <family val="2"/>
      </rPr>
      <t xml:space="preserve">）</t>
    </r>
  </si>
  <si>
    <t xml:space="preserve">郭明錤（供應鏈分析師）；spheron、thundercompute 為 GPU 雲業者</t>
  </si>
  <si>
    <r>
      <rPr>
        <sz val="10"/>
        <color rgb="FF000000"/>
        <rFont val="Arial"/>
        <family val="0"/>
        <charset val="1"/>
      </rPr>
      <t xml:space="preserve">E107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E227</t>
    </r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</si>
  <si>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</si>
  <si>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</si>
  <si>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E227</t>
    </r>
    <r>
      <rPr>
        <sz val="10"/>
        <color rgb="FF000000"/>
        <rFont val="WenQuanYi Zen Hei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190→188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MaxQ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Schneider MaxQ 188 CC </t>
    </r>
    <r>
      <rPr>
        <sz val="10"/>
        <color rgb="FF000000"/>
        <rFont val="WenQuanYi Zen Hei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1d </t>
    </r>
    <r>
      <rPr>
        <sz val="10"/>
        <color rgb="FF000000"/>
        <rFont val="WenQuanYi Zen Hei"/>
        <family val="2"/>
      </rPr>
      <t xml:space="preserve">已讀，值相同（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WenQuanYi Zen Hei"/>
        <family val="2"/>
      </rPr>
      <t xml:space="preserve">審查：升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級）；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230</t>
    </r>
    <r>
      <rPr>
        <sz val="10"/>
        <color rgb="FF000000"/>
        <rFont val="WenQuanYi Zen Hei"/>
        <family val="2"/>
      </rPr>
      <t xml:space="preserve">）不動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</si>
  <si>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</si>
  <si>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</si>
  <si>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</si>
  <si>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E107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</si>
  <si>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WenQuanYi Zen Hei"/>
        <family val="2"/>
      </rPr>
      <t xml:space="preserve">｜直接</t>
    </r>
  </si>
  <si>
    <t xml:space="preserve">SRC_HW_013</t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</si>
  <si>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WenQuanYi Zen Hei"/>
        <family val="2"/>
      </rPr>
      <t xml:space="preserve">機架功率</t>
    </r>
  </si>
  <si>
    <t xml:space="preserve">約值</t>
  </si>
  <si>
    <t xml:space="preserve">Rubin Ultra NVL576</t>
  </si>
  <si>
    <t xml:space="preserve">Superseded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</si>
  <si>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G </t>
    </r>
    <r>
      <rPr>
        <sz val="10"/>
        <color rgb="FF000000"/>
        <rFont val="WenQuanYi Zen Hei"/>
        <family val="2"/>
      </rPr>
      <t xml:space="preserve">欄改單架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WenQuanYi Zen Hei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</si>
  <si>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WenQuanYi Zen Hei"/>
        <family val="2"/>
      </rPr>
      <t xml:space="preserve">｜直接</t>
    </r>
  </si>
  <si>
    <t xml:space="preserve">模型低／高 550／650 為 Assumed ±50 ｜v5.18：Superseded（Rubin Ultra 單架 600 kW（Kyber 舊路線圖））；NVIDIA 2026-09 技術部落格改為 MGX NVL 單架 72 GPU，Kyber NVL144 屬 Feynman 世代；保留紀錄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</si>
  <si>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WenQuanYi Zen Hei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</si>
  <si>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WenQuanYi Zen Hei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</si>
  <si>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WenQuanYi Zen Hei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WenQuanYi Zen Hei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MaxP 227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WenQuanYi Zen Hei"/>
        <family val="2"/>
      </rPr>
      <t xml:space="preserve">更正出處，原記 </t>
    </r>
    <r>
      <rPr>
        <sz val="10"/>
        <color rgb="FF000000"/>
        <rFont val="Arial"/>
        <family val="0"/>
        <charset val="1"/>
      </rPr>
      <t xml:space="preserve">Supermicro DLC-2 </t>
    </r>
    <r>
      <rPr>
        <sz val="10"/>
        <color rgb="FF000000"/>
        <rFont val="WenQuanYi Zen Hei"/>
        <family val="2"/>
      </rPr>
      <t xml:space="preserve">設計點）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</si>
  <si>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WenQuanYi Zen Hei"/>
        <family val="2"/>
      </rPr>
      <t xml:space="preserve">：系統廠（論壇轉述）</t>
    </r>
  </si>
  <si>
    <r>
      <rPr>
        <sz val="10"/>
        <color rgb="FF000000"/>
        <rFont val="Arial"/>
        <family val="0"/>
        <charset val="1"/>
      </rPr>
      <t xml:space="preserve">E108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E193</t>
    </r>
  </si>
  <si>
    <r>
      <rPr>
        <sz val="10"/>
        <color rgb="FF000000"/>
        <rFont val="Arial"/>
        <family val="0"/>
        <charset val="1"/>
      </rPr>
      <t xml:space="preserve">SRC_HW_064</t>
    </r>
    <r>
      <rPr>
        <sz val="10"/>
        <color rgb="FF000000"/>
        <rFont val="WenQuanYi Zen Hei"/>
        <family val="2"/>
      </rPr>
      <t xml:space="preserve">（未確認獨立）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</si>
  <si>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</si>
  <si>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</si>
  <si>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WenQuanYi Zen Hei"/>
        <family val="2"/>
      </rPr>
      <t xml:space="preserve">基準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E193</t>
    </r>
    <r>
      <rPr>
        <sz val="10"/>
        <color rgb="FF000000"/>
        <rFont val="WenQuanYi Zen Hei"/>
        <family val="2"/>
      </rPr>
      <t xml:space="preserve">）；口徑＝參考設計機架 </t>
    </r>
    <r>
      <rPr>
        <sz val="10"/>
        <color rgb="FF000000"/>
        <rFont val="Arial"/>
        <family val="0"/>
        <charset val="1"/>
      </rPr>
      <t xml:space="preserve">MaxP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側）；第二來源 </t>
    </r>
    <r>
      <rPr>
        <sz val="10"/>
        <color rgb="FF000000"/>
        <rFont val="Arial"/>
        <family val="0"/>
        <charset val="1"/>
      </rPr>
      <t xml:space="preserve">SRC_HW_064 </t>
    </r>
    <r>
      <rPr>
        <sz val="10"/>
        <color rgb="FF000000"/>
        <rFont val="WenQuanYi Zen Hei"/>
        <family val="2"/>
      </rPr>
      <t xml:space="preserve">未確認獨立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</si>
  <si>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</si>
  <si>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</si>
  <si>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</si>
  <si>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</si>
  <si>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</si>
  <si>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WenQuanYi Zen Hei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：口徑＝成本（</t>
    </r>
    <r>
      <rPr>
        <sz val="10"/>
        <color rgb="FF000000"/>
        <rFont val="Arial"/>
        <family val="0"/>
        <charset val="1"/>
      </rPr>
      <t xml:space="preserve">Morgan Stanley Research </t>
    </r>
    <r>
      <rPr>
        <sz val="10"/>
        <color rgb="FF000000"/>
        <rFont val="WenQuanYi Zen Hei"/>
        <family val="2"/>
      </rPr>
      <t xml:space="preserve">物料成本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WenQuanYi Zen Hei"/>
        <family val="2"/>
      </rPr>
      <t xml:space="preserve">），不是售價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</si>
  <si>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E201</t>
    </r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</si>
  <si>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</si>
  <si>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</si>
  <si>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E201</t>
    </r>
    <r>
      <rPr>
        <sz val="10"/>
        <color rgb="FF000000"/>
        <rFont val="WenQuanYi Zen Hei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WenQuanYi Zen Hei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wccftech </t>
    </r>
    <r>
      <rPr>
        <sz val="10"/>
        <color rgb="FF000000"/>
        <rFont val="WenQuanYi Zen Hei"/>
        <family val="2"/>
      </rPr>
      <t xml:space="preserve">讀到 </t>
    </r>
    <r>
      <rPr>
        <sz val="10"/>
        <color rgb="FF000000"/>
        <rFont val="Arial"/>
        <family val="0"/>
        <charset val="1"/>
      </rPr>
      <t xml:space="preserve">Morgan Stanley Research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estimated BOM $7.8 million</t>
    </r>
    <r>
      <rPr>
        <sz val="10"/>
        <color rgb="FF000000"/>
        <rFont val="WenQuanYi Zen Hei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2026-05-21</t>
    </r>
    <r>
      <rPr>
        <sz val="10"/>
        <color rgb="FF000000"/>
        <rFont val="WenQuanYi Zen Hei"/>
        <family val="2"/>
      </rPr>
      <t xml:space="preserve">）；口徑＝成本（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WenQuanYi Zen Hei"/>
        <family val="2"/>
      </rPr>
      <t xml:space="preserve">），非售價；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WenQuanYi Zen Hei"/>
        <family val="2"/>
      </rPr>
      <t xml:space="preserve">本筆記錄值 </t>
    </r>
    <r>
      <rPr>
        <sz val="10"/>
        <color rgb="FF000000"/>
        <rFont val="Arial"/>
        <family val="0"/>
        <charset val="1"/>
      </rPr>
      <t xml:space="preserve">7.8 </t>
    </r>
    <r>
      <rPr>
        <sz val="10"/>
        <color rgb="FF000000"/>
        <rFont val="WenQuanYi Zen Hei"/>
        <family val="2"/>
      </rPr>
      <t xml:space="preserve">即已讀值；</t>
    </r>
    <r>
      <rPr>
        <sz val="10"/>
        <color rgb="FF000000"/>
        <rFont val="Arial"/>
        <family val="0"/>
        <charset val="1"/>
      </rPr>
      <t xml:space="preserve">Spec_Rack F12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7.8×(1</t>
    </r>
    <r>
      <rPr>
        <sz val="10"/>
        <color rgb="FF000000"/>
        <rFont val="WenQuanYi Zen Hei"/>
        <family val="2"/>
      </rPr>
      <t xml:space="preserve">＋代工毛利約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WenQuanYi Zen Hei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5–10%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Assumed)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F11 </t>
    </r>
    <r>
      <rPr>
        <sz val="10"/>
        <color rgb="FF000000"/>
        <rFont val="WenQuanYi Zen Hei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7.8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F13 </t>
    </r>
    <r>
      <rPr>
        <sz val="10"/>
        <color rgb="FF000000"/>
        <rFont val="WenQuanYi Zen Hei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9.1</t>
    </r>
    <r>
      <rPr>
        <sz val="10"/>
        <color rgb="FF000000"/>
        <rFont val="WenQuanYi Zen Hei"/>
        <family val="2"/>
      </rPr>
      <t xml:space="preserve">（步驟 </t>
    </r>
    <r>
      <rPr>
        <sz val="10"/>
        <color rgb="FF000000"/>
        <rFont val="Arial"/>
        <family val="0"/>
        <charset val="1"/>
      </rPr>
      <t xml:space="preserve">G4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r3 I2</t>
    </r>
    <r>
      <rPr>
        <sz val="10"/>
        <color rgb="FF000000"/>
        <rFont val="WenQuanYi Zen Hei"/>
        <family val="2"/>
      </rPr>
      <t xml:space="preserve">）</t>
    </r>
  </si>
  <si>
    <t xml:space="preserve">SRC_HW_016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</si>
  <si>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</si>
  <si>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</si>
  <si>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WenQuanYi Zen Hei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</si>
  <si>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</si>
  <si>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WenQuanYi Zen Hei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</si>
  <si>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</si>
  <si>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</si>
  <si>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WenQuanYi Zen Hei"/>
        <family val="2"/>
      </rPr>
      <t xml:space="preserve">｜取整</t>
    </r>
  </si>
  <si>
    <t xml:space="preserve">模型取 9.1；與 MS 同口徑，依 G4 日期較新者勝 → 需 chat 判定（見 Gate 0）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</si>
  <si>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</si>
  <si>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</si>
  <si>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</si>
  <si>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WenQuanYi Zen Hei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WenQuanYi Zen Hei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</si>
  <si>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</si>
  <si>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</si>
  <si>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</si>
  <si>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WenQuanYi Zen Hei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</si>
  <si>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</si>
  <si>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</si>
  <si>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</si>
  <si>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規格；模型內建知識</t>
    </r>
  </si>
  <si>
    <t xml:space="preserve">一手（未讀）</t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</si>
  <si>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</si>
  <si>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</si>
  <si>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</si>
  <si>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WenQuanYi Zen Hei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WenQuanYi Zen Hei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</si>
  <si>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WenQuanYi Zen Hei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</si>
  <si>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</si>
  <si>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</si>
  <si>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</si>
  <si>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</si>
  <si>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E224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</si>
  <si>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WenQuanYi Zen Hei"/>
        <family val="2"/>
      </rPr>
      <t xml:space="preserve">｜直接</t>
    </r>
  </si>
  <si>
    <t xml:space="preserve">另載 HGX B200 為 9 ｜v5.18：等級 3→1（E224） ｜NVIDIA Blackwell Ultra 技術部落格寫明基本架構 NVFP4 dense 10 PF（chat 端已查證）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</si>
  <si>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</si>
  <si>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WenQuanYi Zen Hei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</si>
  <si>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</si>
  <si>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WenQuanYi Zen Hei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WenQuanYi Zen Hei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</si>
  <si>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</si>
  <si>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</si>
  <si>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E182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</si>
  <si>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</si>
  <si>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</si>
  <si>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WenQuanYi Zen Hei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</si>
  <si>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</si>
  <si>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WenQuanYi Zen Hei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</si>
  <si>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</si>
  <si>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E225</t>
    </r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</si>
  <si>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</si>
  <si>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WenQuanYi Zen Hei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WenQuanYi Zen Hei"/>
        <family val="2"/>
      </rPr>
      <t xml:space="preserve">換算值一致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E225</t>
    </r>
    <r>
      <rPr>
        <sz val="10"/>
        <color rgb="FF000000"/>
        <rFont val="WenQuanYi Zen Hei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寫明 </t>
    </r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50 PF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Transformer Engine </t>
    </r>
    <r>
      <rPr>
        <sz val="10"/>
        <color rgb="FF000000"/>
        <rFont val="WenQuanYi Zen Hei"/>
        <family val="2"/>
      </rPr>
      <t xml:space="preserve">口徑（含自適應壓縮），對應 </t>
    </r>
    <r>
      <rPr>
        <sz val="10"/>
        <color rgb="FF000000"/>
        <rFont val="Arial"/>
        <family val="0"/>
        <charset val="1"/>
      </rPr>
      <t xml:space="preserve">Spec_Rack F24 </t>
    </r>
    <r>
      <rPr>
        <sz val="10"/>
        <color rgb="FF000000"/>
        <rFont val="WenQuanYi Zen Hei"/>
        <family val="2"/>
      </rPr>
      <t xml:space="preserve">高情境（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端已查證）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</si>
  <si>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WenQuanYi Zen Hei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</si>
  <si>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E183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</si>
  <si>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WenQuanYi Zen Hei"/>
        <family val="2"/>
      </rPr>
      <t xml:space="preserve">｜直接</t>
    </r>
  </si>
  <si>
    <t xml:space="preserve">與 S36 換算值一致 ｜v5.18：等級 3→1（E183）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</si>
  <si>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WenQuanYi Zen Hei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</si>
  <si>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</si>
  <si>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</si>
  <si>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WenQuanYi Zen Hei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</si>
  <si>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WenQuanYi Zen Hei"/>
        <family val="2"/>
      </rPr>
      <t xml:space="preserve">｜直接</t>
    </r>
  </si>
  <si>
    <t xml:space="preserve">SRC_HW_031</t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</si>
  <si>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WenQuanYi Zen Hei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</si>
  <si>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WenQuanYi Zen Hei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</si>
  <si>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WenQuanYi Zen Hei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</si>
  <si>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</si>
  <si>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WenQuanYi Zen Hei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</si>
  <si>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WenQuanYi Zen Hei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</si>
  <si>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</si>
  <si>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</si>
  <si>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</si>
  <si>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</si>
  <si>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</si>
  <si>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</si>
  <si>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</si>
  <si>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</si>
  <si>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WenQuanYi Zen Hei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</si>
  <si>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WenQuanYi Zen Hei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</si>
  <si>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</si>
  <si>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WenQuanYi Zen Hei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</si>
  <si>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WenQuanYi Zen Hei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</si>
  <si>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WenQuanYi Zen Hei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</si>
  <si>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</si>
  <si>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</si>
  <si>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</si>
  <si>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WenQuanYi Zen Hei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</si>
  <si>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</si>
  <si>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WenQuanYi Zen Hei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</si>
  <si>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</si>
  <si>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WenQuanYi Zen Hei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WenQuanYi Zen Hei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</si>
  <si>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WenQuanYi Zen Hei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WenQuanYi Zen Hei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</si>
  <si>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</si>
  <si>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</si>
  <si>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</si>
  <si>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</si>
  <si>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</si>
  <si>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WenQuanYi Zen Hei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</si>
  <si>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</si>
  <si>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</si>
  <si>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WenQuanYi Zen Hei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</si>
  <si>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</si>
  <si>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</si>
  <si>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WenQuanYi Zen Hei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</si>
  <si>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</si>
  <si>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</si>
  <si>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</si>
  <si>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WenQuanYi Zen Hei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WenQuanYi Zen Hei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WenQuanYi Zen Hei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</si>
  <si>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WenQuanYi Zen Hei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WenQuanYi Zen Hei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WenQuanYi Zen Hei"/>
        <family val="2"/>
      </rPr>
      <t xml:space="preserve">交叉）；</t>
    </r>
    <r>
      <rPr>
        <sz val="10"/>
        <color rgb="FF000000"/>
        <rFont val="Arial"/>
        <family val="0"/>
        <charset val="1"/>
      </rPr>
      <t xml:space="preserve">v5.18 1c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為賣方（</t>
    </r>
    <r>
      <rPr>
        <sz val="10"/>
        <color rgb="FF000000"/>
        <rFont val="Arial"/>
        <family val="0"/>
        <charset val="1"/>
      </rPr>
      <t xml:space="preserve">nvidia.com </t>
    </r>
    <r>
      <rPr>
        <sz val="10"/>
        <color rgb="FF000000"/>
        <rFont val="WenQuanYi Zen Hei"/>
        <family val="2"/>
      </rPr>
      <t xml:space="preserve">規格表，含稀疏口徑須 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</si>
  <si>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</si>
  <si>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</si>
  <si>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WenQuanYi Zen Hei"/>
        <family val="2"/>
      </rPr>
      <t xml:space="preserve">｜直接</t>
    </r>
  </si>
  <si>
    <t xml:space="preserve">取代 S28 的錯誤標示 ｜換算式：nvidia.com H100 規格表 FP8 Tensor Core 3,958 teraFLOPS（表末「* With sparsity」，SXM）÷2＝1,979 TFLOPS＝1.979 PF（NVIDIA dense＝含稀疏÷2 的慣例，[Derived]；BF16 1,979÷2＝989.5 對 SRC_HW_019 的 0.989）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</si>
  <si>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WenQuanYi Zen Hei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</si>
  <si>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WenQuanYi Zen Hei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</si>
  <si>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WenQuanYi Zen Hei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</si>
  <si>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WenQuanYi Zen Hei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</si>
  <si>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</si>
  <si>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</si>
  <si>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</si>
  <si>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</si>
  <si>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</si>
  <si>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</si>
  <si>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</si>
  <si>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</si>
  <si>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WenQuanYi Zen Hei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</si>
  <si>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E185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</si>
  <si>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</si>
  <si>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</si>
  <si>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WenQuanYi Zen Hei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</si>
  <si>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WenQuanYi Zen Hei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</si>
  <si>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</si>
  <si>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WenQuanYi Zen Hei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</si>
  <si>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t xml:space="preserve">SRC_HW_045</t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</si>
  <si>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WenQuanYi Zen Hei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</si>
  <si>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</si>
  <si>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WenQuanYi Zen Hei"/>
        <family val="2"/>
      </rPr>
      <t xml:space="preserve">；說明文字標「模型內建知識，待查」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WenQuanYi Zen Hei"/>
        <family val="2"/>
      </rPr>
      <t xml:space="preserve">全架 </t>
    </r>
    <r>
      <rPr>
        <sz val="10"/>
        <color rgb="FF000000"/>
        <rFont val="Arial"/>
        <family val="0"/>
        <charset val="1"/>
      </rPr>
      <t xml:space="preserve">5,000 PF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WenQuanYi Zen Hei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WenQuanYi Zen Hei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WenQuanYi Zen Hei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WenQuanYi Zen Hei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WenQuanYi Zen Hei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</si>
  <si>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WenQuanYi Zen Hei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</si>
  <si>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WenQuanYi Zen Hei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</si>
  <si>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WenQuanYi Zen Hei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</si>
  <si>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</si>
  <si>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WenQuanYi Zen Hei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</si>
  <si>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WenQuanYi Zen Hei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</si>
  <si>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</si>
  <si>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WenQuanYi Zen Hei"/>
        <family val="2"/>
      </rPr>
      <t xml:space="preserve">為產品名稱定義，誘因影響極小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</si>
  <si>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E186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</si>
  <si>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WenQuanYi Zen Hei"/>
        <family val="2"/>
      </rPr>
      <t xml:space="preserve">｜直接</t>
    </r>
  </si>
  <si>
    <t xml:space="preserve">產品命名即規格 ｜適用範圍：GB200、GB300、VR200 三種機架皆讀到原文，無範圍但書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</si>
  <si>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WenQuanYi Zen Hei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</si>
  <si>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</si>
  <si>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WenQuanYi Zen Hei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</si>
  <si>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</si>
  <si>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</si>
  <si>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</si>
  <si>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WenQuanYi Zen Hei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WenQuanYi Zen Hei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WenQuanYi Zen Hei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</si>
  <si>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</si>
  <si>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</si>
  <si>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WenQuanYi Zen Hei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</si>
  <si>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</si>
  <si>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WenQuanYi Zen Hei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WenQuanYi Zen Hei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</si>
  <si>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</si>
  <si>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WenQuanYi Zen Hei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</si>
  <si>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</si>
  <si>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</si>
  <si>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</si>
  <si>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</si>
  <si>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WenQuanYi Zen Hei"/>
        <family val="2"/>
      </rPr>
      <t xml:space="preserve">｜直接</t>
    </r>
  </si>
  <si>
    <t xml:space="preserve">未登錄 Sources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</si>
  <si>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WenQuanYi Zen Hei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</si>
  <si>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WenQuanYi Zen Hei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</si>
  <si>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</si>
  <si>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查核）</t>
    </r>
  </si>
  <si>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E226</t>
    </r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</si>
  <si>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</si>
  <si>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WenQuanYi Zen Hei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E226</t>
    </r>
    <r>
      <rPr>
        <sz val="10"/>
        <color rgb="FF000000"/>
        <rFont val="WenQuanYi Zen Hei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WenQuanYi Zen Hei"/>
        <family val="2"/>
      </rPr>
      <t xml:space="preserve">使用手冊列出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4 NVSwitch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WenQuanYi Zen Hei"/>
        <family val="2"/>
      </rPr>
      <t xml:space="preserve">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由拓撲推得，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WenQuanYi Zen Hei"/>
        <family val="2"/>
      </rPr>
      <t xml:space="preserve">一步（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端已查證）</t>
    </r>
  </si>
  <si>
    <t xml:space="preserve">SRC_HW_054</t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</si>
  <si>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WenQuanYi Zen Hei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</si>
  <si>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</si>
  <si>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WenQuanYi Zen Hei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</si>
  <si>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WenQuanYi Zen Hei"/>
        <family val="2"/>
      </rPr>
      <t xml:space="preserve">路線圖）</t>
    </r>
  </si>
  <si>
    <t xml:space="preserve">E147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</si>
  <si>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WenQuanYi Zen Hei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NVL576 144 </t>
    </r>
    <r>
      <rPr>
        <sz val="10"/>
        <color rgb="FF000000"/>
        <rFont val="WenQuanYi Zen Hei"/>
        <family val="2"/>
      </rPr>
      <t xml:space="preserve">封裝（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WenQuanYi Zen Hei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WenQuanYi Zen Hei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WenQuanYi Zen Hei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WenQuanYi Zen Hei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WenQuanYi Zen Hei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</si>
  <si>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</si>
  <si>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</si>
  <si>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WenQuanYi Zen Hei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</si>
  <si>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WenQuanYi Zen Hei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</si>
  <si>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WenQuanYi Zen Hei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</si>
  <si>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</si>
  <si>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WenQuanYi Zen Hei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</si>
  <si>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</si>
  <si>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WenQuanYi Zen Hei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</si>
  <si>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</si>
  <si>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WenQuanYi Zen Hei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WenQuanYi Zen Hei"/>
        <family val="2"/>
      </rPr>
      <t xml:space="preserve">）</t>
    </r>
  </si>
  <si>
    <t xml:space="preserve">Gb/s</t>
  </si>
  <si>
    <t xml:space="preserve">單向；Hopper 跨節點 EP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</si>
  <si>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封裝數（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WenQuanYi Zen Hei"/>
        <family val="2"/>
      </rPr>
      <t xml:space="preserve">單架）</t>
    </r>
  </si>
  <si>
    <r>
      <rPr>
        <sz val="10"/>
        <color rgb="FF000000"/>
        <rFont val="WenQuanYi Zen Hei"/>
        <family val="2"/>
      </rPr>
      <t xml:space="preserve">封裝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架</t>
    </r>
  </si>
  <si>
    <r>
      <rPr>
        <sz val="10"/>
        <color rgb="FF000000"/>
        <rFont val="WenQuanYi Zen Hei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WenQuanYi Zen Hei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Rubin Ultra GPU</t>
    </r>
    <r>
      <rPr>
        <sz val="10"/>
        <color rgb="FF000000"/>
        <rFont val="WenQuanYi Zen Hei"/>
        <family val="2"/>
      </rPr>
      <t xml:space="preserve">（封裝為推斷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</si>
  <si>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WenQuanYi Zen Hei"/>
        <family val="2"/>
      </rPr>
      <t xml:space="preserve">單架）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</si>
  <si>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技術部落格 </t>
    </r>
    <r>
      <rPr>
        <sz val="10"/>
        <color rgb="FF000000"/>
        <rFont val="Arial"/>
        <family val="0"/>
        <charset val="1"/>
      </rPr>
      <t xml:space="preserve">Vera Rubin POD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https://developer.nvidia.com/blog/nvidia-vera-rubin-pod-seven-chips-five-rack-scale-systems-one-ai-supercomputer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</si>
  <si>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：產品規劃揭露（尚未出貨），有行銷誘因</t>
    </r>
  </si>
  <si>
    <t xml:space="preserve">E206</t>
  </si>
  <si>
    <t xml:space="preserve">U-V518</t>
  </si>
  <si>
    <r>
      <rPr>
        <sz val="10"/>
        <color rgb="FF000000"/>
        <rFont val="Arial"/>
        <family val="0"/>
        <charset val="1"/>
      </rPr>
      <t xml:space="preserve">Spec_Rack!G6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</si>
  <si>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WenQuanYi Zen Hei"/>
        <family val="2"/>
      </rPr>
      <t xml:space="preserve">新增；取代 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144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</si>
  <si>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NVLink </t>
    </r>
    <r>
      <rPr>
        <sz val="10"/>
        <color rgb="FF000000"/>
        <rFont val="WenQuanYi Zen Hei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</si>
  <si>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WenQuanYi Zen Hei"/>
        <family val="2"/>
      </rPr>
      <t xml:space="preserve">單架互連為單一 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WenQuanYi Zen Hei"/>
        <family val="2"/>
      </rPr>
      <t xml:space="preserve">域（兩層拓撲）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</si>
  <si>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：產品規劃揭露（尚未出貨）</t>
    </r>
  </si>
  <si>
    <r>
      <rPr>
        <sz val="10"/>
        <color rgb="FF000000"/>
        <rFont val="Arial"/>
        <family val="0"/>
        <charset val="1"/>
      </rPr>
      <t xml:space="preserve">Spec_Rack!G28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</si>
  <si>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WenQuanYi Zen Hei"/>
        <family val="2"/>
      </rPr>
      <t xml:space="preserve">新增；單架內全互連為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G28 </t>
    </r>
    <r>
      <rPr>
        <sz val="10"/>
        <color rgb="FF000000"/>
        <rFont val="WenQuanYi Zen Hei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</si>
  <si>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Vera Rubin NVL72 NVFP4 </t>
    </r>
    <r>
      <rPr>
        <sz val="10"/>
        <color rgb="FF000000"/>
        <rFont val="WenQuanYi Zen Hei"/>
        <family val="2"/>
      </rPr>
      <t xml:space="preserve">訓練（整架，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</si>
  <si>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PFLOPS/</t>
    </r>
    <r>
      <rPr>
        <sz val="10"/>
        <color rgb="FF000000"/>
        <rFont val="WenQuanYi Zen Hei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</si>
  <si>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Dense specification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 PF/GPU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</si>
  <si>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DGX Vera Rubin NVL72 </t>
    </r>
    <r>
      <rPr>
        <sz val="10"/>
        <color rgb="FF000000"/>
        <rFont val="WenQuanYi Zen Hei"/>
        <family val="2"/>
      </rPr>
      <t xml:space="preserve">頁：</t>
    </r>
    <r>
      <rPr>
        <sz val="10"/>
        <color rgb="FF000000"/>
        <rFont val="Arial"/>
        <family val="0"/>
        <charset val="1"/>
      </rPr>
      <t xml:space="preserve">https://www.nvidia.com/en-us/data-center/dgx-vera-rubin-nvl72/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</si>
  <si>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為賣方（規格頁）</t>
    </r>
  </si>
  <si>
    <t xml:space="preserve">E207</t>
  </si>
  <si>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Spec_Rack G23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G24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G40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WenQuanYi Zen Hei"/>
        <family val="2"/>
      </rPr>
      <t xml:space="preserve">依據；不直接連結模型格）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</si>
  <si>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WenQuanYi Zen Hei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每封裝值＝</t>
    </r>
    <r>
      <rPr>
        <sz val="10"/>
        <color rgb="FF000000"/>
        <rFont val="Arial"/>
        <family val="0"/>
        <charset val="1"/>
      </rPr>
      <t xml:space="preserve">2×VR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4 die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 die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</t>
    </r>
    <r>
      <rPr>
        <sz val="10"/>
        <color rgb="FF000000"/>
        <rFont val="WenQuanYi Zen Hei"/>
        <family val="2"/>
      </rPr>
      <t xml:space="preserve">同頁</t>
    </r>
  </si>
  <si>
    <t xml:space="preserve">SRC_HW_064</t>
  </si>
  <si>
    <r>
      <rPr>
        <sz val="10"/>
        <color rgb="FF000000"/>
        <rFont val="Arial"/>
        <family val="0"/>
        <charset val="1"/>
      </rPr>
      <t xml:space="preserve">Supermicro VR NVL72 DLC-2 </t>
    </r>
    <r>
      <rPr>
        <sz val="10"/>
        <color rgb="FF000000"/>
        <rFont val="WenQuanYi Zen Hei"/>
        <family val="2"/>
      </rPr>
      <t xml:space="preserve">液冷設計容量</t>
    </r>
  </si>
  <si>
    <r>
      <rPr>
        <sz val="10"/>
        <color rgb="FF000000"/>
        <rFont val="WenQuanYi Zen Hei"/>
        <family val="2"/>
      </rPr>
      <t xml:space="preserve">冷卻 </t>
    </r>
    <r>
      <rPr>
        <sz val="10"/>
        <color rgb="FF000000"/>
        <rFont val="Arial"/>
        <family val="0"/>
        <charset val="1"/>
      </rPr>
      <t xml:space="preserve">sized-for </t>
    </r>
    <r>
      <rPr>
        <sz val="10"/>
        <color rgb="FF000000"/>
        <rFont val="WenQuanYi Zen Hei"/>
        <family val="2"/>
      </rPr>
      <t xml:space="preserve">容量（不是機架實測功率）</t>
    </r>
  </si>
  <si>
    <r>
      <rPr>
        <sz val="10"/>
        <color rgb="FF000000"/>
        <rFont val="Arial"/>
        <family val="0"/>
        <charset val="1"/>
      </rPr>
      <t xml:space="preserve">Supermicro Vera Rubin </t>
    </r>
    <r>
      <rPr>
        <sz val="10"/>
        <color rgb="FF000000"/>
        <rFont val="WenQuanYi Zen Hei"/>
        <family val="2"/>
      </rPr>
      <t xml:space="preserve">產品頁：</t>
    </r>
    <r>
      <rPr>
        <sz val="10"/>
        <color rgb="FF000000"/>
        <rFont val="Arial"/>
        <family val="0"/>
        <charset val="1"/>
      </rPr>
      <t xml:space="preserve">https://www.supermicro.com/en/accelerators/nvidia/vera-rubin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</si>
  <si>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WenQuanYi Zen Hei"/>
        <family val="2"/>
      </rPr>
      <t xml:space="preserve">：系統廠，賣方</t>
    </r>
  </si>
  <si>
    <t xml:space="preserve">E194</t>
  </si>
  <si>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SRC_HW_014 </t>
    </r>
    <r>
      <rPr>
        <sz val="10"/>
        <color rgb="FF000000"/>
        <rFont val="WenQuanYi Zen Hei"/>
        <family val="2"/>
      </rPr>
      <t xml:space="preserve">的第二來源；不直接連結模型格）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</si>
  <si>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WenQuanYi Zen Hei"/>
        <family val="2"/>
      </rPr>
      <t xml:space="preserve">新增；與 </t>
    </r>
    <r>
      <rPr>
        <sz val="10"/>
        <color rgb="FF000000"/>
        <rFont val="Arial"/>
        <family val="0"/>
        <charset val="1"/>
      </rPr>
      <t xml:space="preserve">SRC_HW_014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Schneider MaxP 227</t>
    </r>
    <r>
      <rPr>
        <sz val="10"/>
        <color rgb="FF000000"/>
        <rFont val="WenQuanYi Zen Hei"/>
        <family val="2"/>
      </rPr>
      <t xml:space="preserve">）同為 </t>
    </r>
    <r>
      <rPr>
        <sz val="10"/>
        <color rgb="FF000000"/>
        <rFont val="Arial"/>
        <family val="0"/>
        <charset val="1"/>
      </rPr>
      <t xml:space="preserve">227</t>
    </r>
    <r>
      <rPr>
        <sz val="10"/>
        <color rgb="FF000000"/>
        <rFont val="WenQuanYi Zen Hei"/>
        <family val="2"/>
      </rPr>
      <t xml:space="preserve">、口徑不同，獨立性未確認</t>
    </r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</si>
  <si>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</si>
  <si>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WenQuanYi Zen Hei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</si>
  <si>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</si>
  <si>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</si>
  <si>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WenQuanYi Zen Hei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WenQuanYi Zen Hei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</si>
  <si>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</si>
  <si>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</si>
  <si>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WenQuanYi Zen Hei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</si>
  <si>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</si>
  <si>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</si>
  <si>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</si>
  <si>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</si>
  <si>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WenQuanYi Zen Hei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</si>
  <si>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</si>
  <si>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</si>
  <si>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</si>
  <si>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</si>
  <si>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WenQuanYi Zen Hei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</si>
  <si>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</si>
  <si>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WenQuanYi Zen Hei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</si>
  <si>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WenQuanYi Zen Hei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</si>
  <si>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</si>
  <si>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</si>
  <si>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</si>
  <si>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</si>
  <si>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</si>
  <si>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</si>
  <si>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</si>
  <si>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WenQuanYi Zen Hei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</si>
  <si>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WenQuanYi Zen Hei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</si>
  <si>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</si>
  <si>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</si>
  <si>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</si>
  <si>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WenQuanYi Zen Hei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</si>
  <si>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</si>
  <si>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WenQuanYi Zen Hei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</si>
  <si>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</si>
  <si>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</si>
  <si>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</si>
  <si>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</si>
  <si>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</si>
  <si>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</si>
  <si>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WenQuanYi Zen Hei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WenQuanYi Zen Hei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</si>
  <si>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WenQuanYi Zen Hei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</si>
  <si>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</si>
  <si>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WenQuanYi Zen Hei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</si>
  <si>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</si>
  <si>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WenQuanYi Zen Hei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</si>
  <si>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</si>
  <si>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</si>
  <si>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</si>
  <si>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</si>
  <si>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WenQuanYi Zen Hei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</si>
  <si>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</si>
  <si>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</si>
  <si>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</si>
  <si>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WenQuanYi Zen Hei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</si>
  <si>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</si>
  <si>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WenQuanYi Zen Hei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</si>
  <si>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</si>
  <si>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</si>
  <si>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</si>
  <si>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WenQuanYi Zen Hei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</si>
  <si>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</si>
  <si>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</si>
  <si>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</si>
  <si>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WenQuanYi Zen Hei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</si>
  <si>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</si>
  <si>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</si>
  <si>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WenQuanYi Zen Hei"/>
        <family val="2"/>
      </rPr>
      <t xml:space="preserve">｜對照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</si>
  <si>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</si>
  <si>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</si>
  <si>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</si>
  <si>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WenQuanYi Zen Hei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WenQuanYi Zen Hei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WenQuanYi Zen Hei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</si>
  <si>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</si>
  <si>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</si>
  <si>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WenQuanYi Zen Hei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</si>
  <si>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</si>
  <si>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</si>
  <si>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E170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</si>
  <si>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</si>
  <si>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</si>
  <si>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</si>
  <si>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WenQuanYi Zen Hei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</si>
  <si>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</si>
  <si>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</si>
  <si>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</si>
  <si>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</si>
  <si>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WenQuanYi Zen Hei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</si>
  <si>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</si>
  <si>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</si>
  <si>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E171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</si>
  <si>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</si>
  <si>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</si>
  <si>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</si>
  <si>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</si>
  <si>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WenQuanYi Zen Hei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WenQuanYi Zen Hei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WenQuanYi Zen Hei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</si>
  <si>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WenQuanYi Zen Hei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</si>
  <si>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E172</t>
    </r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</si>
  <si>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</si>
  <si>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</si>
  <si>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E172</t>
    </r>
    <r>
      <rPr>
        <sz val="10"/>
        <color rgb="FF000000"/>
        <rFont val="WenQuanYi Zen Hei"/>
        <family val="2"/>
      </rPr>
      <t xml:space="preserve">）</t>
    </r>
  </si>
  <si>
    <t xml:space="preserve">DeepSeek V4-Pro query heads</t>
  </si>
  <si>
    <t xml:space="preserve">DeepSeek V4-Pro</t>
  </si>
  <si>
    <t xml:space="preserve">E124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</si>
  <si>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</si>
  <si>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WenQuanYi Zen Hei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</si>
  <si>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WenQuanYi Zen Hei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</si>
  <si>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</si>
  <si>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</si>
  <si>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E173</t>
    </r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</si>
  <si>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</si>
  <si>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E173</t>
    </r>
    <r>
      <rPr>
        <sz val="10"/>
        <color rgb="FF000000"/>
        <rFont val="WenQuanYi Zen Hei"/>
        <family val="2"/>
      </rPr>
      <t xml:space="preserve">）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</si>
  <si>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</si>
  <si>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E174</t>
    </r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</si>
  <si>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</si>
  <si>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E174</t>
    </r>
    <r>
      <rPr>
        <sz val="10"/>
        <color rgb="FF000000"/>
        <rFont val="WenQuanYi Zen Hei"/>
        <family val="2"/>
      </rPr>
      <t xml:space="preserve">）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</si>
  <si>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</si>
  <si>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E175</t>
    </r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</si>
  <si>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</si>
  <si>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</si>
  <si>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</si>
  <si>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E176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</si>
  <si>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</si>
  <si>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E176</t>
    </r>
    <r>
      <rPr>
        <sz val="10"/>
        <color rgb="FF000000"/>
        <rFont val="WenQuanYi Zen Hei"/>
        <family val="2"/>
      </rPr>
      <t xml:space="preserve">）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</si>
  <si>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</si>
  <si>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E177</t>
    </r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</si>
  <si>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</si>
  <si>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E177</t>
    </r>
    <r>
      <rPr>
        <sz val="10"/>
        <color rgb="FF000000"/>
        <rFont val="WenQuanYi Zen Hei"/>
        <family val="2"/>
      </rPr>
      <t xml:space="preserve">）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</si>
  <si>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</si>
  <si>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</si>
  <si>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E178</t>
    </r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</si>
  <si>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</si>
  <si>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</si>
  <si>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WenQuanYi Zen Hei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WenQuanYi Zen Hei"/>
        <family val="2"/>
      </rPr>
      <t xml:space="preserve">）</t>
    </r>
  </si>
  <si>
    <t xml:space="preserve">config.json compress_ratios 前 43 個元素；MTP 層不計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</si>
  <si>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E205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</si>
  <si>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</si>
  <si>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0.5→0.512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另列 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</si>
  <si>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WenQuanYi Zen Hei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</si>
  <si>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E179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</si>
  <si>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</si>
  <si>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</si>
  <si>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WenQuanYi Zen Hei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</si>
  <si>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E180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</si>
  <si>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</si>
  <si>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</si>
  <si>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WenQuanYi Zen Hei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</si>
  <si>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</si>
  <si>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</si>
  <si>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</si>
  <si>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</si>
  <si>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WenQuanYi Zen Hei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</si>
  <si>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WenQuanYi Zen Hei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</si>
  <si>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</si>
  <si>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</si>
  <si>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</si>
  <si>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</si>
  <si>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</si>
  <si>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</si>
  <si>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</si>
  <si>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</si>
  <si>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</si>
  <si>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</si>
  <si>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</si>
  <si>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</si>
  <si>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</si>
  <si>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</si>
  <si>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</si>
  <si>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</si>
  <si>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</si>
  <si>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WenQuanYi Zen Hei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</si>
  <si>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WenQuanYi Zen Hei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</si>
  <si>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</si>
  <si>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</si>
  <si>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</si>
  <si>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</si>
  <si>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</si>
  <si>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</si>
  <si>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</si>
  <si>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</si>
  <si>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</si>
  <si>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</si>
  <si>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</si>
  <si>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WenQuanYi Zen Hei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</si>
  <si>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WenQuanYi Zen Hei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</si>
  <si>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WenQuanYi Zen Hei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</si>
  <si>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</si>
  <si>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WenQuanYi Zen Hei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</si>
  <si>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</si>
  <si>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WenQuanYi Zen Hei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</si>
  <si>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</si>
  <si>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</si>
  <si>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</si>
  <si>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</si>
  <si>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WenQuanYi Zen Hei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</si>
  <si>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</si>
  <si>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</si>
  <si>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</si>
  <si>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WenQuanYi Zen Hei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WenQuanYi Zen Hei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WenQuanYi Zen Hei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</si>
  <si>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</si>
  <si>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WenQuanYi Zen Hei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</si>
  <si>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</si>
  <si>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</si>
  <si>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</si>
  <si>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</si>
  <si>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</si>
  <si>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WenQuanYi Zen Hei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</si>
  <si>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</si>
  <si>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</si>
  <si>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</si>
  <si>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WenQuanYi Zen Hei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</si>
  <si>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</si>
  <si>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WenQuanYi Zen Hei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</si>
  <si>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</si>
  <si>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</si>
  <si>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</si>
  <si>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</si>
  <si>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</si>
  <si>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</si>
  <si>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</si>
  <si>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</si>
  <si>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WenQuanYi Zen Hei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</si>
  <si>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</si>
  <si>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</si>
  <si>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</si>
  <si>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</si>
  <si>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WenQuanYi Zen Hei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</si>
  <si>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</si>
  <si>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</si>
  <si>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WenQuanYi Zen Hei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</si>
  <si>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</si>
  <si>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</si>
  <si>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WenQuanYi Zen Hei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</si>
  <si>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</si>
  <si>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WenQuanYi Zen Hei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</si>
  <si>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</si>
  <si>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</si>
  <si>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</si>
  <si>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</si>
  <si>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</si>
  <si>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</si>
  <si>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</si>
  <si>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</si>
  <si>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WenQuanYi Zen Hei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</si>
  <si>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</si>
  <si>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</si>
  <si>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WenQuanYi Zen Hei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</si>
  <si>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</si>
  <si>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WenQuanYi Zen Hei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WenQuanYi Zen Hei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</si>
  <si>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</si>
  <si>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WenQuanYi Zen Hei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</si>
  <si>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WenQuanYi Zen Hei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</si>
  <si>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</si>
  <si>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</si>
  <si>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</si>
  <si>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</si>
  <si>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</si>
  <si>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</si>
  <si>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</si>
  <si>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WenQuanYi Zen Hei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WenQuanYi Zen Hei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</si>
  <si>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</si>
  <si>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</si>
  <si>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</si>
  <si>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</si>
  <si>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</si>
  <si>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WenQuanYi Zen Hei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</si>
  <si>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</si>
  <si>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</si>
  <si>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</si>
  <si>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</si>
  <si>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WenQuanYi Zen Hei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WenQuanYi Zen Hei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</si>
  <si>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</si>
  <si>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</si>
  <si>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WenQuanYi Zen Hei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</si>
  <si>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</si>
  <si>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</si>
  <si>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</si>
  <si>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</si>
  <si>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</si>
  <si>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WenQuanYi Zen Hei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</si>
  <si>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</si>
  <si>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</si>
  <si>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</si>
  <si>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WenQuanYi Zen Hei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WenQuanYi Zen Hei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WenQuanYi Zen Hei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</si>
  <si>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</si>
  <si>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</si>
  <si>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</si>
  <si>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</si>
  <si>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</si>
  <si>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WenQuanYi Zen Hei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WenQuanYi Zen Hei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</si>
  <si>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</si>
  <si>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WenQuanYi Zen Hei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</si>
  <si>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WenQuanYi Zen Hei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</si>
  <si>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</si>
  <si>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WenQuanYi Zen Hei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</si>
  <si>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</si>
  <si>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</si>
  <si>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</si>
  <si>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WenQuanYi Zen Hei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</si>
  <si>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</si>
  <si>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WenQuanYi Zen Hei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</si>
  <si>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</si>
  <si>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WenQuanYi Zen Hei"/>
        <family val="2"/>
      </rPr>
      <t xml:space="preserve">｜直接</t>
    </r>
  </si>
  <si>
    <t xml:space="preserve">取代「取 V4-Pro 一半」的 Analogy</t>
  </si>
  <si>
    <t xml:space="preserve">SRC_MOD_054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</si>
  <si>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WenQuanYi Zen Hei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30/61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</si>
  <si>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config.json compress_ratios </t>
    </r>
    <r>
      <rPr>
        <sz val="10"/>
        <color rgb="FF000000"/>
        <rFont val="WenQuanYi Zen Hei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WenQuanYi Zen Hei"/>
        <family val="2"/>
      </rPr>
      <t xml:space="preserve">個元素</t>
    </r>
  </si>
  <si>
    <t xml:space="preserve">https://huggingface.co/deepseek-ai/DeepSeek-V4-Pro/raw/main/config.json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</si>
  <si>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自揭</t>
    </r>
  </si>
  <si>
    <t xml:space="preserve">E205</t>
  </si>
  <si>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</si>
  <si>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 </t>
    </r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WenQuanYi Zen Hei"/>
        <family val="2"/>
      </rPr>
      <t xml:space="preserve">拆出（</t>
    </r>
    <r>
      <rPr>
        <sz val="10"/>
        <color rgb="FF000000"/>
        <rFont val="Arial"/>
        <family val="0"/>
        <charset val="1"/>
      </rPr>
      <t xml:space="preserve">Flash 0.512 </t>
    </r>
    <r>
      <rPr>
        <sz val="10"/>
        <color rgb="FF000000"/>
        <rFont val="WenQuanYi Zen Hei"/>
        <family val="2"/>
      </rPr>
      <t xml:space="preserve">留在 </t>
    </r>
    <r>
      <rPr>
        <sz val="10"/>
        <color rgb="FF000000"/>
        <rFont val="Arial"/>
        <family val="0"/>
        <charset val="1"/>
      </rPr>
      <t xml:space="preserve">015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</si>
  <si>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WenQuanYi Zen Hei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</si>
  <si>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</si>
  <si>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</si>
  <si>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</si>
  <si>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</si>
  <si>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</si>
  <si>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</si>
  <si>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</si>
  <si>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</si>
  <si>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</si>
  <si>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WenQuanYi Zen Hei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</si>
  <si>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</si>
  <si>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WenQuanYi Zen Hei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</si>
  <si>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</si>
  <si>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</si>
  <si>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</si>
  <si>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</si>
  <si>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</si>
  <si>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WenQuanYi Zen Hei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</si>
  <si>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</si>
  <si>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</si>
  <si>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WenQuanYi Zen Hei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</si>
  <si>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</si>
  <si>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</si>
  <si>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</si>
  <si>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</si>
  <si>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</si>
  <si>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</si>
  <si>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</si>
  <si>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</si>
  <si>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WenQuanYi Zen Hei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</si>
  <si>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WenQuanYi Zen Hei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</si>
  <si>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</si>
  <si>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</si>
  <si>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</si>
  <si>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WenQuanYi Zen Hei"/>
        <family val="2"/>
      </rPr>
      <t xml:space="preserve">修正前</t>
    </r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</si>
  <si>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</si>
  <si>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</si>
  <si>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</si>
  <si>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</si>
  <si>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</si>
  <si>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WenQuanYi Zen Hei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</si>
  <si>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</si>
  <si>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WenQuanYi Zen Hei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</si>
  <si>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</si>
  <si>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</si>
  <si>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</si>
  <si>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</si>
  <si>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WenQuanYi Zen Hei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</si>
  <si>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E202</t>
    </r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</si>
  <si>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WenQuanYi Zen Hei"/>
        <family val="2"/>
      </rPr>
      <t xml:space="preserve">｜直接</t>
    </r>
  </si>
  <si>
    <t xml:space="preserve">擬合點 1；Sources 文字取整為 9,384 ｜v5.18：等級 3→2（E202） ｜D1：值改為 InferenceX 快照 0813 原始資料內插至互動性 72：9097.16＋(74.263−72)/(74.263−68.267)×(9746.09−9097.16)＝9,342.1 [Derived]（−0.45%）；頁面無逐字 9,384.4｜W1：待第二來源（H1；SemiAnalysis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</si>
  <si>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WenQuanYi Zen Hei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</si>
  <si>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</si>
  <si>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E203</t>
    </r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</si>
  <si>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WenQuanYi Zen Hei"/>
        <family val="2"/>
      </rPr>
      <t xml:space="preserve">｜直接</t>
    </r>
  </si>
  <si>
    <t xml:space="preserve">擬合點 2 ｜v5.18：等級 3→2（E203） ｜D1：值改為同法內插至互動性 130：3055.6＋(136.29−130)/(136.29−118.29)×(4056.1−3055.6)＝3,405.2 [Derived]（−2.0%）；頁面無逐字 3,473.9｜W1：待第二來源（H1；SemiAnalysis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</si>
  <si>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</si>
  <si>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</si>
  <si>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WenQuanYi Zen Hei"/>
        <family val="2"/>
      </rPr>
      <t xml:space="preserve">口徑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</si>
  <si>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</si>
  <si>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</si>
  <si>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WenQuanYi Zen Hei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</si>
  <si>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</si>
  <si>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</si>
  <si>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</si>
  <si>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</si>
  <si>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</si>
  <si>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</si>
  <si>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</si>
  <si>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</si>
  <si>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WenQuanYi Zen Hei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</si>
  <si>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</si>
  <si>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</si>
  <si>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WenQuanYi Zen Hei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</si>
  <si>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</si>
  <si>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WenQuanYi Zen Hei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</si>
  <si>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</si>
  <si>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</si>
  <si>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</si>
  <si>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</si>
  <si>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WenQuanYi Zen Hei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</si>
  <si>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</si>
  <si>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</si>
  <si>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</si>
  <si>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</si>
  <si>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</si>
  <si>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</si>
  <si>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</si>
  <si>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</si>
  <si>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</si>
  <si>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</si>
  <si>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WenQuanYi Zen Hei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</si>
  <si>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</si>
  <si>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</si>
  <si>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WenQuanYi Zen Hei"/>
        <family val="2"/>
      </rPr>
      <t xml:space="preserve">｜直接</t>
    </r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</si>
  <si>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</si>
  <si>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</si>
  <si>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WenQuanYi Zen Hei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</si>
  <si>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WenQuanYi Zen Hei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WenQuanYi Zen Hei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WenQuanYi Zen Hei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判定</t>
    </r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</si>
  <si>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</si>
  <si>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WenQuanYi Zen Hei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</si>
  <si>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WenQuanYi Zen Hei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</si>
  <si>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</si>
  <si>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</si>
  <si>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</si>
  <si>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</si>
  <si>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</si>
  <si>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</si>
  <si>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</si>
  <si>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</si>
  <si>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</si>
  <si>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</si>
  <si>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</si>
  <si>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WenQuanYi Zen Hei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</si>
  <si>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</si>
  <si>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</si>
  <si>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</si>
  <si>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</si>
  <si>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</si>
  <si>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</si>
  <si>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</si>
  <si>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</si>
  <si>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</si>
  <si>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</si>
  <si>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</si>
  <si>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</si>
  <si>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</si>
  <si>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</si>
  <si>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</si>
  <si>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WenQuanYi Zen Hei"/>
        <family val="2"/>
      </rPr>
      <t xml:space="preserve">｜換算</t>
    </r>
  </si>
  <si>
    <t xml:space="preserve">模型以公式 =240318/72 內嵌常數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</si>
  <si>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</si>
  <si>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</si>
  <si>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</si>
  <si>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</si>
  <si>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</si>
  <si>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WenQuanYi Zen Hei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</si>
  <si>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</si>
  <si>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對照表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</si>
  <si>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對照表經 </t>
    </r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WenQuanYi Zen Hei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為預覽類</t>
    </r>
  </si>
  <si>
    <t xml:space="preserve">E143</t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</si>
  <si>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WenQuanYi Zen Hei"/>
        <family val="2"/>
      </rPr>
      <t xml:space="preserve">｜換算</t>
    </r>
  </si>
  <si>
    <t xml:space="preserve">模型以公式 =652750/72 內嵌常數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</si>
  <si>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</si>
  <si>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WenQuanYi Zen Hei"/>
        <family val="2"/>
      </rPr>
      <t xml:space="preserve">｜換算</t>
    </r>
  </si>
  <si>
    <t xml:space="preserve">模型以公式 =253506/72 內嵌常數；與 S31 的 250,634 同指標不同輪次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</si>
  <si>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</si>
  <si>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</si>
  <si>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</si>
  <si>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</si>
  <si>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</si>
  <si>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WenQuanYi Zen Hei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</si>
  <si>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</si>
  <si>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</si>
  <si>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</si>
  <si>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</si>
  <si>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</si>
  <si>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WenQuanYi Zen Hei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</si>
  <si>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WenQuanYi Zen Hei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</si>
  <si>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</si>
  <si>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WenQuanYi Zen Hei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</si>
  <si>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WenQuanYi Zen Hei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</si>
  <si>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</si>
  <si>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</si>
  <si>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WenQuanYi Zen Hei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WenQuanYi Zen Hei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</si>
  <si>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</si>
  <si>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WenQuanYi Zen Hei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</si>
  <si>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WenQuanYi Zen Hei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</si>
  <si>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</si>
  <si>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WenQuanYi Zen Hei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</si>
  <si>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WenQuanYi Zen Hei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</si>
  <si>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</si>
  <si>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</si>
  <si>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</si>
  <si>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</si>
  <si>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</si>
  <si>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WenQuanYi Zen Hei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</si>
  <si>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WenQuanYi Zen Hei"/>
        <family val="2"/>
      </rPr>
      <t xml:space="preserve">技術報告；模型內建知識</t>
    </r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</si>
  <si>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E187</t>
    </r>
  </si>
  <si>
    <t xml:space="preserve">S37</t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</si>
  <si>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</si>
  <si>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WenQuanYi Zen Hei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WenQuanYi Zen Hei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</si>
  <si>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</si>
  <si>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E188</t>
    </r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</si>
  <si>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WenQuanYi Zen Hei"/>
        <family val="2"/>
      </rPr>
      <t xml:space="preserve">｜選取</t>
    </r>
  </si>
  <si>
    <t xml:space="preserve">模型 goodput 0.9 → Analogy ｜v5.18：等級 3→1（E188）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</si>
  <si>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</si>
  <si>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WenQuanYi Zen Hei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</si>
  <si>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</si>
  <si>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</si>
  <si>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</si>
  <si>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</si>
  <si>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</si>
  <si>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</si>
  <si>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</si>
  <si>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</si>
  <si>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WenQuanYi Zen Hei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</si>
  <si>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</si>
  <si>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WenQuanYi Zen Hei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</si>
  <si>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</si>
  <si>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WenQuanYi Zen Hei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</si>
  <si>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WenQuanYi Zen Hei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</si>
  <si>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WenQuanYi Zen Hei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</si>
  <si>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WenQuanYi Zen Hei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WenQuanYi Zen Hei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</si>
  <si>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</si>
  <si>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WenQuanYi Zen Hei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</si>
  <si>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量為實際統計，成本與毛利敘事有宣傳誘因（後者不登錄）</t>
    </r>
  </si>
  <si>
    <t xml:space="preserve">E164</t>
  </si>
  <si>
    <t xml:space="preserve">對照：Calib!C5 η_p（Analogy 可比對象）</t>
  </si>
  <si>
    <t xml:space="preserve">原文為約值；換算 η_p 需每 token FLOPs（S30 原記 0.37 為推算，非原文）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</si>
  <si>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</si>
  <si>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WenQuanYi Zen Hei"/>
        <family val="2"/>
      </rPr>
      <t xml:space="preserve">）</t>
    </r>
  </si>
  <si>
    <t xml:space="preserve">輸入 token（含快取命中）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</si>
  <si>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</si>
  <si>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WenQuanYi Zen Hei"/>
        <family val="2"/>
      </rPr>
      <t xml:space="preserve">」</t>
    </r>
  </si>
  <si>
    <t xml:space="preserve">對照：Calib!C67 Hopper η_d 倍數（Analogy 可比對象）</t>
  </si>
  <si>
    <t xml:space="preserve">原文為約值</t>
  </si>
  <si>
    <t xml:space="preserve">輸出 token</t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</si>
  <si>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</si>
  <si>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</si>
  <si>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</si>
  <si>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</si>
  <si>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</si>
  <si>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</si>
  <si>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WenQuanYi Zen Hei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WenQuanYi Zen Hei"/>
        <family val="2"/>
      </rPr>
      <t xml:space="preserve">）</t>
    </r>
  </si>
  <si>
    <t xml:space="preserve">對照：Workload!C11 歷史快取命中率 χ</t>
  </si>
  <si>
    <t xml:space="preserve">聊天與 API 混合，非代理迴圈</t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</si>
  <si>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</si>
  <si>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</si>
  <si>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</si>
  <si>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線上服務：平均每用戶輸出速度</t>
    </r>
  </si>
  <si>
    <t xml:space="preserve">對照：Serving 第 21 列 SLO</t>
  </si>
  <si>
    <t xml:space="preserve">原文為區間 20–22</t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</si>
  <si>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</si>
  <si>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</si>
  <si>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</si>
  <si>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</si>
  <si>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</si>
  <si>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</si>
  <si>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</si>
  <si>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</si>
  <si>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</si>
  <si>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</si>
  <si>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</si>
  <si>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WenQuanYi Zen Hei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</si>
  <si>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t xml:space="preserve">對照：Spec_Rack!C29 decode EP 基準寬度（Hopper）</t>
  </si>
  <si>
    <t xml:space="preserve">每 GPU 9 個路由專家＋1 個共享專家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</si>
  <si>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</si>
  <si>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WenQuanYi Zen Hei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</si>
  <si>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t xml:space="preserve">對照：Spec_Rack!C29 decode EP 基準寬度（Hopper；Analogy 可比對象）</t>
  </si>
  <si>
    <t xml:space="preserve">每 GPU 2 個路由專家＋1 個共享專家；EP144＝18 節點 × 8 GPU</t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</si>
  <si>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WenQuanYi Zen Hei"/>
        <family val="2"/>
      </rPr>
      <t xml:space="preserve">牌價與算力租金（廠商牌價、新雲價目、第三方推算）</t>
    </r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</si>
  <si>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WenQuanYi Zen Hei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</si>
  <si>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</si>
  <si>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</si>
  <si>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</si>
  <si>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WenQuanYi Zen Hei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</si>
  <si>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WenQuanYi Zen Hei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WenQuanYi Zen Hei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</si>
  <si>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</si>
  <si>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</si>
  <si>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</si>
  <si>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</si>
  <si>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t xml:space="preserve">新雲損益兩平租金（Cape Fear）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</si>
  <si>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WenQuanYi Zen Hei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</si>
  <si>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</si>
  <si>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</si>
  <si>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</si>
  <si>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</si>
  <si>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</si>
  <si>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</si>
  <si>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WenQuanYi Zen Hei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</si>
  <si>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</si>
  <si>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</si>
  <si>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WenQuanYi Zen Hei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</si>
  <si>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</si>
  <si>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</si>
  <si>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</si>
  <si>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</si>
  <si>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</si>
  <si>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WenQuanYi Zen Hei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</si>
  <si>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</si>
  <si>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</si>
  <si>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WenQuanYi Zen Hei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</si>
  <si>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</si>
  <si>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WenQuanYi Zen Hei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</si>
  <si>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WenQuanYi Zen Hei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</si>
  <si>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</si>
  <si>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WenQuanYi Zen Hei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</si>
  <si>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WenQuanYi Zen Hei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</si>
  <si>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</si>
  <si>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</si>
  <si>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WenQuanYi Zen Hei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</si>
  <si>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</si>
  <si>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WenQuanYi Zen Hei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</si>
  <si>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WenQuanYi Zen Hei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</si>
  <si>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</si>
  <si>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</si>
  <si>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WenQuanYi Zen Hei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</si>
  <si>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</si>
  <si>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</si>
  <si>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WenQuanYi Zen Hei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</si>
  <si>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</si>
  <si>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</si>
  <si>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WenQuanYi Zen Hei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</si>
  <si>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</si>
  <si>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</si>
  <si>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WenQuanYi Zen Hei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</si>
  <si>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</si>
  <si>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</si>
  <si>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</si>
  <si>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WenQuanYi Zen Hei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</si>
  <si>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</si>
  <si>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WenQuanYi Zen Hei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</si>
  <si>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WenQuanYi Zen Hei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</si>
  <si>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</si>
  <si>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</si>
  <si>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</si>
  <si>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WenQuanYi Zen Hei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</si>
  <si>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</si>
  <si>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</si>
  <si>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</si>
  <si>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WenQuanYi Zen Hei"/>
        <family val="2"/>
      </rPr>
      <t xml:space="preserve">｜直接</t>
    </r>
  </si>
  <si>
    <t xml:space="preserve">模型快取 0.5 無來源（推測為輸入 10%）</t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</si>
  <si>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</si>
  <si>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</si>
  <si>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WenQuanYi Zen Hei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</si>
  <si>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</si>
  <si>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</si>
  <si>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WenQuanYi Zen Hei"/>
        <family val="2"/>
      </rPr>
      <t xml:space="preserve">｜直接</t>
    </r>
  </si>
  <si>
    <t xml:space="preserve">模型快取 0.2 無來源</t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</si>
  <si>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</si>
  <si>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</si>
  <si>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WenQuanYi Zen Hei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</si>
  <si>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</si>
  <si>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</si>
  <si>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</si>
  <si>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</si>
  <si>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</si>
  <si>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</si>
  <si>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WenQuanYi Zen Hei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</si>
  <si>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</si>
  <si>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</si>
  <si>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</si>
  <si>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</si>
  <si>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WenQuanYi Zen Hei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</si>
  <si>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</si>
  <si>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WenQuanYi Zen Hei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</si>
  <si>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</si>
  <si>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WenQuanYi Zen Hei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</si>
  <si>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</si>
  <si>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WenQuanYi Zen Hei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</si>
  <si>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WenQuanYi Zen Hei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</si>
  <si>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</si>
  <si>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WenQuanYi Zen Hei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</si>
  <si>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WenQuanYi Zen Hei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</si>
  <si>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</si>
  <si>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WenQuanYi Zen Hei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</si>
  <si>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WenQuanYi Zen Hei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</si>
  <si>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</si>
  <si>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WenQuanYi Zen Hei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</si>
  <si>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</si>
  <si>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</si>
  <si>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WenQuanYi Zen Hei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</si>
  <si>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</si>
  <si>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</si>
  <si>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WenQuanYi Zen Hei"/>
        <family val="2"/>
      </rPr>
      <t xml:space="preserve">週</t>
    </r>
  </si>
  <si>
    <t xml:space="preserve">週一至五 UTC 01–04、06–10</t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</si>
  <si>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WenQuanYi Zen Hei"/>
        <family val="2"/>
      </rPr>
      <t xml:space="preserve">｜直接</t>
    </r>
  </si>
  <si>
    <t xml:space="preserve">由公告時段計算（7 hr × 5）</t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</si>
  <si>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</si>
  <si>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WenQuanYi Zen Hei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</si>
  <si>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</si>
  <si>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WenQuanYi Zen Hei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</si>
  <si>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</si>
  <si>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</si>
  <si>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WenQuanYi Zen Hei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</si>
  <si>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</si>
  <si>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</si>
  <si>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WenQuanYi Zen Hei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</si>
  <si>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</si>
  <si>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</si>
  <si>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WenQuanYi Zen Hei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</si>
  <si>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</si>
  <si>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</si>
  <si>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WenQuanYi Zen Hei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</si>
  <si>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</si>
  <si>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</si>
  <si>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WenQuanYi Zen Hei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</si>
  <si>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</si>
  <si>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</si>
  <si>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WenQuanYi Zen Hei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</si>
  <si>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</si>
  <si>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</si>
  <si>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WenQuanYi Zen Hei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</si>
  <si>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WenQuanYi Zen Hei"/>
        <family val="2"/>
      </rPr>
      <t xml:space="preserve">牌價（官方頁未讀）</t>
    </r>
  </si>
  <si>
    <t xml:space="preserve">E156</t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</si>
  <si>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</si>
  <si>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WenQuanYi Zen Hei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</si>
  <si>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</si>
  <si>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</si>
  <si>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WenQuanYi Zen Hei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</si>
  <si>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</si>
  <si>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</si>
  <si>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WenQuanYi Zen Hei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</si>
  <si>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</si>
  <si>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</si>
  <si>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</si>
  <si>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WenQuanYi Zen Hei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</si>
  <si>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</si>
  <si>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</si>
  <si>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WenQuanYi Zen Hei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</si>
  <si>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</si>
  <si>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</si>
  <si>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WenQuanYi Zen Hei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</si>
  <si>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</si>
  <si>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</si>
  <si>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</si>
  <si>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</si>
  <si>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</si>
  <si>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</si>
  <si>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</si>
  <si>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</si>
  <si>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</si>
  <si>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WenQuanYi Zen Hei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</si>
  <si>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</si>
  <si>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</si>
  <si>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WenQuanYi Zen Hei"/>
        <family val="2"/>
      </rPr>
      <t xml:space="preserve">｜直接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</si>
  <si>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WenQuanYi Zen Hei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WenQuanYi Zen Hei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</si>
  <si>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</si>
  <si>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</si>
  <si>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WenQuanYi Zen Hei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</si>
  <si>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WenQuanYi Zen Hei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</si>
  <si>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</si>
  <si>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</si>
  <si>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WenQuanYi Zen Hei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</si>
  <si>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</si>
  <si>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</si>
  <si>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WenQuanYi Zen Hei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</si>
  <si>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</si>
  <si>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</si>
  <si>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WenQuanYi Zen Hei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</si>
  <si>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</si>
  <si>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</si>
  <si>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</si>
  <si>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</si>
  <si>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</si>
  <si>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</si>
  <si>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</si>
  <si>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WenQuanYi Zen Hei"/>
        <family val="2"/>
      </rPr>
      <t xml:space="preserve">｜選取</t>
    </r>
  </si>
  <si>
    <t xml:space="preserve">模型用於 Qwen3.8-Max；是否同一模型待查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</si>
  <si>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</si>
  <si>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</si>
  <si>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WenQuanYi Zen Hei"/>
        <family val="2"/>
      </rPr>
      <t xml:space="preserve">｜選取</t>
    </r>
  </si>
  <si>
    <t xml:space="preserve">模型用於 V4-Pro-0813；版本是否相同待查</t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</si>
  <si>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</si>
  <si>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</si>
  <si>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</si>
  <si>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WenQuanYi Zen Hei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</si>
  <si>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E189</t>
    </r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</si>
  <si>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</si>
  <si>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WenQuanYi Zen Hei"/>
        <family val="2"/>
      </rPr>
      <t xml:space="preserve">｜直接</t>
    </r>
  </si>
  <si>
    <t xml:space="preserve">與 v4.3 不同口徑（G4） ｜v5.18：等級 3→1（E189）</t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</si>
  <si>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</si>
  <si>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</si>
  <si>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t xml:space="preserve">E158</t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</si>
  <si>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WenQuanYi Zen Hei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</si>
  <si>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</si>
  <si>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</si>
  <si>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WenQuanYi Zen Hei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</si>
  <si>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</si>
  <si>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</si>
  <si>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</si>
  <si>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E190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</si>
  <si>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</si>
  <si>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</si>
  <si>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</si>
  <si>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</si>
  <si>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</si>
  <si>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WenQuanYi Zen Hei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</si>
  <si>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WenQuanYi Zen Hei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WenQuanYi Zen Hei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</si>
  <si>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</si>
  <si>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WenQuanYi Zen Hei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</si>
  <si>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</si>
  <si>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</si>
  <si>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</si>
  <si>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WenQuanYi Zen Hei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</si>
  <si>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</si>
  <si>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</si>
  <si>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</si>
  <si>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</si>
  <si>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</si>
  <si>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WenQuanYi Zen Hei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</si>
  <si>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</si>
  <si>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</si>
  <si>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WenQuanYi Zen Hei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</si>
  <si>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</si>
  <si>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WenQuanYi Zen Hei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</si>
  <si>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</si>
  <si>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WenQuanYi Zen Hei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</si>
  <si>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</si>
  <si>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</si>
  <si>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WenQuanYi Zen Hei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</si>
  <si>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</si>
  <si>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</si>
  <si>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WenQuanYi Zen Hei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</si>
  <si>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</si>
  <si>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</si>
  <si>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</si>
  <si>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</si>
  <si>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WenQuanYi Zen Hei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</si>
  <si>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</si>
  <si>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WenQuanYi Zen Hei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</si>
  <si>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</si>
  <si>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WenQuanYi Zen Hei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WenQuanYi Zen Hei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WenQuanYi Zen Hei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</si>
  <si>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WenQuanYi Zen Hei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</si>
  <si>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</si>
  <si>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</si>
  <si>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WenQuanYi Zen Hei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</si>
  <si>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</si>
  <si>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</si>
  <si>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</si>
  <si>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</si>
  <si>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WenQuanYi Zen Hei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</si>
  <si>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</si>
  <si>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</si>
  <si>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</si>
  <si>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WenQuanYi Zen Hei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</si>
  <si>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WenQuanYi Zen Hei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</si>
  <si>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WenQuanYi Zen Hei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</si>
  <si>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</si>
  <si>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WenQuanYi Zen Hei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</si>
  <si>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</si>
  <si>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</si>
  <si>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WenQuanYi Zen Hei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</si>
  <si>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</si>
  <si>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WenQuanYi Zen Hei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</si>
  <si>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WenQuanYi Zen Hei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</si>
  <si>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</si>
  <si>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WenQuanYi Zen Hei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</si>
  <si>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WenQuanYi Zen Hei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</si>
  <si>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</si>
  <si>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WenQuanYi Zen Hei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</si>
  <si>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</si>
  <si>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WenQuanYi Zen Hei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</si>
  <si>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</si>
  <si>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WenQuanYi Zen Hei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</si>
  <si>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WenQuanYi Zen Hei"/>
        <family val="2"/>
      </rPr>
      <t xml:space="preserve">｜直接</t>
    </r>
  </si>
  <si>
    <t xml:space="preserve">另載 $19,302（衝突）</t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</si>
  <si>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</si>
  <si>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WenQuanYi Zen Hei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</si>
  <si>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</si>
  <si>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</si>
  <si>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WenQuanYi Zen Hei"/>
        <family val="2"/>
      </rPr>
      <t xml:space="preserve">標準</t>
    </r>
  </si>
  <si>
    <t xml:space="preserve">「少用約 49%」，範圍不明</t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</si>
  <si>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WenQuanYi Zen Hei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</si>
  <si>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</si>
  <si>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WenQuanYi Zen Hei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</si>
  <si>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</si>
  <si>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</si>
  <si>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</si>
  <si>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WenQuanYi Zen Hei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</si>
  <si>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</si>
  <si>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WenQuanYi Zen Hei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</si>
  <si>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WenQuanYi Zen Hei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</si>
  <si>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WenQuanYi Zen Hei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</si>
  <si>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WenQuanYi Zen Hei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</si>
  <si>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WenQuanYi Zen Hei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</si>
  <si>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</si>
  <si>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</si>
  <si>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</si>
  <si>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</si>
  <si>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WenQuanYi Zen Hei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</si>
  <si>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</si>
  <si>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WenQuanYi Zen Hei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</si>
  <si>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</si>
  <si>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WenQuanYi Zen Hei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</si>
  <si>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WenQuanYi Zen Hei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</si>
  <si>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</si>
  <si>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</si>
  <si>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WenQuanYi Zen Hei"/>
        <family val="2"/>
      </rPr>
      <t xml:space="preserve">｜直接</t>
    </r>
  </si>
  <si>
    <t xml:space="preserve">歸屬（Nvidia／Strands）待核</t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</si>
  <si>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：需求與支出揭露（實驗室推論／訓練支出、營收、算力規模）</t>
    </r>
  </si>
  <si>
    <t xml:space="preserve">最終訓練占研發支出：OpenAI</t>
  </si>
  <si>
    <t xml:space="preserve">支出口徑；Epoch 推估</t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</si>
  <si>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</si>
  <si>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WenQuanYi Zen Hei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</si>
  <si>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</si>
  <si>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</si>
  <si>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WenQuanYi Zen Hei"/>
        <family val="2"/>
      </rPr>
      <t xml:space="preserve">｜對照</t>
    </r>
  </si>
  <si>
    <t xml:space="preserve">研發倍數 4.4–10.4 由此換算</t>
  </si>
  <si>
    <t xml:space="preserve">SRC_DEM_002</t>
  </si>
  <si>
    <t xml:space="preserve">最終訓練占研發支出：MiniMax</t>
  </si>
  <si>
    <t xml:space="preserve">SRC_DEM_003</t>
  </si>
  <si>
    <t xml:space="preserve">最終訓練占研發支出：Z.ai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</si>
  <si>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推論支出</t>
    </r>
  </si>
  <si>
    <t xml:space="preserve">年度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</si>
  <si>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</si>
  <si>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WenQuanYi Zen Hei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</si>
  <si>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</si>
  <si>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</si>
  <si>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WenQuanYi Zen Hei"/>
        <family val="2"/>
      </rPr>
      <t xml:space="preserve">｜換算</t>
    </r>
  </si>
  <si>
    <t xml:space="preserve">服務占比 0.41＝8.4 ÷（8.4＋12）＝0.4118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</si>
  <si>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非付費用戶推論支出</t>
    </r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</si>
  <si>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WenQuanYi Zen Hei"/>
        <family val="2"/>
      </rPr>
      <t xml:space="preserve">｜換算</t>
    </r>
  </si>
  <si>
    <t xml:space="preserve">免費占服務 0.46＝3.9 ÷ 8.4＝0.4643</t>
  </si>
  <si>
    <t xml:space="preserve">SRC_DEM_006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</si>
  <si>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</si>
  <si>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</si>
  <si>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</si>
  <si>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WenQuanYi Zen Hei"/>
        <family val="2"/>
      </rPr>
      <t xml:space="preserve">｜換算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</si>
  <si>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</si>
  <si>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</si>
  <si>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</si>
  <si>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</si>
  <si>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</si>
  <si>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</t>
    </r>
  </si>
  <si>
    <t xml:space="preserve">約值；口徑未明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</si>
  <si>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WenQuanYi Zen Hei"/>
        <family val="2"/>
      </rPr>
      <t xml:space="preserve">處理量</t>
    </r>
  </si>
  <si>
    <t xml:space="preserve">B tok/min</t>
  </si>
  <si>
    <t xml:space="preserve">時點值；API 全部</t>
  </si>
  <si>
    <t xml:space="preserve">2025-10-06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</si>
  <si>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DevDay 2025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2025-10-06 </t>
    </r>
    <r>
      <rPr>
        <sz val="10"/>
        <color rgb="FF000000"/>
        <rFont val="WenQuanYi Zen Hei"/>
        <family val="2"/>
      </rPr>
      <t xml:space="preserve">報導；</t>
    </r>
    <r>
      <rPr>
        <sz val="10"/>
        <color rgb="FF000000"/>
        <rFont val="Arial"/>
        <family val="0"/>
        <charset val="1"/>
      </rPr>
      <t xml:space="preserve">Epoch usage reports </t>
    </r>
    <r>
      <rPr>
        <sz val="10"/>
        <color rgb="FF000000"/>
        <rFont val="WenQuanYi Zen Hei"/>
        <family val="2"/>
      </rPr>
      <t xml:space="preserve">收錄）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</si>
  <si>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管理層公開宣示（經媒體報導）：有呈現成長的誘因</t>
    </r>
  </si>
  <si>
    <t xml:space="preserve">E166</t>
  </si>
  <si>
    <t xml:space="preserve">U-V515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</si>
  <si>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WenQuanYi Zen Hei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WenQuanYi Zen Hei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</si>
  <si>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月時點值；全年平均由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WenQuanYi Zen Hei"/>
        <family val="2"/>
      </rPr>
      <t xml:space="preserve">月時點值」換算（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）</t>
    </r>
  </si>
  <si>
    <t xml:space="preserve">SRC_DEM_011</t>
  </si>
  <si>
    <t xml:space="preserve">時點值；「超過」；API 全部</t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</si>
  <si>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</si>
  <si>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WenQuanYi Zen Hei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官方繁中頁 </t>
    </r>
    <r>
      <rPr>
        <sz val="10"/>
        <color rgb="FF000000"/>
        <rFont val="Arial"/>
        <family val="0"/>
        <charset val="1"/>
      </rPr>
      <t xml:space="preserve">https://openai.com/zh-Hant/index/accelerating-the-next-phase-ai/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讀取，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WenQuanYi Zen Hei"/>
        <family val="2"/>
      </rPr>
      <t xml:space="preserve">：「我們的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目前每分鐘可處理超過 </t>
    </r>
    <r>
      <rPr>
        <sz val="10"/>
        <color rgb="FF000000"/>
        <rFont val="Arial"/>
        <family val="0"/>
        <charset val="1"/>
      </rPr>
      <t xml:space="preserve">150 </t>
    </r>
    <r>
      <rPr>
        <sz val="10"/>
        <color rgb="FF000000"/>
        <rFont val="WenQuanYi Zen Hei"/>
        <family val="2"/>
      </rPr>
      <t xml:space="preserve">億個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。」）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</si>
  <si>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融資公告：有呈現成長的誘因；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融資公告，有呈現成長的誘因；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讀官方繁中頁（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</si>
  <si>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E167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E192</t>
    </r>
  </si>
  <si>
    <t xml:space="preserve">（備查；Alloc 基準年為 2025，A1；不在模型內使用）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</si>
  <si>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時點值，晚於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穩態基準年（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WenQuanYi Zen Hei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WenQuanYi Zen Hei"/>
        <family val="2"/>
      </rPr>
      <t xml:space="preserve">口徑不同（「超過」；日期不同），不構成 </t>
    </r>
    <r>
      <rPr>
        <sz val="10"/>
        <color rgb="FF000000"/>
        <rFont val="Arial"/>
        <family val="0"/>
        <charset val="1"/>
      </rPr>
      <t xml:space="preserve">E7 </t>
    </r>
    <r>
      <rPr>
        <sz val="10"/>
        <color rgb="FF000000"/>
        <rFont val="WenQuanYi Zen Hei"/>
        <family val="2"/>
      </rPr>
      <t xml:space="preserve">重複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2→1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</si>
  <si>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每日提示數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</si>
  <si>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日</t>
    </r>
  </si>
  <si>
    <t xml:space="preserve">全球；其中美國約 0.33B</t>
  </si>
  <si>
    <t xml:space="preserve">2025-07-21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</si>
  <si>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告知 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2025-07-21 </t>
    </r>
    <r>
      <rPr>
        <sz val="10"/>
        <color rgb="FF000000"/>
        <rFont val="WenQuanYi Zen Hei"/>
        <family val="2"/>
      </rPr>
      <t xml:space="preserve">報導）</t>
    </r>
  </si>
  <si>
    <t xml:space="preserve">E168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</si>
  <si>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WenQuanYi Zen Hei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WenQuanYi Zen Hei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</si>
  <si>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WenQuanYi Zen Hei"/>
        <family val="2"/>
      </rPr>
      <t xml:space="preserve">年中時點值；年內近似線性成長下視同全年平均（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</si>
  <si>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t xml:space="preserve">前沿實驗室（OpenAI）每日 token</t>
  </si>
  <si>
    <t xml:space="preserve">由算力推估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</si>
  <si>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（前沿實驗室）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</si>
  <si>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tokensperday.com </t>
    </r>
    <r>
      <rPr>
        <sz val="10"/>
        <color rgb="FF000000"/>
        <rFont val="WenQuanYi Zen Hei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</si>
  <si>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WenQuanYi Zen Hei"/>
        <family val="2"/>
      </rPr>
      <t xml:space="preserve">：獨立研究機構，由算力推估，無銷售誘因</t>
    </r>
  </si>
  <si>
    <r>
      <rPr>
        <sz val="10"/>
        <color rgb="FF000000"/>
        <rFont val="Arial"/>
        <family val="0"/>
        <charset val="1"/>
      </rPr>
      <t xml:space="preserve">E169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E191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</si>
  <si>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外部對照、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WenQuanYi Zen Hei"/>
        <family val="2"/>
      </rPr>
      <t xml:space="preserve">節</t>
    </r>
  </si>
  <si>
    <t xml:space="preserve">低 10、高 100 T tok/日（由算力推估的區間） ｜v5.18：等級 2→1（E191）</t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</si>
  <si>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WenQuanYi Zen Hei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WenQuanYi Zen Hei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WenQuanYi Zen Hei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WenQuanYi Zen Hei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</si>
  <si>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WenQuanYi Zen Hei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WenQuanYi Zen Hei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WenQuanYi Zen Hei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WenQuanYi Zen Hei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WenQuanYi Zen Hei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WenQuanYi Zen Hei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WenQuanYi Zen Hei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WenQuanYi Zen Hei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WenQuanYi Zen Hei"/>
        <family val="2"/>
      </rPr>
      <t xml:space="preserve">落在這段，狀態與等級為「不存在」。</t>
    </r>
  </si>
  <si>
    <t xml:space="preserve">原列</t>
  </si>
  <si>
    <t xml:space="preserve">SRC_HW</t>
  </si>
  <si>
    <t xml:space="preserve">SRC_DC</t>
  </si>
  <si>
    <t xml:space="preserve">SRC_Model</t>
  </si>
  <si>
    <t xml:space="preserve">SRC_Perf</t>
  </si>
  <si>
    <t xml:space="preserve">SRC_Price</t>
  </si>
  <si>
    <t xml:space="preserve">SRC_Cap</t>
  </si>
  <si>
    <t xml:space="preserve">SRC_Harness</t>
  </si>
  <si>
    <t xml:space="preserve">SRC_Demand</t>
  </si>
  <si>
    <t xml:space="preserve">（哨兵）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</si>
  <si>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</si>
  <si>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WenQuanYi Zen Hei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WenQuanYi Zen Hei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WenQuanYi Zen Hei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WenQuanYi Zen Hei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WenQuanYi Zen Hei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</si>
  <si>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</si>
  <si>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</si>
  <si>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WenQuanYi Zen Hei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</si>
  <si>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</si>
  <si>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</si>
  <si>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WenQuanYi Zen Hei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</si>
  <si>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</si>
  <si>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</si>
  <si>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</si>
  <si>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</si>
  <si>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WenQuanYi Zen Hei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</si>
  <si>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</si>
  <si>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</si>
  <si>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</si>
  <si>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WenQuanYi Zen Hei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WenQuanYi Zen Hei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</si>
  <si>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</si>
  <si>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WenQuanYi Zen Hei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</si>
  <si>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WenQuanYi Zen Hei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WenQuanYi Zen Hei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WenQuanYi Zen Hei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</si>
  <si>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</si>
  <si>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</si>
  <si>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WenQuanYi Zen Hei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</si>
  <si>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</si>
  <si>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</si>
  <si>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WenQuanYi Zen Hei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WenQuanYi Zen Hei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</si>
  <si>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</si>
  <si>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</si>
  <si>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</si>
  <si>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</si>
  <si>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WenQuanYi Zen Hei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WenQuanYi Zen Hei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WenQuanYi Zen Hei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</si>
  <si>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</si>
  <si>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</si>
  <si>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</si>
  <si>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</si>
  <si>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</si>
  <si>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WenQuanYi Zen Hei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WenQuanYi Zen Hei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</si>
  <si>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</si>
  <si>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WenQuanYi Zen Hei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WenQuanYi Zen Hei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</si>
  <si>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</si>
  <si>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</si>
  <si>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</si>
  <si>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</si>
  <si>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</si>
  <si>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</si>
  <si>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WenQuanYi Zen Hei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</si>
  <si>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WenQuanYi Zen Hei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</si>
  <si>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</si>
  <si>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WenQuanYi Zen Hei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</si>
  <si>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</si>
  <si>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WenQuanYi Zen Hei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WenQuanYi Zen Hei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</si>
  <si>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WenQuanYi Zen Hei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</si>
  <si>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</si>
  <si>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</si>
  <si>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WenQuanYi Zen Hei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WenQuanYi Zen Hei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WenQuanYi Zen Hei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WenQuanYi Zen Hei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</si>
  <si>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</si>
  <si>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</si>
  <si>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</si>
  <si>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</si>
  <si>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</si>
  <si>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</si>
  <si>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</si>
  <si>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</si>
  <si>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</si>
  <si>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</si>
  <si>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</si>
  <si>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</si>
  <si>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</si>
  <si>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</si>
  <si>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</si>
  <si>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WenQuanYi Zen Hei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</si>
  <si>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</si>
  <si>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</si>
  <si>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</si>
  <si>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</si>
  <si>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</si>
  <si>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</si>
  <si>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WenQuanYi Zen Hei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</si>
  <si>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WenQuanYi Zen Hei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</si>
  <si>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WenQuanYi Zen Hei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WenQuanYi Zen Hei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</si>
  <si>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</si>
  <si>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</si>
  <si>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</si>
  <si>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</si>
  <si>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</si>
  <si>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</si>
  <si>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</si>
  <si>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</si>
  <si>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</si>
  <si>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</si>
  <si>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WenQuanYi Zen Hei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</si>
  <si>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WenQuanYi Zen Hei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對照表）</t>
    </r>
  </si>
  <si>
    <r>
      <rPr>
        <sz val="10"/>
        <color rgb="FF000000"/>
        <rFont val="WenQuanYi Zen Hei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</si>
  <si>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WenQuanYi Zen Hei"/>
        <family val="2"/>
      </rPr>
      <t xml:space="preserve">基準規格</t>
    </r>
  </si>
  <si>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WenQuanYi Zen Hei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</si>
  <si>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</si>
  <si>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</si>
  <si>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</si>
  <si>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WenQuanYi Zen Hei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WenQuanYi Zen Hei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</si>
  <si>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</si>
  <si>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WenQuanYi Zen Hei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</si>
  <si>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</si>
  <si>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WenQuanYi Zen Hei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</si>
  <si>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WenQuanYi Zen Hei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WenQuanYi Zen Hei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WenQuanYi Zen Hei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WenQuanYi Zen Hei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WenQuanYi Zen Hei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</si>
  <si>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</si>
  <si>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</si>
  <si>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WenQuanYi Zen Hei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</si>
  <si>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</si>
  <si>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</si>
  <si>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WenQuanYi Zen Hei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</si>
  <si>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WenQuanYi Zen Hei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</si>
  <si>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</si>
  <si>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：最終訓練占研發算力少數</t>
    </r>
  </si>
  <si>
    <r>
      <rPr>
        <sz val="10"/>
        <color rgb="FF000000"/>
        <rFont val="WenQuanYi Zen Hei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WenQuanYi Zen Hei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</si>
  <si>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WenQuanYi Zen Hei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</si>
  <si>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WenQuanYi Zen Hei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</si>
  <si>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WenQuanYi Zen Hei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WenQuanYi Zen Hei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</si>
  <si>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</si>
  <si>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WenQuanYi Zen Hei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WenQuanYi Zen Hei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WenQuanYi Zen Hei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</si>
  <si>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WenQuanYi Zen Hei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</si>
  <si>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</si>
  <si>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</si>
  <si>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</si>
  <si>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</si>
  <si>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WenQuanYi Zen Hei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WenQuanYi Zen Hei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</si>
  <si>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</si>
  <si>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WenQuanYi Zen Hei"/>
        <family val="2"/>
      </rPr>
      <t xml:space="preserve">發表</t>
    </r>
  </si>
  <si>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WenQuanYi Zen Hei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</si>
  <si>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WenQuanYi Zen Hei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</si>
  <si>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</si>
  <si>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</si>
  <si>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WenQuanYi Zen Hei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</si>
  <si>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WenQuanYi Zen Hei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WenQuanYi Zen Hei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</si>
  <si>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</si>
  <si>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</si>
  <si>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WenQuanYi Zen Hei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WenQuanYi Zen Hei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</si>
  <si>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WenQuanYi Zen Hei"/>
        <family val="2"/>
      </rPr>
      <t xml:space="preserve">技術報告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</si>
  <si>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WenQuanYi Zen Hei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</si>
  <si>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</si>
  <si>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WenQuanYi Zen Hei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</si>
  <si>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WenQuanYi Zen Hei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</si>
  <si>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WenQuanYi Zen Hei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</si>
  <si>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WenQuanYi Zen Hei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WenQuanYi Zen Hei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</si>
  <si>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</si>
  <si>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</si>
  <si>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WenQuanYi Zen Hei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WenQuanYi Zen Hei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WenQuanYi Zen Hei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</si>
  <si>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</si>
  <si>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</si>
  <si>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WenQuanYi Zen Hei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WenQuanYi Zen Hei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WenQuanYi Zen Hei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WenQuanYi Zen Hei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</si>
  <si>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WenQuanYi Zen Hei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WenQuanYi Zen Hei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</si>
  <si>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WenQuanYi Zen Hei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WenQuanYi Zen Hei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WenQuanYi Zen Hei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WenQuanYi Zen Hei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WenQuanYi Zen Hei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</si>
  <si>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</si>
  <si>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</si>
  <si>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WenQuanYi Zen Hei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WenQuanYi Zen Hei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</si>
  <si>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</si>
  <si>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WenQuanYi Zen Hei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WenQuanYi Zen Hei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WenQuanYi Zen Hei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</si>
  <si>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WenQuanYi Zen Hei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</si>
  <si>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WenQuanYi Zen Hei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</si>
  <si>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WenQuanYi Zen Hei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</si>
  <si>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WenQuanYi Zen Hei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WenQuanYi Zen Hei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</si>
  <si>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WenQuanYi Zen Hei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</si>
  <si>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</si>
  <si>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WenQuanYi Zen Hei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WenQuanYi Zen Hei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WenQuanYi Zen Hei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</si>
  <si>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WenQuanYi Zen Hei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</si>
  <si>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WenQuanYi Zen Hei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WenQuanYi Zen Hei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WenQuanYi Zen Hei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</si>
  <si>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</si>
  <si>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WenQuanYi Zen Hei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</si>
  <si>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WenQuanYi Zen Hei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</si>
  <si>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WenQuanYi Zen Hei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</si>
  <si>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</si>
  <si>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（廠商定價，經彙整站轉述）</t>
    </r>
  </si>
  <si>
    <r>
      <rPr>
        <sz val="10"/>
        <color rgb="FF000000"/>
        <rFont val="WenQuanYi Zen Hei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WenQuanYi Zen Hei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WenQuanYi Zen Hei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</si>
  <si>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WenQuanYi Zen Hei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</si>
  <si>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WenQuanYi Zen Hei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</si>
  <si>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</si>
  <si>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</si>
  <si>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</si>
  <si>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</si>
  <si>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</si>
  <si>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已收錄）</t>
    </r>
  </si>
  <si>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WenQuanYi Zen Hei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WenQuanYi Zen Hei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WenQuanYi Zen Hei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</si>
  <si>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WenQuanYi Zen Hei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</si>
  <si>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</si>
  <si>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WenQuanYi Zen Hei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WenQuanYi Zen Hei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</si>
  <si>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WenQuanYi Zen Hei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WenQuanYi Zen Hei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WenQuanYi Zen Hei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WenQuanYi Zen Hei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WenQuanYi Zen Hei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WenQuanYi Zen Hei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WenQuanYi Zen Hei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</si>
  <si>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WenQuanYi Zen Hei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</si>
  <si>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WenQuanYi Zen Hei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</si>
  <si>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</si>
  <si>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WenQuanYi Zen Hei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WenQuanYi Zen Hei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</si>
  <si>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WenQuanYi Zen Hei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</si>
  <si>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WenQuanYi Zen Hei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</si>
  <si>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WenQuanYi Zen Hei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WenQuanYi Zen Hei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</si>
  <si>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</si>
  <si>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WenQuanYi Zen Hei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WenQuanYi Zen Hei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</si>
  <si>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（獨立評測）</t>
    </r>
  </si>
  <si>
    <r>
      <rPr>
        <sz val="10"/>
        <color rgb="FF000000"/>
        <rFont val="WenQuanYi Zen Hei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WenQuanYi Zen Hei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</si>
  <si>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WenQuanYi Zen Hei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</si>
  <si>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WenQuanYi Zen Hei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</si>
  <si>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</si>
  <si>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WenQuanYi Zen Hei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</si>
  <si>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WenQuanYi Zen Hei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</si>
  <si>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</si>
  <si>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WenQuanYi Zen Hei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WenQuanYi Zen Hei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WenQuanYi Zen Hei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WenQuanYi Zen Hei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WenQuanYi Zen Hei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WenQuanYi Zen Hei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</si>
  <si>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</si>
  <si>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</si>
  <si>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</si>
  <si>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WenQuanYi Zen Hei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</si>
  <si>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</si>
  <si>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</si>
  <si>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</si>
  <si>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</si>
  <si>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</si>
  <si>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</si>
  <si>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WenQuanYi Zen Hei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WenQuanYi Zen Hei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</si>
  <si>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WenQuanYi Zen Hei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WenQuanYi Zen Hei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</si>
  <si>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WenQuanYi Zen Hei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</si>
  <si>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</si>
  <si>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</si>
  <si>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</si>
  <si>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</si>
  <si>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WenQuanYi Zen Hei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WenQuanYi Zen Hei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</si>
  <si>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</si>
  <si>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</si>
  <si>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</si>
  <si>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</si>
  <si>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</si>
  <si>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</si>
  <si>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</si>
  <si>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</si>
  <si>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</si>
  <si>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</si>
  <si>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WenQuanYi Zen Hei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</si>
  <si>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</si>
  <si>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</si>
  <si>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</si>
  <si>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</si>
  <si>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WenQuanYi Zen Hei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</si>
  <si>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WenQuanYi Zen Hei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</si>
  <si>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</si>
  <si>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</si>
  <si>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</si>
  <si>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</si>
  <si>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WenQuanYi Zen Hei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</si>
  <si>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WenQuanYi Zen Hei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</si>
  <si>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WenQuanYi Zen Hei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</si>
  <si>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</si>
  <si>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</si>
  <si>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</si>
  <si>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</si>
  <si>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</si>
  <si>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</si>
  <si>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WenQuanYi Zen Hei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WenQuanYi Zen Hei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</si>
  <si>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</si>
  <si>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WenQuanYi Zen Hei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WenQuanYi Zen Hei"/>
        <family val="2"/>
      </rPr>
      <t xml:space="preserve">以能力錨點檢驗</t>
    </r>
  </si>
  <si>
    <t xml:space="preserve">待判定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</si>
  <si>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</si>
  <si>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</si>
  <si>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</si>
  <si>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WenQuanYi Zen Hei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</si>
  <si>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WenQuanYi Zen Hei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</si>
  <si>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WenQuanYi Zen Hei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</si>
  <si>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</si>
  <si>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WenQuanYi Zen Hei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WenQuanYi Zen Hei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</si>
  <si>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</si>
  <si>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</si>
  <si>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</si>
  <si>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WenQuanYi Zen Hei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</si>
  <si>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WenQuanYi Zen Hei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</si>
  <si>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</si>
  <si>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</si>
  <si>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</si>
  <si>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</si>
  <si>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WenQuanYi Zen Hei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WenQuanYi Zen Hei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</si>
  <si>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WenQuanYi Zen Hei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</si>
  <si>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</si>
  <si>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</si>
  <si>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</si>
  <si>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</si>
  <si>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WenQuanYi Zen Hei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WenQuanYi Zen Hei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WenQuanYi Zen Hei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</si>
  <si>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WenQuanYi Zen Hei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</si>
  <si>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</si>
  <si>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</si>
  <si>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</si>
  <si>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</si>
  <si>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</si>
  <si>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WenQuanYi Zen Hei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WenQuanYi Zen Hei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</si>
  <si>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WenQuanYi Zen Hei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</si>
  <si>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</si>
  <si>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</si>
  <si>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</si>
  <si>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</si>
  <si>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</si>
  <si>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</si>
  <si>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</si>
  <si>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WenQuanYi Zen Hei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</si>
  <si>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</si>
  <si>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</si>
  <si>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</si>
  <si>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</si>
  <si>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WenQuanYi Zen Hei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WenQuanYi Zen Hei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</si>
  <si>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WenQuanYi Zen Hei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</si>
  <si>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</si>
  <si>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</si>
  <si>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</si>
  <si>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</si>
  <si>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WenQuanYi Zen Hei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WenQuanYi Zen Hei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</si>
  <si>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WenQuanYi Zen Hei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</si>
  <si>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</si>
  <si>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</si>
  <si>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</si>
  <si>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</si>
  <si>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WenQuanYi Zen Hei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WenQuanYi Zen Hei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</si>
  <si>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WenQuanYi Zen Hei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</si>
  <si>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</si>
  <si>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</si>
  <si>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WenQuanYi Zen Hei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WenQuanYi Zen Hei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WenQuanYi Zen Hei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WenQuanYi Zen Hei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</si>
  <si>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</si>
  <si>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WenQuanYi Zen Hei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</si>
  <si>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</si>
  <si>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</si>
  <si>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</si>
  <si>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</si>
  <si>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</si>
  <si>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WenQuanYi Zen Hei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WenQuanYi Zen Hei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</si>
  <si>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WenQuanYi Zen Hei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</si>
  <si>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</si>
  <si>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WenQuanYi Zen Hei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</si>
  <si>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</si>
  <si>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</si>
  <si>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WenQuanYi Zen Hei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WenQuanYi Zen Hei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WenQuanYi Zen Hei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</si>
  <si>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WenQuanYi Zen Hei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</si>
  <si>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</si>
  <si>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WenQuanYi Zen Hei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</si>
  <si>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</si>
  <si>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</si>
  <si>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WenQuanYi Zen Hei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</si>
  <si>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WenQuanYi Zen Hei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</si>
  <si>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WenQuanYi Zen Hei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</si>
  <si>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</si>
  <si>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WenQuanYi Zen Hei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WenQuanYi Zen Hei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WenQuanYi Zen Hei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WenQuanYi Zen Hei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WenQuanYi Zen Hei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</si>
  <si>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WenQuanYi Zen Hei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</si>
  <si>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WenQuanYi Zen Hei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</si>
  <si>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WenQuanYi Zen Hei"/>
        <family val="2"/>
      </rPr>
      <t xml:space="preserve">（報導）</t>
    </r>
  </si>
  <si>
    <t xml:space="preserve">成本未找到</t>
  </si>
  <si>
    <t xml:space="preserve">E101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</si>
  <si>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</si>
  <si>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</si>
  <si>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</si>
  <si>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</si>
  <si>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</si>
  <si>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WenQuanYi Zen Hei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WenQuanYi Zen Hei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WenQuanYi Zen Hei"/>
        <family val="2"/>
      </rPr>
      <t xml:space="preserve">文字與模型格，未重新查核原文</t>
    </r>
  </si>
  <si>
    <t xml:space="preserve">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</si>
  <si>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</si>
  <si>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</si>
  <si>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t xml:space="preserve">E103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</si>
  <si>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</si>
  <si>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</si>
  <si>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</si>
  <si>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</si>
  <si>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</si>
  <si>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E106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</si>
  <si>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</si>
  <si>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</si>
  <si>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</si>
  <si>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t xml:space="preserve">E108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</si>
  <si>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</si>
  <si>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</si>
  <si>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</si>
  <si>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</si>
  <si>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</si>
  <si>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</si>
  <si>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</si>
  <si>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</si>
  <si>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</si>
  <si>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</si>
  <si>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</si>
  <si>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</si>
  <si>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</si>
  <si>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</si>
  <si>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</si>
  <si>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</si>
  <si>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</si>
  <si>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</si>
  <si>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</si>
  <si>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</si>
  <si>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</si>
  <si>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</si>
  <si>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</si>
  <si>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</si>
  <si>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</si>
  <si>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</si>
  <si>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</si>
  <si>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</si>
  <si>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</si>
  <si>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</si>
  <si>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</si>
  <si>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</si>
  <si>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</si>
  <si>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</si>
  <si>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</si>
  <si>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1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</si>
  <si>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</si>
  <si>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</si>
  <si>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</si>
  <si>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</si>
  <si>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</si>
  <si>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</si>
  <si>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</si>
  <si>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</si>
  <si>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</si>
  <si>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</si>
  <si>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</si>
  <si>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</si>
  <si>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</si>
  <si>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</si>
  <si>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</si>
  <si>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</si>
  <si>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</si>
  <si>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</si>
  <si>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</si>
  <si>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</si>
  <si>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</si>
  <si>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</si>
  <si>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</si>
  <si>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</si>
  <si>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</si>
  <si>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</si>
  <si>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</si>
  <si>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</si>
  <si>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</si>
  <si>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</si>
  <si>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</si>
  <si>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</si>
  <si>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</si>
  <si>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</si>
  <si>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</si>
  <si>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</si>
  <si>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</si>
  <si>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t xml:space="preserve">E145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</si>
  <si>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</si>
  <si>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</si>
  <si>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</si>
  <si>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</si>
  <si>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WenQuanYi Zen Hei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WenQuanYi Zen Hei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</si>
  <si>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</si>
  <si>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</si>
  <si>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WenQuanYi Zen Hei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</si>
  <si>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</si>
  <si>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</si>
  <si>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</si>
  <si>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</si>
  <si>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</si>
  <si>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</si>
  <si>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</si>
  <si>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</si>
  <si>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</si>
  <si>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</si>
  <si>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</si>
  <si>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</si>
  <si>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</si>
  <si>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</si>
  <si>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</si>
  <si>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</si>
  <si>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</si>
  <si>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</si>
  <si>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</si>
  <si>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</si>
  <si>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</si>
  <si>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</si>
  <si>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</si>
  <si>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</si>
  <si>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WenQuanYi Zen Hei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WenQuanYi Zen Hei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WenQuanYi Zen Hei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</si>
  <si>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</si>
  <si>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WenQuanYi Zen Hei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WenQuanYi Zen Hei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</si>
  <si>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WenQuanYi Zen Hei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WenQuanYi Zen Hei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</si>
  <si>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t xml:space="preserve">補登（G2；1 級）</t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</si>
  <si>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WenQuanYi Zen Hei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WenQuanYi Zen Hei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WenQuanYi Zen Hei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WenQuanYi Zen Hei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WenQuanYi Zen Hei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WenQuanYi Zen Hei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WenQuanYi Zen Hei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</si>
  <si>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</si>
  <si>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WenQuanYi Zen Hei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WenQuanYi Zen Hei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</si>
  <si>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</si>
  <si>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WenQuanYi Zen Hei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</si>
  <si>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</si>
  <si>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t xml:space="preserve">同檔亦確認 SRC_MOD_007 層數 43、009 KV head 512、010 routed experts 256、012 top-6、013 shared 1、014 vocab 129280、017 滑動窗 128；這些紀錄目前為 3 級，升級留 Stage 2。另載 num_key_value_heads 1、qk_rope_head_dim 64、compress_ratios（4／128 交替），可供 Luna 每層 KV 結構重算</t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</si>
  <si>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</si>
  <si>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WenQuanYi Zen Hei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DevDay 2025-10-06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</si>
  <si>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TechCrunch 2025-10-06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usage reports</t>
    </r>
  </si>
  <si>
    <t xml:space="preserve">二手（待查原文）</t>
  </si>
  <si>
    <r>
      <rPr>
        <sz val="10"/>
        <color rgb="FF0000FF"/>
        <rFont val="Arial"/>
        <family val="0"/>
        <charset val="1"/>
      </rPr>
      <t xml:space="preserve">Alloc!A </t>
    </r>
    <r>
      <rPr>
        <sz val="10"/>
        <color rgb="FF0000FF"/>
        <rFont val="WenQuanYi Zen Hei"/>
        <family val="2"/>
      </rPr>
      <t xml:space="preserve">節</t>
    </r>
  </si>
  <si>
    <t xml:space="preserve">6 B tok/min</t>
  </si>
  <si>
    <t xml:space="preserve">補登（G2；2 級）</t>
  </si>
  <si>
    <t xml:space="preserve">v5.15</t>
  </si>
  <si>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月時點值；工作單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WenQuanYi Zen Hei"/>
        <family val="2"/>
      </rPr>
      <t xml:space="preserve">登錄；原文未直接讀取</t>
    </r>
  </si>
  <si>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L1_Ans1–9</t>
    </r>
  </si>
  <si>
    <t xml:space="preserve">E167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</si>
  <si>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WenQuanYi Zen Hei"/>
        <family val="2"/>
      </rPr>
      <t xml:space="preserve">處理量「超過」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WenQuanYi Zen Hei"/>
        <family val="2"/>
      </rPr>
      <t xml:space="preserve">（融資公告，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</si>
  <si>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WenQuanYi Zen Hei"/>
        <family val="2"/>
      </rPr>
      <t xml:space="preserve">融資公告（</t>
    </r>
    <r>
      <rPr>
        <sz val="10"/>
        <color rgb="FF0000FF"/>
        <rFont val="Arial"/>
        <family val="0"/>
        <charset val="1"/>
      </rPr>
      <t xml:space="preserve">$122B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TechRadar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Business Analytics </t>
    </r>
    <r>
      <rPr>
        <sz val="10"/>
        <color rgb="FF0000FF"/>
        <rFont val="WenQuanYi Zen Hei"/>
        <family val="2"/>
      </rPr>
      <t xml:space="preserve">轉述</t>
    </r>
  </si>
  <si>
    <t xml:space="preserve">（備查）</t>
  </si>
  <si>
    <t xml:space="preserve">15 B tok/min</t>
  </si>
  <si>
    <t xml:space="preserve">工作單 v5.15 B2 登錄；CC 2026-10-04 以網路搜尋交叉確認「15 billion tokens per minute」見於多家轉述（pulse2、CoinDesk 2026-04-01 等）；openai.com 原文未能直接讀取，仍為二手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</si>
  <si>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WenQuanYi Zen Hei"/>
        <family val="2"/>
      </rPr>
      <t xml:space="preserve">每日提示數 </t>
    </r>
    <r>
      <rPr>
        <sz val="10"/>
        <color rgb="FF0000FF"/>
        <rFont val="Arial"/>
        <family val="0"/>
        <charset val="1"/>
      </rPr>
      <t xml:space="preserve">2.5B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2025-07-21</t>
    </r>
    <r>
      <rPr>
        <sz val="10"/>
        <color rgb="FF0000FF"/>
        <rFont val="WenQuanYi Zen Hei"/>
        <family val="2"/>
      </rPr>
      <t xml:space="preserve">；美國約 </t>
    </r>
    <r>
      <rPr>
        <sz val="10"/>
        <color rgb="FF0000FF"/>
        <rFont val="Arial"/>
        <family val="0"/>
        <charset val="1"/>
      </rPr>
      <t xml:space="preserve">0.33B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</si>
  <si>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WenQuanYi Zen Hei"/>
        <family val="2"/>
      </rPr>
      <t xml:space="preserve">告知 </t>
    </r>
    <r>
      <rPr>
        <sz val="10"/>
        <color rgb="FF0000FF"/>
        <rFont val="Arial"/>
        <family val="0"/>
        <charset val="1"/>
      </rPr>
      <t xml:space="preserve">Axios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TechCrunch 2025-07-21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</si>
  <si>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2.5 B </t>
    </r>
    <r>
      <rPr>
        <sz val="10"/>
        <color rgb="FF0000FF"/>
        <rFont val="WenQuanYi Zen Hei"/>
        <family val="2"/>
      </rPr>
      <t xml:space="preserve">則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WenQuanYi Zen Hei"/>
        <family val="2"/>
      </rPr>
      <t xml:space="preserve">日</t>
    </r>
  </si>
  <si>
    <t xml:space="preserve">年中時點值視同全年平均（A9）；工作單 v5.15 B2 登錄</t>
  </si>
  <si>
    <t xml:space="preserve">E169</t>
  </si>
  <si>
    <t xml:space="preserve">前沿實驗室每日 token 10–100T（Epoch AI 由算力推估）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</si>
  <si>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WenQuanYi Zen Hei"/>
        <family val="2"/>
      </rPr>
      <t xml:space="preserve">引用）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</si>
  <si>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WenQuanYi Zen Hei"/>
        <family val="2"/>
      </rPr>
      <t xml:space="preserve">外部對照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</si>
  <si>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WenQuanYi Zen Hei"/>
        <family val="2"/>
      </rPr>
      <t xml:space="preserve">日</t>
    </r>
  </si>
  <si>
    <t xml:space="preserve">工作單 v5.15 B2 登錄；CC 2026-10-04 搜尋未找到 tokensperday.com 或 Epoch 原始頁，數值未查核，仍為二手</t>
  </si>
  <si>
    <t xml:space="preserve">E170</t>
  </si>
  <si>
    <r>
      <rPr>
        <sz val="10"/>
        <color rgb="FF0000FF"/>
        <rFont val="Arial"/>
        <family val="0"/>
        <charset val="1"/>
      </rPr>
      <t xml:space="preserve">DeepSeek V4-Pro </t>
    </r>
    <r>
      <rPr>
        <sz val="10"/>
        <color rgb="FF0000FF"/>
        <rFont val="WenQuanYi Zen Hei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SRC_MOD_002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49 B</t>
    </r>
  </si>
  <si>
    <t xml:space="preserve">https://huggingface.co/deepseek-ai/DeepSeek-V4-Flash</t>
  </si>
  <si>
    <t xml:space="preserve">一手（已讀原文）</t>
  </si>
  <si>
    <t xml:space="preserve">Arch D7</t>
  </si>
  <si>
    <t xml:space="preserve">49 B</t>
  </si>
  <si>
    <r>
      <rPr>
        <sz val="10"/>
        <color rgb="FF0000FF"/>
        <rFont val="Arial"/>
        <family val="0"/>
        <charset val="1"/>
      </rPr>
      <t xml:space="preserve">49B activated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</si>
  <si>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WenQuanYi Zen Hei"/>
        <family val="2"/>
      </rPr>
      <t xml:space="preserve">採納（</t>
    </r>
    <r>
      <rPr>
        <sz val="10"/>
        <color rgb="FF0000FF"/>
        <rFont val="Arial"/>
        <family val="0"/>
        <charset val="1"/>
      </rPr>
      <t xml:space="preserve">S1 (a)</t>
    </r>
    <r>
      <rPr>
        <sz val="10"/>
        <color rgb="FF0000FF"/>
        <rFont val="WenQuanYi Zen Hei"/>
        <family val="2"/>
      </rPr>
      <t xml:space="preserve">；值相同）</t>
    </r>
  </si>
  <si>
    <t xml:space="preserve">v5.18</t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</si>
  <si>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｜讀取日 </t>
    </r>
    <r>
      <rPr>
        <sz val="10"/>
        <color rgb="FF0000FF"/>
        <rFont val="Arial"/>
        <family val="0"/>
        <charset val="1"/>
      </rPr>
      <t xml:space="preserve">2026-10-05</t>
    </r>
    <r>
      <rPr>
        <sz val="10"/>
        <color rgb="FF0000FF"/>
        <rFont val="WenQuanYi Zen Hei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S1 (a)</t>
    </r>
    <r>
      <rPr>
        <sz val="10"/>
        <color rgb="FF0000FF"/>
        <rFont val="WenQuanYi Zen Hei"/>
        <family val="2"/>
      </rPr>
      <t xml:space="preserve">；值相同｜摘錄：“</t>
    </r>
    <r>
      <rPr>
        <sz val="10"/>
        <color rgb="FF0000FF"/>
        <rFont val="Arial"/>
        <family val="0"/>
        <charset val="1"/>
      </rPr>
      <t xml:space="preserve">DeepSeek-V4-Pro … (49B activated) … DeepSeek-V4-Flash … (13B activated)”</t>
    </r>
    <r>
      <rPr>
        <sz val="10"/>
        <color rgb="FF0000FF"/>
        <rFont val="WenQuanYi Zen Hei"/>
        <family val="2"/>
      </rPr>
      <t xml:space="preserve">｜換算：—｜立場：利害關係方：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WenQuanYi Zen Hei"/>
        <family val="2"/>
      </rPr>
      <t xml:space="preserve">自揭規格；啟用參數為可由權重與 </t>
    </r>
    <r>
      <rPr>
        <sz val="10"/>
        <color rgb="FF0000FF"/>
        <rFont val="Arial"/>
        <family val="0"/>
        <charset val="1"/>
      </rPr>
      <t xml:space="preserve">config </t>
    </r>
    <r>
      <rPr>
        <sz val="10"/>
        <color rgb="FF0000FF"/>
        <rFont val="WenQuanYi Zen Hei"/>
        <family val="2"/>
      </rPr>
      <t xml:space="preserve">推算的結構量，誘因影響小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</si>
  <si>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等級；數值不變）</t>
    </r>
  </si>
  <si>
    <t xml:space="preserve">E171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</si>
  <si>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WenQuanYi Zen Hei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SRC_MOD_006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 B</t>
    </r>
  </si>
  <si>
    <t xml:space="preserve">Arch C7</t>
  </si>
  <si>
    <t xml:space="preserve">13 B</t>
  </si>
  <si>
    <r>
      <rPr>
        <sz val="10"/>
        <color rgb="FF0000FF"/>
        <rFont val="Arial"/>
        <family val="0"/>
        <charset val="1"/>
      </rPr>
      <t xml:space="preserve">13B activated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WenQuanYi Zen Hei"/>
        <family val="2"/>
      </rPr>
      <t xml:space="preserve">）</t>
    </r>
  </si>
  <si>
    <t xml:space="preserve">E172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</si>
  <si>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WenQuanYi Zen Hei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SRC_MOD_007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WenQuanYi Zen Hei"/>
        <family val="2"/>
      </rPr>
      <t xml:space="preserve">層</t>
    </r>
  </si>
  <si>
    <t xml:space="preserve">https://huggingface.co/deepseek-ai/DeepSeek-V4-Flash/raw/fd53f94/config.json</t>
  </si>
  <si>
    <t xml:space="preserve">Arch C8</t>
  </si>
  <si>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WenQuanYi Zen Hei"/>
        <family val="2"/>
      </rPr>
      <t xml:space="preserve">層</t>
    </r>
  </si>
  <si>
    <r>
      <rPr>
        <sz val="10"/>
        <color rgb="FF0000FF"/>
        <rFont val="Arial"/>
        <family val="0"/>
        <charset val="1"/>
      </rPr>
      <t xml:space="preserve">Flash 43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61</t>
    </r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</si>
  <si>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｜讀取日 </t>
    </r>
    <r>
      <rPr>
        <sz val="10"/>
        <color rgb="FF0000FF"/>
        <rFont val="Arial"/>
        <family val="0"/>
        <charset val="1"/>
      </rPr>
      <t xml:space="preserve">2026-10-05</t>
    </r>
    <r>
      <rPr>
        <sz val="10"/>
        <color rgb="FF0000FF"/>
        <rFont val="WenQuanYi Zen Hei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S1 (a)</t>
    </r>
    <r>
      <rPr>
        <sz val="10"/>
        <color rgb="FF0000FF"/>
        <rFont val="WenQuanYi Zen Hei"/>
        <family val="2"/>
      </rPr>
      <t xml:space="preserve">；值相同｜摘錄：“</t>
    </r>
    <r>
      <rPr>
        <sz val="10"/>
        <color rgb="FF0000FF"/>
        <rFont val="Arial"/>
        <family val="0"/>
        <charset val="1"/>
      </rPr>
      <t xml:space="preserve">num_hidden_layers: 43”</t>
    </r>
    <r>
      <rPr>
        <sz val="10"/>
        <color rgb="FF0000FF"/>
        <rFont val="WenQuanYi Zen Hei"/>
        <family val="2"/>
      </rPr>
      <t xml:space="preserve">｜換算：—｜立場：利害關係方：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WenQuanYi Zen Hei"/>
        <family val="2"/>
      </rPr>
      <t xml:space="preserve">自揭；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WenQuanYi Zen Hei"/>
        <family val="2"/>
      </rPr>
      <t xml:space="preserve">為模型實際載入的結構設定，可由權重形狀互證，誘因影響小</t>
    </r>
  </si>
  <si>
    <t xml:space="preserve">E173</t>
  </si>
  <si>
    <r>
      <rPr>
        <sz val="10"/>
        <color rgb="FF0000FF"/>
        <rFont val="Arial"/>
        <family val="0"/>
        <charset val="1"/>
      </rPr>
      <t xml:space="preserve">DeepSeek V4 KV head </t>
    </r>
    <r>
      <rPr>
        <sz val="10"/>
        <color rgb="FF0000FF"/>
        <rFont val="WenQuanYi Zen Hei"/>
        <family val="2"/>
      </rPr>
      <t xml:space="preserve">維度（</t>
    </r>
    <r>
      <rPr>
        <sz val="10"/>
        <color rgb="FF0000FF"/>
        <rFont val="Arial"/>
        <family val="0"/>
        <charset val="1"/>
      </rPr>
      <t xml:space="preserve">SRC_MOD_009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WenQuanYi Zen Hei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</si>
  <si>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C11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D11</t>
    </r>
  </si>
  <si>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WenQuanYi Zen Hei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</si>
  <si>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WenQuanYi Zen Hei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512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</si>
  <si>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｜讀取日 </t>
    </r>
    <r>
      <rPr>
        <sz val="10"/>
        <color rgb="FF0000FF"/>
        <rFont val="Arial"/>
        <family val="0"/>
        <charset val="1"/>
      </rPr>
      <t xml:space="preserve">2026-10-05</t>
    </r>
    <r>
      <rPr>
        <sz val="10"/>
        <color rgb="FF0000FF"/>
        <rFont val="WenQuanYi Zen Hei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S1 (a)</t>
    </r>
    <r>
      <rPr>
        <sz val="10"/>
        <color rgb="FF0000FF"/>
        <rFont val="WenQuanYi Zen Hei"/>
        <family val="2"/>
      </rPr>
      <t xml:space="preserve">；值相同｜摘錄：“</t>
    </r>
    <r>
      <rPr>
        <sz val="10"/>
        <color rgb="FF0000FF"/>
        <rFont val="Arial"/>
        <family val="0"/>
        <charset val="1"/>
      </rPr>
      <t xml:space="preserve">head_dim: 512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num_key_value_heads: 1”</t>
    </r>
    <r>
      <rPr>
        <sz val="10"/>
        <color rgb="FF0000FF"/>
        <rFont val="WenQuanYi Zen Hei"/>
        <family val="2"/>
      </rPr>
      <t xml:space="preserve">｜換算：—｜立場：利害關係方：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WenQuanYi Zen Hei"/>
        <family val="2"/>
      </rPr>
      <t xml:space="preserve">自揭；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WenQuanYi Zen Hei"/>
        <family val="2"/>
      </rPr>
      <t xml:space="preserve">為模型實際載入的結構設定，可由權重形狀互證，誘因影響小</t>
    </r>
  </si>
  <si>
    <t xml:space="preserve">E174</t>
  </si>
  <si>
    <r>
      <rPr>
        <sz val="10"/>
        <color rgb="FF0000FF"/>
        <rFont val="Arial"/>
        <family val="0"/>
        <charset val="1"/>
      </rPr>
      <t xml:space="preserve">DeepSeek V4-Flash routed experts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SRC_MOD_010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WenQuanYi Zen Hei"/>
        <family val="2"/>
      </rPr>
      <t xml:space="preserve">個</t>
    </r>
  </si>
  <si>
    <t xml:space="preserve">Arch C12</t>
  </si>
  <si>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WenQuanYi Zen Hei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</si>
  <si>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 256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 384</t>
    </r>
    <r>
      <rPr>
        <sz val="10"/>
        <color rgb="FF0000FF"/>
        <rFont val="WenQuanYi Zen Hei"/>
        <family val="2"/>
      </rPr>
      <t xml:space="preserve">，見 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</si>
  <si>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｜讀取日 </t>
    </r>
    <r>
      <rPr>
        <sz val="10"/>
        <color rgb="FF0000FF"/>
        <rFont val="Arial"/>
        <family val="0"/>
        <charset val="1"/>
      </rPr>
      <t xml:space="preserve">2026-10-05</t>
    </r>
    <r>
      <rPr>
        <sz val="10"/>
        <color rgb="FF0000FF"/>
        <rFont val="WenQuanYi Zen Hei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S1 (a)</t>
    </r>
    <r>
      <rPr>
        <sz val="10"/>
        <color rgb="FF0000FF"/>
        <rFont val="WenQuanYi Zen Hei"/>
        <family val="2"/>
      </rPr>
      <t xml:space="preserve">；值相同｜摘錄：“</t>
    </r>
    <r>
      <rPr>
        <sz val="10"/>
        <color rgb="FF0000FF"/>
        <rFont val="Arial"/>
        <family val="0"/>
        <charset val="1"/>
      </rPr>
      <t xml:space="preserve">n_routed_experts: 256”</t>
    </r>
    <r>
      <rPr>
        <sz val="10"/>
        <color rgb="FF0000FF"/>
        <rFont val="WenQuanYi Zen Hei"/>
        <family val="2"/>
      </rPr>
      <t xml:space="preserve">｜換算：—｜立場：利害關係方：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WenQuanYi Zen Hei"/>
        <family val="2"/>
      </rPr>
      <t xml:space="preserve">自揭；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WenQuanYi Zen Hei"/>
        <family val="2"/>
      </rPr>
      <t xml:space="preserve">為模型實際載入的結構設定，可由權重形狀互證，誘因影響小</t>
    </r>
  </si>
  <si>
    <t xml:space="preserve">E175</t>
  </si>
  <si>
    <r>
      <rPr>
        <sz val="10"/>
        <color rgb="FF0000FF"/>
        <rFont val="Arial"/>
        <family val="0"/>
        <charset val="1"/>
      </rPr>
      <t xml:space="preserve">DeepSeek V4-Pro routed experts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WenQuanYi Zen Hei"/>
        <family val="2"/>
      </rPr>
      <t xml:space="preserve">個</t>
    </r>
  </si>
  <si>
    <t xml:space="preserve">Arch D12</t>
  </si>
  <si>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WenQuanYi Zen Hei"/>
        <family val="2"/>
      </rPr>
      <t xml:space="preserve">個</t>
    </r>
  </si>
  <si>
    <t xml:space="preserve">384</t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</si>
  <si>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｜讀取日 </t>
    </r>
    <r>
      <rPr>
        <sz val="10"/>
        <color rgb="FF0000FF"/>
        <rFont val="Arial"/>
        <family val="0"/>
        <charset val="1"/>
      </rPr>
      <t xml:space="preserve">2026-10-05</t>
    </r>
    <r>
      <rPr>
        <sz val="10"/>
        <color rgb="FF0000FF"/>
        <rFont val="WenQuanYi Zen Hei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S1 (a)</t>
    </r>
    <r>
      <rPr>
        <sz val="10"/>
        <color rgb="FF0000FF"/>
        <rFont val="WenQuanYi Zen Hei"/>
        <family val="2"/>
      </rPr>
      <t xml:space="preserve">；值相同｜摘錄：“</t>
    </r>
    <r>
      <rPr>
        <sz val="10"/>
        <color rgb="FF0000FF"/>
        <rFont val="Arial"/>
        <family val="0"/>
        <charset val="1"/>
      </rPr>
      <t xml:space="preserve">n_routed_experts: 384”</t>
    </r>
    <r>
      <rPr>
        <sz val="10"/>
        <color rgb="FF0000FF"/>
        <rFont val="WenQuanYi Zen Hei"/>
        <family val="2"/>
      </rPr>
      <t xml:space="preserve">｜換算：—｜立場：利害關係方：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WenQuanYi Zen Hei"/>
        <family val="2"/>
      </rPr>
      <t xml:space="preserve">自揭</t>
    </r>
  </si>
  <si>
    <t xml:space="preserve">E176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</si>
  <si>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WenQuanYi Zen Hei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WenQuanYi Zen Hei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SRC_MOD_012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WenQuanYi Zen Hei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</si>
  <si>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</si>
  <si>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WenQuanYi Zen Hei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</si>
  <si>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WenQuanYi Zen Hei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6</t>
    </r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</si>
  <si>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｜讀取日 </t>
    </r>
    <r>
      <rPr>
        <sz val="10"/>
        <color rgb="FF0000FF"/>
        <rFont val="Arial"/>
        <family val="0"/>
        <charset val="1"/>
      </rPr>
      <t xml:space="preserve">2026-10-05</t>
    </r>
    <r>
      <rPr>
        <sz val="10"/>
        <color rgb="FF0000FF"/>
        <rFont val="WenQuanYi Zen Hei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S1 (a)</t>
    </r>
    <r>
      <rPr>
        <sz val="10"/>
        <color rgb="FF0000FF"/>
        <rFont val="WenQuanYi Zen Hei"/>
        <family val="2"/>
      </rPr>
      <t xml:space="preserve">；值相同｜摘錄：“</t>
    </r>
    <r>
      <rPr>
        <sz val="10"/>
        <color rgb="FF0000FF"/>
        <rFont val="Arial"/>
        <family val="0"/>
        <charset val="1"/>
      </rPr>
      <t xml:space="preserve">num_experts_per_tok: 6”</t>
    </r>
    <r>
      <rPr>
        <sz val="10"/>
        <color rgb="FF0000FF"/>
        <rFont val="WenQuanYi Zen Hei"/>
        <family val="2"/>
      </rPr>
      <t xml:space="preserve">｜換算：—｜立場：利害關係方：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WenQuanYi Zen Hei"/>
        <family val="2"/>
      </rPr>
      <t xml:space="preserve">自揭；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WenQuanYi Zen Hei"/>
        <family val="2"/>
      </rPr>
      <t xml:space="preserve">為模型實際載入的結構設定，可由權重形狀互證，誘因影響小</t>
    </r>
  </si>
  <si>
    <t xml:space="preserve">E177</t>
  </si>
  <si>
    <r>
      <rPr>
        <sz val="10"/>
        <color rgb="FF0000FF"/>
        <rFont val="Arial"/>
        <family val="0"/>
        <charset val="1"/>
      </rPr>
      <t xml:space="preserve">DeepSeek V4 shared experts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SRC_MOD_013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</si>
  <si>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C14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D14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</si>
  <si>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</si>
  <si>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WenQuanYi Zen Hei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</t>
    </r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</si>
  <si>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｜讀取日 </t>
    </r>
    <r>
      <rPr>
        <sz val="10"/>
        <color rgb="FF0000FF"/>
        <rFont val="Arial"/>
        <family val="0"/>
        <charset val="1"/>
      </rPr>
      <t xml:space="preserve">2026-10-05</t>
    </r>
    <r>
      <rPr>
        <sz val="10"/>
        <color rgb="FF0000FF"/>
        <rFont val="WenQuanYi Zen Hei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S1 (a)</t>
    </r>
    <r>
      <rPr>
        <sz val="10"/>
        <color rgb="FF0000FF"/>
        <rFont val="WenQuanYi Zen Hei"/>
        <family val="2"/>
      </rPr>
      <t xml:space="preserve">；值相同｜摘錄：“</t>
    </r>
    <r>
      <rPr>
        <sz val="10"/>
        <color rgb="FF0000FF"/>
        <rFont val="Arial"/>
        <family val="0"/>
        <charset val="1"/>
      </rPr>
      <t xml:space="preserve">n_shared_experts: 1”</t>
    </r>
    <r>
      <rPr>
        <sz val="10"/>
        <color rgb="FF0000FF"/>
        <rFont val="WenQuanYi Zen Hei"/>
        <family val="2"/>
      </rPr>
      <t xml:space="preserve">｜換算：—｜立場：利害關係方：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WenQuanYi Zen Hei"/>
        <family val="2"/>
      </rPr>
      <t xml:space="preserve">自揭；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WenQuanYi Zen Hei"/>
        <family val="2"/>
      </rPr>
      <t xml:space="preserve">為模型實際載入的結構設定，可由權重形狀互證，誘因影響小</t>
    </r>
  </si>
  <si>
    <t xml:space="preserve">E178</t>
  </si>
  <si>
    <r>
      <rPr>
        <sz val="10"/>
        <color rgb="FF0000FF"/>
        <rFont val="Arial"/>
        <family val="0"/>
        <charset val="1"/>
      </rPr>
      <t xml:space="preserve">DeepSeek V4 vocab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SRC_MOD_014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129,280</t>
    </r>
  </si>
  <si>
    <r>
      <rPr>
        <sz val="10"/>
        <color rgb="FF0000FF"/>
        <rFont val="Arial"/>
        <family val="0"/>
        <charset val="1"/>
      </rPr>
      <t xml:space="preserve">Arch C15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D15</t>
    </r>
  </si>
  <si>
    <t xml:space="preserve">129,280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</si>
  <si>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WenQuanYi Zen Hei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129280</t>
    </r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</si>
  <si>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｜讀取日 </t>
    </r>
    <r>
      <rPr>
        <sz val="10"/>
        <color rgb="FF0000FF"/>
        <rFont val="Arial"/>
        <family val="0"/>
        <charset val="1"/>
      </rPr>
      <t xml:space="preserve">2026-10-05</t>
    </r>
    <r>
      <rPr>
        <sz val="10"/>
        <color rgb="FF0000FF"/>
        <rFont val="WenQuanYi Zen Hei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S1 (a)</t>
    </r>
    <r>
      <rPr>
        <sz val="10"/>
        <color rgb="FF0000FF"/>
        <rFont val="WenQuanYi Zen Hei"/>
        <family val="2"/>
      </rPr>
      <t xml:space="preserve">；值相同｜摘錄：“</t>
    </r>
    <r>
      <rPr>
        <sz val="10"/>
        <color rgb="FF0000FF"/>
        <rFont val="Arial"/>
        <family val="0"/>
        <charset val="1"/>
      </rPr>
      <t xml:space="preserve">vocab_size: 129280”</t>
    </r>
    <r>
      <rPr>
        <sz val="10"/>
        <color rgb="FF0000FF"/>
        <rFont val="WenQuanYi Zen Hei"/>
        <family val="2"/>
      </rPr>
      <t xml:space="preserve">｜換算：—｜立場：利害關係方：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WenQuanYi Zen Hei"/>
        <family val="2"/>
      </rPr>
      <t xml:space="preserve">自揭；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WenQuanYi Zen Hei"/>
        <family val="2"/>
      </rPr>
      <t xml:space="preserve">為模型實際載入的結構設定，可由權重形狀互證，誘因影響小</t>
    </r>
  </si>
  <si>
    <t xml:space="preserve">E179</t>
  </si>
  <si>
    <r>
      <rPr>
        <sz val="10"/>
        <color rgb="FF0000FF"/>
        <rFont val="Arial"/>
        <family val="0"/>
        <charset val="1"/>
      </rPr>
      <t xml:space="preserve">DeepSeek V4 HCA </t>
    </r>
    <r>
      <rPr>
        <sz val="10"/>
        <color rgb="FF0000FF"/>
        <rFont val="WenQuanYi Zen Hei"/>
        <family val="2"/>
      </rPr>
      <t xml:space="preserve">壓縮比（</t>
    </r>
    <r>
      <rPr>
        <sz val="10"/>
        <color rgb="FF0000FF"/>
        <rFont val="Arial"/>
        <family val="0"/>
        <charset val="1"/>
      </rPr>
      <t xml:space="preserve">SRC_MOD_016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x</t>
    </r>
  </si>
  <si>
    <r>
      <rPr>
        <sz val="10"/>
        <color rgb="FF0000FF"/>
        <rFont val="Arial"/>
        <family val="0"/>
        <charset val="1"/>
      </rPr>
      <t xml:space="preserve">Arch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WenQuanYi Zen Hei"/>
        <family val="2"/>
      </rPr>
      <t xml:space="preserve">結構）</t>
    </r>
  </si>
  <si>
    <t xml:space="preserve">128 x</t>
  </si>
  <si>
    <r>
      <rPr>
        <sz val="10"/>
        <color rgb="FF0000FF"/>
        <rFont val="Arial"/>
        <family val="0"/>
        <charset val="1"/>
      </rPr>
      <t xml:space="preserve">128</t>
    </r>
    <r>
      <rPr>
        <sz val="10"/>
        <color rgb="FF0000FF"/>
        <rFont val="WenQuanYi Zen Hei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CSA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</si>
  <si>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｜讀取日 </t>
    </r>
    <r>
      <rPr>
        <sz val="10"/>
        <color rgb="FF0000FF"/>
        <rFont val="Arial"/>
        <family val="0"/>
        <charset val="1"/>
      </rPr>
      <t xml:space="preserve">2026-10-05</t>
    </r>
    <r>
      <rPr>
        <sz val="10"/>
        <color rgb="FF0000FF"/>
        <rFont val="WenQuanYi Zen Hei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S1 (a)</t>
    </r>
    <r>
      <rPr>
        <sz val="10"/>
        <color rgb="FF0000FF"/>
        <rFont val="WenQuanYi Zen Hei"/>
        <family val="2"/>
      </rPr>
      <t xml:space="preserve">；值相同｜摘錄：“</t>
    </r>
    <r>
      <rPr>
        <sz val="10"/>
        <color rgb="FF0000FF"/>
        <rFont val="Arial"/>
        <family val="0"/>
        <charset val="1"/>
      </rPr>
      <t xml:space="preserve">compress_ratios”</t>
    </r>
    <r>
      <rPr>
        <sz val="10"/>
        <color rgb="FF0000FF"/>
        <rFont val="WenQuanYi Zen Hei"/>
        <family val="2"/>
      </rPr>
      <t xml:space="preserve">（含 </t>
    </r>
    <r>
      <rPr>
        <sz val="10"/>
        <color rgb="FF0000FF"/>
        <rFont val="Arial"/>
        <family val="0"/>
        <charset val="1"/>
      </rPr>
      <t xml:space="preserve">128</t>
    </r>
    <r>
      <rPr>
        <sz val="10"/>
        <color rgb="FF0000FF"/>
        <rFont val="WenQuanYi Zen Hei"/>
        <family val="2"/>
      </rPr>
      <t xml:space="preserve">）｜換算：—｜立場：利害關係方：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WenQuanYi Zen Hei"/>
        <family val="2"/>
      </rPr>
      <t xml:space="preserve">自揭</t>
    </r>
  </si>
  <si>
    <t xml:space="preserve">E180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</si>
  <si>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WenQuanYi Zen Hei"/>
        <family val="2"/>
      </rPr>
      <t xml:space="preserve">滑動窗（</t>
    </r>
    <r>
      <rPr>
        <sz val="10"/>
        <color rgb="FF0000FF"/>
        <rFont val="Arial"/>
        <family val="0"/>
        <charset val="1"/>
      </rPr>
      <t xml:space="preserve">SRC_MOD_017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tok</t>
    </r>
  </si>
  <si>
    <r>
      <rPr>
        <sz val="10"/>
        <color rgb="FF0000FF"/>
        <rFont val="Arial"/>
        <family val="0"/>
        <charset val="1"/>
      </rPr>
      <t xml:space="preserve">Arch C19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D19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C17</t>
    </r>
  </si>
  <si>
    <t xml:space="preserve">128 tok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</si>
  <si>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WenQuanYi Zen Hei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128</t>
    </r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</si>
  <si>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｜讀取日 </t>
    </r>
    <r>
      <rPr>
        <sz val="10"/>
        <color rgb="FF0000FF"/>
        <rFont val="Arial"/>
        <family val="0"/>
        <charset val="1"/>
      </rPr>
      <t xml:space="preserve">2026-10-05</t>
    </r>
    <r>
      <rPr>
        <sz val="10"/>
        <color rgb="FF0000FF"/>
        <rFont val="WenQuanYi Zen Hei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S1 (a)</t>
    </r>
    <r>
      <rPr>
        <sz val="10"/>
        <color rgb="FF0000FF"/>
        <rFont val="WenQuanYi Zen Hei"/>
        <family val="2"/>
      </rPr>
      <t xml:space="preserve">；值相同｜摘錄：“</t>
    </r>
    <r>
      <rPr>
        <sz val="10"/>
        <color rgb="FF0000FF"/>
        <rFont val="Arial"/>
        <family val="0"/>
        <charset val="1"/>
      </rPr>
      <t xml:space="preserve">sliding_window: 128”</t>
    </r>
    <r>
      <rPr>
        <sz val="10"/>
        <color rgb="FF0000FF"/>
        <rFont val="WenQuanYi Zen Hei"/>
        <family val="2"/>
      </rPr>
      <t xml:space="preserve">｜換算：—｜立場：利害關係方：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WenQuanYi Zen Hei"/>
        <family val="2"/>
      </rPr>
      <t xml:space="preserve">自揭；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WenQuanYi Zen Hei"/>
        <family val="2"/>
      </rPr>
      <t xml:space="preserve">為模型實際載入的結構設定，可由權重形狀互證，誘因影響小</t>
    </r>
  </si>
  <si>
    <t xml:space="preserve">E181</t>
  </si>
  <si>
    <r>
      <rPr>
        <sz val="10"/>
        <color rgb="FF0000FF"/>
        <rFont val="Arial"/>
        <family val="0"/>
        <charset val="1"/>
      </rPr>
      <t xml:space="preserve">DGX H100 </t>
    </r>
    <r>
      <rPr>
        <sz val="10"/>
        <color rgb="FF0000FF"/>
        <rFont val="WenQuanYi Zen Hei"/>
        <family val="2"/>
      </rPr>
      <t xml:space="preserve">最大系統功率（</t>
    </r>
    <r>
      <rPr>
        <sz val="10"/>
        <color rgb="FF0000FF"/>
        <rFont val="Arial"/>
        <family val="0"/>
        <charset val="1"/>
      </rPr>
      <t xml:space="preserve">SRC_HW_001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</si>
  <si>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https://docs.nvidia.com/dgx/dgxh100-user-guide/introduction-to-dgxh100.html</t>
  </si>
  <si>
    <r>
      <rPr>
        <sz val="10"/>
        <color rgb="FF0000FF"/>
        <rFont val="Arial"/>
        <family val="0"/>
        <charset val="1"/>
      </rPr>
      <t xml:space="preserve">Spec_Rack C9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×4 </t>
    </r>
    <r>
      <rPr>
        <sz val="10"/>
        <color rgb="FF0000FF"/>
        <rFont val="WenQuanYi Zen Hei"/>
        <family val="2"/>
      </rPr>
      <t xml:space="preserve">台取整 </t>
    </r>
    <r>
      <rPr>
        <sz val="10"/>
        <color rgb="FF0000FF"/>
        <rFont val="Arial"/>
        <family val="0"/>
        <charset val="1"/>
      </rPr>
      <t xml:space="preserve">41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</si>
  <si>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</si>
  <si>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r>
      <rPr>
        <sz val="10"/>
        <color rgb="FF0000FF"/>
        <rFont val="WenQuanYi Zen Hei"/>
        <family val="2"/>
      </rPr>
      <t xml:space="preserve">系統最大功率 </t>
    </r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DGX H100/H200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8 GPU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</si>
  <si>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｜讀取日 </t>
    </r>
    <r>
      <rPr>
        <sz val="10"/>
        <color rgb="FF0000FF"/>
        <rFont val="Arial"/>
        <family val="0"/>
        <charset val="1"/>
      </rPr>
      <t xml:space="preserve">2026-10-05</t>
    </r>
    <r>
      <rPr>
        <sz val="10"/>
        <color rgb="FF0000FF"/>
        <rFont val="WenQuanYi Zen Hei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S1 (a)</t>
    </r>
    <r>
      <rPr>
        <sz val="10"/>
        <color rgb="FF0000FF"/>
        <rFont val="WenQuanYi Zen Hei"/>
        <family val="2"/>
      </rPr>
      <t xml:space="preserve">；值相同｜摘錄：“</t>
    </r>
    <r>
      <rPr>
        <sz val="10"/>
        <color rgb="FF0000FF"/>
        <rFont val="Arial"/>
        <family val="0"/>
        <charset val="1"/>
      </rPr>
      <t xml:space="preserve">10.2 kW max. 3300 W @ 200-240 V, 16 A”</t>
    </r>
    <r>
      <rPr>
        <sz val="10"/>
        <color rgb="FF0000FF"/>
        <rFont val="WenQuanYi Zen Hei"/>
        <family val="2"/>
      </rPr>
      <t xml:space="preserve">（六顆電源供應器、</t>
    </r>
    <r>
      <rPr>
        <sz val="10"/>
        <color rgb="FF0000FF"/>
        <rFont val="Arial"/>
        <family val="0"/>
        <charset val="1"/>
      </rPr>
      <t xml:space="preserve">4+2 </t>
    </r>
    <r>
      <rPr>
        <sz val="10"/>
        <color rgb="FF0000FF"/>
        <rFont val="WenQuanYi Zen Hei"/>
        <family val="2"/>
      </rPr>
      <t xml:space="preserve">冗餘）｜換算：— （直接寫出單機值，無需換算；互證：</t>
    </r>
    <r>
      <rPr>
        <sz val="10"/>
        <color rgb="FF0000FF"/>
        <rFont val="Arial"/>
        <family val="0"/>
        <charset val="1"/>
      </rPr>
      <t xml:space="preserve">SuperPOD </t>
    </r>
    <r>
      <rPr>
        <sz val="10"/>
        <color rgb="FF0000FF"/>
        <rFont val="WenQuanYi Zen Hei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WenQuanYi Zen Hei"/>
        <family val="2"/>
      </rPr>
      <t xml:space="preserve">反推亦為 </t>
    </r>
    <r>
      <rPr>
        <sz val="10"/>
        <color rgb="FF0000FF"/>
        <rFont val="Arial"/>
        <family val="0"/>
        <charset val="1"/>
      </rPr>
      <t xml:space="preserve">10.2</t>
    </r>
    <r>
      <rPr>
        <sz val="10"/>
        <color rgb="FF0000FF"/>
        <rFont val="WenQuanYi Zen Hei"/>
        <family val="2"/>
      </rPr>
      <t xml:space="preserve">）｜立場：利害關係方：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WenQuanYi Zen Hei"/>
        <family val="2"/>
      </rPr>
      <t xml:space="preserve">為賣方；電力設計指南偏保守（利於客戶備電），誘因影響小</t>
    </r>
  </si>
  <si>
    <t xml:space="preserve">E182</t>
  </si>
  <si>
    <r>
      <rPr>
        <sz val="10"/>
        <color rgb="FF0000FF"/>
        <rFont val="Arial"/>
        <family val="0"/>
        <charset val="1"/>
      </rPr>
      <t xml:space="preserve">B300 FP4 dense </t>
    </r>
    <r>
      <rPr>
        <sz val="10"/>
        <color rgb="FF0000FF"/>
        <rFont val="WenQuanYi Zen Hei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SRC_HW_025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PF/GPU</t>
    </r>
  </si>
  <si>
    <t xml:space="preserve">https://developer.nvidia.com/blog/inside-nvidia-blackwell-ultra-the-chip-powering-the-ai-factory-era/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</si>
  <si>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WenQuanYi Zen Hei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WenQuanYi Zen Hei"/>
        <family val="2"/>
      </rPr>
      <t xml:space="preserve">推論峰值，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WenQuanYi Zen Hei"/>
        <family val="2"/>
      </rPr>
      <t xml:space="preserve">欄）</t>
    </r>
  </si>
  <si>
    <t xml:space="preserve">15 PF/GPU</t>
  </si>
  <si>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B200</t>
    </r>
    <r>
      <rPr>
        <sz val="10"/>
        <color rgb="FF0000FF"/>
        <rFont val="WenQuanYi Zen Hei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</t>
    </r>
    <r>
      <rPr>
        <sz val="10"/>
        <color rgb="FF0000FF"/>
        <rFont val="WenQuanYi Zen Hei"/>
        <family val="2"/>
      </rPr>
      <t xml:space="preserve">（對應 </t>
    </r>
    <r>
      <rPr>
        <sz val="10"/>
        <color rgb="FF0000FF"/>
        <rFont val="Arial"/>
        <family val="0"/>
        <charset val="1"/>
      </rPr>
      <t xml:space="preserve">SRC_HW_022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Blackwell Ultra dense 15 PF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20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</si>
  <si>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｜讀取日 </t>
    </r>
    <r>
      <rPr>
        <sz val="10"/>
        <color rgb="FF0000FF"/>
        <rFont val="Arial"/>
        <family val="0"/>
        <charset val="1"/>
      </rPr>
      <t xml:space="preserve">2026-10-05</t>
    </r>
    <r>
      <rPr>
        <sz val="10"/>
        <color rgb="FF0000FF"/>
        <rFont val="WenQuanYi Zen Hei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S1 (a)</t>
    </r>
    <r>
      <rPr>
        <sz val="10"/>
        <color rgb="FF0000FF"/>
        <rFont val="WenQuanYi Zen Hei"/>
        <family val="2"/>
      </rPr>
      <t xml:space="preserve">；值相同｜摘錄：“</t>
    </r>
    <r>
      <rPr>
        <sz val="10"/>
        <color rgb="FF0000FF"/>
        <rFont val="Arial"/>
        <family val="0"/>
        <charset val="1"/>
      </rPr>
      <t xml:space="preserve">NVFP4 dense | sparse performance … 10 | 20 PetaFLOPS 15 | 20 PetaFLOPS”</t>
    </r>
    <r>
      <rPr>
        <sz val="10"/>
        <color rgb="FF0000FF"/>
        <rFont val="WenQuanYi Zen Hei"/>
        <family val="2"/>
      </rPr>
      <t xml:space="preserve">｜換算：—｜立場：利害關係方：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WenQuanYi Zen Hei"/>
        <family val="2"/>
      </rPr>
      <t xml:space="preserve">為賣方；規格表為自家設計值</t>
    </r>
  </si>
  <si>
    <t xml:space="preserve">E183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</si>
  <si>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WenQuanYi Zen Hei"/>
        <family val="2"/>
      </rPr>
      <t xml:space="preserve">訓練峰值（</t>
    </r>
    <r>
      <rPr>
        <sz val="10"/>
        <color rgb="FF0000FF"/>
        <rFont val="Arial"/>
        <family val="0"/>
        <charset val="1"/>
      </rPr>
      <t xml:space="preserve">SRC_HW_028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35 PF/GPU</t>
    </r>
  </si>
  <si>
    <t xml:space="preserve">https://developer.nvidia.com/blog/inside-the-nvidia-rubin-platform-six-new-chips-one-ai-supercomputer/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</si>
  <si>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WenQuanYi Zen Hei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WenQuanYi Zen Hei"/>
        <family val="2"/>
      </rPr>
      <t xml:space="preserve">欄；列標「訓練峰值」）</t>
    </r>
  </si>
  <si>
    <t xml:space="preserve">35 PF/GPU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</si>
  <si>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WenQuanYi Zen Hei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WenQuanYi Zen Hei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* Transformer Engine compute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</si>
  <si>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｜讀取日 </t>
    </r>
    <r>
      <rPr>
        <sz val="10"/>
        <color rgb="FF0000FF"/>
        <rFont val="Arial"/>
        <family val="0"/>
        <charset val="1"/>
      </rPr>
      <t xml:space="preserve">2026-10-05</t>
    </r>
    <r>
      <rPr>
        <sz val="10"/>
        <color rgb="FF0000FF"/>
        <rFont val="WenQuanYi Zen Hei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S1 (a)</t>
    </r>
    <r>
      <rPr>
        <sz val="10"/>
        <color rgb="FF0000FF"/>
        <rFont val="WenQuanYi Zen Hei"/>
        <family val="2"/>
      </rPr>
      <t xml:space="preserve">；值相同｜摘錄：“</t>
    </r>
    <r>
      <rPr>
        <sz val="10"/>
        <color rgb="FF0000FF"/>
        <rFont val="Arial"/>
        <family val="0"/>
        <charset val="1"/>
      </rPr>
      <t xml:space="preserve">NVFP4 training (PFLOPS) 10 | 35**”</t>
    </r>
    <r>
      <rPr>
        <sz val="10"/>
        <color rgb="FF0000FF"/>
        <rFont val="WenQuanYi Zen Hei"/>
        <family val="2"/>
      </rPr>
      <t xml:space="preserve">；註腳 “</t>
    </r>
    <r>
      <rPr>
        <sz val="10"/>
        <color rgb="FF0000FF"/>
        <rFont val="Arial"/>
        <family val="0"/>
        <charset val="1"/>
      </rPr>
      <t xml:space="preserve">** Dense compute”</t>
    </r>
    <r>
      <rPr>
        <sz val="10"/>
        <color rgb="FF0000FF"/>
        <rFont val="WenQuanYi Zen Hei"/>
        <family val="2"/>
      </rPr>
      <t xml:space="preserve">｜換算：—｜立場：利害關係方：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WenQuanYi Zen Hei"/>
        <family val="2"/>
      </rPr>
      <t xml:space="preserve">為賣方；規格為發布前設計值（產品 </t>
    </r>
    <r>
      <rPr>
        <sz val="10"/>
        <color rgb="FF0000FF"/>
        <rFont val="Arial"/>
        <family val="0"/>
        <charset val="1"/>
      </rPr>
      <t xml:space="preserve">2026-09 </t>
    </r>
    <r>
      <rPr>
        <sz val="10"/>
        <color rgb="FF0000FF"/>
        <rFont val="WenQuanYi Zen Hei"/>
        <family val="2"/>
      </rPr>
      <t xml:space="preserve">發布）</t>
    </r>
  </si>
  <si>
    <t xml:space="preserve">E184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</si>
  <si>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WenQuanYi Zen Hei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SRC_HW_040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1.979 PF/GPU</t>
    </r>
  </si>
  <si>
    <t xml:space="preserve">https://www.nvidia.com/en-us/data-center/h100/</t>
  </si>
  <si>
    <r>
      <rPr>
        <sz val="10"/>
        <color rgb="FF0000FF"/>
        <rFont val="Arial"/>
        <family val="0"/>
        <charset val="1"/>
      </rPr>
      <t xml:space="preserve">Spec_Rack C23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C40</t>
    </r>
  </si>
  <si>
    <t xml:space="preserve">1.979 PF/GPU</t>
  </si>
  <si>
    <r>
      <rPr>
        <sz val="10"/>
        <color rgb="FF0000FF"/>
        <rFont val="Arial"/>
        <family val="0"/>
        <charset val="1"/>
      </rPr>
      <t xml:space="preserve">3,958 TFLOPS</t>
    </r>
    <r>
      <rPr>
        <sz val="10"/>
        <color rgb="FF0000FF"/>
        <rFont val="WenQuanYi Zen Hei"/>
        <family val="2"/>
      </rPr>
      <t xml:space="preserve">（含稀疏，</t>
    </r>
    <r>
      <rPr>
        <sz val="10"/>
        <color rgb="FF0000FF"/>
        <rFont val="Arial"/>
        <family val="0"/>
        <charset val="1"/>
      </rPr>
      <t xml:space="preserve">SXM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</si>
  <si>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｜讀取日 </t>
    </r>
    <r>
      <rPr>
        <sz val="10"/>
        <color rgb="FF0000FF"/>
        <rFont val="Arial"/>
        <family val="0"/>
        <charset val="1"/>
      </rPr>
      <t xml:space="preserve">2026-10-05</t>
    </r>
    <r>
      <rPr>
        <sz val="10"/>
        <color rgb="FF0000FF"/>
        <rFont val="WenQuanYi Zen Hei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S1 (a)</t>
    </r>
    <r>
      <rPr>
        <sz val="10"/>
        <color rgb="FF0000FF"/>
        <rFont val="WenQuanYi Zen Hei"/>
        <family val="2"/>
      </rPr>
      <t xml:space="preserve">；值相同｜摘錄：“</t>
    </r>
    <r>
      <rPr>
        <sz val="10"/>
        <color rgb="FF0000FF"/>
        <rFont val="Arial"/>
        <family val="0"/>
        <charset val="1"/>
      </rPr>
      <t xml:space="preserve">FP8 Tensor Core * 3,958 teraFLOPS”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SXM</t>
    </r>
    <r>
      <rPr>
        <sz val="10"/>
        <color rgb="FF0000FF"/>
        <rFont val="WenQuanYi Zen Hei"/>
        <family val="2"/>
      </rPr>
      <t xml:space="preserve">）；表末註 “</t>
    </r>
    <r>
      <rPr>
        <sz val="10"/>
        <color rgb="FF0000FF"/>
        <rFont val="Arial"/>
        <family val="0"/>
        <charset val="1"/>
      </rPr>
      <t xml:space="preserve">* With sparsity”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BF16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FP16 </t>
    </r>
    <r>
      <rPr>
        <sz val="10"/>
        <color rgb="FF0000FF"/>
        <rFont val="WenQuanYi Zen Hei"/>
        <family val="2"/>
      </rPr>
      <t xml:space="preserve">同列 </t>
    </r>
    <r>
      <rPr>
        <sz val="10"/>
        <color rgb="FF0000FF"/>
        <rFont val="Arial"/>
        <family val="0"/>
        <charset val="1"/>
      </rPr>
      <t xml:space="preserve">1,979</t>
    </r>
    <r>
      <rPr>
        <sz val="10"/>
        <color rgb="FF0000FF"/>
        <rFont val="WenQuanYi Zen Hei"/>
        <family val="2"/>
      </rPr>
      <t xml:space="preserve">（含稀疏）｜換算：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WenQuanYi Zen Hei"/>
        <family val="2"/>
      </rPr>
      <t xml:space="preserve">＝含稀疏值 </t>
    </r>
    <r>
      <rPr>
        <sz val="10"/>
        <color rgb="FF0000FF"/>
        <rFont val="Arial"/>
        <family val="0"/>
        <charset val="1"/>
      </rPr>
      <t xml:space="preserve">÷2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3,958÷2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1,979 TFLOPS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1.979 PF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WenQuanYi Zen Hei"/>
        <family val="2"/>
      </rPr>
      <t xml:space="preserve">慣例；交叉：</t>
    </r>
    <r>
      <rPr>
        <sz val="10"/>
        <color rgb="FF0000FF"/>
        <rFont val="Arial"/>
        <family val="0"/>
        <charset val="1"/>
      </rPr>
      <t xml:space="preserve">BF16 1,979÷2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989.5≈SRC 0.989 </t>
    </r>
    <r>
      <rPr>
        <sz val="10"/>
        <color rgb="FF0000FF"/>
        <rFont val="WenQuanYi Zen Hei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BF16 </t>
    </r>
    <r>
      <rPr>
        <sz val="10"/>
        <color rgb="FF0000FF"/>
        <rFont val="WenQuanYi Zen Hei"/>
        <family val="2"/>
      </rPr>
      <t xml:space="preserve">列）｜立場：利害關係方：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WenQuanYi Zen Hei"/>
        <family val="2"/>
      </rPr>
      <t xml:space="preserve">為賣方</t>
    </r>
  </si>
  <si>
    <t xml:space="preserve">E185</t>
  </si>
  <si>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FP8 dense </t>
    </r>
    <r>
      <rPr>
        <sz val="10"/>
        <color rgb="FF0000FF"/>
        <rFont val="WenQuanYi Zen Hei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SRC_HW_043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 PF/GPU</t>
    </r>
  </si>
  <si>
    <r>
      <rPr>
        <sz val="10"/>
        <color rgb="FF0000FF"/>
        <rFont val="Arial"/>
        <family val="0"/>
        <charset val="1"/>
      </rPr>
      <t xml:space="preserve">Spec_Rack D40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E40</t>
    </r>
  </si>
  <si>
    <t xml:space="preserve">5 PF/GPU</t>
  </si>
  <si>
    <r>
      <rPr>
        <sz val="10"/>
        <color rgb="FF0000FF"/>
        <rFont val="Arial"/>
        <family val="0"/>
        <charset val="1"/>
      </rPr>
      <t xml:space="preserve">Blackwell </t>
    </r>
    <r>
      <rPr>
        <sz val="10"/>
        <color rgb="FF0000FF"/>
        <rFont val="WenQuanYi Zen Hei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Blackwell Ultra </t>
    </r>
    <r>
      <rPr>
        <sz val="10"/>
        <color rgb="FF0000FF"/>
        <rFont val="WenQuanYi Zen Hei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FP8 dense 5 PF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10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</si>
  <si>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｜讀取日 </t>
    </r>
    <r>
      <rPr>
        <sz val="10"/>
        <color rgb="FF0000FF"/>
        <rFont val="Arial"/>
        <family val="0"/>
        <charset val="1"/>
      </rPr>
      <t xml:space="preserve">2026-10-05</t>
    </r>
    <r>
      <rPr>
        <sz val="10"/>
        <color rgb="FF0000FF"/>
        <rFont val="WenQuanYi Zen Hei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S1 (a)</t>
    </r>
    <r>
      <rPr>
        <sz val="10"/>
        <color rgb="FF0000FF"/>
        <rFont val="WenQuanYi Zen Hei"/>
        <family val="2"/>
      </rPr>
      <t xml:space="preserve">；值相同｜摘錄：“</t>
    </r>
    <r>
      <rPr>
        <sz val="10"/>
        <color rgb="FF0000FF"/>
        <rFont val="Arial"/>
        <family val="0"/>
        <charset val="1"/>
      </rPr>
      <t xml:space="preserve">FP8 dense | sparse performance … 5 | 10 PetaFLOPS 5 | 10 PetaFLOPS”</t>
    </r>
    <r>
      <rPr>
        <sz val="10"/>
        <color rgb="FF0000FF"/>
        <rFont val="WenQuanYi Zen Hei"/>
        <family val="2"/>
      </rPr>
      <t xml:space="preserve">｜換算：—｜立場：利害關係方：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WenQuanYi Zen Hei"/>
        <family val="2"/>
      </rPr>
      <t xml:space="preserve">為賣方；規格表為其自有產品的量測／設計值</t>
    </r>
  </si>
  <si>
    <t xml:space="preserve">E186</t>
  </si>
  <si>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WenQuanYi Zen Hei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WenQuanYi Zen Hei"/>
        <family val="2"/>
      </rPr>
      <t xml:space="preserve">數（</t>
    </r>
    <r>
      <rPr>
        <sz val="10"/>
        <color rgb="FF0000FF"/>
        <rFont val="Arial"/>
        <family val="0"/>
        <charset val="1"/>
      </rPr>
      <t xml:space="preserve">SRC_HW_047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72</t>
    </r>
  </si>
  <si>
    <t xml:space="preserve">https://developer.nvidia.com/blog/nvidia-blackwell-ultra-for-the-era-of-ai-reasoning/</t>
  </si>
  <si>
    <r>
      <rPr>
        <sz val="10"/>
        <color rgb="FF0000FF"/>
        <rFont val="Arial"/>
        <family val="0"/>
        <charset val="1"/>
      </rPr>
      <t xml:space="preserve">Spec_Rack D6:F6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D28:F28</t>
    </r>
  </si>
  <si>
    <t xml:space="preserve">72</t>
  </si>
  <si>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WenQuanYi Zen Hei"/>
        <family val="2"/>
      </rPr>
      <t xml:space="preserve">域：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WenQuanYi Zen Hei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72</t>
    </r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</si>
  <si>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｜讀取日 </t>
    </r>
    <r>
      <rPr>
        <sz val="10"/>
        <color rgb="FF0000FF"/>
        <rFont val="Arial"/>
        <family val="0"/>
        <charset val="1"/>
      </rPr>
      <t xml:space="preserve">2026-10-05</t>
    </r>
    <r>
      <rPr>
        <sz val="10"/>
        <color rgb="FF0000FF"/>
        <rFont val="WenQuanYi Zen Hei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S1 (a)</t>
    </r>
    <r>
      <rPr>
        <sz val="10"/>
        <color rgb="FF0000FF"/>
        <rFont val="WenQuanYi Zen Hei"/>
        <family val="2"/>
      </rPr>
      <t xml:space="preserve">；值相同｜摘錄：“</t>
    </r>
    <r>
      <rPr>
        <sz val="10"/>
        <color rgb="FF0000FF"/>
        <rFont val="Arial"/>
        <family val="0"/>
        <charset val="1"/>
      </rPr>
      <t xml:space="preserve">connects 72 Blackwell GPUs in a single NVLink domain”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WenQuanYi Zen Hei"/>
        <family val="2"/>
      </rPr>
      <t xml:space="preserve">）；“</t>
    </r>
    <r>
      <rPr>
        <sz val="10"/>
        <color rgb="FF0000FF"/>
        <rFont val="Arial"/>
        <family val="0"/>
        <charset val="1"/>
      </rPr>
      <t xml:space="preserve">integrates 72 Rubin GPUs and 36 Vera CPUs”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WenQuanYi Zen Hei"/>
        <family val="2"/>
      </rPr>
      <t xml:space="preserve">）｜換算：—｜立場：利害關係方：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WenQuanYi Zen Hei"/>
        <family val="2"/>
      </rPr>
      <t xml:space="preserve">為賣方；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WenQuanYi Zen Hei"/>
        <family val="2"/>
      </rPr>
      <t xml:space="preserve">為產品名稱定義，誘因影響極小</t>
    </r>
  </si>
  <si>
    <t xml:space="preserve">E187</t>
  </si>
  <si>
    <r>
      <rPr>
        <sz val="10"/>
        <color rgb="FF0000FF"/>
        <rFont val="Arial"/>
        <family val="0"/>
        <charset val="1"/>
      </rPr>
      <t xml:space="preserve">Llama 3 405B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BF16 MFU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SRC_PERF_036</t>
    </r>
    <r>
      <rPr>
        <sz val="10"/>
        <color rgb="FF0000FF"/>
        <rFont val="WenQuanYi Zen Hei"/>
        <family val="2"/>
      </rPr>
      <t xml:space="preserve">）：值 低 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WenQuanYi Zen Hei"/>
        <family val="2"/>
      </rPr>
      <t xml:space="preserve">／高 </t>
    </r>
    <r>
      <rPr>
        <sz val="10"/>
        <color rgb="FF0000FF"/>
        <rFont val="Arial"/>
        <family val="0"/>
        <charset val="1"/>
      </rPr>
      <t xml:space="preserve">0.43</t>
    </r>
  </si>
  <si>
    <t xml:space="preserve">https://arxiv.org/pdf/2407.21783</t>
  </si>
  <si>
    <r>
      <rPr>
        <sz val="10"/>
        <color rgb="FF0000FF"/>
        <rFont val="WenQuanYi Zen Hei"/>
        <family val="2"/>
      </rPr>
      <t xml:space="preserve">（無直接連結；</t>
    </r>
    <r>
      <rPr>
        <sz val="10"/>
        <color rgb="FF0000FF"/>
        <rFont val="Arial"/>
        <family val="0"/>
        <charset val="1"/>
      </rPr>
      <t xml:space="preserve">Train_In C6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MFU 0.25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0.18–0.35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WenQuanYi Zen Hei"/>
        <family val="2"/>
      </rPr>
      <t xml:space="preserve">）的可比對象）</t>
    </r>
  </si>
  <si>
    <r>
      <rPr>
        <sz val="10"/>
        <color rgb="FF0000FF"/>
        <rFont val="WenQuanYi Zen Hei"/>
        <family val="2"/>
      </rPr>
      <t xml:space="preserve">低 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WenQuanYi Zen Hei"/>
        <family val="2"/>
      </rPr>
      <t xml:space="preserve">／高 </t>
    </r>
    <r>
      <rPr>
        <sz val="10"/>
        <color rgb="FF0000FF"/>
        <rFont val="Arial"/>
        <family val="0"/>
        <charset val="1"/>
      </rPr>
      <t xml:space="preserve">0.43</t>
    </r>
  </si>
  <si>
    <t xml:space="preserve">BF16 MFU 38–43%</t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</si>
  <si>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｜讀取日 </t>
    </r>
    <r>
      <rPr>
        <sz val="10"/>
        <color rgb="FF0000FF"/>
        <rFont val="Arial"/>
        <family val="0"/>
        <charset val="1"/>
      </rPr>
      <t xml:space="preserve">2026-10-05</t>
    </r>
    <r>
      <rPr>
        <sz val="10"/>
        <color rgb="FF0000FF"/>
        <rFont val="WenQuanYi Zen Hei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S1 (a)</t>
    </r>
    <r>
      <rPr>
        <sz val="10"/>
        <color rgb="FF0000FF"/>
        <rFont val="WenQuanYi Zen Hei"/>
        <family val="2"/>
      </rPr>
      <t xml:space="preserve">；值相同｜摘錄：“</t>
    </r>
    <r>
      <rPr>
        <sz val="10"/>
        <color rgb="FF0000FF"/>
        <rFont val="Arial"/>
        <family val="0"/>
        <charset val="1"/>
      </rPr>
      <t xml:space="preserve">overall BF16 Model FLOPs Utilization (MFU …) of 38-43%”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Table 4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43%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430 TFLOPs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38%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380 TFLOPs</t>
    </r>
    <r>
      <rPr>
        <sz val="10"/>
        <color rgb="FF0000FF"/>
        <rFont val="WenQuanYi Zen Hei"/>
        <family val="2"/>
      </rPr>
      <t xml:space="preserve">）｜換算：與 </t>
    </r>
    <r>
      <rPr>
        <sz val="10"/>
        <color rgb="FF0000FF"/>
        <rFont val="Arial"/>
        <family val="0"/>
        <charset val="1"/>
      </rPr>
      <t xml:space="preserve">Train_In C6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FP8 </t>
    </r>
    <r>
      <rPr>
        <sz val="10"/>
        <color rgb="FF0000FF"/>
        <rFont val="WenQuanYi Zen Hei"/>
        <family val="2"/>
      </rPr>
      <t xml:space="preserve">分母）換算：</t>
    </r>
    <r>
      <rPr>
        <sz val="10"/>
        <color rgb="FF0000FF"/>
        <rFont val="Arial"/>
        <family val="0"/>
        <charset val="1"/>
      </rPr>
      <t xml:space="preserve">×(0.989/1.979)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0.19–0.215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[Derived]</t>
    </r>
    <r>
      <rPr>
        <sz val="10"/>
        <color rgb="FF0000FF"/>
        <rFont val="WenQuanYi Zen Hei"/>
        <family val="2"/>
      </rPr>
      <t xml:space="preserve">，與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值本身無關）｜立場：利害關係方：</t>
    </r>
    <r>
      <rPr>
        <sz val="10"/>
        <color rgb="FF0000FF"/>
        <rFont val="Arial"/>
        <family val="0"/>
        <charset val="1"/>
      </rPr>
      <t xml:space="preserve">Meta </t>
    </r>
    <r>
      <rPr>
        <sz val="10"/>
        <color rgb="FF0000FF"/>
        <rFont val="WenQuanYi Zen Hei"/>
        <family val="2"/>
      </rPr>
      <t xml:space="preserve">自揭；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WenQuanYi Zen Hei"/>
        <family val="2"/>
      </rPr>
      <t xml:space="preserve">為其自家叢集量測，誘因影響小</t>
    </r>
  </si>
  <si>
    <t xml:space="preserve">E188</t>
  </si>
  <si>
    <r>
      <rPr>
        <sz val="10"/>
        <color rgb="FF0000FF"/>
        <rFont val="Arial"/>
        <family val="0"/>
        <charset val="1"/>
      </rPr>
      <t xml:space="preserve">Llama 3 </t>
    </r>
    <r>
      <rPr>
        <sz val="10"/>
        <color rgb="FF0000FF"/>
        <rFont val="WenQuanYi Zen Hei"/>
        <family val="2"/>
      </rPr>
      <t xml:space="preserve">有效訓練時間比（</t>
    </r>
    <r>
      <rPr>
        <sz val="10"/>
        <color rgb="FF0000FF"/>
        <rFont val="Arial"/>
        <family val="0"/>
        <charset val="1"/>
      </rPr>
      <t xml:space="preserve">goodput</t>
    </r>
    <r>
      <rPr>
        <sz val="10"/>
        <color rgb="FF0000FF"/>
        <rFont val="WenQuanYi Zen Hei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SRC_PERF_037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WenQuanYi Zen Hei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</si>
  <si>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C7 goodput 0.90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0.80–0.95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</si>
  <si>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WenQuanYi Zen Hei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</si>
  <si>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WenQuanYi Zen Hei"/>
        <family val="2"/>
      </rPr>
      <t xml:space="preserve">有效訓練時間 </t>
    </r>
    <r>
      <rPr>
        <sz val="10"/>
        <color rgb="FF0000FF"/>
        <rFont val="Arial"/>
        <family val="0"/>
        <charset val="1"/>
      </rPr>
      <t xml:space="preserve">&gt;90%</t>
    </r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</si>
  <si>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｜讀取日 </t>
    </r>
    <r>
      <rPr>
        <sz val="10"/>
        <color rgb="FF0000FF"/>
        <rFont val="Arial"/>
        <family val="0"/>
        <charset val="1"/>
      </rPr>
      <t xml:space="preserve">2026-10-05</t>
    </r>
    <r>
      <rPr>
        <sz val="10"/>
        <color rgb="FF0000FF"/>
        <rFont val="WenQuanYi Zen Hei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S1 (a)</t>
    </r>
    <r>
      <rPr>
        <sz val="10"/>
        <color rgb="FF0000FF"/>
        <rFont val="WenQuanYi Zen Hei"/>
        <family val="2"/>
      </rPr>
      <t xml:space="preserve">；值相同｜摘錄：“</t>
    </r>
    <r>
      <rPr>
        <sz val="10"/>
        <color rgb="FF0000FF"/>
        <rFont val="Arial"/>
        <family val="0"/>
        <charset val="1"/>
      </rPr>
      <t xml:space="preserve">more than 90% effective training time”</t>
    </r>
    <r>
      <rPr>
        <sz val="10"/>
        <color rgb="FF0000FF"/>
        <rFont val="WenQuanYi Zen Hei"/>
        <family val="2"/>
      </rPr>
      <t xml:space="preserve">｜換算：—｜立場：利害關係方：</t>
    </r>
    <r>
      <rPr>
        <sz val="10"/>
        <color rgb="FF0000FF"/>
        <rFont val="Arial"/>
        <family val="0"/>
        <charset val="1"/>
      </rPr>
      <t xml:space="preserve">Meta </t>
    </r>
    <r>
      <rPr>
        <sz val="10"/>
        <color rgb="FF0000FF"/>
        <rFont val="WenQuanYi Zen Hei"/>
        <family val="2"/>
      </rPr>
      <t xml:space="preserve">自揭</t>
    </r>
  </si>
  <si>
    <t xml:space="preserve">E189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</si>
  <si>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Sol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SRC_CAP_008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48</t>
    </r>
  </si>
  <si>
    <t xml:space="preserve">https://artificialanalysis.ai/models/comparisons/gpt-6-sol-vs-glm-5-3</t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</si>
  <si>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47 </t>
    </r>
    <r>
      <rPr>
        <sz val="10"/>
        <color rgb="FF0000FF"/>
        <rFont val="WenQuanYi Zen Hei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GPT-6 Sol </t>
    </r>
    <r>
      <rPr>
        <sz val="10"/>
        <color rgb="FF0000FF"/>
        <rFont val="WenQuanYi Zen Hei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WenQuanYi Zen Hei"/>
        <family val="2"/>
      </rPr>
      <t xml:space="preserve">前緣</t>
    </r>
  </si>
  <si>
    <t xml:space="preserve">48</t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</si>
  <si>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｜讀取日 </t>
    </r>
    <r>
      <rPr>
        <sz val="10"/>
        <color rgb="FF0000FF"/>
        <rFont val="Arial"/>
        <family val="0"/>
        <charset val="1"/>
      </rPr>
      <t xml:space="preserve">2026-10-05</t>
    </r>
    <r>
      <rPr>
        <sz val="10"/>
        <color rgb="FF0000FF"/>
        <rFont val="WenQuanYi Zen Hei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S1 (a)</t>
    </r>
    <r>
      <rPr>
        <sz val="10"/>
        <color rgb="FF0000FF"/>
        <rFont val="WenQuanYi Zen Hei"/>
        <family val="2"/>
      </rPr>
      <t xml:space="preserve">；值相同｜摘錄：比較表列「</t>
    </r>
    <r>
      <rPr>
        <sz val="10"/>
        <color rgb="FF0000FF"/>
        <rFont val="Arial"/>
        <family val="0"/>
        <charset val="1"/>
      </rPr>
      <t xml:space="preserve">Intelligence Index</t>
    </r>
    <r>
      <rPr>
        <sz val="10"/>
        <color rgb="FF0000FF"/>
        <rFont val="WenQuanYi Zen Hei"/>
        <family val="2"/>
      </rPr>
      <t xml:space="preserve">」：</t>
    </r>
    <r>
      <rPr>
        <sz val="10"/>
        <color rgb="FF0000FF"/>
        <rFont val="Arial"/>
        <family val="0"/>
        <charset val="1"/>
      </rPr>
      <t xml:space="preserve">GPT-6 Sol (Max) 48</t>
    </r>
    <r>
      <rPr>
        <sz val="10"/>
        <color rgb="FF0000FF"/>
        <rFont val="WenQuanYi Zen Hei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GLM-5.3 (Max) 45</t>
    </r>
    <r>
      <rPr>
        <sz val="10"/>
        <color rgb="FF0000FF"/>
        <rFont val="WenQuanYi Zen Hei"/>
        <family val="2"/>
      </rPr>
      <t xml:space="preserve">；頁面註明 </t>
    </r>
    <r>
      <rPr>
        <sz val="10"/>
        <color rgb="FF0000FF"/>
        <rFont val="Arial"/>
        <family val="0"/>
        <charset val="1"/>
      </rPr>
      <t xml:space="preserve">Index v4.3.2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項評測）｜換算：無需換算（頁面標示 </t>
    </r>
    <r>
      <rPr>
        <sz val="10"/>
        <color rgb="FF0000FF"/>
        <rFont val="Arial"/>
        <family val="0"/>
        <charset val="1"/>
      </rPr>
      <t xml:space="preserve">Max </t>
    </r>
    <r>
      <rPr>
        <sz val="10"/>
        <color rgb="FF0000FF"/>
        <rFont val="WenQuanYi Zen Hei"/>
        <family val="2"/>
      </rPr>
      <t xml:space="preserve">設定，與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一致）｜立場：中立：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WenQuanYi Zen Hei"/>
        <family val="2"/>
      </rPr>
      <t xml:space="preserve">為獨立評測，但指數的評測集與權重由其自訂（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項評測）；廠商可針對評測最佳化</t>
    </r>
  </si>
  <si>
    <t xml:space="preserve">E190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</si>
  <si>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GLM-5.3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</t>
    </r>
    <r>
      <rPr>
        <sz val="10"/>
        <color rgb="FF0000FF"/>
        <rFont val="WenQuanYi Zen Hei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SRC_CAP_011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45</t>
    </r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</si>
  <si>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54 </t>
    </r>
    <r>
      <rPr>
        <sz val="10"/>
        <color rgb="FF0000FF"/>
        <rFont val="WenQuanYi Zen Hei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GLM-5.3 </t>
    </r>
    <r>
      <rPr>
        <sz val="10"/>
        <color rgb="FF0000FF"/>
        <rFont val="WenQuanYi Zen Hei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WenQuanYi Zen Hei"/>
        <family val="2"/>
      </rPr>
      <t xml:space="preserve">前緣</t>
    </r>
  </si>
  <si>
    <t xml:space="preserve">45</t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</si>
  <si>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｜讀取日 </t>
    </r>
    <r>
      <rPr>
        <sz val="10"/>
        <color rgb="FF0000FF"/>
        <rFont val="Arial"/>
        <family val="0"/>
        <charset val="1"/>
      </rPr>
      <t xml:space="preserve">2026-10-05</t>
    </r>
    <r>
      <rPr>
        <sz val="10"/>
        <color rgb="FF0000FF"/>
        <rFont val="WenQuanYi Zen Hei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S1 (a)</t>
    </r>
    <r>
      <rPr>
        <sz val="10"/>
        <color rgb="FF0000FF"/>
        <rFont val="WenQuanYi Zen Hei"/>
        <family val="2"/>
      </rPr>
      <t xml:space="preserve">；值相同｜摘錄：同表同列：</t>
    </r>
    <r>
      <rPr>
        <sz val="10"/>
        <color rgb="FF0000FF"/>
        <rFont val="Arial"/>
        <family val="0"/>
        <charset val="1"/>
      </rPr>
      <t xml:space="preserve">GLM-5.3 (Max) 45</t>
    </r>
    <r>
      <rPr>
        <sz val="10"/>
        <color rgb="FF0000FF"/>
        <rFont val="WenQuanYi Zen Hei"/>
        <family val="2"/>
      </rPr>
      <t xml:space="preserve">｜換算：無需換算｜立場：中立：同 </t>
    </r>
    <r>
      <rPr>
        <sz val="10"/>
        <color rgb="FF0000FF"/>
        <rFont val="Arial"/>
        <family val="0"/>
        <charset val="1"/>
      </rPr>
      <t xml:space="preserve">SRC_CAP_008</t>
    </r>
  </si>
  <si>
    <t xml:space="preserve">E191</t>
  </si>
  <si>
    <r>
      <rPr>
        <sz val="10"/>
        <color rgb="FF0000FF"/>
        <rFont val="WenQuanYi Zen Hei"/>
        <family val="2"/>
      </rPr>
      <t xml:space="preserve">前沿實驗室（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WenQuanYi Zen Hei"/>
        <family val="2"/>
      </rPr>
      <t xml:space="preserve">）每日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SRC_DEM_013</t>
    </r>
    <r>
      <rPr>
        <sz val="10"/>
        <color rgb="FF0000FF"/>
        <rFont val="WenQuanYi Zen Hei"/>
        <family val="2"/>
      </rPr>
      <t xml:space="preserve">）：值 低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WenQuanYi Zen Hei"/>
        <family val="2"/>
      </rPr>
      <t xml:space="preserve">／高 </t>
    </r>
    <r>
      <rPr>
        <sz val="10"/>
        <color rgb="FF0000FF"/>
        <rFont val="Arial"/>
        <family val="0"/>
        <charset val="1"/>
      </rPr>
      <t xml:space="preserve">100 T tok/</t>
    </r>
    <r>
      <rPr>
        <sz val="10"/>
        <color rgb="FF0000FF"/>
        <rFont val="WenQuanYi Zen Hei"/>
        <family val="2"/>
      </rPr>
      <t xml:space="preserve">日</t>
    </r>
  </si>
  <si>
    <t xml:space="preserve">https://epoch.ai/gradient-updates/how-many-digital-workers-could-openai-deploy</t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</si>
  <si>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WenQuanYi Zen Hei"/>
        <family val="2"/>
      </rPr>
      <t xml:space="preserve">外部對照、</t>
    </r>
    <r>
      <rPr>
        <sz val="10"/>
        <color rgb="FF0000FF"/>
        <rFont val="Arial"/>
        <family val="0"/>
        <charset val="1"/>
      </rPr>
      <t xml:space="preserve">Alloc F </t>
    </r>
    <r>
      <rPr>
        <sz val="10"/>
        <color rgb="FF0000FF"/>
        <rFont val="WenQuanYi Zen Hei"/>
        <family val="2"/>
      </rPr>
      <t xml:space="preserve">節</t>
    </r>
  </si>
  <si>
    <r>
      <rPr>
        <sz val="10"/>
        <color rgb="FF0000FF"/>
        <rFont val="WenQuanYi Zen Hei"/>
        <family val="2"/>
      </rPr>
      <t xml:space="preserve">低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WenQuanYi Zen Hei"/>
        <family val="2"/>
      </rPr>
      <t xml:space="preserve">／高 </t>
    </r>
    <r>
      <rPr>
        <sz val="10"/>
        <color rgb="FF0000FF"/>
        <rFont val="Arial"/>
        <family val="0"/>
        <charset val="1"/>
      </rPr>
      <t xml:space="preserve">100 T tok/</t>
    </r>
    <r>
      <rPr>
        <sz val="10"/>
        <color rgb="FF0000FF"/>
        <rFont val="WenQuanYi Zen Hei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</si>
  <si>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WenQuanYi Zen Hei"/>
        <family val="2"/>
      </rPr>
      <t xml:space="preserve">日（方法一：算力推估，</t>
    </r>
    <r>
      <rPr>
        <sz val="10"/>
        <color rgb="FF0000FF"/>
        <rFont val="Arial"/>
        <family val="0"/>
        <charset val="1"/>
      </rPr>
      <t xml:space="preserve">OpenAI GPT-5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</si>
  <si>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｜讀取日 </t>
    </r>
    <r>
      <rPr>
        <sz val="10"/>
        <color rgb="FF0000FF"/>
        <rFont val="Arial"/>
        <family val="0"/>
        <charset val="1"/>
      </rPr>
      <t xml:space="preserve">2026-10-05</t>
    </r>
    <r>
      <rPr>
        <sz val="10"/>
        <color rgb="FF0000FF"/>
        <rFont val="WenQuanYi Zen Hei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S1 (a)</t>
    </r>
    <r>
      <rPr>
        <sz val="10"/>
        <color rgb="FF0000FF"/>
        <rFont val="WenQuanYi Zen Hei"/>
        <family val="2"/>
      </rPr>
      <t xml:space="preserve">；值相同｜摘錄：“</t>
    </r>
    <r>
      <rPr>
        <sz val="10"/>
        <color rgb="FF0000FF"/>
        <rFont val="Arial"/>
        <family val="0"/>
        <charset val="1"/>
      </rPr>
      <t xml:space="preserve">around 10 to 100 trillion tokens per day”</t>
    </r>
    <r>
      <rPr>
        <sz val="10"/>
        <color rgb="FF0000FF"/>
        <rFont val="WenQuanYi Zen Hei"/>
        <family val="2"/>
      </rPr>
      <t xml:space="preserve">｜換算：—｜立場：中立：</t>
    </r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WenQuanYi Zen Hei"/>
        <family val="2"/>
      </rPr>
      <t xml:space="preserve">（獨立研究；</t>
    </r>
    <r>
      <rPr>
        <sz val="10"/>
        <color rgb="FF0000FF"/>
        <rFont val="Arial"/>
        <family val="0"/>
        <charset val="1"/>
      </rPr>
      <t xml:space="preserve">Gradient Updates </t>
    </r>
    <r>
      <rPr>
        <sz val="10"/>
        <color rgb="FF0000FF"/>
        <rFont val="WenQuanYi Zen Hei"/>
        <family val="2"/>
      </rPr>
      <t xml:space="preserve">為其「</t>
    </r>
    <r>
      <rPr>
        <sz val="10"/>
        <color rgb="FF0000FF"/>
        <rFont val="Arial"/>
        <family val="0"/>
        <charset val="1"/>
      </rPr>
      <t xml:space="preserve">opinionated</t>
    </r>
    <r>
      <rPr>
        <sz val="10"/>
        <color rgb="FF0000FF"/>
        <rFont val="WenQuanYi Zen Hei"/>
        <family val="2"/>
      </rPr>
      <t xml:space="preserve">」欄位）；對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WenQuanYi Zen Hei"/>
        <family val="2"/>
      </rPr>
      <t xml:space="preserve">的算力數字來自 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WenQuanYi Zen Hei"/>
        <family val="2"/>
      </rPr>
      <t xml:space="preserve">報導（二手）</t>
    </r>
  </si>
  <si>
    <t xml:space="preserve">E192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</si>
  <si>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WenQuanYi Zen Hei"/>
        <family val="2"/>
      </rPr>
      <t xml:space="preserve">處理量（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WenQuanYi Zen Hei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WenQuanYi Zen Hei"/>
        <family val="2"/>
      </rPr>
      <t xml:space="preserve">全部）</t>
    </r>
  </si>
  <si>
    <t xml:space="preserve">https://openai.com/zh-Hant/index/accelerating-the-next-phase-ai/</t>
  </si>
  <si>
    <t xml:space="preserve">（備查；不在模型內使用）</t>
  </si>
  <si>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WenQuanYi Zen Hei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WenQuanYi Zen Hei"/>
        <family val="2"/>
      </rPr>
      <t xml:space="preserve">全部）</t>
    </r>
  </si>
  <si>
    <r>
      <rPr>
        <sz val="10"/>
        <color rgb="FF0000FF"/>
        <rFont val="Arial"/>
        <family val="0"/>
        <charset val="1"/>
      </rPr>
      <t xml:space="preserve">&gt; 15 B tok/min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150 </t>
    </r>
    <r>
      <rPr>
        <sz val="10"/>
        <color rgb="FF0000FF"/>
        <rFont val="WenQuanYi Zen Hei"/>
        <family val="2"/>
      </rPr>
      <t xml:space="preserve">億）</t>
    </r>
  </si>
  <si>
    <r>
      <rPr>
        <sz val="10"/>
        <color rgb="FF0000FF"/>
        <rFont val="WenQuanYi Zen Hei"/>
        <family val="2"/>
      </rPr>
      <t xml:space="preserve">採納（</t>
    </r>
    <r>
      <rPr>
        <sz val="10"/>
        <color rgb="FF0000FF"/>
        <rFont val="Arial"/>
        <family val="0"/>
        <charset val="1"/>
      </rPr>
      <t xml:space="preserve">S1 (a)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WenQuanYi Zen Hei"/>
        <family val="2"/>
      </rPr>
      <t xml:space="preserve">讀官方繁中頁（</t>
    </r>
    <r>
      <rPr>
        <sz val="10"/>
        <color rgb="FF0000FF"/>
        <rFont val="Arial"/>
        <family val="0"/>
        <charset val="1"/>
      </rPr>
      <t xml:space="preserve">G2</t>
    </r>
    <r>
      <rPr>
        <sz val="10"/>
        <color rgb="FF0000FF"/>
        <rFont val="WenQuanYi Zen Hei"/>
        <family val="2"/>
      </rPr>
      <t xml:space="preserve">））</t>
    </r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</si>
  <si>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Andy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G2</t>
    </r>
    <r>
      <rPr>
        <sz val="10"/>
        <color rgb="FF0000FF"/>
        <rFont val="WenQuanYi Zen Hei"/>
        <family val="2"/>
      </rPr>
      <t xml:space="preserve">）｜讀取日 </t>
    </r>
    <r>
      <rPr>
        <sz val="10"/>
        <color rgb="FF0000FF"/>
        <rFont val="Arial"/>
        <family val="0"/>
        <charset val="1"/>
      </rPr>
      <t xml:space="preserve">2026-10-05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WenQuanYi Zen Hei"/>
        <family val="2"/>
      </rPr>
      <t xml:space="preserve">讀取，提供給 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）｜</t>
    </r>
    <r>
      <rPr>
        <sz val="10"/>
        <color rgb="FF0000FF"/>
        <rFont val="Arial"/>
        <family val="0"/>
        <charset val="1"/>
      </rPr>
      <t xml:space="preserve">S1 (a)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WenQuanYi Zen Hei"/>
        <family val="2"/>
      </rPr>
      <t xml:space="preserve">讀官方繁中頁（</t>
    </r>
    <r>
      <rPr>
        <sz val="10"/>
        <color rgb="FF0000FF"/>
        <rFont val="Arial"/>
        <family val="0"/>
        <charset val="1"/>
      </rPr>
      <t xml:space="preserve">G2</t>
    </r>
    <r>
      <rPr>
        <sz val="10"/>
        <color rgb="FF0000FF"/>
        <rFont val="WenQuanYi Zen Hei"/>
        <family val="2"/>
      </rPr>
      <t xml:space="preserve">）｜摘錄：「我們的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WenQuanYi Zen Hei"/>
        <family val="2"/>
      </rPr>
      <t xml:space="preserve">目前每分鐘可處理超過 </t>
    </r>
    <r>
      <rPr>
        <sz val="10"/>
        <color rgb="FF0000FF"/>
        <rFont val="Arial"/>
        <family val="0"/>
        <charset val="1"/>
      </rPr>
      <t xml:space="preserve">150 </t>
    </r>
    <r>
      <rPr>
        <sz val="10"/>
        <color rgb="FF0000FF"/>
        <rFont val="WenQuanYi Zen Hei"/>
        <family val="2"/>
      </rPr>
      <t xml:space="preserve">億個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WenQuanYi Zen Hei"/>
        <family val="2"/>
      </rPr>
      <t xml:space="preserve">。」｜換算：無需換算（</t>
    </r>
    <r>
      <rPr>
        <sz val="10"/>
        <color rgb="FF0000FF"/>
        <rFont val="Arial"/>
        <family val="0"/>
        <charset val="1"/>
      </rPr>
      <t xml:space="preserve">150 </t>
    </r>
    <r>
      <rPr>
        <sz val="10"/>
        <color rgb="FF0000FF"/>
        <rFont val="WenQuanYi Zen Hei"/>
        <family val="2"/>
      </rPr>
      <t xml:space="preserve">億＝</t>
    </r>
    <r>
      <rPr>
        <sz val="10"/>
        <color rgb="FF0000FF"/>
        <rFont val="Arial"/>
        <family val="0"/>
        <charset val="1"/>
      </rPr>
      <t xml:space="preserve">15 B</t>
    </r>
    <r>
      <rPr>
        <sz val="10"/>
        <color rgb="FF0000FF"/>
        <rFont val="WenQuanYi Zen Hei"/>
        <family val="2"/>
      </rPr>
      <t xml:space="preserve">）｜立場：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WenQuanYi Zen Hei"/>
        <family val="2"/>
      </rPr>
      <t xml:space="preserve">融資公告，有呈現成長與規模的誘因</t>
    </r>
  </si>
  <si>
    <t xml:space="preserve">E193</t>
  </si>
  <si>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WenQuanYi Zen Hei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SRC_HW_014</t>
    </r>
    <r>
      <rPr>
        <sz val="10"/>
        <color rgb="FF0000FF"/>
        <rFont val="WenQuanYi Zen Hei"/>
        <family val="2"/>
      </rPr>
      <t xml:space="preserve">）</t>
    </r>
  </si>
  <si>
    <t xml:space="preserve">https://blog.se.com/datacenter/2026/05/08/nvidia-and-schneider-electric-get-in-sync-at-nvidia-gtc-2026-to-deliver-vera-rubin-ai-factories/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</si>
  <si>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F8 </t>
    </r>
    <r>
      <rPr>
        <sz val="10"/>
        <color rgb="FF0000FF"/>
        <rFont val="WenQuanYi Zen Hei"/>
        <family val="2"/>
      </rPr>
      <t xml:space="preserve">低 </t>
    </r>
    <r>
      <rPr>
        <sz val="10"/>
        <color rgb="FF0000FF"/>
        <rFont val="Arial"/>
        <family val="0"/>
        <charset val="1"/>
      </rPr>
      <t xml:space="preserve">188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</si>
  <si>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WenQuanYi Zen Hei"/>
        <family val="2"/>
      </rPr>
      <t xml:space="preserve">架（記為 </t>
    </r>
    <r>
      <rPr>
        <sz val="10"/>
        <color rgb="FF0000FF"/>
        <rFont val="Arial"/>
        <family val="0"/>
        <charset val="1"/>
      </rPr>
      <t xml:space="preserve">Supermicro DLC-2 </t>
    </r>
    <r>
      <rPr>
        <sz val="10"/>
        <color rgb="FF0000FF"/>
        <rFont val="WenQuanYi Zen Hei"/>
        <family val="2"/>
      </rPr>
      <t xml:space="preserve">設計點）</t>
    </r>
  </si>
  <si>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MaxQ 188 kW/rack</t>
    </r>
  </si>
  <si>
    <r>
      <rPr>
        <sz val="10"/>
        <color rgb="FF0000FF"/>
        <rFont val="WenQuanYi Zen Hei"/>
        <family val="2"/>
      </rPr>
      <t xml:space="preserve">採納（</t>
    </r>
    <r>
      <rPr>
        <sz val="10"/>
        <color rgb="FF0000FF"/>
        <rFont val="Arial"/>
        <family val="0"/>
        <charset val="1"/>
      </rPr>
      <t xml:space="preserve">S1 (a)</t>
    </r>
    <r>
      <rPr>
        <sz val="10"/>
        <color rgb="FF0000FF"/>
        <rFont val="WenQuanYi Zen Hei"/>
        <family val="2"/>
      </rPr>
      <t xml:space="preserve">；出處更正）</t>
    </r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</si>
  <si>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WenQuanYi Zen Hei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2026-10-05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WenQuanYi Zen Hei"/>
        <family val="2"/>
      </rPr>
      <t xml:space="preserve">提供）＋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1d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curl HTTP 200 </t>
    </r>
    <r>
      <rPr>
        <sz val="10"/>
        <color rgb="FF0000FF"/>
        <rFont val="WenQuanYi Zen Hei"/>
        <family val="2"/>
      </rPr>
      <t xml:space="preserve">自讀）｜逐字：“</t>
    </r>
    <r>
      <rPr>
        <sz val="10"/>
        <color rgb="FF0000FF"/>
        <rFont val="Arial"/>
        <family val="0"/>
        <charset val="1"/>
      </rPr>
      <t xml:space="preserve">supports operation at MaxQ 188 kw/rack and MaxP 227 kw/rack”</t>
    </r>
    <r>
      <rPr>
        <sz val="10"/>
        <color rgb="FF0000FF"/>
        <rFont val="WenQuanYi Zen Hei"/>
        <family val="2"/>
      </rPr>
      <t xml:space="preserve">｜原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記「</t>
    </r>
    <r>
      <rPr>
        <sz val="10"/>
        <color rgb="FF0000FF"/>
        <rFont val="Arial"/>
        <family val="0"/>
        <charset val="1"/>
      </rPr>
      <t xml:space="preserve">Supermicro DLC-2 </t>
    </r>
    <r>
      <rPr>
        <sz val="10"/>
        <color rgb="FF0000FF"/>
        <rFont val="WenQuanYi Zen Hei"/>
        <family val="2"/>
      </rPr>
      <t xml:space="preserve">設計點」，</t>
    </r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WenQuanYi Zen Hei"/>
        <family val="2"/>
      </rPr>
      <t xml:space="preserve">讀新聞稿確認其全文無 </t>
    </r>
    <r>
      <rPr>
        <sz val="10"/>
        <color rgb="FF0000FF"/>
        <rFont val="Arial"/>
        <family val="0"/>
        <charset val="1"/>
      </rPr>
      <t xml:space="preserve">227 kW</t>
    </r>
    <r>
      <rPr>
        <sz val="10"/>
        <color rgb="FF0000FF"/>
        <rFont val="WenQuanYi Zen Hei"/>
        <family val="2"/>
      </rPr>
      <t xml:space="preserve">，實際出處為本部落格（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WenQuanYi Zen Hei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MaxP</t>
    </r>
    <r>
      <rPr>
        <sz val="10"/>
        <color rgb="FF0000FF"/>
        <rFont val="WenQuanYi Zen Hei"/>
        <family val="2"/>
      </rPr>
      <t xml:space="preserve">）｜立場：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WenQuanYi Zen Hei"/>
        <family val="2"/>
      </rPr>
      <t xml:space="preserve">（供電與冷卻設備商）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</si>
  <si>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WenQuanYi Zen Hei"/>
        <family val="2"/>
      </rPr>
      <t xml:space="preserve">（等級；數值不變）</t>
    </r>
  </si>
  <si>
    <r>
      <rPr>
        <sz val="10"/>
        <color rgb="FF0000FF"/>
        <rFont val="Arial"/>
        <family val="0"/>
        <charset val="1"/>
      </rPr>
      <t xml:space="preserve">Supermicro Vera Rubin NVL72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DLC-2 </t>
    </r>
    <r>
      <rPr>
        <sz val="10"/>
        <color rgb="FF0000FF"/>
        <rFont val="WenQuanYi Zen Hei"/>
        <family val="2"/>
      </rPr>
      <t xml:space="preserve">液冷 “</t>
    </r>
    <r>
      <rPr>
        <sz val="10"/>
        <color rgb="FF0000FF"/>
        <rFont val="Arial"/>
        <family val="0"/>
        <charset val="1"/>
      </rPr>
      <t xml:space="preserve">sized for 227 kW per rack”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SRC_HW_064</t>
    </r>
    <r>
      <rPr>
        <sz val="10"/>
        <color rgb="FF0000FF"/>
        <rFont val="WenQuanYi Zen Hei"/>
        <family val="2"/>
      </rPr>
      <t xml:space="preserve">）</t>
    </r>
  </si>
  <si>
    <t xml:space="preserve">https://www.supermicro.com/en/accelerators/nvidia/vera-rubin</t>
  </si>
  <si>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SRC_HW_014 </t>
    </r>
    <r>
      <rPr>
        <sz val="10"/>
        <color rgb="FF0000FF"/>
        <rFont val="WenQuanYi Zen Hei"/>
        <family val="2"/>
      </rPr>
      <t xml:space="preserve">的第二來源；不直接連結模型格）</t>
    </r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</si>
  <si>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WenQuanYi Zen Hei"/>
        <family val="2"/>
      </rPr>
      <t xml:space="preserve">架（冷卻 </t>
    </r>
    <r>
      <rPr>
        <sz val="10"/>
        <color rgb="FF0000FF"/>
        <rFont val="Arial"/>
        <family val="0"/>
        <charset val="1"/>
      </rPr>
      <t xml:space="preserve">sized-for </t>
    </r>
    <r>
      <rPr>
        <sz val="10"/>
        <color rgb="FF0000FF"/>
        <rFont val="WenQuanYi Zen Hei"/>
        <family val="2"/>
      </rPr>
      <t xml:space="preserve">容量）</t>
    </r>
  </si>
  <si>
    <t xml:space="preserve">採納（並列第二來源）</t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</si>
  <si>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1d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curl </t>
    </r>
    <r>
      <rPr>
        <sz val="10"/>
        <color rgb="FF0000FF"/>
        <rFont val="WenQuanYi Zen Hei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Akamai</t>
    </r>
    <r>
      <rPr>
        <sz val="10"/>
        <color rgb="FF0000FF"/>
        <rFont val="WenQuanYi Zen Hei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Access Denied</t>
    </r>
    <r>
      <rPr>
        <sz val="10"/>
        <color rgb="FF0000FF"/>
        <rFont val="WenQuanYi Zen Hei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403</t>
    </r>
    <r>
      <rPr>
        <sz val="10"/>
        <color rgb="FF0000FF"/>
        <rFont val="WenQuanYi Zen Hei"/>
        <family val="2"/>
      </rPr>
      <t xml:space="preserve">，改以 </t>
    </r>
    <r>
      <rPr>
        <sz val="10"/>
        <color rgb="FF0000FF"/>
        <rFont val="Arial"/>
        <family val="0"/>
        <charset val="1"/>
      </rPr>
      <t xml:space="preserve">WebFetch </t>
    </r>
    <r>
      <rPr>
        <sz val="10"/>
        <color rgb="FF0000FF"/>
        <rFont val="WenQuanYi Zen Hei"/>
        <family val="2"/>
      </rPr>
      <t xml:space="preserve">讀成，引文與搜尋結果同句）｜口徑＝</t>
    </r>
    <r>
      <rPr>
        <sz val="10"/>
        <color rgb="FF0000FF"/>
        <rFont val="Arial"/>
        <family val="0"/>
        <charset val="1"/>
      </rPr>
      <t xml:space="preserve">DLC-2 </t>
    </r>
    <r>
      <rPr>
        <sz val="10"/>
        <color rgb="FF0000FF"/>
        <rFont val="WenQuanYi Zen Hei"/>
        <family val="2"/>
      </rPr>
      <t xml:space="preserve">液冷堆疊每機架設計容量，不是機架實測功率｜兩來源同為 </t>
    </r>
    <r>
      <rPr>
        <sz val="10"/>
        <color rgb="FF0000FF"/>
        <rFont val="Arial"/>
        <family val="0"/>
        <charset val="1"/>
      </rPr>
      <t xml:space="preserve">227 </t>
    </r>
    <r>
      <rPr>
        <sz val="10"/>
        <color rgb="FF0000FF"/>
        <rFont val="WenQuanYi Zen Hei"/>
        <family val="2"/>
      </rPr>
      <t xml:space="preserve">可能同源於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WenQuanYi Zen Hei"/>
        <family val="2"/>
      </rPr>
      <t xml:space="preserve">參考設計，獨立性未確認｜立場：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WenQuanYi Zen Hei"/>
        <family val="2"/>
      </rPr>
      <t xml:space="preserve">（系統廠）</t>
    </r>
  </si>
  <si>
    <t xml:space="preserve">E195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</si>
  <si>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WenQuanYi Zen Hei"/>
        <family val="2"/>
      </rPr>
      <t xml:space="preserve">機架功率：</t>
    </r>
    <r>
      <rPr>
        <sz val="10"/>
        <color rgb="FF0000FF"/>
        <rFont val="Arial"/>
        <family val="0"/>
        <charset val="1"/>
      </rPr>
      <t xml:space="preserve">TDP 132 kW nominal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</si>
  <si>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https://newsletter.semianalysis.com/p/gb200-hardware-architecture-and-component</t>
    </r>
  </si>
  <si>
    <r>
      <rPr>
        <sz val="10"/>
        <color rgb="FF0000FF"/>
        <rFont val="Arial"/>
        <family val="0"/>
        <charset val="1"/>
      </rPr>
      <t xml:space="preserve">Spec_Rack D8</t>
    </r>
    <r>
      <rPr>
        <sz val="10"/>
        <color rgb="FF0000FF"/>
        <rFont val="WenQuanYi Zen Hei"/>
        <family val="2"/>
      </rPr>
      <t xml:space="preserve">（低 </t>
    </r>
    <r>
      <rPr>
        <sz val="10"/>
        <color rgb="FF0000FF"/>
        <rFont val="Arial"/>
        <family val="0"/>
        <charset val="1"/>
      </rPr>
      <t xml:space="preserve">120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D9</t>
    </r>
    <r>
      <rPr>
        <sz val="10"/>
        <color rgb="FF0000FF"/>
        <rFont val="WenQuanYi Zen Hei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</si>
  <si>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120–130 kW/</t>
    </r>
    <r>
      <rPr>
        <sz val="10"/>
        <color rgb="FF0000FF"/>
        <rFont val="WenQuanYi Zen Hei"/>
        <family val="2"/>
      </rPr>
      <t xml:space="preserve">架（基準 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</si>
  <si>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132 kW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TDP nominal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</si>
  <si>
    <r>
      <rPr>
        <sz val="10"/>
        <color rgb="FF0000FF"/>
        <rFont val="WenQuanYi Zen Hei"/>
        <family val="2"/>
      </rPr>
      <t xml:space="preserve">採納（工作單 </t>
    </r>
    <r>
      <rPr>
        <sz val="10"/>
        <color rgb="FF0000FF"/>
        <rFont val="Arial"/>
        <family val="0"/>
        <charset val="1"/>
      </rPr>
      <t xml:space="preserve">v5.18 G2</t>
    </r>
    <r>
      <rPr>
        <sz val="10"/>
        <color rgb="FF0000FF"/>
        <rFont val="WenQuanYi Zen Hei"/>
        <family val="2"/>
      </rPr>
      <t xml:space="preserve">；升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級）</t>
    </r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</si>
  <si>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WenQuanYi Zen Hei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WenQuanYi Zen Hei"/>
        <family val="2"/>
      </rPr>
      <t xml:space="preserve">；工作單 </t>
    </r>
    <r>
      <rPr>
        <sz val="10"/>
        <color rgb="FF0000FF"/>
        <rFont val="Arial"/>
        <family val="0"/>
        <charset val="1"/>
      </rPr>
      <t xml:space="preserve">r2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2.2 </t>
    </r>
    <r>
      <rPr>
        <sz val="10"/>
        <color rgb="FF0000FF"/>
        <rFont val="WenQuanYi Zen Hei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G2 </t>
    </r>
    <r>
      <rPr>
        <sz val="10"/>
        <color rgb="FF0000FF"/>
        <rFont val="WenQuanYi Zen Hei"/>
        <family val="2"/>
      </rPr>
      <t xml:space="preserve">所述；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WenQuanYi Zen Hei"/>
        <family val="2"/>
      </rPr>
      <t xml:space="preserve">未獨立讀，</t>
    </r>
    <r>
      <rPr>
        <sz val="10"/>
        <color rgb="FF0000FF"/>
        <rFont val="Arial"/>
        <family val="0"/>
        <charset val="1"/>
      </rPr>
      <t xml:space="preserve">hpe.com </t>
    </r>
    <r>
      <rPr>
        <sz val="10"/>
        <color rgb="FF0000FF"/>
        <rFont val="WenQuanYi Zen Hei"/>
        <family val="2"/>
      </rPr>
      <t xml:space="preserve">被出口政策擋）；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 120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123.6 kW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1d </t>
    </r>
    <r>
      <rPr>
        <sz val="10"/>
        <color rgb="FF0000FF"/>
        <rFont val="WenQuanYi Zen Hei"/>
        <family val="2"/>
      </rPr>
      <t xml:space="preserve">讀取，二手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級）｜</t>
    </r>
    <r>
      <rPr>
        <sz val="10"/>
        <color rgb="FF0000FF"/>
        <rFont val="Arial"/>
        <family val="0"/>
        <charset val="1"/>
      </rPr>
      <t xml:space="preserve">EDPp 192 kW </t>
    </r>
    <r>
      <rPr>
        <sz val="10"/>
        <color rgb="FF0000FF"/>
        <rFont val="WenQuanYi Zen Hei"/>
        <family val="2"/>
      </rPr>
      <t xml:space="preserve">為電氣設計尖峰口徑，只登錄不採用（見 </t>
    </r>
    <r>
      <rPr>
        <sz val="10"/>
        <color rgb="FF0000FF"/>
        <rFont val="Arial"/>
        <family val="0"/>
        <charset val="1"/>
      </rPr>
      <t xml:space="preserve">DB_Evidence</t>
    </r>
    <r>
      <rPr>
        <sz val="10"/>
        <color rgb="FF0000FF"/>
        <rFont val="WenQuanYi Zen Hei"/>
        <family val="2"/>
      </rPr>
      <t xml:space="preserve">「已讀，未採用」列）｜立場：</t>
    </r>
    <r>
      <rPr>
        <sz val="10"/>
        <color rgb="FF0000FF"/>
        <rFont val="Arial"/>
        <family val="0"/>
        <charset val="1"/>
      </rPr>
      <t xml:space="preserve">HPE </t>
    </r>
    <r>
      <rPr>
        <sz val="10"/>
        <color rgb="FF0000FF"/>
        <rFont val="WenQuanYi Zen Hei"/>
        <family val="2"/>
      </rPr>
      <t xml:space="preserve">為系統廠（利害關係方）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</si>
  <si>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130→132</t>
    </r>
    <r>
      <rPr>
        <sz val="10"/>
        <color rgb="FF000000"/>
        <rFont val="WenQuanYi Zen Hei"/>
        <family val="2"/>
      </rPr>
      <t xml:space="preserve">）</t>
    </r>
  </si>
  <si>
    <t xml:space="preserve">E196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</si>
  <si>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WenQuanYi Zen Hei"/>
        <family val="2"/>
      </rPr>
      <t xml:space="preserve">伺服器價格：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WenQuanYi Zen Hei"/>
        <family val="2"/>
      </rPr>
      <t xml:space="preserve">估計約 </t>
    </r>
    <r>
      <rPr>
        <sz val="10"/>
        <color rgb="FF0000FF"/>
        <rFont val="Arial"/>
        <family val="0"/>
        <charset val="1"/>
      </rPr>
      <t xml:space="preserve">190K</t>
    </r>
    <r>
      <rPr>
        <sz val="10"/>
        <color rgb="FF0000FF"/>
        <rFont val="WenQuanYi Zen Hei"/>
        <family val="2"/>
      </rPr>
      <t xml:space="preserve">（僅伺服器）、約 </t>
    </r>
    <r>
      <rPr>
        <sz val="10"/>
        <color rgb="FF0000FF"/>
        <rFont val="Arial"/>
        <family val="0"/>
        <charset val="1"/>
      </rPr>
      <t xml:space="preserve">250K</t>
    </r>
    <r>
      <rPr>
        <sz val="10"/>
        <color rgb="FF0000FF"/>
        <rFont val="WenQuanYi Zen Hei"/>
        <family val="2"/>
      </rPr>
      <t xml:space="preserve">（含儲存與網路）；</t>
    </r>
    <r>
      <rPr>
        <sz val="10"/>
        <color rgb="FF0000FF"/>
        <rFont val="Arial"/>
        <family val="0"/>
        <charset val="1"/>
      </rPr>
      <t xml:space="preserve">Newegg HGX </t>
    </r>
    <r>
      <rPr>
        <sz val="10"/>
        <color rgb="FF0000FF"/>
        <rFont val="WenQuanYi Zen Hei"/>
        <family val="2"/>
      </rPr>
      <t xml:space="preserve">掛牌 </t>
    </r>
    <r>
      <rPr>
        <sz val="10"/>
        <color rgb="FF0000FF"/>
        <rFont val="Arial"/>
        <family val="0"/>
        <charset val="1"/>
      </rPr>
      <t xml:space="preserve">306,672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WenQuanYi Zen Hei"/>
        <family val="2"/>
      </rPr>
      <t xml:space="preserve">）</t>
    </r>
  </si>
  <si>
    <t xml:space="preserve">https://gpuperhour.com/blog/nvidia-h100-price</t>
  </si>
  <si>
    <t xml:space="preserve">二手（已讀）</t>
  </si>
  <si>
    <r>
      <rPr>
        <sz val="10"/>
        <color rgb="FF0000FF"/>
        <rFont val="Arial"/>
        <family val="0"/>
        <charset val="1"/>
      </rPr>
      <t xml:space="preserve">Spec_Rack C11:C13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WenQuanYi Zen Hei"/>
        <family val="2"/>
      </rPr>
      <t xml:space="preserve">機架價格；</t>
    </r>
    <r>
      <rPr>
        <sz val="10"/>
        <color rgb="FF0000FF"/>
        <rFont val="Arial"/>
        <family val="0"/>
        <charset val="1"/>
      </rPr>
      <t xml:space="preserve">C12 </t>
    </r>
    <r>
      <rPr>
        <sz val="10"/>
        <color rgb="FF0000FF"/>
        <rFont val="WenQuanYi Zen Hei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1.1 M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275 K×4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</si>
  <si>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WenQuanYi Zen Hei"/>
        <family val="2"/>
      </rPr>
      <t xml:space="preserve">台</t>
    </r>
  </si>
  <si>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190K</t>
    </r>
    <r>
      <rPr>
        <sz val="10"/>
        <color rgb="FF0000FF"/>
        <rFont val="WenQuanYi Zen Hei"/>
        <family val="2"/>
      </rPr>
      <t xml:space="preserve">（僅伺服器）；約 </t>
    </r>
    <r>
      <rPr>
        <sz val="10"/>
        <color rgb="FF0000FF"/>
        <rFont val="Arial"/>
        <family val="0"/>
        <charset val="1"/>
      </rPr>
      <t xml:space="preserve">250K</t>
    </r>
    <r>
      <rPr>
        <sz val="10"/>
        <color rgb="FF0000FF"/>
        <rFont val="WenQuanYi Zen Hei"/>
        <family val="2"/>
      </rPr>
      <t xml:space="preserve">（含儲存與網路）；</t>
    </r>
    <r>
      <rPr>
        <sz val="10"/>
        <color rgb="FF0000FF"/>
        <rFont val="Arial"/>
        <family val="0"/>
        <charset val="1"/>
      </rPr>
      <t xml:space="preserve">306,672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Newegg </t>
    </r>
    <r>
      <rPr>
        <sz val="10"/>
        <color rgb="FF0000FF"/>
        <rFont val="WenQuanYi Zen Hei"/>
        <family val="2"/>
      </rPr>
      <t xml:space="preserve">掛牌）</t>
    </r>
  </si>
  <si>
    <r>
      <rPr>
        <sz val="10"/>
        <color rgb="FF0000FF"/>
        <rFont val="WenQuanYi Zen Hei"/>
        <family val="2"/>
      </rPr>
      <t xml:space="preserve">採納（</t>
    </r>
    <r>
      <rPr>
        <sz val="10"/>
        <color rgb="FF0000FF"/>
        <rFont val="Arial"/>
        <family val="0"/>
        <charset val="1"/>
      </rPr>
      <t xml:space="preserve">G1 </t>
    </r>
    <r>
      <rPr>
        <sz val="10"/>
        <color rgb="FF0000FF"/>
        <rFont val="WenQuanYi Zen Hei"/>
        <family val="2"/>
      </rPr>
      <t xml:space="preserve">規則 </t>
    </r>
    <r>
      <rPr>
        <sz val="10"/>
        <color rgb="FF0000FF"/>
        <rFont val="Arial"/>
        <family val="0"/>
        <charset val="1"/>
      </rPr>
      <t xml:space="preserve">(ii) </t>
    </r>
    <r>
      <rPr>
        <sz val="10"/>
        <color rgb="FF0000FF"/>
        <rFont val="WenQuanYi Zen Hei"/>
        <family val="2"/>
      </rPr>
      <t xml:space="preserve">成立；維持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級）</t>
    </r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</si>
  <si>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WenQuanYi Zen Hei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2026-10-06</t>
    </r>
    <r>
      <rPr>
        <sz val="10"/>
        <color rgb="FF0000FF"/>
        <rFont val="WenQuanYi Zen Hei"/>
        <family val="2"/>
      </rPr>
      <t xml:space="preserve">；頁面日期 </t>
    </r>
    <r>
      <rPr>
        <sz val="10"/>
        <color rgb="FF0000FF"/>
        <rFont val="Arial"/>
        <family val="0"/>
        <charset val="1"/>
      </rPr>
      <t xml:space="preserve">2026-09-21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WenQuanYi Zen Hei"/>
        <family val="2"/>
      </rPr>
      <t xml:space="preserve">未獨立讀｜二手彙整頁，網站有聯盟行銷利益（利害關係方）｜已讀範圍 </t>
    </r>
    <r>
      <rPr>
        <sz val="10"/>
        <color rgb="FF0000FF"/>
        <rFont val="Arial"/>
        <family val="0"/>
        <charset val="1"/>
      </rPr>
      <t xml:space="preserve">190K–312K</t>
    </r>
    <r>
      <rPr>
        <sz val="10"/>
        <color rgb="FF0000FF"/>
        <rFont val="WenQuanYi Zen Hei"/>
        <family val="2"/>
      </rPr>
      <t xml:space="preserve">（含 </t>
    </r>
    <r>
      <rPr>
        <sz val="10"/>
        <color rgb="FF0000FF"/>
        <rFont val="Arial"/>
        <family val="0"/>
        <charset val="1"/>
      </rPr>
      <t xml:space="preserve">SHI </t>
    </r>
    <r>
      <rPr>
        <sz val="10"/>
        <color rgb="FF0000FF"/>
        <rFont val="WenQuanYi Zen Hei"/>
        <family val="2"/>
      </rPr>
      <t xml:space="preserve">德州政府合約標價 </t>
    </r>
    <r>
      <rPr>
        <sz val="10"/>
        <color rgb="FF0000FF"/>
        <rFont val="Arial"/>
        <family val="0"/>
        <charset val="1"/>
      </rPr>
      <t xml:space="preserve">$311,624</t>
    </r>
    <r>
      <rPr>
        <sz val="10"/>
        <color rgb="FF0000FF"/>
        <rFont val="WenQuanYi Zen Hei"/>
        <family val="2"/>
      </rPr>
      <t xml:space="preserve">），基準 </t>
    </r>
    <r>
      <rPr>
        <sz val="10"/>
        <color rgb="FF0000FF"/>
        <rFont val="Arial"/>
        <family val="0"/>
        <charset val="1"/>
      </rPr>
      <t xml:space="preserve">275K </t>
    </r>
    <r>
      <rPr>
        <sz val="10"/>
        <color rgb="FF0000FF"/>
        <rFont val="WenQuanYi Zen Hei"/>
        <family val="2"/>
      </rPr>
      <t xml:space="preserve">落在其內 → </t>
    </r>
    <r>
      <rPr>
        <sz val="10"/>
        <color rgb="FF0000FF"/>
        <rFont val="Arial"/>
        <family val="0"/>
        <charset val="1"/>
      </rPr>
      <t xml:space="preserve">G1 </t>
    </r>
    <r>
      <rPr>
        <sz val="10"/>
        <color rgb="FF0000FF"/>
        <rFont val="WenQuanYi Zen Hei"/>
        <family val="2"/>
      </rPr>
      <t xml:space="preserve">規則 </t>
    </r>
    <r>
      <rPr>
        <sz val="10"/>
        <color rgb="FF0000FF"/>
        <rFont val="Arial"/>
        <family val="0"/>
        <charset val="1"/>
      </rPr>
      <t xml:space="preserve">(ii) </t>
    </r>
    <r>
      <rPr>
        <sz val="10"/>
        <color rgb="FF0000FF"/>
        <rFont val="WenQuanYi Zen Hei"/>
        <family val="2"/>
      </rPr>
      <t xml:space="preserve">成立｜口徑：伺服器本體、含儲存與網路、掛牌價，各不相同</t>
    </r>
  </si>
  <si>
    <t xml:space="preserve">E197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</si>
  <si>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WenQuanYi Zen Hei"/>
        <family val="2"/>
      </rPr>
      <t xml:space="preserve">伺服器價格（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WenQuanYi Zen Hei"/>
        <family val="2"/>
      </rPr>
      <t xml:space="preserve">台</t>
    </r>
  </si>
  <si>
    <r>
      <rPr>
        <sz val="10"/>
        <color rgb="FF0000FF"/>
        <rFont val="WenQuanYi Zen Hei"/>
        <family val="2"/>
      </rPr>
      <t xml:space="preserve">搜尋彙整摘要未標明逐項出處（出現的頁面：</t>
    </r>
    <r>
      <rPr>
        <sz val="10"/>
        <color rgb="FF0000FF"/>
        <rFont val="Arial"/>
        <family val="0"/>
        <charset val="1"/>
      </rPr>
      <t xml:space="preserve">servermall.com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texas.gs.shi.com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vpsbenchmarks.com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cyfuture.cloud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electronics.alibaba.com</t>
    </r>
    <r>
      <rPr>
        <sz val="10"/>
        <color rgb="FF0000FF"/>
        <rFont val="WenQuanYi Zen Hei"/>
        <family val="2"/>
      </rPr>
      <t xml:space="preserve">），故不可為摘要指定網…</t>
    </r>
  </si>
  <si>
    <r>
      <rPr>
        <sz val="10"/>
        <color rgb="FF0000FF"/>
        <rFont val="Arial"/>
        <family val="0"/>
        <charset val="1"/>
      </rPr>
      <t xml:space="preserve">Spec_Rack C11</t>
    </r>
    <r>
      <rPr>
        <sz val="10"/>
        <color rgb="FF0000FF"/>
        <rFont val="WenQuanYi Zen Hei"/>
        <family val="2"/>
      </rPr>
      <t xml:space="preserve">（低）、</t>
    </r>
    <r>
      <rPr>
        <sz val="10"/>
        <color rgb="FF0000FF"/>
        <rFont val="Arial"/>
        <family val="0"/>
        <charset val="1"/>
      </rPr>
      <t xml:space="preserve">C12</t>
    </r>
    <r>
      <rPr>
        <sz val="10"/>
        <color rgb="FF0000FF"/>
        <rFont val="WenQuanYi Zen Hei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WenQuanYi Zen Hei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C13</t>
    </r>
    <r>
      <rPr>
        <sz val="10"/>
        <color rgb="FF0000FF"/>
        <rFont val="WenQuanYi Zen Hei"/>
        <family val="2"/>
      </rPr>
      <t xml:space="preserve">（高）</t>
    </r>
  </si>
  <si>
    <r>
      <rPr>
        <sz val="10"/>
        <color rgb="FF0000FF"/>
        <rFont val="WenQuanYi Zen Hei"/>
        <family val="2"/>
      </rPr>
      <t xml:space="preserve">搜尋摘要（其他來源）：</t>
    </r>
    <r>
      <rPr>
        <sz val="10"/>
        <color rgb="FF0000FF"/>
        <rFont val="Arial"/>
        <family val="0"/>
        <charset val="1"/>
      </rPr>
      <t xml:space="preserve">Arc Compute </t>
    </r>
    <r>
      <rPr>
        <sz val="10"/>
        <color rgb="FF0000FF"/>
        <rFont val="WenQuanYi Zen Hei"/>
        <family val="2"/>
      </rPr>
      <t xml:space="preserve">起價 </t>
    </r>
    <r>
      <rPr>
        <sz val="10"/>
        <color rgb="FF0000FF"/>
        <rFont val="Arial"/>
        <family val="0"/>
        <charset val="1"/>
      </rPr>
      <t xml:space="preserve">$210,000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B2B </t>
    </r>
    <r>
      <rPr>
        <sz val="10"/>
        <color rgb="FF0000FF"/>
        <rFont val="WenQuanYi Zen Hei"/>
        <family val="2"/>
      </rPr>
      <t xml:space="preserve">掛牌約 </t>
    </r>
    <r>
      <rPr>
        <sz val="10"/>
        <color rgb="FF0000FF"/>
        <rFont val="Arial"/>
        <family val="0"/>
        <charset val="1"/>
      </rPr>
      <t xml:space="preserve">$265,000 </t>
    </r>
    <r>
      <rPr>
        <sz val="10"/>
        <color rgb="FF0000FF"/>
        <rFont val="WenQuanYi Zen Hei"/>
        <family val="2"/>
      </rPr>
      <t xml:space="preserve">起；</t>
    </r>
    <r>
      <rPr>
        <sz val="10"/>
        <color rgb="FF0000FF"/>
        <rFont val="Arial"/>
        <family val="0"/>
        <charset val="1"/>
      </rPr>
      <t xml:space="preserve">ASUS 7U </t>
    </r>
    <r>
      <rPr>
        <sz val="10"/>
        <color rgb="FF0000FF"/>
        <rFont val="WenQuanYi Zen Hei"/>
        <family val="2"/>
      </rPr>
      <t xml:space="preserve">掛牌 </t>
    </r>
    <r>
      <rPr>
        <sz val="10"/>
        <color rgb="FF0000FF"/>
        <rFont val="Arial"/>
        <family val="0"/>
        <charset val="1"/>
      </rPr>
      <t xml:space="preserve">$311,599.87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$249,200.05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7U 8480+ </t>
    </r>
    <r>
      <rPr>
        <sz val="10"/>
        <color rgb="FF0000FF"/>
        <rFont val="WenQuanYi Zen Hei"/>
        <family val="2"/>
      </rPr>
      <t xml:space="preserve">配置 </t>
    </r>
    <r>
      <rPr>
        <sz val="10"/>
        <color rgb="FF0000FF"/>
        <rFont val="Arial"/>
        <family val="0"/>
        <charset val="1"/>
      </rPr>
      <t xml:space="preserve">$316,203.84</t>
    </r>
  </si>
  <si>
    <r>
      <rPr>
        <sz val="10"/>
        <color rgb="FF0000FF"/>
        <rFont val="WenQuanYi Zen Hei"/>
        <family val="2"/>
      </rPr>
      <t xml:space="preserve">採納（</t>
    </r>
    <r>
      <rPr>
        <sz val="10"/>
        <color rgb="FF0000FF"/>
        <rFont val="Arial"/>
        <family val="0"/>
        <charset val="1"/>
      </rPr>
      <t xml:space="preserve">G1 </t>
    </r>
    <r>
      <rPr>
        <sz val="10"/>
        <color rgb="FF0000FF"/>
        <rFont val="WenQuanYi Zen Hei"/>
        <family val="2"/>
      </rPr>
      <t xml:space="preserve">規則；二手已讀）</t>
    </r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</si>
  <si>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｜讀取日 </t>
    </r>
    <r>
      <rPr>
        <sz val="10"/>
        <color rgb="FF0000FF"/>
        <rFont val="Arial"/>
        <family val="0"/>
        <charset val="1"/>
      </rPr>
      <t xml:space="preserve">2026-10-05</t>
    </r>
    <r>
      <rPr>
        <sz val="10"/>
        <color rgb="FF0000FF"/>
        <rFont val="WenQuanYi Zen Hei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G1 </t>
    </r>
    <r>
      <rPr>
        <sz val="10"/>
        <color rgb="FF0000FF"/>
        <rFont val="WenQuanYi Zen Hei"/>
        <family val="2"/>
      </rPr>
      <t xml:space="preserve">規則；二手已讀｜摘錄：（無；</t>
    </r>
    <r>
      <rPr>
        <sz val="10"/>
        <color rgb="FF0000FF"/>
        <rFont val="Arial"/>
        <family val="0"/>
        <charset val="1"/>
      </rPr>
      <t xml:space="preserve">cyfuture.cloud </t>
    </r>
    <r>
      <rPr>
        <sz val="10"/>
        <color rgb="FF0000FF"/>
        <rFont val="WenQuanYi Zen Hei"/>
        <family val="2"/>
      </rPr>
      <t xml:space="preserve">出口政策擋；其餘頁面未讀）｜換算：</t>
    </r>
    <r>
      <rPr>
        <sz val="10"/>
        <color rgb="FF0000FF"/>
        <rFont val="Arial"/>
        <family val="0"/>
        <charset val="1"/>
      </rPr>
      <t xml:space="preserve">×4 </t>
    </r>
    <r>
      <rPr>
        <sz val="10"/>
        <color rgb="FF0000FF"/>
        <rFont val="WenQuanYi Zen Hei"/>
        <family val="2"/>
      </rPr>
      <t xml:space="preserve">台＝機架 </t>
    </r>
    <r>
      <rPr>
        <sz val="10"/>
        <color rgb="FF0000FF"/>
        <rFont val="Arial"/>
        <family val="0"/>
        <charset val="1"/>
      </rPr>
      <t xml:space="preserve">0.88–1.28 $M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備註）｜立場：經銷商掛牌價（銷售誘因）；口徑＝售價（掛牌），不含折讓｜區間型紀錄：至少一值讀到原文、基準在已讀範圍</t>
    </r>
  </si>
  <si>
    <t xml:space="preserve">經銷商掛牌價（銷售誘因）；口徑＝售價（…</t>
  </si>
  <si>
    <t xml:space="preserve">E198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</si>
  <si>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WenQuanYi Zen Hei"/>
        <family val="2"/>
      </rPr>
      <t xml:space="preserve">機架功率（</t>
    </r>
    <r>
      <rPr>
        <sz val="10"/>
        <color rgb="FF0000FF"/>
        <rFont val="Arial"/>
        <family val="0"/>
        <charset val="1"/>
      </rPr>
      <t xml:space="preserve">SRC_HW_005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WenQuanYi Zen Hei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WenQuanYi Zen Hei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WenQuanYi Zen Hei"/>
        <family val="2"/>
      </rPr>
      <t xml:space="preserve">架</t>
    </r>
  </si>
  <si>
    <t xml:space="preserve">https://www.wing.vc/content/how-much-does-an-nvidia-nvl72-cost</t>
  </si>
  <si>
    <r>
      <rPr>
        <sz val="10"/>
        <color rgb="FF0000FF"/>
        <rFont val="Arial"/>
        <family val="0"/>
        <charset val="1"/>
      </rPr>
      <t xml:space="preserve">Spec_Rack E8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E9</t>
    </r>
    <r>
      <rPr>
        <sz val="10"/>
        <color rgb="FF0000FF"/>
        <rFont val="WenQuanYi Zen Hei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137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WenQuanYi Zen Hei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E10</t>
    </r>
  </si>
  <si>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WenQuanYi Zen Hei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WenQuanYi Zen Hei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WenQuanYi Zen Hei"/>
        <family val="2"/>
      </rPr>
      <t xml:space="preserve">架</t>
    </r>
  </si>
  <si>
    <r>
      <rPr>
        <sz val="10"/>
        <color rgb="FF0000FF"/>
        <rFont val="WenQuanYi Zen Hei"/>
        <family val="2"/>
      </rPr>
      <t xml:space="preserve">搜尋摘要：</t>
    </r>
    <r>
      <rPr>
        <sz val="10"/>
        <color rgb="FF0000FF"/>
        <rFont val="Arial"/>
        <family val="0"/>
        <charset val="1"/>
      </rPr>
      <t xml:space="preserve">132 kW </t>
    </r>
    <r>
      <rPr>
        <sz val="10"/>
        <color rgb="FF0000FF"/>
        <rFont val="WenQuanYi Zen Hei"/>
        <family val="2"/>
      </rPr>
      <t xml:space="preserve">標稱 </t>
    </r>
    <r>
      <rPr>
        <sz val="10"/>
        <color rgb="FF0000FF"/>
        <rFont val="Arial"/>
        <family val="0"/>
        <charset val="1"/>
      </rPr>
      <t xml:space="preserve">TDP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EDPp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155 kW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</t>
    </r>
    <r>
      <rPr>
        <sz val="10"/>
        <color rgb="FF0000FF"/>
        <rFont val="WenQuanYi Zen Hei"/>
        <family val="2"/>
      </rPr>
      <t xml:space="preserve">類）；</t>
    </r>
    <r>
      <rPr>
        <sz val="10"/>
        <color rgb="FF0000FF"/>
        <rFont val="Arial"/>
        <family val="0"/>
        <charset val="1"/>
      </rPr>
      <t xml:space="preserve">TrendForce </t>
    </r>
    <r>
      <rPr>
        <sz val="10"/>
        <color rgb="FF0000FF"/>
        <rFont val="WenQuanYi Zen Hei"/>
        <family val="2"/>
      </rPr>
      <t xml:space="preserve">預估 </t>
    </r>
    <r>
      <rPr>
        <sz val="10"/>
        <color rgb="FF0000FF"/>
        <rFont val="Arial"/>
        <family val="0"/>
        <charset val="1"/>
      </rPr>
      <t xml:space="preserve">135–140 kW</t>
    </r>
    <r>
      <rPr>
        <sz val="10"/>
        <color rgb="FF0000FF"/>
        <rFont val="WenQuanYi Zen Hei"/>
        <family val="2"/>
      </rPr>
      <t xml:space="preserve">；另見 </t>
    </r>
    <r>
      <rPr>
        <sz val="10"/>
        <color rgb="FF0000FF"/>
        <rFont val="Arial"/>
        <family val="0"/>
        <charset val="1"/>
      </rPr>
      <t xml:space="preserve">132–140 kW </t>
    </r>
    <r>
      <rPr>
        <sz val="10"/>
        <color rgb="FF0000FF"/>
        <rFont val="WenQuanYi Zen Hei"/>
        <family val="2"/>
      </rPr>
      <t xml:space="preserve">區間</t>
    </r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</si>
  <si>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｜讀取日 </t>
    </r>
    <r>
      <rPr>
        <sz val="10"/>
        <color rgb="FF0000FF"/>
        <rFont val="Arial"/>
        <family val="0"/>
        <charset val="1"/>
      </rPr>
      <t xml:space="preserve">2026-10-05</t>
    </r>
    <r>
      <rPr>
        <sz val="10"/>
        <color rgb="FF0000FF"/>
        <rFont val="WenQuanYi Zen Hei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G1 </t>
    </r>
    <r>
      <rPr>
        <sz val="10"/>
        <color rgb="FF0000FF"/>
        <rFont val="WenQuanYi Zen Hei"/>
        <family val="2"/>
      </rPr>
      <t xml:space="preserve">規則；二手已讀｜摘錄：“</t>
    </r>
    <r>
      <rPr>
        <sz val="10"/>
        <color rgb="FF0000FF"/>
        <rFont val="Arial"/>
        <family val="0"/>
        <charset val="1"/>
      </rPr>
      <t xml:space="preserve">It requires 132–140 kW of power”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wing.vc </t>
    </r>
    <r>
      <rPr>
        <sz val="10"/>
        <color rgb="FF0000FF"/>
        <rFont val="WenQuanYi Zen Hei"/>
        <family val="2"/>
      </rPr>
      <t xml:space="preserve">摘要，</t>
    </r>
    <r>
      <rPr>
        <sz val="10"/>
        <color rgb="FF0000FF"/>
        <rFont val="Arial"/>
        <family val="0"/>
        <charset val="1"/>
      </rPr>
      <t xml:space="preserve">WebFetch </t>
    </r>
    <r>
      <rPr>
        <sz val="10"/>
        <color rgb="FF0000FF"/>
        <rFont val="WenQuanYi Zen Hei"/>
        <family val="2"/>
      </rPr>
      <t xml:space="preserve">回傳；原頁為 </t>
    </r>
    <r>
      <rPr>
        <sz val="10"/>
        <color rgb="FF0000FF"/>
        <rFont val="Arial"/>
        <family val="0"/>
        <charset val="1"/>
      </rPr>
      <t xml:space="preserve">Data Gravity </t>
    </r>
    <r>
      <rPr>
        <sz val="10"/>
        <color rgb="FF0000FF"/>
        <rFont val="WenQuanYi Zen Hei"/>
        <family val="2"/>
      </rPr>
      <t xml:space="preserve">文章轉載）｜換算：口徑同上：</t>
    </r>
    <r>
      <rPr>
        <sz val="10"/>
        <color rgb="FF0000FF"/>
        <rFont val="Arial"/>
        <family val="0"/>
        <charset val="1"/>
      </rPr>
      <t xml:space="preserve">TDP 132</t>
    </r>
    <r>
      <rPr>
        <sz val="10"/>
        <color rgb="FF0000FF"/>
        <rFont val="WenQuanYi Zen Hei"/>
        <family val="2"/>
      </rPr>
      <t xml:space="preserve">／預估 </t>
    </r>
    <r>
      <rPr>
        <sz val="10"/>
        <color rgb="FF0000FF"/>
        <rFont val="Arial"/>
        <family val="0"/>
        <charset val="1"/>
      </rPr>
      <t xml:space="preserve">135–140</t>
    </r>
    <r>
      <rPr>
        <sz val="10"/>
        <color rgb="FF0000FF"/>
        <rFont val="WenQuanYi Zen Hei"/>
        <family val="2"/>
      </rPr>
      <t xml:space="preserve">／尖峰 </t>
    </r>
    <r>
      <rPr>
        <sz val="10"/>
        <color rgb="FF0000FF"/>
        <rFont val="Arial"/>
        <family val="0"/>
        <charset val="1"/>
      </rPr>
      <t xml:space="preserve">155</t>
    </r>
    <r>
      <rPr>
        <sz val="10"/>
        <color rgb="FF0000FF"/>
        <rFont val="WenQuanYi Zen Hei"/>
        <family val="2"/>
      </rPr>
      <t xml:space="preserve">｜立場：</t>
    </r>
    <r>
      <rPr>
        <sz val="10"/>
        <color rgb="FF0000FF"/>
        <rFont val="Arial"/>
        <family val="0"/>
        <charset val="1"/>
      </rPr>
      <t xml:space="preserve">wing.vc</t>
    </r>
    <r>
      <rPr>
        <sz val="10"/>
        <color rgb="FF0000FF"/>
        <rFont val="WenQuanYi Zen Hei"/>
        <family val="2"/>
      </rPr>
      <t xml:space="preserve">（創投機構內容頁，非設備商；誘因＝內容行銷）。口徑未明（頁面未說 </t>
    </r>
    <r>
      <rPr>
        <sz val="10"/>
        <color rgb="FF0000FF"/>
        <rFont val="Arial"/>
        <family val="0"/>
        <charset val="1"/>
      </rPr>
      <t xml:space="preserve">TDP </t>
    </r>
    <r>
      <rPr>
        <sz val="10"/>
        <color rgb="FF0000FF"/>
        <rFont val="WenQuanYi Zen Hei"/>
        <family val="2"/>
      </rPr>
      <t xml:space="preserve">或最大）。搜尋摘要另稱 </t>
    </r>
    <r>
      <rPr>
        <sz val="10"/>
        <color rgb="FF0000FF"/>
        <rFont val="Arial"/>
        <family val="0"/>
        <charset val="1"/>
      </rPr>
      <t xml:space="preserve">TDP 135</t>
    </r>
    <r>
      <rPr>
        <sz val="10"/>
        <color rgb="FF0000FF"/>
        <rFont val="WenQuanYi Zen Hei"/>
        <family val="2"/>
      </rPr>
      <t xml:space="preserve">、峰值 </t>
    </r>
    <r>
      <rPr>
        <sz val="10"/>
        <color rgb="FF0000FF"/>
        <rFont val="Arial"/>
        <family val="0"/>
        <charset val="1"/>
      </rPr>
      <t xml:space="preserve">155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</t>
    </r>
    <r>
      <rPr>
        <sz val="10"/>
        <color rgb="FF0000FF"/>
        <rFont val="WenQuanYi Zen Hei"/>
        <family val="2"/>
      </rPr>
      <t xml:space="preserve">類），未讀。｜區間型紀錄：至少一值讀到原文、基準在已讀範圍</t>
    </r>
  </si>
  <si>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WenQuanYi Zen Hei"/>
        <family val="2"/>
      </rPr>
      <t xml:space="preserve">（創投機構內容頁，非設備…</t>
    </r>
  </si>
  <si>
    <t xml:space="preserve">E199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</si>
  <si>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WenQuanYi Zen Hei"/>
        <family val="2"/>
      </rPr>
      <t xml:space="preserve">機架價格（</t>
    </r>
    <r>
      <rPr>
        <sz val="10"/>
        <color rgb="FF0000FF"/>
        <rFont val="Arial"/>
        <family val="0"/>
        <charset val="1"/>
      </rPr>
      <t xml:space="preserve">SRC_HW_006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WenQuanYi Zen Hei"/>
        <family val="2"/>
      </rPr>
      <t xml:space="preserve">架</t>
    </r>
  </si>
  <si>
    <t xml:space="preserve">https://wccftech.com/morgan-stanley-nvidia-gb200-nvl72-racks-deliver-a-profit-margin-of-77-6-vs-64-for-amd-mi355x-while-entailing-nearly-the-same-tco/amp/</t>
  </si>
  <si>
    <r>
      <rPr>
        <sz val="10"/>
        <color rgb="FF0000FF"/>
        <rFont val="Arial"/>
        <family val="0"/>
        <charset val="1"/>
      </rPr>
      <t xml:space="preserve">Spec_Rack D11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D12</t>
    </r>
    <r>
      <rPr>
        <sz val="10"/>
        <color rgb="FF0000FF"/>
        <rFont val="WenQuanYi Zen Hei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3.1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WenQuanYi Zen Hei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</si>
  <si>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WenQuanYi Zen Hei"/>
        <family val="2"/>
      </rPr>
      <t xml:space="preserve">架</t>
    </r>
  </si>
  <si>
    <r>
      <rPr>
        <sz val="10"/>
        <color rgb="FF0000FF"/>
        <rFont val="WenQuanYi Zen Hei"/>
        <family val="2"/>
      </rPr>
      <t xml:space="preserve">搜尋摘要：</t>
    </r>
    <r>
      <rPr>
        <sz val="10"/>
        <color rgb="FF0000FF"/>
        <rFont val="Arial"/>
        <family val="0"/>
        <charset val="1"/>
      </rPr>
      <t xml:space="preserve">Wolfe Research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$3.0M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2026-01-30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Morgan Stanley $3.1M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SemiAnalysis $3.1M</t>
    </r>
    <r>
      <rPr>
        <sz val="10"/>
        <color rgb="FF0000FF"/>
        <rFont val="WenQuanYi Zen Hei"/>
        <family val="2"/>
      </rPr>
      <t xml:space="preserve">（裸機）、</t>
    </r>
    <r>
      <rPr>
        <sz val="10"/>
        <color rgb="FF0000FF"/>
        <rFont val="Arial"/>
        <family val="0"/>
        <charset val="1"/>
      </rPr>
      <t xml:space="preserve">$3.9M</t>
    </r>
    <r>
      <rPr>
        <sz val="10"/>
        <color rgb="FF0000FF"/>
        <rFont val="WenQuanYi Zen Hei"/>
        <family val="2"/>
      </rPr>
      <t xml:space="preserve">（含網路與儲存）</t>
    </r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</si>
  <si>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｜讀取日 </t>
    </r>
    <r>
      <rPr>
        <sz val="10"/>
        <color rgb="FF0000FF"/>
        <rFont val="Arial"/>
        <family val="0"/>
        <charset val="1"/>
      </rPr>
      <t xml:space="preserve">2026-10-05</t>
    </r>
    <r>
      <rPr>
        <sz val="10"/>
        <color rgb="FF0000FF"/>
        <rFont val="WenQuanYi Zen Hei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G1 </t>
    </r>
    <r>
      <rPr>
        <sz val="10"/>
        <color rgb="FF0000FF"/>
        <rFont val="WenQuanYi Zen Hei"/>
        <family val="2"/>
      </rPr>
      <t xml:space="preserve">規則；二手已讀｜摘錄：“</t>
    </r>
    <r>
      <rPr>
        <sz val="10"/>
        <color rgb="FF0000FF"/>
        <rFont val="Arial"/>
        <family val="0"/>
        <charset val="1"/>
      </rPr>
      <t xml:space="preserve">each such server rack currently costs around [$3.1 million]”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WebFetch </t>
    </r>
    <r>
      <rPr>
        <sz val="10"/>
        <color rgb="FF0000FF"/>
        <rFont val="WenQuanYi Zen Hei"/>
        <family val="2"/>
      </rPr>
      <t xml:space="preserve">回傳，括號為其標示）；來源歸屬：文中引用 </t>
    </r>
    <r>
      <rPr>
        <sz val="10"/>
        <color rgb="FF0000FF"/>
        <rFont val="Arial"/>
        <family val="0"/>
        <charset val="1"/>
      </rPr>
      <t xml:space="preserve">X </t>
    </r>
    <r>
      <rPr>
        <sz val="10"/>
        <color rgb="FF0000FF"/>
        <rFont val="WenQuanYi Zen Hei"/>
        <family val="2"/>
      </rPr>
      <t xml:space="preserve">貼文 </t>
    </r>
    <r>
      <rPr>
        <sz val="10"/>
        <color rgb="FF0000FF"/>
        <rFont val="Arial"/>
        <family val="0"/>
        <charset val="1"/>
      </rPr>
      <t xml:space="preserve">@firstadopter</t>
    </r>
    <r>
      <rPr>
        <sz val="10"/>
        <color rgb="FF0000FF"/>
        <rFont val="WenQuanYi Zen Hei"/>
        <family val="2"/>
      </rPr>
      <t xml:space="preserve">｜換算：口徑：裸機 </t>
    </r>
    <r>
      <rPr>
        <sz val="10"/>
        <color rgb="FF0000FF"/>
        <rFont val="Arial"/>
        <family val="0"/>
        <charset val="1"/>
      </rPr>
      <t xml:space="preserve">vs </t>
    </r>
    <r>
      <rPr>
        <sz val="10"/>
        <color rgb="FF0000FF"/>
        <rFont val="WenQuanYi Zen Hei"/>
        <family val="2"/>
      </rPr>
      <t xml:space="preserve">含網路儲存；本模型以裸機（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2.8–3.4</t>
    </r>
    <r>
      <rPr>
        <sz val="10"/>
        <color rgb="FF0000FF"/>
        <rFont val="WenQuanYi Zen Hei"/>
        <family val="2"/>
      </rPr>
      <t xml:space="preserve">）｜立場：</t>
    </r>
    <r>
      <rPr>
        <sz val="10"/>
        <color rgb="FF0000FF"/>
        <rFont val="Arial"/>
        <family val="0"/>
        <charset val="1"/>
      </rPr>
      <t xml:space="preserve">wccftech</t>
    </r>
    <r>
      <rPr>
        <sz val="10"/>
        <color rgb="FF0000FF"/>
        <rFont val="WenQuanYi Zen Hei"/>
        <family val="2"/>
      </rPr>
      <t xml:space="preserve">（媒體）轉述個人貼文，方法未公開；口徑「</t>
    </r>
    <r>
      <rPr>
        <sz val="10"/>
        <color rgb="FF0000FF"/>
        <rFont val="Arial"/>
        <family val="0"/>
        <charset val="1"/>
      </rPr>
      <t xml:space="preserve">currently costs</t>
    </r>
    <r>
      <rPr>
        <sz val="10"/>
        <color rgb="FF0000FF"/>
        <rFont val="WenQuanYi Zen Hei"/>
        <family val="2"/>
      </rPr>
      <t xml:space="preserve">」＝市價，成本或售價未明。｜區間型紀錄：至少一值讀到原文、基準在已讀範圍</t>
    </r>
  </si>
  <si>
    <r>
      <rPr>
        <sz val="10"/>
        <color rgb="FF000000"/>
        <rFont val="Arial"/>
        <family val="0"/>
        <charset val="1"/>
      </rPr>
      <t xml:space="preserve">wccftech</t>
    </r>
    <r>
      <rPr>
        <sz val="10"/>
        <color rgb="FF000000"/>
        <rFont val="WenQuanYi Zen Hei"/>
        <family val="2"/>
      </rPr>
      <t xml:space="preserve">（媒體）轉述個人貼文，…</t>
    </r>
  </si>
  <si>
    <t xml:space="preserve">E200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</si>
  <si>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WenQuanYi Zen Hei"/>
        <family val="2"/>
      </rPr>
      <t xml:space="preserve">採購單價（</t>
    </r>
    <r>
      <rPr>
        <sz val="10"/>
        <color rgb="FF0000FF"/>
        <rFont val="Arial"/>
        <family val="0"/>
        <charset val="1"/>
      </rPr>
      <t xml:space="preserve">SRC_HW_010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WenQuanYi Zen Hei"/>
        <family val="2"/>
      </rPr>
      <t xml:space="preserve">架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</si>
  <si>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WenQuanYi Zen Hei"/>
        <family val="2"/>
      </rPr>
      <t xml:space="preserve">（基準）</t>
    </r>
  </si>
  <si>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WenQuanYi Zen Hei"/>
        <family val="2"/>
      </rPr>
      <t xml:space="preserve">架</t>
    </r>
  </si>
  <si>
    <r>
      <rPr>
        <sz val="10"/>
        <color rgb="FF0000FF"/>
        <rFont val="WenQuanYi Zen Hei"/>
        <family val="2"/>
      </rPr>
      <t xml:space="preserve">搜尋摘要：最近採購單「</t>
    </r>
    <r>
      <rPr>
        <sz val="10"/>
        <color rgb="FF0000FF"/>
        <rFont val="Arial"/>
        <family val="0"/>
        <charset val="1"/>
      </rPr>
      <t xml:space="preserve">just under $5.0M</t>
    </r>
    <r>
      <rPr>
        <sz val="10"/>
        <color rgb="FF0000FF"/>
        <rFont val="WenQuanYi Zen Hei"/>
        <family val="2"/>
      </rPr>
      <t xml:space="preserve">」不含機架內 </t>
    </r>
    <r>
      <rPr>
        <sz val="10"/>
        <color rgb="FF0000FF"/>
        <rFont val="Arial"/>
        <family val="0"/>
        <charset val="1"/>
      </rPr>
      <t xml:space="preserve">CDU</t>
    </r>
    <r>
      <rPr>
        <sz val="10"/>
        <color rgb="FF0000FF"/>
        <rFont val="WenQuanYi Zen Hei"/>
        <family val="2"/>
      </rPr>
      <t xml:space="preserve">；加 </t>
    </r>
    <r>
      <rPr>
        <sz val="10"/>
        <color rgb="FF0000FF"/>
        <rFont val="Arial"/>
        <family val="0"/>
        <charset val="1"/>
      </rPr>
      <t xml:space="preserve">250 kW CDU </t>
    </r>
    <r>
      <rPr>
        <sz val="10"/>
        <color rgb="FF0000FF"/>
        <rFont val="WenQuanYi Zen Hei"/>
        <family val="2"/>
      </rPr>
      <t xml:space="preserve">約多 </t>
    </r>
    <r>
      <rPr>
        <sz val="10"/>
        <color rgb="FF0000FF"/>
        <rFont val="Arial"/>
        <family val="0"/>
        <charset val="1"/>
      </rPr>
      <t xml:space="preserve">$32K</t>
    </r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</si>
  <si>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｜讀取日 </t>
    </r>
    <r>
      <rPr>
        <sz val="10"/>
        <color rgb="FF0000FF"/>
        <rFont val="Arial"/>
        <family val="0"/>
        <charset val="1"/>
      </rPr>
      <t xml:space="preserve">2026-10-05</t>
    </r>
    <r>
      <rPr>
        <sz val="10"/>
        <color rgb="FF0000FF"/>
        <rFont val="WenQuanYi Zen Hei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G1 </t>
    </r>
    <r>
      <rPr>
        <sz val="10"/>
        <color rgb="FF0000FF"/>
        <rFont val="WenQuanYi Zen Hei"/>
        <family val="2"/>
      </rPr>
      <t xml:space="preserve">規則；二手已讀｜摘錄：“</t>
    </r>
    <r>
      <rPr>
        <sz val="10"/>
        <color rgb="FF0000FF"/>
        <rFont val="Arial"/>
        <family val="0"/>
        <charset val="1"/>
      </rPr>
      <t xml:space="preserve">recent purchase orders reviewed in August 2026 show GB300 NVL72 racks priced at ‘just under $5.0M’ without cooling, or ‘~$32K more’ with an in-rack CDU”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wing.vc </t>
    </r>
    <r>
      <rPr>
        <sz val="10"/>
        <color rgb="FF0000FF"/>
        <rFont val="WenQuanYi Zen Hei"/>
        <family val="2"/>
      </rPr>
      <t xml:space="preserve">摘要，</t>
    </r>
    <r>
      <rPr>
        <sz val="10"/>
        <color rgb="FF0000FF"/>
        <rFont val="Arial"/>
        <family val="0"/>
        <charset val="1"/>
      </rPr>
      <t xml:space="preserve">WebFetch </t>
    </r>
    <r>
      <rPr>
        <sz val="10"/>
        <color rgb="FF0000FF"/>
        <rFont val="WenQuanYi Zen Hei"/>
        <family val="2"/>
      </rPr>
      <t xml:space="preserve">回傳）；同頁：媒體估計 </t>
    </r>
    <r>
      <rPr>
        <sz val="10"/>
        <color rgb="FF0000FF"/>
        <rFont val="Arial"/>
        <family val="0"/>
        <charset val="1"/>
      </rPr>
      <t xml:space="preserve">$6–6.5M</t>
    </r>
    <r>
      <rPr>
        <sz val="10"/>
        <color rgb="FF0000FF"/>
        <rFont val="WenQuanYi Zen Hei"/>
        <family val="2"/>
      </rPr>
      <t xml:space="preserve">｜換算：現值 </t>
    </r>
    <r>
      <rPr>
        <sz val="10"/>
        <color rgb="FF0000FF"/>
        <rFont val="Arial"/>
        <family val="0"/>
        <charset val="1"/>
      </rPr>
      <t xml:space="preserve">5.0 </t>
    </r>
    <r>
      <rPr>
        <sz val="10"/>
        <color rgb="FF0000FF"/>
        <rFont val="WenQuanYi Zen Hei"/>
        <family val="2"/>
      </rPr>
      <t xml:space="preserve">對「略低於 </t>
    </r>
    <r>
      <rPr>
        <sz val="10"/>
        <color rgb="FF0000FF"/>
        <rFont val="Arial"/>
        <family val="0"/>
        <charset val="1"/>
      </rPr>
      <t xml:space="preserve">5.0</t>
    </r>
    <r>
      <rPr>
        <sz val="10"/>
        <color rgb="FF0000FF"/>
        <rFont val="WenQuanYi Zen Hei"/>
        <family val="2"/>
      </rPr>
      <t xml:space="preserve">」；差值未知（</t>
    </r>
    <r>
      <rPr>
        <sz val="10"/>
        <color rgb="FF0000FF"/>
        <rFont val="Arial"/>
        <family val="0"/>
        <charset val="1"/>
      </rPr>
      <t xml:space="preserve">&lt;1%</t>
    </r>
    <r>
      <rPr>
        <sz val="10"/>
        <color rgb="FF0000FF"/>
        <rFont val="WenQuanYi Zen Hei"/>
        <family val="2"/>
      </rPr>
      <t xml:space="preserve">～數</t>
    </r>
    <r>
      <rPr>
        <sz val="10"/>
        <color rgb="FF0000FF"/>
        <rFont val="Arial"/>
        <family val="0"/>
        <charset val="1"/>
      </rPr>
      <t xml:space="preserve">%</t>
    </r>
    <r>
      <rPr>
        <sz val="10"/>
        <color rgb="FF0000FF"/>
        <rFont val="WenQuanYi Zen Hei"/>
        <family val="2"/>
      </rPr>
      <t xml:space="preserve">）｜立場：</t>
    </r>
    <r>
      <rPr>
        <sz val="10"/>
        <color rgb="FF0000FF"/>
        <rFont val="Arial"/>
        <family val="0"/>
        <charset val="1"/>
      </rPr>
      <t xml:space="preserve">Data Gravity</t>
    </r>
    <r>
      <rPr>
        <sz val="10"/>
        <color rgb="FF0000FF"/>
        <rFont val="WenQuanYi Zen Hei"/>
        <family val="2"/>
      </rPr>
      <t xml:space="preserve">（經 </t>
    </r>
    <r>
      <rPr>
        <sz val="10"/>
        <color rgb="FF0000FF"/>
        <rFont val="Arial"/>
        <family val="0"/>
        <charset val="1"/>
      </rPr>
      <t xml:space="preserve">wing.vc</t>
    </r>
    <r>
      <rPr>
        <sz val="10"/>
        <color rgb="FF0000FF"/>
        <rFont val="WenQuanYi Zen Hei"/>
        <family val="2"/>
      </rPr>
      <t xml:space="preserve">）；採購單成交價，口徑＝售價（買方付款），不含 </t>
    </r>
    <r>
      <rPr>
        <sz val="10"/>
        <color rgb="FF0000FF"/>
        <rFont val="Arial"/>
        <family val="0"/>
        <charset val="1"/>
      </rPr>
      <t xml:space="preserve">CDU</t>
    </r>
    <r>
      <rPr>
        <sz val="10"/>
        <color rgb="FF0000FF"/>
        <rFont val="WenQuanYi Zen Hei"/>
        <family val="2"/>
      </rPr>
      <t xml:space="preserve">；原文 </t>
    </r>
    <r>
      <rPr>
        <sz val="10"/>
        <color rgb="FF0000FF"/>
        <rFont val="Arial"/>
        <family val="0"/>
        <charset val="1"/>
      </rPr>
      <t xml:space="preserve">datagravity.dev </t>
    </r>
    <r>
      <rPr>
        <sz val="10"/>
        <color rgb="FF0000FF"/>
        <rFont val="WenQuanYi Zen Hei"/>
        <family val="2"/>
      </rPr>
      <t xml:space="preserve">被出口政策擋，未讀｜區間型紀錄：至少一值讀到原文、基準在已讀範圍</t>
    </r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</si>
  <si>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wing…</t>
    </r>
  </si>
  <si>
    <t xml:space="preserve">E201</t>
  </si>
  <si>
    <r>
      <rPr>
        <sz val="10"/>
        <color rgb="FF0000FF"/>
        <rFont val="Arial"/>
        <family val="0"/>
        <charset val="1"/>
      </rPr>
      <t xml:space="preserve">VR200 NVL72 </t>
    </r>
    <r>
      <rPr>
        <sz val="10"/>
        <color rgb="FF0000FF"/>
        <rFont val="WenQuanYi Zen Hei"/>
        <family val="2"/>
      </rPr>
      <t xml:space="preserve">機架成本（</t>
    </r>
    <r>
      <rPr>
        <sz val="10"/>
        <color rgb="FF0000FF"/>
        <rFont val="Arial"/>
        <family val="0"/>
        <charset val="1"/>
      </rPr>
      <t xml:space="preserve">Morgan Stanley</t>
    </r>
    <r>
      <rPr>
        <sz val="10"/>
        <color rgb="FF0000FF"/>
        <rFont val="WenQuanYi Zen Hei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SRC_HW_015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WenQuanYi Zen Hei"/>
        <family val="2"/>
      </rPr>
      <t xml:space="preserve">架</t>
    </r>
  </si>
  <si>
    <t xml:space="preserve">https://wccftech.com/nvidia-vera-rubin-rack-hit-with-memory-price-surge-pushing-hbm4-lpddr5x-bill-to-2m-of-7-8m-total/amp/</t>
  </si>
  <si>
    <r>
      <rPr>
        <sz val="10"/>
        <color rgb="FF0000FF"/>
        <rFont val="Arial"/>
        <family val="0"/>
        <charset val="1"/>
      </rPr>
      <t xml:space="preserve">Spec_Rack F12</t>
    </r>
    <r>
      <rPr>
        <sz val="10"/>
        <color rgb="FF0000FF"/>
        <rFont val="WenQuanYi Zen Hei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</si>
  <si>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WenQuanYi Zen Hei"/>
        <family val="2"/>
      </rPr>
      <t xml:space="preserve">架</t>
    </r>
  </si>
  <si>
    <r>
      <rPr>
        <sz val="10"/>
        <color rgb="FF0000FF"/>
        <rFont val="WenQuanYi Zen Hei"/>
        <family val="2"/>
      </rPr>
      <t xml:space="preserve">搜尋摘要：</t>
    </r>
    <r>
      <rPr>
        <sz val="10"/>
        <color rgb="FF0000FF"/>
        <rFont val="Arial"/>
        <family val="0"/>
        <charset val="1"/>
      </rPr>
      <t xml:space="preserve">Morgan Stanley </t>
    </r>
    <r>
      <rPr>
        <sz val="10"/>
        <color rgb="FF0000FF"/>
        <rFont val="WenQuanYi Zen Hei"/>
        <family val="2"/>
      </rPr>
      <t xml:space="preserve">預期 </t>
    </r>
    <r>
      <rPr>
        <sz val="10"/>
        <color rgb="FF0000FF"/>
        <rFont val="Arial"/>
        <family val="0"/>
        <charset val="1"/>
      </rPr>
      <t xml:space="preserve">VR200 NVL72 </t>
    </r>
    <r>
      <rPr>
        <sz val="10"/>
        <color rgb="FF0000FF"/>
        <rFont val="WenQuanYi Zen Hei"/>
        <family val="2"/>
      </rPr>
      <t xml:space="preserve">每機架約 </t>
    </r>
    <r>
      <rPr>
        <sz val="10"/>
        <color rgb="FF0000FF"/>
        <rFont val="Arial"/>
        <family val="0"/>
        <charset val="1"/>
      </rPr>
      <t xml:space="preserve">$7.8M</t>
    </r>
    <r>
      <rPr>
        <sz val="10"/>
        <color rgb="FF0000FF"/>
        <rFont val="WenQuanYi Zen Hei"/>
        <family val="2"/>
      </rPr>
      <t xml:space="preserve">（記憶體約 </t>
    </r>
    <r>
      <rPr>
        <sz val="10"/>
        <color rgb="FF0000FF"/>
        <rFont val="Arial"/>
        <family val="0"/>
        <charset val="1"/>
      </rPr>
      <t xml:space="preserve">25%</t>
    </r>
    <r>
      <rPr>
        <sz val="10"/>
        <color rgb="FF0000FF"/>
        <rFont val="WenQuanYi Zen Hei"/>
        <family val="2"/>
      </rPr>
      <t xml:space="preserve">、約 </t>
    </r>
    <r>
      <rPr>
        <sz val="10"/>
        <color rgb="FF0000FF"/>
        <rFont val="Arial"/>
        <family val="0"/>
        <charset val="1"/>
      </rPr>
      <t xml:space="preserve">$2M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Bernstein </t>
    </r>
    <r>
      <rPr>
        <sz val="10"/>
        <color rgb="FF0000FF"/>
        <rFont val="WenQuanYi Zen Hei"/>
        <family val="2"/>
      </rPr>
      <t xml:space="preserve">認為可達 </t>
    </r>
    <r>
      <rPr>
        <sz val="10"/>
        <color rgb="FF0000FF"/>
        <rFont val="Arial"/>
        <family val="0"/>
        <charset val="1"/>
      </rPr>
      <t xml:space="preserve">$9.1M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HBM4 $53/GB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</si>
  <si>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｜讀取日 </t>
    </r>
    <r>
      <rPr>
        <sz val="10"/>
        <color rgb="FF0000FF"/>
        <rFont val="Arial"/>
        <family val="0"/>
        <charset val="1"/>
      </rPr>
      <t xml:space="preserve">2026-10-05</t>
    </r>
    <r>
      <rPr>
        <sz val="10"/>
        <color rgb="FF0000FF"/>
        <rFont val="WenQuanYi Zen Hei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G1 </t>
    </r>
    <r>
      <rPr>
        <sz val="10"/>
        <color rgb="FF0000FF"/>
        <rFont val="WenQuanYi Zen Hei"/>
        <family val="2"/>
      </rPr>
      <t xml:space="preserve">規則；二手已讀｜摘錄：“</t>
    </r>
    <r>
      <rPr>
        <sz val="10"/>
        <color rgb="FF0000FF"/>
        <rFont val="Arial"/>
        <family val="0"/>
        <charset val="1"/>
      </rPr>
      <t xml:space="preserve">a total estimated BOM of $7.8 million”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WebFetch </t>
    </r>
    <r>
      <rPr>
        <sz val="10"/>
        <color rgb="FF0000FF"/>
        <rFont val="WenQuanYi Zen Hei"/>
        <family val="2"/>
      </rPr>
      <t xml:space="preserve">回傳）；頁面稱估計出自 </t>
    </r>
    <r>
      <rPr>
        <sz val="10"/>
        <color rgb="FF0000FF"/>
        <rFont val="Arial"/>
        <family val="0"/>
        <charset val="1"/>
      </rPr>
      <t xml:space="preserve">Morgan Stanley Research</t>
    </r>
    <r>
      <rPr>
        <sz val="10"/>
        <color rgb="FF0000FF"/>
        <rFont val="WenQuanYi Zen Hei"/>
        <family val="2"/>
      </rPr>
      <t xml:space="preserve">；日期 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WenQuanYi Zen Hei"/>
        <family val="2"/>
      </rPr>
      <t xml:space="preserve">；頁面無 </t>
    </r>
    <r>
      <rPr>
        <sz val="10"/>
        <color rgb="FF0000FF"/>
        <rFont val="Arial"/>
        <family val="0"/>
        <charset val="1"/>
      </rPr>
      <t xml:space="preserve">Bernstein </t>
    </r>
    <r>
      <rPr>
        <sz val="10"/>
        <color rgb="FF0000FF"/>
        <rFont val="WenQuanYi Zen Hei"/>
        <family val="2"/>
      </rPr>
      <t xml:space="preserve">數字｜換算：</t>
    </r>
    <r>
      <rPr>
        <sz val="10"/>
        <color rgb="FF0000FF"/>
        <rFont val="Arial"/>
        <family val="0"/>
        <charset val="1"/>
      </rPr>
      <t xml:space="preserve">MS </t>
    </r>
    <r>
      <rPr>
        <sz val="10"/>
        <color rgb="FF0000FF"/>
        <rFont val="WenQuanYi Zen Hei"/>
        <family val="2"/>
      </rPr>
      <t xml:space="preserve">為「成本」（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登錄為「機架成本」）；</t>
    </r>
    <r>
      <rPr>
        <sz val="10"/>
        <color rgb="FF0000FF"/>
        <rFont val="Arial"/>
        <family val="0"/>
        <charset val="1"/>
      </rPr>
      <t xml:space="preserve">Bernstein </t>
    </r>
    <r>
      <rPr>
        <sz val="10"/>
        <color rgb="FF0000FF"/>
        <rFont val="WenQuanYi Zen Hei"/>
        <family val="2"/>
      </rPr>
      <t xml:space="preserve">為「售價」可能；口徑未必相同｜立場：</t>
    </r>
    <r>
      <rPr>
        <sz val="10"/>
        <color rgb="FF0000FF"/>
        <rFont val="Arial"/>
        <family val="0"/>
        <charset val="1"/>
      </rPr>
      <t xml:space="preserve">Morgan Stanley Research</t>
    </r>
    <r>
      <rPr>
        <sz val="10"/>
        <color rgb="FF0000FF"/>
        <rFont val="WenQuanYi Zen Hei"/>
        <family val="2"/>
      </rPr>
      <t xml:space="preserve">（賣方研究，方法未公開）。</t>
    </r>
    <r>
      <rPr>
        <sz val="10"/>
        <color rgb="FF0000FF"/>
        <rFont val="Arial"/>
        <family val="0"/>
        <charset val="1"/>
      </rPr>
      <t xml:space="preserve">**</t>
    </r>
    <r>
      <rPr>
        <sz val="10"/>
        <color rgb="FF0000FF"/>
        <rFont val="WenQuanYi Zen Hei"/>
        <family val="2"/>
      </rPr>
      <t xml:space="preserve">口徑＝</t>
    </r>
    <r>
      <rPr>
        <sz val="10"/>
        <color rgb="FF0000FF"/>
        <rFont val="Arial"/>
        <family val="0"/>
        <charset val="1"/>
      </rPr>
      <t xml:space="preserve">BOM</t>
    </r>
    <r>
      <rPr>
        <sz val="10"/>
        <color rgb="FF0000FF"/>
        <rFont val="WenQuanYi Zen Hei"/>
        <family val="2"/>
      </rPr>
      <t xml:space="preserve">（物料成本），不是售價</t>
    </r>
    <r>
      <rPr>
        <sz val="10"/>
        <color rgb="FF0000FF"/>
        <rFont val="Arial"/>
        <family val="0"/>
        <charset val="1"/>
      </rPr>
      <t xml:space="preserve">**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欄記「機架成本」一致，但 </t>
    </r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WenQuanYi Zen Hei"/>
        <family val="2"/>
      </rPr>
      <t xml:space="preserve">該列為「機架價格」。搜尋摘要另稱 “</t>
    </r>
    <r>
      <rPr>
        <sz val="10"/>
        <color rgb="FF0000FF"/>
        <rFont val="Arial"/>
        <family val="0"/>
        <charset val="1"/>
      </rPr>
      <t xml:space="preserve">cost hyperscale …</t>
    </r>
    <r>
      <rPr>
        <sz val="10"/>
        <color rgb="FF0000FF"/>
        <rFont val="WenQuanYi Zen Hei"/>
        <family val="2"/>
      </rPr>
      <t xml:space="preserve">｜區間型紀錄：至少一值讀到原文、基準在已讀範圍</t>
    </r>
  </si>
  <si>
    <t xml:space="preserve">Morgan Stanley Rese…</t>
  </si>
  <si>
    <t xml:space="preserve">E202</t>
  </si>
  <si>
    <r>
      <rPr>
        <sz val="10"/>
        <color rgb="FF0000FF"/>
        <rFont val="Arial"/>
        <family val="0"/>
        <charset val="1"/>
      </rPr>
      <t xml:space="preserve">InferenceX GB300 V4-Pro @72 tok/s/user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WenQuanYi Zen Hei"/>
        <family val="2"/>
      </rPr>
      <t xml:space="preserve">）</t>
    </r>
  </si>
  <si>
    <t xml:space="preserve">https://inferencex.semianalysis.com/compare-per-dollar/deepseek-v4-b300-vs-gb300</t>
  </si>
  <si>
    <r>
      <rPr>
        <sz val="10"/>
        <color rgb="FF0000FF"/>
        <rFont val="Arial"/>
        <family val="0"/>
        <charset val="1"/>
      </rPr>
      <t xml:space="preserve">Calib C14:C17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D67:G67 η_d </t>
    </r>
    <r>
      <rPr>
        <sz val="10"/>
        <color rgb="FF0000FF"/>
        <rFont val="WenQuanYi Zen Hei"/>
        <family val="2"/>
      </rPr>
      <t xml:space="preserve">以此為可比</t>
    </r>
  </si>
  <si>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</si>
  <si>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WenQuanYi Zen Hei"/>
        <family val="2"/>
      </rPr>
      <t xml:space="preserve">頁面無 </t>
    </r>
    <r>
      <rPr>
        <sz val="10"/>
        <color rgb="FF0000FF"/>
        <rFont val="Arial"/>
        <family val="0"/>
        <charset val="1"/>
      </rPr>
      <t xml:space="preserve">9,384.4</t>
    </r>
    <r>
      <rPr>
        <sz val="10"/>
        <color rgb="FF0000FF"/>
        <rFont val="WenQuanYi Zen Hei"/>
        <family val="2"/>
      </rPr>
      <t xml:space="preserve">；頁面自身在其目標互動性（未明示，約 </t>
    </r>
    <r>
      <rPr>
        <sz val="10"/>
        <color rgb="FF0000FF"/>
        <rFont val="Arial"/>
        <family val="0"/>
        <charset val="1"/>
      </rPr>
      <t xml:space="preserve">70.5</t>
    </r>
    <r>
      <rPr>
        <sz val="10"/>
        <color rgb="FF0000FF"/>
        <rFont val="WenQuanYi Zen Hei"/>
        <family val="2"/>
      </rPr>
      <t xml:space="preserve">）顯示 </t>
    </r>
    <r>
      <rPr>
        <sz val="10"/>
        <color rgb="FF0000FF"/>
        <rFont val="Arial"/>
        <family val="0"/>
        <charset val="1"/>
      </rPr>
      <t xml:space="preserve">9,506.8</t>
    </r>
  </si>
  <si>
    <r>
      <rPr>
        <sz val="10"/>
        <color rgb="FF0000FF"/>
        <rFont val="WenQuanYi Zen Hei"/>
        <family val="2"/>
      </rPr>
      <t xml:space="preserve">採納（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WenQuanYi Zen Hei"/>
        <family val="2"/>
      </rPr>
      <t xml:space="preserve">規則；上限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級）</t>
    </r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</si>
  <si>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｜讀取日 </t>
    </r>
    <r>
      <rPr>
        <sz val="10"/>
        <color rgb="FF0000FF"/>
        <rFont val="Arial"/>
        <family val="0"/>
        <charset val="1"/>
      </rPr>
      <t xml:space="preserve">2026-10-05</t>
    </r>
    <r>
      <rPr>
        <sz val="10"/>
        <color rgb="FF0000FF"/>
        <rFont val="WenQuanYi Zen Hei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WenQuanYi Zen Hei"/>
        <family val="2"/>
      </rPr>
      <t xml:space="preserve">規則；上限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級｜摘錄：頁面資料列（</t>
    </r>
    <r>
      <rPr>
        <sz val="10"/>
        <color rgb="FF0000FF"/>
        <rFont val="Arial"/>
        <family val="0"/>
        <charset val="1"/>
      </rPr>
      <t xml:space="preserve">GB300 dynamo-trt mtp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ISL 8192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OSL 1024</t>
    </r>
    <r>
      <rPr>
        <sz val="10"/>
        <color rgb="FF0000FF"/>
        <rFont val="WenQuanYi Zen Hei"/>
        <family val="2"/>
      </rPr>
      <t xml:space="preserve">）：互動性 </t>
    </r>
    <r>
      <rPr>
        <sz val="10"/>
        <color rgb="FF0000FF"/>
        <rFont val="Arial"/>
        <family val="0"/>
        <charset val="1"/>
      </rPr>
      <t xml:space="preserve">74.26→9,097.2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dynamo-sglang mtp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68.27→9,746.1 tok/s/GPU</t>
    </r>
    <r>
      <rPr>
        <sz val="10"/>
        <color rgb="FF0000FF"/>
        <rFont val="WenQuanYi Zen Hei"/>
        <family val="2"/>
      </rPr>
      <t xml:space="preserve">｜換算：自行線性內插至 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9097.16+(74.263−72)/(74.263−68.267)×(9746.09−9097.16)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9,342.1</t>
    </r>
    <r>
      <rPr>
        <sz val="10"/>
        <color rgb="FF0000FF"/>
        <rFont val="WenQuanYi Zen Hei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0.45%</t>
    </r>
    <r>
      <rPr>
        <sz val="10"/>
        <color rgb="FF0000FF"/>
        <rFont val="WenQuanYi Zen Hei"/>
        <family val="2"/>
      </rPr>
      <t xml:space="preserve">）｜立場：利害關係方：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WenQuanYi Zen Hei"/>
        <family val="2"/>
      </rPr>
      <t xml:space="preserve">以訂閱與諮詢為業；</t>
    </r>
    <r>
      <rPr>
        <sz val="10"/>
        <color rgb="FF0000FF"/>
        <rFont val="Arial"/>
        <family val="0"/>
        <charset val="1"/>
      </rPr>
      <t xml:space="preserve">InferenceX </t>
    </r>
    <r>
      <rPr>
        <sz val="10"/>
        <color rgb="FF0000FF"/>
        <rFont val="WenQuanYi Zen Hei"/>
        <family val="2"/>
      </rPr>
      <t xml:space="preserve">在廠商捐贈硬體上執行（廠商有調校誘因）｜</t>
    </r>
    <r>
      <rPr>
        <sz val="10"/>
        <color rgb="FF0000FF"/>
        <rFont val="Arial"/>
        <family val="0"/>
        <charset val="1"/>
      </rPr>
      <t xml:space="preserve">H1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(i) </t>
    </r>
    <r>
      <rPr>
        <sz val="10"/>
        <color rgb="FF0000FF"/>
        <rFont val="WenQuanYi Zen Hei"/>
        <family val="2"/>
      </rPr>
      <t xml:space="preserve">已讀一手原始資料（頁面內嵌資料列與前端程式）、</t>
    </r>
    <r>
      <rPr>
        <sz val="10"/>
        <color rgb="FF0000FF"/>
        <rFont val="Arial"/>
        <family val="0"/>
        <charset val="1"/>
      </rPr>
      <t xml:space="preserve">(ii) </t>
    </r>
    <r>
      <rPr>
        <sz val="10"/>
        <color rgb="FF0000FF"/>
        <rFont val="WenQuanYi Zen Hei"/>
        <family val="2"/>
      </rPr>
      <t xml:space="preserve">已搜尋同口徑第二來源（見下一列）、</t>
    </r>
    <r>
      <rPr>
        <sz val="10"/>
        <color rgb="FF0000FF"/>
        <rFont val="Arial"/>
        <family val="0"/>
        <charset val="1"/>
      </rPr>
      <t xml:space="preserve">(iii) </t>
    </r>
    <r>
      <rPr>
        <sz val="10"/>
        <color rgb="FF0000FF"/>
        <rFont val="WenQuanYi Zen Hei"/>
        <family val="2"/>
      </rPr>
      <t xml:space="preserve">口徑與方法已寫明</t>
    </r>
  </si>
  <si>
    <t xml:space="preserve">E203</t>
  </si>
  <si>
    <r>
      <rPr>
        <sz val="10"/>
        <color rgb="FF0000FF"/>
        <rFont val="Arial"/>
        <family val="0"/>
        <charset val="1"/>
      </rPr>
      <t xml:space="preserve">InferenceX GB300 V4-Pro @130 tok/s/user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SRC_PERF_010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WenQuanYi Zen Hei"/>
        <family val="2"/>
      </rPr>
      <t xml:space="preserve">）</t>
    </r>
  </si>
  <si>
    <t xml:space="preserve">Calib D14:D17</t>
  </si>
  <si>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</si>
  <si>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WenQuanYi Zen Hei"/>
        <family val="2"/>
      </rPr>
      <t xml:space="preserve">頁面無 </t>
    </r>
    <r>
      <rPr>
        <sz val="10"/>
        <color rgb="FF0000FF"/>
        <rFont val="Arial"/>
        <family val="0"/>
        <charset val="1"/>
      </rPr>
      <t xml:space="preserve">3,473.9</t>
    </r>
    <r>
      <rPr>
        <sz val="10"/>
        <color rgb="FF0000FF"/>
        <rFont val="WenQuanYi Zen Hei"/>
        <family val="2"/>
      </rPr>
      <t xml:space="preserve">；頁面自身顯示 </t>
    </r>
    <r>
      <rPr>
        <sz val="10"/>
        <color rgb="FF0000FF"/>
        <rFont val="Arial"/>
        <family val="0"/>
        <charset val="1"/>
      </rPr>
      <t xml:space="preserve">3,506.7</t>
    </r>
    <r>
      <rPr>
        <sz val="10"/>
        <color rgb="FF0000FF"/>
        <rFont val="WenQuanYi Zen Hei"/>
        <family val="2"/>
      </rPr>
      <t xml:space="preserve">（目標互動性未明示）</t>
    </r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</si>
  <si>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｜讀取日 </t>
    </r>
    <r>
      <rPr>
        <sz val="10"/>
        <color rgb="FF0000FF"/>
        <rFont val="Arial"/>
        <family val="0"/>
        <charset val="1"/>
      </rPr>
      <t xml:space="preserve">2026-10-05</t>
    </r>
    <r>
      <rPr>
        <sz val="10"/>
        <color rgb="FF0000FF"/>
        <rFont val="WenQuanYi Zen Hei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WenQuanYi Zen Hei"/>
        <family val="2"/>
      </rPr>
      <t xml:space="preserve">規則；上限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級｜摘錄：頁面資料列（</t>
    </r>
    <r>
      <rPr>
        <sz val="10"/>
        <color rgb="FF0000FF"/>
        <rFont val="Arial"/>
        <family val="0"/>
        <charset val="1"/>
      </rPr>
      <t xml:space="preserve">GB300 mtp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ISL 8192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OSL 1024</t>
    </r>
    <r>
      <rPr>
        <sz val="10"/>
        <color rgb="FF0000FF"/>
        <rFont val="WenQuanYi Zen Hei"/>
        <family val="2"/>
      </rPr>
      <t xml:space="preserve">）：互動性 </t>
    </r>
    <r>
      <rPr>
        <sz val="10"/>
        <color rgb="FF0000FF"/>
        <rFont val="Arial"/>
        <family val="0"/>
        <charset val="1"/>
      </rPr>
      <t xml:space="preserve">136.3→3,055.6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sglang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118.3→4,056.1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trt</t>
    </r>
    <r>
      <rPr>
        <sz val="10"/>
        <color rgb="FF0000FF"/>
        <rFont val="WenQuanYi Zen Hei"/>
        <family val="2"/>
      </rPr>
      <t xml:space="preserve">）；頁面自身顯示 </t>
    </r>
    <r>
      <rPr>
        <sz val="10"/>
        <color rgb="FF0000FF"/>
        <rFont val="Arial"/>
        <family val="0"/>
        <charset val="1"/>
      </rPr>
      <t xml:space="preserve">3,506.7</t>
    </r>
    <r>
      <rPr>
        <sz val="10"/>
        <color rgb="FF0000FF"/>
        <rFont val="WenQuanYi Zen Hei"/>
        <family val="2"/>
      </rPr>
      <t xml:space="preserve">｜換算：沿前緣線性內插至 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3055.6+(136.29−130)/(136.29−118.29)×(4056.1−3055.6)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3,405.2</t>
    </r>
    <r>
      <rPr>
        <sz val="10"/>
        <color rgb="FF0000FF"/>
        <rFont val="WenQuanYi Zen Hei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2.0%</t>
    </r>
    <r>
      <rPr>
        <sz val="10"/>
        <color rgb="FF0000FF"/>
        <rFont val="WenQuanYi Zen Hei"/>
        <family val="2"/>
      </rPr>
      <t xml:space="preserve">）；頁面顯示值 </t>
    </r>
    <r>
      <rPr>
        <sz val="10"/>
        <color rgb="FF0000FF"/>
        <rFont val="Arial"/>
        <family val="0"/>
        <charset val="1"/>
      </rPr>
      <t xml:space="preserve">3,506.7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+0.9%</t>
    </r>
    <r>
      <rPr>
        <sz val="10"/>
        <color rgb="FF0000FF"/>
        <rFont val="WenQuanYi Zen Hei"/>
        <family val="2"/>
      </rPr>
      <t xml:space="preserve">）｜立場：同 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WenQuanYi Zen Hei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H1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(i) </t>
    </r>
    <r>
      <rPr>
        <sz val="10"/>
        <color rgb="FF0000FF"/>
        <rFont val="WenQuanYi Zen Hei"/>
        <family val="2"/>
      </rPr>
      <t xml:space="preserve">已讀一手原始資料（頁面內嵌資料列與前端程式）、</t>
    </r>
    <r>
      <rPr>
        <sz val="10"/>
        <color rgb="FF0000FF"/>
        <rFont val="Arial"/>
        <family val="0"/>
        <charset val="1"/>
      </rPr>
      <t xml:space="preserve">(ii) </t>
    </r>
    <r>
      <rPr>
        <sz val="10"/>
        <color rgb="FF0000FF"/>
        <rFont val="WenQuanYi Zen Hei"/>
        <family val="2"/>
      </rPr>
      <t xml:space="preserve">已搜尋同口徑第二來源（見下一列）、</t>
    </r>
    <r>
      <rPr>
        <sz val="10"/>
        <color rgb="FF0000FF"/>
        <rFont val="Arial"/>
        <family val="0"/>
        <charset val="1"/>
      </rPr>
      <t xml:space="preserve">(iii) </t>
    </r>
    <r>
      <rPr>
        <sz val="10"/>
        <color rgb="FF0000FF"/>
        <rFont val="WenQuanYi Zen Hei"/>
        <family val="2"/>
      </rPr>
      <t xml:space="preserve">口徑與方法已寫明</t>
    </r>
  </si>
  <si>
    <r>
      <rPr>
        <sz val="10"/>
        <color rgb="FF000000"/>
        <rFont val="WenQuanYi Zen Hei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SRC_PERF_009</t>
    </r>
  </si>
  <si>
    <t xml:space="preserve">E204</t>
  </si>
  <si>
    <r>
      <rPr>
        <sz val="10"/>
        <color rgb="FF0000FF"/>
        <rFont val="Arial"/>
        <family val="0"/>
        <charset val="1"/>
      </rPr>
      <t xml:space="preserve">InferenceX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WenQuanYi Zen Hei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GB300 V4-Pro</t>
    </r>
    <r>
      <rPr>
        <sz val="10"/>
        <color rgb="FF0000FF"/>
        <rFont val="WenQuanYi Zen Hei"/>
        <family val="2"/>
      </rPr>
      <t xml:space="preserve">：同口徑第二來源搜尋紀錄（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WenQuanYi Zen Hei"/>
        <family val="2"/>
      </rPr>
      <t xml:space="preserve">規則 </t>
    </r>
    <r>
      <rPr>
        <sz val="10"/>
        <color rgb="FF0000FF"/>
        <rFont val="Arial"/>
        <family val="0"/>
        <charset val="1"/>
      </rPr>
      <t xml:space="preserve">(ii)</t>
    </r>
    <r>
      <rPr>
        <sz val="10"/>
        <color rgb="FF0000FF"/>
        <rFont val="WenQuanYi Zen Hei"/>
        <family val="2"/>
      </rPr>
      <t xml:space="preserve">）</t>
    </r>
  </si>
  <si>
    <t xml:space="preserve">https://developer.nvidia.com/blog/nvidia-platform-delivers-lowest-token-cost-enabled-by-extreme-co-design/</t>
  </si>
  <si>
    <r>
      <rPr>
        <sz val="10"/>
        <color rgb="FF0000FF"/>
        <rFont val="Arial"/>
        <family val="0"/>
        <charset val="1"/>
      </rPr>
      <t xml:space="preserve">Calib C17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D17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010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</si>
  <si>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MLPerf Inference v6.0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GB300 NVL72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DeepSeek-R1</t>
    </r>
    <r>
      <rPr>
        <sz val="10"/>
        <color rgb="FF0000FF"/>
        <rFont val="WenQuanYi Zen Hei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Offline 9,821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Server 8,064 tok/s/GPU</t>
    </r>
  </si>
  <si>
    <r>
      <rPr>
        <sz val="10"/>
        <color rgb="FF0000FF"/>
        <rFont val="WenQuanYi Zen Hei"/>
        <family val="2"/>
      </rPr>
      <t xml:space="preserve">已讀，口徑不同，不作為第二來源（</t>
    </r>
    <r>
      <rPr>
        <sz val="10"/>
        <color rgb="FF0000FF"/>
        <rFont val="Arial"/>
        <family val="0"/>
        <charset val="1"/>
      </rPr>
      <t xml:space="preserve">H1 (ii) </t>
    </r>
    <r>
      <rPr>
        <sz val="10"/>
        <color rgb="FF0000FF"/>
        <rFont val="WenQuanYi Zen Hei"/>
        <family val="2"/>
      </rPr>
      <t xml:space="preserve">已記錄）</t>
    </r>
  </si>
  <si>
    <r>
      <rPr>
        <sz val="10"/>
        <color rgb="FF0000FF"/>
        <rFont val="WenQuanYi Zen Hei"/>
        <family val="2"/>
      </rPr>
      <t xml:space="preserve">查詢詞：「</t>
    </r>
    <r>
      <rPr>
        <sz val="10"/>
        <color rgb="FF0000FF"/>
        <rFont val="Arial"/>
        <family val="0"/>
        <charset val="1"/>
      </rPr>
      <t xml:space="preserve">MLPerf Inference v6.0 GB300 NVL72 DeepSeek tok/s/GPU</t>
    </r>
    <r>
      <rPr>
        <sz val="10"/>
        <color rgb="FF0000FF"/>
        <rFont val="WenQuanYi Zen Hei"/>
        <family val="2"/>
      </rPr>
      <t xml:space="preserve">」「</t>
    </r>
    <r>
      <rPr>
        <sz val="10"/>
        <color rgb="FF0000FF"/>
        <rFont val="Arial"/>
        <family val="0"/>
        <charset val="1"/>
      </rPr>
      <t xml:space="preserve">InferenceX GB300 V4-Pro 72 tok/s second source</t>
    </r>
    <r>
      <rPr>
        <sz val="10"/>
        <color rgb="FF0000FF"/>
        <rFont val="WenQuanYi Zen Hei"/>
        <family val="2"/>
      </rPr>
      <t xml:space="preserve">」；結果：</t>
    </r>
    <r>
      <rPr>
        <sz val="10"/>
        <color rgb="FF0000FF"/>
        <rFont val="Arial"/>
        <family val="0"/>
        <charset val="1"/>
      </rPr>
      <t xml:space="preserve">MLPerf </t>
    </r>
    <r>
      <rPr>
        <sz val="10"/>
        <color rgb="FF0000FF"/>
        <rFont val="WenQuanYi Zen Hei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WenQuanYi Zen Hei"/>
        <family val="2"/>
      </rPr>
      <t xml:space="preserve">模型（</t>
    </r>
    <r>
      <rPr>
        <sz val="10"/>
        <color rgb="FF0000FF"/>
        <rFont val="Arial"/>
        <family val="0"/>
        <charset val="1"/>
      </rPr>
      <t xml:space="preserve">37B </t>
    </r>
    <r>
      <rPr>
        <sz val="10"/>
        <color rgb="FF0000FF"/>
        <rFont val="WenQuanYi Zen Hei"/>
        <family val="2"/>
      </rPr>
      <t xml:space="preserve">啟用）非 </t>
    </r>
    <r>
      <rPr>
        <sz val="10"/>
        <color rgb="FF0000FF"/>
        <rFont val="Arial"/>
        <family val="0"/>
        <charset val="1"/>
      </rPr>
      <t xml:space="preserve">V4-Pro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49B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OSL </t>
    </r>
    <r>
      <rPr>
        <sz val="10"/>
        <color rgb="FF0000FF"/>
        <rFont val="WenQuanYi Zen Hei"/>
        <family val="2"/>
      </rPr>
      <t xml:space="preserve">設定不同、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WenQuanYi Zen Hei"/>
        <family val="2"/>
      </rPr>
      <t xml:space="preserve">為賣方且自行挑選配置，只作量級對照；無同口徑獨立第二來源｜依 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WenQuanYi Zen Hei"/>
        <family val="2"/>
      </rPr>
      <t xml:space="preserve">規則記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級並標 </t>
    </r>
    <r>
      <rPr>
        <sz val="10"/>
        <color rgb="FF0000FF"/>
        <rFont val="Arial"/>
        <family val="0"/>
        <charset val="1"/>
      </rPr>
      <t xml:space="preserve">W1</t>
    </r>
    <r>
      <rPr>
        <sz val="10"/>
        <color rgb="FF0000FF"/>
        <rFont val="WenQuanYi Zen Hei"/>
        <family val="2"/>
      </rPr>
      <t xml:space="preserve">「待第二來源」，不擋完成條件｜讀取者：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2026-10-05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</si>
  <si>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SRC_PERF_010</t>
    </r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</si>
  <si>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WenQuanYi Zen Hei"/>
        <family val="2"/>
      </rPr>
      <t xml:space="preserve">全注意力層比例：由 </t>
    </r>
    <r>
      <rPr>
        <sz val="10"/>
        <color rgb="FF0000FF"/>
        <rFont val="Arial"/>
        <family val="0"/>
        <charset val="1"/>
      </rPr>
      <t xml:space="preserve">config.json compress_ratios </t>
    </r>
    <r>
      <rPr>
        <sz val="10"/>
        <color rgb="FF0000FF"/>
        <rFont val="WenQuanYi Zen Hei"/>
        <family val="2"/>
      </rPr>
      <t xml:space="preserve">結構計算（</t>
    </r>
    <r>
      <rPr>
        <sz val="10"/>
        <color rgb="FF0000FF"/>
        <rFont val="Arial"/>
        <family val="0"/>
        <charset val="1"/>
      </rPr>
      <t xml:space="preserve">Flash 21/41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0.512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30/61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0.492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</si>
  <si>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</si>
  <si>
    <r>
      <rPr>
        <sz val="10"/>
        <color rgb="FF0000FF"/>
        <rFont val="Arial"/>
        <family val="0"/>
        <charset val="1"/>
      </rPr>
      <t xml:space="preserve">Arch C16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D16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</si>
  <si>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WenQuanYi Zen Hei"/>
        <family val="2"/>
      </rPr>
      <t xml:space="preserve">（約值，兩層級共用）</t>
    </r>
  </si>
  <si>
    <r>
      <rPr>
        <sz val="10"/>
        <color rgb="FF0000FF"/>
        <rFont val="Arial"/>
        <family val="0"/>
        <charset val="1"/>
      </rPr>
      <t xml:space="preserve">Flash 0.512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0.492</t>
    </r>
  </si>
  <si>
    <r>
      <rPr>
        <sz val="10"/>
        <color rgb="FF0000FF"/>
        <rFont val="WenQuanYi Zen Hei"/>
        <family val="2"/>
      </rPr>
      <t xml:space="preserve">採納（工作單 </t>
    </r>
    <r>
      <rPr>
        <sz val="10"/>
        <color rgb="FF0000FF"/>
        <rFont val="Arial"/>
        <family val="0"/>
        <charset val="1"/>
      </rPr>
      <t xml:space="preserve">v5.18 E3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</si>
  <si>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2026-10-05</t>
    </r>
    <r>
      <rPr>
        <sz val="10"/>
        <color rgb="FF0000FF"/>
        <rFont val="WenQuanYi Zen Hei"/>
        <family val="2"/>
      </rPr>
      <t xml:space="preserve">）｜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WenQuanYi Zen Hei"/>
        <family val="2"/>
      </rPr>
      <t xml:space="preserve">：壓縮比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WenQuanYi Zen Hei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128 </t>
    </r>
    <r>
      <rPr>
        <sz val="10"/>
        <color rgb="FF0000FF"/>
        <rFont val="WenQuanYi Zen Hei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20 </t>
    </r>
    <r>
      <rPr>
        <sz val="10"/>
        <color rgb="FF0000FF"/>
        <rFont val="WenQuanYi Zen Hei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0 </t>
    </r>
    <r>
      <rPr>
        <sz val="10"/>
        <color rgb="FF0000FF"/>
        <rFont val="WenQuanYi Zen Hei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層（共 </t>
    </r>
    <r>
      <rPr>
        <sz val="10"/>
        <color rgb="FF0000FF"/>
        <rFont val="Arial"/>
        <family val="0"/>
        <charset val="1"/>
      </rPr>
      <t xml:space="preserve">43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compress_ratios </t>
    </r>
    <r>
      <rPr>
        <sz val="10"/>
        <color rgb="FF0000FF"/>
        <rFont val="WenQuanYi Zen Hei"/>
        <family val="2"/>
      </rPr>
      <t xml:space="preserve">長度 </t>
    </r>
    <r>
      <rPr>
        <sz val="10"/>
        <color rgb="FF0000FF"/>
        <rFont val="Arial"/>
        <family val="0"/>
        <charset val="1"/>
      </rPr>
      <t xml:space="preserve">44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43</t>
    </r>
    <r>
      <rPr>
        <sz val="10"/>
        <color rgb="FF0000FF"/>
        <rFont val="WenQuanYi Zen Hei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MTP </t>
    </r>
    <r>
      <rPr>
        <sz val="10"/>
        <color rgb="FF0000FF"/>
        <rFont val="WenQuanYi Zen Hei"/>
        <family val="2"/>
      </rPr>
      <t xml:space="preserve">層，不計）；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30 </t>
    </r>
    <r>
      <rPr>
        <sz val="10"/>
        <color rgb="FF0000FF"/>
        <rFont val="WenQuanYi Zen Hei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128 </t>
    </r>
    <r>
      <rPr>
        <sz val="10"/>
        <color rgb="FF0000FF"/>
        <rFont val="WenQuanYi Zen Hei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31 </t>
    </r>
    <r>
      <rPr>
        <sz val="10"/>
        <color rgb="FF0000FF"/>
        <rFont val="WenQuanYi Zen Hei"/>
        <family val="2"/>
      </rPr>
      <t xml:space="preserve">層（共 </t>
    </r>
    <r>
      <rPr>
        <sz val="10"/>
        <color rgb="FF0000FF"/>
        <rFont val="Arial"/>
        <family val="0"/>
        <charset val="1"/>
      </rPr>
      <t xml:space="preserve">61</t>
    </r>
    <r>
      <rPr>
        <sz val="10"/>
        <color rgb="FF0000FF"/>
        <rFont val="WenQuanYi Zen Hei"/>
        <family val="2"/>
      </rPr>
      <t xml:space="preserve">）｜比例＝壓縮比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的層數</t>
    </r>
    <r>
      <rPr>
        <sz val="10"/>
        <color rgb="FF0000FF"/>
        <rFont val="Arial"/>
        <family val="0"/>
        <charset val="1"/>
      </rPr>
      <t xml:space="preserve">÷</t>
    </r>
    <r>
      <rPr>
        <sz val="10"/>
        <color rgb="FF0000FF"/>
        <rFont val="WenQuanYi Zen Hei"/>
        <family val="2"/>
      </rPr>
      <t xml:space="preserve">（壓縮比 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WenQuanYi Zen Hei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128 </t>
    </r>
    <r>
      <rPr>
        <sz val="10"/>
        <color rgb="FF0000FF"/>
        <rFont val="WenQuanYi Zen Hei"/>
        <family val="2"/>
      </rPr>
      <t xml:space="preserve">的層數）：</t>
    </r>
    <r>
      <rPr>
        <sz val="10"/>
        <color rgb="FF0000FF"/>
        <rFont val="Arial"/>
        <family val="0"/>
        <charset val="1"/>
      </rPr>
      <t xml:space="preserve">Flash 21/41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30/61 [Derived]</t>
    </r>
    <r>
      <rPr>
        <sz val="10"/>
        <color rgb="FF0000FF"/>
        <rFont val="WenQuanYi Zen Hei"/>
        <family val="2"/>
      </rPr>
      <t xml:space="preserve">｜立場：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WenQuanYi Zen Hei"/>
        <family val="2"/>
      </rPr>
      <t xml:space="preserve">自揭（利害關係方）</t>
    </r>
  </si>
  <si>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SRC_MOD_054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</si>
  <si>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WenQuanYi Zen Hei"/>
        <family val="2"/>
      </rPr>
      <t xml:space="preserve">（見歸因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</si>
  <si>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WenQuanYi Zen Hei"/>
        <family val="2"/>
      </rPr>
      <t xml:space="preserve">欄改單架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WenQuanYi Zen Hei"/>
        <family val="2"/>
      </rPr>
      <t xml:space="preserve">封裝：</t>
    </r>
    <r>
      <rPr>
        <sz val="10"/>
        <color rgb="FF0000FF"/>
        <rFont val="Arial"/>
        <family val="0"/>
        <charset val="1"/>
      </rPr>
      <t xml:space="preserve">NVL576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WenQuanYi Zen Hei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MGX NVL </t>
    </r>
    <r>
      <rPr>
        <sz val="10"/>
        <color rgb="FF0000FF"/>
        <rFont val="WenQuanYi Zen Hei"/>
        <family val="2"/>
      </rPr>
      <t xml:space="preserve">機架、每架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WenQuanYi Zen Hei"/>
        <family val="2"/>
      </rPr>
      <t xml:space="preserve">顆 </t>
    </r>
    <r>
      <rPr>
        <sz val="10"/>
        <color rgb="FF0000FF"/>
        <rFont val="Arial"/>
        <family val="0"/>
        <charset val="1"/>
      </rPr>
      <t xml:space="preserve">Rubin Ultra GPU</t>
    </r>
    <r>
      <rPr>
        <sz val="10"/>
        <color rgb="FF0000FF"/>
        <rFont val="WenQuanYi Zen Hei"/>
        <family val="2"/>
      </rPr>
      <t xml:space="preserve">、單一 </t>
    </r>
    <r>
      <rPr>
        <sz val="10"/>
        <color rgb="FF0000FF"/>
        <rFont val="Arial"/>
        <family val="0"/>
        <charset val="1"/>
      </rPr>
      <t xml:space="preserve">576 GPU NVLink </t>
    </r>
    <r>
      <rPr>
        <sz val="10"/>
        <color rgb="FF0000FF"/>
        <rFont val="WenQuanYi Zen Hei"/>
        <family val="2"/>
      </rPr>
      <t xml:space="preserve">域</t>
    </r>
  </si>
  <si>
    <t xml:space="preserve">https://developer.nvidia.com/blog/nvidia-vera-rubin-pod-seven-chips-five-rack-scale-systems-one-ai-supercomputer</t>
  </si>
  <si>
    <r>
      <rPr>
        <sz val="10"/>
        <color rgb="FF0000FF"/>
        <rFont val="Arial"/>
        <family val="0"/>
        <charset val="1"/>
      </rPr>
      <t xml:space="preserve">Spec_Rack G6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G28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G8–G13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 </t>
    </r>
    <r>
      <rPr>
        <sz val="10"/>
        <color rgb="FF0000FF"/>
        <rFont val="WenQuanYi Zen Hei"/>
        <family val="2"/>
      </rPr>
      <t xml:space="preserve">隨之改為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</si>
  <si>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WenQuanYi Zen Hei"/>
        <family val="2"/>
      </rPr>
      <t xml:space="preserve">封裝／架（</t>
    </r>
    <r>
      <rPr>
        <sz val="10"/>
        <color rgb="FF0000FF"/>
        <rFont val="Arial"/>
        <family val="0"/>
        <charset val="1"/>
      </rPr>
      <t xml:space="preserve">Kyber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</si>
  <si>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WenQuanYi Zen Hei"/>
        <family val="2"/>
      </rPr>
      <t xml:space="preserve">封裝／架；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WenQuanYi Zen Hei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576</t>
    </r>
  </si>
  <si>
    <r>
      <rPr>
        <sz val="10"/>
        <color rgb="FF0000FF"/>
        <rFont val="WenQuanYi Zen Hei"/>
        <family val="2"/>
      </rPr>
      <t xml:space="preserve">採納（工作單 </t>
    </r>
    <r>
      <rPr>
        <sz val="10"/>
        <color rgb="FF0000FF"/>
        <rFont val="Arial"/>
        <family val="0"/>
        <charset val="1"/>
      </rPr>
      <t xml:space="preserve">v5.18 2.3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F2–F5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</si>
  <si>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1b </t>
    </r>
    <r>
      <rPr>
        <sz val="10"/>
        <color rgb="FF0000FF"/>
        <rFont val="WenQuanYi Zen Hei"/>
        <family val="2"/>
      </rPr>
      <t xml:space="preserve">起，</t>
    </r>
    <r>
      <rPr>
        <sz val="10"/>
        <color rgb="FF0000FF"/>
        <rFont val="Arial"/>
        <family val="0"/>
        <charset val="1"/>
      </rPr>
      <t xml:space="preserve">2026-10-05</t>
    </r>
    <r>
      <rPr>
        <sz val="10"/>
        <color rgb="FF0000FF"/>
        <rFont val="WenQuanYi Zen Hei"/>
        <family val="2"/>
      </rPr>
      <t xml:space="preserve">）｜逐字：“</t>
    </r>
    <r>
      <rPr>
        <sz val="10"/>
        <color rgb="FF0000FF"/>
        <rFont val="Arial"/>
        <family val="0"/>
        <charset val="1"/>
      </rPr>
      <t xml:space="preserve">Vera Rubin Ultra NVL576 will combine eight separate MGX NVL racks, each with 72 Rubin Ultra GPUs … single 576-GPU NVLink domain”</t>
    </r>
    <r>
      <rPr>
        <sz val="10"/>
        <color rgb="FF0000FF"/>
        <rFont val="WenQuanYi Zen Hei"/>
        <family val="2"/>
      </rPr>
      <t xml:space="preserve">；“</t>
    </r>
    <r>
      <rPr>
        <sz val="10"/>
        <color rgb="FF0000FF"/>
        <rFont val="Arial"/>
        <family val="0"/>
        <charset val="1"/>
      </rPr>
      <t xml:space="preserve">Kyber NVL144 rack … double the NVLink domain per rack to 144 GPUs for the Feynman era”</t>
    </r>
    <r>
      <rPr>
        <sz val="10"/>
        <color rgb="FF0000FF"/>
        <rFont val="WenQuanYi Zen Hei"/>
        <family val="2"/>
      </rPr>
      <t xml:space="preserve">（不納入）｜「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WenQuanYi Zen Hei"/>
        <family val="2"/>
      </rPr>
      <t xml:space="preserve">」是封裝或 </t>
    </r>
    <r>
      <rPr>
        <sz val="10"/>
        <color rgb="FF0000FF"/>
        <rFont val="Arial"/>
        <family val="0"/>
        <charset val="1"/>
      </rPr>
      <t xml:space="preserve">die </t>
    </r>
    <r>
      <rPr>
        <sz val="10"/>
        <color rgb="FF0000FF"/>
        <rFont val="WenQuanYi Zen Hei"/>
        <family val="2"/>
      </rPr>
      <t xml:space="preserve">部落格未明載；推斷為封裝（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WenQuanYi Zen Hei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Kyber NVL144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WenQuanYi Zen Hei"/>
        <family val="2"/>
      </rPr>
      <t xml:space="preserve">封裝＝舊 </t>
    </r>
    <r>
      <rPr>
        <sz val="10"/>
        <color rgb="FF0000FF"/>
        <rFont val="Arial"/>
        <family val="0"/>
        <charset val="1"/>
      </rPr>
      <t xml:space="preserve">NVL576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576 die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Schneider </t>
    </r>
    <r>
      <rPr>
        <sz val="10"/>
        <color rgb="FF0000FF"/>
        <rFont val="WenQuanYi Zen Hei"/>
        <family val="2"/>
      </rPr>
      <t xml:space="preserve">稱 </t>
    </r>
    <r>
      <rPr>
        <sz val="10"/>
        <color rgb="FF0000FF"/>
        <rFont val="Arial"/>
        <family val="0"/>
        <charset val="1"/>
      </rPr>
      <t xml:space="preserve">Rubin Ultra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Kyber 576 GPU</t>
    </r>
    <r>
      <rPr>
        <sz val="10"/>
        <color rgb="FF0000FF"/>
        <rFont val="WenQuanYi Zen Hei"/>
        <family val="2"/>
      </rPr>
      <t xml:space="preserve">／架、</t>
    </r>
    <r>
      <rPr>
        <sz val="10"/>
        <color rgb="FF0000FF"/>
        <rFont val="Arial"/>
        <family val="0"/>
        <charset val="1"/>
      </rPr>
      <t xml:space="preserve">1–1.2 MW</t>
    </r>
    <r>
      <rPr>
        <sz val="10"/>
        <color rgb="FF0000FF"/>
        <rFont val="WenQuanYi Zen Hei"/>
        <family val="2"/>
      </rPr>
      <t xml:space="preserve">，與 </t>
    </r>
    <r>
      <rPr>
        <sz val="10"/>
        <color rgb="FF0000FF"/>
        <rFont val="Arial"/>
        <family val="0"/>
        <charset val="1"/>
      </rPr>
      <t xml:space="preserve">NVIDIA 2026-09 </t>
    </r>
    <r>
      <rPr>
        <sz val="10"/>
        <color rgb="FF0000FF"/>
        <rFont val="WenQuanYi Zen Hei"/>
        <family val="2"/>
      </rPr>
      <t xml:space="preserve">衝突，依 </t>
    </r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WenQuanYi Zen Hei"/>
        <family val="2"/>
      </rPr>
      <t xml:space="preserve">指示列較舊路線圖｜立場：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</si>
  <si>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SRC_HW_062</t>
    </r>
  </si>
  <si>
    <r>
      <rPr>
        <sz val="10"/>
        <color rgb="FF000000"/>
        <rFont val="Arial"/>
        <family val="0"/>
        <charset val="1"/>
      </rPr>
      <t xml:space="preserve">SRC_HW_013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</si>
  <si>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欄）、</t>
    </r>
    <r>
      <rPr>
        <sz val="10"/>
        <color rgb="FF000000"/>
        <rFont val="Arial"/>
        <family val="0"/>
        <charset val="1"/>
      </rPr>
      <t xml:space="preserve">L1_*</t>
    </r>
  </si>
  <si>
    <r>
      <rPr>
        <sz val="10"/>
        <color rgb="FF0000FF"/>
        <rFont val="Arial"/>
        <family val="0"/>
        <charset val="1"/>
      </rPr>
      <t xml:space="preserve">DGX Vera Rubin NVL72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 PFLOPS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 PFLOPS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WenQuanYi Zen Hei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 PFLOPS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WenQuanYi Zen Hei"/>
        <family val="2"/>
      </rPr>
      <t xml:space="preserve">）</t>
    </r>
  </si>
  <si>
    <t xml:space="preserve">https://www.nvidia.com/en-us/data-center/dgx-vera-rubin-nvl72/</t>
  </si>
  <si>
    <r>
      <rPr>
        <sz val="10"/>
        <color rgb="FF0000FF"/>
        <rFont val="Arial"/>
        <family val="0"/>
        <charset val="1"/>
      </rPr>
      <t xml:space="preserve">Spec_Rack G23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 </t>
    </r>
    <r>
      <rPr>
        <sz val="10"/>
        <color rgb="FF0000FF"/>
        <rFont val="WenQuanYi Zen Hei"/>
        <family val="2"/>
      </rPr>
      <t xml:space="preserve">依據）</t>
    </r>
  </si>
  <si>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2,520÷72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35 PF/GPU</t>
    </r>
    <r>
      <rPr>
        <sz val="10"/>
        <color rgb="FF0000FF"/>
        <rFont val="WenQuanYi Zen Hei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1,260÷72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WenQuanYi Zen Hei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WenQuanYi Zen Hei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Sparse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</si>
  <si>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WenQuanYi Zen Hei"/>
        <family val="2"/>
      </rPr>
      <t xml:space="preserve">採納（</t>
    </r>
    <r>
      <rPr>
        <sz val="10"/>
        <color rgb="FF0000FF"/>
        <rFont val="Arial"/>
        <family val="0"/>
        <charset val="1"/>
      </rPr>
      <t xml:space="preserve">Derived </t>
    </r>
    <r>
      <rPr>
        <sz val="10"/>
        <color rgb="FF0000FF"/>
        <rFont val="WenQuanYi Zen Hei"/>
        <family val="2"/>
      </rPr>
      <t xml:space="preserve">依據；工作單 </t>
    </r>
    <r>
      <rPr>
        <sz val="10"/>
        <color rgb="FF0000FF"/>
        <rFont val="Arial"/>
        <family val="0"/>
        <charset val="1"/>
      </rPr>
      <t xml:space="preserve">v5.18 2.3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</si>
  <si>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1c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2026-10-05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nvidia.com HTTP 200</t>
    </r>
    <r>
      <rPr>
        <sz val="10"/>
        <color rgb="FF0000FF"/>
        <rFont val="WenQuanYi Zen Hei"/>
        <family val="2"/>
      </rPr>
      <t xml:space="preserve">）｜註腳 “</t>
    </r>
    <r>
      <rPr>
        <sz val="10"/>
        <color rgb="FF0000FF"/>
        <rFont val="Arial"/>
        <family val="0"/>
        <charset val="1"/>
      </rPr>
      <t xml:space="preserve">Dense specification”</t>
    </r>
    <r>
      <rPr>
        <sz val="10"/>
        <color rgb="FF0000FF"/>
        <rFont val="WenQuanYi Zen Hei"/>
        <family val="2"/>
      </rPr>
      <t xml:space="preserve">／“</t>
    </r>
    <r>
      <rPr>
        <sz val="10"/>
        <color rgb="FF0000FF"/>
        <rFont val="Arial"/>
        <family val="0"/>
        <charset val="1"/>
      </rPr>
      <t xml:space="preserve">Sparse specification”</t>
    </r>
    <r>
      <rPr>
        <sz val="10"/>
        <color rgb="FF0000FF"/>
        <rFont val="WenQuanYi Zen Hei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WenQuanYi Zen Hei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4 die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Rubin 2 die</t>
    </r>
    <r>
      <rPr>
        <sz val="10"/>
        <color rgb="FF0000FF"/>
        <rFont val="WenQuanYi Zen Hei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G23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2×35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70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G40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2×17.5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35.0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2×50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100 [Derived]</t>
    </r>
    <r>
      <rPr>
        <sz val="10"/>
        <color rgb="FF0000FF"/>
        <rFont val="WenQuanYi Zen Hei"/>
        <family val="2"/>
      </rPr>
      <t xml:space="preserve">｜立場：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WenQuanYi Zen Hei"/>
        <family val="2"/>
      </rPr>
      <t xml:space="preserve">為賣方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</si>
  <si>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欄）</t>
    </r>
  </si>
  <si>
    <t xml:space="preserve">E208</t>
  </si>
  <si>
    <r>
      <rPr>
        <sz val="10"/>
        <color rgb="FF0000FF"/>
        <rFont val="Arial"/>
        <family val="0"/>
        <charset val="1"/>
      </rPr>
      <t xml:space="preserve">Copilot </t>
    </r>
    <r>
      <rPr>
        <sz val="10"/>
        <color rgb="FF0000FF"/>
        <rFont val="WenQuanYi Zen Hei"/>
        <family val="2"/>
      </rPr>
      <t xml:space="preserve">追蹤：每工作階段使用者輪中位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WenQuanYi Zen Hei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6.1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P90 15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LLM </t>
    </r>
    <r>
      <rPr>
        <sz val="10"/>
        <color rgb="FF0000FF"/>
        <rFont val="WenQuanYi Zen Hei"/>
        <family val="2"/>
      </rPr>
      <t xml:space="preserve">呼叫中位 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WenQuanYi Zen Hei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40.6</t>
    </r>
  </si>
  <si>
    <r>
      <rPr>
        <sz val="10"/>
        <color rgb="FF0000FF"/>
        <rFont val="Arial"/>
        <family val="0"/>
        <charset val="1"/>
      </rPr>
      <t xml:space="preserve">https://arxiv.org/abs/2608.00101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Agentic Coding in the Wild: Characterizing GitHub Copilot Traces at Production Scale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WenQuanYi Zen Hei"/>
        <family val="2"/>
      </rPr>
      <t xml:space="preserve">全文 </t>
    </r>
    <r>
      <rPr>
        <sz val="10"/>
        <color rgb="FF0000FF"/>
        <rFont val="Arial"/>
        <family val="0"/>
        <charset val="1"/>
      </rPr>
      <t xml:space="preserve">arxiv.org/html/2608.00101v1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</si>
  <si>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Workload 5</t>
    </r>
    <r>
      <rPr>
        <sz val="10"/>
        <color rgb="FF0000FF"/>
        <rFont val="WenQuanYi Zen Hei"/>
        <family val="2"/>
      </rPr>
      <t xml:space="preserve">（輪數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E5:G5 </t>
    </r>
    <r>
      <rPr>
        <sz val="10"/>
        <color rgb="FF0000FF"/>
        <rFont val="WenQuanYi Zen Hei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</si>
  <si>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30</t>
    </r>
  </si>
  <si>
    <r>
      <rPr>
        <sz val="10"/>
        <color rgb="FF0000FF"/>
        <rFont val="WenQuanYi Zen Hei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r3 I1</t>
    </r>
    <r>
      <rPr>
        <sz val="10"/>
        <color rgb="FF0000FF"/>
        <rFont val="WenQuanYi Zen Hei"/>
        <family val="2"/>
      </rPr>
      <t xml:space="preserve">）</t>
    </r>
  </si>
  <si>
    <t xml:space="preserve">已讀，已涵蓋（不改）</t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</si>
  <si>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Table 4</t>
    </r>
    <r>
      <rPr>
        <sz val="10"/>
        <color rgb="FF0000FF"/>
        <rFont val="WenQuanYi Zen Hei"/>
        <family val="2"/>
      </rPr>
      <t xml:space="preserve">｜單位對應：</t>
    </r>
    <r>
      <rPr>
        <sz val="10"/>
        <color rgb="FF0000FF"/>
        <rFont val="Arial"/>
        <family val="0"/>
        <charset val="1"/>
      </rPr>
      <t xml:space="preserve">Workload T </t>
    </r>
    <r>
      <rPr>
        <sz val="10"/>
        <color rgb="FF0000FF"/>
        <rFont val="WenQuanYi Zen Hei"/>
        <family val="2"/>
      </rPr>
      <t xml:space="preserve">以每次新輸入（使用者或工具結果）計一輪＝</t>
    </r>
    <r>
      <rPr>
        <sz val="10"/>
        <color rgb="FF0000FF"/>
        <rFont val="Arial"/>
        <family val="0"/>
        <charset val="1"/>
      </rPr>
      <t xml:space="preserve">LLM </t>
    </r>
    <r>
      <rPr>
        <sz val="10"/>
        <color rgb="FF0000FF"/>
        <rFont val="WenQuanYi Zen Hei"/>
        <family val="2"/>
      </rPr>
      <t xml:space="preserve">呼叫數；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WenQuanYi Zen Hei"/>
        <family val="2"/>
      </rPr>
      <t xml:space="preserve">『</t>
    </r>
    <r>
      <rPr>
        <sz val="10"/>
        <color rgb="FF0000FF"/>
        <rFont val="Arial"/>
        <family val="0"/>
        <charset val="1"/>
      </rPr>
      <t xml:space="preserve">LLM </t>
    </r>
    <r>
      <rPr>
        <sz val="10"/>
        <color rgb="FF0000FF"/>
        <rFont val="WenQuanYi Zen Hei"/>
        <family val="2"/>
      </rPr>
      <t xml:space="preserve">呼叫平均 </t>
    </r>
    <r>
      <rPr>
        <sz val="10"/>
        <color rgb="FF0000FF"/>
        <rFont val="Arial"/>
        <family val="0"/>
        <charset val="1"/>
      </rPr>
      <t xml:space="preserve">40.6</t>
    </r>
    <r>
      <rPr>
        <sz val="10"/>
        <color rgb="FF0000FF"/>
        <rFont val="WenQuanYi Zen Hei"/>
        <family val="2"/>
      </rPr>
      <t xml:space="preserve">』對應 </t>
    </r>
    <r>
      <rPr>
        <sz val="10"/>
        <color rgb="FF0000FF"/>
        <rFont val="Arial"/>
        <family val="0"/>
        <charset val="1"/>
      </rPr>
      <t xml:space="preserve">G </t>
    </r>
    <r>
      <rPr>
        <sz val="10"/>
        <color rgb="FF0000FF"/>
        <rFont val="WenQuanYi Zen Hei"/>
        <family val="2"/>
      </rPr>
      <t xml:space="preserve">欄（</t>
    </r>
    <r>
      <rPr>
        <sz val="10"/>
        <color rgb="FF0000FF"/>
        <rFont val="Arial"/>
        <family val="0"/>
        <charset val="1"/>
      </rPr>
      <t xml:space="preserve">Coding agent</t>
    </r>
    <r>
      <rPr>
        <sz val="10"/>
        <color rgb="FF0000FF"/>
        <rFont val="WenQuanYi Zen Hei"/>
        <family val="2"/>
      </rPr>
      <t xml:space="preserve">，區間 </t>
    </r>
    <r>
      <rPr>
        <sz val="10"/>
        <color rgb="FF0000FF"/>
        <rFont val="Arial"/>
        <family val="0"/>
        <charset val="1"/>
      </rPr>
      <t xml:space="preserve">15–60</t>
    </r>
    <r>
      <rPr>
        <sz val="10"/>
        <color rgb="FF0000FF"/>
        <rFont val="WenQuanYi Zen Hei"/>
        <family val="2"/>
      </rPr>
      <t xml:space="preserve">，已涵蓋）；『使用者輪中位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WenQuanYi Zen Hei"/>
        <family val="2"/>
      </rPr>
      <t xml:space="preserve">』單位不同，不套用；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F </t>
    </r>
    <r>
      <rPr>
        <sz val="10"/>
        <color rgb="FF0000FF"/>
        <rFont val="WenQuanYi Zen Hei"/>
        <family val="2"/>
      </rPr>
      <t xml:space="preserve">非 </t>
    </r>
    <r>
      <rPr>
        <sz val="10"/>
        <color rgb="FF0000FF"/>
        <rFont val="Arial"/>
        <family val="0"/>
        <charset val="1"/>
      </rPr>
      <t xml:space="preserve">coding </t>
    </r>
    <r>
      <rPr>
        <sz val="10"/>
        <color rgb="FF0000FF"/>
        <rFont val="WenQuanYi Zen Hei"/>
        <family val="2"/>
      </rPr>
      <t xml:space="preserve">工作負載｜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WenQuanYi Zen Hei"/>
        <family val="2"/>
      </rPr>
      <t xml:space="preserve">｜立場：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WenQuanYi Zen Hei"/>
        <family val="2"/>
      </rPr>
      <t xml:space="preserve">研究（中立偏利害）</t>
    </r>
  </si>
  <si>
    <t xml:space="preserve">—（區間與基準皆不改）</t>
  </si>
  <si>
    <t xml:space="preserve">中立偏利害</t>
  </si>
  <si>
    <t xml:space="preserve">E209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</si>
  <si>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WenQuanYi Zen Hei"/>
        <family val="2"/>
      </rPr>
      <t xml:space="preserve">快取命中率輪內平均約 </t>
    </r>
    <r>
      <rPr>
        <sz val="10"/>
        <color rgb="FF0000FF"/>
        <rFont val="Arial"/>
        <family val="0"/>
        <charset val="1"/>
      </rPr>
      <t xml:space="preserve">90%</t>
    </r>
    <r>
      <rPr>
        <sz val="10"/>
        <color rgb="FF0000FF"/>
        <rFont val="WenQuanYi Zen Hei"/>
        <family val="2"/>
      </rPr>
      <t xml:space="preserve">、跨輪邊界 </t>
    </r>
    <r>
      <rPr>
        <sz val="10"/>
        <color rgb="FF0000FF"/>
        <rFont val="Arial"/>
        <family val="0"/>
        <charset val="1"/>
      </rPr>
      <t xml:space="preserve">55%</t>
    </r>
    <r>
      <rPr>
        <sz val="10"/>
        <color rgb="FF0000FF"/>
        <rFont val="WenQuanYi Zen Hei"/>
        <family val="2"/>
      </rPr>
      <t xml:space="preserve">、呼叫層中位約 </t>
    </r>
    <r>
      <rPr>
        <sz val="10"/>
        <color rgb="FF0000FF"/>
        <rFont val="Arial"/>
        <family val="0"/>
        <charset val="1"/>
      </rPr>
      <t xml:space="preserve">98%</t>
    </r>
  </si>
  <si>
    <r>
      <rPr>
        <sz val="10"/>
        <color rgb="FF0000FF"/>
        <rFont val="Arial"/>
        <family val="0"/>
        <charset val="1"/>
      </rPr>
      <t xml:space="preserve">Workload 11</t>
    </r>
    <r>
      <rPr>
        <sz val="10"/>
        <color rgb="FF0000FF"/>
        <rFont val="WenQuanYi Zen Hei"/>
        <family val="2"/>
      </rPr>
      <t xml:space="preserve">（歷史快取命中率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E11:G11 </t>
    </r>
    <r>
      <rPr>
        <sz val="10"/>
        <color rgb="FF0000FF"/>
        <rFont val="WenQuanYi Zen Hei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</si>
  <si>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 </t>
    </r>
    <r>
      <rPr>
        <sz val="10"/>
        <color rgb="FF0000FF"/>
        <rFont val="WenQuanYi Zen Hei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0.7–0.95</t>
    </r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</si>
  <si>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｜單位對應：</t>
    </r>
    <r>
      <rPr>
        <sz val="10"/>
        <color rgb="FF0000FF"/>
        <rFont val="Arial"/>
        <family val="0"/>
        <charset val="1"/>
      </rPr>
      <t xml:space="preserve">T </t>
    </r>
    <r>
      <rPr>
        <sz val="10"/>
        <color rgb="FF0000FF"/>
        <rFont val="WenQuanYi Zen Hei"/>
        <family val="2"/>
      </rPr>
      <t xml:space="preserve">以呼叫計，相鄰呼叫多屬輪內（命中 </t>
    </r>
    <r>
      <rPr>
        <sz val="10"/>
        <color rgb="FF0000FF"/>
        <rFont val="Arial"/>
        <family val="0"/>
        <charset val="1"/>
      </rPr>
      <t xml:space="preserve">90–94%</t>
    </r>
    <r>
      <rPr>
        <sz val="10"/>
        <color rgb="FF0000FF"/>
        <rFont val="WenQuanYi Zen Hei"/>
        <family val="2"/>
      </rPr>
      <t xml:space="preserve">）；跨使用者輪 </t>
    </r>
    <r>
      <rPr>
        <sz val="10"/>
        <color rgb="FF0000FF"/>
        <rFont val="Arial"/>
        <family val="0"/>
        <charset val="1"/>
      </rPr>
      <t xml:space="preserve">55% </t>
    </r>
    <r>
      <rPr>
        <sz val="10"/>
        <color rgb="FF0000FF"/>
        <rFont val="WenQuanYi Zen Hei"/>
        <family val="2"/>
      </rPr>
      <t xml:space="preserve">約占 </t>
    </r>
    <r>
      <rPr>
        <sz val="10"/>
        <color rgb="FF0000FF"/>
        <rFont val="Arial"/>
        <family val="0"/>
        <charset val="1"/>
      </rPr>
      <t xml:space="preserve">40 </t>
    </r>
    <r>
      <rPr>
        <sz val="10"/>
        <color rgb="FF0000FF"/>
        <rFont val="WenQuanYi Zen Hei"/>
        <family val="2"/>
      </rPr>
      <t xml:space="preserve">次中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次，加權約 </t>
    </r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WenQuanYi Zen Hei"/>
        <family val="2"/>
      </rPr>
      <t xml:space="preserve">；現區間 </t>
    </r>
    <r>
      <rPr>
        <sz val="10"/>
        <color rgb="FF0000FF"/>
        <rFont val="Arial"/>
        <family val="0"/>
        <charset val="1"/>
      </rPr>
      <t xml:space="preserve">0.70–0.95 </t>
    </r>
    <r>
      <rPr>
        <sz val="10"/>
        <color rgb="FF0000FF"/>
        <rFont val="WenQuanYi Zen Hei"/>
        <family val="2"/>
      </rPr>
      <t xml:space="preserve">已涵蓋｜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WenQuanYi Zen Hei"/>
        <family val="2"/>
      </rPr>
      <t xml:space="preserve">｜立場：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WenQuanYi Zen Hei"/>
        <family val="2"/>
      </rPr>
      <t xml:space="preserve">研究（中立偏利害）</t>
    </r>
  </si>
  <si>
    <t xml:space="preserve">E210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</si>
  <si>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WenQuanYi Zen Hei"/>
        <family val="2"/>
      </rPr>
      <t xml:space="preserve">推論系統概述：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WenQuanYi Zen Hei"/>
        <family val="2"/>
      </rPr>
      <t xml:space="preserve">小時輸入 </t>
    </r>
    <r>
      <rPr>
        <sz val="10"/>
        <color rgb="FF0000FF"/>
        <rFont val="Arial"/>
        <family val="0"/>
        <charset val="1"/>
      </rPr>
      <t xml:space="preserve">608 B token </t>
    </r>
    <r>
      <rPr>
        <sz val="10"/>
        <color rgb="FF0000FF"/>
        <rFont val="WenQuanYi Zen Hei"/>
        <family val="2"/>
      </rPr>
      <t xml:space="preserve">中 </t>
    </r>
    <r>
      <rPr>
        <sz val="10"/>
        <color rgb="FF0000FF"/>
        <rFont val="Arial"/>
        <family val="0"/>
        <charset val="1"/>
      </rPr>
      <t xml:space="preserve">342 B </t>
    </r>
    <r>
      <rPr>
        <sz val="10"/>
        <color rgb="FF0000FF"/>
        <rFont val="WenQuanYi Zen Hei"/>
        <family val="2"/>
      </rPr>
      <t xml:space="preserve">命中（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WenQuanYi Zen Hei"/>
        <family val="2"/>
      </rPr>
      <t xml:space="preserve">）；每節點吞吐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14.8k tok/s </t>
    </r>
    <r>
      <rPr>
        <sz val="10"/>
        <color rgb="FF0000FF"/>
        <rFont val="WenQuanYi Zen Hei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prefill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WenQuanYi Zen Hei"/>
        <family val="2"/>
      </rPr>
      <t xml:space="preserve">階段中的值，非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WenQuanYi Zen Hei"/>
        <family val="2"/>
      </rPr>
      <t xml:space="preserve">小時均值</t>
    </r>
  </si>
  <si>
    <t xml:space="preserve">https://raw.githubusercontent.com/deepseek-ai/open-infra-index/main/202502OpenSourceWeek/day_6_one_more_thing_deepseekV3R1_inference_system_overview.md</t>
  </si>
  <si>
    <r>
      <rPr>
        <sz val="10"/>
        <color rgb="FF0000FF"/>
        <rFont val="Arial"/>
        <family val="0"/>
        <charset val="1"/>
      </rPr>
      <t xml:space="preserve">Workload 11 C:D</t>
    </r>
    <r>
      <rPr>
        <sz val="10"/>
        <color rgb="FF0000FF"/>
        <rFont val="WenQuanYi Zen Hei"/>
        <family val="2"/>
      </rPr>
      <t xml:space="preserve">（一般對話；區間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WenQuanYi Zen Hei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WenQuanYi Zen Hei"/>
        <family val="2"/>
      </rPr>
      <t xml:space="preserve">，不動）；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WenQuanYi Zen Hei"/>
        <family val="2"/>
      </rPr>
      <t xml:space="preserve">（未採用）</t>
    </r>
  </si>
  <si>
    <r>
      <rPr>
        <sz val="10"/>
        <color rgb="FF0000FF"/>
        <rFont val="Arial"/>
        <family val="0"/>
        <charset val="1"/>
      </rPr>
      <t xml:space="preserve">C:D </t>
    </r>
    <r>
      <rPr>
        <sz val="10"/>
        <color rgb="FF0000FF"/>
        <rFont val="WenQuanYi Zen Hei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0.3–0.7</t>
    </r>
  </si>
  <si>
    <r>
      <rPr>
        <sz val="10"/>
        <color rgb="FF0000FF"/>
        <rFont val="Arial"/>
        <family val="0"/>
        <charset val="1"/>
      </rPr>
      <t xml:space="preserve">χ C:D </t>
    </r>
    <r>
      <rPr>
        <sz val="10"/>
        <color rgb="FF0000FF"/>
        <rFont val="WenQuanYi Zen Hei"/>
        <family val="2"/>
      </rPr>
      <t xml:space="preserve">不改（現區間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WenQuanYi Zen Hei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 </t>
    </r>
    <r>
      <rPr>
        <sz val="10"/>
        <color rgb="FF0000FF"/>
        <rFont val="WenQuanYi Zen Hei"/>
        <family val="2"/>
      </rPr>
      <t xml:space="preserve">只蒐集證據</t>
    </r>
  </si>
  <si>
    <r>
      <rPr>
        <sz val="10"/>
        <color rgb="FF0000FF"/>
        <rFont val="WenQuanYi Zen Hei"/>
        <family val="2"/>
      </rPr>
      <t xml:space="preserve">已讀，已涵蓋（</t>
    </r>
    <r>
      <rPr>
        <sz val="10"/>
        <color rgb="FF0000FF"/>
        <rFont val="Arial"/>
        <family val="0"/>
        <charset val="1"/>
      </rPr>
      <t xml:space="preserve">χ C:D </t>
    </r>
    <r>
      <rPr>
        <sz val="10"/>
        <color rgb="FF0000FF"/>
        <rFont val="WenQuanYi Zen Hei"/>
        <family val="2"/>
      </rPr>
      <t xml:space="preserve">不改）；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 </t>
    </r>
    <r>
      <rPr>
        <sz val="10"/>
        <color rgb="FF0000FF"/>
        <rFont val="WenQuanYi Zen Hei"/>
        <family val="2"/>
      </rPr>
      <t xml:space="preserve">未採用（</t>
    </r>
    <r>
      <rPr>
        <sz val="10"/>
        <color rgb="FF0000FF"/>
        <rFont val="Arial"/>
        <family val="0"/>
        <charset val="1"/>
      </rPr>
      <t xml:space="preserve">S2 (a)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</si>
  <si>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｜節點利用（平均</t>
    </r>
    <r>
      <rPr>
        <sz val="10"/>
        <color rgb="FF0000FF"/>
        <rFont val="Arial"/>
        <family val="0"/>
        <charset val="1"/>
      </rPr>
      <t xml:space="preserve">÷</t>
    </r>
    <r>
      <rPr>
        <sz val="10"/>
        <color rgb="FF0000FF"/>
        <rFont val="WenQuanYi Zen Hei"/>
        <family val="2"/>
      </rPr>
      <t xml:space="preserve">尖峰節點）＝</t>
    </r>
    <r>
      <rPr>
        <sz val="10"/>
        <color rgb="FF0000FF"/>
        <rFont val="Arial"/>
        <family val="0"/>
        <charset val="1"/>
      </rPr>
      <t xml:space="preserve">226.75/278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0.816 [Derived]</t>
    </r>
    <r>
      <rPr>
        <sz val="10"/>
        <color rgb="FF0000FF"/>
        <rFont val="WenQuanYi Zen Hei"/>
        <family val="2"/>
      </rPr>
      <t xml:space="preserve">｜硬體 </t>
    </r>
    <r>
      <rPr>
        <sz val="10"/>
        <color rgb="FF0000FF"/>
        <rFont val="Arial"/>
        <family val="0"/>
        <charset val="1"/>
      </rPr>
      <t xml:space="preserve">H800</t>
    </r>
    <r>
      <rPr>
        <sz val="10"/>
        <color rgb="FF0000FF"/>
        <rFont val="WenQuanYi Zen Hei"/>
        <family val="2"/>
      </rPr>
      <t xml:space="preserve">、模型 </t>
    </r>
    <r>
      <rPr>
        <sz val="10"/>
        <color rgb="FF0000FF"/>
        <rFont val="Arial"/>
        <family val="0"/>
        <charset val="1"/>
      </rPr>
      <t xml:space="preserve">V3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2025-02</t>
    </r>
    <r>
      <rPr>
        <sz val="10"/>
        <color rgb="FF0000FF"/>
        <rFont val="WenQuanYi Zen Hei"/>
        <family val="2"/>
      </rPr>
      <t xml:space="preserve">，與第 </t>
    </r>
    <r>
      <rPr>
        <sz val="10"/>
        <color rgb="FF0000FF"/>
        <rFont val="Arial"/>
        <family val="0"/>
        <charset val="1"/>
      </rPr>
      <t xml:space="preserve">0 </t>
    </r>
    <r>
      <rPr>
        <sz val="10"/>
        <color rgb="FF0000FF"/>
        <rFont val="WenQuanYi Zen Hei"/>
        <family val="2"/>
      </rPr>
      <t xml:space="preserve">層差異大，僅作量級參考；前次『日均</t>
    </r>
    <r>
      <rPr>
        <sz val="10"/>
        <color rgb="FF0000FF"/>
        <rFont val="Arial"/>
        <family val="0"/>
        <charset val="1"/>
      </rPr>
      <t xml:space="preserve">÷73.7k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0.42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0.58</t>
    </r>
    <r>
      <rPr>
        <sz val="10"/>
        <color rgb="FF0000FF"/>
        <rFont val="WenQuanYi Zen Hei"/>
        <family val="2"/>
      </rPr>
      <t xml:space="preserve">』口徑有誤已更正｜立場：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WenQuanYi Zen Hei"/>
        <family val="2"/>
      </rPr>
      <t xml:space="preserve">自揭（利害關係方）</t>
    </r>
  </si>
  <si>
    <t xml:space="preserve">E211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</si>
  <si>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WenQuanYi Zen Hei"/>
        <family val="2"/>
      </rPr>
      <t xml:space="preserve">：每呼叫提示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WenQuanYi Zen Hei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68K</t>
    </r>
    <r>
      <rPr>
        <sz val="10"/>
        <color rgb="FF0000FF"/>
        <rFont val="WenQuanYi Zen Hei"/>
        <family val="2"/>
      </rPr>
      <t xml:space="preserve">（快取 </t>
    </r>
    <r>
      <rPr>
        <sz val="10"/>
        <color rgb="FF0000FF"/>
        <rFont val="Arial"/>
        <family val="0"/>
        <charset val="1"/>
      </rPr>
      <t xml:space="preserve">63K</t>
    </r>
    <r>
      <rPr>
        <sz val="10"/>
        <color rgb="FF0000FF"/>
        <rFont val="WenQuanYi Zen Hei"/>
        <family val="2"/>
      </rPr>
      <t xml:space="preserve">）；每使用者輪提示中位 </t>
    </r>
    <r>
      <rPr>
        <sz val="10"/>
        <color rgb="FF0000FF"/>
        <rFont val="Arial"/>
        <family val="0"/>
        <charset val="1"/>
      </rPr>
      <t xml:space="preserve">160.2K</t>
    </r>
  </si>
  <si>
    <r>
      <rPr>
        <sz val="10"/>
        <color rgb="FF0000FF"/>
        <rFont val="Arial"/>
        <family val="0"/>
        <charset val="1"/>
      </rPr>
      <t xml:space="preserve">Serving 23</t>
    </r>
    <r>
      <rPr>
        <sz val="10"/>
        <color rgb="FF0000FF"/>
        <rFont val="WenQuanYi Zen Hei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C23:E23 </t>
    </r>
    <r>
      <rPr>
        <sz val="10"/>
        <color rgb="FF0000FF"/>
        <rFont val="WenQuanYi Zen Hei"/>
        <family val="2"/>
      </rPr>
      <t xml:space="preserve">區間）</t>
    </r>
  </si>
  <si>
    <t xml:space="preserve">×0.5–×2</t>
  </si>
  <si>
    <r>
      <rPr>
        <sz val="10"/>
        <color rgb="FF0000FF"/>
        <rFont val="Arial"/>
        <family val="0"/>
        <charset val="1"/>
      </rPr>
      <t xml:space="preserve">D23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E23 </t>
    </r>
    <r>
      <rPr>
        <sz val="10"/>
        <color rgb="FF0000FF"/>
        <rFont val="WenQuanYi Zen Hei"/>
        <family val="2"/>
      </rPr>
      <t xml:space="preserve">區間高擴至 </t>
    </r>
    <r>
      <rPr>
        <sz val="10"/>
        <color rgb="FF0000FF"/>
        <rFont val="Arial"/>
        <family val="0"/>
        <charset val="1"/>
      </rPr>
      <t xml:space="preserve">68,000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C23 </t>
    </r>
    <r>
      <rPr>
        <sz val="10"/>
        <color rgb="FF0000FF"/>
        <rFont val="WenQuanYi Zen Hei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r3 I1</t>
    </r>
    <r>
      <rPr>
        <sz val="10"/>
        <color rgb="FF0000FF"/>
        <rFont val="WenQuanYi Zen Hei"/>
        <family val="2"/>
      </rPr>
      <t xml:space="preserve">：只套中、頂層）</t>
    </r>
  </si>
  <si>
    <r>
      <rPr>
        <sz val="10"/>
        <color rgb="FF0000FF"/>
        <rFont val="WenQuanYi Zen Hei"/>
        <family val="2"/>
      </rPr>
      <t xml:space="preserve">採用為區間依據（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D23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E23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</si>
  <si>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Figure 10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Table 4</t>
    </r>
    <r>
      <rPr>
        <sz val="10"/>
        <color rgb="FF0000FF"/>
        <rFont val="WenQuanYi Zen Hei"/>
        <family val="2"/>
      </rPr>
      <t xml:space="preserve">｜不用每使用者輪 </t>
    </r>
    <r>
      <rPr>
        <sz val="10"/>
        <color rgb="FF0000FF"/>
        <rFont val="Arial"/>
        <family val="0"/>
        <charset val="1"/>
      </rPr>
      <t xml:space="preserve">160K</t>
    </r>
    <r>
      <rPr>
        <sz val="10"/>
        <color rgb="FF0000FF"/>
        <rFont val="WenQuanYi Zen Hei"/>
        <family val="2"/>
      </rPr>
      <t xml:space="preserve">（口徑不同）｜差異：編碼代理的累積上下文，僅代理層有對應；低層（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WenQuanYi Zen Hei"/>
        <family val="2"/>
      </rPr>
      <t xml:space="preserve">）不套用｜基準不動｜立場：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WenQuanYi Zen Hei"/>
        <family val="2"/>
      </rPr>
      <t xml:space="preserve">研究</t>
    </r>
  </si>
  <si>
    <r>
      <rPr>
        <sz val="10"/>
        <color rgb="FF000000"/>
        <rFont val="WenQuanYi Zen Hei"/>
        <family val="2"/>
      </rPr>
      <t xml:space="preserve">區間（基準輸出影響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</si>
  <si>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E212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</si>
  <si>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WenQuanYi Zen Hei"/>
        <family val="2"/>
      </rPr>
      <t xml:space="preserve">：每呼叫輸出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WenQuanYi Zen Hei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247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88% </t>
    </r>
    <r>
      <rPr>
        <sz val="10"/>
        <color rgb="FF0000FF"/>
        <rFont val="WenQuanYi Zen Hei"/>
        <family val="2"/>
      </rPr>
      <t xml:space="preserve">呼叫 </t>
    </r>
    <r>
      <rPr>
        <sz val="10"/>
        <color rgb="FF0000FF"/>
        <rFont val="Arial"/>
        <family val="0"/>
        <charset val="1"/>
      </rPr>
      <t xml:space="preserve">&lt;1,000</t>
    </r>
    <r>
      <rPr>
        <sz val="10"/>
        <color rgb="FF0000FF"/>
        <rFont val="WenQuanYi Zen Hei"/>
        <family val="2"/>
      </rPr>
      <t xml:space="preserve">；不含推理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</si>
  <si>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24</t>
    </r>
    <r>
      <rPr>
        <sz val="10"/>
        <color rgb="FF0000FF"/>
        <rFont val="WenQuanYi Zen Hei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WenQuanYi Zen Hei"/>
        <family val="2"/>
      </rPr>
      <t xml:space="preserve">，含思考）</t>
    </r>
  </si>
  <si>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2048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4096</t>
    </r>
  </si>
  <si>
    <t xml:space="preserve">不套用（判為不可比）</t>
  </si>
  <si>
    <t xml:space="preserve">已讀，未採用</t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</si>
  <si>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｜不含推理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WenQuanYi Zen Hei"/>
        <family val="2"/>
      </rPr>
      <t xml:space="preserve">，口徑與模型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WenQuanYi Zen Hei"/>
        <family val="2"/>
      </rPr>
      <t xml:space="preserve">（含思考）不同；單一產品；僅作下界參考｜</t>
    </r>
    <r>
      <rPr>
        <sz val="10"/>
        <color rgb="FF0000FF"/>
        <rFont val="Arial"/>
        <family val="0"/>
        <charset val="1"/>
      </rPr>
      <t xml:space="preserve">OpenRouter State of AI PDF </t>
    </r>
    <r>
      <rPr>
        <sz val="10"/>
        <color rgb="FF0000FF"/>
        <rFont val="WenQuanYi Zen Hei"/>
        <family val="2"/>
      </rPr>
      <t xml:space="preserve">被出口政策擋（</t>
    </r>
    <r>
      <rPr>
        <sz val="10"/>
        <color rgb="FF0000FF"/>
        <rFont val="Arial"/>
        <family val="0"/>
        <charset val="1"/>
      </rPr>
      <t xml:space="preserve">R5</t>
    </r>
    <r>
      <rPr>
        <sz val="10"/>
        <color rgb="FF0000FF"/>
        <rFont val="WenQuanYi Zen Hei"/>
        <family val="2"/>
      </rPr>
      <t xml:space="preserve">），仍缺含推理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WenQuanYi Zen Hei"/>
        <family val="2"/>
      </rPr>
      <t xml:space="preserve">的分布｜工作單 </t>
    </r>
    <r>
      <rPr>
        <sz val="10"/>
        <color rgb="FF0000FF"/>
        <rFont val="Arial"/>
        <family val="0"/>
        <charset val="1"/>
      </rPr>
      <t xml:space="preserve">2.4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Serving 24 </t>
    </r>
    <r>
      <rPr>
        <sz val="10"/>
        <color rgb="FF0000FF"/>
        <rFont val="WenQuanYi Zen Hei"/>
        <family val="2"/>
      </rPr>
      <t xml:space="preserve">不套用（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WenQuanYi Zen Hei"/>
        <family val="2"/>
      </rPr>
      <t xml:space="preserve">端判讀，</t>
    </r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WenQuanYi Zen Hei"/>
        <family val="2"/>
      </rPr>
      <t xml:space="preserve">可改）</t>
    </r>
  </si>
  <si>
    <t xml:space="preserve">E213</t>
  </si>
  <si>
    <r>
      <rPr>
        <sz val="10"/>
        <color rgb="FF0000FF"/>
        <rFont val="Arial"/>
        <family val="0"/>
        <charset val="1"/>
      </rPr>
      <t xml:space="preserve">MegaScale-MoE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arXiv 2505.11432</t>
    </r>
    <r>
      <rPr>
        <sz val="10"/>
        <color rgb="FF0000FF"/>
        <rFont val="WenQuanYi Zen Hei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WenQuanYi Zen Hei"/>
        <family val="2"/>
      </rPr>
      <t xml:space="preserve">上 </t>
    </r>
    <r>
      <rPr>
        <sz val="10"/>
        <color rgb="FF0000FF"/>
        <rFont val="Arial"/>
        <family val="0"/>
        <charset val="1"/>
      </rPr>
      <t xml:space="preserve">MFU 27.89–32.48%</t>
    </r>
    <r>
      <rPr>
        <sz val="10"/>
        <color rgb="FF0000FF"/>
        <rFont val="WenQuanYi Zen Hei"/>
        <family val="2"/>
      </rPr>
      <t xml:space="preserve">；原文稱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WenQuanYi Zen Hei"/>
        <family val="2"/>
      </rPr>
      <t xml:space="preserve">隨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WenQuanYi Zen Hei"/>
        <family val="2"/>
      </rPr>
      <t xml:space="preserve">運算能力增加而下降</t>
    </r>
  </si>
  <si>
    <t xml:space="preserve">https://arxiv.org/abs/2505.11432</t>
  </si>
  <si>
    <r>
      <rPr>
        <sz val="10"/>
        <color rgb="FF0000FF"/>
        <rFont val="Arial"/>
        <family val="0"/>
        <charset val="1"/>
      </rPr>
      <t xml:space="preserve">Train_In 21</t>
    </r>
    <r>
      <rPr>
        <sz val="10"/>
        <color rgb="FF0000FF"/>
        <rFont val="WenQuanYi Zen Hei"/>
        <family val="2"/>
      </rPr>
      <t xml:space="preserve">（預訓練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WenQuanYi Zen Hei"/>
        <family val="2"/>
      </rPr>
      <t xml:space="preserve">世代倍數）</t>
    </r>
  </si>
  <si>
    <r>
      <rPr>
        <sz val="10"/>
        <color rgb="FF0000FF"/>
        <rFont val="Arial"/>
        <family val="0"/>
        <charset val="1"/>
      </rPr>
      <t xml:space="preserve">Hopper 0.8→1.0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E1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</si>
  <si>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｜方向性證據（</t>
    </r>
    <r>
      <rPr>
        <sz val="10"/>
        <color rgb="FF0000FF"/>
        <rFont val="Arial"/>
        <family val="0"/>
        <charset val="1"/>
      </rPr>
      <t xml:space="preserve">Blackwell </t>
    </r>
    <r>
      <rPr>
        <sz val="10"/>
        <color rgb="FF0000FF"/>
        <rFont val="WenQuanYi Zen Hei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WenQuanYi Zen Hei"/>
        <family val="2"/>
      </rPr>
      <t xml:space="preserve">不高於 </t>
    </r>
    <r>
      <rPr>
        <sz val="10"/>
        <color rgb="FF0000FF"/>
        <rFont val="Arial"/>
        <family val="0"/>
        <charset val="1"/>
      </rPr>
      <t xml:space="preserve">Hopper</t>
    </r>
    <r>
      <rPr>
        <sz val="10"/>
        <color rgb="FF0000FF"/>
        <rFont val="WenQuanYi Zen Hei"/>
        <family val="2"/>
      </rPr>
      <t xml:space="preserve">）與模型『</t>
    </r>
    <r>
      <rPr>
        <sz val="10"/>
        <color rgb="FF0000FF"/>
        <rFont val="Arial"/>
        <family val="0"/>
        <charset val="1"/>
      </rPr>
      <t xml:space="preserve">Hopper 0.8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1</t>
    </r>
    <r>
      <rPr>
        <sz val="10"/>
        <color rgb="FF0000FF"/>
        <rFont val="WenQuanYi Zen Hei"/>
        <family val="2"/>
      </rPr>
      <t xml:space="preserve">』相反；僅有 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WenQuanYi Zen Hei"/>
        <family val="2"/>
      </rPr>
      <t xml:space="preserve">世代內量測，無 </t>
    </r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Rubin </t>
    </r>
    <r>
      <rPr>
        <sz val="10"/>
        <color rgb="FF0000FF"/>
        <rFont val="WenQuanYi Zen Hei"/>
        <family val="2"/>
      </rPr>
      <t xml:space="preserve">絕對值；</t>
    </r>
    <r>
      <rPr>
        <sz val="10"/>
        <color rgb="FF0000FF"/>
        <rFont val="Arial"/>
        <family val="0"/>
        <charset val="1"/>
      </rPr>
      <t xml:space="preserve">E1 </t>
    </r>
    <r>
      <rPr>
        <sz val="10"/>
        <color rgb="FF0000FF"/>
        <rFont val="WenQuanYi Zen Hei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WenQuanYi Zen Hei"/>
        <family val="2"/>
      </rPr>
      <t xml:space="preserve">決定改 </t>
    </r>
    <r>
      <rPr>
        <sz val="10"/>
        <color rgb="FF0000FF"/>
        <rFont val="Arial"/>
        <family val="0"/>
        <charset val="1"/>
      </rPr>
      <t xml:space="preserve">Hopper 1.0</t>
    </r>
    <r>
      <rPr>
        <sz val="10"/>
        <color rgb="FF0000FF"/>
        <rFont val="WenQuanYi Zen Hei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0.8–1.2</t>
    </r>
    <r>
      <rPr>
        <sz val="10"/>
        <color rgb="FF0000FF"/>
        <rFont val="WenQuanYi Zen Hei"/>
        <family val="2"/>
      </rPr>
      <t xml:space="preserve">），此證據不採用，列待判斷</t>
    </r>
  </si>
  <si>
    <t xml:space="preserve">E214</t>
  </si>
  <si>
    <r>
      <rPr>
        <sz val="10"/>
        <color rgb="FF0000FF"/>
        <rFont val="Arial"/>
        <family val="0"/>
        <charset val="1"/>
      </rPr>
      <t xml:space="preserve">HPE QuickSpecs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GB200 EDPp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192 kW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EDPp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155 kW</t>
    </r>
    <r>
      <rPr>
        <sz val="10"/>
        <color rgb="FF0000FF"/>
        <rFont val="WenQuanYi Zen Hei"/>
        <family val="2"/>
      </rPr>
      <t xml:space="preserve">（電氣設計尖峰）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</si>
  <si>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WenQuanYi Zen Hei"/>
        <family val="2"/>
      </rPr>
      <t xml:space="preserve">；搜尋摘要，</t>
    </r>
    <r>
      <rPr>
        <sz val="10"/>
        <color rgb="FF0000FF"/>
        <rFont val="Arial"/>
        <family val="0"/>
        <charset val="1"/>
      </rPr>
      <t xml:space="preserve">hpe.com </t>
    </r>
    <r>
      <rPr>
        <sz val="10"/>
        <color rgb="FF0000FF"/>
        <rFont val="WenQuanYi Zen Hei"/>
        <family val="2"/>
      </rPr>
      <t xml:space="preserve">被出口政策擋）</t>
    </r>
  </si>
  <si>
    <t xml:space="preserve">二手（只見摘錄）</t>
  </si>
  <si>
    <r>
      <rPr>
        <sz val="10"/>
        <color rgb="FF0000FF"/>
        <rFont val="Arial"/>
        <family val="0"/>
        <charset val="1"/>
      </rPr>
      <t xml:space="preserve">Spec_Rack D8:E10</t>
    </r>
    <r>
      <rPr>
        <sz val="10"/>
        <color rgb="FF0000FF"/>
        <rFont val="WenQuanYi Zen Hei"/>
        <family val="2"/>
      </rPr>
      <t xml:space="preserve">（機架功率）</t>
    </r>
  </si>
  <si>
    <t xml:space="preserve">已讀，未採用（口徑不同）</t>
  </si>
  <si>
    <r>
      <rPr>
        <sz val="10"/>
        <color rgb="FF0000FF"/>
        <rFont val="WenQuanYi Zen Hei"/>
        <family val="2"/>
      </rPr>
      <t xml:space="preserve">電氣設計尖峰口徑（≈</t>
    </r>
    <r>
      <rPr>
        <sz val="10"/>
        <color rgb="FF0000FF"/>
        <rFont val="Arial"/>
        <family val="0"/>
        <charset val="1"/>
      </rPr>
      <t xml:space="preserve">1.5×TDP</t>
    </r>
    <r>
      <rPr>
        <sz val="10"/>
        <color rgb="FF0000FF"/>
        <rFont val="WenQuanYi Zen Hei"/>
        <family val="2"/>
      </rPr>
      <t xml:space="preserve">），與模型採用的 </t>
    </r>
    <r>
      <rPr>
        <sz val="10"/>
        <color rgb="FF0000FF"/>
        <rFont val="Arial"/>
        <family val="0"/>
        <charset val="1"/>
      </rPr>
      <t xml:space="preserve">TDP</t>
    </r>
    <r>
      <rPr>
        <sz val="10"/>
        <color rgb="FF0000FF"/>
        <rFont val="WenQuanYi Zen Hei"/>
        <family val="2"/>
      </rPr>
      <t xml:space="preserve">／設計功率口徑不同；只登錄於 </t>
    </r>
    <r>
      <rPr>
        <sz val="10"/>
        <color rgb="FF0000FF"/>
        <rFont val="Arial"/>
        <family val="0"/>
        <charset val="1"/>
      </rPr>
      <t xml:space="preserve">DB_Evidence</t>
    </r>
    <r>
      <rPr>
        <sz val="10"/>
        <color rgb="FF0000FF"/>
        <rFont val="WenQuanYi Zen Hei"/>
        <family val="2"/>
      </rPr>
      <t xml:space="preserve">（工作單 </t>
    </r>
    <r>
      <rPr>
        <sz val="10"/>
        <color rgb="FF0000FF"/>
        <rFont val="Arial"/>
        <family val="0"/>
        <charset val="1"/>
      </rPr>
      <t xml:space="preserve">v5.18 G2</t>
    </r>
    <r>
      <rPr>
        <sz val="10"/>
        <color rgb="FF0000FF"/>
        <rFont val="WenQuanYi Zen Hei"/>
        <family val="2"/>
      </rPr>
      <t xml:space="preserve">）</t>
    </r>
  </si>
  <si>
    <t xml:space="preserve">E215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</si>
  <si>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WenQuanYi Zen Hei"/>
        <family val="2"/>
      </rPr>
      <t xml:space="preserve">（搜尋摘錄）：</t>
    </r>
    <r>
      <rPr>
        <sz val="10"/>
        <color rgb="FF0000FF"/>
        <rFont val="Arial"/>
        <family val="0"/>
        <charset val="1"/>
      </rPr>
      <t xml:space="preserve">Supermicro SRS-VR-NVL72 4×110 kW </t>
    </r>
    <r>
      <rPr>
        <sz val="10"/>
        <color rgb="FF0000FF"/>
        <rFont val="WenQuanYi Zen Hei"/>
        <family val="2"/>
      </rPr>
      <t xml:space="preserve">電源架供 ≤</t>
    </r>
    <r>
      <rPr>
        <sz val="10"/>
        <color rgb="FF0000FF"/>
        <rFont val="Arial"/>
        <family val="0"/>
        <charset val="1"/>
      </rPr>
      <t xml:space="preserve">220 kW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</si>
  <si>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WenQuanYi Zen Hei"/>
        <family val="2"/>
      </rPr>
      <t xml:space="preserve">（搜尋摘錄，未讀）</t>
    </r>
  </si>
  <si>
    <t xml:space="preserve">只見摘錄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</si>
  <si>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WenQuanYi Zen Hei"/>
        <family val="2"/>
      </rPr>
      <t xml:space="preserve">機架功率）</t>
    </r>
  </si>
  <si>
    <t xml:space="preserve">已讀（摘錄），未採用</t>
  </si>
  <si>
    <r>
      <rPr>
        <sz val="10"/>
        <color rgb="FF0000FF"/>
        <rFont val="WenQuanYi Zen Hei"/>
        <family val="2"/>
      </rPr>
      <t xml:space="preserve">僅搜尋摘錄、未讀原文；若屬實可用容量略低於 </t>
    </r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Supermicro Datasheet 440 kW</t>
    </r>
    <r>
      <rPr>
        <sz val="10"/>
        <color rgb="FF0000FF"/>
        <rFont val="WenQuanYi Zen Hei"/>
        <family val="2"/>
      </rPr>
      <t xml:space="preserve">（含備援，</t>
    </r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CDU 2.2 MW÷8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275 kW/</t>
    </r>
    <r>
      <rPr>
        <sz val="10"/>
        <color rgb="FF0000FF"/>
        <rFont val="WenQuanYi Zen Hei"/>
        <family val="2"/>
      </rPr>
      <t xml:space="preserve">架（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WenQuanYi Zen Hei"/>
        <family val="2"/>
      </rPr>
      <t xml:space="preserve">）並不衝突｜工作單 </t>
    </r>
    <r>
      <rPr>
        <sz val="10"/>
        <color rgb="FF0000FF"/>
        <rFont val="Arial"/>
        <family val="0"/>
        <charset val="1"/>
      </rPr>
      <t xml:space="preserve">v5.18 3.5 </t>
    </r>
    <r>
      <rPr>
        <sz val="10"/>
        <color rgb="FF0000FF"/>
        <rFont val="WenQuanYi Zen Hei"/>
        <family val="2"/>
      </rPr>
      <t xml:space="preserve">指定登錄為「已讀，未採用」</t>
    </r>
  </si>
  <si>
    <t xml:space="preserve">E216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</si>
  <si>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WenQuanYi Zen Hei"/>
        <family val="2"/>
      </rPr>
      <t xml:space="preserve">（轉述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WenQuanYi Zen Hei"/>
        <family val="2"/>
      </rPr>
      <t xml:space="preserve">揭露）：至 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WenQuanYi Zen Hei"/>
        <family val="2"/>
      </rPr>
      <t xml:space="preserve">累計出貨 </t>
    </r>
    <r>
      <rPr>
        <sz val="10"/>
        <color rgb="FF0000FF"/>
        <rFont val="Arial"/>
        <family val="0"/>
        <charset val="1"/>
      </rPr>
      <t xml:space="preserve">Hopper 4 M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Blackwell 3 M → Hopper </t>
    </r>
    <r>
      <rPr>
        <sz val="10"/>
        <color rgb="FF0000FF"/>
        <rFont val="WenQuanYi Zen Hei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4/7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0.571</t>
    </r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</si>
  <si>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1d </t>
    </r>
    <r>
      <rPr>
        <sz val="10"/>
        <color rgb="FF0000FF"/>
        <rFont val="WenQuanYi Zen Hei"/>
        <family val="2"/>
      </rPr>
      <t xml:space="preserve">重跑讀取；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WenQuanYi Zen Hei"/>
        <family val="2"/>
      </rPr>
      <t xml:space="preserve">出貨揭露轉述）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</si>
  <si>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WenQuanYi Zen Hei"/>
        <family val="2"/>
      </rPr>
      <t xml:space="preserve">對帳常數『</t>
    </r>
    <r>
      <rPr>
        <sz val="10"/>
        <color rgb="FF0000FF"/>
        <rFont val="Arial"/>
        <family val="0"/>
        <charset val="1"/>
      </rPr>
      <t xml:space="preserve">2025 Hopper </t>
    </r>
    <r>
      <rPr>
        <sz val="10"/>
        <color rgb="FF0000FF"/>
        <rFont val="WenQuanYi Zen Hei"/>
        <family val="2"/>
      </rPr>
      <t xml:space="preserve">占機隊』（</t>
    </r>
    <r>
      <rPr>
        <sz val="10"/>
        <color rgb="FF0000FF"/>
        <rFont val="Arial"/>
        <family val="0"/>
        <charset val="1"/>
      </rPr>
      <t xml:space="preserve">I46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</si>
  <si>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</si>
  <si>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0.57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0.5–0.6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D4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</si>
  <si>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WenQuanYi Zen Hei"/>
        <family val="2"/>
      </rPr>
      <t xml:space="preserve">採納（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</si>
  <si>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｜口徑：全球累計出貨，非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WenQuanYi Zen Hei"/>
        <family val="2"/>
      </rPr>
      <t xml:space="preserve">機隊；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WenQuanYi Zen Hei"/>
        <family val="2"/>
      </rPr>
      <t xml:space="preserve">自身組成未找到出處；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WenQuanYi Zen Hei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0.5–0.6</t>
    </r>
  </si>
  <si>
    <r>
      <rPr>
        <sz val="10"/>
        <color rgb="FF000000"/>
        <rFont val="Arial"/>
        <family val="0"/>
        <charset val="1"/>
      </rPr>
      <t xml:space="preserve">L1_RevGWFleet_OAI2025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43</t>
    </r>
  </si>
  <si>
    <t xml:space="preserve">E217</t>
  </si>
  <si>
    <r>
      <rPr>
        <sz val="10"/>
        <color rgb="FF0000FF"/>
        <rFont val="Arial"/>
        <family val="0"/>
        <charset val="1"/>
      </rPr>
      <t xml:space="preserve">InferenceX </t>
    </r>
    <r>
      <rPr>
        <sz val="10"/>
        <color rgb="FF0000FF"/>
        <rFont val="WenQuanYi Zen Hei"/>
        <family val="2"/>
      </rPr>
      <t xml:space="preserve">頁面 </t>
    </r>
    <r>
      <rPr>
        <sz val="10"/>
        <color rgb="FF0000FF"/>
        <rFont val="Arial"/>
        <family val="0"/>
        <charset val="1"/>
      </rPr>
      <t xml:space="preserve">tok/s/MW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tok/s/GPU÷</t>
    </r>
    <r>
      <rPr>
        <sz val="10"/>
        <color rgb="FF0000FF"/>
        <rFont val="WenQuanYi Zen Hei"/>
        <family val="2"/>
      </rPr>
      <t xml:space="preserve">固定常數（</t>
    </r>
    <r>
      <rPr>
        <sz val="10"/>
        <color rgb="FF0000FF"/>
        <rFont val="Arial"/>
        <family val="0"/>
        <charset val="1"/>
      </rPr>
      <t xml:space="preserve">GB300 2.12 kW/GPU</t>
    </r>
    <r>
      <rPr>
        <sz val="10"/>
        <color rgb="FF0000FF"/>
        <rFont val="WenQuanYi Zen Hei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9,506.83÷4,484,352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2,120.0 W</t>
    </r>
  </si>
  <si>
    <r>
      <rPr>
        <sz val="10"/>
        <color rgb="FF0000FF"/>
        <rFont val="Arial"/>
        <family val="0"/>
        <charset val="1"/>
      </rPr>
      <t xml:space="preserve">https://inferencex.semianalysis.com/compare-per-dollar/deepseek-v4-b300-vs-gb300</t>
    </r>
    <r>
      <rPr>
        <sz val="10"/>
        <color rgb="FF0000FF"/>
        <rFont val="WenQuanYi Zen Hei"/>
        <family val="2"/>
      </rPr>
      <t xml:space="preserve">（頁面資料列與前端程式）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</si>
  <si>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WenQuanYi Zen Hei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WenQuanYi Zen Hei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WenQuanYi Zen Hei"/>
        <family val="2"/>
      </rPr>
      <t xml:space="preserve">功率對照 </t>
    </r>
    <r>
      <rPr>
        <sz val="10"/>
        <color rgb="FF0000FF"/>
        <rFont val="Arial"/>
        <family val="0"/>
        <charset val="1"/>
      </rPr>
      <t xml:space="preserve">2.12 kW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</si>
  <si>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WenQuanYi Zen Hei"/>
        <family val="2"/>
      </rPr>
      <t xml:space="preserve">『</t>
    </r>
    <r>
      <rPr>
        <sz val="10"/>
        <color rgb="FF0000FF"/>
        <rFont val="Arial"/>
        <family val="0"/>
        <charset val="1"/>
      </rPr>
      <t xml:space="preserve">9,384÷4.43 M </t>
    </r>
    <r>
      <rPr>
        <sz val="10"/>
        <color rgb="FF0000FF"/>
        <rFont val="WenQuanYi Zen Hei"/>
        <family val="2"/>
      </rPr>
      <t xml:space="preserve">反推』</t>
    </r>
  </si>
  <si>
    <r>
      <rPr>
        <sz val="10"/>
        <color rgb="FF0000FF"/>
        <rFont val="WenQuanYi Zen Hei"/>
        <family val="2"/>
      </rPr>
      <t xml:space="preserve">改述為『</t>
    </r>
    <r>
      <rPr>
        <sz val="10"/>
        <color rgb="FF0000FF"/>
        <rFont val="Arial"/>
        <family val="0"/>
        <charset val="1"/>
      </rPr>
      <t xml:space="preserve">InferenceX </t>
    </r>
    <r>
      <rPr>
        <sz val="10"/>
        <color rgb="FF0000FF"/>
        <rFont val="WenQuanYi Zen Hei"/>
        <family val="2"/>
      </rPr>
      <t xml:space="preserve">內部常數，非獨立對照』</t>
    </r>
  </si>
  <si>
    <r>
      <rPr>
        <sz val="10"/>
        <color rgb="FF0000FF"/>
        <rFont val="WenQuanYi Zen Hei"/>
        <family val="2"/>
      </rPr>
      <t xml:space="preserve">採納（工作單 </t>
    </r>
    <r>
      <rPr>
        <sz val="10"/>
        <color rgb="FF0000FF"/>
        <rFont val="Arial"/>
        <family val="0"/>
        <charset val="1"/>
      </rPr>
      <t xml:space="preserve">v5.18 3.3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</si>
  <si>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｜頁面的 </t>
    </r>
    <r>
      <rPr>
        <sz val="10"/>
        <color rgb="FF0000FF"/>
        <rFont val="Arial"/>
        <family val="0"/>
        <charset val="1"/>
      </rPr>
      <t xml:space="preserve">4.43 M tok/s/MW </t>
    </r>
    <r>
      <rPr>
        <sz val="10"/>
        <color rgb="FF0000FF"/>
        <rFont val="WenQuanYi Zen Hei"/>
        <family val="2"/>
      </rPr>
      <t xml:space="preserve">即由其前端程式固定常數換算，由 </t>
    </r>
    <r>
      <rPr>
        <sz val="10"/>
        <color rgb="FF0000FF"/>
        <rFont val="Arial"/>
        <family val="0"/>
        <charset val="1"/>
      </rPr>
      <t xml:space="preserve">9,384 </t>
    </r>
    <r>
      <rPr>
        <sz val="10"/>
        <color rgb="FF0000FF"/>
        <rFont val="WenQuanYi Zen Hei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4.43 M </t>
    </r>
    <r>
      <rPr>
        <sz val="10"/>
        <color rgb="FF0000FF"/>
        <rFont val="WenQuanYi Zen Hei"/>
        <family val="2"/>
      </rPr>
      <t xml:space="preserve">反推 </t>
    </r>
    <r>
      <rPr>
        <sz val="10"/>
        <color rgb="FF0000FF"/>
        <rFont val="Arial"/>
        <family val="0"/>
        <charset val="1"/>
      </rPr>
      <t xml:space="preserve">2.12 </t>
    </r>
    <r>
      <rPr>
        <sz val="10"/>
        <color rgb="FF0000FF"/>
        <rFont val="WenQuanYi Zen Hei"/>
        <family val="2"/>
      </rPr>
      <t xml:space="preserve">是循環；常數是否含設施頁面未載明；模型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WenQuanYi Zen Hei"/>
        <family val="2"/>
      </rPr>
      <t xml:space="preserve">平均 </t>
    </r>
    <r>
      <rPr>
        <sz val="10"/>
        <color rgb="FF0000FF"/>
        <rFont val="Arial"/>
        <family val="0"/>
        <charset val="1"/>
      </rPr>
      <t xml:space="preserve">1.52 kW/GPU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2.12÷1.52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1.39</t>
    </r>
    <r>
      <rPr>
        <sz val="10"/>
        <color rgb="FF0000FF"/>
        <rFont val="WenQuanYi Zen Hei"/>
        <family val="2"/>
      </rPr>
      <t xml:space="preserve">｜立場：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WenQuanYi Zen Hei"/>
        <family val="2"/>
      </rPr>
      <t xml:space="preserve">（利害關係方）</t>
    </r>
  </si>
  <si>
    <r>
      <rPr>
        <sz val="10"/>
        <color rgb="FF000000"/>
        <rFont val="Arial"/>
        <family val="0"/>
        <charset val="1"/>
      </rPr>
      <t xml:space="preserve">Checks 21</t>
    </r>
    <r>
      <rPr>
        <sz val="10"/>
        <color rgb="FF000000"/>
        <rFont val="WenQuanYi Zen Hei"/>
        <family val="2"/>
      </rPr>
      <t xml:space="preserve">（不再作外部驗證）</t>
    </r>
  </si>
  <si>
    <t xml:space="preserve">E218</t>
  </si>
  <si>
    <r>
      <rPr>
        <sz val="10"/>
        <color rgb="FF0000FF"/>
        <rFont val="Arial"/>
        <family val="0"/>
        <charset val="1"/>
      </rPr>
      <t xml:space="preserve">Arch C34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D34 </t>
    </r>
    <r>
      <rPr>
        <sz val="10"/>
        <color rgb="FF0000FF"/>
        <rFont val="WenQuanYi Zen Hei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</t>
    </r>
    <r>
      <rPr>
        <sz val="10"/>
        <color rgb="FF0000FF"/>
        <rFont val="WenQuanYi Zen Hei"/>
        <family val="2"/>
      </rPr>
      <t xml:space="preserve">：由 </t>
    </r>
    <r>
      <rPr>
        <sz val="10"/>
        <color rgb="FF0000FF"/>
        <rFont val="Arial"/>
        <family val="0"/>
        <charset val="1"/>
      </rPr>
      <t xml:space="preserve">config </t>
    </r>
    <r>
      <rPr>
        <sz val="10"/>
        <color rgb="FF0000FF"/>
        <rFont val="WenQuanYi Zen Hei"/>
        <family val="2"/>
      </rPr>
      <t xml:space="preserve">結構重算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WenQuanYi Zen Hei"/>
        <family val="2"/>
      </rPr>
      <t xml:space="preserve">只計壓縮 </t>
    </r>
    <r>
      <rPr>
        <sz val="10"/>
        <color rgb="FF0000FF"/>
        <rFont val="Arial"/>
        <family val="0"/>
        <charset val="1"/>
      </rPr>
      <t xml:space="preserve">KV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Flash 64.37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64.98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(b)</t>
    </r>
    <r>
      <rPr>
        <sz val="10"/>
        <color rgb="FF0000FF"/>
        <rFont val="WenQuanYi Zen Hei"/>
        <family val="2"/>
      </rPr>
      <t xml:space="preserve">計入 </t>
    </r>
    <r>
      <rPr>
        <sz val="10"/>
        <color rgb="FF0000FF"/>
        <rFont val="Arial"/>
        <family val="0"/>
        <charset val="1"/>
      </rPr>
      <t xml:space="preserve">indexer key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80.00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80.72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(c)bf16 KV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128.74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129.97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</si>
  <si>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  <r>
      <rPr>
        <sz val="10"/>
        <color rgb="FF0000FF"/>
        <rFont val="WenQuanYi Zen Hei"/>
        <family val="2"/>
      </rPr>
      <t xml:space="preserve">；官方 </t>
    </r>
    <r>
      <rPr>
        <sz val="10"/>
        <color rgb="FF0000FF"/>
        <rFont val="Arial"/>
        <family val="0"/>
        <charset val="1"/>
      </rPr>
      <t xml:space="preserve">inference/model.py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commit fd53f94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</si>
  <si>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C34:D34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WenQuanYi Zen Hei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</si>
  <si>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WenQuanYi Zen Hei"/>
        <family val="2"/>
      </rPr>
      <t xml:space="preserve">（基準；不動）</t>
    </r>
  </si>
  <si>
    <r>
      <rPr>
        <sz val="10"/>
        <color rgb="FF0000FF"/>
        <rFont val="WenQuanYi Zen Hei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WenQuanYi Zen Hei"/>
        <family val="2"/>
      </rPr>
      <t xml:space="preserve">；高 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D3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E4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</si>
  <si>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WenQuanYi Zen Hei"/>
        <family val="2"/>
      </rPr>
      <t xml:space="preserve">採用為區間上緣（</t>
    </r>
    <r>
      <rPr>
        <sz val="10"/>
        <color rgb="FF0000FF"/>
        <rFont val="Arial"/>
        <family val="0"/>
        <charset val="1"/>
      </rPr>
      <t xml:space="preserve">bf16 KV </t>
    </r>
    <r>
      <rPr>
        <sz val="10"/>
        <color rgb="FF0000FF"/>
        <rFont val="WenQuanYi Zen Hei"/>
        <family val="2"/>
      </rPr>
      <t xml:space="preserve">涵蓋 </t>
    </r>
    <r>
      <rPr>
        <sz val="10"/>
        <color rgb="FF0000FF"/>
        <rFont val="Arial"/>
        <family val="0"/>
        <charset val="1"/>
      </rPr>
      <t xml:space="preserve">indexer key </t>
    </r>
    <r>
      <rPr>
        <sz val="10"/>
        <color rgb="FF0000FF"/>
        <rFont val="WenQuanYi Zen Hei"/>
        <family val="2"/>
      </rPr>
      <t xml:space="preserve">情境）</t>
    </r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</si>
  <si>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B5 </t>
    </r>
    <r>
      <rPr>
        <sz val="10"/>
        <color rgb="FF0000FF"/>
        <rFont val="WenQuanYi Zen Hei"/>
        <family val="2"/>
      </rPr>
      <t xml:space="preserve">結構重算，</t>
    </r>
    <r>
      <rPr>
        <sz val="10"/>
        <color rgb="FF0000FF"/>
        <rFont val="Arial"/>
        <family val="0"/>
        <charset val="1"/>
      </rPr>
      <t xml:space="preserve">engine </t>
    </r>
    <r>
      <rPr>
        <sz val="10"/>
        <color rgb="FF0000FF"/>
        <rFont val="WenQuanYi Zen Hei"/>
        <family val="2"/>
      </rPr>
      <t xml:space="preserve">唯讀）｜</t>
    </r>
    <r>
      <rPr>
        <sz val="10"/>
        <color rgb="FF0000FF"/>
        <rFont val="Arial"/>
        <family val="0"/>
        <charset val="1"/>
      </rPr>
      <t xml:space="preserve">(a) </t>
    </r>
    <r>
      <rPr>
        <sz val="10"/>
        <color rgb="FF0000FF"/>
        <rFont val="WenQuanYi Zen Hei"/>
        <family val="2"/>
      </rPr>
      <t xml:space="preserve">與現值 </t>
    </r>
    <r>
      <rPr>
        <sz val="10"/>
        <color rgb="FF0000FF"/>
        <rFont val="Arial"/>
        <family val="0"/>
        <charset val="1"/>
      </rPr>
      <t xml:space="preserve">65 </t>
    </r>
    <r>
      <rPr>
        <sz val="10"/>
        <color rgb="FF0000FF"/>
        <rFont val="WenQuanYi Zen Hei"/>
        <family val="2"/>
      </rPr>
      <t xml:space="preserve">相差 −</t>
    </r>
    <r>
      <rPr>
        <sz val="10"/>
        <color rgb="FF0000FF"/>
        <rFont val="Arial"/>
        <family val="0"/>
        <charset val="1"/>
      </rPr>
      <t xml:space="preserve">1.0%</t>
    </r>
    <r>
      <rPr>
        <sz val="10"/>
        <color rgb="FF0000FF"/>
        <rFont val="WenQuanYi Zen Hei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0.03%</t>
    </r>
    <r>
      <rPr>
        <sz val="10"/>
        <color rgb="FF0000FF"/>
        <rFont val="WenQuanYi Zen Hei"/>
        <family val="2"/>
      </rPr>
      <t xml:space="preserve">，影響 </t>
    </r>
    <r>
      <rPr>
        <sz val="10"/>
        <color rgb="FF0000FF"/>
        <rFont val="Arial"/>
        <family val="0"/>
        <charset val="1"/>
      </rPr>
      <t xml:space="preserve">&lt;1e-5</t>
    </r>
    <r>
      <rPr>
        <sz val="10"/>
        <color rgb="FF0000FF"/>
        <rFont val="WenQuanYi Zen Hei"/>
        <family val="2"/>
      </rPr>
      <t xml:space="preserve">；官方參考程式以預設 </t>
    </r>
    <r>
      <rPr>
        <sz val="10"/>
        <color rgb="FF0000FF"/>
        <rFont val="Arial"/>
        <family val="0"/>
        <charset val="1"/>
      </rPr>
      <t xml:space="preserve">dtype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bf16</t>
    </r>
    <r>
      <rPr>
        <sz val="10"/>
        <color rgb="FF0000FF"/>
        <rFont val="WenQuanYi Zen Hei"/>
        <family val="2"/>
      </rPr>
      <t xml:space="preserve">）配置 </t>
    </r>
    <r>
      <rPr>
        <sz val="10"/>
        <color rgb="FF0000FF"/>
        <rFont val="Arial"/>
        <family val="0"/>
        <charset val="1"/>
      </rPr>
      <t xml:space="preserve">kv_cache</t>
    </r>
    <r>
      <rPr>
        <sz val="10"/>
        <color rgb="FF0000FF"/>
        <rFont val="WenQuanYi Zen Hei"/>
        <family val="2"/>
      </rPr>
      <t xml:space="preserve">，模型假設 </t>
    </r>
    <r>
      <rPr>
        <sz val="10"/>
        <color rgb="FF0000FF"/>
        <rFont val="Arial"/>
        <family val="0"/>
        <charset val="1"/>
      </rPr>
      <t xml:space="preserve">FP8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SRC_HW_055</t>
    </r>
    <r>
      <rPr>
        <sz val="10"/>
        <color rgb="FF0000FF"/>
        <rFont val="WenQuanYi Zen Hei"/>
        <family val="2"/>
      </rPr>
      <t xml:space="preserve">），若生產為 </t>
    </r>
    <r>
      <rPr>
        <sz val="10"/>
        <color rgb="FF0000FF"/>
        <rFont val="Arial"/>
        <family val="0"/>
        <charset val="1"/>
      </rPr>
      <t xml:space="preserve">bf16 </t>
    </r>
    <r>
      <rPr>
        <sz val="10"/>
        <color rgb="FF0000FF"/>
        <rFont val="WenQuanYi Zen Hei"/>
        <family val="2"/>
      </rPr>
      <t xml:space="preserve">則約 </t>
    </r>
    <r>
      <rPr>
        <sz val="10"/>
        <color rgb="FF0000FF"/>
        <rFont val="Arial"/>
        <family val="0"/>
        <charset val="1"/>
      </rPr>
      <t xml:space="preserve">128.7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130.0</t>
    </r>
    <r>
      <rPr>
        <sz val="10"/>
        <color rgb="FF0000FF"/>
        <rFont val="WenQuanYi Zen Hei"/>
        <family val="2"/>
      </rPr>
      <t xml:space="preserve">；生產精度未找到出處｜基準不動，只擴大區間</t>
    </r>
  </si>
  <si>
    <r>
      <rPr>
        <sz val="10"/>
        <color rgb="FF000000"/>
        <rFont val="WenQuanYi Zen Hei"/>
        <family val="2"/>
      </rPr>
      <t xml:space="preserve">—（區間；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影響最大 </t>
    </r>
    <r>
      <rPr>
        <sz val="10"/>
        <color rgb="FF000000"/>
        <rFont val="Arial"/>
        <family val="0"/>
        <charset val="1"/>
      </rPr>
      <t xml:space="preserve">L1_Ans9 +1.1e-2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IF_FullCost_Sol(VR200) +7.7e-4</t>
    </r>
    <r>
      <rPr>
        <sz val="10"/>
        <color rgb="FF000000"/>
        <rFont val="WenQuanYi Zen Hei"/>
        <family val="2"/>
      </rPr>
      <t xml:space="preserve">）</t>
    </r>
  </si>
  <si>
    <t xml:space="preserve">E219</t>
  </si>
  <si>
    <r>
      <rPr>
        <sz val="10"/>
        <color rgb="FF0000FF"/>
        <rFont val="Arial"/>
        <family val="0"/>
        <charset val="1"/>
      </rPr>
      <t xml:space="preserve">G4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I2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WenQuanYi Zen Hei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Morgan Stanley BOM 7.8 ×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＋代工毛利約 </t>
    </r>
    <r>
      <rPr>
        <sz val="10"/>
        <color rgb="FF0000FF"/>
        <rFont val="Arial"/>
        <family val="0"/>
        <charset val="1"/>
      </rPr>
      <t xml:space="preserve">7.5%</t>
    </r>
    <r>
      <rPr>
        <sz val="10"/>
        <color rgb="FF0000FF"/>
        <rFont val="WenQuanYi Zen Hei"/>
        <family val="2"/>
      </rPr>
      <t xml:space="preserve">，區間 </t>
    </r>
    <r>
      <rPr>
        <sz val="10"/>
        <color rgb="FF0000FF"/>
        <rFont val="Arial"/>
        <family val="0"/>
        <charset val="1"/>
      </rPr>
      <t xml:space="preserve">5–10%</t>
    </r>
    <r>
      <rPr>
        <sz val="10"/>
        <color rgb="FF0000FF"/>
        <rFont val="WenQuanYi Zen Hei"/>
        <family val="2"/>
      </rPr>
      <t xml:space="preserve">）；低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WenQuanYi Zen Hei"/>
        <family val="2"/>
      </rPr>
      <t xml:space="preserve">（零毛利 </t>
    </r>
    <r>
      <rPr>
        <sz val="10"/>
        <color rgb="FF0000FF"/>
        <rFont val="Arial"/>
        <family val="0"/>
        <charset val="1"/>
      </rPr>
      <t xml:space="preserve">BOM </t>
    </r>
    <r>
      <rPr>
        <sz val="10"/>
        <color rgb="FF0000FF"/>
        <rFont val="WenQuanYi Zen Hei"/>
        <family val="2"/>
      </rPr>
      <t xml:space="preserve">下限）；高 </t>
    </r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WenQuanYi Zen Hei"/>
        <family val="2"/>
      </rPr>
      <t xml:space="preserve">（不變）</t>
    </r>
  </si>
  <si>
    <r>
      <rPr>
        <sz val="10"/>
        <color rgb="FF0000FF"/>
        <rFont val="Arial"/>
        <family val="0"/>
        <charset val="1"/>
      </rPr>
      <t xml:space="preserve">wccftech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Morgan Stanley Research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WenQuanYi Zen Hei"/>
        <family val="2"/>
      </rPr>
      <t xml:space="preserve">）；毛利率為 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</si>
  <si>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Spec_Rack F11:F13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WenQuanYi Zen Hei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</si>
  <si>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</si>
  <si>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</si>
  <si>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r>
      <rPr>
        <sz val="10"/>
        <color rgb="FF0000FF"/>
        <rFont val="WenQuanYi Zen Hei"/>
        <family val="2"/>
      </rPr>
      <t xml:space="preserve">採納（工作單 </t>
    </r>
    <r>
      <rPr>
        <sz val="10"/>
        <color rgb="FF0000FF"/>
        <rFont val="Arial"/>
        <family val="0"/>
        <charset val="1"/>
      </rPr>
      <t xml:space="preserve">v5.18 r3 G4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I2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</si>
  <si>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WenQuanYi Zen Hei"/>
        <family val="2"/>
      </rPr>
      <t xml:space="preserve">代工毛利 </t>
    </r>
    <r>
      <rPr>
        <sz val="10"/>
        <color rgb="FF0000FF"/>
        <rFont val="Arial"/>
        <family val="0"/>
        <charset val="1"/>
      </rPr>
      <t xml:space="preserve">5–10% </t>
    </r>
    <r>
      <rPr>
        <sz val="10"/>
        <color rgb="FF0000FF"/>
        <rFont val="WenQuanYi Zen Hei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WenQuanYi Zen Hei"/>
        <family val="2"/>
      </rPr>
      <t xml:space="preserve">（無來源）；</t>
    </r>
    <r>
      <rPr>
        <sz val="10"/>
        <color rgb="FF0000FF"/>
        <rFont val="Arial"/>
        <family val="0"/>
        <charset val="1"/>
      </rPr>
      <t xml:space="preserve">MS </t>
    </r>
    <r>
      <rPr>
        <sz val="10"/>
        <color rgb="FF0000FF"/>
        <rFont val="WenQuanYi Zen Hei"/>
        <family val="2"/>
      </rPr>
      <t xml:space="preserve">為成本（</t>
    </r>
    <r>
      <rPr>
        <sz val="10"/>
        <color rgb="FF0000FF"/>
        <rFont val="Arial"/>
        <family val="0"/>
        <charset val="1"/>
      </rPr>
      <t xml:space="preserve">BOM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Bernstein 9.1 M </t>
    </r>
    <r>
      <rPr>
        <sz val="10"/>
        <color rgb="FF0000FF"/>
        <rFont val="WenQuanYi Zen Hei"/>
        <family val="2"/>
      </rPr>
      <t xml:space="preserve">為售價口徑（摘要，未讀）；</t>
    </r>
    <r>
      <rPr>
        <sz val="10"/>
        <color rgb="FF0000FF"/>
        <rFont val="Arial"/>
        <family val="0"/>
        <charset val="1"/>
      </rPr>
      <t xml:space="preserve">r3 I2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BOM 7.8 </t>
    </r>
    <r>
      <rPr>
        <sz val="10"/>
        <color rgb="FF0000FF"/>
        <rFont val="WenQuanYi Zen Hei"/>
        <family val="2"/>
      </rPr>
      <t xml:space="preserve">本身為分析師估計，區間須保留 </t>
    </r>
    <r>
      <rPr>
        <sz val="10"/>
        <color rgb="FF0000FF"/>
        <rFont val="Arial"/>
        <family val="0"/>
        <charset val="1"/>
      </rPr>
      <t xml:space="preserve">BOM </t>
    </r>
    <r>
      <rPr>
        <sz val="10"/>
        <color rgb="FF0000FF"/>
        <rFont val="WenQuanYi Zen Hei"/>
        <family val="2"/>
      </rPr>
      <t xml:space="preserve">不確定，故低取零毛利 </t>
    </r>
    <r>
      <rPr>
        <sz val="10"/>
        <color rgb="FF0000FF"/>
        <rFont val="Arial"/>
        <family val="0"/>
        <charset val="1"/>
      </rPr>
      <t xml:space="preserve">BOM 7.8</t>
    </r>
    <r>
      <rPr>
        <sz val="10"/>
        <color rgb="FF0000FF"/>
        <rFont val="WenQuanYi Zen Hei"/>
        <family val="2"/>
      </rPr>
      <t xml:space="preserve">、高維持 </t>
    </r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SRC_HW_017</t>
    </r>
    <r>
      <rPr>
        <sz val="10"/>
        <color rgb="FF0000FF"/>
        <rFont val="WenQuanYi Zen Hei"/>
        <family val="2"/>
      </rPr>
      <t xml:space="preserve">，不變）；原 </t>
    </r>
    <r>
      <rPr>
        <sz val="10"/>
        <color rgb="FF0000FF"/>
        <rFont val="Arial"/>
        <family val="0"/>
        <charset val="1"/>
      </rPr>
      <t xml:space="preserve">F11 6.7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SRC_HW_016</t>
    </r>
    <r>
      <rPr>
        <sz val="10"/>
        <color rgb="FF0000FF"/>
        <rFont val="WenQuanYi Zen Hei"/>
        <family val="2"/>
      </rPr>
      <t xml:space="preserve">）不再連結，記錄保留</t>
    </r>
  </si>
  <si>
    <r>
      <rPr>
        <sz val="10"/>
        <color rgb="FF000000"/>
        <rFont val="Arial"/>
        <family val="0"/>
        <charset val="1"/>
      </rPr>
      <t xml:space="preserve">IF_FullCost_Sol(VR200)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Ans4</t>
    </r>
    <r>
      <rPr>
        <sz val="10"/>
        <color rgb="FF000000"/>
        <rFont val="WenQuanYi Zen Hei"/>
        <family val="2"/>
      </rPr>
      <t xml:space="preserve">（基準預期約 </t>
    </r>
    <r>
      <rPr>
        <sz val="10"/>
        <color rgb="FF000000"/>
        <rFont val="Arial"/>
        <family val="0"/>
        <charset val="1"/>
      </rPr>
      <t xml:space="preserve">+6%</t>
    </r>
    <r>
      <rPr>
        <sz val="10"/>
        <color rgb="FF000000"/>
        <rFont val="WenQuanYi Zen Hei"/>
        <family val="2"/>
      </rPr>
      <t xml:space="preserve">）</t>
    </r>
  </si>
  <si>
    <t xml:space="preserve">E220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</si>
  <si>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WenQuanYi Zen Hei"/>
        <family val="2"/>
      </rPr>
      <t xml:space="preserve">：最終訓練占 </t>
    </r>
    <r>
      <rPr>
        <sz val="10"/>
        <color rgb="FF0000FF"/>
        <rFont val="Arial"/>
        <family val="0"/>
        <charset val="1"/>
      </rPr>
      <t xml:space="preserve">R&amp;D </t>
    </r>
    <r>
      <rPr>
        <sz val="10"/>
        <color rgb="FF0000FF"/>
        <rFont val="WenQuanYi Zen Hei"/>
        <family val="2"/>
      </rPr>
      <t xml:space="preserve">算力支出 </t>
    </r>
    <r>
      <rPr>
        <sz val="10"/>
        <color rgb="FF0000FF"/>
        <rFont val="Arial"/>
        <family val="0"/>
        <charset val="1"/>
      </rPr>
      <t xml:space="preserve">OpenAI 9.6%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MiniMax 22.6%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Z.ai 12.3%</t>
    </r>
    <r>
      <rPr>
        <sz val="10"/>
        <color rgb="FF0000FF"/>
        <rFont val="WenQuanYi Zen Hei"/>
        <family val="2"/>
      </rPr>
      <t xml:space="preserve">（倍數 </t>
    </r>
    <r>
      <rPr>
        <sz val="10"/>
        <color rgb="FF0000FF"/>
        <rFont val="Arial"/>
        <family val="0"/>
        <charset val="1"/>
      </rPr>
      <t xml:space="preserve">10.4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8.1</t>
    </r>
    <r>
      <rPr>
        <sz val="10"/>
        <color rgb="FF0000FF"/>
        <rFont val="WenQuanYi Zen Hei"/>
        <family val="2"/>
      </rPr>
      <t xml:space="preserve">）</t>
    </r>
  </si>
  <si>
    <t xml:space="preserve">https://epoch.ai/gradient-updates/r-and-d-vs-training-compute</t>
  </si>
  <si>
    <r>
      <rPr>
        <sz val="10"/>
        <color rgb="FF0000FF"/>
        <rFont val="Arial"/>
        <family val="0"/>
        <charset val="1"/>
      </rPr>
      <t xml:space="preserve">Train_In 13</t>
    </r>
    <r>
      <rPr>
        <sz val="10"/>
        <color rgb="FF0000FF"/>
        <rFont val="WenQuanYi Zen Hei"/>
        <family val="2"/>
      </rPr>
      <t xml:space="preserve">（研發倍數；</t>
    </r>
    <r>
      <rPr>
        <sz val="10"/>
        <color rgb="FF0000FF"/>
        <rFont val="Arial"/>
        <family val="0"/>
        <charset val="1"/>
      </rPr>
      <t xml:space="preserve">SRC_DEM_001–003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</si>
  <si>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4.4–10.4</t>
    </r>
    <r>
      <rPr>
        <sz val="10"/>
        <color rgb="FF0000FF"/>
        <rFont val="WenQuanYi Zen Hei"/>
        <family val="2"/>
      </rPr>
      <t xml:space="preserve">）</t>
    </r>
  </si>
  <si>
    <t xml:space="preserve">不改</t>
  </si>
  <si>
    <t xml:space="preserve">已讀，未新增（與現區間完全相同）</t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</si>
  <si>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｜無新獨立對象｜立場：</t>
    </r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WenQuanYi Zen Hei"/>
        <family val="2"/>
      </rPr>
      <t xml:space="preserve">（中立）</t>
    </r>
  </si>
  <si>
    <t xml:space="preserve">E221</t>
  </si>
  <si>
    <r>
      <rPr>
        <sz val="10"/>
        <color rgb="FF0000FF"/>
        <rFont val="WenQuanYi Zen Hei"/>
        <family val="2"/>
      </rPr>
      <t xml:space="preserve">每層延遲倍數（</t>
    </r>
    <r>
      <rPr>
        <sz val="10"/>
        <color rgb="FF0000FF"/>
        <rFont val="Arial"/>
        <family val="0"/>
        <charset val="1"/>
      </rPr>
      <t xml:space="preserve">Calib 68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RL rollout token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Train_In 34</t>
    </r>
    <r>
      <rPr>
        <sz val="10"/>
        <color rgb="FF0000FF"/>
        <rFont val="WenQuanYi Zen Hei"/>
        <family val="2"/>
      </rPr>
      <t xml:space="preserve">）：以查詢詞搜尋，找不到原始出處</t>
    </r>
  </si>
  <si>
    <r>
      <rPr>
        <sz val="10"/>
        <color rgb="FF0000FF"/>
        <rFont val="WenQuanYi Zen Hei"/>
        <family val="2"/>
      </rPr>
      <t xml:space="preserve">搜尋引擎、</t>
    </r>
    <r>
      <rPr>
        <sz val="10"/>
        <color rgb="FF0000FF"/>
        <rFont val="Arial"/>
        <family val="0"/>
        <charset val="1"/>
      </rPr>
      <t xml:space="preserve">github raw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arXiv</t>
    </r>
  </si>
  <si>
    <r>
      <rPr>
        <sz val="10"/>
        <color rgb="FF0000FF"/>
        <rFont val="WenQuanYi Zen Hei"/>
        <family val="2"/>
      </rPr>
      <t xml:space="preserve">找不到原始出處（</t>
    </r>
    <r>
      <rPr>
        <sz val="10"/>
        <color rgb="FF0000FF"/>
        <rFont val="Arial"/>
        <family val="0"/>
        <charset val="1"/>
      </rPr>
      <t xml:space="preserve">R6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</si>
  <si>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Calib 68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34</t>
    </r>
  </si>
  <si>
    <r>
      <rPr>
        <sz val="10"/>
        <color rgb="FF0000FF"/>
        <rFont val="Arial"/>
        <family val="0"/>
        <charset val="1"/>
      </rPr>
      <t xml:space="preserve">Hopper 1.5</t>
    </r>
    <r>
      <rPr>
        <sz val="10"/>
        <color rgb="FF0000FF"/>
        <rFont val="WenQuanYi Zen Hei"/>
        <family val="2"/>
      </rPr>
      <t xml:space="preserve">／其餘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2.36 T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9.6 T</t>
    </r>
  </si>
  <si>
    <t xml:space="preserve">不動（缺口）</t>
  </si>
  <si>
    <t xml:space="preserve">已搜尋，無候選（缺口）</t>
  </si>
  <si>
    <r>
      <rPr>
        <sz val="10"/>
        <color rgb="FF0000FF"/>
        <rFont val="WenQuanYi Zen Hei"/>
        <family val="2"/>
      </rPr>
      <t xml:space="preserve">查詢詞：「</t>
    </r>
    <r>
      <rPr>
        <sz val="10"/>
        <color rgb="FF0000FF"/>
        <rFont val="Arial"/>
        <family val="0"/>
        <charset val="1"/>
      </rPr>
      <t xml:space="preserve">DeepSeek inference system overview 226.75 nodes …</t>
    </r>
    <r>
      <rPr>
        <sz val="10"/>
        <color rgb="FF0000FF"/>
        <rFont val="WenQuanYi Zen Hei"/>
        <family val="2"/>
      </rPr>
      <t xml:space="preserve">」「</t>
    </r>
    <r>
      <rPr>
        <sz val="10"/>
        <color rgb="FF0000FF"/>
        <rFont val="Arial"/>
        <family val="0"/>
        <charset val="1"/>
      </rPr>
      <t xml:space="preserve">Hopper expert parallel per-layer latency InfiniBand</t>
    </r>
    <r>
      <rPr>
        <sz val="10"/>
        <color rgb="FF0000FF"/>
        <rFont val="WenQuanYi Zen Hei"/>
        <family val="2"/>
      </rPr>
      <t xml:space="preserve">」「</t>
    </r>
    <r>
      <rPr>
        <sz val="10"/>
        <color rgb="FF0000FF"/>
        <rFont val="Arial"/>
        <family val="0"/>
        <charset val="1"/>
      </rPr>
      <t xml:space="preserve">RL rollout tokens frontier lab total</t>
    </r>
    <r>
      <rPr>
        <sz val="10"/>
        <color rgb="FF0000FF"/>
        <rFont val="WenQuanYi Zen Hei"/>
        <family val="2"/>
      </rPr>
      <t xml:space="preserve">」「</t>
    </r>
    <r>
      <rPr>
        <sz val="10"/>
        <color rgb="FF0000FF"/>
        <rFont val="Arial"/>
        <family val="0"/>
        <charset val="1"/>
      </rPr>
      <t xml:space="preserve">GRPO rollout tokens per step</t>
    </r>
    <r>
      <rPr>
        <sz val="10"/>
        <color rgb="FF0000FF"/>
        <rFont val="WenQuanYi Zen Hei"/>
        <family val="2"/>
      </rPr>
      <t xml:space="preserve">」；已查：</t>
    </r>
    <r>
      <rPr>
        <sz val="10"/>
        <color rgb="FF0000FF"/>
        <rFont val="Arial"/>
        <family val="0"/>
        <charset val="1"/>
      </rPr>
      <t xml:space="preserve">github raw </t>
    </r>
    <r>
      <rPr>
        <sz val="10"/>
        <color rgb="FF0000FF"/>
        <rFont val="WenQuanYi Zen Hei"/>
        <family val="2"/>
      </rPr>
      <t xml:space="preserve">概述、</t>
    </r>
    <r>
      <rPr>
        <sz val="10"/>
        <color rgb="FF0000FF"/>
        <rFont val="Arial"/>
        <family val="0"/>
        <charset val="1"/>
      </rPr>
      <t xml:space="preserve">arXiv</t>
    </r>
    <r>
      <rPr>
        <sz val="10"/>
        <color rgb="FF0000FF"/>
        <rFont val="WenQuanYi Zen Hei"/>
        <family val="2"/>
      </rPr>
      <t xml:space="preserve">、搜尋引擎｜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WenQuanYi Zen Hei"/>
        <family val="2"/>
      </rPr>
      <t xml:space="preserve">概述只給吞吐、無每層延遲；論文為研究規模，無前沿實驗室總 </t>
    </r>
    <r>
      <rPr>
        <sz val="10"/>
        <color rgb="FF0000FF"/>
        <rFont val="Arial"/>
        <family val="0"/>
        <charset val="1"/>
      </rPr>
      <t xml:space="preserve">rollout token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R1 RL÷V3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WenQuanYi Zen Hei"/>
        <family val="2"/>
      </rPr>
      <t xml:space="preserve">小時比 </t>
    </r>
    <r>
      <rPr>
        <sz val="10"/>
        <color rgb="FF0000FF"/>
        <rFont val="Arial"/>
        <family val="0"/>
        <charset val="1"/>
      </rPr>
      <t xml:space="preserve">0.055 </t>
    </r>
    <r>
      <rPr>
        <sz val="10"/>
        <color rgb="FF0000FF"/>
        <rFont val="WenQuanYi Zen Hei"/>
        <family val="2"/>
      </rPr>
      <t xml:space="preserve">僅為間接對照</t>
    </r>
  </si>
  <si>
    <t xml:space="preserve">E222</t>
  </si>
  <si>
    <r>
      <rPr>
        <sz val="10"/>
        <color rgb="FF0000FF"/>
        <rFont val="Arial"/>
        <family val="0"/>
        <charset val="1"/>
      </rPr>
      <t xml:space="preserve">J6 </t>
    </r>
    <r>
      <rPr>
        <sz val="10"/>
        <color rgb="FF0000FF"/>
        <rFont val="WenQuanYi Zen Hei"/>
        <family val="2"/>
      </rPr>
      <t xml:space="preserve">基準利用率／</t>
    </r>
    <r>
      <rPr>
        <sz val="10"/>
        <color rgb="FF0000FF"/>
        <rFont val="Arial"/>
        <family val="0"/>
        <charset val="1"/>
      </rPr>
      <t xml:space="preserve">J15 </t>
    </r>
    <r>
      <rPr>
        <sz val="10"/>
        <color rgb="FF0000FF"/>
        <rFont val="WenQuanYi Zen Hei"/>
        <family val="2"/>
      </rPr>
      <t xml:space="preserve">生產折減：蒐集證據（</t>
    </r>
    <r>
      <rPr>
        <sz val="10"/>
        <color rgb="FF0000FF"/>
        <rFont val="Arial"/>
        <family val="0"/>
        <charset val="1"/>
      </rPr>
      <t xml:space="preserve">S2 (a)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</si>
  <si>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WenQuanYi Zen Hei"/>
        <family val="2"/>
      </rPr>
      <t xml:space="preserve">（基準利用率 </t>
    </r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Serving 18</t>
    </r>
    <r>
      <rPr>
        <sz val="10"/>
        <color rgb="FF0000FF"/>
        <rFont val="WenQuanYi Zen Hei"/>
        <family val="2"/>
      </rPr>
      <t xml:space="preserve">（實測→生產折減 </t>
    </r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</si>
  <si>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1.0</t>
    </r>
  </si>
  <si>
    <r>
      <rPr>
        <sz val="10"/>
        <color rgb="FF0000FF"/>
        <rFont val="WenQuanYi Zen Hei"/>
        <family val="2"/>
      </rPr>
      <t xml:space="preserve">不提議數值、不改暫用值（</t>
    </r>
    <r>
      <rPr>
        <sz val="10"/>
        <color rgb="FF0000FF"/>
        <rFont val="Arial"/>
        <family val="0"/>
        <charset val="1"/>
      </rPr>
      <t xml:space="preserve">G0-11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</si>
  <si>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WenQuanYi Zen Hei"/>
        <family val="2"/>
      </rPr>
      <t xml:space="preserve">已讀，未採用（</t>
    </r>
    <r>
      <rPr>
        <sz val="10"/>
        <color rgb="FF0000FF"/>
        <rFont val="Arial"/>
        <family val="0"/>
        <charset val="1"/>
      </rPr>
      <t xml:space="preserve">S2 (a)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</si>
  <si>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WenQuanYi Zen Hei"/>
        <family val="2"/>
      </rPr>
      <t xml:space="preserve">見 </t>
    </r>
    <r>
      <rPr>
        <sz val="10"/>
        <color rgb="FF0000FF"/>
        <rFont val="Arial"/>
        <family val="0"/>
        <charset val="1"/>
      </rPr>
      <t xml:space="preserve">E210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WenQuanYi Zen Hei"/>
        <family val="2"/>
      </rPr>
      <t xml:space="preserve">概述）；</t>
    </r>
    <r>
      <rPr>
        <sz val="10"/>
        <color rgb="FF0000FF"/>
        <rFont val="Arial"/>
        <family val="0"/>
        <charset val="1"/>
      </rPr>
      <t xml:space="preserve">InferenceX </t>
    </r>
    <r>
      <rPr>
        <sz val="10"/>
        <color rgb="FF0000FF"/>
        <rFont val="WenQuanYi Zen Hei"/>
        <family val="2"/>
      </rPr>
      <t xml:space="preserve">無 </t>
    </r>
    <r>
      <rPr>
        <sz val="10"/>
        <color rgb="FF0000FF"/>
        <rFont val="Arial"/>
        <family val="0"/>
        <charset val="1"/>
      </rPr>
      <t xml:space="preserve">H800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H200 </t>
    </r>
    <r>
      <rPr>
        <sz val="10"/>
        <color rgb="FF0000FF"/>
        <rFont val="WenQuanYi Zen Hei"/>
        <family val="2"/>
      </rPr>
      <t xml:space="preserve">同模型點；</t>
    </r>
    <r>
      <rPr>
        <sz val="10"/>
        <color rgb="FF0000FF"/>
        <rFont val="Arial"/>
        <family val="0"/>
        <charset val="1"/>
      </rPr>
      <t xml:space="preserve">η </t>
    </r>
    <r>
      <rPr>
        <sz val="10"/>
        <color rgb="FF0000FF"/>
        <rFont val="WenQuanYi Zen Hei"/>
        <family val="2"/>
      </rPr>
      <t xml:space="preserve">拆解依 </t>
    </r>
    <r>
      <rPr>
        <sz val="10"/>
        <color rgb="FF0000FF"/>
        <rFont val="Arial"/>
        <family val="0"/>
        <charset val="1"/>
      </rPr>
      <t xml:space="preserve">Andy</t>
    </r>
    <r>
      <rPr>
        <sz val="10"/>
        <color rgb="FF0000FF"/>
        <rFont val="WenQuanYi Zen Hei"/>
        <family val="2"/>
      </rPr>
      <t xml:space="preserve">『有新數據再說』暫緩</t>
    </r>
  </si>
  <si>
    <t xml:space="preserve">E223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</si>
  <si>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WenQuanYi Zen Hei"/>
        <family val="2"/>
      </rPr>
      <t xml:space="preserve">單位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WenQuanYi Zen Hei"/>
        <family val="2"/>
      </rPr>
      <t xml:space="preserve">需求、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WenQuanYi Zen Hei"/>
        <family val="2"/>
      </rPr>
      <t xml:space="preserve">殘差倍數、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WenQuanYi Zen Hei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 </t>
    </r>
    <r>
      <rPr>
        <sz val="10"/>
        <color rgb="FF0000FF"/>
        <rFont val="WenQuanYi Zen Hei"/>
        <family val="2"/>
      </rPr>
      <t xml:space="preserve">與規模倍數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WenQuanYi Zen Hei"/>
        <family val="2"/>
      </rPr>
      <t xml:space="preserve">啟用參數、</t>
    </r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WenQuanYi Zen Hei"/>
        <family val="2"/>
      </rPr>
      <t xml:space="preserve">：已知無來源之 </t>
    </r>
    <r>
      <rPr>
        <sz val="10"/>
        <color rgb="FF0000FF"/>
        <rFont val="Arial"/>
        <family val="0"/>
        <charset val="1"/>
      </rPr>
      <t xml:space="preserve">Assumed </t>
    </r>
    <r>
      <rPr>
        <sz val="10"/>
        <color rgb="FF0000FF"/>
        <rFont val="WenQuanYi Zen Hei"/>
        <family val="2"/>
      </rPr>
      <t xml:space="preserve">參數</t>
    </r>
  </si>
  <si>
    <r>
      <rPr>
        <sz val="10"/>
        <color rgb="FF0000FF"/>
        <rFont val="WenQuanYi Zen Hei"/>
        <family val="2"/>
      </rPr>
      <t xml:space="preserve">（各列 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WenQuanYi Zen Hei"/>
        <family val="2"/>
      </rPr>
      <t xml:space="preserve">理由欄）</t>
    </r>
  </si>
  <si>
    <r>
      <rPr>
        <sz val="10"/>
        <color rgb="FF0000FF"/>
        <rFont val="Arial"/>
        <family val="0"/>
        <charset val="1"/>
      </rPr>
      <t xml:space="preserve">Workload 13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Alloc_In C6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C8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 </t>
    </r>
    <r>
      <rPr>
        <sz val="10"/>
        <color rgb="FF0000FF"/>
        <rFont val="WenQuanYi Zen Hei"/>
        <family val="2"/>
      </rPr>
      <t xml:space="preserve">等</t>
    </r>
  </si>
  <si>
    <r>
      <rPr>
        <sz val="10"/>
        <color rgb="FF0000FF"/>
        <rFont val="WenQuanYi Zen Hei"/>
        <family val="2"/>
      </rPr>
      <t xml:space="preserve">區間依據＝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WenQuanYi Zen Hei"/>
        <family val="2"/>
      </rPr>
      <t xml:space="preserve">理由欄（</t>
    </r>
    <r>
      <rPr>
        <sz val="10"/>
        <color rgb="FF0000FF"/>
        <rFont val="Arial"/>
        <family val="0"/>
        <charset val="1"/>
      </rPr>
      <t xml:space="preserve">Claude </t>
    </r>
    <r>
      <rPr>
        <sz val="10"/>
        <color rgb="FF0000FF"/>
        <rFont val="WenQuanYi Zen Hei"/>
        <family val="2"/>
      </rPr>
      <t xml:space="preserve">提議，</t>
    </r>
    <r>
      <rPr>
        <sz val="10"/>
        <color rgb="FF0000FF"/>
        <rFont val="Arial"/>
        <family val="0"/>
        <charset val="1"/>
      </rPr>
      <t xml:space="preserve">Andy 2026-10-03 </t>
    </r>
    <r>
      <rPr>
        <sz val="10"/>
        <color rgb="FF0000FF"/>
        <rFont val="WenQuanYi Zen Hei"/>
        <family val="2"/>
      </rPr>
      <t xml:space="preserve">確認）；無外部來源</t>
    </r>
  </si>
  <si>
    <r>
      <rPr>
        <sz val="10"/>
        <color rgb="FF0000FF"/>
        <rFont val="WenQuanYi Zen Hei"/>
        <family val="2"/>
      </rPr>
      <t xml:space="preserve">完成檢查 </t>
    </r>
    <r>
      <rPr>
        <sz val="10"/>
        <color rgb="FF0000FF"/>
        <rFont val="Arial"/>
        <family val="0"/>
        <charset val="1"/>
      </rPr>
      <t xml:space="preserve">6.2 </t>
    </r>
    <r>
      <rPr>
        <sz val="10"/>
        <color rgb="FF0000FF"/>
        <rFont val="WenQuanYi Zen Hei"/>
        <family val="2"/>
      </rPr>
      <t xml:space="preserve">逐列列出三項；無外部來源者列為『已搜尋：（無）／候選：（無）／區間依據：</t>
    </r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WenQuanYi Zen Hei"/>
        <family val="2"/>
      </rPr>
      <t xml:space="preserve">確認』，三項不齊處在報告標出</t>
    </r>
  </si>
  <si>
    <t xml:space="preserve">E224</t>
  </si>
  <si>
    <r>
      <rPr>
        <sz val="10"/>
        <color rgb="FF0000FF"/>
        <rFont val="Arial"/>
        <family val="0"/>
        <charset val="1"/>
      </rPr>
      <t xml:space="preserve">SRC_HW_022 </t>
    </r>
    <r>
      <rPr>
        <sz val="10"/>
        <color rgb="FF0000FF"/>
        <rFont val="WenQuanYi Zen Hei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WenQuanYi Zen Hei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Blackwell Ultra </t>
    </r>
    <r>
      <rPr>
        <sz val="10"/>
        <color rgb="FF0000FF"/>
        <rFont val="WenQuanYi Zen Hei"/>
        <family val="2"/>
      </rPr>
      <t xml:space="preserve">技術部落格規格表）</t>
    </r>
  </si>
  <si>
    <r>
      <rPr>
        <sz val="10"/>
        <color rgb="FF0000FF"/>
        <rFont val="Arial"/>
        <family val="0"/>
        <charset val="1"/>
      </rPr>
      <t xml:space="preserve">Spec_Rack D23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D24</t>
    </r>
  </si>
  <si>
    <r>
      <rPr>
        <sz val="10"/>
        <color rgb="FF0000FF"/>
        <rFont val="Arial"/>
        <family val="0"/>
        <charset val="1"/>
      </rPr>
      <t xml:space="preserve">10 PF/GPU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</si>
  <si>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10 PF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</si>
  <si>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WenQuanYi Zen Hei"/>
        <family val="2"/>
      </rPr>
      <t xml:space="preserve">採納（</t>
    </r>
    <r>
      <rPr>
        <sz val="10"/>
        <color rgb="FF0000FF"/>
        <rFont val="Arial"/>
        <family val="0"/>
        <charset val="1"/>
      </rPr>
      <t xml:space="preserve">S1 (a)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WenQuanYi Zen Hei"/>
        <family val="2"/>
      </rPr>
      <t xml:space="preserve">端已查證）</t>
    </r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</si>
  <si>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1b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2026-10-05</t>
    </r>
    <r>
      <rPr>
        <sz val="10"/>
        <color rgb="FF0000FF"/>
        <rFont val="WenQuanYi Zen Hei"/>
        <family val="2"/>
      </rPr>
      <t xml:space="preserve">）｜“</t>
    </r>
    <r>
      <rPr>
        <sz val="10"/>
        <color rgb="FF0000FF"/>
        <rFont val="Arial"/>
        <family val="0"/>
        <charset val="1"/>
      </rPr>
      <t xml:space="preserve">NVFP4 dense | sparse performance … 10 | 20 PetaFLOPS 15 | 20 PetaFLOPS”</t>
    </r>
    <r>
      <rPr>
        <sz val="10"/>
        <color rgb="FF0000FF"/>
        <rFont val="WenQuanYi Zen Hei"/>
        <family val="2"/>
      </rPr>
      <t xml:space="preserve">（左欄 </t>
    </r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WenQuanYi Zen Hei"/>
        <family val="2"/>
      </rPr>
      <t xml:space="preserve">、右欄 </t>
    </r>
    <r>
      <rPr>
        <sz val="10"/>
        <color rgb="FF0000FF"/>
        <rFont val="Arial"/>
        <family val="0"/>
        <charset val="1"/>
      </rPr>
      <t xml:space="preserve">Blackwell Ultra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WenQuanYi Zen Hei"/>
        <family val="2"/>
      </rPr>
      <t xml:space="preserve">）；值相同、已讀原文，符合 </t>
    </r>
    <r>
      <rPr>
        <sz val="10"/>
        <color rgb="FF0000FF"/>
        <rFont val="Arial"/>
        <family val="0"/>
        <charset val="1"/>
      </rPr>
      <t xml:space="preserve">S1 (a)</t>
    </r>
    <r>
      <rPr>
        <sz val="10"/>
        <color rgb="FF0000FF"/>
        <rFont val="WenQuanYi Zen Hei"/>
        <family val="2"/>
      </rPr>
      <t xml:space="preserve">，但不在工作單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級清單；</t>
    </r>
    <r>
      <rPr>
        <sz val="10"/>
        <color rgb="FF0000FF"/>
        <rFont val="Arial"/>
        <family val="0"/>
        <charset val="1"/>
      </rPr>
      <t xml:space="preserve">W2 −1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GM106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WenQuanYi Zen Hei"/>
        <family val="2"/>
      </rPr>
      <t xml:space="preserve">端已查證（</t>
    </r>
    <r>
      <rPr>
        <sz val="10"/>
        <color rgb="FF0000FF"/>
        <rFont val="Arial"/>
        <family val="0"/>
        <charset val="1"/>
      </rPr>
      <t xml:space="preserve">PR #19 </t>
    </r>
    <r>
      <rPr>
        <sz val="10"/>
        <color rgb="FF0000FF"/>
        <rFont val="WenQuanYi Zen Hei"/>
        <family val="2"/>
      </rPr>
      <t xml:space="preserve">審查）</t>
    </r>
  </si>
  <si>
    <t xml:space="preserve">E225</t>
  </si>
  <si>
    <r>
      <rPr>
        <sz val="10"/>
        <color rgb="FF0000FF"/>
        <rFont val="Arial"/>
        <family val="0"/>
        <charset val="1"/>
      </rPr>
      <t xml:space="preserve">SRC_HW_027 </t>
    </r>
    <r>
      <rPr>
        <sz val="10"/>
        <color rgb="FF0000FF"/>
        <rFont val="WenQuanYi Zen Hei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WenQuanYi Zen Hei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Rubin </t>
    </r>
    <r>
      <rPr>
        <sz val="10"/>
        <color rgb="FF0000FF"/>
        <rFont val="WenQuanYi Zen Hei"/>
        <family val="2"/>
      </rPr>
      <t xml:space="preserve">平台技術部落格 </t>
    </r>
    <r>
      <rPr>
        <sz val="10"/>
        <color rgb="FF0000FF"/>
        <rFont val="Arial"/>
        <family val="0"/>
        <charset val="1"/>
      </rPr>
      <t xml:space="preserve">Table 2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WenQuanYi Zen Hei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</si>
  <si>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https://developer.nvidia.com/blog/inside-the-nvidia-rubin-platform-six-new-chips-one-ai-supercomputer/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https://www.nvidia.com/en-us/data-center/dgx-vera-rubin-nvl72/</t>
    </r>
  </si>
  <si>
    <t xml:space="preserve">Spec_Rack F24</t>
  </si>
  <si>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</si>
  <si>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WenQuanYi Zen Hei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Transformer Engine compute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WenQuanYi Zen Hei"/>
        <family val="2"/>
      </rPr>
      <t xml:space="preserve">頁註 </t>
    </r>
    <r>
      <rPr>
        <sz val="10"/>
        <color rgb="FF0000FF"/>
        <rFont val="Arial"/>
        <family val="0"/>
        <charset val="1"/>
      </rPr>
      <t xml:space="preserve">Sparse specification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</si>
  <si>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1b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1c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2026-10-05</t>
    </r>
    <r>
      <rPr>
        <sz val="10"/>
        <color rgb="FF0000FF"/>
        <rFont val="WenQuanYi Zen Hei"/>
        <family val="2"/>
      </rPr>
      <t xml:space="preserve">）｜口徑與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的『含自適應壓縮』一致；值相同、已讀原文，符合 </t>
    </r>
    <r>
      <rPr>
        <sz val="10"/>
        <color rgb="FF0000FF"/>
        <rFont val="Arial"/>
        <family val="0"/>
        <charset val="1"/>
      </rPr>
      <t xml:space="preserve">S1 (a)</t>
    </r>
    <r>
      <rPr>
        <sz val="10"/>
        <color rgb="FF0000FF"/>
        <rFont val="WenQuanYi Zen Hei"/>
        <family val="2"/>
      </rPr>
      <t xml:space="preserve">，但不在工作單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級清單；</t>
    </r>
    <r>
      <rPr>
        <sz val="10"/>
        <color rgb="FF0000FF"/>
        <rFont val="Arial"/>
        <family val="0"/>
        <charset val="1"/>
      </rPr>
      <t xml:space="preserve">W2 −1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GM108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WenQuanYi Zen Hei"/>
        <family val="2"/>
      </rPr>
      <t xml:space="preserve">端已查證（</t>
    </r>
    <r>
      <rPr>
        <sz val="10"/>
        <color rgb="FF0000FF"/>
        <rFont val="Arial"/>
        <family val="0"/>
        <charset val="1"/>
      </rPr>
      <t xml:space="preserve">PR #19 </t>
    </r>
    <r>
      <rPr>
        <sz val="10"/>
        <color rgb="FF0000FF"/>
        <rFont val="WenQuanYi Zen Hei"/>
        <family val="2"/>
      </rPr>
      <t xml:space="preserve">審查）</t>
    </r>
  </si>
  <si>
    <t xml:space="preserve">E226</t>
  </si>
  <si>
    <r>
      <rPr>
        <sz val="10"/>
        <color rgb="FF0000FF"/>
        <rFont val="Arial"/>
        <family val="0"/>
        <charset val="1"/>
      </rPr>
      <t xml:space="preserve">SRC_HW_053 </t>
    </r>
    <r>
      <rPr>
        <sz val="10"/>
        <color rgb="FF0000FF"/>
        <rFont val="WenQuanYi Zen Hei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WenQuanYi Zen Hei"/>
        <family val="2"/>
      </rPr>
      <t xml:space="preserve">板（</t>
    </r>
    <r>
      <rPr>
        <sz val="10"/>
        <color rgb="FF0000FF"/>
        <rFont val="Arial"/>
        <family val="0"/>
        <charset val="1"/>
      </rPr>
      <t xml:space="preserve">DGX H100/H200 </t>
    </r>
    <r>
      <rPr>
        <sz val="10"/>
        <color rgb="FF0000FF"/>
        <rFont val="WenQuanYi Zen Hei"/>
        <family val="2"/>
      </rPr>
      <t xml:space="preserve">使用手冊）</t>
    </r>
  </si>
  <si>
    <r>
      <rPr>
        <sz val="10"/>
        <color rgb="FF0000FF"/>
        <rFont val="Arial"/>
        <family val="0"/>
        <charset val="1"/>
      </rPr>
      <t xml:space="preserve">Spec_Rack C28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Scale-up </t>
    </r>
    <r>
      <rPr>
        <sz val="10"/>
        <color rgb="FF0000FF"/>
        <rFont val="WenQuanYi Zen Hei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WenQuanYi Zen Hei"/>
        <family val="2"/>
      </rPr>
      <t xml:space="preserve">數）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</si>
  <si>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</si>
  <si>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8 x NVIDIA H100 GPUs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 x 4th generation NVLinks 900 GB/s GPU-to-GPU</t>
    </r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</si>
  <si>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2026-10-05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WebFetch</t>
    </r>
    <r>
      <rPr>
        <sz val="10"/>
        <color rgb="FF0000FF"/>
        <rFont val="WenQuanYi Zen Hei"/>
        <family val="2"/>
      </rPr>
      <t xml:space="preserve">）｜“</t>
    </r>
    <r>
      <rPr>
        <sz val="10"/>
        <color rgb="FF0000FF"/>
        <rFont val="Arial"/>
        <family val="0"/>
        <charset val="1"/>
      </rPr>
      <t xml:space="preserve">8 x NVIDIA H100 GPUs that provide 640 GB total GPU memory”</t>
    </r>
    <r>
      <rPr>
        <sz val="10"/>
        <color rgb="FF0000FF"/>
        <rFont val="WenQuanYi Zen Hei"/>
        <family val="2"/>
      </rPr>
      <t xml:space="preserve">；“</t>
    </r>
    <r>
      <rPr>
        <sz val="10"/>
        <color rgb="FF0000FF"/>
        <rFont val="Arial"/>
        <family val="0"/>
        <charset val="1"/>
      </rPr>
      <t xml:space="preserve">4 x 4th generation NVLinks that provide 900 GB/s GPU-to-GPU bandwidth”</t>
    </r>
    <r>
      <rPr>
        <sz val="10"/>
        <color rgb="FF0000FF"/>
        <rFont val="WenQuanYi Zen Hei"/>
        <family val="2"/>
      </rPr>
      <t xml:space="preserve">（兩句分列，頁面未以單句寫『</t>
    </r>
    <r>
      <rPr>
        <sz val="10"/>
        <color rgb="FF0000FF"/>
        <rFont val="Arial"/>
        <family val="0"/>
        <charset val="1"/>
      </rPr>
      <t xml:space="preserve">8 GPU </t>
    </r>
    <r>
      <rPr>
        <sz val="10"/>
        <color rgb="FF0000FF"/>
        <rFont val="WenQuanYi Zen Hei"/>
        <family val="2"/>
      </rPr>
      <t xml:space="preserve">同一 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WenQuanYi Zen Hei"/>
        <family val="2"/>
      </rPr>
      <t xml:space="preserve">域』，域大小由 </t>
    </r>
    <r>
      <rPr>
        <sz val="10"/>
        <color rgb="FF0000FF"/>
        <rFont val="Arial"/>
        <family val="0"/>
        <charset val="1"/>
      </rPr>
      <t xml:space="preserve">NVSwitch </t>
    </r>
    <r>
      <rPr>
        <sz val="10"/>
        <color rgb="FF0000FF"/>
        <rFont val="WenQuanYi Zen Hei"/>
        <family val="2"/>
      </rPr>
      <t xml:space="preserve">拓撲推得 </t>
    </r>
    <r>
      <rPr>
        <sz val="10"/>
        <color rgb="FF0000FF"/>
        <rFont val="Arial"/>
        <family val="0"/>
        <charset val="1"/>
      </rPr>
      <t xml:space="preserve">[Derived]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W2 −1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GM125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WenQuanYi Zen Hei"/>
        <family val="2"/>
      </rPr>
      <t xml:space="preserve">域＝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WenQuanYi Zen Hei"/>
        <family val="2"/>
      </rPr>
      <t xml:space="preserve">由拓撲推得（</t>
    </r>
    <r>
      <rPr>
        <sz val="10"/>
        <color rgb="FF0000FF"/>
        <rFont val="Arial"/>
        <family val="0"/>
        <charset val="1"/>
      </rPr>
      <t xml:space="preserve">Derived </t>
    </r>
    <r>
      <rPr>
        <sz val="10"/>
        <color rgb="FF0000FF"/>
        <rFont val="WenQuanYi Zen Hei"/>
        <family val="2"/>
      </rPr>
      <t xml:space="preserve">一步）；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WenQuanYi Zen Hei"/>
        <family val="2"/>
      </rPr>
      <t xml:space="preserve">端已查證（</t>
    </r>
    <r>
      <rPr>
        <sz val="10"/>
        <color rgb="FF0000FF"/>
        <rFont val="Arial"/>
        <family val="0"/>
        <charset val="1"/>
      </rPr>
      <t xml:space="preserve">PR #19 </t>
    </r>
    <r>
      <rPr>
        <sz val="10"/>
        <color rgb="FF0000FF"/>
        <rFont val="WenQuanYi Zen Hei"/>
        <family val="2"/>
      </rPr>
      <t xml:space="preserve">審查）</t>
    </r>
  </si>
  <si>
    <t xml:space="preserve">E227</t>
  </si>
  <si>
    <r>
      <rPr>
        <sz val="10"/>
        <color rgb="FF0000FF"/>
        <rFont val="Arial"/>
        <family val="0"/>
        <charset val="1"/>
      </rPr>
      <t xml:space="preserve">SRC_HW_011 </t>
    </r>
    <r>
      <rPr>
        <sz val="10"/>
        <color rgb="FF0000FF"/>
        <rFont val="WenQuanYi Zen Hei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WenQuanYi Zen Hei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Schneider Electric </t>
    </r>
    <r>
      <rPr>
        <sz val="10"/>
        <color rgb="FF0000FF"/>
        <rFont val="WenQuanYi Zen Hei"/>
        <family val="2"/>
      </rPr>
      <t xml:space="preserve">部落格，</t>
    </r>
    <r>
      <rPr>
        <sz val="10"/>
        <color rgb="FF0000FF"/>
        <rFont val="Arial"/>
        <family val="0"/>
        <charset val="1"/>
      </rPr>
      <t xml:space="preserve">2026-05-08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</si>
  <si>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Spec_Rack F8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WenQuanYi Zen Hei"/>
        <family val="2"/>
      </rPr>
      <t xml:space="preserve">機架功率低）</t>
    </r>
  </si>
  <si>
    <r>
      <rPr>
        <sz val="10"/>
        <color rgb="FF0000FF"/>
        <rFont val="Arial"/>
        <family val="0"/>
        <charset val="1"/>
      </rPr>
      <t xml:space="preserve">190 kW</t>
    </r>
    <r>
      <rPr>
        <sz val="10"/>
        <color rgb="FF0000FF"/>
        <rFont val="WenQuanYi Zen Hei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</si>
  <si>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188 kW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MaxQ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</si>
  <si>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WenQuanYi Zen Hei"/>
        <family val="2"/>
      </rPr>
      <t xml:space="preserve">採納（</t>
    </r>
    <r>
      <rPr>
        <sz val="10"/>
        <color rgb="FF0000FF"/>
        <rFont val="Arial"/>
        <family val="0"/>
        <charset val="1"/>
      </rPr>
      <t xml:space="preserve">S1 (a)</t>
    </r>
    <r>
      <rPr>
        <sz val="10"/>
        <color rgb="FF0000FF"/>
        <rFont val="WenQuanYi Zen Hei"/>
        <family val="2"/>
      </rPr>
      <t xml:space="preserve">；值相同；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WenQuanYi Zen Hei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PR #19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</si>
  <si>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1d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curl HTTP 200 </t>
    </r>
    <r>
      <rPr>
        <sz val="10"/>
        <color rgb="FF0000FF"/>
        <rFont val="WenQuanYi Zen Hei"/>
        <family val="2"/>
      </rPr>
      <t xml:space="preserve">自讀）｜逐字：“</t>
    </r>
    <r>
      <rPr>
        <sz val="10"/>
        <color rgb="FF0000FF"/>
        <rFont val="Arial"/>
        <family val="0"/>
        <charset val="1"/>
      </rPr>
      <t xml:space="preserve">supports operation at MaxQ 188 kw/rack and MaxP 227 kw/rack”</t>
    </r>
    <r>
      <rPr>
        <sz val="10"/>
        <color rgb="FF0000FF"/>
        <rFont val="WenQuanYi Zen Hei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SRC_HW_011 </t>
    </r>
    <r>
      <rPr>
        <sz val="10"/>
        <color rgb="FF0000FF"/>
        <rFont val="WenQuanYi Zen Hei"/>
        <family val="2"/>
      </rPr>
      <t xml:space="preserve">值由 </t>
    </r>
    <r>
      <rPr>
        <sz val="10"/>
        <color rgb="FF0000FF"/>
        <rFont val="Arial"/>
        <family val="0"/>
        <charset val="1"/>
      </rPr>
      <t xml:space="preserve">190 </t>
    </r>
    <r>
      <rPr>
        <sz val="10"/>
        <color rgb="FF0000FF"/>
        <rFont val="WenQuanYi Zen Hei"/>
        <family val="2"/>
      </rPr>
      <t xml:space="preserve">改為 </t>
    </r>
    <r>
      <rPr>
        <sz val="10"/>
        <color rgb="FF0000FF"/>
        <rFont val="Arial"/>
        <family val="0"/>
        <charset val="1"/>
      </rPr>
      <t xml:space="preserve">188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F1</t>
    </r>
    <r>
      <rPr>
        <sz val="10"/>
        <color rgb="FF0000FF"/>
        <rFont val="WenQuanYi Zen Hei"/>
        <family val="2"/>
      </rPr>
      <t xml:space="preserve">）後與原文相同；</t>
    </r>
    <r>
      <rPr>
        <sz val="10"/>
        <color rgb="FF0000FF"/>
        <rFont val="Arial"/>
        <family val="0"/>
        <charset val="1"/>
      </rPr>
      <t xml:space="preserve">SRC_HW_012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230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MaxP</t>
    </r>
    <r>
      <rPr>
        <sz val="10"/>
        <color rgb="FF0000FF"/>
        <rFont val="WenQuanYi Zen Hei"/>
        <family val="2"/>
      </rPr>
      <t xml:space="preserve">）不動，與 </t>
    </r>
    <r>
      <rPr>
        <sz val="10"/>
        <color rgb="FF0000FF"/>
        <rFont val="Arial"/>
        <family val="0"/>
        <charset val="1"/>
      </rPr>
      <t xml:space="preserve">Schneider MaxP 227 </t>
    </r>
    <r>
      <rPr>
        <sz val="10"/>
        <color rgb="FF0000FF"/>
        <rFont val="WenQuanYi Zen Hei"/>
        <family val="2"/>
      </rPr>
      <t xml:space="preserve">差 </t>
    </r>
    <r>
      <rPr>
        <sz val="10"/>
        <color rgb="FF0000FF"/>
        <rFont val="Arial"/>
        <family val="0"/>
        <charset val="1"/>
      </rPr>
      <t xml:space="preserve">+1.3%</t>
    </r>
    <r>
      <rPr>
        <sz val="10"/>
        <color rgb="FF0000FF"/>
        <rFont val="WenQuanYi Zen Hei"/>
        <family val="2"/>
      </rPr>
      <t xml:space="preserve">｜立場：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WenQuanYi Zen Hei"/>
        <family val="2"/>
      </rPr>
      <t xml:space="preserve">（供電與冷卻設備商）</t>
    </r>
  </si>
  <si>
    <r>
      <rPr>
        <sz val="10"/>
        <color rgb="FF000000"/>
        <rFont val="WenQuanYi Zen Hei"/>
        <family val="2"/>
      </rPr>
      <t xml:space="preserve">—（等級；數值見 </t>
    </r>
    <r>
      <rPr>
        <sz val="10"/>
        <color rgb="FF000000"/>
        <rFont val="Arial"/>
        <family val="0"/>
        <charset val="1"/>
      </rPr>
      <t xml:space="preserve">F1</t>
    </r>
    <r>
      <rPr>
        <sz val="10"/>
        <color rgb="FF000000"/>
        <rFont val="WenQuanYi Zen Hei"/>
        <family val="2"/>
      </rPr>
      <t xml:space="preserve">）</t>
    </r>
  </si>
  <si>
    <t xml:space="preserve">E228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</si>
  <si>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WenQuanYi Zen Hei"/>
        <family val="2"/>
      </rPr>
      <t xml:space="preserve">單架價格：以查詢詞搜尋，無一手報價</t>
    </r>
  </si>
  <si>
    <t xml:space="preserve">搜尋引擎（無頁面可指定）</t>
  </si>
  <si>
    <r>
      <rPr>
        <sz val="10"/>
        <color rgb="FF0000FF"/>
        <rFont val="Arial"/>
        <family val="0"/>
        <charset val="1"/>
      </rPr>
      <t xml:space="preserve">Spec_Rack G11:G13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WenQuanYi Zen Hei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</si>
  <si>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23.4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31.2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39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WenQuanYi Zen Hei"/>
        <family val="2"/>
      </rPr>
      <t xml:space="preserve">封裝）</t>
    </r>
  </si>
  <si>
    <r>
      <rPr>
        <sz val="10"/>
        <color rgb="FF0000FF"/>
        <rFont val="Arial"/>
        <family val="0"/>
        <charset val="1"/>
      </rPr>
      <t xml:space="preserve">11.7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15.6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19.5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WenQuanYi Zen Hei"/>
        <family val="2"/>
      </rPr>
      <t xml:space="preserve">封裝；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</si>
  <si>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WenQuanYi Zen Hei"/>
        <family val="2"/>
      </rPr>
      <t xml:space="preserve">已搜尋，無候選（以 </t>
    </r>
    <r>
      <rPr>
        <sz val="10"/>
        <color rgb="FF0000FF"/>
        <rFont val="Arial"/>
        <family val="0"/>
        <charset val="1"/>
      </rPr>
      <t xml:space="preserve">VR </t>
    </r>
    <r>
      <rPr>
        <sz val="10"/>
        <color rgb="FF0000FF"/>
        <rFont val="WenQuanYi Zen Hei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WenQuanYi Zen Hei"/>
        <family val="2"/>
      </rPr>
      <t xml:space="preserve">價外推）</t>
    </r>
  </si>
  <si>
    <r>
      <rPr>
        <sz val="10"/>
        <color rgb="FF0000FF"/>
        <rFont val="WenQuanYi Zen Hei"/>
        <family val="2"/>
      </rPr>
      <t xml:space="preserve">查詢詞：「</t>
    </r>
    <r>
      <rPr>
        <sz val="10"/>
        <color rgb="FF0000FF"/>
        <rFont val="Arial"/>
        <family val="0"/>
        <charset val="1"/>
      </rPr>
      <t xml:space="preserve">Rubin Ultra rack price</t>
    </r>
    <r>
      <rPr>
        <sz val="10"/>
        <color rgb="FF0000FF"/>
        <rFont val="WenQuanYi Zen Hei"/>
        <family val="2"/>
      </rPr>
      <t xml:space="preserve">」「</t>
    </r>
    <r>
      <rPr>
        <sz val="10"/>
        <color rgb="FF0000FF"/>
        <rFont val="Arial"/>
        <family val="0"/>
        <charset val="1"/>
      </rPr>
      <t xml:space="preserve">Rubin Ultra price per GPU</t>
    </r>
    <r>
      <rPr>
        <sz val="10"/>
        <color rgb="FF0000FF"/>
        <rFont val="WenQuanYi Zen Hei"/>
        <family val="2"/>
      </rPr>
      <t xml:space="preserve">」；結果：僅見推估，無公開報價，未入帳｜價格＝</t>
    </r>
    <r>
      <rPr>
        <sz val="10"/>
        <color rgb="FF0000FF"/>
        <rFont val="Arial"/>
        <family val="0"/>
        <charset val="1"/>
      </rPr>
      <t xml:space="preserve">VR </t>
    </r>
    <r>
      <rPr>
        <sz val="10"/>
        <color rgb="FF0000FF"/>
        <rFont val="WenQuanYi Zen Hei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WenQuanYi Zen Hei"/>
        <family val="2"/>
      </rPr>
      <t xml:space="preserve">價（</t>
    </r>
    <r>
      <rPr>
        <sz val="10"/>
        <color rgb="FF0000FF"/>
        <rFont val="Arial"/>
        <family val="0"/>
        <charset val="1"/>
      </rPr>
      <t xml:space="preserve">SRC_HW_015 BOM 7.8÷72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0.108 M</t>
    </r>
    <r>
      <rPr>
        <sz val="10"/>
        <color rgb="FF0000FF"/>
        <rFont val="WenQuanYi Zen Hei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1.5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2.0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2.5 × 72</t>
    </r>
    <r>
      <rPr>
        <sz val="10"/>
        <color rgb="FF0000FF"/>
        <rFont val="WenQuanYi Zen Hei"/>
        <family val="2"/>
      </rPr>
      <t xml:space="preserve">，倍數本身為 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WenQuanYi Zen Hei"/>
        <family val="2"/>
      </rPr>
      <t xml:space="preserve">；與封裝數線性，單架改定義不新增資訊｜讀取者：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1c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2026-10-05</t>
    </r>
    <r>
      <rPr>
        <sz val="10"/>
        <color rgb="FF0000FF"/>
        <rFont val="WenQuanYi Zen Hei"/>
        <family val="2"/>
      </rPr>
      <t xml:space="preserve">）</t>
    </r>
  </si>
  <si>
    <t xml:space="preserve">E229</t>
  </si>
  <si>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WenQuanYi Zen Hei"/>
        <family val="2"/>
      </rPr>
      <t xml:space="preserve">啟用參數（現 </t>
    </r>
    <r>
      <rPr>
        <sz val="10"/>
        <color rgb="FF0000FF"/>
        <rFont val="Arial"/>
        <family val="0"/>
        <charset val="1"/>
      </rPr>
      <t xml:space="preserve">180B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60–250B</t>
    </r>
    <r>
      <rPr>
        <sz val="10"/>
        <color rgb="FF0000FF"/>
        <rFont val="WenQuanYi Zen Hei"/>
        <family val="2"/>
      </rPr>
      <t xml:space="preserve">）：封閉前沿模型的啟用參數量</t>
    </r>
  </si>
  <si>
    <r>
      <rPr>
        <sz val="10"/>
        <color rgb="FF0000FF"/>
        <rFont val="WenQuanYi Zen Hei"/>
        <family val="2"/>
      </rPr>
      <t xml:space="preserve">搜尋引擎（</t>
    </r>
    <r>
      <rPr>
        <sz val="10"/>
        <color rgb="FF0000FF"/>
        <rFont val="Arial"/>
        <family val="0"/>
        <charset val="1"/>
      </rPr>
      <t xml:space="preserve">towardsdatascience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digitalapplied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mindstudio </t>
    </r>
    <r>
      <rPr>
        <sz val="10"/>
        <color rgb="FF0000FF"/>
        <rFont val="WenQuanYi Zen Hei"/>
        <family val="2"/>
      </rPr>
      <t xml:space="preserve">等；</t>
    </r>
    <r>
      <rPr>
        <sz val="10"/>
        <color rgb="FF0000FF"/>
        <rFont val="Arial"/>
        <family val="0"/>
        <charset val="1"/>
      </rPr>
      <t xml:space="preserve">mindstudio </t>
    </r>
    <r>
      <rPr>
        <sz val="10"/>
        <color rgb="FF0000FF"/>
        <rFont val="WenQuanYi Zen Hei"/>
        <family val="2"/>
      </rPr>
      <t xml:space="preserve">被出口政策擋，未讀）</t>
    </r>
  </si>
  <si>
    <t xml:space="preserve">Arch E7</t>
  </si>
  <si>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WenQuanYi Zen Hei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60–250 B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</si>
  <si>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WenQuanYi Zen Hei"/>
        <family val="2"/>
      </rPr>
      <t xml:space="preserve">無封閉模型揭露值；開權重對照：</t>
    </r>
    <r>
      <rPr>
        <sz val="10"/>
        <color rgb="FF0000FF"/>
        <rFont val="Arial"/>
        <family val="0"/>
        <charset val="1"/>
      </rPr>
      <t xml:space="preserve">GLM-5.2 744 B </t>
    </r>
    <r>
      <rPr>
        <sz val="10"/>
        <color rgb="FF0000FF"/>
        <rFont val="WenQuanYi Zen Hei"/>
        <family val="2"/>
      </rPr>
      <t xml:space="preserve">總／約 </t>
    </r>
    <r>
      <rPr>
        <sz val="10"/>
        <color rgb="FF0000FF"/>
        <rFont val="Arial"/>
        <family val="0"/>
        <charset val="1"/>
      </rPr>
      <t xml:space="preserve">40 B </t>
    </r>
    <r>
      <rPr>
        <sz val="10"/>
        <color rgb="FF0000FF"/>
        <rFont val="WenQuanYi Zen Hei"/>
        <family val="2"/>
      </rPr>
      <t xml:space="preserve">啟用（搜尋摘要，未讀）</t>
    </r>
  </si>
  <si>
    <t xml:space="preserve">已搜尋，判定無可比對象（封閉模型未揭露）；開權重對照列出、不改</t>
  </si>
  <si>
    <r>
      <rPr>
        <sz val="10"/>
        <color rgb="FF0000FF"/>
        <rFont val="WenQuanYi Zen Hei"/>
        <family val="2"/>
      </rPr>
      <t xml:space="preserve">查詢詞：「</t>
    </r>
    <r>
      <rPr>
        <sz val="10"/>
        <color rgb="FF0000FF"/>
        <rFont val="Arial"/>
        <family val="0"/>
        <charset val="1"/>
      </rPr>
      <t xml:space="preserve">frontier language model active parameters estimate mixture of experts closed models GPT-5 Claude estimated active parameters</t>
    </r>
    <r>
      <rPr>
        <sz val="10"/>
        <color rgb="FF0000FF"/>
        <rFont val="WenQuanYi Zen Hei"/>
        <family val="2"/>
      </rPr>
      <t xml:space="preserve">」｜結果：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Claude </t>
    </r>
    <r>
      <rPr>
        <sz val="10"/>
        <color rgb="FF0000FF"/>
        <rFont val="WenQuanYi Zen Hei"/>
        <family val="2"/>
      </rPr>
      <t xml:space="preserve">等封閉模型未揭露總參數與啟用參數，搜尋結果只給『數百 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WenQuanYi Zen Hei"/>
        <family val="2"/>
      </rPr>
      <t xml:space="preserve">至逾 </t>
    </r>
    <r>
      <rPr>
        <sz val="10"/>
        <color rgb="FF0000FF"/>
        <rFont val="Arial"/>
        <family val="0"/>
        <charset val="1"/>
      </rPr>
      <t xml:space="preserve">1 T</t>
    </r>
    <r>
      <rPr>
        <sz val="10"/>
        <color rgb="FF0000FF"/>
        <rFont val="WenQuanYi Zen Hei"/>
        <family val="2"/>
      </rPr>
      <t xml:space="preserve">』的泛稱；</t>
    </r>
    <r>
      <rPr>
        <sz val="10"/>
        <color rgb="FF0000FF"/>
        <rFont val="Arial"/>
        <family val="0"/>
        <charset val="1"/>
      </rPr>
      <t xml:space="preserve">Claude </t>
    </r>
    <r>
      <rPr>
        <sz val="10"/>
        <color rgb="FF0000FF"/>
        <rFont val="WenQuanYi Zen Hei"/>
        <family val="2"/>
      </rPr>
      <t xml:space="preserve">系列被稱為非 </t>
    </r>
    <r>
      <rPr>
        <sz val="10"/>
        <color rgb="FF0000FF"/>
        <rFont val="Arial"/>
        <family val="0"/>
        <charset val="1"/>
      </rPr>
      <t xml:space="preserve">MoE</t>
    </r>
    <r>
      <rPr>
        <sz val="10"/>
        <color rgb="FF0000FF"/>
        <rFont val="WenQuanYi Zen Hei"/>
        <family val="2"/>
      </rPr>
      <t xml:space="preserve">｜開權重對照：</t>
    </r>
    <r>
      <rPr>
        <sz val="10"/>
        <color rgb="FF0000FF"/>
        <rFont val="Arial"/>
        <family val="0"/>
        <charset val="1"/>
      </rPr>
      <t xml:space="preserve">DeepSeek V4-Pro 49 B </t>
    </r>
    <r>
      <rPr>
        <sz val="10"/>
        <color rgb="FF0000FF"/>
        <rFont val="WenQuanYi Zen Hei"/>
        <family val="2"/>
      </rPr>
      <t xml:space="preserve">啟用（</t>
    </r>
    <r>
      <rPr>
        <sz val="10"/>
        <color rgb="FF0000FF"/>
        <rFont val="Arial"/>
        <family val="0"/>
        <charset val="1"/>
      </rPr>
      <t xml:space="preserve">SRC_MOD_002</t>
    </r>
    <r>
      <rPr>
        <sz val="10"/>
        <color rgb="FF0000FF"/>
        <rFont val="WenQuanYi Zen Hei"/>
        <family val="2"/>
      </rPr>
      <t xml:space="preserve">，已為 </t>
    </r>
    <r>
      <rPr>
        <sz val="10"/>
        <color rgb="FF0000FF"/>
        <rFont val="Arial"/>
        <family val="0"/>
        <charset val="1"/>
      </rPr>
      <t xml:space="preserve">Sol </t>
    </r>
    <r>
      <rPr>
        <sz val="10"/>
        <color rgb="FF0000FF"/>
        <rFont val="WenQuanYi Zen Hei"/>
        <family val="2"/>
      </rPr>
      <t xml:space="preserve">代表）、</t>
    </r>
    <r>
      <rPr>
        <sz val="10"/>
        <color rgb="FF0000FF"/>
        <rFont val="Arial"/>
        <family val="0"/>
        <charset val="1"/>
      </rPr>
      <t xml:space="preserve">GLM-5.2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40 B </t>
    </r>
    <r>
      <rPr>
        <sz val="10"/>
        <color rgb="FF0000FF"/>
        <rFont val="WenQuanYi Zen Hei"/>
        <family val="2"/>
      </rPr>
      <t xml:space="preserve">啟用（僅搜尋摘要）——皆低於區間下限 </t>
    </r>
    <r>
      <rPr>
        <sz val="10"/>
        <color rgb="FF0000FF"/>
        <rFont val="Arial"/>
        <family val="0"/>
        <charset val="1"/>
      </rPr>
      <t xml:space="preserve">60 B</t>
    </r>
    <r>
      <rPr>
        <sz val="10"/>
        <color rgb="FF0000FF"/>
        <rFont val="WenQuanYi Zen Hei"/>
        <family val="2"/>
      </rPr>
      <t xml:space="preserve">，但屬開權重而非 </t>
    </r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WenQuanYi Zen Hei"/>
        <family val="2"/>
      </rPr>
      <t xml:space="preserve">封閉前沿代理，只列出、不改（待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WenQuanYi Zen Hei"/>
        <family val="2"/>
      </rPr>
      <t xml:space="preserve">判斷）｜判定：無可比對象，區間依據＝</t>
    </r>
    <r>
      <rPr>
        <sz val="10"/>
        <color rgb="FF0000FF"/>
        <rFont val="Arial"/>
        <family val="0"/>
        <charset val="1"/>
      </rPr>
      <t xml:space="preserve">Gov_Map</t>
    </r>
    <r>
      <rPr>
        <sz val="10"/>
        <color rgb="FF0000FF"/>
        <rFont val="WenQuanYi Zen Hei"/>
        <family val="2"/>
      </rPr>
      <t xml:space="preserve">『</t>
    </r>
    <r>
      <rPr>
        <sz val="10"/>
        <color rgb="FF0000FF"/>
        <rFont val="Arial"/>
        <family val="0"/>
        <charset val="1"/>
      </rPr>
      <t xml:space="preserve">60–250B</t>
    </r>
    <r>
      <rPr>
        <sz val="10"/>
        <color rgb="FF0000FF"/>
        <rFont val="WenQuanYi Zen Hei"/>
        <family val="2"/>
      </rPr>
      <t xml:space="preserve">（原註）』</t>
    </r>
  </si>
  <si>
    <t xml:space="preserve">E230</t>
  </si>
  <si>
    <r>
      <rPr>
        <sz val="10"/>
        <color rgb="FF0000FF"/>
        <rFont val="Arial"/>
        <family val="0"/>
        <charset val="1"/>
      </rPr>
      <t xml:space="preserve">Cap_In C28 </t>
    </r>
    <r>
      <rPr>
        <sz val="10"/>
        <color rgb="FF0000FF"/>
        <rFont val="WenQuanYi Zen Hei"/>
        <family val="2"/>
      </rPr>
      <t xml:space="preserve">對外服務占機隊（現 </t>
    </r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WenQuanYi Zen Hei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WenQuanYi Zen Hei"/>
        <family val="2"/>
      </rPr>
      <t xml:space="preserve">算力在研發與推論間的分配</t>
    </r>
  </si>
  <si>
    <r>
      <rPr>
        <sz val="10"/>
        <color rgb="FF0000FF"/>
        <rFont val="Arial"/>
        <family val="0"/>
        <charset val="1"/>
      </rPr>
      <t xml:space="preserve">https://epoch.ai/data-insights/openai-compute-spend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2025-10-10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</si>
  <si>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C28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D28:E28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</si>
  <si>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</si>
  <si>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2024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R&amp;D $5B</t>
    </r>
    <r>
      <rPr>
        <sz val="10"/>
        <color rgb="FF0000FF"/>
        <rFont val="WenQuanYi Zen Hei"/>
        <family val="2"/>
      </rPr>
      <t xml:space="preserve">／推論 </t>
    </r>
    <r>
      <rPr>
        <sz val="10"/>
        <color rgb="FF0000FF"/>
        <rFont val="Arial"/>
        <family val="0"/>
        <charset val="1"/>
      </rPr>
      <t xml:space="preserve">$1.8B</t>
    </r>
    <r>
      <rPr>
        <sz val="10"/>
        <color rgb="FF0000FF"/>
        <rFont val="WenQuanYi Zen Hei"/>
        <family val="2"/>
      </rPr>
      <t xml:space="preserve">（推論占約 </t>
    </r>
    <r>
      <rPr>
        <sz val="10"/>
        <color rgb="FF0000FF"/>
        <rFont val="Arial"/>
        <family val="0"/>
        <charset val="1"/>
      </rPr>
      <t xml:space="preserve">26%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WenQuanYi Zen Hei"/>
        <family val="2"/>
      </rPr>
      <t xml:space="preserve">：約各半（搜尋摘要，未讀）</t>
    </r>
  </si>
  <si>
    <r>
      <rPr>
        <sz val="10"/>
        <color rgb="FF0000FF"/>
        <rFont val="WenQuanYi Zen Hei"/>
        <family val="2"/>
      </rPr>
      <t xml:space="preserve">採用為可比對象（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WenQuanYi Zen Hei"/>
        <family val="2"/>
      </rPr>
      <t xml:space="preserve">；支出比代 </t>
    </r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WenQuanYi Zen Hei"/>
        <family val="2"/>
      </rPr>
      <t xml:space="preserve">比為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WenQuanYi Zen Hei"/>
        <family val="2"/>
      </rPr>
      <t xml:space="preserve">）；區間不改</t>
    </r>
  </si>
  <si>
    <r>
      <rPr>
        <sz val="10"/>
        <color rgb="FF0000FF"/>
        <rFont val="WenQuanYi Zen Hei"/>
        <family val="2"/>
      </rPr>
      <t xml:space="preserve">查詢詞：「</t>
    </r>
    <r>
      <rPr>
        <sz val="10"/>
        <color rgb="FF0000FF"/>
        <rFont val="Arial"/>
        <family val="0"/>
        <charset val="1"/>
      </rPr>
      <t xml:space="preserve">OpenAI compute split inference vs research training share of compute 2025 Epoch AI</t>
    </r>
    <r>
      <rPr>
        <sz val="10"/>
        <color rgb="FF0000FF"/>
        <rFont val="WenQuanYi Zen Hei"/>
        <family val="2"/>
      </rPr>
      <t xml:space="preserve">」｜讀取者：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WebFetch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2026-10-06</t>
    </r>
    <r>
      <rPr>
        <sz val="10"/>
        <color rgb="FF0000FF"/>
        <rFont val="WenQuanYi Zen Hei"/>
        <family val="2"/>
      </rPr>
      <t xml:space="preserve">）｜逐字：“</t>
    </r>
    <r>
      <rPr>
        <sz val="10"/>
        <color rgb="FF0000FF"/>
        <rFont val="Arial"/>
        <family val="0"/>
        <charset val="1"/>
      </rPr>
      <t xml:space="preserve">around $5 billion in research and development compute … around $2 billion in inference compute”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R&amp;D </t>
    </r>
    <r>
      <rPr>
        <sz val="10"/>
        <color rgb="FF0000FF"/>
        <rFont val="WenQuanYi Zen Hei"/>
        <family val="2"/>
      </rPr>
      <t xml:space="preserve">中最終訓練僅 </t>
    </r>
    <r>
      <rPr>
        <sz val="10"/>
        <color rgb="FF0000FF"/>
        <rFont val="Arial"/>
        <family val="0"/>
        <charset val="1"/>
      </rPr>
      <t xml:space="preserve">$480M</t>
    </r>
    <r>
      <rPr>
        <sz val="10"/>
        <color rgb="FF0000FF"/>
        <rFont val="WenQuanYi Zen Hei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WenQuanYi Zen Hei"/>
        <family val="2"/>
      </rPr>
      <t xml:space="preserve">推論占比約 </t>
    </r>
    <r>
      <rPr>
        <sz val="10"/>
        <color rgb="FF0000FF"/>
        <rFont val="Arial"/>
        <family val="0"/>
        <charset val="1"/>
      </rPr>
      <t xml:space="preserve">26% </t>
    </r>
    <r>
      <rPr>
        <sz val="10"/>
        <color rgb="FF0000FF"/>
        <rFont val="WenQuanYi Zen Hei"/>
        <family val="2"/>
      </rPr>
      <t xml:space="preserve">低於區間下限 </t>
    </r>
    <r>
      <rPr>
        <sz val="10"/>
        <color rgb="FF0000FF"/>
        <rFont val="Arial"/>
        <family val="0"/>
        <charset val="1"/>
      </rPr>
      <t xml:space="preserve">30%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50% </t>
    </r>
    <r>
      <rPr>
        <sz val="10"/>
        <color rgb="FF0000FF"/>
        <rFont val="WenQuanYi Zen Hei"/>
        <family val="2"/>
      </rPr>
      <t xml:space="preserve">在區間內；只列出、不改（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WenQuanYi Zen Hei"/>
        <family val="2"/>
      </rPr>
      <t xml:space="preserve">已註『支出比代 </t>
    </r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WenQuanYi Zen Hei"/>
        <family val="2"/>
      </rPr>
      <t xml:space="preserve">比為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WenQuanYi Zen Hei"/>
        <family val="2"/>
      </rPr>
      <t xml:space="preserve">』）｜立場：</t>
    </r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WenQuanYi Zen Hei"/>
        <family val="2"/>
      </rPr>
      <t xml:space="preserve">（中立；由報導與推估）</t>
    </r>
  </si>
  <si>
    <t xml:space="preserve">E231</t>
  </si>
  <si>
    <r>
      <rPr>
        <sz val="10"/>
        <color rgb="FF0000FF"/>
        <rFont val="Arial"/>
        <family val="0"/>
        <charset val="1"/>
      </rPr>
      <t xml:space="preserve">Cap_In C29 </t>
    </r>
    <r>
      <rPr>
        <sz val="10"/>
        <color rgb="FF0000FF"/>
        <rFont val="WenQuanYi Zen Hei"/>
        <family val="2"/>
      </rPr>
      <t xml:space="preserve">其中免費服務占服務（現 </t>
    </r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WenQuanYi Zen Hei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WenQuanYi Zen Hei"/>
        <family val="2"/>
      </rPr>
      <t xml:space="preserve">免費用戶占比</t>
    </r>
  </si>
  <si>
    <r>
      <rPr>
        <sz val="10"/>
        <color rgb="FF0000FF"/>
        <rFont val="WenQuanYi Zen Hei"/>
        <family val="2"/>
      </rPr>
      <t xml:space="preserve">搜尋引擎（</t>
    </r>
    <r>
      <rPr>
        <sz val="10"/>
        <color rgb="FF0000FF"/>
        <rFont val="Arial"/>
        <family val="0"/>
        <charset val="1"/>
      </rPr>
      <t xml:space="preserve">wisernotify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gradually.ai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sqmagazine </t>
    </r>
    <r>
      <rPr>
        <sz val="10"/>
        <color rgb="FF0000FF"/>
        <rFont val="WenQuanYi Zen Hei"/>
        <family val="2"/>
      </rPr>
      <t xml:space="preserve">等彙整頁；未讀）</t>
    </r>
  </si>
  <si>
    <r>
      <rPr>
        <sz val="10"/>
        <color rgb="FF0000FF"/>
        <rFont val="Arial"/>
        <family val="0"/>
        <charset val="1"/>
      </rPr>
      <t xml:space="preserve">Cap_In C29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D29:E29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</si>
  <si>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</si>
  <si>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WenQuanYi Zen Hei"/>
        <family val="2"/>
      </rPr>
      <t xml:space="preserve">免費用戶約占週活躍用戶 </t>
    </r>
    <r>
      <rPr>
        <sz val="10"/>
        <color rgb="FF0000FF"/>
        <rFont val="Arial"/>
        <family val="0"/>
        <charset val="1"/>
      </rPr>
      <t xml:space="preserve">95%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5.6% </t>
    </r>
    <r>
      <rPr>
        <sz val="10"/>
        <color rgb="FF0000FF"/>
        <rFont val="WenQuanYi Zen Hei"/>
        <family val="2"/>
      </rPr>
      <t xml:space="preserve">付費轉換；用戶數口徑，聚合部落格摘要）</t>
    </r>
  </si>
  <si>
    <r>
      <rPr>
        <sz val="10"/>
        <color rgb="FF0000FF"/>
        <rFont val="WenQuanYi Zen Hei"/>
        <family val="2"/>
      </rPr>
      <t xml:space="preserve">已搜尋，判定無可比對象（口徑不同：用戶數占比不是服務算力或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WenQuanYi Zen Hei"/>
        <family val="2"/>
      </rPr>
      <t xml:space="preserve">占比）</t>
    </r>
  </si>
  <si>
    <r>
      <rPr>
        <sz val="10"/>
        <color rgb="FF0000FF"/>
        <rFont val="WenQuanYi Zen Hei"/>
        <family val="2"/>
      </rPr>
      <t xml:space="preserve">查詢詞：「</t>
    </r>
    <r>
      <rPr>
        <sz val="10"/>
        <color rgb="FF0000FF"/>
        <rFont val="Arial"/>
        <family val="0"/>
        <charset val="1"/>
      </rPr>
      <t xml:space="preserve">ChatGPT free users share of weekly active users paying subscribers percent 2026</t>
    </r>
    <r>
      <rPr>
        <sz val="10"/>
        <color rgb="FF0000FF"/>
        <rFont val="WenQuanYi Zen Hei"/>
        <family val="2"/>
      </rPr>
      <t xml:space="preserve">」｜結果：約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WenQuanYi Zen Hei"/>
        <family val="2"/>
      </rPr>
      <t xml:space="preserve">千萬付費訂閱對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WenQuanYi Zen Hei"/>
        <family val="2"/>
      </rPr>
      <t xml:space="preserve">億週活躍（</t>
    </r>
    <r>
      <rPr>
        <sz val="10"/>
        <color rgb="FF0000FF"/>
        <rFont val="Arial"/>
        <family val="0"/>
        <charset val="1"/>
      </rPr>
      <t xml:space="preserve">Q1 2026</t>
    </r>
    <r>
      <rPr>
        <sz val="10"/>
        <color rgb="FF0000FF"/>
        <rFont val="WenQuanYi Zen Hei"/>
        <family val="2"/>
      </rPr>
      <t xml:space="preserve">）＝付費約 </t>
    </r>
    <r>
      <rPr>
        <sz val="10"/>
        <color rgb="FF0000FF"/>
        <rFont val="Arial"/>
        <family val="0"/>
        <charset val="1"/>
      </rPr>
      <t xml:space="preserve">5.6%</t>
    </r>
    <r>
      <rPr>
        <sz val="10"/>
        <color rgb="FF0000FF"/>
        <rFont val="WenQuanYi Zen Hei"/>
        <family val="2"/>
      </rPr>
      <t xml:space="preserve">、免費約 </t>
    </r>
    <r>
      <rPr>
        <sz val="10"/>
        <color rgb="FF0000FF"/>
        <rFont val="Arial"/>
        <family val="0"/>
        <charset val="1"/>
      </rPr>
      <t xml:space="preserve">95%</t>
    </r>
    <r>
      <rPr>
        <sz val="10"/>
        <color rgb="FF0000FF"/>
        <rFont val="WenQuanYi Zen Hei"/>
        <family val="2"/>
      </rPr>
      <t xml:space="preserve">，皆為聚合部落格轉述，未讀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WenQuanYi Zen Hei"/>
        <family val="2"/>
      </rPr>
      <t xml:space="preserve">原文｜模型欄位是『免費服務占服務（算力／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WenQuanYi Zen Hei"/>
        <family val="2"/>
      </rPr>
      <t xml:space="preserve">）』，免費用戶多為輕度使用且上限較低，用戶占比不能直接當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WenQuanYi Zen Hei"/>
        <family val="2"/>
      </rPr>
      <t xml:space="preserve">占比；因此不作可比對象，也不改區間｜區間依據＝</t>
    </r>
    <r>
      <rPr>
        <sz val="10"/>
        <color rgb="FF0000FF"/>
        <rFont val="Arial"/>
        <family val="0"/>
        <charset val="1"/>
      </rPr>
      <t xml:space="preserve">Gov_Map</t>
    </r>
    <r>
      <rPr>
        <sz val="10"/>
        <color rgb="FF0000FF"/>
        <rFont val="WenQuanYi Zen Hei"/>
        <family val="2"/>
      </rPr>
      <t xml:space="preserve">『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WenQuanYi Zen Hei"/>
        <family val="2"/>
      </rPr>
      <t xml:space="preserve">：免費占服務 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WenQuanYi Zen Hei"/>
        <family val="2"/>
      </rPr>
      <t xml:space="preserve">』</t>
    </r>
  </si>
  <si>
    <t xml:space="preserve">利害關係方（彙整頁有廣告與聯盟行銷誘因）</t>
  </si>
  <si>
    <t xml:space="preserve">E232</t>
  </si>
  <si>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WenQuanYi Zen Hei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WenQuanYi Zen Hei"/>
        <family val="2"/>
      </rPr>
      <t xml:space="preserve">）：已揭露的最大預訓練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WenQuanYi Zen Hei"/>
        <family val="2"/>
      </rPr>
      <t xml:space="preserve">數</t>
    </r>
  </si>
  <si>
    <t xml:space="preserve">https://epoch.ai/data/frontier_ai_models.csv</t>
  </si>
  <si>
    <t xml:space="preserve">Train_In E25</t>
  </si>
  <si>
    <r>
      <rPr>
        <sz val="10"/>
        <color rgb="FF0000FF"/>
        <rFont val="Arial"/>
        <family val="0"/>
        <charset val="1"/>
      </rPr>
      <t xml:space="preserve">60 T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30–100 T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</si>
  <si>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WenQuanYi Zen Hei"/>
        <family val="2"/>
      </rPr>
      <t xml:space="preserve">已揭露最大：</t>
    </r>
    <r>
      <rPr>
        <sz val="10"/>
        <color rgb="FF0000FF"/>
        <rFont val="Arial"/>
        <family val="0"/>
        <charset val="1"/>
      </rPr>
      <t xml:space="preserve">Llama 4 Behemoth 30 T tokens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GPT-6 Astra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WenQuanYi Zen Hei"/>
        <family val="2"/>
      </rPr>
      <t xml:space="preserve">等未揭露</t>
    </r>
  </si>
  <si>
    <r>
      <rPr>
        <sz val="10"/>
        <color rgb="FF0000FF"/>
        <rFont val="WenQuanYi Zen Hei"/>
        <family val="2"/>
      </rPr>
      <t xml:space="preserve">採用為可比對象（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WenQuanYi Zen Hei"/>
        <family val="2"/>
      </rPr>
      <t xml:space="preserve">）；區間不改</t>
    </r>
  </si>
  <si>
    <r>
      <rPr>
        <sz val="10"/>
        <color rgb="FF0000FF"/>
        <rFont val="WenQuanYi Zen Hei"/>
        <family val="2"/>
      </rPr>
      <t xml:space="preserve">查詢詞：「</t>
    </r>
    <r>
      <rPr>
        <sz val="10"/>
        <color rgb="FF0000FF"/>
        <rFont val="Arial"/>
        <family val="0"/>
        <charset val="1"/>
      </rPr>
      <t xml:space="preserve">Epoch AI largest frontier pretraining run tokens trillion tokens 2026 dataset size</t>
    </r>
    <r>
      <rPr>
        <sz val="10"/>
        <color rgb="FF0000FF"/>
        <rFont val="WenQuanYi Zen Hei"/>
        <family val="2"/>
      </rPr>
      <t xml:space="preserve">」｜讀取者：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WebFetch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2026-10-06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WenQuanYi Zen Hei"/>
        <family val="2"/>
      </rPr>
      <t xml:space="preserve">前沿模型資料表）｜</t>
    </r>
    <r>
      <rPr>
        <sz val="10"/>
        <color rgb="FF0000FF"/>
        <rFont val="Arial"/>
        <family val="0"/>
        <charset val="1"/>
      </rPr>
      <t xml:space="preserve">Llama 4 Behemoth 30 T tokens</t>
    </r>
    <r>
      <rPr>
        <sz val="10"/>
        <color rgb="FF0000FF"/>
        <rFont val="WenQuanYi Zen Hei"/>
        <family val="2"/>
      </rPr>
      <t xml:space="preserve">（“</t>
    </r>
    <r>
      <rPr>
        <sz val="10"/>
        <color rgb="FF0000FF"/>
        <rFont val="Arial"/>
        <family val="0"/>
        <charset val="1"/>
      </rPr>
      <t xml:space="preserve">more than double the Llama 3 pre-training mixture”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Llama 3.1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15 T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WenQuanYi Zen Hei"/>
        <family val="2"/>
      </rPr>
      <t xml:space="preserve">資料集大小未揭露（約 </t>
    </r>
    <r>
      <rPr>
        <sz val="10"/>
        <color rgb="FF0000FF"/>
        <rFont val="Arial"/>
        <family val="0"/>
        <charset val="1"/>
      </rPr>
      <t xml:space="preserve">1e27 FLOP</t>
    </r>
    <r>
      <rPr>
        <sz val="10"/>
        <color rgb="FF0000FF"/>
        <rFont val="WenQuanYi Zen Hei"/>
        <family val="2"/>
      </rPr>
      <t xml:space="preserve">）｜已揭露最大值 </t>
    </r>
    <r>
      <rPr>
        <sz val="10"/>
        <color rgb="FF0000FF"/>
        <rFont val="Arial"/>
        <family val="0"/>
        <charset val="1"/>
      </rPr>
      <t xml:space="preserve">30 T </t>
    </r>
    <r>
      <rPr>
        <sz val="10"/>
        <color rgb="FF0000FF"/>
        <rFont val="WenQuanYi Zen Hei"/>
        <family val="2"/>
      </rPr>
      <t xml:space="preserve">恰在區間下限；</t>
    </r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WenQuanYi Zen Hei"/>
        <family val="2"/>
      </rPr>
      <t xml:space="preserve">為閉源前沿代理，</t>
    </r>
    <r>
      <rPr>
        <sz val="10"/>
        <color rgb="FF0000FF"/>
        <rFont val="Arial"/>
        <family val="0"/>
        <charset val="1"/>
      </rPr>
      <t xml:space="preserve">60 T </t>
    </r>
    <r>
      <rPr>
        <sz val="10"/>
        <color rgb="FF0000FF"/>
        <rFont val="WenQuanYi Zen Hei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WenQuanYi Zen Hei"/>
        <family val="2"/>
      </rPr>
      <t xml:space="preserve">；只列出、不改｜立場：</t>
    </r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WenQuanYi Zen Hei"/>
        <family val="2"/>
      </rPr>
      <t xml:space="preserve">（中立）</t>
    </r>
  </si>
  <si>
    <t xml:space="preserve">E233</t>
  </si>
  <si>
    <r>
      <rPr>
        <sz val="10"/>
        <color rgb="FF0000FF"/>
        <rFont val="Arial"/>
        <family val="0"/>
        <charset val="1"/>
      </rPr>
      <t xml:space="preserve">Alloc_In C6 </t>
    </r>
    <r>
      <rPr>
        <sz val="10"/>
        <color rgb="FF0000FF"/>
        <rFont val="WenQuanYi Zen Hei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WenQuanYi Zen Hei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WenQuanYi Zen Hei"/>
        <family val="2"/>
      </rPr>
      <t xml:space="preserve">個／年）：前沿實驗室每年旗艦家族數</t>
    </r>
  </si>
  <si>
    <r>
      <rPr>
        <sz val="10"/>
        <color rgb="FF0000FF"/>
        <rFont val="WenQuanYi Zen Hei"/>
        <family val="2"/>
      </rPr>
      <t xml:space="preserve">搜尋摘要（</t>
    </r>
    <r>
      <rPr>
        <sz val="10"/>
        <color rgb="FF0000FF"/>
        <rFont val="Arial"/>
        <family val="0"/>
        <charset val="1"/>
      </rPr>
      <t xml:space="preserve">theregister.com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scriptbyai.com </t>
    </r>
    <r>
      <rPr>
        <sz val="10"/>
        <color rgb="FF0000FF"/>
        <rFont val="WenQuanYi Zen Hei"/>
        <family val="2"/>
      </rPr>
      <t xml:space="preserve">時間線；</t>
    </r>
    <r>
      <rPr>
        <sz val="10"/>
        <color rgb="FF0000FF"/>
        <rFont val="Arial"/>
        <family val="0"/>
        <charset val="1"/>
      </rPr>
      <t xml:space="preserve">scriptbyai </t>
    </r>
    <r>
      <rPr>
        <sz val="10"/>
        <color rgb="FF0000FF"/>
        <rFont val="WenQuanYi Zen Hei"/>
        <family val="2"/>
      </rPr>
      <t xml:space="preserve">被出口政策擋，未讀）</t>
    </r>
  </si>
  <si>
    <t xml:space="preserve">Alloc_In C6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</si>
  <si>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</si>
  <si>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GPT-5.5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GPT-6 Astra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2026-09-03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</si>
  <si>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WenQuanYi Zen Hei"/>
        <family val="2"/>
      </rPr>
      <t xml:space="preserve">查詢詞：「</t>
    </r>
    <r>
      <rPr>
        <sz val="10"/>
        <color rgb="FF0000FF"/>
        <rFont val="Arial"/>
        <family val="0"/>
        <charset val="1"/>
      </rPr>
      <t xml:space="preserve">OpenAI frontier model release cadence number of flagship models per year GPT-5 GPT-5.5 GPT-6 timeline</t>
    </r>
    <r>
      <rPr>
        <sz val="10"/>
        <color rgb="FF0000FF"/>
        <rFont val="WenQuanYi Zen Hei"/>
        <family val="2"/>
      </rPr>
      <t xml:space="preserve">」｜結果：</t>
    </r>
    <r>
      <rPr>
        <sz val="10"/>
        <color rgb="FF0000FF"/>
        <rFont val="Arial"/>
        <family val="0"/>
        <charset val="1"/>
      </rPr>
      <t xml:space="preserve">2025-08 </t>
    </r>
    <r>
      <rPr>
        <sz val="10"/>
        <color rgb="FF0000FF"/>
        <rFont val="WenQuanYi Zen Hei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2026-09 </t>
    </r>
    <r>
      <rPr>
        <sz val="10"/>
        <color rgb="FF0000FF"/>
        <rFont val="WenQuanYi Zen Hei"/>
        <family val="2"/>
      </rPr>
      <t xml:space="preserve">間旗艦家族約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個（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GPT-6</t>
    </r>
    <r>
      <rPr>
        <sz val="10"/>
        <color rgb="FF0000FF"/>
        <rFont val="WenQuanYi Zen Hei"/>
        <family val="2"/>
      </rPr>
      <t xml:space="preserve">），其間 </t>
    </r>
    <r>
      <rPr>
        <sz val="10"/>
        <color rgb="FF0000FF"/>
        <rFont val="Arial"/>
        <family val="0"/>
        <charset val="1"/>
      </rPr>
      <t xml:space="preserve">5.1–5.6 </t>
    </r>
    <r>
      <rPr>
        <sz val="10"/>
        <color rgb="FF0000FF"/>
        <rFont val="WenQuanYi Zen Hei"/>
        <family val="2"/>
      </rPr>
      <t xml:space="preserve">為點版本（屬改版計畫 </t>
    </r>
    <r>
      <rPr>
        <sz val="10"/>
        <color rgb="FF0000FF"/>
        <rFont val="Arial"/>
        <family val="0"/>
        <charset val="1"/>
      </rPr>
      <t xml:space="preserve">N_refresh</t>
    </r>
    <r>
      <rPr>
        <sz val="10"/>
        <color rgb="FF0000FF"/>
        <rFont val="WenQuanYi Zen Hei"/>
        <family val="2"/>
      </rPr>
      <t xml:space="preserve">）｜每年約 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WenQuanYi Zen Hei"/>
        <family val="2"/>
      </rPr>
      <t xml:space="preserve">個旗艦家族，落在區間內｜讀取者：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（搜尋摘要；頁面未讀）</t>
    </r>
  </si>
  <si>
    <t xml:space="preserve">利害關係方（產業時間線彙整）</t>
  </si>
  <si>
    <t xml:space="preserve">E234</t>
  </si>
  <si>
    <r>
      <rPr>
        <sz val="10"/>
        <color rgb="FF0000FF"/>
        <rFont val="Arial"/>
        <family val="0"/>
        <charset val="1"/>
      </rPr>
      <t xml:space="preserve">Alloc_In C8 </t>
    </r>
    <r>
      <rPr>
        <sz val="10"/>
        <color rgb="FF0000FF"/>
        <rFont val="WenQuanYi Zen Hei"/>
        <family val="2"/>
      </rPr>
      <t xml:space="preserve">計畫規模倍數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WenQuanYi Zen Hei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WenQuanYi Zen Hei"/>
        <family val="2"/>
      </rPr>
      <t xml:space="preserve">）：計畫規模相對 </t>
    </r>
    <r>
      <rPr>
        <sz val="10"/>
        <color rgb="FF0000FF"/>
        <rFont val="Arial"/>
        <family val="0"/>
        <charset val="1"/>
      </rPr>
      <t xml:space="preserve">Block 3 </t>
    </r>
    <r>
      <rPr>
        <sz val="10"/>
        <color rgb="FF0000FF"/>
        <rFont val="WenQuanYi Zen Hei"/>
        <family val="2"/>
      </rPr>
      <t xml:space="preserve">的倍數</t>
    </r>
  </si>
  <si>
    <r>
      <rPr>
        <sz val="10"/>
        <color rgb="FF0000FF"/>
        <rFont val="Arial"/>
        <family val="0"/>
        <charset val="1"/>
      </rPr>
      <t xml:space="preserve">https://epoch.ai/gradient-updates/r-and-d-vs-training-compute</t>
    </r>
    <r>
      <rPr>
        <sz val="10"/>
        <color rgb="FF0000FF"/>
        <rFont val="WenQuanYi Zen Hei"/>
        <family val="2"/>
      </rPr>
      <t xml:space="preserve">（已讀，見 </t>
    </r>
    <r>
      <rPr>
        <sz val="10"/>
        <color rgb="FF0000FF"/>
        <rFont val="Arial"/>
        <family val="0"/>
        <charset val="1"/>
      </rPr>
      <t xml:space="preserve">E219</t>
    </r>
    <r>
      <rPr>
        <sz val="10"/>
        <color rgb="FF0000FF"/>
        <rFont val="WenQuanYi Zen Hei"/>
        <family val="2"/>
      </rPr>
      <t xml:space="preserve">）</t>
    </r>
  </si>
  <si>
    <t xml:space="preserve">Alloc_In C8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</si>
  <si>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</si>
  <si>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WenQuanYi Zen Hei"/>
        <family val="2"/>
      </rPr>
      <t xml:space="preserve">無直接對應量；</t>
    </r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WenQuanYi Zen Hei"/>
        <family val="2"/>
      </rPr>
      <t xml:space="preserve">：最終訓練占 </t>
    </r>
    <r>
      <rPr>
        <sz val="10"/>
        <color rgb="FF0000FF"/>
        <rFont val="Arial"/>
        <family val="0"/>
        <charset val="1"/>
      </rPr>
      <t xml:space="preserve">R&amp;D </t>
    </r>
    <r>
      <rPr>
        <sz val="10"/>
        <color rgb="FF0000FF"/>
        <rFont val="WenQuanYi Zen Hei"/>
        <family val="2"/>
      </rPr>
      <t xml:space="preserve">算力 </t>
    </r>
    <r>
      <rPr>
        <sz val="10"/>
        <color rgb="FF0000FF"/>
        <rFont val="Arial"/>
        <family val="0"/>
        <charset val="1"/>
      </rPr>
      <t xml:space="preserve">9.6%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22.6%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12.3%</t>
    </r>
    <r>
      <rPr>
        <sz val="10"/>
        <color rgb="FF0000FF"/>
        <rFont val="WenQuanYi Zen Hei"/>
        <family val="2"/>
      </rPr>
      <t xml:space="preserve">（倍數 </t>
    </r>
    <r>
      <rPr>
        <sz val="10"/>
        <color rgb="FF0000FF"/>
        <rFont val="Arial"/>
        <family val="0"/>
        <charset val="1"/>
      </rPr>
      <t xml:space="preserve">10.4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8.1</t>
    </r>
    <r>
      <rPr>
        <sz val="10"/>
        <color rgb="FF0000FF"/>
        <rFont val="WenQuanYi Zen Hei"/>
        <family val="2"/>
      </rPr>
      <t xml:space="preserve">）為另一個量</t>
    </r>
  </si>
  <si>
    <r>
      <rPr>
        <sz val="10"/>
        <color rgb="FF0000FF"/>
        <rFont val="WenQuanYi Zen Hei"/>
        <family val="2"/>
      </rPr>
      <t xml:space="preserve">已搜尋，判定無可比對象（</t>
    </r>
    <r>
      <rPr>
        <sz val="10"/>
        <color rgb="FF0000FF"/>
        <rFont val="Arial"/>
        <family val="0"/>
        <charset val="1"/>
      </rPr>
      <t xml:space="preserve">k </t>
    </r>
    <r>
      <rPr>
        <sz val="10"/>
        <color rgb="FF0000FF"/>
        <rFont val="WenQuanYi Zen Hei"/>
        <family val="2"/>
      </rPr>
      <t xml:space="preserve">為模型內部規模倍數，外部無對應揭露）</t>
    </r>
  </si>
  <si>
    <r>
      <rPr>
        <sz val="10"/>
        <color rgb="FF0000FF"/>
        <rFont val="WenQuanYi Zen Hei"/>
        <family val="2"/>
      </rPr>
      <t xml:space="preserve">查詢詞：「</t>
    </r>
    <r>
      <rPr>
        <sz val="10"/>
        <color rgb="FF0000FF"/>
        <rFont val="Arial"/>
        <family val="0"/>
        <charset val="1"/>
      </rPr>
      <t xml:space="preserve">frontier lab compute for experiments and failed runs versus final training run ratio total R&amp;D compute multiple of final run</t>
    </r>
    <r>
      <rPr>
        <sz val="10"/>
        <color rgb="FF0000FF"/>
        <rFont val="WenQuanYi Zen Hei"/>
        <family val="2"/>
      </rPr>
      <t xml:space="preserve">」｜結果：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WenQuanYi Zen Hei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R&amp;D÷</t>
    </r>
    <r>
      <rPr>
        <sz val="10"/>
        <color rgb="FF0000FF"/>
        <rFont val="WenQuanYi Zen Hei"/>
        <family val="2"/>
      </rPr>
      <t xml:space="preserve">最終訓練倍數（</t>
    </r>
    <r>
      <rPr>
        <sz val="10"/>
        <color rgb="FF0000FF"/>
        <rFont val="Arial"/>
        <family val="0"/>
        <charset val="1"/>
      </rPr>
      <t xml:space="preserve">SRC_DEM_001–003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Train_In 13</t>
    </r>
    <r>
      <rPr>
        <sz val="10"/>
        <color rgb="FF0000FF"/>
        <rFont val="WenQuanYi Zen Hei"/>
        <family val="2"/>
      </rPr>
      <t xml:space="preserve">）是『研發算力</t>
    </r>
    <r>
      <rPr>
        <sz val="10"/>
        <color rgb="FF0000FF"/>
        <rFont val="Arial"/>
        <family val="0"/>
        <charset val="1"/>
      </rPr>
      <t xml:space="preserve">÷</t>
    </r>
    <r>
      <rPr>
        <sz val="10"/>
        <color rgb="FF0000FF"/>
        <rFont val="WenQuanYi Zen Hei"/>
        <family val="2"/>
      </rPr>
      <t xml:space="preserve">最終訓練算力』，而 </t>
    </r>
    <r>
      <rPr>
        <sz val="10"/>
        <color rgb="FF0000FF"/>
        <rFont val="Arial"/>
        <family val="0"/>
        <charset val="1"/>
      </rPr>
      <t xml:space="preserve">k </t>
    </r>
    <r>
      <rPr>
        <sz val="10"/>
        <color rgb="FF0000FF"/>
        <rFont val="WenQuanYi Zen Hei"/>
        <family val="2"/>
      </rPr>
      <t xml:space="preserve">是『單一計畫規模</t>
    </r>
    <r>
      <rPr>
        <sz val="10"/>
        <color rgb="FF0000FF"/>
        <rFont val="Arial"/>
        <family val="0"/>
        <charset val="1"/>
      </rPr>
      <t xml:space="preserve">÷Block 3 </t>
    </r>
    <r>
      <rPr>
        <sz val="10"/>
        <color rgb="FF0000FF"/>
        <rFont val="WenQuanYi Zen Hei"/>
        <family val="2"/>
      </rPr>
      <t xml:space="preserve">基準計畫』，定義不同；搜尋另見『總算力約為最終訓練的 </t>
    </r>
    <r>
      <rPr>
        <sz val="10"/>
        <color rgb="FF0000FF"/>
        <rFont val="Arial"/>
        <family val="0"/>
        <charset val="1"/>
      </rPr>
      <t xml:space="preserve">1.2–4 </t>
    </r>
    <r>
      <rPr>
        <sz val="10"/>
        <color rgb="FF0000FF"/>
        <rFont val="WenQuanYi Zen Hei"/>
        <family val="2"/>
      </rPr>
      <t xml:space="preserve">倍、中位 </t>
    </r>
    <r>
      <rPr>
        <sz val="10"/>
        <color rgb="FF0000FF"/>
        <rFont val="Arial"/>
        <family val="0"/>
        <charset val="1"/>
      </rPr>
      <t xml:space="preserve">2.2 </t>
    </r>
    <r>
      <rPr>
        <sz val="10"/>
        <color rgb="FF0000FF"/>
        <rFont val="WenQuanYi Zen Hei"/>
        <family val="2"/>
      </rPr>
      <t xml:space="preserve">倍』（摘要，出處未讀、口徑為歷史模型）｜判定：無可比對象｜理由：</t>
    </r>
    <r>
      <rPr>
        <sz val="10"/>
        <color rgb="FF0000FF"/>
        <rFont val="Arial"/>
        <family val="0"/>
        <charset val="1"/>
      </rPr>
      <t xml:space="preserve">k </t>
    </r>
    <r>
      <rPr>
        <sz val="10"/>
        <color rgb="FF0000FF"/>
        <rFont val="WenQuanYi Zen Hei"/>
        <family val="2"/>
      </rPr>
      <t xml:space="preserve">的區間 </t>
    </r>
    <r>
      <rPr>
        <sz val="10"/>
        <color rgb="FF0000FF"/>
        <rFont val="Arial"/>
        <family val="0"/>
        <charset val="1"/>
      </rPr>
      <t xml:space="preserve">0.5–7 </t>
    </r>
    <r>
      <rPr>
        <sz val="10"/>
        <color rgb="FF0000FF"/>
        <rFont val="WenQuanYi Zen Hei"/>
        <family val="2"/>
      </rPr>
      <t xml:space="preserve">取自 </t>
    </r>
    <r>
      <rPr>
        <sz val="10"/>
        <color rgb="FF0000FF"/>
        <rFont val="Arial"/>
        <family val="0"/>
        <charset val="1"/>
      </rPr>
      <t xml:space="preserve">A3</t>
    </r>
    <r>
      <rPr>
        <sz val="10"/>
        <color rgb="FF0000FF"/>
        <rFont val="WenQuanYi Zen Hei"/>
        <family val="2"/>
      </rPr>
      <t xml:space="preserve">（不以 </t>
    </r>
    <r>
      <rPr>
        <sz val="10"/>
        <color rgb="FF0000FF"/>
        <rFont val="Arial"/>
        <family val="0"/>
        <charset val="1"/>
      </rPr>
      <t xml:space="preserve">59% </t>
    </r>
    <r>
      <rPr>
        <sz val="10"/>
        <color rgb="FF0000FF"/>
        <rFont val="WenQuanYi Zen Hei"/>
        <family val="2"/>
      </rPr>
      <t xml:space="preserve">校準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WenQuanYi Zen Hei"/>
        <family val="2"/>
      </rPr>
      <t xml:space="preserve">，校準值只反推隱含 </t>
    </r>
    <r>
      <rPr>
        <sz val="10"/>
        <color rgb="FF0000FF"/>
        <rFont val="Arial"/>
        <family val="0"/>
        <charset val="1"/>
      </rPr>
      <t xml:space="preserve">N×k</t>
    </r>
    <r>
      <rPr>
        <sz val="10"/>
        <color rgb="FF0000FF"/>
        <rFont val="WenQuanYi Zen Hei"/>
        <family val="2"/>
      </rPr>
      <t xml:space="preserve">），無外部對應量｜區間依據＝</t>
    </r>
    <r>
      <rPr>
        <sz val="10"/>
        <color rgb="FF0000FF"/>
        <rFont val="Arial"/>
        <family val="0"/>
        <charset val="1"/>
      </rPr>
      <t xml:space="preserve">Gov_Map A3</t>
    </r>
  </si>
  <si>
    <t xml:space="preserve">E235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</si>
  <si>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WenQuanYi Zen Hei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WenQuanYi Zen Hei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max(1,×0.5)–×2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WenQuanYi Zen Hei"/>
        <family val="2"/>
      </rPr>
      <t xml:space="preserve">）：對話資料集的每段對話平均輪數</t>
    </r>
  </si>
  <si>
    <r>
      <rPr>
        <sz val="10"/>
        <color rgb="FF0000FF"/>
        <rFont val="Arial"/>
        <family val="0"/>
        <charset val="1"/>
      </rPr>
      <t xml:space="preserve">https://arxiv.org/html/2309.11998v4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LMSYS-Chat-1M Table 1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https://arxiv.org/pdf/2405.01470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WenQuanYi Zen Hei"/>
        <family val="2"/>
      </rPr>
      <t xml:space="preserve">超過讀取上限，未讀）</t>
    </r>
  </si>
  <si>
    <r>
      <rPr>
        <sz val="10"/>
        <color rgb="FF0000FF"/>
        <rFont val="WenQuanYi Zen Hei"/>
        <family val="2"/>
      </rPr>
      <t xml:space="preserve">一手（已讀原文：</t>
    </r>
    <r>
      <rPr>
        <sz val="10"/>
        <color rgb="FF0000FF"/>
        <rFont val="Arial"/>
        <family val="0"/>
        <charset val="1"/>
      </rPr>
      <t xml:space="preserve">LMSYS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WildChat </t>
    </r>
    <r>
      <rPr>
        <sz val="10"/>
        <color rgb="FF0000FF"/>
        <rFont val="WenQuanYi Zen Hei"/>
        <family val="2"/>
      </rPr>
      <t xml:space="preserve">只見摘要</t>
    </r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</si>
  <si>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WenQuanYi Zen Hei"/>
        <family val="2"/>
      </rPr>
      <t xml:space="preserve">（一般聊天）、</t>
    </r>
    <r>
      <rPr>
        <sz val="10"/>
        <color rgb="FF0000FF"/>
        <rFont val="Arial"/>
        <family val="0"/>
        <charset val="1"/>
      </rPr>
      <t xml:space="preserve">D5</t>
    </r>
    <r>
      <rPr>
        <sz val="10"/>
        <color rgb="FF0000FF"/>
        <rFont val="WenQuanYi Zen Hei"/>
        <family val="2"/>
      </rPr>
      <t xml:space="preserve">（推理聊天）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</si>
  <si>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</si>
  <si>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LMSYS-Chat-1M 2.0 </t>
    </r>
    <r>
      <rPr>
        <sz val="10"/>
        <color rgb="FF0000FF"/>
        <rFont val="WenQuanYi Zen Hei"/>
        <family val="2"/>
      </rPr>
      <t xml:space="preserve">輪／段；</t>
    </r>
    <r>
      <rPr>
        <sz val="10"/>
        <color rgb="FF0000FF"/>
        <rFont val="Arial"/>
        <family val="0"/>
        <charset val="1"/>
      </rPr>
      <t xml:space="preserve">WildChat 2.52 </t>
    </r>
    <r>
      <rPr>
        <sz val="10"/>
        <color rgb="FF0000FF"/>
        <rFont val="WenQuanYi Zen Hei"/>
        <family val="2"/>
      </rPr>
      <t xml:space="preserve">輪／段（搜尋摘要；</t>
    </r>
    <r>
      <rPr>
        <sz val="10"/>
        <color rgb="FF0000FF"/>
        <rFont val="Arial"/>
        <family val="0"/>
        <charset val="1"/>
      </rPr>
      <t xml:space="preserve">41% </t>
    </r>
    <r>
      <rPr>
        <sz val="10"/>
        <color rgb="FF0000FF"/>
        <rFont val="WenQuanYi Zen Hei"/>
        <family val="2"/>
      </rPr>
      <t xml:space="preserve">為多輪）；</t>
    </r>
    <r>
      <rPr>
        <sz val="10"/>
        <color rgb="FF0000FF"/>
        <rFont val="Arial"/>
        <family val="0"/>
        <charset val="1"/>
      </rPr>
      <t xml:space="preserve">Chatbot Arena 1.2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Anthropic HH 2.3</t>
    </r>
  </si>
  <si>
    <r>
      <rPr>
        <sz val="10"/>
        <color rgb="FF0000FF"/>
        <rFont val="WenQuanYi Zen Hei"/>
        <family val="2"/>
      </rPr>
      <t xml:space="preserve">採用為可比對象（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LMSYS 2.0 </t>
    </r>
    <r>
      <rPr>
        <sz val="10"/>
        <color rgb="FF0000FF"/>
        <rFont val="WenQuanYi Zen Hei"/>
        <family val="2"/>
      </rPr>
      <t xml:space="preserve">在區間上緣內，</t>
    </r>
    <r>
      <rPr>
        <sz val="10"/>
        <color rgb="FF0000FF"/>
        <rFont val="Arial"/>
        <family val="0"/>
        <charset val="1"/>
      </rPr>
      <t xml:space="preserve">WildChat 2.52 </t>
    </r>
    <r>
      <rPr>
        <sz val="10"/>
        <color rgb="FF0000FF"/>
        <rFont val="WenQuanYi Zen Hei"/>
        <family val="2"/>
      </rPr>
      <t xml:space="preserve">超出區間上緣——只列出、不改，待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WenQuanYi Zen Hei"/>
        <family val="2"/>
      </rPr>
      <t xml:space="preserve">判斷</t>
    </r>
  </si>
  <si>
    <r>
      <rPr>
        <sz val="10"/>
        <color rgb="FF0000FF"/>
        <rFont val="WenQuanYi Zen Hei"/>
        <family val="2"/>
      </rPr>
      <t xml:space="preserve">查詢詞：「</t>
    </r>
    <r>
      <rPr>
        <sz val="10"/>
        <color rgb="FF0000FF"/>
        <rFont val="Arial"/>
        <family val="0"/>
        <charset val="1"/>
      </rPr>
      <t xml:space="preserve">LMSYS-Chat-1M average number of turns per conversation 2.0</t>
    </r>
    <r>
      <rPr>
        <sz val="10"/>
        <color rgb="FF0000FF"/>
        <rFont val="WenQuanYi Zen Hei"/>
        <family val="2"/>
      </rPr>
      <t xml:space="preserve">」「</t>
    </r>
    <r>
      <rPr>
        <sz val="10"/>
        <color rgb="FF0000FF"/>
        <rFont val="Arial"/>
        <family val="0"/>
        <charset val="1"/>
      </rPr>
      <t xml:space="preserve">WildChat dataset average number of turns per conversation</t>
    </r>
    <r>
      <rPr>
        <sz val="10"/>
        <color rgb="FF0000FF"/>
        <rFont val="WenQuanYi Zen Hei"/>
        <family val="2"/>
      </rPr>
      <t xml:space="preserve">」｜讀取者：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LMSYS </t>
    </r>
    <r>
      <rPr>
        <sz val="10"/>
        <color rgb="FF0000FF"/>
        <rFont val="WenQuanYi Zen Hei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WebFetch </t>
    </r>
    <r>
      <rPr>
        <sz val="10"/>
        <color rgb="FF0000FF"/>
        <rFont val="WenQuanYi Zen Hei"/>
        <family val="2"/>
      </rPr>
      <t xml:space="preserve">讀 </t>
    </r>
    <r>
      <rPr>
        <sz val="10"/>
        <color rgb="FF0000FF"/>
        <rFont val="Arial"/>
        <family val="0"/>
        <charset val="1"/>
      </rPr>
      <t xml:space="preserve">Table 1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2026-10-06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WildChat </t>
    </r>
    <r>
      <rPr>
        <sz val="10"/>
        <color rgb="FF0000FF"/>
        <rFont val="WenQuanYi Zen Hei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arXiv PDF </t>
    </r>
    <r>
      <rPr>
        <sz val="10"/>
        <color rgb="FF0000FF"/>
        <rFont val="WenQuanYi Zen Hei"/>
        <family val="2"/>
      </rPr>
      <t xml:space="preserve">因超過 </t>
    </r>
    <r>
      <rPr>
        <sz val="10"/>
        <color rgb="FF0000FF"/>
        <rFont val="Arial"/>
        <family val="0"/>
        <charset val="1"/>
      </rPr>
      <t xml:space="preserve">10 MB </t>
    </r>
    <r>
      <rPr>
        <sz val="10"/>
        <color rgb="FF0000FF"/>
        <rFont val="WenQuanYi Zen Hei"/>
        <family val="2"/>
      </rPr>
      <t xml:space="preserve">讀取上限而未讀，</t>
    </r>
    <r>
      <rPr>
        <sz val="10"/>
        <color rgb="FF0000FF"/>
        <rFont val="Arial"/>
        <family val="0"/>
        <charset val="1"/>
      </rPr>
      <t xml:space="preserve">2.52 </t>
    </r>
    <r>
      <rPr>
        <sz val="10"/>
        <color rgb="FF0000FF"/>
        <rFont val="WenQuanYi Zen Hei"/>
        <family val="2"/>
      </rPr>
      <t xml:space="preserve">為搜尋摘要，另見 </t>
    </r>
    <r>
      <rPr>
        <sz val="10"/>
        <color rgb="FF0000FF"/>
        <rFont val="Arial"/>
        <family val="0"/>
        <charset val="1"/>
      </rPr>
      <t xml:space="preserve">ICLR 2024 </t>
    </r>
    <r>
      <rPr>
        <sz val="10"/>
        <color rgb="FF0000FF"/>
        <rFont val="WenQuanYi Zen Hei"/>
        <family val="2"/>
      </rPr>
      <t xml:space="preserve">版）｜單位對應：</t>
    </r>
    <r>
      <rPr>
        <sz val="10"/>
        <color rgb="FF0000FF"/>
        <rFont val="Arial"/>
        <family val="0"/>
        <charset val="1"/>
      </rPr>
      <t xml:space="preserve">Workload T </t>
    </r>
    <r>
      <rPr>
        <sz val="10"/>
        <color rgb="FF0000FF"/>
        <rFont val="WenQuanYi Zen Hei"/>
        <family val="2"/>
      </rPr>
      <t xml:space="preserve">以『每次新輸入計一輪』，對話資料集的『</t>
    </r>
    <r>
      <rPr>
        <sz val="10"/>
        <color rgb="FF0000FF"/>
        <rFont val="Arial"/>
        <family val="0"/>
        <charset val="1"/>
      </rPr>
      <t xml:space="preserve">turn</t>
    </r>
    <r>
      <rPr>
        <sz val="10"/>
        <color rgb="FF0000FF"/>
        <rFont val="WenQuanYi Zen Hei"/>
        <family val="2"/>
      </rPr>
      <t xml:space="preserve">』為使用者輪，兩者可比（一般聊天）；推理聊天（</t>
    </r>
    <r>
      <rPr>
        <sz val="10"/>
        <color rgb="FF0000FF"/>
        <rFont val="Arial"/>
        <family val="0"/>
        <charset val="1"/>
      </rPr>
      <t xml:space="preserve">D5</t>
    </r>
    <r>
      <rPr>
        <sz val="10"/>
        <color rgb="FF0000FF"/>
        <rFont val="WenQuanYi Zen Hei"/>
        <family val="2"/>
      </rPr>
      <t xml:space="preserve">）無專屬資料集，沿用同一組（可比度較低）｜</t>
    </r>
    <r>
      <rPr>
        <sz val="10"/>
        <color rgb="FF0000FF"/>
        <rFont val="Arial"/>
        <family val="0"/>
        <charset val="1"/>
      </rPr>
      <t xml:space="preserve">C5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WenQuanYi Zen Hei"/>
        <family val="2"/>
      </rPr>
      <t xml:space="preserve">現值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低於兩資料集的平均（</t>
    </r>
    <r>
      <rPr>
        <sz val="10"/>
        <color rgb="FF0000FF"/>
        <rFont val="Arial"/>
        <family val="0"/>
        <charset val="1"/>
      </rPr>
      <t xml:space="preserve">2.0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2.52</t>
    </r>
    <r>
      <rPr>
        <sz val="10"/>
        <color rgb="FF0000FF"/>
        <rFont val="WenQuanYi Zen Hei"/>
        <family val="2"/>
      </rPr>
      <t xml:space="preserve">）；區間 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WenQuanYi Zen Hei"/>
        <family val="2"/>
      </rPr>
      <t xml:space="preserve">涵蓋 </t>
    </r>
    <r>
      <rPr>
        <sz val="10"/>
        <color rgb="FF0000FF"/>
        <rFont val="Arial"/>
        <family val="0"/>
        <charset val="1"/>
      </rPr>
      <t xml:space="preserve">LMSYS</t>
    </r>
    <r>
      <rPr>
        <sz val="10"/>
        <color rgb="FF0000FF"/>
        <rFont val="WenQuanYi Zen Hei"/>
        <family val="2"/>
      </rPr>
      <t xml:space="preserve">，未涵蓋 </t>
    </r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WenQuanYi Zen Hei"/>
        <family val="2"/>
      </rPr>
      <t xml:space="preserve">｜待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WenQuanYi Zen Hei"/>
        <family val="2"/>
      </rPr>
      <t xml:space="preserve">判斷：是否把 </t>
    </r>
    <r>
      <rPr>
        <sz val="10"/>
        <color rgb="FF0000FF"/>
        <rFont val="Arial"/>
        <family val="0"/>
        <charset val="1"/>
      </rPr>
      <t xml:space="preserve">C5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WenQuanYi Zen Hei"/>
        <family val="2"/>
      </rPr>
      <t xml:space="preserve">區間高端擴至 ≥</t>
    </r>
    <r>
      <rPr>
        <sz val="10"/>
        <color rgb="FF0000FF"/>
        <rFont val="Arial"/>
        <family val="0"/>
        <charset val="1"/>
      </rPr>
      <t xml:space="preserve">2.52</t>
    </r>
    <r>
      <rPr>
        <sz val="10"/>
        <color rgb="FF0000FF"/>
        <rFont val="WenQuanYi Zen Hei"/>
        <family val="2"/>
      </rPr>
      <t xml:space="preserve">（或基準改為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</si>
  <si>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—（只列出；若改區間／基準，影響 </t>
    </r>
    <r>
      <rPr>
        <sz val="10"/>
        <color rgb="FF000000"/>
        <rFont val="Arial"/>
        <family val="0"/>
        <charset val="1"/>
      </rPr>
      <t xml:space="preserve">L1_Ans8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）</t>
    </r>
  </si>
  <si>
    <t xml:space="preserve">中立（學術資料集）</t>
  </si>
</sst>
</file>

<file path=xl/styles.xml><?xml version="1.0" encoding="utf-8"?>
<styleSheet xmlns="http://schemas.openxmlformats.org/spreadsheetml/2006/main">
  <numFmts count="22">
    <numFmt numFmtId="164" formatCode="General"/>
    <numFmt numFmtId="165" formatCode="#,##0"/>
    <numFmt numFmtId="166" formatCode="0.0%"/>
    <numFmt numFmtId="167" formatCode="0.00"/>
    <numFmt numFmtId="168" formatCode="#,##0.0"/>
    <numFmt numFmtId="169" formatCode="#,##0.000"/>
    <numFmt numFmtId="170" formatCode="#,##0.00"/>
    <numFmt numFmtId="171" formatCode="0.0000"/>
    <numFmt numFmtId="172" formatCode="0%"/>
    <numFmt numFmtId="173" formatCode="0"/>
    <numFmt numFmtId="174" formatCode="0.0"/>
    <numFmt numFmtId="175" formatCode="\$#,##0.0000"/>
    <numFmt numFmtId="176" formatCode="0.00000"/>
    <numFmt numFmtId="177" formatCode="0.00%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WenQuanYi Zen Hei"/>
      <family val="2"/>
    </font>
    <font>
      <sz val="9"/>
      <color rgb="FF595959"/>
      <name val="WenQuanYi Zen Hei"/>
      <family val="2"/>
    </font>
    <font>
      <sz val="9"/>
      <color rgb="FF595959"/>
      <name val="Arial"/>
      <family val="0"/>
      <charset val="1"/>
    </font>
    <font>
      <b val="true"/>
      <sz val="10"/>
      <name val="WenQuanYi Zen Hei"/>
      <family val="2"/>
    </font>
    <font>
      <sz val="10"/>
      <color rgb="FF000000"/>
      <name val="WenQuanYi Zen Hei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WenQuanYi Zen Hei"/>
      <family val="2"/>
      <charset val="1"/>
    </font>
    <font>
      <sz val="10"/>
      <color rgb="FF808080"/>
      <name val="WenQuanYi Zen He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WenQuanYi Zen Hei"/>
      <family val="2"/>
    </font>
    <font>
      <sz val="10"/>
      <color rgb="FF008000"/>
      <name val="Arial"/>
      <family val="0"/>
      <charset val="1"/>
    </font>
    <font>
      <sz val="10"/>
      <color rgb="FF808080"/>
      <name val="WenQuanYi Zen Hei"/>
      <family val="2"/>
    </font>
    <font>
      <b val="true"/>
      <sz val="10"/>
      <color rgb="FF008000"/>
      <name val="Arial"/>
      <family val="0"/>
      <charset val="1"/>
    </font>
    <font>
      <sz val="10"/>
      <color rgb="FF0000FF"/>
      <name val="WenQuanYi Zen Hei"/>
      <family val="2"/>
    </font>
    <font>
      <sz val="10"/>
      <color rgb="FF000000"/>
      <name val="Noto Sans CJK SC"/>
      <family val="2"/>
      <charset val="1"/>
    </font>
    <font>
      <b val="true"/>
      <sz val="10"/>
      <name val="WenQuanYi Zen Hei"/>
      <family val="2"/>
      <charset val="1"/>
    </font>
    <font>
      <sz val="10"/>
      <color rgb="FF008000"/>
      <name val="WenQuanYi Zen Hei"/>
      <family val="2"/>
      <charset val="1"/>
    </font>
    <font>
      <sz val="10"/>
      <color rgb="FF008000"/>
      <name val="Noto Sans CJK SC"/>
      <family val="2"/>
      <charset val="1"/>
    </font>
    <font>
      <sz val="10"/>
      <color rgb="FF008000"/>
      <name val="WenQuanYi Zen Hei"/>
      <family val="2"/>
    </font>
    <font>
      <sz val="9"/>
      <color rgb="FF595959"/>
      <name val="WenQuanYi Zen He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WenQuanYi Zen He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6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5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  <row r="17" customFormat="false" ht="15" hidden="false" customHeight="true" outlineLevel="0" collapsed="false">
      <c r="A17" s="9" t="s">
        <v>28</v>
      </c>
      <c r="B17" s="5" t="s">
        <v>29</v>
      </c>
    </row>
    <row r="18" customFormat="false" ht="29.25" hidden="false" customHeight="true" outlineLevel="0" collapsed="false">
      <c r="A18" s="9" t="s">
        <v>30</v>
      </c>
      <c r="B18" s="6" t="s">
        <v>31</v>
      </c>
    </row>
    <row r="19" customFormat="false" ht="72" hidden="false" customHeight="true" outlineLevel="0" collapsed="false">
      <c r="A19" s="9" t="s">
        <v>32</v>
      </c>
      <c r="B19" s="5" t="s">
        <v>33</v>
      </c>
    </row>
    <row r="20" customFormat="false" ht="29.25" hidden="false" customHeight="true" outlineLevel="0" collapsed="false">
      <c r="A20" s="9" t="s">
        <v>34</v>
      </c>
      <c r="B20" s="6" t="s">
        <v>35</v>
      </c>
    </row>
    <row r="21" customFormat="false" ht="72" hidden="false" customHeight="true" outlineLevel="0" collapsed="false">
      <c r="A21" s="9" t="s">
        <v>36</v>
      </c>
      <c r="B21" s="5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8" t="s">
        <v>40</v>
      </c>
      <c r="B23" s="5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8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  <row r="28" customFormat="false" ht="77.25" hidden="false" customHeight="true" outlineLevel="0" collapsed="false">
      <c r="A28" s="9" t="s">
        <v>50</v>
      </c>
      <c r="B28" s="6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52</v>
      </c>
    </row>
    <row r="2" customFormat="false" ht="15" hidden="false" customHeight="true" outlineLevel="0" collapsed="false">
      <c r="A2" s="10" t="s">
        <v>53</v>
      </c>
    </row>
    <row r="3" customFormat="false" ht="15" hidden="false" customHeight="true" outlineLevel="0" collapsed="false">
      <c r="A3" s="11" t="s">
        <v>54</v>
      </c>
      <c r="B3" s="11" t="s">
        <v>55</v>
      </c>
      <c r="C3" s="11"/>
      <c r="D3" s="11" t="s">
        <v>56</v>
      </c>
      <c r="E3" s="11" t="s">
        <v>57</v>
      </c>
      <c r="F3" s="11" t="s">
        <v>58</v>
      </c>
      <c r="G3" s="11" t="s">
        <v>59</v>
      </c>
      <c r="H3" s="11" t="s">
        <v>60</v>
      </c>
    </row>
    <row r="4" customFormat="false" ht="15" hidden="false" customHeight="true" outlineLevel="0" collapsed="false">
      <c r="A4" s="12" t="s">
        <v>61</v>
      </c>
      <c r="B4" s="13"/>
      <c r="C4" s="13"/>
      <c r="D4" s="13"/>
      <c r="E4" s="13"/>
      <c r="F4" s="13"/>
      <c r="G4" s="13"/>
      <c r="H4" s="13"/>
    </row>
    <row r="5" customFormat="false" ht="15" hidden="false" customHeight="true" outlineLevel="0" collapsed="false">
      <c r="A5" s="14" t="s">
        <v>62</v>
      </c>
      <c r="B5" s="15" t="s">
        <v>63</v>
      </c>
      <c r="D5" s="16" t="n">
        <f aca="false">E5</f>
        <v>1</v>
      </c>
      <c r="E5" s="17" t="n">
        <v>1</v>
      </c>
      <c r="F5" s="16" t="n">
        <f aca="false">E5</f>
        <v>1</v>
      </c>
      <c r="G5" s="15" t="s">
        <v>64</v>
      </c>
      <c r="H5" s="18" t="s">
        <v>65</v>
      </c>
    </row>
    <row r="6" customFormat="false" ht="15" hidden="false" customHeight="true" outlineLevel="0" collapsed="false">
      <c r="A6" s="19" t="s">
        <v>66</v>
      </c>
      <c r="B6" s="20" t="s">
        <v>67</v>
      </c>
      <c r="D6" s="16" t="n">
        <f aca="false">E6</f>
        <v>2</v>
      </c>
      <c r="E6" s="17" t="n">
        <v>2</v>
      </c>
      <c r="F6" s="16" t="n">
        <f aca="false">E6</f>
        <v>2</v>
      </c>
      <c r="G6" s="15" t="s">
        <v>64</v>
      </c>
      <c r="H6" s="18" t="s">
        <v>68</v>
      </c>
    </row>
    <row r="7" customFormat="false" ht="15" hidden="false" customHeight="true" outlineLevel="0" collapsed="false">
      <c r="A7" s="12" t="s">
        <v>69</v>
      </c>
      <c r="B7" s="13"/>
      <c r="C7" s="13"/>
      <c r="D7" s="13"/>
      <c r="E7" s="13"/>
      <c r="F7" s="13"/>
      <c r="G7" s="13"/>
      <c r="H7" s="13"/>
    </row>
    <row r="8" customFormat="false" ht="15" hidden="false" customHeight="true" outlineLevel="0" collapsed="false">
      <c r="A8" s="19" t="s">
        <v>70</v>
      </c>
      <c r="B8" s="15" t="s">
        <v>71</v>
      </c>
      <c r="D8" s="21" t="n">
        <f aca="false">E8</f>
        <v>0.08</v>
      </c>
      <c r="E8" s="22" t="n">
        <v>0.08</v>
      </c>
      <c r="F8" s="21" t="n">
        <f aca="false">E8</f>
        <v>0.08</v>
      </c>
      <c r="G8" s="15" t="s">
        <v>72</v>
      </c>
      <c r="H8" s="18" t="s">
        <v>73</v>
      </c>
    </row>
    <row r="9" customFormat="false" ht="15" hidden="false" customHeight="true" outlineLevel="0" collapsed="false">
      <c r="A9" s="14" t="s">
        <v>74</v>
      </c>
      <c r="B9" s="15" t="s">
        <v>75</v>
      </c>
      <c r="D9" s="23" t="n">
        <v>1.1</v>
      </c>
      <c r="E9" s="23" t="n">
        <v>1.2</v>
      </c>
      <c r="F9" s="23" t="n">
        <v>1.3</v>
      </c>
      <c r="G9" s="15" t="s">
        <v>76</v>
      </c>
      <c r="H9" s="18" t="s">
        <v>77</v>
      </c>
    </row>
    <row r="10" customFormat="false" ht="15" hidden="false" customHeight="true" outlineLevel="0" collapsed="false">
      <c r="A10" s="19" t="s">
        <v>78</v>
      </c>
      <c r="B10" s="15" t="s">
        <v>71</v>
      </c>
      <c r="D10" s="22" t="n">
        <v>0.7</v>
      </c>
      <c r="E10" s="22" t="n">
        <v>0.8</v>
      </c>
      <c r="F10" s="22" t="n">
        <v>0.9</v>
      </c>
      <c r="G10" s="15" t="s">
        <v>72</v>
      </c>
      <c r="H10" s="6" t="s">
        <v>79</v>
      </c>
    </row>
    <row r="11" customFormat="false" ht="15" hidden="false" customHeight="true" outlineLevel="0" collapsed="false">
      <c r="A11" s="19" t="s">
        <v>80</v>
      </c>
      <c r="B11" s="15" t="s">
        <v>81</v>
      </c>
      <c r="D11" s="23" t="n">
        <v>0.06</v>
      </c>
      <c r="E11" s="23" t="n">
        <v>0.08</v>
      </c>
      <c r="F11" s="23" t="n">
        <v>0.1</v>
      </c>
      <c r="G11" s="15" t="s">
        <v>82</v>
      </c>
      <c r="H11" s="6" t="s">
        <v>83</v>
      </c>
    </row>
    <row r="12" customFormat="false" ht="15" hidden="false" customHeight="true" outlineLevel="0" collapsed="false">
      <c r="A12" s="24" t="s">
        <v>84</v>
      </c>
      <c r="B12" s="13"/>
      <c r="C12" s="13"/>
      <c r="D12" s="13"/>
      <c r="E12" s="13"/>
      <c r="F12" s="13"/>
      <c r="G12" s="13"/>
      <c r="H12" s="13"/>
    </row>
    <row r="13" customFormat="false" ht="26.25" hidden="false" customHeight="true" outlineLevel="0" collapsed="false">
      <c r="A13" s="14" t="s">
        <v>85</v>
      </c>
      <c r="B13" s="15" t="s">
        <v>71</v>
      </c>
      <c r="D13" s="22" t="n">
        <v>0.05</v>
      </c>
      <c r="E13" s="22" t="n">
        <v>0.1</v>
      </c>
      <c r="F13" s="25" t="n">
        <f aca="false">SRC_DC_002</f>
        <v>0.15</v>
      </c>
      <c r="G13" s="15" t="s">
        <v>76</v>
      </c>
      <c r="H13" s="6" t="s">
        <v>86</v>
      </c>
    </row>
    <row r="14" customFormat="false" ht="15" hidden="false" customHeight="true" outlineLevel="0" collapsed="false">
      <c r="A14" s="19" t="s">
        <v>87</v>
      </c>
      <c r="B14" s="15" t="s">
        <v>88</v>
      </c>
      <c r="D14" s="17" t="n">
        <v>300</v>
      </c>
      <c r="E14" s="17" t="n">
        <v>500</v>
      </c>
      <c r="F14" s="17" t="n">
        <v>800</v>
      </c>
      <c r="G14" s="15" t="s">
        <v>72</v>
      </c>
      <c r="H14" s="6" t="s">
        <v>89</v>
      </c>
    </row>
    <row r="15" customFormat="false" ht="15" hidden="false" customHeight="true" outlineLevel="0" collapsed="false">
      <c r="A15" s="12" t="s">
        <v>90</v>
      </c>
      <c r="B15" s="13"/>
      <c r="C15" s="13"/>
      <c r="D15" s="13"/>
      <c r="E15" s="13"/>
      <c r="F15" s="13"/>
      <c r="G15" s="13"/>
      <c r="H15" s="13"/>
    </row>
    <row r="16" customFormat="false" ht="15" hidden="false" customHeight="true" outlineLevel="0" collapsed="false">
      <c r="A16" s="19" t="s">
        <v>91</v>
      </c>
      <c r="B16" s="15" t="s">
        <v>92</v>
      </c>
      <c r="D16" s="23" t="n">
        <v>0.02</v>
      </c>
      <c r="E16" s="23" t="n">
        <v>0.02</v>
      </c>
      <c r="F16" s="23" t="n">
        <v>0.02</v>
      </c>
      <c r="G16" s="15" t="s">
        <v>72</v>
      </c>
      <c r="H16" s="6" t="s">
        <v>93</v>
      </c>
    </row>
    <row r="17" customFormat="false" ht="15" hidden="false" customHeight="true" outlineLevel="0" collapsed="false">
      <c r="A17" s="19" t="s">
        <v>94</v>
      </c>
      <c r="B17" s="15" t="s">
        <v>92</v>
      </c>
      <c r="D17" s="23" t="n">
        <v>3</v>
      </c>
      <c r="E17" s="23" t="n">
        <v>3.6</v>
      </c>
      <c r="F17" s="23" t="n">
        <v>4.5</v>
      </c>
      <c r="G17" s="15" t="s">
        <v>72</v>
      </c>
      <c r="H17" s="18" t="s">
        <v>95</v>
      </c>
    </row>
    <row r="18" customFormat="false" ht="15" hidden="false" customHeight="true" outlineLevel="0" collapsed="false">
      <c r="A18" s="19" t="s">
        <v>96</v>
      </c>
      <c r="B18" s="15" t="s">
        <v>92</v>
      </c>
      <c r="D18" s="23" t="n">
        <v>3.8</v>
      </c>
      <c r="E18" s="23" t="n">
        <v>4.5</v>
      </c>
      <c r="F18" s="23" t="n">
        <v>5.5</v>
      </c>
      <c r="G18" s="15" t="s">
        <v>72</v>
      </c>
      <c r="H18" s="18" t="s">
        <v>97</v>
      </c>
    </row>
    <row r="19" customFormat="false" ht="15" hidden="false" customHeight="true" outlineLevel="0" collapsed="false">
      <c r="A19" s="19" t="s">
        <v>98</v>
      </c>
      <c r="B19" s="15" t="s">
        <v>92</v>
      </c>
      <c r="D19" s="23" t="n">
        <v>2</v>
      </c>
      <c r="E19" s="23" t="n">
        <v>2.5</v>
      </c>
      <c r="F19" s="23" t="n">
        <v>3.2</v>
      </c>
      <c r="G19" s="15" t="s">
        <v>72</v>
      </c>
      <c r="H19" s="18" t="s">
        <v>99</v>
      </c>
    </row>
    <row r="20" customFormat="false" ht="15" hidden="false" customHeight="true" outlineLevel="0" collapsed="false">
      <c r="A20" s="19" t="s">
        <v>100</v>
      </c>
      <c r="B20" s="15" t="s">
        <v>92</v>
      </c>
      <c r="D20" s="23" t="n">
        <v>0.3</v>
      </c>
      <c r="E20" s="23" t="n">
        <v>0.4</v>
      </c>
      <c r="F20" s="23" t="n">
        <v>0.5</v>
      </c>
      <c r="G20" s="15" t="s">
        <v>72</v>
      </c>
      <c r="H20" s="18" t="s">
        <v>97</v>
      </c>
    </row>
    <row r="21" customFormat="false" ht="15" hidden="false" customHeight="true" outlineLevel="0" collapsed="false">
      <c r="A21" s="19" t="s">
        <v>101</v>
      </c>
      <c r="B21" s="15" t="s">
        <v>102</v>
      </c>
      <c r="D21" s="22" t="n">
        <v>0.12</v>
      </c>
      <c r="E21" s="22" t="n">
        <v>0.15</v>
      </c>
      <c r="F21" s="22" t="n">
        <v>0.18</v>
      </c>
      <c r="G21" s="15" t="s">
        <v>72</v>
      </c>
      <c r="H21" s="6" t="s">
        <v>103</v>
      </c>
    </row>
    <row r="22" customFormat="false" ht="15" hidden="false" customHeight="true" outlineLevel="0" collapsed="false">
      <c r="A22" s="12" t="s">
        <v>104</v>
      </c>
      <c r="B22" s="13"/>
      <c r="C22" s="13"/>
      <c r="D22" s="13"/>
      <c r="E22" s="13"/>
      <c r="F22" s="13"/>
      <c r="G22" s="13"/>
      <c r="H22" s="13"/>
    </row>
    <row r="23" customFormat="false" ht="29.25" hidden="false" customHeight="true" outlineLevel="0" collapsed="false">
      <c r="A23" s="14" t="s">
        <v>105</v>
      </c>
      <c r="B23" s="20" t="s">
        <v>106</v>
      </c>
      <c r="D23" s="26" t="n">
        <f aca="false">SRC_DC_007</f>
        <v>6</v>
      </c>
      <c r="E23" s="26" t="n">
        <f aca="false">SRC_DC_007</f>
        <v>6</v>
      </c>
      <c r="F23" s="26" t="n">
        <f aca="false">SRC_DC_008</f>
        <v>4</v>
      </c>
      <c r="G23" s="15" t="s">
        <v>107</v>
      </c>
      <c r="H23" s="6" t="s">
        <v>108</v>
      </c>
    </row>
    <row r="24" customFormat="false" ht="15" hidden="false" customHeight="true" outlineLevel="0" collapsed="false">
      <c r="A24" s="19" t="s">
        <v>109</v>
      </c>
      <c r="B24" s="20" t="s">
        <v>106</v>
      </c>
      <c r="D24" s="16" t="n">
        <f aca="false">E24</f>
        <v>30</v>
      </c>
      <c r="E24" s="17" t="n">
        <v>30</v>
      </c>
      <c r="F24" s="16" t="n">
        <f aca="false">E24</f>
        <v>30</v>
      </c>
      <c r="G24" s="15" t="s">
        <v>76</v>
      </c>
      <c r="H24" s="6" t="s">
        <v>110</v>
      </c>
    </row>
    <row r="25" customFormat="false" ht="15" hidden="false" customHeight="true" outlineLevel="0" collapsed="false">
      <c r="A25" s="19" t="s">
        <v>111</v>
      </c>
      <c r="B25" s="20" t="s">
        <v>106</v>
      </c>
      <c r="D25" s="16" t="n">
        <f aca="false">E25</f>
        <v>20</v>
      </c>
      <c r="E25" s="17" t="n">
        <v>20</v>
      </c>
      <c r="F25" s="16" t="n">
        <f aca="false">E25</f>
        <v>20</v>
      </c>
      <c r="G25" s="15" t="s">
        <v>76</v>
      </c>
      <c r="H25" s="6" t="s">
        <v>110</v>
      </c>
    </row>
    <row r="26" customFormat="false" ht="15" hidden="false" customHeight="true" outlineLevel="0" collapsed="false">
      <c r="A26" s="19" t="s">
        <v>112</v>
      </c>
      <c r="B26" s="20" t="s">
        <v>106</v>
      </c>
      <c r="D26" s="16" t="n">
        <f aca="false">E26</f>
        <v>15</v>
      </c>
      <c r="E26" s="17" t="n">
        <v>15</v>
      </c>
      <c r="F26" s="16" t="n">
        <f aca="false">E26</f>
        <v>15</v>
      </c>
      <c r="G26" s="15" t="s">
        <v>76</v>
      </c>
      <c r="H26" s="6" t="s">
        <v>110</v>
      </c>
    </row>
    <row r="27" customFormat="false" ht="15" hidden="false" customHeight="true" outlineLevel="0" collapsed="false">
      <c r="A27" s="19" t="s">
        <v>113</v>
      </c>
      <c r="B27" s="20" t="s">
        <v>106</v>
      </c>
      <c r="D27" s="16" t="n">
        <f aca="false">E27</f>
        <v>10</v>
      </c>
      <c r="E27" s="17" t="n">
        <v>10</v>
      </c>
      <c r="F27" s="16" t="n">
        <f aca="false">E27</f>
        <v>10</v>
      </c>
      <c r="G27" s="15" t="s">
        <v>76</v>
      </c>
      <c r="H27" s="6" t="s">
        <v>110</v>
      </c>
    </row>
    <row r="28" customFormat="false" ht="15" hidden="false" customHeight="true" outlineLevel="0" collapsed="false">
      <c r="A28" s="14" t="s">
        <v>114</v>
      </c>
      <c r="B28" s="15" t="s">
        <v>71</v>
      </c>
      <c r="D28" s="22" t="n">
        <v>0.08</v>
      </c>
      <c r="E28" s="22" t="n">
        <v>0.1</v>
      </c>
      <c r="F28" s="22" t="n">
        <v>0.13</v>
      </c>
      <c r="G28" s="15" t="s">
        <v>72</v>
      </c>
      <c r="H28" s="18" t="s">
        <v>115</v>
      </c>
    </row>
    <row r="29" customFormat="false" ht="15" hidden="false" customHeight="true" outlineLevel="0" collapsed="false">
      <c r="A29" s="12" t="s">
        <v>116</v>
      </c>
      <c r="B29" s="13"/>
      <c r="C29" s="13"/>
      <c r="D29" s="13"/>
      <c r="E29" s="13"/>
      <c r="F29" s="13"/>
      <c r="G29" s="13"/>
      <c r="H29" s="13"/>
    </row>
    <row r="30" customFormat="false" ht="15" hidden="false" customHeight="true" outlineLevel="0" collapsed="false">
      <c r="A30" s="14" t="s">
        <v>117</v>
      </c>
      <c r="B30" s="15" t="s">
        <v>118</v>
      </c>
      <c r="D30" s="22" t="n">
        <v>0.02</v>
      </c>
      <c r="E30" s="22" t="n">
        <v>0.03</v>
      </c>
      <c r="F30" s="22" t="n">
        <v>0.04</v>
      </c>
      <c r="G30" s="15" t="s">
        <v>76</v>
      </c>
      <c r="H30" s="6" t="s">
        <v>119</v>
      </c>
    </row>
    <row r="31" customFormat="false" ht="15" hidden="false" customHeight="true" outlineLevel="0" collapsed="false">
      <c r="A31" s="19" t="s">
        <v>120</v>
      </c>
      <c r="B31" s="15" t="s">
        <v>121</v>
      </c>
      <c r="D31" s="22" t="n">
        <v>0.015</v>
      </c>
      <c r="E31" s="22" t="n">
        <v>0.02</v>
      </c>
      <c r="F31" s="22" t="n">
        <v>0.025</v>
      </c>
      <c r="G31" s="15" t="s">
        <v>76</v>
      </c>
      <c r="H31" s="6" t="s">
        <v>122</v>
      </c>
    </row>
    <row r="32" customFormat="false" ht="15" hidden="false" customHeight="true" outlineLevel="0" collapsed="false">
      <c r="A32" s="19" t="s">
        <v>123</v>
      </c>
      <c r="B32" s="15" t="s">
        <v>124</v>
      </c>
      <c r="D32" s="17" t="n">
        <v>50</v>
      </c>
      <c r="E32" s="17" t="n">
        <v>75</v>
      </c>
      <c r="F32" s="17" t="n">
        <v>100</v>
      </c>
      <c r="G32" s="15" t="s">
        <v>72</v>
      </c>
      <c r="H32" s="6" t="s">
        <v>125</v>
      </c>
    </row>
    <row r="33" customFormat="false" ht="15" hidden="false" customHeight="true" outlineLevel="0" collapsed="false">
      <c r="A33" s="19" t="s">
        <v>126</v>
      </c>
      <c r="B33" s="15" t="s">
        <v>124</v>
      </c>
      <c r="D33" s="17" t="n">
        <v>150</v>
      </c>
      <c r="E33" s="17" t="n">
        <v>200</v>
      </c>
      <c r="F33" s="17" t="n">
        <v>250</v>
      </c>
      <c r="G33" s="15" t="s">
        <v>72</v>
      </c>
      <c r="H33" s="6" t="s">
        <v>127</v>
      </c>
    </row>
    <row r="34" customFormat="false" ht="15" hidden="false" customHeight="true" outlineLevel="0" collapsed="false">
      <c r="A34" s="19" t="s">
        <v>128</v>
      </c>
      <c r="B34" s="15" t="s">
        <v>129</v>
      </c>
      <c r="D34" s="23" t="n">
        <v>0.04</v>
      </c>
      <c r="E34" s="23" t="n">
        <v>0.05</v>
      </c>
      <c r="F34" s="23" t="n">
        <v>0.06</v>
      </c>
      <c r="G34" s="15" t="s">
        <v>72</v>
      </c>
      <c r="H34" s="6" t="s">
        <v>130</v>
      </c>
    </row>
    <row r="35" customFormat="false" ht="15" hidden="false" customHeight="true" outlineLevel="0" collapsed="false">
      <c r="A35" s="19" t="s">
        <v>131</v>
      </c>
      <c r="B35" s="15" t="s">
        <v>132</v>
      </c>
      <c r="D35" s="22" t="n">
        <v>0.003</v>
      </c>
      <c r="E35" s="22" t="n">
        <v>0.005</v>
      </c>
      <c r="F35" s="22" t="n">
        <v>0.008</v>
      </c>
      <c r="G35" s="15" t="s">
        <v>76</v>
      </c>
      <c r="H35" s="6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134</v>
      </c>
    </row>
    <row r="2" customFormat="false" ht="15" hidden="false" customHeight="true" outlineLevel="0" collapsed="false">
      <c r="A2" s="10" t="s">
        <v>135</v>
      </c>
    </row>
    <row r="4" customFormat="false" ht="15" hidden="false" customHeight="true" outlineLevel="0" collapsed="false">
      <c r="A4" s="27" t="s">
        <v>136</v>
      </c>
      <c r="C4" s="24" t="s">
        <v>137</v>
      </c>
      <c r="D4" s="24" t="s">
        <v>138</v>
      </c>
      <c r="E4" s="24" t="s">
        <v>139</v>
      </c>
      <c r="F4" s="24" t="s">
        <v>140</v>
      </c>
      <c r="G4" s="24" t="s">
        <v>141</v>
      </c>
      <c r="H4" s="9" t="s">
        <v>142</v>
      </c>
    </row>
    <row r="5" customFormat="false" ht="15" hidden="false" customHeight="true" outlineLevel="0" collapsed="false">
      <c r="A5" s="19" t="s">
        <v>143</v>
      </c>
      <c r="C5" s="6" t="s">
        <v>144</v>
      </c>
      <c r="D5" s="6" t="s">
        <v>145</v>
      </c>
      <c r="E5" s="6" t="s">
        <v>146</v>
      </c>
      <c r="F5" s="6" t="s">
        <v>147</v>
      </c>
      <c r="G5" s="6" t="s">
        <v>148</v>
      </c>
    </row>
    <row r="6" customFormat="false" ht="15" hidden="false" customHeight="true" outlineLevel="0" collapsed="false">
      <c r="A6" s="14" t="s">
        <v>149</v>
      </c>
      <c r="C6" s="17" t="n">
        <v>32</v>
      </c>
      <c r="D6" s="26" t="n">
        <f aca="false">SRC_HW_047</f>
        <v>72</v>
      </c>
      <c r="E6" s="26" t="n">
        <f aca="false">SRC_HW_047</f>
        <v>72</v>
      </c>
      <c r="F6" s="26" t="n">
        <f aca="false">SRC_HW_047</f>
        <v>72</v>
      </c>
      <c r="G6" s="26" t="n">
        <f aca="false">SRC_HW_061</f>
        <v>72</v>
      </c>
    </row>
    <row r="7" customFormat="false" ht="15" hidden="false" customHeight="true" outlineLevel="0" collapsed="false">
      <c r="A7" s="19" t="s">
        <v>150</v>
      </c>
      <c r="C7" s="18" t="s">
        <v>151</v>
      </c>
      <c r="D7" s="18" t="s">
        <v>152</v>
      </c>
      <c r="E7" s="18" t="s">
        <v>152</v>
      </c>
      <c r="F7" s="18" t="s">
        <v>153</v>
      </c>
      <c r="G7" s="18" t="s">
        <v>152</v>
      </c>
    </row>
    <row r="8" customFormat="false" ht="15" hidden="false" customHeight="true" outlineLevel="0" collapsed="false">
      <c r="A8" s="19" t="s">
        <v>154</v>
      </c>
      <c r="C8" s="17" t="n">
        <v>38</v>
      </c>
      <c r="D8" s="26" t="n">
        <f aca="false">SRC_HW_004_Lo</f>
        <v>120</v>
      </c>
      <c r="E8" s="26" t="n">
        <f aca="false">SRC_HW_005_Lo</f>
        <v>132</v>
      </c>
      <c r="F8" s="26" t="n">
        <f aca="false">SRC_HW_011</f>
        <v>188</v>
      </c>
      <c r="G8" s="17" t="n">
        <v>300</v>
      </c>
    </row>
    <row r="9" customFormat="false" ht="15" hidden="false" customHeight="true" outlineLevel="0" collapsed="false">
      <c r="A9" s="19" t="s">
        <v>155</v>
      </c>
      <c r="C9" s="17" t="n">
        <v>41</v>
      </c>
      <c r="D9" s="26" t="n">
        <f aca="false">SRC_HW_004_Hi</f>
        <v>132</v>
      </c>
      <c r="E9" s="17" t="n">
        <v>136</v>
      </c>
      <c r="F9" s="26" t="n">
        <f aca="false">SRC_HW_014</f>
        <v>227</v>
      </c>
      <c r="G9" s="17" t="n">
        <v>340</v>
      </c>
    </row>
    <row r="10" customFormat="false" ht="15" hidden="false" customHeight="true" outlineLevel="0" collapsed="false">
      <c r="A10" s="19" t="s">
        <v>156</v>
      </c>
      <c r="C10" s="17" t="n">
        <v>44</v>
      </c>
      <c r="D10" s="17" t="n">
        <v>140</v>
      </c>
      <c r="E10" s="26" t="n">
        <f aca="false">SRC_HW_005_Hi</f>
        <v>140</v>
      </c>
      <c r="F10" s="26" t="n">
        <f aca="false">SRC_HW_012</f>
        <v>230</v>
      </c>
      <c r="G10" s="17" t="n">
        <v>454</v>
      </c>
    </row>
    <row r="11" customFormat="false" ht="15" hidden="false" customHeight="true" outlineLevel="0" collapsed="false">
      <c r="A11" s="19" t="s">
        <v>157</v>
      </c>
      <c r="C11" s="28" t="n">
        <v>0.9</v>
      </c>
      <c r="D11" s="29" t="n">
        <f aca="false">SRC_HW_006_Lo</f>
        <v>2.8</v>
      </c>
      <c r="E11" s="29" t="n">
        <f aca="false">SRC_HW_052</f>
        <v>4</v>
      </c>
      <c r="F11" s="28" t="n">
        <v>7.8</v>
      </c>
      <c r="G11" s="30" t="n">
        <f aca="false">F12*1.5</f>
        <v>12.6</v>
      </c>
    </row>
    <row r="12" customFormat="false" ht="15" hidden="false" customHeight="true" outlineLevel="0" collapsed="false">
      <c r="A12" s="19" t="s">
        <v>158</v>
      </c>
      <c r="C12" s="28" t="n">
        <v>1.1</v>
      </c>
      <c r="D12" s="28" t="n">
        <v>3.1</v>
      </c>
      <c r="E12" s="29" t="n">
        <f aca="false">SRC_HW_010</f>
        <v>5</v>
      </c>
      <c r="F12" s="28" t="n">
        <v>8.4</v>
      </c>
      <c r="G12" s="30" t="n">
        <f aca="false">F12*2</f>
        <v>16.8</v>
      </c>
    </row>
    <row r="13" customFormat="false" ht="15" hidden="false" customHeight="true" outlineLevel="0" collapsed="false">
      <c r="A13" s="19" t="s">
        <v>159</v>
      </c>
      <c r="C13" s="28" t="n">
        <v>1.3</v>
      </c>
      <c r="D13" s="29" t="n">
        <f aca="false">SRC_HW_006_Hi</f>
        <v>3.4</v>
      </c>
      <c r="E13" s="29" t="n">
        <f aca="false">SRC_HW_007_Hi</f>
        <v>6.5</v>
      </c>
      <c r="F13" s="28" t="n">
        <v>9.1</v>
      </c>
      <c r="G13" s="30" t="n">
        <f aca="false">F12*2.5</f>
        <v>21</v>
      </c>
    </row>
    <row r="14" customFormat="false" ht="54" hidden="false" customHeight="true" outlineLevel="0" collapsed="false">
      <c r="A14" s="19" t="s">
        <v>160</v>
      </c>
      <c r="C14" s="31" t="s">
        <v>161</v>
      </c>
      <c r="D14" s="32" t="s">
        <v>162</v>
      </c>
      <c r="E14" s="32" t="s">
        <v>97</v>
      </c>
      <c r="F14" s="32" t="s">
        <v>163</v>
      </c>
      <c r="G14" s="31" t="s">
        <v>164</v>
      </c>
    </row>
    <row r="15" customFormat="false" ht="54" hidden="false" customHeight="true" outlineLevel="0" collapsed="false">
      <c r="A15" s="19" t="s">
        <v>165</v>
      </c>
      <c r="C15" s="31" t="s">
        <v>166</v>
      </c>
      <c r="D15" s="32" t="s">
        <v>167</v>
      </c>
      <c r="E15" s="31" t="s">
        <v>168</v>
      </c>
      <c r="F15" s="31" t="s">
        <v>169</v>
      </c>
      <c r="G15" s="32" t="s">
        <v>170</v>
      </c>
    </row>
    <row r="16" customFormat="false" ht="54" hidden="false" customHeight="true" outlineLevel="0" collapsed="false">
      <c r="A16" s="19" t="s">
        <v>171</v>
      </c>
      <c r="C16" s="31" t="s">
        <v>172</v>
      </c>
      <c r="D16" s="31" t="s">
        <v>173</v>
      </c>
      <c r="E16" s="31" t="s">
        <v>174</v>
      </c>
      <c r="F16" s="31" t="s">
        <v>175</v>
      </c>
      <c r="G16" s="32" t="s">
        <v>176</v>
      </c>
    </row>
    <row r="17" customFormat="false" ht="54" hidden="false" customHeight="true" outlineLevel="0" collapsed="false">
      <c r="A17" s="19" t="s">
        <v>59</v>
      </c>
      <c r="C17" s="31" t="s">
        <v>76</v>
      </c>
      <c r="D17" s="31" t="s">
        <v>177</v>
      </c>
      <c r="E17" s="31" t="s">
        <v>177</v>
      </c>
      <c r="F17" s="31" t="s">
        <v>177</v>
      </c>
      <c r="G17" s="31" t="s">
        <v>178</v>
      </c>
    </row>
    <row r="19" customFormat="false" ht="15" hidden="false" customHeight="true" outlineLevel="0" collapsed="false">
      <c r="A19" s="10" t="s">
        <v>179</v>
      </c>
    </row>
    <row r="21" customFormat="false" ht="15" hidden="false" customHeight="true" outlineLevel="0" collapsed="false">
      <c r="A21" s="33" t="s">
        <v>180</v>
      </c>
      <c r="B21" s="13"/>
      <c r="C21" s="13"/>
      <c r="D21" s="13"/>
      <c r="E21" s="13"/>
      <c r="F21" s="13"/>
      <c r="G21" s="13"/>
      <c r="H21" s="13"/>
    </row>
    <row r="22" customFormat="false" ht="15" hidden="false" customHeight="true" outlineLevel="0" collapsed="false">
      <c r="A22" s="34" t="s">
        <v>181</v>
      </c>
      <c r="C22" s="35" t="s">
        <v>182</v>
      </c>
      <c r="D22" s="35" t="s">
        <v>183</v>
      </c>
      <c r="E22" s="35" t="s">
        <v>183</v>
      </c>
      <c r="F22" s="35" t="s">
        <v>183</v>
      </c>
      <c r="G22" s="35" t="s">
        <v>183</v>
      </c>
      <c r="H22" s="36" t="s">
        <v>184</v>
      </c>
    </row>
    <row r="23" customFormat="false" ht="15" hidden="false" customHeight="true" outlineLevel="0" collapsed="false">
      <c r="A23" s="34" t="s">
        <v>185</v>
      </c>
      <c r="C23" s="37" t="n">
        <f aca="false">SRC_HW_040</f>
        <v>1.979</v>
      </c>
      <c r="D23" s="37" t="n">
        <f aca="false">SRC_HW_022</f>
        <v>10</v>
      </c>
      <c r="E23" s="37" t="n">
        <f aca="false">SRC_HW_025</f>
        <v>15</v>
      </c>
      <c r="F23" s="37" t="n">
        <f aca="false">SRC_HW_028</f>
        <v>35</v>
      </c>
      <c r="G23" s="38" t="n">
        <v>70</v>
      </c>
      <c r="H23" s="36" t="s">
        <v>186</v>
      </c>
    </row>
    <row r="24" customFormat="false" ht="15" hidden="false" customHeight="true" outlineLevel="0" collapsed="false">
      <c r="A24" s="34" t="s">
        <v>187</v>
      </c>
      <c r="C24" s="39" t="n">
        <f aca="false">C23</f>
        <v>1.979</v>
      </c>
      <c r="D24" s="37" t="n">
        <f aca="false">SRC_HW_022</f>
        <v>10</v>
      </c>
      <c r="E24" s="37" t="n">
        <f aca="false">SRC_HW_025</f>
        <v>15</v>
      </c>
      <c r="F24" s="37" t="n">
        <f aca="false">SRC_HW_027</f>
        <v>50</v>
      </c>
      <c r="G24" s="38" t="n">
        <v>100</v>
      </c>
      <c r="H24" s="36" t="s">
        <v>188</v>
      </c>
    </row>
    <row r="25" customFormat="false" ht="15" hidden="false" customHeight="true" outlineLevel="0" collapsed="false">
      <c r="A25" s="35" t="s">
        <v>189</v>
      </c>
      <c r="C25" s="40" t="n">
        <f aca="false">SRC_HW_020</f>
        <v>80</v>
      </c>
      <c r="D25" s="41" t="n">
        <v>186</v>
      </c>
      <c r="E25" s="40" t="n">
        <f aca="false">SRC_HW_026</f>
        <v>288</v>
      </c>
      <c r="F25" s="40" t="n">
        <f aca="false">SRC_HW_029</f>
        <v>288</v>
      </c>
      <c r="G25" s="41" t="n">
        <v>1024</v>
      </c>
      <c r="H25" s="36" t="s">
        <v>190</v>
      </c>
    </row>
    <row r="26" customFormat="false" ht="15" hidden="false" customHeight="true" outlineLevel="0" collapsed="false">
      <c r="A26" s="35" t="s">
        <v>191</v>
      </c>
      <c r="C26" s="42" t="n">
        <f aca="false">SRC_HW_021</f>
        <v>3.35</v>
      </c>
      <c r="D26" s="42" t="n">
        <f aca="false">SRC_HW_023</f>
        <v>8</v>
      </c>
      <c r="E26" s="42" t="n">
        <f aca="false">SRC_HW_059</f>
        <v>8</v>
      </c>
      <c r="F26" s="42" t="n">
        <f aca="false">SRC_HW_030</f>
        <v>22</v>
      </c>
      <c r="G26" s="43" t="n">
        <v>32</v>
      </c>
      <c r="H26" s="36" t="s">
        <v>192</v>
      </c>
    </row>
    <row r="27" customFormat="false" ht="15" hidden="false" customHeight="true" outlineLevel="0" collapsed="false">
      <c r="A27" s="35" t="s">
        <v>193</v>
      </c>
      <c r="C27" s="42" t="n">
        <f aca="false">SRC_HW_060/8/1000</f>
        <v>0.05</v>
      </c>
      <c r="D27" s="42" t="n">
        <f aca="false">SRC_HW_048</f>
        <v>0.9</v>
      </c>
      <c r="E27" s="42" t="n">
        <f aca="false">SRC_HW_048</f>
        <v>0.9</v>
      </c>
      <c r="F27" s="42" t="n">
        <f aca="false">SRC_HW_049</f>
        <v>1.8</v>
      </c>
      <c r="G27" s="43" t="n">
        <v>1.8</v>
      </c>
      <c r="H27" s="36" t="s">
        <v>194</v>
      </c>
    </row>
    <row r="28" customFormat="false" ht="15" hidden="false" customHeight="true" outlineLevel="0" collapsed="false">
      <c r="A28" s="35" t="s">
        <v>195</v>
      </c>
      <c r="C28" s="40" t="n">
        <f aca="false">SRC_HW_053</f>
        <v>8</v>
      </c>
      <c r="D28" s="40" t="n">
        <f aca="false">SRC_HW_047</f>
        <v>72</v>
      </c>
      <c r="E28" s="40" t="n">
        <f aca="false">SRC_HW_047</f>
        <v>72</v>
      </c>
      <c r="F28" s="40" t="n">
        <f aca="false">SRC_HW_047</f>
        <v>72</v>
      </c>
      <c r="G28" s="40" t="n">
        <f aca="false">SRC_HW_062</f>
        <v>576</v>
      </c>
      <c r="H28" s="36"/>
    </row>
    <row r="29" customFormat="false" ht="15" hidden="false" customHeight="true" outlineLevel="0" collapsed="false">
      <c r="A29" s="35" t="s">
        <v>196</v>
      </c>
      <c r="C29" s="41" t="n">
        <v>64</v>
      </c>
      <c r="D29" s="41" t="n">
        <v>32</v>
      </c>
      <c r="E29" s="40" t="n">
        <f aca="false">SRC_PERF_008</f>
        <v>32</v>
      </c>
      <c r="F29" s="41" t="n">
        <v>32</v>
      </c>
      <c r="G29" s="41" t="n">
        <v>64</v>
      </c>
      <c r="H29" s="36" t="s">
        <v>197</v>
      </c>
    </row>
    <row r="30" customFormat="false" ht="15" hidden="false" customHeight="true" outlineLevel="0" collapsed="false">
      <c r="A30" s="34" t="s">
        <v>198</v>
      </c>
      <c r="C30" s="44" t="n">
        <f aca="false">SRC_HW_055</f>
        <v>1</v>
      </c>
      <c r="D30" s="44" t="n">
        <f aca="false">SRC_HW_050</f>
        <v>0.5625</v>
      </c>
      <c r="E30" s="44" t="n">
        <f aca="false">SRC_HW_050</f>
        <v>0.5625</v>
      </c>
      <c r="F30" s="44" t="n">
        <f aca="false">SRC_HW_050</f>
        <v>0.5625</v>
      </c>
      <c r="G30" s="44" t="n">
        <f aca="false">SRC_HW_050</f>
        <v>0.5625</v>
      </c>
      <c r="H30" s="36" t="s">
        <v>199</v>
      </c>
    </row>
    <row r="31" customFormat="false" ht="15" hidden="false" customHeight="true" outlineLevel="0" collapsed="false">
      <c r="A31" s="34" t="s">
        <v>200</v>
      </c>
      <c r="C31" s="45" t="n">
        <v>1</v>
      </c>
      <c r="D31" s="45" t="n">
        <v>1</v>
      </c>
      <c r="E31" s="45" t="n">
        <v>1</v>
      </c>
      <c r="F31" s="45" t="n">
        <v>1</v>
      </c>
      <c r="G31" s="45" t="n">
        <v>1</v>
      </c>
      <c r="H31" s="46" t="s">
        <v>201</v>
      </c>
    </row>
    <row r="32" customFormat="false" ht="15" hidden="false" customHeight="true" outlineLevel="0" collapsed="false">
      <c r="A32" s="34" t="s">
        <v>202</v>
      </c>
      <c r="C32" s="41" t="n">
        <v>8</v>
      </c>
      <c r="D32" s="41" t="n">
        <v>4</v>
      </c>
      <c r="E32" s="40" t="n">
        <f aca="false">SRC_PERF_007</f>
        <v>4</v>
      </c>
      <c r="F32" s="41" t="n">
        <v>4</v>
      </c>
      <c r="G32" s="41" t="n">
        <v>8</v>
      </c>
      <c r="H32" s="36" t="s">
        <v>203</v>
      </c>
    </row>
    <row r="33" customFormat="false" ht="15" hidden="false" customHeight="true" outlineLevel="0" collapsed="false">
      <c r="A33" s="35" t="s">
        <v>204</v>
      </c>
      <c r="C33" s="40" t="n">
        <f aca="false">SRC_HW_056</f>
        <v>700</v>
      </c>
      <c r="D33" s="40" t="n">
        <f aca="false">SRC_HW_057</f>
        <v>1200</v>
      </c>
      <c r="E33" s="40" t="n">
        <f aca="false">SRC_HW_058</f>
        <v>1400</v>
      </c>
      <c r="F33" s="40" t="n">
        <f aca="false">SRC_HW_046*1000</f>
        <v>1800</v>
      </c>
      <c r="G33" s="41" t="n">
        <v>3600</v>
      </c>
      <c r="H33" s="36" t="s">
        <v>205</v>
      </c>
    </row>
    <row r="34" customFormat="false" ht="15" hidden="false" customHeight="true" outlineLevel="0" collapsed="false">
      <c r="A34" s="35" t="s">
        <v>206</v>
      </c>
      <c r="C34" s="41" t="n">
        <v>31</v>
      </c>
      <c r="D34" s="41" t="n">
        <v>25</v>
      </c>
      <c r="E34" s="41" t="n">
        <v>25</v>
      </c>
      <c r="F34" s="40" t="n">
        <f aca="false">SRC_HW_034*8</f>
        <v>20</v>
      </c>
      <c r="G34" s="41" t="n">
        <v>18</v>
      </c>
      <c r="H34" s="36" t="s">
        <v>207</v>
      </c>
    </row>
    <row r="35" customFormat="false" ht="15" hidden="false" customHeight="true" outlineLevel="0" collapsed="false">
      <c r="A35" s="9" t="s">
        <v>208</v>
      </c>
      <c r="C35" s="47" t="n">
        <f aca="false">IF(Serving!$C$16=2,C24,C23)</f>
        <v>1.979</v>
      </c>
      <c r="D35" s="47" t="n">
        <f aca="false">IF(Serving!$C$16=2,D24,D23)</f>
        <v>10</v>
      </c>
      <c r="E35" s="47" t="n">
        <f aca="false">IF(Serving!$C$16=2,E24,E23)</f>
        <v>15</v>
      </c>
      <c r="F35" s="47" t="n">
        <f aca="false">IF(Serving!$C$16=2,F24,F23)</f>
        <v>35</v>
      </c>
      <c r="G35" s="47" t="n">
        <f aca="false">IF(Serving!$C$16=2,G24,G23)</f>
        <v>70</v>
      </c>
    </row>
    <row r="36" customFormat="false" ht="15" hidden="false" customHeight="true" outlineLevel="0" collapsed="false">
      <c r="A36" s="35" t="s">
        <v>209</v>
      </c>
      <c r="C36" s="48" t="n">
        <f aca="false">C35*1000/C26</f>
        <v>590.746268656716</v>
      </c>
      <c r="D36" s="48" t="n">
        <f aca="false">D35*1000/D26</f>
        <v>1250</v>
      </c>
      <c r="E36" s="48" t="n">
        <f aca="false">E35*1000/E26</f>
        <v>1875</v>
      </c>
      <c r="F36" s="48" t="n">
        <f aca="false">F35*1000/F26</f>
        <v>1590.90909090909</v>
      </c>
      <c r="G36" s="48" t="n">
        <f aca="false">G35*1000/G26</f>
        <v>2187.5</v>
      </c>
    </row>
    <row r="38" customFormat="false" ht="15" hidden="false" customHeight="true" outlineLevel="0" collapsed="false">
      <c r="A38" s="33" t="s">
        <v>210</v>
      </c>
      <c r="B38" s="13"/>
      <c r="C38" s="13"/>
      <c r="D38" s="13"/>
      <c r="E38" s="13"/>
      <c r="F38" s="13"/>
      <c r="G38" s="13"/>
      <c r="H38" s="13"/>
    </row>
    <row r="39" customFormat="false" ht="15" hidden="false" customHeight="true" outlineLevel="0" collapsed="false">
      <c r="A39" s="35" t="s">
        <v>211</v>
      </c>
      <c r="C39" s="37" t="n">
        <f aca="false">SRC_HW_019</f>
        <v>0.989</v>
      </c>
      <c r="D39" s="37" t="n">
        <f aca="false">SRC_HW_042</f>
        <v>2.5</v>
      </c>
      <c r="E39" s="37" t="n">
        <f aca="false">SRC_HW_042</f>
        <v>2.5</v>
      </c>
      <c r="F39" s="37" t="n">
        <f aca="false">SRC_HW_039/SRC_HW_047</f>
        <v>4</v>
      </c>
      <c r="G39" s="38" t="n">
        <v>8</v>
      </c>
      <c r="H39" s="36" t="s">
        <v>212</v>
      </c>
    </row>
    <row r="40" customFormat="false" ht="15" hidden="false" customHeight="true" outlineLevel="0" collapsed="false">
      <c r="A40" s="35" t="s">
        <v>213</v>
      </c>
      <c r="C40" s="37" t="n">
        <f aca="false">SRC_HW_040</f>
        <v>1.979</v>
      </c>
      <c r="D40" s="37" t="n">
        <f aca="false">SRC_HW_043</f>
        <v>5</v>
      </c>
      <c r="E40" s="37" t="n">
        <f aca="false">SRC_HW_043</f>
        <v>5</v>
      </c>
      <c r="F40" s="37" t="n">
        <f aca="false">SRC_HW_038/SRC_HW_047</f>
        <v>17.5</v>
      </c>
      <c r="G40" s="38" t="n">
        <v>35</v>
      </c>
      <c r="H40" s="36" t="s">
        <v>214</v>
      </c>
    </row>
    <row r="41" customFormat="false" ht="15" hidden="false" customHeight="true" outlineLevel="0" collapsed="false">
      <c r="A41" s="35" t="s">
        <v>215</v>
      </c>
      <c r="C41" s="39" t="n">
        <f aca="false">C40</f>
        <v>1.979</v>
      </c>
      <c r="D41" s="38" t="n">
        <v>10</v>
      </c>
      <c r="E41" s="38" t="n">
        <v>15</v>
      </c>
      <c r="F41" s="37" t="n">
        <f aca="false">SRC_HW_037/SRC_HW_047</f>
        <v>35</v>
      </c>
      <c r="G41" s="38" t="n">
        <v>70</v>
      </c>
      <c r="H41" s="36" t="s">
        <v>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17.15" hidden="false" customHeight="false" outlineLevel="0" collapsed="false">
      <c r="A1" s="49" t="s">
        <v>217</v>
      </c>
    </row>
    <row r="2" customFormat="false" ht="15" hidden="false" customHeight="false" outlineLevel="0" collapsed="false">
      <c r="A2" s="50" t="s">
        <v>218</v>
      </c>
    </row>
    <row r="4" customFormat="false" ht="15" hidden="false" customHeight="false" outlineLevel="0" collapsed="false">
      <c r="A4" s="51" t="s">
        <v>54</v>
      </c>
      <c r="B4" s="51" t="s">
        <v>55</v>
      </c>
      <c r="C4" s="52" t="s">
        <v>219</v>
      </c>
      <c r="D4" s="52" t="s">
        <v>220</v>
      </c>
      <c r="E4" s="52" t="s">
        <v>221</v>
      </c>
      <c r="F4" s="51" t="s">
        <v>59</v>
      </c>
      <c r="G4" s="51" t="s">
        <v>60</v>
      </c>
    </row>
    <row r="5" customFormat="false" ht="15" hidden="false" customHeight="false" outlineLevel="0" collapsed="false">
      <c r="A5" s="53" t="s">
        <v>222</v>
      </c>
      <c r="B5" s="53"/>
      <c r="C5" s="54" t="s">
        <v>223</v>
      </c>
      <c r="D5" s="54" t="s">
        <v>224</v>
      </c>
      <c r="E5" s="53" t="s">
        <v>225</v>
      </c>
      <c r="F5" s="50" t="s">
        <v>64</v>
      </c>
      <c r="G5" s="50" t="s">
        <v>226</v>
      </c>
    </row>
    <row r="6" customFormat="false" ht="15" hidden="false" customHeight="false" outlineLevel="0" collapsed="false">
      <c r="A6" s="53" t="s">
        <v>227</v>
      </c>
      <c r="B6" s="54" t="s">
        <v>228</v>
      </c>
      <c r="C6" s="55" t="n">
        <f aca="false">SRC_MOD_005</f>
        <v>284</v>
      </c>
      <c r="D6" s="55" t="n">
        <f aca="false">SRC_MOD_001</f>
        <v>1600</v>
      </c>
      <c r="E6" s="56" t="n">
        <v>4000</v>
      </c>
      <c r="F6" s="50" t="s">
        <v>229</v>
      </c>
      <c r="G6" s="50" t="s">
        <v>230</v>
      </c>
    </row>
    <row r="7" customFormat="false" ht="15" hidden="false" customHeight="false" outlineLevel="0" collapsed="false">
      <c r="A7" s="53" t="s">
        <v>231</v>
      </c>
      <c r="B7" s="54" t="s">
        <v>228</v>
      </c>
      <c r="C7" s="55" t="n">
        <f aca="false">SRC_MOD_006</f>
        <v>13</v>
      </c>
      <c r="D7" s="55" t="n">
        <f aca="false">SRC_MOD_002</f>
        <v>49</v>
      </c>
      <c r="E7" s="56" t="n">
        <v>180</v>
      </c>
      <c r="F7" s="50" t="s">
        <v>229</v>
      </c>
      <c r="G7" s="50" t="s">
        <v>232</v>
      </c>
    </row>
    <row r="8" customFormat="false" ht="15" hidden="false" customHeight="false" outlineLevel="0" collapsed="false">
      <c r="A8" s="53" t="s">
        <v>233</v>
      </c>
      <c r="B8" s="53" t="s">
        <v>234</v>
      </c>
      <c r="C8" s="55" t="n">
        <f aca="false">SRC_MOD_007</f>
        <v>43</v>
      </c>
      <c r="D8" s="55" t="n">
        <f aca="false">SRC_MOD_003</f>
        <v>61</v>
      </c>
      <c r="E8" s="56" t="n">
        <v>100</v>
      </c>
      <c r="F8" s="50" t="s">
        <v>229</v>
      </c>
      <c r="G8" s="50" t="s">
        <v>235</v>
      </c>
    </row>
    <row r="9" customFormat="false" ht="15" hidden="false" customHeight="false" outlineLevel="0" collapsed="false">
      <c r="A9" s="54" t="s">
        <v>236</v>
      </c>
      <c r="B9" s="53"/>
      <c r="C9" s="55" t="n">
        <f aca="false">SRC_MOD_052</f>
        <v>4096</v>
      </c>
      <c r="D9" s="55" t="n">
        <f aca="false">SRC_MOD_004</f>
        <v>7168</v>
      </c>
      <c r="E9" s="56" t="n">
        <v>12288</v>
      </c>
      <c r="F9" s="50" t="s">
        <v>229</v>
      </c>
      <c r="G9" s="50" t="s">
        <v>237</v>
      </c>
    </row>
    <row r="10" customFormat="false" ht="15" hidden="false" customHeight="false" outlineLevel="0" collapsed="false">
      <c r="A10" s="54" t="s">
        <v>238</v>
      </c>
      <c r="B10" s="53"/>
      <c r="C10" s="55" t="n">
        <f aca="false">SRC_MOD_053</f>
        <v>64</v>
      </c>
      <c r="D10" s="55" t="n">
        <f aca="false">SRC_MOD_008</f>
        <v>128</v>
      </c>
      <c r="E10" s="56" t="n">
        <v>96</v>
      </c>
      <c r="F10" s="50" t="s">
        <v>229</v>
      </c>
      <c r="G10" s="50" t="s">
        <v>239</v>
      </c>
    </row>
    <row r="11" customFormat="false" ht="15" hidden="false" customHeight="false" outlineLevel="0" collapsed="false">
      <c r="A11" s="54" t="s">
        <v>240</v>
      </c>
      <c r="B11" s="53"/>
      <c r="C11" s="55" t="n">
        <f aca="false">SRC_MOD_009</f>
        <v>512</v>
      </c>
      <c r="D11" s="55" t="n">
        <f aca="false">SRC_MOD_009</f>
        <v>512</v>
      </c>
      <c r="E11" s="56" t="n">
        <v>128</v>
      </c>
      <c r="F11" s="50" t="s">
        <v>229</v>
      </c>
      <c r="G11" s="50" t="s">
        <v>241</v>
      </c>
    </row>
    <row r="12" customFormat="false" ht="15" hidden="false" customHeight="false" outlineLevel="0" collapsed="false">
      <c r="A12" s="54" t="s">
        <v>242</v>
      </c>
      <c r="B12" s="53"/>
      <c r="C12" s="55" t="n">
        <f aca="false">SRC_MOD_010</f>
        <v>256</v>
      </c>
      <c r="D12" s="55" t="n">
        <f aca="false">SRC_MOD_011</f>
        <v>384</v>
      </c>
      <c r="E12" s="56" t="n">
        <v>512</v>
      </c>
      <c r="F12" s="50" t="s">
        <v>229</v>
      </c>
      <c r="G12" s="50"/>
    </row>
    <row r="13" customFormat="false" ht="15" hidden="false" customHeight="false" outlineLevel="0" collapsed="false">
      <c r="A13" s="53" t="s">
        <v>243</v>
      </c>
      <c r="B13" s="53"/>
      <c r="C13" s="55" t="n">
        <f aca="false">SRC_MOD_012</f>
        <v>6</v>
      </c>
      <c r="D13" s="55" t="n">
        <f aca="false">SRC_MOD_012</f>
        <v>6</v>
      </c>
      <c r="E13" s="56" t="n">
        <v>16</v>
      </c>
      <c r="F13" s="50" t="s">
        <v>229</v>
      </c>
      <c r="G13" s="50"/>
    </row>
    <row r="14" customFormat="false" ht="15" hidden="false" customHeight="false" outlineLevel="0" collapsed="false">
      <c r="A14" s="54" t="s">
        <v>244</v>
      </c>
      <c r="B14" s="53"/>
      <c r="C14" s="55" t="n">
        <f aca="false">SRC_MOD_013</f>
        <v>1</v>
      </c>
      <c r="D14" s="55" t="n">
        <f aca="false">SRC_MOD_013</f>
        <v>1</v>
      </c>
      <c r="E14" s="56" t="n">
        <v>1</v>
      </c>
      <c r="F14" s="50" t="s">
        <v>107</v>
      </c>
      <c r="G14" s="50"/>
    </row>
    <row r="15" customFormat="false" ht="15" hidden="false" customHeight="false" outlineLevel="0" collapsed="false">
      <c r="A15" s="54" t="s">
        <v>245</v>
      </c>
      <c r="B15" s="53"/>
      <c r="C15" s="55" t="n">
        <f aca="false">SRC_MOD_014</f>
        <v>129280</v>
      </c>
      <c r="D15" s="55" t="n">
        <f aca="false">SRC_MOD_014</f>
        <v>129280</v>
      </c>
      <c r="E15" s="56" t="n">
        <v>200000</v>
      </c>
      <c r="F15" s="50" t="s">
        <v>229</v>
      </c>
      <c r="G15" s="50"/>
    </row>
    <row r="16" customFormat="false" ht="15" hidden="false" customHeight="false" outlineLevel="0" collapsed="false">
      <c r="A16" s="53" t="s">
        <v>246</v>
      </c>
      <c r="B16" s="54" t="s">
        <v>71</v>
      </c>
      <c r="C16" s="57" t="n">
        <f aca="false">SRC_MOD_015</f>
        <v>0.512</v>
      </c>
      <c r="D16" s="57" t="n">
        <f aca="false">SRC_MOD_054</f>
        <v>0.492</v>
      </c>
      <c r="E16" s="58" t="n">
        <v>1</v>
      </c>
      <c r="F16" s="50" t="s">
        <v>229</v>
      </c>
      <c r="G16" s="50" t="s">
        <v>247</v>
      </c>
    </row>
    <row r="17" customFormat="false" ht="15" hidden="false" customHeight="false" outlineLevel="0" collapsed="false">
      <c r="A17" s="53" t="s">
        <v>248</v>
      </c>
      <c r="B17" s="54" t="s">
        <v>249</v>
      </c>
      <c r="C17" s="55" t="n">
        <f aca="false">SRC_MOD_018*SRC_MOD_019+SRC_MOD_017</f>
        <v>4224</v>
      </c>
      <c r="D17" s="55" t="n">
        <f aca="false">SRC_MOD_018*SRC_MOD_019+SRC_MOD_017</f>
        <v>4224</v>
      </c>
      <c r="E17" s="56" t="n">
        <v>0</v>
      </c>
      <c r="F17" s="50" t="s">
        <v>250</v>
      </c>
      <c r="G17" s="50" t="s">
        <v>251</v>
      </c>
    </row>
    <row r="18" customFormat="false" ht="15" hidden="false" customHeight="false" outlineLevel="0" collapsed="false">
      <c r="A18" s="53" t="s">
        <v>252</v>
      </c>
      <c r="B18" s="54" t="s">
        <v>75</v>
      </c>
      <c r="C18" s="55" t="n">
        <f aca="false">SRC_MOD_016</f>
        <v>128</v>
      </c>
      <c r="D18" s="55" t="n">
        <f aca="false">SRC_MOD_016</f>
        <v>128</v>
      </c>
      <c r="E18" s="56" t="n">
        <v>1</v>
      </c>
      <c r="F18" s="50" t="s">
        <v>107</v>
      </c>
      <c r="G18" s="50" t="s">
        <v>253</v>
      </c>
    </row>
    <row r="19" customFormat="false" ht="15" hidden="false" customHeight="false" outlineLevel="0" collapsed="false">
      <c r="A19" s="53" t="s">
        <v>254</v>
      </c>
      <c r="B19" s="54" t="s">
        <v>249</v>
      </c>
      <c r="C19" s="55" t="n">
        <f aca="false">SRC_MOD_017</f>
        <v>128</v>
      </c>
      <c r="D19" s="55" t="n">
        <f aca="false">SRC_MOD_017</f>
        <v>128</v>
      </c>
      <c r="E19" s="56" t="n">
        <v>0</v>
      </c>
      <c r="F19" s="50" t="s">
        <v>107</v>
      </c>
      <c r="G19" s="50"/>
    </row>
    <row r="20" customFormat="false" ht="15" hidden="false" customHeight="false" outlineLevel="0" collapsed="false">
      <c r="A20" s="54" t="s">
        <v>255</v>
      </c>
      <c r="B20" s="53" t="s">
        <v>67</v>
      </c>
      <c r="E20" s="59" t="n">
        <v>2</v>
      </c>
      <c r="F20" s="50" t="s">
        <v>64</v>
      </c>
      <c r="G20" s="50" t="s">
        <v>256</v>
      </c>
    </row>
    <row r="21" customFormat="false" ht="15" hidden="false" customHeight="false" outlineLevel="0" collapsed="false">
      <c r="A21" s="54" t="s">
        <v>257</v>
      </c>
      <c r="B21" s="54" t="s">
        <v>228</v>
      </c>
      <c r="C21" s="60" t="n">
        <f aca="false">C34*C8</f>
        <v>2795</v>
      </c>
      <c r="D21" s="60" t="n">
        <f aca="false">D34*D8</f>
        <v>3965</v>
      </c>
      <c r="E21" s="60" t="n">
        <f aca="false">E36*E35*E8*$C$38</f>
        <v>14976</v>
      </c>
      <c r="F21" s="50" t="s">
        <v>258</v>
      </c>
      <c r="G21" s="50" t="s">
        <v>259</v>
      </c>
    </row>
    <row r="22" customFormat="false" ht="15" hidden="false" customHeight="false" outlineLevel="0" collapsed="false">
      <c r="A22" s="54" t="s">
        <v>260</v>
      </c>
      <c r="B22" s="54" t="s">
        <v>228</v>
      </c>
      <c r="C22" s="60" t="n">
        <f aca="false">C34*C8</f>
        <v>2795</v>
      </c>
      <c r="D22" s="60" t="n">
        <f aca="false">D34*D8</f>
        <v>3965</v>
      </c>
      <c r="E22" s="60" t="n">
        <f aca="false">E35*E8*$C$38</f>
        <v>57600</v>
      </c>
      <c r="F22" s="50" t="s">
        <v>258</v>
      </c>
      <c r="G22" s="50" t="s">
        <v>261</v>
      </c>
    </row>
    <row r="23" customFormat="false" ht="15" hidden="false" customHeight="false" outlineLevel="0" collapsed="false">
      <c r="A23" s="54" t="s">
        <v>262</v>
      </c>
      <c r="B23" s="54" t="s">
        <v>228</v>
      </c>
      <c r="C23" s="60" t="n">
        <f aca="false">C34*C8</f>
        <v>2795</v>
      </c>
      <c r="D23" s="60" t="n">
        <f aca="false">D34*D8</f>
        <v>3965</v>
      </c>
      <c r="E23" s="60" t="n">
        <f aca="false">E37*E11*2*E8*$C$38</f>
        <v>204800</v>
      </c>
      <c r="F23" s="50" t="s">
        <v>258</v>
      </c>
      <c r="G23" s="50" t="s">
        <v>263</v>
      </c>
    </row>
    <row r="24" customFormat="false" ht="15" hidden="false" customHeight="false" outlineLevel="0" collapsed="false">
      <c r="A24" s="61" t="s">
        <v>264</v>
      </c>
      <c r="B24" s="62"/>
      <c r="C24" s="62"/>
      <c r="D24" s="62"/>
      <c r="E24" s="62"/>
      <c r="F24" s="62"/>
      <c r="G24" s="62"/>
    </row>
    <row r="25" customFormat="false" ht="15" hidden="false" customHeight="false" outlineLevel="0" collapsed="false">
      <c r="A25" s="54" t="s">
        <v>265</v>
      </c>
      <c r="B25" s="54" t="s">
        <v>228</v>
      </c>
      <c r="C25" s="63" t="n">
        <f aca="false">CHOOSE(IF(C20="",1,C20),C21,C22,C23)</f>
        <v>2795</v>
      </c>
      <c r="D25" s="63" t="n">
        <f aca="false">CHOOSE(IF(D20="",1,D20),D21,D22,D23)</f>
        <v>3965</v>
      </c>
      <c r="E25" s="63" t="n">
        <f aca="false">CHOOSE(IF(E20="",1,E20),E21,E22,E23)</f>
        <v>57600</v>
      </c>
    </row>
    <row r="26" customFormat="false" ht="15" hidden="false" customHeight="false" outlineLevel="0" collapsed="false">
      <c r="A26" s="54" t="s">
        <v>266</v>
      </c>
      <c r="B26" s="54" t="s">
        <v>228</v>
      </c>
      <c r="C26" s="64" t="n">
        <f aca="false">C15*C9*2/1000000000</f>
        <v>1.05906176</v>
      </c>
      <c r="D26" s="64" t="n">
        <f aca="false">D15*D9*2/1000000000</f>
        <v>1.85335808</v>
      </c>
      <c r="E26" s="64" t="n">
        <f aca="false">E15*E9*2/1000000000</f>
        <v>4.9152</v>
      </c>
    </row>
    <row r="27" customFormat="false" ht="15" hidden="false" customHeight="false" outlineLevel="0" collapsed="false">
      <c r="A27" s="53" t="s">
        <v>267</v>
      </c>
      <c r="B27" s="54" t="s">
        <v>228</v>
      </c>
      <c r="C27" s="65" t="n">
        <f aca="false">(C6-C7)/(C8*(C12-C13))</f>
        <v>0.0252093023255814</v>
      </c>
      <c r="D27" s="65" t="n">
        <f aca="false">(D6-D7)/(D8*(D12-D13))</f>
        <v>0.0672651574290919</v>
      </c>
      <c r="E27" s="65" t="n">
        <f aca="false">(E6-E7)/(E8*(E12-E13))</f>
        <v>0.0770161290322581</v>
      </c>
      <c r="G27" s="66" t="s">
        <v>268</v>
      </c>
    </row>
    <row r="28" customFormat="false" ht="15" hidden="false" customHeight="false" outlineLevel="0" collapsed="false">
      <c r="A28" s="53" t="s">
        <v>269</v>
      </c>
      <c r="B28" s="54" t="s">
        <v>228</v>
      </c>
      <c r="C28" s="67" t="n">
        <f aca="false">C7-C8*(C13+C14)*C27</f>
        <v>5.412</v>
      </c>
      <c r="D28" s="67" t="n">
        <f aca="false">D7-D8*(D13+D14)*D27</f>
        <v>20.2777777777778</v>
      </c>
      <c r="E28" s="67" t="n">
        <f aca="false">E7-E8*(E13+E14)*E27</f>
        <v>49.0725806451613</v>
      </c>
    </row>
    <row r="29" customFormat="false" ht="15" hidden="false" customHeight="false" outlineLevel="0" collapsed="false">
      <c r="A29" s="53" t="s">
        <v>270</v>
      </c>
      <c r="B29" s="54" t="s">
        <v>228</v>
      </c>
      <c r="C29" s="67" t="n">
        <f aca="false">C6-C28</f>
        <v>278.588</v>
      </c>
      <c r="D29" s="67" t="n">
        <f aca="false">D6-D28</f>
        <v>1579.72222222222</v>
      </c>
      <c r="E29" s="67" t="n">
        <f aca="false">E6-E28</f>
        <v>3950.92741935484</v>
      </c>
    </row>
    <row r="30" customFormat="false" ht="15" hidden="false" customHeight="false" outlineLevel="0" collapsed="false">
      <c r="A30" s="53" t="s">
        <v>271</v>
      </c>
      <c r="B30" s="54" t="s">
        <v>272</v>
      </c>
      <c r="C30" s="60" t="n">
        <f aca="false">4*C10*C11*C8</f>
        <v>5636096</v>
      </c>
      <c r="D30" s="60" t="n">
        <f aca="false">4*D10*D11*D8</f>
        <v>15990784</v>
      </c>
      <c r="E30" s="60" t="n">
        <f aca="false">4*E10*E11*E8</f>
        <v>4915200</v>
      </c>
    </row>
    <row r="31" customFormat="false" ht="15" hidden="false" customHeight="false" outlineLevel="0" collapsed="false">
      <c r="A31" s="54" t="s">
        <v>273</v>
      </c>
      <c r="B31" s="54" t="s">
        <v>274</v>
      </c>
      <c r="C31" s="64" t="n">
        <f aca="false">C25*CST_CtxKV/1000000000</f>
        <v>0.35776</v>
      </c>
      <c r="D31" s="64" t="n">
        <f aca="false">D25*CST_CtxKV/1000000000</f>
        <v>0.50752</v>
      </c>
      <c r="E31" s="64" t="n">
        <f aca="false">E25*CST_CtxKV/1000000000</f>
        <v>7.3728</v>
      </c>
    </row>
    <row r="32" customFormat="false" ht="15" hidden="false" customHeight="false" outlineLevel="0" collapsed="false">
      <c r="A32" s="53" t="s">
        <v>275</v>
      </c>
      <c r="B32" s="54" t="s">
        <v>249</v>
      </c>
      <c r="C32" s="56" t="n">
        <v>128000</v>
      </c>
      <c r="F32" s="66" t="s">
        <v>276</v>
      </c>
      <c r="G32" s="66" t="s">
        <v>277</v>
      </c>
    </row>
    <row r="33" customFormat="false" ht="15" hidden="false" customHeight="false" outlineLevel="0" collapsed="false">
      <c r="A33" s="68" t="s">
        <v>278</v>
      </c>
      <c r="B33" s="62"/>
      <c r="C33" s="62"/>
      <c r="D33" s="62"/>
      <c r="E33" s="62"/>
      <c r="F33" s="62"/>
      <c r="G33" s="62"/>
    </row>
    <row r="34" customFormat="false" ht="15" hidden="false" customHeight="false" outlineLevel="0" collapsed="false">
      <c r="A34" s="53" t="s">
        <v>279</v>
      </c>
      <c r="B34" s="54" t="s">
        <v>228</v>
      </c>
      <c r="C34" s="56" t="n">
        <v>65</v>
      </c>
      <c r="D34" s="56" t="n">
        <v>65</v>
      </c>
      <c r="F34" s="50" t="s">
        <v>72</v>
      </c>
      <c r="G34" s="50" t="s">
        <v>280</v>
      </c>
    </row>
    <row r="35" customFormat="false" ht="15" hidden="false" customHeight="false" outlineLevel="0" collapsed="false">
      <c r="A35" s="54" t="s">
        <v>281</v>
      </c>
      <c r="B35" s="53" t="s">
        <v>282</v>
      </c>
      <c r="E35" s="56" t="n">
        <v>576</v>
      </c>
      <c r="F35" s="50" t="s">
        <v>76</v>
      </c>
      <c r="G35" s="66" t="s">
        <v>283</v>
      </c>
    </row>
    <row r="36" customFormat="false" ht="15" hidden="false" customHeight="false" outlineLevel="0" collapsed="false">
      <c r="A36" s="54" t="s">
        <v>284</v>
      </c>
      <c r="B36" s="54" t="s">
        <v>71</v>
      </c>
      <c r="E36" s="58" t="n">
        <v>0.26</v>
      </c>
      <c r="F36" s="50" t="s">
        <v>72</v>
      </c>
      <c r="G36" s="66" t="s">
        <v>285</v>
      </c>
    </row>
    <row r="37" customFormat="false" ht="15" hidden="false" customHeight="false" outlineLevel="0" collapsed="false">
      <c r="A37" s="54" t="s">
        <v>286</v>
      </c>
      <c r="B37" s="53" t="s">
        <v>287</v>
      </c>
      <c r="E37" s="56" t="n">
        <v>8</v>
      </c>
      <c r="F37" s="50" t="s">
        <v>72</v>
      </c>
      <c r="G37" s="50" t="s">
        <v>288</v>
      </c>
    </row>
    <row r="38" customFormat="false" ht="15" hidden="false" customHeight="false" outlineLevel="0" collapsed="false">
      <c r="A38" s="54" t="s">
        <v>289</v>
      </c>
      <c r="B38" s="54" t="s">
        <v>228</v>
      </c>
      <c r="C38" s="55" t="n">
        <f aca="false">SRC_HW_055</f>
        <v>1</v>
      </c>
      <c r="F38" s="66" t="s">
        <v>290</v>
      </c>
      <c r="G38" s="50" t="s">
        <v>291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</cols>
  <sheetData>
    <row r="1" customFormat="false" ht="17.15" hidden="false" customHeight="false" outlineLevel="0" collapsed="false">
      <c r="A1" s="49" t="s">
        <v>292</v>
      </c>
    </row>
    <row r="2" customFormat="false" ht="15" hidden="false" customHeight="false" outlineLevel="0" collapsed="false">
      <c r="A2" s="66" t="s">
        <v>293</v>
      </c>
    </row>
    <row r="4" customFormat="false" ht="15" hidden="false" customHeight="false" outlineLevel="0" collapsed="false">
      <c r="A4" s="51" t="s">
        <v>294</v>
      </c>
      <c r="B4" s="51" t="s">
        <v>55</v>
      </c>
      <c r="C4" s="51" t="s">
        <v>295</v>
      </c>
      <c r="D4" s="51" t="s">
        <v>59</v>
      </c>
      <c r="E4" s="51"/>
      <c r="F4" s="51" t="s">
        <v>296</v>
      </c>
    </row>
    <row r="5" customFormat="false" ht="15" hidden="false" customHeight="false" outlineLevel="0" collapsed="false">
      <c r="A5" s="53" t="s">
        <v>297</v>
      </c>
      <c r="B5" s="53"/>
      <c r="C5" s="53" t="s">
        <v>298</v>
      </c>
      <c r="D5" s="50" t="s">
        <v>64</v>
      </c>
      <c r="F5" s="50" t="s">
        <v>299</v>
      </c>
    </row>
    <row r="6" customFormat="false" ht="15" hidden="false" customHeight="false" outlineLevel="0" collapsed="false">
      <c r="A6" s="54" t="s">
        <v>300</v>
      </c>
      <c r="B6" s="54" t="s">
        <v>249</v>
      </c>
      <c r="C6" s="59" t="n">
        <v>3</v>
      </c>
      <c r="D6" s="50" t="s">
        <v>76</v>
      </c>
      <c r="F6" s="50" t="s">
        <v>301</v>
      </c>
    </row>
    <row r="7" customFormat="false" ht="15" hidden="false" customHeight="false" outlineLevel="0" collapsed="false">
      <c r="A7" s="53" t="s">
        <v>302</v>
      </c>
      <c r="B7" s="54" t="s">
        <v>71</v>
      </c>
      <c r="C7" s="57" t="n">
        <f aca="false">SRC_PERF_005</f>
        <v>0.7</v>
      </c>
      <c r="D7" s="50" t="s">
        <v>303</v>
      </c>
      <c r="F7" s="50" t="s">
        <v>304</v>
      </c>
    </row>
    <row r="8" customFormat="false" ht="15" hidden="false" customHeight="false" outlineLevel="0" collapsed="false">
      <c r="A8" s="53" t="s">
        <v>305</v>
      </c>
      <c r="B8" s="54" t="s">
        <v>249</v>
      </c>
      <c r="C8" s="69" t="n">
        <f aca="false">(1-C7^(C6+1))/(1-C7)</f>
        <v>2.533</v>
      </c>
      <c r="D8" s="50" t="s">
        <v>250</v>
      </c>
      <c r="F8" s="50" t="s">
        <v>306</v>
      </c>
    </row>
    <row r="9" customFormat="false" ht="15" hidden="false" customHeight="false" outlineLevel="0" collapsed="false">
      <c r="A9" s="54" t="s">
        <v>307</v>
      </c>
      <c r="B9" s="54" t="s">
        <v>71</v>
      </c>
      <c r="C9" s="58" t="n">
        <v>0.1</v>
      </c>
      <c r="D9" s="50" t="s">
        <v>72</v>
      </c>
      <c r="F9" s="66" t="s">
        <v>308</v>
      </c>
    </row>
    <row r="10" customFormat="false" ht="15" hidden="false" customHeight="false" outlineLevel="0" collapsed="false">
      <c r="A10" s="53" t="s">
        <v>309</v>
      </c>
      <c r="B10" s="54" t="s">
        <v>71</v>
      </c>
      <c r="C10" s="58" t="n">
        <v>0.2</v>
      </c>
      <c r="D10" s="50" t="s">
        <v>72</v>
      </c>
      <c r="F10" s="66" t="s">
        <v>310</v>
      </c>
    </row>
    <row r="11" customFormat="false" ht="15" hidden="false" customHeight="false" outlineLevel="0" collapsed="false">
      <c r="A11" s="53" t="s">
        <v>311</v>
      </c>
      <c r="B11" s="54" t="s">
        <v>71</v>
      </c>
      <c r="C11" s="58" t="n">
        <v>0.4</v>
      </c>
      <c r="D11" s="50" t="s">
        <v>72</v>
      </c>
      <c r="F11" s="66" t="s">
        <v>312</v>
      </c>
    </row>
    <row r="12" customFormat="false" ht="15" hidden="false" customHeight="false" outlineLevel="0" collapsed="false">
      <c r="A12" s="54" t="s">
        <v>313</v>
      </c>
      <c r="B12" s="54" t="s">
        <v>228</v>
      </c>
      <c r="C12" s="70" t="n">
        <v>3</v>
      </c>
      <c r="D12" s="50" t="s">
        <v>76</v>
      </c>
      <c r="F12" s="50" t="s">
        <v>314</v>
      </c>
    </row>
    <row r="13" customFormat="false" ht="15" hidden="false" customHeight="false" outlineLevel="0" collapsed="false">
      <c r="A13" s="54" t="s">
        <v>315</v>
      </c>
      <c r="B13" s="54" t="s">
        <v>71</v>
      </c>
      <c r="C13" s="58" t="n">
        <v>0.7</v>
      </c>
      <c r="D13" s="50" t="s">
        <v>76</v>
      </c>
      <c r="F13" s="66" t="s">
        <v>316</v>
      </c>
    </row>
    <row r="14" customFormat="false" ht="15" hidden="false" customHeight="false" outlineLevel="0" collapsed="false">
      <c r="A14" s="54" t="s">
        <v>317</v>
      </c>
      <c r="B14" s="54" t="s">
        <v>71</v>
      </c>
      <c r="C14" s="58" t="n">
        <v>0.7</v>
      </c>
      <c r="D14" s="50" t="s">
        <v>76</v>
      </c>
      <c r="F14" s="66" t="s">
        <v>316</v>
      </c>
    </row>
    <row r="15" customFormat="false" ht="15" hidden="false" customHeight="false" outlineLevel="0" collapsed="false">
      <c r="A15" s="53" t="s">
        <v>318</v>
      </c>
      <c r="B15" s="54" t="s">
        <v>319</v>
      </c>
      <c r="C15" s="71" t="n">
        <v>0.1</v>
      </c>
      <c r="D15" s="50" t="s">
        <v>72</v>
      </c>
      <c r="F15" s="66" t="s">
        <v>320</v>
      </c>
    </row>
    <row r="16" customFormat="false" ht="15" hidden="false" customHeight="false" outlineLevel="0" collapsed="false">
      <c r="A16" s="53" t="s">
        <v>321</v>
      </c>
      <c r="B16" s="53" t="s">
        <v>67</v>
      </c>
      <c r="C16" s="59" t="n">
        <v>1</v>
      </c>
      <c r="D16" s="50" t="s">
        <v>64</v>
      </c>
      <c r="F16" s="50" t="s">
        <v>322</v>
      </c>
    </row>
    <row r="17" customFormat="false" ht="15" hidden="false" customHeight="false" outlineLevel="0" collapsed="false">
      <c r="A17" s="53" t="s">
        <v>323</v>
      </c>
      <c r="B17" s="54" t="s">
        <v>71</v>
      </c>
      <c r="C17" s="72" t="n">
        <v>0.6</v>
      </c>
      <c r="D17" s="50" t="s">
        <v>72</v>
      </c>
      <c r="F17" s="50" t="s">
        <v>324</v>
      </c>
    </row>
    <row r="18" customFormat="false" ht="15" hidden="false" customHeight="false" outlineLevel="0" collapsed="false">
      <c r="A18" s="53" t="s">
        <v>325</v>
      </c>
      <c r="B18" s="54" t="s">
        <v>75</v>
      </c>
      <c r="C18" s="73" t="n">
        <v>1</v>
      </c>
      <c r="D18" s="50" t="s">
        <v>72</v>
      </c>
      <c r="F18" s="66" t="s">
        <v>326</v>
      </c>
    </row>
    <row r="19" customFormat="false" ht="15" hidden="false" customHeight="false" outlineLevel="0" collapsed="false">
      <c r="A19" s="61" t="s">
        <v>327</v>
      </c>
      <c r="B19" s="62"/>
      <c r="C19" s="62"/>
      <c r="D19" s="62"/>
      <c r="E19" s="62"/>
      <c r="F19" s="62"/>
    </row>
    <row r="20" customFormat="false" ht="15" hidden="false" customHeight="false" outlineLevel="0" collapsed="false">
      <c r="A20" s="51" t="s">
        <v>328</v>
      </c>
      <c r="B20" s="51" t="s">
        <v>55</v>
      </c>
      <c r="C20" s="74" t="str">
        <f aca="false">Arch!C4</f>
        <v>Luna（低層）</v>
      </c>
      <c r="D20" s="74" t="str">
        <f aca="false">Arch!D4</f>
        <v>Sol（中層）</v>
      </c>
      <c r="E20" s="74" t="str">
        <f aca="false">Arch!E4</f>
        <v>Astra（頂層）</v>
      </c>
      <c r="F20" s="51" t="s">
        <v>296</v>
      </c>
    </row>
    <row r="21" customFormat="false" ht="15" hidden="false" customHeight="false" outlineLevel="0" collapsed="false">
      <c r="A21" s="54" t="s">
        <v>329</v>
      </c>
      <c r="B21" s="54" t="s">
        <v>330</v>
      </c>
      <c r="C21" s="55" t="n">
        <f aca="false">SRC_PERF_018</f>
        <v>120</v>
      </c>
      <c r="D21" s="75" t="n">
        <v>65</v>
      </c>
      <c r="E21" s="75" t="n">
        <v>55</v>
      </c>
      <c r="F21" s="50" t="s">
        <v>331</v>
      </c>
    </row>
    <row r="22" customFormat="false" ht="15" hidden="false" customHeight="false" outlineLevel="0" collapsed="false">
      <c r="A22" s="54" t="s">
        <v>332</v>
      </c>
      <c r="B22" s="54" t="s">
        <v>333</v>
      </c>
      <c r="C22" s="70" t="n">
        <v>2</v>
      </c>
      <c r="D22" s="70" t="n">
        <v>3</v>
      </c>
      <c r="E22" s="70" t="n">
        <v>5</v>
      </c>
      <c r="F22" s="50" t="s">
        <v>72</v>
      </c>
    </row>
    <row r="23" customFormat="false" ht="15" hidden="false" customHeight="false" outlineLevel="0" collapsed="false">
      <c r="A23" s="53" t="s">
        <v>334</v>
      </c>
      <c r="B23" s="54" t="s">
        <v>249</v>
      </c>
      <c r="C23" s="56" t="n">
        <v>8192</v>
      </c>
      <c r="D23" s="56" t="n">
        <v>16384</v>
      </c>
      <c r="E23" s="56" t="n">
        <v>32768</v>
      </c>
      <c r="F23" s="50" t="s">
        <v>335</v>
      </c>
    </row>
    <row r="24" customFormat="false" ht="15" hidden="false" customHeight="false" outlineLevel="0" collapsed="false">
      <c r="A24" s="53" t="s">
        <v>336</v>
      </c>
      <c r="B24" s="54" t="s">
        <v>249</v>
      </c>
      <c r="C24" s="56" t="n">
        <v>1024</v>
      </c>
      <c r="D24" s="56" t="n">
        <v>2048</v>
      </c>
      <c r="E24" s="56" t="n">
        <v>4096</v>
      </c>
      <c r="F24" s="50" t="s">
        <v>72</v>
      </c>
    </row>
    <row r="25" customFormat="false" ht="15" hidden="false" customHeight="false" outlineLevel="0" collapsed="false">
      <c r="A25" s="54" t="s">
        <v>337</v>
      </c>
      <c r="B25" s="54" t="s">
        <v>249</v>
      </c>
      <c r="C25" s="60" t="n">
        <f aca="false">C23+C24/2</f>
        <v>8704</v>
      </c>
      <c r="D25" s="60" t="n">
        <f aca="false">D23+D24/2</f>
        <v>17408</v>
      </c>
      <c r="E25" s="60" t="n">
        <f aca="false">E23+E24/2</f>
        <v>34816</v>
      </c>
      <c r="F25" s="50" t="s">
        <v>250</v>
      </c>
    </row>
    <row r="26" customFormat="false" ht="15" hidden="false" customHeight="false" outlineLevel="0" collapsed="false">
      <c r="A26" s="54" t="s">
        <v>338</v>
      </c>
      <c r="B26" s="54" t="s">
        <v>249</v>
      </c>
      <c r="C26" s="60" t="n">
        <f aca="false">C23/2</f>
        <v>4096</v>
      </c>
      <c r="D26" s="60" t="n">
        <f aca="false">D23/2</f>
        <v>8192</v>
      </c>
      <c r="E26" s="60" t="n">
        <f aca="false">E23/2</f>
        <v>16384</v>
      </c>
      <c r="F26" s="50" t="s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49" t="s">
        <v>339</v>
      </c>
    </row>
    <row r="2" customFormat="false" ht="15" hidden="false" customHeight="false" outlineLevel="0" collapsed="false">
      <c r="A2" s="66" t="s">
        <v>340</v>
      </c>
    </row>
    <row r="4" customFormat="false" ht="30" hidden="false" customHeight="true" outlineLevel="0" collapsed="false">
      <c r="A4" s="51" t="s">
        <v>54</v>
      </c>
      <c r="B4" s="51" t="s">
        <v>55</v>
      </c>
      <c r="C4" s="76" t="s">
        <v>341</v>
      </c>
      <c r="D4" s="76" t="s">
        <v>342</v>
      </c>
      <c r="E4" s="76" t="s">
        <v>343</v>
      </c>
      <c r="F4" s="76" t="s">
        <v>344</v>
      </c>
      <c r="G4" s="77" t="s">
        <v>345</v>
      </c>
      <c r="H4" s="51" t="s">
        <v>296</v>
      </c>
    </row>
    <row r="5" customFormat="false" ht="15" hidden="false" customHeight="false" outlineLevel="0" collapsed="false">
      <c r="A5" s="53" t="s">
        <v>346</v>
      </c>
      <c r="B5" s="53" t="s">
        <v>347</v>
      </c>
      <c r="C5" s="56" t="n">
        <v>1</v>
      </c>
      <c r="D5" s="56" t="n">
        <v>1</v>
      </c>
      <c r="E5" s="56" t="n">
        <v>4</v>
      </c>
      <c r="F5" s="56" t="n">
        <v>4</v>
      </c>
      <c r="G5" s="56" t="n">
        <v>30</v>
      </c>
      <c r="H5" s="50" t="s">
        <v>72</v>
      </c>
    </row>
    <row r="6" customFormat="false" ht="15" hidden="false" customHeight="false" outlineLevel="0" collapsed="false">
      <c r="A6" s="53" t="s">
        <v>348</v>
      </c>
      <c r="B6" s="54" t="s">
        <v>249</v>
      </c>
      <c r="C6" s="56" t="n">
        <v>2000</v>
      </c>
      <c r="D6" s="56" t="n">
        <v>2000</v>
      </c>
      <c r="E6" s="56" t="n">
        <v>3000</v>
      </c>
      <c r="F6" s="56" t="n">
        <v>3000</v>
      </c>
      <c r="G6" s="56" t="n">
        <v>12000</v>
      </c>
      <c r="H6" s="50" t="s">
        <v>72</v>
      </c>
    </row>
    <row r="7" customFormat="false" ht="15" hidden="false" customHeight="false" outlineLevel="0" collapsed="false">
      <c r="A7" s="53" t="s">
        <v>349</v>
      </c>
      <c r="B7" s="54" t="s">
        <v>249</v>
      </c>
      <c r="C7" s="56" t="n">
        <v>500</v>
      </c>
      <c r="D7" s="56" t="n">
        <v>500</v>
      </c>
      <c r="E7" s="56" t="n">
        <v>1200</v>
      </c>
      <c r="F7" s="56" t="n">
        <v>1200</v>
      </c>
      <c r="G7" s="56" t="n">
        <v>2000</v>
      </c>
      <c r="H7" s="50" t="s">
        <v>72</v>
      </c>
    </row>
    <row r="8" customFormat="false" ht="15" hidden="false" customHeight="false" outlineLevel="0" collapsed="false">
      <c r="A8" s="53" t="s">
        <v>350</v>
      </c>
      <c r="B8" s="54" t="s">
        <v>249</v>
      </c>
      <c r="C8" s="56" t="n">
        <v>0</v>
      </c>
      <c r="D8" s="56" t="n">
        <v>3000</v>
      </c>
      <c r="E8" s="56" t="n">
        <v>400</v>
      </c>
      <c r="F8" s="56" t="n">
        <v>400</v>
      </c>
      <c r="G8" s="56" t="n">
        <v>600</v>
      </c>
      <c r="H8" s="50" t="s">
        <v>351</v>
      </c>
    </row>
    <row r="9" customFormat="false" ht="15" hidden="false" customHeight="false" outlineLevel="0" collapsed="false">
      <c r="A9" s="53" t="s">
        <v>352</v>
      </c>
      <c r="B9" s="54" t="s">
        <v>249</v>
      </c>
      <c r="C9" s="56" t="n">
        <v>500</v>
      </c>
      <c r="D9" s="56" t="n">
        <v>700</v>
      </c>
      <c r="E9" s="56" t="n">
        <v>200</v>
      </c>
      <c r="F9" s="56" t="n">
        <v>200</v>
      </c>
      <c r="G9" s="56" t="n">
        <v>400</v>
      </c>
      <c r="H9" s="50" t="s">
        <v>72</v>
      </c>
    </row>
    <row r="10" customFormat="false" ht="15" hidden="false" customHeight="false" outlineLevel="0" collapsed="false">
      <c r="A10" s="53" t="s">
        <v>353</v>
      </c>
      <c r="B10" s="54" t="s">
        <v>71</v>
      </c>
      <c r="C10" s="58" t="n">
        <v>0</v>
      </c>
      <c r="D10" s="58" t="n">
        <v>0</v>
      </c>
      <c r="E10" s="58" t="n">
        <v>0</v>
      </c>
      <c r="F10" s="58" t="n">
        <v>0</v>
      </c>
      <c r="G10" s="58" t="n">
        <v>0</v>
      </c>
      <c r="H10" s="50" t="s">
        <v>354</v>
      </c>
    </row>
    <row r="11" customFormat="false" ht="15" hidden="false" customHeight="false" outlineLevel="0" collapsed="false">
      <c r="A11" s="53" t="s">
        <v>355</v>
      </c>
      <c r="B11" s="54" t="s">
        <v>71</v>
      </c>
      <c r="C11" s="58" t="n">
        <v>0.5</v>
      </c>
      <c r="D11" s="58" t="n">
        <v>0.5</v>
      </c>
      <c r="E11" s="58" t="n">
        <v>0.9</v>
      </c>
      <c r="F11" s="58" t="n">
        <v>0.9</v>
      </c>
      <c r="G11" s="58" t="n">
        <v>0.9</v>
      </c>
      <c r="H11" s="50" t="s">
        <v>356</v>
      </c>
    </row>
    <row r="12" customFormat="false" ht="15" hidden="false" customHeight="false" outlineLevel="0" collapsed="false">
      <c r="A12" s="53" t="s">
        <v>357</v>
      </c>
      <c r="B12" s="53" t="s">
        <v>287</v>
      </c>
      <c r="C12" s="59" t="n">
        <v>0</v>
      </c>
      <c r="D12" s="59" t="n">
        <v>0</v>
      </c>
      <c r="E12" s="59" t="n">
        <v>0</v>
      </c>
      <c r="F12" s="59" t="n">
        <v>3</v>
      </c>
      <c r="G12" s="59" t="n">
        <v>0</v>
      </c>
      <c r="H12" s="50" t="s">
        <v>358</v>
      </c>
    </row>
    <row r="13" customFormat="false" ht="15" hidden="false" customHeight="false" outlineLevel="0" collapsed="false">
      <c r="A13" s="54" t="s">
        <v>359</v>
      </c>
      <c r="B13" s="54" t="s">
        <v>75</v>
      </c>
      <c r="C13" s="71" t="n">
        <v>1</v>
      </c>
      <c r="D13" s="71" t="n">
        <v>1</v>
      </c>
      <c r="E13" s="71" t="n">
        <v>1</v>
      </c>
      <c r="F13" s="71" t="n">
        <v>1</v>
      </c>
      <c r="G13" s="71" t="n">
        <v>1</v>
      </c>
      <c r="H13" s="50" t="s">
        <v>360</v>
      </c>
    </row>
    <row r="14" customFormat="false" ht="15" hidden="false" customHeight="false" outlineLevel="0" collapsed="false">
      <c r="A14" s="53" t="s">
        <v>361</v>
      </c>
      <c r="B14" s="54" t="s">
        <v>75</v>
      </c>
      <c r="C14" s="71" t="n">
        <v>1</v>
      </c>
      <c r="D14" s="71" t="n">
        <v>1</v>
      </c>
      <c r="E14" s="71" t="n">
        <v>1</v>
      </c>
      <c r="F14" s="71" t="n">
        <v>1</v>
      </c>
      <c r="G14" s="71" t="n">
        <v>1</v>
      </c>
      <c r="H14" s="66" t="s">
        <v>362</v>
      </c>
    </row>
    <row r="16" customFormat="false" ht="15" hidden="false" customHeight="false" outlineLevel="0" collapsed="false">
      <c r="A16" s="61" t="s">
        <v>363</v>
      </c>
      <c r="B16" s="62"/>
      <c r="C16" s="62"/>
      <c r="D16" s="62"/>
      <c r="E16" s="62"/>
      <c r="F16" s="62"/>
      <c r="G16" s="62"/>
      <c r="H16" s="62"/>
    </row>
    <row r="17" customFormat="false" ht="15" hidden="false" customHeight="false" outlineLevel="0" collapsed="false">
      <c r="A17" s="54" t="s">
        <v>364</v>
      </c>
      <c r="B17" s="54" t="s">
        <v>75</v>
      </c>
      <c r="C17" s="69" t="n">
        <f aca="false">B5_W</f>
        <v>0</v>
      </c>
      <c r="D17" s="69" t="n">
        <f aca="false">B5_W</f>
        <v>0</v>
      </c>
      <c r="E17" s="69" t="n">
        <f aca="false">B5_W</f>
        <v>0</v>
      </c>
      <c r="F17" s="69" t="n">
        <f aca="false">B5_W</f>
        <v>0</v>
      </c>
      <c r="G17" s="69" t="n">
        <f aca="false">B5_W</f>
        <v>0</v>
      </c>
    </row>
    <row r="18" customFormat="false" ht="15" hidden="false" customHeight="false" outlineLevel="0" collapsed="false">
      <c r="A18" s="53" t="s">
        <v>365</v>
      </c>
      <c r="B18" s="53" t="s">
        <v>347</v>
      </c>
      <c r="C18" s="67" t="n">
        <f aca="false">C5*(1+B5_W*(INDEX(B5_SelT,1,1)-1))</f>
        <v>1</v>
      </c>
      <c r="D18" s="67" t="n">
        <f aca="false">D5*(1+B5_W*(INDEX(B5_SelT,1,2)-1))</f>
        <v>1</v>
      </c>
      <c r="E18" s="67" t="n">
        <f aca="false">E5*(1+B5_W*(INDEX(B5_SelT,1,3)-1))</f>
        <v>4</v>
      </c>
      <c r="F18" s="67" t="n">
        <f aca="false">F5*(1+B5_W*(INDEX(B5_SelT,1,4)-1))</f>
        <v>4</v>
      </c>
      <c r="G18" s="67" t="n">
        <f aca="false">G5*(1+B5_W*(INDEX(B5_SelT,1,5)-1))</f>
        <v>30</v>
      </c>
    </row>
    <row r="19" customFormat="false" ht="15" hidden="false" customHeight="false" outlineLevel="0" collapsed="false">
      <c r="A19" s="53" t="s">
        <v>366</v>
      </c>
      <c r="B19" s="54" t="s">
        <v>249</v>
      </c>
      <c r="C19" s="60" t="n">
        <f aca="false">C8*(1+B5_W*(INDEX(B5_SelH,1,1)-1))</f>
        <v>0</v>
      </c>
      <c r="D19" s="60" t="n">
        <f aca="false">D8*(1+B5_W*(INDEX(B5_SelH,1,2)-1))</f>
        <v>3000</v>
      </c>
      <c r="E19" s="60" t="n">
        <f aca="false">E8*(1+B5_W*(INDEX(B5_SelH,1,3)-1))</f>
        <v>400</v>
      </c>
      <c r="F19" s="60" t="n">
        <f aca="false">F8*(1+B5_W*(INDEX(B5_SelH,1,4)-1))</f>
        <v>400</v>
      </c>
      <c r="G19" s="60" t="n">
        <f aca="false">G8*(1+B5_W*(INDEX(B5_SelH,1,5)-1))</f>
        <v>600</v>
      </c>
    </row>
    <row r="20" customFormat="false" ht="15" hidden="false" customHeight="false" outlineLevel="0" collapsed="false">
      <c r="A20" s="53" t="s">
        <v>367</v>
      </c>
      <c r="B20" s="54" t="s">
        <v>71</v>
      </c>
      <c r="C20" s="78" t="n">
        <f aca="false">C10+B5_W*(INDEX(B5_Selrho,1,1)-C10)</f>
        <v>0</v>
      </c>
      <c r="D20" s="78" t="n">
        <f aca="false">D10+B5_W*(INDEX(B5_Selrho,1,2)-D10)</f>
        <v>0</v>
      </c>
      <c r="E20" s="78" t="n">
        <f aca="false">E10+B5_W*(INDEX(B5_Selrho,1,3)-E10)</f>
        <v>0</v>
      </c>
      <c r="F20" s="78" t="n">
        <f aca="false">F10+B5_W*(INDEX(B5_Selrho,1,4)-F10)</f>
        <v>0</v>
      </c>
      <c r="G20" s="78" t="n">
        <f aca="false">G10+B5_W*(INDEX(B5_Selrho,1,5)-G10)</f>
        <v>0</v>
      </c>
    </row>
    <row r="21" customFormat="false" ht="15" hidden="false" customHeight="false" outlineLevel="0" collapsed="false">
      <c r="A21" s="53" t="s">
        <v>368</v>
      </c>
      <c r="B21" s="54" t="s">
        <v>71</v>
      </c>
      <c r="C21" s="78" t="n">
        <f aca="false">MIN(1,MAX(0,C11+B5_W*INDEX(B5_SelDChi,1,1)))</f>
        <v>0.5</v>
      </c>
      <c r="D21" s="78" t="n">
        <f aca="false">MIN(1,MAX(0,D11+B5_W*INDEX(B5_SelDChi,1,2)))</f>
        <v>0.5</v>
      </c>
      <c r="E21" s="78" t="n">
        <f aca="false">MIN(1,MAX(0,E11+B5_W*INDEX(B5_SelDChi,1,3)))</f>
        <v>0.9</v>
      </c>
      <c r="F21" s="78" t="n">
        <f aca="false">MIN(1,MAX(0,F11+B5_W*INDEX(B5_SelDChi,1,4)))</f>
        <v>0.9</v>
      </c>
      <c r="G21" s="78" t="n">
        <f aca="false">MIN(1,MAX(0,G11+B5_W*INDEX(B5_SelDChi,1,5)))</f>
        <v>0.9</v>
      </c>
    </row>
    <row r="22" customFormat="false" ht="15" hidden="false" customHeight="false" outlineLevel="0" collapsed="false">
      <c r="A22" s="53" t="s">
        <v>369</v>
      </c>
      <c r="B22" s="53" t="s">
        <v>287</v>
      </c>
      <c r="C22" s="79" t="n">
        <f aca="false">C12+B5_W*INDEX(B5_SelDM,1,1)</f>
        <v>0</v>
      </c>
      <c r="D22" s="79" t="n">
        <f aca="false">D12+B5_W*INDEX(B5_SelDM,1,2)</f>
        <v>0</v>
      </c>
      <c r="E22" s="79" t="n">
        <f aca="false">E12+B5_W*INDEX(B5_SelDM,1,3)</f>
        <v>0</v>
      </c>
      <c r="F22" s="79" t="n">
        <f aca="false">F12+B5_W*INDEX(B5_SelDM,1,4)</f>
        <v>3</v>
      </c>
      <c r="G22" s="79" t="n">
        <f aca="false">G12+B5_W*INDEX(B5_SelDM,1,5)</f>
        <v>0</v>
      </c>
    </row>
    <row r="23" customFormat="false" ht="15" hidden="false" customHeight="false" outlineLevel="0" collapsed="false">
      <c r="A23" s="53" t="s">
        <v>370</v>
      </c>
      <c r="B23" s="54" t="s">
        <v>75</v>
      </c>
      <c r="C23" s="69" t="n">
        <f aca="false">C14+B5_W*(INDEX(B5_SelC,1,1)-C14)</f>
        <v>1</v>
      </c>
      <c r="D23" s="69" t="n">
        <f aca="false">D14+B5_W*(INDEX(B5_SelC,1,2)-D14)</f>
        <v>1</v>
      </c>
      <c r="E23" s="69" t="n">
        <f aca="false">E14+B5_W*(INDEX(B5_SelC,1,3)-E14)</f>
        <v>1</v>
      </c>
      <c r="F23" s="69" t="n">
        <f aca="false">F14+B5_W*(INDEX(B5_SelC,1,4)-F14)</f>
        <v>1</v>
      </c>
      <c r="G23" s="69" t="n">
        <f aca="false">G14+B5_W*(INDEX(B5_SelC,1,5)-G14)</f>
        <v>1</v>
      </c>
    </row>
    <row r="25" customFormat="false" ht="15" hidden="false" customHeight="false" outlineLevel="0" collapsed="false">
      <c r="A25" s="61" t="s">
        <v>371</v>
      </c>
      <c r="B25" s="62"/>
      <c r="C25" s="62"/>
      <c r="D25" s="62"/>
      <c r="E25" s="62"/>
      <c r="F25" s="62"/>
      <c r="G25" s="62"/>
      <c r="H25" s="62"/>
    </row>
    <row r="26" customFormat="false" ht="15" hidden="false" customHeight="false" outlineLevel="0" collapsed="false">
      <c r="A26" s="53" t="s">
        <v>372</v>
      </c>
      <c r="B26" s="54" t="s">
        <v>249</v>
      </c>
      <c r="C26" s="60" t="n">
        <f aca="false">C7+C9+C20*C19</f>
        <v>1000</v>
      </c>
      <c r="D26" s="60" t="n">
        <f aca="false">D7+D9+D20*D19</f>
        <v>1200</v>
      </c>
      <c r="E26" s="60" t="n">
        <f aca="false">E7+E9+E20*E19</f>
        <v>1400</v>
      </c>
      <c r="F26" s="60" t="n">
        <f aca="false">F7+F9+F20*F19</f>
        <v>1400</v>
      </c>
      <c r="G26" s="60" t="n">
        <f aca="false">G7+G9+G20*G19</f>
        <v>2400</v>
      </c>
    </row>
    <row r="27" customFormat="false" ht="15" hidden="false" customHeight="false" outlineLevel="0" collapsed="false">
      <c r="A27" s="53" t="s">
        <v>373</v>
      </c>
      <c r="B27" s="54" t="s">
        <v>249</v>
      </c>
      <c r="C27" s="60" t="n">
        <f aca="false">C18*(C6+C7)+C23*C26*C18*(C18-1)/2</f>
        <v>2500</v>
      </c>
      <c r="D27" s="60" t="n">
        <f aca="false">D18*(D6+D7)+D23*D26*D18*(D18-1)/2</f>
        <v>2500</v>
      </c>
      <c r="E27" s="60" t="n">
        <f aca="false">E18*(E6+E7)+E23*E26*E18*(E18-1)/2</f>
        <v>25200</v>
      </c>
      <c r="F27" s="60" t="n">
        <f aca="false">F18*(F6+F7)+F23*F26*F18*(F18-1)/2</f>
        <v>25200</v>
      </c>
      <c r="G27" s="60" t="n">
        <f aca="false">G18*(G6+G7)+G23*G26*G18*(G18-1)/2</f>
        <v>1464000</v>
      </c>
    </row>
    <row r="28" customFormat="false" ht="15" hidden="false" customHeight="false" outlineLevel="0" collapsed="false">
      <c r="A28" s="53" t="s">
        <v>374</v>
      </c>
      <c r="B28" s="54" t="s">
        <v>249</v>
      </c>
      <c r="C28" s="60" t="n">
        <f aca="false">C21*(C18*C6+C23*C26*C18*(C18-1)/2)</f>
        <v>1000</v>
      </c>
      <c r="D28" s="60" t="n">
        <f aca="false">D21*(D18*D6+D23*D26*D18*(D18-1)/2)</f>
        <v>1000</v>
      </c>
      <c r="E28" s="60" t="n">
        <f aca="false">E21*(E18*E6+E23*E26*E18*(E18-1)/2)</f>
        <v>18360</v>
      </c>
      <c r="F28" s="60" t="n">
        <f aca="false">F21*(F18*F6+F23*F26*F18*(F18-1)/2)</f>
        <v>18360</v>
      </c>
      <c r="G28" s="60" t="n">
        <f aca="false">G21*(G18*G6+G23*G26*G18*(G18-1)/2)</f>
        <v>1263600</v>
      </c>
    </row>
    <row r="29" customFormat="false" ht="15" hidden="false" customHeight="false" outlineLevel="0" collapsed="false">
      <c r="A29" s="53" t="s">
        <v>375</v>
      </c>
      <c r="B29" s="54" t="s">
        <v>249</v>
      </c>
      <c r="C29" s="60" t="n">
        <f aca="false">C27-C28</f>
        <v>1500</v>
      </c>
      <c r="D29" s="60" t="n">
        <f aca="false">D27-D28</f>
        <v>1500</v>
      </c>
      <c r="E29" s="60" t="n">
        <f aca="false">E27-E28</f>
        <v>6840</v>
      </c>
      <c r="F29" s="60" t="n">
        <f aca="false">F27-F28</f>
        <v>6840</v>
      </c>
      <c r="G29" s="60" t="n">
        <f aca="false">G27-G28</f>
        <v>200400</v>
      </c>
    </row>
    <row r="30" customFormat="false" ht="15" hidden="false" customHeight="false" outlineLevel="0" collapsed="false">
      <c r="A30" s="53" t="s">
        <v>376</v>
      </c>
      <c r="B30" s="54" t="s">
        <v>249</v>
      </c>
      <c r="C30" s="60" t="n">
        <f aca="false">C18*(C19+C9)</f>
        <v>500</v>
      </c>
      <c r="D30" s="60" t="n">
        <f aca="false">D18*(D19+D9)</f>
        <v>3700</v>
      </c>
      <c r="E30" s="60" t="n">
        <f aca="false">E18*(E19+E9)</f>
        <v>2400</v>
      </c>
      <c r="F30" s="60" t="n">
        <f aca="false">F18*(F19+F9)</f>
        <v>2400</v>
      </c>
      <c r="G30" s="60" t="n">
        <f aca="false">G18*(G19+G9)</f>
        <v>30000</v>
      </c>
    </row>
    <row r="31" customFormat="false" ht="15" hidden="false" customHeight="false" outlineLevel="0" collapsed="false">
      <c r="A31" s="53" t="s">
        <v>377</v>
      </c>
      <c r="B31" s="54" t="s">
        <v>75</v>
      </c>
      <c r="C31" s="69" t="n">
        <f aca="false">(1+C22)*C13</f>
        <v>1</v>
      </c>
      <c r="D31" s="69" t="n">
        <f aca="false">(1+D22)*D13</f>
        <v>1</v>
      </c>
      <c r="E31" s="69" t="n">
        <f aca="false">(1+E22)*E13</f>
        <v>1</v>
      </c>
      <c r="F31" s="69" t="n">
        <f aca="false">(1+F22)*F13</f>
        <v>4</v>
      </c>
      <c r="G31" s="69" t="n">
        <f aca="false">(1+G22)*G13</f>
        <v>1</v>
      </c>
    </row>
    <row r="32" customFormat="false" ht="15" hidden="false" customHeight="false" outlineLevel="0" collapsed="false">
      <c r="A32" s="53" t="s">
        <v>378</v>
      </c>
      <c r="B32" s="54" t="s">
        <v>249</v>
      </c>
      <c r="C32" s="60" t="n">
        <f aca="false">C29*C31</f>
        <v>1500</v>
      </c>
      <c r="D32" s="60" t="n">
        <f aca="false">D29*D31</f>
        <v>1500</v>
      </c>
      <c r="E32" s="60" t="n">
        <f aca="false">E29*E31</f>
        <v>6840</v>
      </c>
      <c r="F32" s="60" t="n">
        <f aca="false">F29*F31</f>
        <v>27360</v>
      </c>
      <c r="G32" s="60" t="n">
        <f aca="false">G29*G31</f>
        <v>200400</v>
      </c>
    </row>
    <row r="33" customFormat="false" ht="15" hidden="false" customHeight="false" outlineLevel="0" collapsed="false">
      <c r="A33" s="53" t="s">
        <v>379</v>
      </c>
      <c r="B33" s="54" t="s">
        <v>249</v>
      </c>
      <c r="C33" s="60" t="n">
        <f aca="false">C28*C31</f>
        <v>1000</v>
      </c>
      <c r="D33" s="60" t="n">
        <f aca="false">D28*D31</f>
        <v>1000</v>
      </c>
      <c r="E33" s="60" t="n">
        <f aca="false">E28*E31</f>
        <v>18360</v>
      </c>
      <c r="F33" s="60" t="n">
        <f aca="false">F28*F31</f>
        <v>73440</v>
      </c>
      <c r="G33" s="60" t="n">
        <f aca="false">G28*G31</f>
        <v>1263600</v>
      </c>
    </row>
    <row r="34" customFormat="false" ht="15" hidden="false" customHeight="false" outlineLevel="0" collapsed="false">
      <c r="A34" s="53" t="s">
        <v>380</v>
      </c>
      <c r="B34" s="54" t="s">
        <v>249</v>
      </c>
      <c r="C34" s="60" t="n">
        <f aca="false">C30*C31</f>
        <v>500</v>
      </c>
      <c r="D34" s="60" t="n">
        <f aca="false">D30*D31</f>
        <v>3700</v>
      </c>
      <c r="E34" s="60" t="n">
        <f aca="false">E30*E31</f>
        <v>2400</v>
      </c>
      <c r="F34" s="60" t="n">
        <f aca="false">F30*F31</f>
        <v>9600</v>
      </c>
      <c r="G34" s="60" t="n">
        <f aca="false">G30*G31</f>
        <v>30000</v>
      </c>
    </row>
    <row r="35" customFormat="false" ht="15" hidden="false" customHeight="false" outlineLevel="0" collapsed="false">
      <c r="A35" s="53" t="s">
        <v>381</v>
      </c>
      <c r="B35" s="54" t="s">
        <v>249</v>
      </c>
      <c r="C35" s="63" t="n">
        <f aca="false">C32+C33+C34</f>
        <v>3000</v>
      </c>
      <c r="D35" s="63" t="n">
        <f aca="false">D32+D33+D34</f>
        <v>6200</v>
      </c>
      <c r="E35" s="63" t="n">
        <f aca="false">E32+E33+E34</f>
        <v>27600</v>
      </c>
      <c r="F35" s="63" t="n">
        <f aca="false">F32+F33+F34</f>
        <v>110400</v>
      </c>
      <c r="G35" s="63" t="n">
        <f aca="false">G32+G33+G34</f>
        <v>1494000</v>
      </c>
    </row>
    <row r="36" customFormat="false" ht="15" hidden="false" customHeight="false" outlineLevel="0" collapsed="false">
      <c r="A36" s="54" t="s">
        <v>337</v>
      </c>
      <c r="B36" s="54" t="s">
        <v>249</v>
      </c>
      <c r="C36" s="60" t="n">
        <f aca="false">C6+C7+(C18-1)/2*C23*C26+(C19+C9)/2</f>
        <v>2750</v>
      </c>
      <c r="D36" s="60" t="n">
        <f aca="false">D6+D7+(D18-1)/2*D23*D26+(D19+D9)/2</f>
        <v>4350</v>
      </c>
      <c r="E36" s="60" t="n">
        <f aca="false">E6+E7+(E18-1)/2*E23*E26+(E19+E9)/2</f>
        <v>6600</v>
      </c>
      <c r="F36" s="60" t="n">
        <f aca="false">F6+F7+(F18-1)/2*F23*F26+(F19+F9)/2</f>
        <v>6600</v>
      </c>
      <c r="G36" s="60" t="n">
        <f aca="false">G6+G7+(G18-1)/2*G23*G26+(G19+G9)/2</f>
        <v>49300</v>
      </c>
      <c r="H36" s="80" t="s">
        <v>382</v>
      </c>
    </row>
    <row r="37" customFormat="false" ht="15" hidden="false" customHeight="false" outlineLevel="0" collapsed="false">
      <c r="A37" s="53" t="s">
        <v>383</v>
      </c>
      <c r="B37" s="54" t="s">
        <v>71</v>
      </c>
      <c r="C37" s="78" t="n">
        <f aca="false">IF(C19+C9&gt;0,C19/(C19+C9),0)</f>
        <v>0</v>
      </c>
      <c r="D37" s="78" t="n">
        <f aca="false">IF(D19+D9&gt;0,D19/(D19+D9),0)</f>
        <v>0.810810810810811</v>
      </c>
      <c r="E37" s="78" t="n">
        <f aca="false">IF(E19+E9&gt;0,E19/(E19+E9),0)</f>
        <v>0.666666666666667</v>
      </c>
      <c r="F37" s="78" t="n">
        <f aca="false">IF(F19+F9&gt;0,F19/(F19+F9),0)</f>
        <v>0.666666666666667</v>
      </c>
      <c r="G37" s="78" t="n">
        <f aca="false">IF(G19+G9&gt;0,G19/(G19+G9),0)</f>
        <v>0.6</v>
      </c>
    </row>
    <row r="38" customFormat="false" ht="15" hidden="false" customHeight="false" outlineLevel="0" collapsed="false">
      <c r="A38" s="53" t="s">
        <v>384</v>
      </c>
      <c r="B38" s="54" t="s">
        <v>75</v>
      </c>
      <c r="C38" s="81" t="n">
        <f aca="false">C35/$C$35</f>
        <v>1</v>
      </c>
      <c r="D38" s="81" t="n">
        <f aca="false">D35/$C$35</f>
        <v>2.06666666666667</v>
      </c>
      <c r="E38" s="81" t="n">
        <f aca="false">E35/$C$35</f>
        <v>9.2</v>
      </c>
      <c r="F38" s="81" t="n">
        <f aca="false">F35/$C$35</f>
        <v>36.8</v>
      </c>
      <c r="G38" s="81" t="n">
        <f aca="false">G35/$C$35</f>
        <v>498</v>
      </c>
    </row>
    <row r="39" customFormat="false" ht="15" hidden="false" customHeight="false" outlineLevel="0" collapsed="false">
      <c r="A39" s="53" t="s">
        <v>385</v>
      </c>
      <c r="B39" s="54" t="s">
        <v>75</v>
      </c>
      <c r="C39" s="79" t="n">
        <f aca="false">C35/$D$35</f>
        <v>0.483870967741936</v>
      </c>
      <c r="D39" s="79" t="n">
        <f aca="false">D35/$D$35</f>
        <v>1</v>
      </c>
      <c r="E39" s="79" t="n">
        <f aca="false">E35/$D$35</f>
        <v>4.45161290322581</v>
      </c>
      <c r="F39" s="79" t="n">
        <f aca="false">F35/$D$35</f>
        <v>17.8064516129032</v>
      </c>
      <c r="G39" s="79" t="n">
        <f aca="false">G35/$D$35</f>
        <v>240.967741935484</v>
      </c>
    </row>
    <row r="40" customFormat="false" ht="37.3" hidden="false" customHeight="false" outlineLevel="0" collapsed="false">
      <c r="A40" s="53" t="s">
        <v>386</v>
      </c>
      <c r="B40" s="54" t="s">
        <v>75</v>
      </c>
      <c r="C40" s="59" t="n">
        <v>1</v>
      </c>
      <c r="E40" s="82" t="n">
        <f aca="false">SRC_HAR_001</f>
        <v>4</v>
      </c>
      <c r="F40" s="82" t="n">
        <f aca="false">SRC_HAR_002</f>
        <v>15</v>
      </c>
      <c r="H40" s="80" t="s">
        <v>387</v>
      </c>
    </row>
    <row r="42" customFormat="false" ht="15" hidden="false" customHeight="false" outlineLevel="0" collapsed="false">
      <c r="A42" s="61" t="s">
        <v>388</v>
      </c>
      <c r="B42" s="62"/>
      <c r="C42" s="62"/>
      <c r="D42" s="62"/>
      <c r="E42" s="62"/>
      <c r="F42" s="62"/>
      <c r="G42" s="62"/>
      <c r="H42" s="62"/>
    </row>
    <row r="43" customFormat="false" ht="15" hidden="false" customHeight="false" outlineLevel="0" collapsed="false">
      <c r="A43" s="54" t="s">
        <v>389</v>
      </c>
      <c r="B43" s="54" t="s">
        <v>390</v>
      </c>
      <c r="C43" s="83" t="n">
        <f aca="false">IF(ISNUMBER(Unit_Cost!M21),(C32*Unit_Cost!M19+C33*Unit_Cost!M20+C34*Unit_Cost!M21)/1000000,"SLO 不可達")</f>
        <v>0.000102863301162817</v>
      </c>
      <c r="D43" s="83" t="n">
        <f aca="false">IF(ISNUMBER(Unit_Cost!M21),(D32*Unit_Cost!M19+D33*Unit_Cost!M20+D34*Unit_Cost!M21)/1000000,"SLO 不可達")</f>
        <v>0.000679905469936231</v>
      </c>
      <c r="E43" s="83" t="n">
        <f aca="false">IF(ISNUMBER(Unit_Cost!M21),(E32*Unit_Cost!M19+E33*Unit_Cost!M20+E34*Unit_Cost!M21)/1000000,"SLO 不可達")</f>
        <v>0.000491587437954995</v>
      </c>
      <c r="F43" s="83" t="n">
        <f aca="false">IF(ISNUMBER(Unit_Cost!M21),(F32*Unit_Cost!M19+F33*Unit_Cost!M20+F34*Unit_Cost!M21)/1000000,"SLO 不可達")</f>
        <v>0.00196634975181998</v>
      </c>
      <c r="G43" s="83" t="n">
        <f aca="false">IF(ISNUMBER(Unit_Cost!M21),(G32*Unit_Cost!M19+G33*Unit_Cost!M20+G34*Unit_Cost!M21)/1000000,"SLO 不可達")</f>
        <v>0.00717956838109631</v>
      </c>
    </row>
    <row r="44" customFormat="false" ht="15" hidden="false" customHeight="false" outlineLevel="0" collapsed="false">
      <c r="A44" s="54" t="s">
        <v>391</v>
      </c>
      <c r="B44" s="54" t="s">
        <v>390</v>
      </c>
      <c r="C44" s="84" t="n">
        <f aca="false">IF(ISNUMBER(Unit_Cost!M34),(C32*Unit_Cost!M32+C33*Unit_Cost!M33+C34*Unit_Cost!M34)/1000000,"SLO 不可達")</f>
        <v>0.00033036989263142</v>
      </c>
      <c r="D44" s="84" t="n">
        <f aca="false">IF(ISNUMBER(Unit_Cost!M34),(D32*Unit_Cost!M32+D33*Unit_Cost!M33+D34*Unit_Cost!M34)/1000000,"SLO 不可達")</f>
        <v>0.00216346965756509</v>
      </c>
      <c r="E44" s="84" t="n">
        <f aca="false">IF(ISNUMBER(Unit_Cost!M34),(E32*Unit_Cost!M32+E33*Unit_Cost!M33+E34*Unit_Cost!M34)/1000000,"SLO 不可達")</f>
        <v>0.00157649292606653</v>
      </c>
      <c r="F44" s="84" t="n">
        <f aca="false">IF(ISNUMBER(Unit_Cost!M34),(F32*Unit_Cost!M32+F33*Unit_Cost!M33+F34*Unit_Cost!M34)/1000000,"SLO 不可達")</f>
        <v>0.00630597170426611</v>
      </c>
      <c r="G44" s="84" t="n">
        <f aca="false">IF(ISNUMBER(Unit_Cost!M34),(G32*Unit_Cost!M32+G33*Unit_Cost!M33+G34*Unit_Cost!M34)/1000000,"SLO 不可達")</f>
        <v>0.023160351602656</v>
      </c>
    </row>
    <row r="45" customFormat="false" ht="15" hidden="false" customHeight="false" outlineLevel="0" collapsed="false">
      <c r="A45" s="54" t="s">
        <v>392</v>
      </c>
      <c r="B45" s="54" t="s">
        <v>390</v>
      </c>
      <c r="C45" s="83" t="n">
        <f aca="false">IF(ISNUMBER(Unit_Cost!M47),(C32*Unit_Cost!M45+C33*Unit_Cost!M46+C34*Unit_Cost!M47)/1000000,"SLO 不可達")</f>
        <v>0.00162945485814975</v>
      </c>
      <c r="D45" s="83" t="n">
        <f aca="false">IF(ISNUMBER(Unit_Cost!M47),(D32*Unit_Cost!M45+D33*Unit_Cost!M46+D34*Unit_Cost!M47)/1000000,"SLO 不可達")</f>
        <v>0.0111182980736808</v>
      </c>
      <c r="E45" s="83" t="n">
        <f aca="false">IF(ISNUMBER(Unit_Cost!M47),(E32*Unit_Cost!M45+E33*Unit_Cost!M46+E34*Unit_Cost!M47)/1000000,"SLO 不可達")</f>
        <v>0.00780452220001943</v>
      </c>
      <c r="F45" s="83" t="n">
        <f aca="false">IF(ISNUMBER(Unit_Cost!M47),(F32*Unit_Cost!M45+F33*Unit_Cost!M46+F34*Unit_Cost!M47)/1000000,"SLO 不可達")</f>
        <v>0.0312180888000777</v>
      </c>
      <c r="G45" s="83" t="n">
        <f aca="false">IF(ISNUMBER(Unit_Cost!M47),(G32*Unit_Cost!M45+G33*Unit_Cost!M46+G34*Unit_Cost!M47)/1000000,"SLO 不可達")</f>
        <v>0.110078208424532</v>
      </c>
    </row>
    <row r="46" customFormat="false" ht="15" hidden="false" customHeight="false" outlineLevel="0" collapsed="false">
      <c r="A46" s="54" t="s">
        <v>393</v>
      </c>
      <c r="B46" s="54" t="s">
        <v>390</v>
      </c>
      <c r="C46" s="83" t="n">
        <f aca="false">IF(ISNUMBER(Unit_Cost!J21),(C32*Unit_Cost!J19+C33*Unit_Cost!J20+C34*Unit_Cost!J21)/1000000,"SLO 不可達")</f>
        <v>0.000151616925717873</v>
      </c>
      <c r="D46" s="83" t="n">
        <f aca="false">IF(ISNUMBER(Unit_Cost!J21),(D32*Unit_Cost!J19+D33*Unit_Cost!J20+D34*Unit_Cost!J21)/1000000,"SLO 不可達")</f>
        <v>0.00100900970980566</v>
      </c>
      <c r="E46" s="83" t="n">
        <f aca="false">IF(ISNUMBER(Unit_Cost!J21),(E32*Unit_Cost!J19+E33*Unit_Cost!J20+E34*Unit_Cost!J21)/1000000,"SLO 不可達")</f>
        <v>0.000724058028972012</v>
      </c>
      <c r="F46" s="83" t="n">
        <f aca="false">IF(ISNUMBER(Unit_Cost!J21),(F32*Unit_Cost!J19+F33*Unit_Cost!J20+F34*Unit_Cost!J21)/1000000,"SLO 不可達")</f>
        <v>0.00289623211588805</v>
      </c>
      <c r="G46" s="83" t="n">
        <f aca="false">IF(ISNUMBER(Unit_Cost!J21),(G32*Unit_Cost!J19+G33*Unit_Cost!J20+G34*Unit_Cost!J21)/1000000,"SLO 不可達")</f>
        <v>0.0104396172062603</v>
      </c>
    </row>
    <row r="47" customFormat="false" ht="15" hidden="false" customHeight="false" outlineLevel="0" collapsed="false">
      <c r="A47" s="54" t="s">
        <v>394</v>
      </c>
      <c r="B47" s="54" t="s">
        <v>390</v>
      </c>
      <c r="C47" s="84" t="n">
        <f aca="false">IF(ISNUMBER(Unit_Cost!J34),(C32*Unit_Cost!J32+C33*Unit_Cost!J33+C34*Unit_Cost!J34)/1000000,"SLO 不可達")</f>
        <v>0.000527731601225871</v>
      </c>
      <c r="D47" s="84" t="n">
        <f aca="false">IF(ISNUMBER(Unit_Cost!J34),(D32*Unit_Cost!J32+D33*Unit_Cost!J33+D34*Unit_Cost!J34)/1000000,"SLO 不可達")</f>
        <v>0.00351367561244818</v>
      </c>
      <c r="E47" s="84" t="n">
        <f aca="false">IF(ISNUMBER(Unit_Cost!J34),(E32*Unit_Cost!J32+E33*Unit_Cost!J33+E34*Unit_Cost!J34)/1000000,"SLO 不可達")</f>
        <v>0.0025191845768017</v>
      </c>
      <c r="F47" s="84" t="n">
        <f aca="false">IF(ISNUMBER(Unit_Cost!J34),(F32*Unit_Cost!J32+F33*Unit_Cost!J33+F34*Unit_Cost!J34)/1000000,"SLO 不可達")</f>
        <v>0.0100767383072068</v>
      </c>
      <c r="G47" s="84" t="n">
        <f aca="false">IF(ISNUMBER(Unit_Cost!J34),(G32*Unit_Cost!J32+G33*Unit_Cost!J33+G34*Unit_Cost!J34)/1000000,"SLO 不可達")</f>
        <v>0.0362284553246985</v>
      </c>
    </row>
    <row r="48" customFormat="false" ht="15" hidden="false" customHeight="false" outlineLevel="0" collapsed="false">
      <c r="A48" s="54" t="s">
        <v>395</v>
      </c>
      <c r="B48" s="54" t="s">
        <v>390</v>
      </c>
      <c r="C48" s="83" t="n">
        <f aca="false">IF(ISNUMBER(Unit_Cost!J47),(C32*Unit_Cost!J45+C33*Unit_Cost!J46+C34*Unit_Cost!J47)/1000000,"SLO 不可達")</f>
        <v>0.00360088874032765</v>
      </c>
      <c r="D48" s="83" t="n">
        <f aca="false">IF(ISNUMBER(Unit_Cost!J47),(D32*Unit_Cost!J45+D33*Unit_Cost!J46+D34*Unit_Cost!J47)/1000000,"SLO 不可達")</f>
        <v>0.0253437392586577</v>
      </c>
      <c r="E48" s="83" t="n">
        <f aca="false">IF(ISNUMBER(Unit_Cost!J47),(E32*Unit_Cost!J45+E33*Unit_Cost!J46+E34*Unit_Cost!J47)/1000000,"SLO 不可達")</f>
        <v>0.0172463858701184</v>
      </c>
      <c r="F48" s="83" t="n">
        <f aca="false">IF(ISNUMBER(Unit_Cost!J47),(F32*Unit_Cost!J45+F33*Unit_Cost!J46+F34*Unit_Cost!J47)/1000000,"SLO 不可達")</f>
        <v>0.0689855434804736</v>
      </c>
      <c r="G48" s="83" t="n">
        <f aca="false">IF(ISNUMBER(Unit_Cost!J47),(G32*Unit_Cost!J45+G33*Unit_Cost!J46+G34*Unit_Cost!J47)/1000000,"SLO 不可達")</f>
        <v>0.23193474035272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49" t="s">
        <v>396</v>
      </c>
    </row>
    <row r="2" customFormat="false" ht="15" hidden="false" customHeight="false" outlineLevel="0" collapsed="false">
      <c r="A2" s="66" t="s">
        <v>397</v>
      </c>
    </row>
    <row r="4" customFormat="false" ht="15" hidden="false" customHeight="false" outlineLevel="0" collapsed="false">
      <c r="A4" s="68" t="s">
        <v>398</v>
      </c>
      <c r="B4" s="62"/>
      <c r="C4" s="62"/>
      <c r="D4" s="62"/>
      <c r="E4" s="62"/>
      <c r="F4" s="62"/>
      <c r="G4" s="62"/>
      <c r="H4" s="62"/>
      <c r="I4" s="62"/>
      <c r="J4" s="62"/>
    </row>
    <row r="5" customFormat="false" ht="15" hidden="false" customHeight="false" outlineLevel="0" collapsed="false">
      <c r="A5" s="54" t="s">
        <v>399</v>
      </c>
      <c r="B5" s="54" t="s">
        <v>71</v>
      </c>
      <c r="C5" s="58" t="n">
        <v>0.3</v>
      </c>
      <c r="J5" s="50" t="s">
        <v>400</v>
      </c>
    </row>
    <row r="7" customFormat="false" ht="15" hidden="false" customHeight="false" outlineLevel="0" collapsed="false">
      <c r="A7" s="68" t="s">
        <v>401</v>
      </c>
      <c r="B7" s="62"/>
      <c r="C7" s="62"/>
      <c r="D7" s="62"/>
      <c r="E7" s="62"/>
      <c r="F7" s="62"/>
      <c r="G7" s="62"/>
      <c r="H7" s="62"/>
      <c r="I7" s="62"/>
      <c r="J7" s="62"/>
    </row>
    <row r="8" customFormat="false" ht="15" hidden="false" customHeight="false" outlineLevel="0" collapsed="false">
      <c r="A8" s="51" t="s">
        <v>328</v>
      </c>
      <c r="B8" s="51" t="s">
        <v>55</v>
      </c>
    </row>
    <row r="9" customFormat="false" ht="15" hidden="false" customHeight="false" outlineLevel="0" collapsed="false">
      <c r="A9" s="53" t="s">
        <v>2</v>
      </c>
      <c r="B9" s="53"/>
      <c r="C9" s="51" t="s">
        <v>402</v>
      </c>
      <c r="D9" s="51" t="s">
        <v>403</v>
      </c>
      <c r="E9" s="51" t="s">
        <v>404</v>
      </c>
      <c r="F9" s="51" t="s">
        <v>405</v>
      </c>
      <c r="G9" s="51" t="s">
        <v>405</v>
      </c>
      <c r="H9" s="51" t="s">
        <v>406</v>
      </c>
      <c r="I9" s="51" t="s">
        <v>406</v>
      </c>
    </row>
    <row r="10" customFormat="false" ht="15" hidden="false" customHeight="false" outlineLevel="0" collapsed="false">
      <c r="A10" s="53" t="s">
        <v>407</v>
      </c>
      <c r="B10" s="53"/>
      <c r="C10" s="59" t="n">
        <v>3</v>
      </c>
      <c r="D10" s="59" t="n">
        <v>3</v>
      </c>
      <c r="E10" s="59" t="n">
        <v>3</v>
      </c>
      <c r="F10" s="59" t="n">
        <v>3</v>
      </c>
      <c r="G10" s="59" t="n">
        <v>2</v>
      </c>
      <c r="H10" s="59" t="n">
        <v>2</v>
      </c>
      <c r="I10" s="59" t="n">
        <v>3</v>
      </c>
    </row>
    <row r="11" customFormat="false" ht="15" hidden="false" customHeight="false" outlineLevel="0" collapsed="false">
      <c r="A11" s="53" t="s">
        <v>136</v>
      </c>
      <c r="B11" s="53"/>
      <c r="C11" s="85" t="str">
        <f aca="false">INDEX(Spec_Rack!$C$4:$G$4,C10)</f>
        <v>GB300 NVL72</v>
      </c>
      <c r="D11" s="85" t="str">
        <f aca="false">INDEX(Spec_Rack!$C$4:$G$4,D10)</f>
        <v>GB300 NVL72</v>
      </c>
      <c r="E11" s="85" t="str">
        <f aca="false">INDEX(Spec_Rack!$C$4:$G$4,E10)</f>
        <v>GB300 NVL72</v>
      </c>
      <c r="F11" s="85" t="str">
        <f aca="false">INDEX(Spec_Rack!$C$4:$G$4,F10)</f>
        <v>GB300 NVL72</v>
      </c>
      <c r="G11" s="85" t="str">
        <f aca="false">INDEX(Spec_Rack!$C$4:$G$4,G10)</f>
        <v>GB200 NVL72</v>
      </c>
      <c r="H11" s="85" t="str">
        <f aca="false">INDEX(Spec_Rack!$C$4:$G$4,H10)</f>
        <v>GB200 NVL72</v>
      </c>
      <c r="I11" s="85" t="str">
        <f aca="false">INDEX(Spec_Rack!$C$4:$G$4,I10)</f>
        <v>GB300 NVL72</v>
      </c>
    </row>
    <row r="12" customFormat="false" ht="30" hidden="false" customHeight="true" outlineLevel="0" collapsed="false">
      <c r="A12" s="53" t="s">
        <v>408</v>
      </c>
      <c r="B12" s="53"/>
      <c r="C12" s="80" t="s">
        <v>409</v>
      </c>
      <c r="D12" s="80" t="s">
        <v>409</v>
      </c>
      <c r="E12" s="80" t="s">
        <v>410</v>
      </c>
      <c r="F12" s="80" t="s">
        <v>411</v>
      </c>
      <c r="G12" s="80" t="s">
        <v>411</v>
      </c>
      <c r="H12" s="80" t="s">
        <v>412</v>
      </c>
      <c r="I12" s="80" t="s">
        <v>412</v>
      </c>
    </row>
    <row r="13" customFormat="false" ht="15" hidden="false" customHeight="false" outlineLevel="0" collapsed="false">
      <c r="A13" s="54" t="s">
        <v>413</v>
      </c>
      <c r="B13" s="53"/>
      <c r="C13" s="82" t="n">
        <f aca="false">SRC_PERF_009_MTP</f>
        <v>1</v>
      </c>
      <c r="D13" s="82" t="n">
        <f aca="false">SRC_PERF_010_MTP</f>
        <v>1</v>
      </c>
      <c r="E13" s="82" t="n">
        <f aca="false">SRC_PERF_004_MTP</f>
        <v>1</v>
      </c>
      <c r="F13" s="82" t="n">
        <f aca="false">SRC_PERF_001_MTP</f>
        <v>0</v>
      </c>
      <c r="G13" s="82" t="n">
        <f aca="false">SRC_PERF_002_MTP</f>
        <v>0</v>
      </c>
      <c r="H13" s="82" t="n">
        <f aca="false">SRC_PERF_014_MTP</f>
        <v>1</v>
      </c>
      <c r="I13" s="82" t="n">
        <f aca="false">SRC_PERF_015_MTP</f>
        <v>1</v>
      </c>
    </row>
    <row r="14" customFormat="false" ht="15" hidden="false" customHeight="false" outlineLevel="0" collapsed="false">
      <c r="A14" s="53" t="s">
        <v>414</v>
      </c>
      <c r="B14" s="54" t="s">
        <v>330</v>
      </c>
      <c r="C14" s="55" t="n">
        <f aca="false">SRC_PERF_009_Spd</f>
        <v>72</v>
      </c>
      <c r="D14" s="55" t="n">
        <f aca="false">SRC_PERF_010_Spd</f>
        <v>130</v>
      </c>
      <c r="E14" s="55" t="n">
        <f aca="false">SRC_PERF_004_Spd</f>
        <v>50</v>
      </c>
      <c r="F14" s="55" t="n">
        <f aca="false">SRC_PERF_001_Spd</f>
        <v>27</v>
      </c>
      <c r="G14" s="55" t="n">
        <f aca="false">SRC_PERF_002_Spd</f>
        <v>27</v>
      </c>
      <c r="H14" s="55" t="n">
        <f aca="false">SRC_PERF_014_Spd</f>
        <v>110</v>
      </c>
      <c r="I14" s="55" t="n">
        <f aca="false">SRC_PERF_015_Spd</f>
        <v>110</v>
      </c>
    </row>
    <row r="15" customFormat="false" ht="15" hidden="false" customHeight="false" outlineLevel="0" collapsed="false">
      <c r="A15" s="54" t="s">
        <v>415</v>
      </c>
      <c r="B15" s="54" t="s">
        <v>249</v>
      </c>
      <c r="C15" s="55" t="n">
        <f aca="false">SRC_PERF_009_ISL</f>
        <v>8192</v>
      </c>
      <c r="D15" s="55" t="n">
        <f aca="false">SRC_PERF_010_ISL</f>
        <v>8192</v>
      </c>
      <c r="E15" s="55" t="n">
        <f aca="false">SRC_PERF_004_ISL</f>
        <v>8192</v>
      </c>
      <c r="F15" s="55" t="n">
        <f aca="false">SRC_PERF_001_ISL</f>
        <v>8192</v>
      </c>
      <c r="G15" s="55" t="n">
        <f aca="false">SRC_PERF_002_ISL</f>
        <v>8192</v>
      </c>
      <c r="H15" s="55" t="n">
        <f aca="false">SRC_PERF_014_ISL</f>
        <v>8192</v>
      </c>
      <c r="I15" s="55" t="n">
        <f aca="false">SRC_PERF_015_ISL</f>
        <v>8192</v>
      </c>
    </row>
    <row r="16" customFormat="false" ht="15" hidden="false" customHeight="false" outlineLevel="0" collapsed="false">
      <c r="A16" s="54" t="s">
        <v>416</v>
      </c>
      <c r="B16" s="54" t="s">
        <v>249</v>
      </c>
      <c r="C16" s="55" t="n">
        <f aca="false">SRC_PERF_009_OSL</f>
        <v>1024</v>
      </c>
      <c r="D16" s="55" t="n">
        <f aca="false">SRC_PERF_010_OSL</f>
        <v>1024</v>
      </c>
      <c r="E16" s="55" t="n">
        <f aca="false">SRC_PERF_004_OSL</f>
        <v>1024</v>
      </c>
      <c r="F16" s="55" t="n">
        <f aca="false">SRC_PERF_001_OSL</f>
        <v>1024</v>
      </c>
      <c r="G16" s="55" t="n">
        <f aca="false">SRC_PERF_002_OSL</f>
        <v>1024</v>
      </c>
      <c r="H16" s="55" t="n">
        <f aca="false">SRC_PERF_014_OSL</f>
        <v>1024</v>
      </c>
      <c r="I16" s="55" t="n">
        <f aca="false">SRC_PERF_015_OSL</f>
        <v>1024</v>
      </c>
    </row>
    <row r="17" customFormat="false" ht="15" hidden="false" customHeight="false" outlineLevel="0" collapsed="false">
      <c r="A17" s="53" t="s">
        <v>417</v>
      </c>
      <c r="B17" s="54" t="s">
        <v>330</v>
      </c>
      <c r="C17" s="55" t="n">
        <f aca="false">SRC_PERF_009</f>
        <v>9342.1</v>
      </c>
      <c r="D17" s="55" t="n">
        <f aca="false">SRC_PERF_010</f>
        <v>3405.2</v>
      </c>
      <c r="E17" s="55" t="n">
        <f aca="false">SRC_PERF_004</f>
        <v>11200</v>
      </c>
      <c r="F17" s="55" t="n">
        <f aca="false">SRC_PERF_001</f>
        <v>6182</v>
      </c>
      <c r="G17" s="55" t="n">
        <f aca="false">SRC_PERF_002</f>
        <v>2189</v>
      </c>
      <c r="H17" s="55" t="n">
        <f aca="false">SRC_PERF_014</f>
        <v>3795.5</v>
      </c>
      <c r="I17" s="55" t="n">
        <f aca="false">SRC_PERF_015</f>
        <v>6522.4</v>
      </c>
    </row>
    <row r="18" customFormat="false" ht="15" hidden="false" customHeight="false" outlineLevel="0" collapsed="false">
      <c r="A18" s="53" t="s">
        <v>418</v>
      </c>
      <c r="B18" s="53"/>
      <c r="C18" s="50" t="s">
        <v>419</v>
      </c>
      <c r="D18" s="50" t="s">
        <v>419</v>
      </c>
      <c r="E18" s="50" t="s">
        <v>420</v>
      </c>
      <c r="F18" s="50" t="s">
        <v>421</v>
      </c>
      <c r="G18" s="50" t="s">
        <v>421</v>
      </c>
      <c r="H18" s="50" t="s">
        <v>422</v>
      </c>
      <c r="I18" s="50" t="s">
        <v>422</v>
      </c>
    </row>
    <row r="19" customFormat="false" ht="25.35" hidden="false" customHeight="false" outlineLevel="0" collapsed="false">
      <c r="A19" s="53" t="s">
        <v>423</v>
      </c>
      <c r="B19" s="53"/>
      <c r="C19" s="80" t="s">
        <v>424</v>
      </c>
      <c r="D19" s="80" t="s">
        <v>424</v>
      </c>
      <c r="E19" s="80" t="s">
        <v>424</v>
      </c>
      <c r="F19" s="80" t="s">
        <v>424</v>
      </c>
      <c r="G19" s="80" t="s">
        <v>424</v>
      </c>
      <c r="H19" s="80" t="s">
        <v>424</v>
      </c>
      <c r="I19" s="80" t="s">
        <v>424</v>
      </c>
      <c r="J19" s="86" t="s">
        <v>425</v>
      </c>
    </row>
    <row r="20" customFormat="false" ht="30" hidden="false" customHeight="true" outlineLevel="0" collapsed="false">
      <c r="A20" s="53" t="s">
        <v>426</v>
      </c>
      <c r="B20" s="53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</row>
    <row r="21" customFormat="false" ht="15" hidden="false" customHeight="false" outlineLevel="0" collapsed="false">
      <c r="A21" s="53" t="s">
        <v>427</v>
      </c>
      <c r="B21" s="53"/>
      <c r="C21" s="86" t="s">
        <v>428</v>
      </c>
      <c r="D21" s="86" t="s">
        <v>428</v>
      </c>
      <c r="E21" s="86" t="s">
        <v>428</v>
      </c>
      <c r="F21" s="86" t="s">
        <v>428</v>
      </c>
      <c r="G21" s="86" t="s">
        <v>428</v>
      </c>
      <c r="H21" s="86" t="s">
        <v>428</v>
      </c>
      <c r="I21" s="86" t="s">
        <v>428</v>
      </c>
    </row>
    <row r="22" customFormat="false" ht="15" hidden="false" customHeight="false" outlineLevel="0" collapsed="false">
      <c r="A22" s="68" t="s">
        <v>429</v>
      </c>
      <c r="B22" s="62"/>
      <c r="C22" s="62"/>
      <c r="D22" s="62"/>
      <c r="E22" s="62"/>
      <c r="F22" s="62"/>
      <c r="G22" s="62"/>
      <c r="H22" s="62"/>
      <c r="I22" s="62"/>
      <c r="J22" s="62"/>
    </row>
    <row r="23" customFormat="false" ht="15" hidden="false" customHeight="false" outlineLevel="0" collapsed="false">
      <c r="A23" s="53" t="s">
        <v>430</v>
      </c>
      <c r="B23" s="54" t="s">
        <v>431</v>
      </c>
      <c r="C23" s="87" t="n">
        <f aca="false">INDEX(Spec_Rack!$C$35:$G$35,C10)</f>
        <v>15</v>
      </c>
      <c r="D23" s="87" t="n">
        <f aca="false">INDEX(Spec_Rack!$C$35:$G$35,D10)</f>
        <v>15</v>
      </c>
      <c r="E23" s="87" t="n">
        <f aca="false">INDEX(Spec_Rack!$C$35:$G$35,E10)</f>
        <v>15</v>
      </c>
      <c r="F23" s="87" t="n">
        <f aca="false">INDEX(Spec_Rack!$C$35:$G$35,F10)</f>
        <v>15</v>
      </c>
      <c r="G23" s="87" t="n">
        <f aca="false">INDEX(Spec_Rack!$C$35:$G$35,G10)</f>
        <v>10</v>
      </c>
      <c r="H23" s="87" t="n">
        <f aca="false">INDEX(Spec_Rack!$C$35:$G$35,H10)</f>
        <v>10</v>
      </c>
      <c r="I23" s="87" t="n">
        <f aca="false">INDEX(Spec_Rack!$C$35:$G$35,I10)</f>
        <v>15</v>
      </c>
    </row>
    <row r="24" customFormat="false" ht="15" hidden="false" customHeight="false" outlineLevel="0" collapsed="false">
      <c r="A24" s="54" t="s">
        <v>432</v>
      </c>
      <c r="B24" s="54" t="s">
        <v>274</v>
      </c>
      <c r="C24" s="55" t="n">
        <f aca="false">INDEX(Spec_Rack!$C$25:$G$25,C10)</f>
        <v>288</v>
      </c>
      <c r="D24" s="55" t="n">
        <f aca="false">INDEX(Spec_Rack!$C$25:$G$25,D10)</f>
        <v>288</v>
      </c>
      <c r="E24" s="55" t="n">
        <f aca="false">INDEX(Spec_Rack!$C$25:$G$25,E10)</f>
        <v>288</v>
      </c>
      <c r="F24" s="55" t="n">
        <f aca="false">INDEX(Spec_Rack!$C$25:$G$25,F10)</f>
        <v>288</v>
      </c>
      <c r="G24" s="55" t="n">
        <f aca="false">INDEX(Spec_Rack!$C$25:$G$25,G10)</f>
        <v>186</v>
      </c>
      <c r="H24" s="55" t="n">
        <f aca="false">INDEX(Spec_Rack!$C$25:$G$25,H10)</f>
        <v>186</v>
      </c>
      <c r="I24" s="55" t="n">
        <f aca="false">INDEX(Spec_Rack!$C$25:$G$25,I10)</f>
        <v>288</v>
      </c>
    </row>
    <row r="25" customFormat="false" ht="15" hidden="false" customHeight="false" outlineLevel="0" collapsed="false">
      <c r="A25" s="54" t="s">
        <v>433</v>
      </c>
      <c r="B25" s="54" t="s">
        <v>434</v>
      </c>
      <c r="C25" s="88" t="n">
        <f aca="false">INDEX(Spec_Rack!$C$26:$G$26,C10)</f>
        <v>8</v>
      </c>
      <c r="D25" s="88" t="n">
        <f aca="false">INDEX(Spec_Rack!$C$26:$G$26,D10)</f>
        <v>8</v>
      </c>
      <c r="E25" s="88" t="n">
        <f aca="false">INDEX(Spec_Rack!$C$26:$G$26,E10)</f>
        <v>8</v>
      </c>
      <c r="F25" s="88" t="n">
        <f aca="false">INDEX(Spec_Rack!$C$26:$G$26,F10)</f>
        <v>8</v>
      </c>
      <c r="G25" s="88" t="n">
        <f aca="false">INDEX(Spec_Rack!$C$26:$G$26,G10)</f>
        <v>8</v>
      </c>
      <c r="H25" s="88" t="n">
        <f aca="false">INDEX(Spec_Rack!$C$26:$G$26,H10)</f>
        <v>8</v>
      </c>
      <c r="I25" s="88" t="n">
        <f aca="false">INDEX(Spec_Rack!$C$26:$G$26,I10)</f>
        <v>8</v>
      </c>
    </row>
    <row r="26" customFormat="false" ht="15" hidden="false" customHeight="false" outlineLevel="0" collapsed="false">
      <c r="A26" s="54" t="s">
        <v>435</v>
      </c>
      <c r="B26" s="54" t="s">
        <v>434</v>
      </c>
      <c r="C26" s="88" t="n">
        <f aca="false">INDEX(Spec_Rack!$C$27:$G$27,C10)</f>
        <v>0.9</v>
      </c>
      <c r="D26" s="88" t="n">
        <f aca="false">INDEX(Spec_Rack!$C$27:$G$27,D10)</f>
        <v>0.9</v>
      </c>
      <c r="E26" s="88" t="n">
        <f aca="false">INDEX(Spec_Rack!$C$27:$G$27,E10)</f>
        <v>0.9</v>
      </c>
      <c r="F26" s="88" t="n">
        <f aca="false">INDEX(Spec_Rack!$C$27:$G$27,F10)</f>
        <v>0.9</v>
      </c>
      <c r="G26" s="88" t="n">
        <f aca="false">INDEX(Spec_Rack!$C$27:$G$27,G10)</f>
        <v>0.9</v>
      </c>
      <c r="H26" s="88" t="n">
        <f aca="false">INDEX(Spec_Rack!$C$27:$G$27,H10)</f>
        <v>0.9</v>
      </c>
      <c r="I26" s="88" t="n">
        <f aca="false">INDEX(Spec_Rack!$C$27:$G$27,I10)</f>
        <v>0.9</v>
      </c>
    </row>
    <row r="27" customFormat="false" ht="15" hidden="false" customHeight="false" outlineLevel="0" collapsed="false">
      <c r="A27" s="54" t="s">
        <v>436</v>
      </c>
      <c r="B27" s="53"/>
      <c r="C27" s="55" t="n">
        <f aca="false">INDEX(Spec_Rack!$C$29:$G$29,C10)</f>
        <v>32</v>
      </c>
      <c r="D27" s="55" t="n">
        <f aca="false">INDEX(Spec_Rack!$C$29:$G$29,D10)</f>
        <v>32</v>
      </c>
      <c r="E27" s="55" t="n">
        <f aca="false">INDEX(Spec_Rack!$C$29:$G$29,E10)</f>
        <v>32</v>
      </c>
      <c r="F27" s="55" t="n">
        <f aca="false">INDEX(Spec_Rack!$C$29:$G$29,F10)</f>
        <v>32</v>
      </c>
      <c r="G27" s="55" t="n">
        <f aca="false">INDEX(Spec_Rack!$C$29:$G$29,G10)</f>
        <v>32</v>
      </c>
      <c r="H27" s="55" t="n">
        <f aca="false">INDEX(Spec_Rack!$C$29:$G$29,H10)</f>
        <v>32</v>
      </c>
      <c r="I27" s="55" t="n">
        <f aca="false">INDEX(Spec_Rack!$C$29:$G$29,I10)</f>
        <v>32</v>
      </c>
    </row>
    <row r="28" customFormat="false" ht="15" hidden="false" customHeight="false" outlineLevel="0" collapsed="false">
      <c r="A28" s="53" t="s">
        <v>437</v>
      </c>
      <c r="B28" s="54" t="s">
        <v>228</v>
      </c>
      <c r="C28" s="89" t="n">
        <f aca="false">INDEX(Spec_Rack!$C$30:$G$30,C10)</f>
        <v>0.5625</v>
      </c>
      <c r="D28" s="89" t="n">
        <f aca="false">INDEX(Spec_Rack!$C$30:$G$30,D10)</f>
        <v>0.5625</v>
      </c>
      <c r="E28" s="89" t="n">
        <f aca="false">INDEX(Spec_Rack!$C$30:$G$30,E10)</f>
        <v>0.5625</v>
      </c>
      <c r="F28" s="89" t="n">
        <f aca="false">INDEX(Spec_Rack!$C$30:$G$30,F10)</f>
        <v>0.5625</v>
      </c>
      <c r="G28" s="89" t="n">
        <f aca="false">INDEX(Spec_Rack!$C$30:$G$30,G10)</f>
        <v>0.5625</v>
      </c>
      <c r="H28" s="89" t="n">
        <f aca="false">INDEX(Spec_Rack!$C$30:$G$30,H10)</f>
        <v>0.5625</v>
      </c>
      <c r="I28" s="89" t="n">
        <f aca="false">INDEX(Spec_Rack!$C$30:$G$30,I10)</f>
        <v>0.5625</v>
      </c>
    </row>
    <row r="29" customFormat="false" ht="15" hidden="false" customHeight="false" outlineLevel="0" collapsed="false">
      <c r="A29" s="53" t="s">
        <v>438</v>
      </c>
      <c r="B29" s="54" t="s">
        <v>228</v>
      </c>
      <c r="C29" s="90" t="n">
        <f aca="false">INDEX(Spec_Rack!$C$31:$G$31,C10)</f>
        <v>1</v>
      </c>
      <c r="D29" s="90" t="n">
        <f aca="false">INDEX(Spec_Rack!$C$31:$G$31,D10)</f>
        <v>1</v>
      </c>
      <c r="E29" s="90" t="n">
        <f aca="false">INDEX(Spec_Rack!$C$31:$G$31,E10)</f>
        <v>1</v>
      </c>
      <c r="F29" s="90" t="n">
        <f aca="false">INDEX(Spec_Rack!$C$31:$G$31,F10)</f>
        <v>1</v>
      </c>
      <c r="G29" s="90" t="n">
        <f aca="false">INDEX(Spec_Rack!$C$31:$G$31,G10)</f>
        <v>1</v>
      </c>
      <c r="H29" s="90" t="n">
        <f aca="false">INDEX(Spec_Rack!$C$31:$G$31,H10)</f>
        <v>1</v>
      </c>
      <c r="I29" s="90" t="n">
        <f aca="false">INDEX(Spec_Rack!$C$31:$G$31,I10)</f>
        <v>1</v>
      </c>
    </row>
    <row r="30" customFormat="false" ht="15" hidden="false" customHeight="false" outlineLevel="0" collapsed="false">
      <c r="A30" s="53" t="s">
        <v>231</v>
      </c>
      <c r="B30" s="54" t="s">
        <v>228</v>
      </c>
      <c r="C30" s="55" t="n">
        <f aca="false">Arch!$D$7</f>
        <v>49</v>
      </c>
      <c r="D30" s="55" t="n">
        <f aca="false">Arch!$D$7</f>
        <v>49</v>
      </c>
      <c r="E30" s="55" t="n">
        <f aca="false">Arch!$D$7</f>
        <v>49</v>
      </c>
      <c r="F30" s="55" t="n">
        <f aca="false">Arch!$D$7</f>
        <v>49</v>
      </c>
      <c r="G30" s="55" t="n">
        <f aca="false">Arch!$D$7</f>
        <v>49</v>
      </c>
      <c r="H30" s="55" t="n">
        <f aca="false">Arch!$D$7</f>
        <v>49</v>
      </c>
      <c r="I30" s="55" t="n">
        <f aca="false">Arch!$D$7</f>
        <v>49</v>
      </c>
    </row>
    <row r="31" customFormat="false" ht="15" hidden="false" customHeight="false" outlineLevel="0" collapsed="false">
      <c r="A31" s="53" t="s">
        <v>233</v>
      </c>
      <c r="B31" s="53"/>
      <c r="C31" s="55" t="n">
        <f aca="false">Arch!$D$8</f>
        <v>61</v>
      </c>
      <c r="D31" s="55" t="n">
        <f aca="false">Arch!$D$8</f>
        <v>61</v>
      </c>
      <c r="E31" s="55" t="n">
        <f aca="false">Arch!$D$8</f>
        <v>61</v>
      </c>
      <c r="F31" s="55" t="n">
        <f aca="false">Arch!$D$8</f>
        <v>61</v>
      </c>
      <c r="G31" s="55" t="n">
        <f aca="false">Arch!$D$8</f>
        <v>61</v>
      </c>
      <c r="H31" s="55" t="n">
        <f aca="false">Arch!$D$8</f>
        <v>61</v>
      </c>
      <c r="I31" s="55" t="n">
        <f aca="false">Arch!$D$8</f>
        <v>61</v>
      </c>
    </row>
    <row r="32" customFormat="false" ht="15" hidden="false" customHeight="false" outlineLevel="0" collapsed="false">
      <c r="A32" s="54" t="s">
        <v>236</v>
      </c>
      <c r="B32" s="53"/>
      <c r="C32" s="55" t="n">
        <f aca="false">Arch!$D$9</f>
        <v>7168</v>
      </c>
      <c r="D32" s="55" t="n">
        <f aca="false">Arch!$D$9</f>
        <v>7168</v>
      </c>
      <c r="E32" s="55" t="n">
        <f aca="false">Arch!$D$9</f>
        <v>7168</v>
      </c>
      <c r="F32" s="55" t="n">
        <f aca="false">Arch!$D$9</f>
        <v>7168</v>
      </c>
      <c r="G32" s="55" t="n">
        <f aca="false">Arch!$D$9</f>
        <v>7168</v>
      </c>
      <c r="H32" s="55" t="n">
        <f aca="false">Arch!$D$9</f>
        <v>7168</v>
      </c>
      <c r="I32" s="55" t="n">
        <f aca="false">Arch!$D$9</f>
        <v>7168</v>
      </c>
    </row>
    <row r="33" customFormat="false" ht="15" hidden="false" customHeight="false" outlineLevel="0" collapsed="false">
      <c r="A33" s="53" t="s">
        <v>439</v>
      </c>
      <c r="B33" s="53"/>
      <c r="C33" s="55" t="n">
        <f aca="false">Arch!$D$13</f>
        <v>6</v>
      </c>
      <c r="D33" s="55" t="n">
        <f aca="false">Arch!$D$13</f>
        <v>6</v>
      </c>
      <c r="E33" s="55" t="n">
        <f aca="false">Arch!$D$13</f>
        <v>6</v>
      </c>
      <c r="F33" s="55" t="n">
        <f aca="false">Arch!$D$13</f>
        <v>6</v>
      </c>
      <c r="G33" s="55" t="n">
        <f aca="false">Arch!$D$13</f>
        <v>6</v>
      </c>
      <c r="H33" s="55" t="n">
        <f aca="false">Arch!$D$13</f>
        <v>6</v>
      </c>
      <c r="I33" s="55" t="n">
        <f aca="false">Arch!$D$13</f>
        <v>6</v>
      </c>
    </row>
    <row r="34" customFormat="false" ht="15" hidden="false" customHeight="false" outlineLevel="0" collapsed="false">
      <c r="A34" s="53" t="s">
        <v>440</v>
      </c>
      <c r="B34" s="54" t="s">
        <v>228</v>
      </c>
      <c r="C34" s="91" t="n">
        <f aca="false">Arch!$D$28</f>
        <v>20.2777777777778</v>
      </c>
      <c r="D34" s="91" t="n">
        <f aca="false">Arch!$D$28</f>
        <v>20.2777777777778</v>
      </c>
      <c r="E34" s="91" t="n">
        <f aca="false">Arch!$D$28</f>
        <v>20.2777777777778</v>
      </c>
      <c r="F34" s="91" t="n">
        <f aca="false">Arch!$D$28</f>
        <v>20.2777777777778</v>
      </c>
      <c r="G34" s="91" t="n">
        <f aca="false">Arch!$D$28</f>
        <v>20.2777777777778</v>
      </c>
      <c r="H34" s="91" t="n">
        <f aca="false">Arch!$D$28</f>
        <v>20.2777777777778</v>
      </c>
      <c r="I34" s="91" t="n">
        <f aca="false">Arch!$D$28</f>
        <v>20.2777777777778</v>
      </c>
    </row>
    <row r="35" customFormat="false" ht="15" hidden="false" customHeight="false" outlineLevel="0" collapsed="false">
      <c r="A35" s="53" t="s">
        <v>270</v>
      </c>
      <c r="B35" s="54" t="s">
        <v>228</v>
      </c>
      <c r="C35" s="55" t="n">
        <f aca="false">Arch!$D$29</f>
        <v>1579.72222222222</v>
      </c>
      <c r="D35" s="55" t="n">
        <f aca="false">Arch!$D$29</f>
        <v>1579.72222222222</v>
      </c>
      <c r="E35" s="55" t="n">
        <f aca="false">Arch!$D$29</f>
        <v>1579.72222222222</v>
      </c>
      <c r="F35" s="55" t="n">
        <f aca="false">Arch!$D$29</f>
        <v>1579.72222222222</v>
      </c>
      <c r="G35" s="55" t="n">
        <f aca="false">Arch!$D$29</f>
        <v>1579.72222222222</v>
      </c>
      <c r="H35" s="55" t="n">
        <f aca="false">Arch!$D$29</f>
        <v>1579.72222222222</v>
      </c>
      <c r="I35" s="55" t="n">
        <f aca="false">Arch!$D$29</f>
        <v>1579.72222222222</v>
      </c>
    </row>
    <row r="36" customFormat="false" ht="15" hidden="false" customHeight="false" outlineLevel="0" collapsed="false">
      <c r="A36" s="54" t="s">
        <v>441</v>
      </c>
      <c r="B36" s="54" t="s">
        <v>228</v>
      </c>
      <c r="C36" s="55" t="n">
        <f aca="false">Arch!$D$25</f>
        <v>3965</v>
      </c>
      <c r="D36" s="55" t="n">
        <f aca="false">Arch!$D$25</f>
        <v>3965</v>
      </c>
      <c r="E36" s="55" t="n">
        <f aca="false">Arch!$D$25</f>
        <v>3965</v>
      </c>
      <c r="F36" s="55" t="n">
        <f aca="false">Arch!$D$25</f>
        <v>3965</v>
      </c>
      <c r="G36" s="55" t="n">
        <f aca="false">Arch!$D$25</f>
        <v>3965</v>
      </c>
      <c r="H36" s="55" t="n">
        <f aca="false">Arch!$D$25</f>
        <v>3965</v>
      </c>
      <c r="I36" s="55" t="n">
        <f aca="false">Arch!$D$25</f>
        <v>3965</v>
      </c>
    </row>
    <row r="37" customFormat="false" ht="15" hidden="false" customHeight="false" outlineLevel="0" collapsed="false">
      <c r="A37" s="53" t="s">
        <v>442</v>
      </c>
      <c r="B37" s="53"/>
      <c r="C37" s="55" t="n">
        <f aca="false">Arch!$D$30</f>
        <v>15990784</v>
      </c>
      <c r="D37" s="55" t="n">
        <f aca="false">Arch!$D$30</f>
        <v>15990784</v>
      </c>
      <c r="E37" s="55" t="n">
        <f aca="false">Arch!$D$30</f>
        <v>15990784</v>
      </c>
      <c r="F37" s="55" t="n">
        <f aca="false">Arch!$D$30</f>
        <v>15990784</v>
      </c>
      <c r="G37" s="55" t="n">
        <f aca="false">Arch!$D$30</f>
        <v>15990784</v>
      </c>
      <c r="H37" s="55" t="n">
        <f aca="false">Arch!$D$30</f>
        <v>15990784</v>
      </c>
      <c r="I37" s="55" t="n">
        <f aca="false">Arch!$D$30</f>
        <v>15990784</v>
      </c>
    </row>
    <row r="38" customFormat="false" ht="15" hidden="false" customHeight="false" outlineLevel="0" collapsed="false">
      <c r="A38" s="53" t="s">
        <v>246</v>
      </c>
      <c r="B38" s="54" t="s">
        <v>71</v>
      </c>
      <c r="C38" s="57" t="n">
        <f aca="false">Arch!$D$16</f>
        <v>0.492</v>
      </c>
      <c r="D38" s="57" t="n">
        <f aca="false">Arch!$D$16</f>
        <v>0.492</v>
      </c>
      <c r="E38" s="57" t="n">
        <f aca="false">Arch!$D$16</f>
        <v>0.492</v>
      </c>
      <c r="F38" s="57" t="n">
        <f aca="false">Arch!$D$16</f>
        <v>0.492</v>
      </c>
      <c r="G38" s="57" t="n">
        <f aca="false">Arch!$D$16</f>
        <v>0.492</v>
      </c>
      <c r="H38" s="57" t="n">
        <f aca="false">Arch!$D$16</f>
        <v>0.492</v>
      </c>
      <c r="I38" s="57" t="n">
        <f aca="false">Arch!$D$16</f>
        <v>0.492</v>
      </c>
    </row>
    <row r="39" customFormat="false" ht="15" hidden="false" customHeight="false" outlineLevel="0" collapsed="false">
      <c r="A39" s="53" t="s">
        <v>443</v>
      </c>
      <c r="B39" s="53"/>
      <c r="C39" s="55" t="n">
        <f aca="false">Arch!$D$17</f>
        <v>4224</v>
      </c>
      <c r="D39" s="55" t="n">
        <f aca="false">Arch!$D$17</f>
        <v>4224</v>
      </c>
      <c r="E39" s="55" t="n">
        <f aca="false">Arch!$D$17</f>
        <v>4224</v>
      </c>
      <c r="F39" s="55" t="n">
        <f aca="false">Arch!$D$17</f>
        <v>4224</v>
      </c>
      <c r="G39" s="55" t="n">
        <f aca="false">Arch!$D$17</f>
        <v>4224</v>
      </c>
      <c r="H39" s="55" t="n">
        <f aca="false">Arch!$D$17</f>
        <v>4224</v>
      </c>
      <c r="I39" s="55" t="n">
        <f aca="false">Arch!$D$17</f>
        <v>4224</v>
      </c>
    </row>
    <row r="40" customFormat="false" ht="15" hidden="false" customHeight="false" outlineLevel="0" collapsed="false">
      <c r="A40" s="53" t="s">
        <v>444</v>
      </c>
      <c r="B40" s="53"/>
      <c r="C40" s="55" t="n">
        <f aca="false">Arch!$D$18</f>
        <v>128</v>
      </c>
      <c r="D40" s="55" t="n">
        <f aca="false">Arch!$D$18</f>
        <v>128</v>
      </c>
      <c r="E40" s="55" t="n">
        <f aca="false">Arch!$D$18</f>
        <v>128</v>
      </c>
      <c r="F40" s="55" t="n">
        <f aca="false">Arch!$D$18</f>
        <v>128</v>
      </c>
      <c r="G40" s="55" t="n">
        <f aca="false">Arch!$D$18</f>
        <v>128</v>
      </c>
      <c r="H40" s="55" t="n">
        <f aca="false">Arch!$D$18</f>
        <v>128</v>
      </c>
      <c r="I40" s="55" t="n">
        <f aca="false">Arch!$D$18</f>
        <v>128</v>
      </c>
    </row>
    <row r="41" customFormat="false" ht="15" hidden="false" customHeight="false" outlineLevel="0" collapsed="false">
      <c r="A41" s="53" t="s">
        <v>445</v>
      </c>
      <c r="B41" s="53"/>
      <c r="C41" s="55" t="n">
        <f aca="false">Arch!$D$19</f>
        <v>128</v>
      </c>
      <c r="D41" s="55" t="n">
        <f aca="false">Arch!$D$19</f>
        <v>128</v>
      </c>
      <c r="E41" s="55" t="n">
        <f aca="false">Arch!$D$19</f>
        <v>128</v>
      </c>
      <c r="F41" s="55" t="n">
        <f aca="false">Arch!$D$19</f>
        <v>128</v>
      </c>
      <c r="G41" s="55" t="n">
        <f aca="false">Arch!$D$19</f>
        <v>128</v>
      </c>
      <c r="H41" s="55" t="n">
        <f aca="false">Arch!$D$19</f>
        <v>128</v>
      </c>
      <c r="I41" s="55" t="n">
        <f aca="false">Arch!$D$19</f>
        <v>128</v>
      </c>
    </row>
    <row r="42" customFormat="false" ht="15" hidden="false" customHeight="false" outlineLevel="0" collapsed="false">
      <c r="A42" s="54" t="s">
        <v>337</v>
      </c>
      <c r="B42" s="54" t="s">
        <v>249</v>
      </c>
      <c r="C42" s="60" t="n">
        <f aca="false">C15+C16/2</f>
        <v>8704</v>
      </c>
      <c r="D42" s="60" t="n">
        <f aca="false">D15+D16/2</f>
        <v>8704</v>
      </c>
      <c r="E42" s="60" t="n">
        <f aca="false">E15+E16/2</f>
        <v>8704</v>
      </c>
      <c r="F42" s="60" t="n">
        <f aca="false">F15+F16/2</f>
        <v>8704</v>
      </c>
      <c r="G42" s="60" t="n">
        <f aca="false">G15+G16/2</f>
        <v>8704</v>
      </c>
      <c r="H42" s="60" t="n">
        <f aca="false">H15+H16/2</f>
        <v>8704</v>
      </c>
      <c r="I42" s="60" t="n">
        <f aca="false">I15+I16/2</f>
        <v>8704</v>
      </c>
    </row>
    <row r="43" customFormat="false" ht="15" hidden="false" customHeight="false" outlineLevel="0" collapsed="false">
      <c r="A43" s="54" t="s">
        <v>446</v>
      </c>
      <c r="B43" s="54" t="s">
        <v>249</v>
      </c>
      <c r="C43" s="60" t="n">
        <f aca="false">C38*IF(C39=0,C42,MIN(C42,C39))+(1-C38)*(C42/C40+C41)</f>
        <v>2177.776</v>
      </c>
      <c r="D43" s="60" t="n">
        <f aca="false">D38*IF(D39=0,D42,MIN(D42,D39))+(1-D38)*(D42/D40+D41)</f>
        <v>2177.776</v>
      </c>
      <c r="E43" s="60" t="n">
        <f aca="false">E38*IF(E39=0,E42,MIN(E42,E39))+(1-E38)*(E42/E40+E41)</f>
        <v>2177.776</v>
      </c>
      <c r="F43" s="60" t="n">
        <f aca="false">F38*IF(F39=0,F42,MIN(F42,F39))+(1-F38)*(F42/F40+F41)</f>
        <v>2177.776</v>
      </c>
      <c r="G43" s="60" t="n">
        <f aca="false">G38*IF(G39=0,G42,MIN(G42,G39))+(1-G38)*(G42/G40+G41)</f>
        <v>2177.776</v>
      </c>
      <c r="H43" s="60" t="n">
        <f aca="false">H38*IF(H39=0,H42,MIN(H42,H39))+(1-H38)*(H42/H40+H41)</f>
        <v>2177.776</v>
      </c>
      <c r="I43" s="60" t="n">
        <f aca="false">I38*IF(I39=0,I42,MIN(I42,I39))+(1-I38)*(I42/I40+I41)</f>
        <v>2177.776</v>
      </c>
    </row>
    <row r="44" customFormat="false" ht="15" hidden="false" customHeight="false" outlineLevel="0" collapsed="false">
      <c r="A44" s="54" t="s">
        <v>447</v>
      </c>
      <c r="B44" s="54" t="s">
        <v>448</v>
      </c>
      <c r="C44" s="67" t="n">
        <f aca="false">(2*C30*1000000000+C37*C43)/1000000000</f>
        <v>132.824345616384</v>
      </c>
      <c r="D44" s="67" t="n">
        <f aca="false">(2*D30*1000000000+D37*D43)/1000000000</f>
        <v>132.824345616384</v>
      </c>
      <c r="E44" s="67" t="n">
        <f aca="false">(2*E30*1000000000+E37*E43)/1000000000</f>
        <v>132.824345616384</v>
      </c>
      <c r="F44" s="67" t="n">
        <f aca="false">(2*F30*1000000000+F37*F43)/1000000000</f>
        <v>132.824345616384</v>
      </c>
      <c r="G44" s="67" t="n">
        <f aca="false">(2*G30*1000000000+G37*G43)/1000000000</f>
        <v>132.824345616384</v>
      </c>
      <c r="H44" s="67" t="n">
        <f aca="false">(2*H30*1000000000+H37*H43)/1000000000</f>
        <v>132.824345616384</v>
      </c>
      <c r="I44" s="67" t="n">
        <f aca="false">(2*I30*1000000000+I37*I43)/1000000000</f>
        <v>132.824345616384</v>
      </c>
    </row>
    <row r="45" customFormat="false" ht="15" hidden="false" customHeight="false" outlineLevel="0" collapsed="false">
      <c r="A45" s="54" t="s">
        <v>338</v>
      </c>
      <c r="B45" s="54" t="s">
        <v>249</v>
      </c>
      <c r="C45" s="60" t="n">
        <f aca="false">C15/2</f>
        <v>4096</v>
      </c>
      <c r="D45" s="60" t="n">
        <f aca="false">D15/2</f>
        <v>4096</v>
      </c>
      <c r="E45" s="60" t="n">
        <f aca="false">E15/2</f>
        <v>4096</v>
      </c>
      <c r="F45" s="60" t="n">
        <f aca="false">F15/2</f>
        <v>4096</v>
      </c>
      <c r="G45" s="60" t="n">
        <f aca="false">G15/2</f>
        <v>4096</v>
      </c>
      <c r="H45" s="60" t="n">
        <f aca="false">H15/2</f>
        <v>4096</v>
      </c>
      <c r="I45" s="60" t="n">
        <f aca="false">I15/2</f>
        <v>4096</v>
      </c>
    </row>
    <row r="46" customFormat="false" ht="15" hidden="false" customHeight="false" outlineLevel="0" collapsed="false">
      <c r="A46" s="54" t="s">
        <v>449</v>
      </c>
      <c r="B46" s="54" t="s">
        <v>249</v>
      </c>
      <c r="C46" s="60" t="n">
        <f aca="false">C38*IF(C39=0,C45,MIN(C45,C39))+(1-C38)*(C45/C40+C41)</f>
        <v>2096.512</v>
      </c>
      <c r="D46" s="60" t="n">
        <f aca="false">D38*IF(D39=0,D45,MIN(D45,D39))+(1-D38)*(D45/D40+D41)</f>
        <v>2096.512</v>
      </c>
      <c r="E46" s="60" t="n">
        <f aca="false">E38*IF(E39=0,E45,MIN(E45,E39))+(1-E38)*(E45/E40+E41)</f>
        <v>2096.512</v>
      </c>
      <c r="F46" s="60" t="n">
        <f aca="false">F38*IF(F39=0,F45,MIN(F45,F39))+(1-F38)*(F45/F40+F41)</f>
        <v>2096.512</v>
      </c>
      <c r="G46" s="60" t="n">
        <f aca="false">G38*IF(G39=0,G45,MIN(G45,G39))+(1-G38)*(G45/G40+G41)</f>
        <v>2096.512</v>
      </c>
      <c r="H46" s="60" t="n">
        <f aca="false">H38*IF(H39=0,H45,MIN(H45,H39))+(1-H38)*(H45/H40+H41)</f>
        <v>2096.512</v>
      </c>
      <c r="I46" s="60" t="n">
        <f aca="false">I38*IF(I39=0,I45,MIN(I45,I39))+(1-I38)*(I45/I40+I41)</f>
        <v>2096.512</v>
      </c>
    </row>
    <row r="47" customFormat="false" ht="15" hidden="false" customHeight="false" outlineLevel="0" collapsed="false">
      <c r="A47" s="54" t="s">
        <v>450</v>
      </c>
      <c r="B47" s="54" t="s">
        <v>448</v>
      </c>
      <c r="C47" s="67" t="n">
        <f aca="false">(2*C30*1000000000+C37*C46)/1000000000</f>
        <v>131.524870545408</v>
      </c>
      <c r="D47" s="67" t="n">
        <f aca="false">(2*D30*1000000000+D37*D46)/1000000000</f>
        <v>131.524870545408</v>
      </c>
      <c r="E47" s="67" t="n">
        <f aca="false">(2*E30*1000000000+E37*E46)/1000000000</f>
        <v>131.524870545408</v>
      </c>
      <c r="F47" s="67" t="n">
        <f aca="false">(2*F30*1000000000+F37*F46)/1000000000</f>
        <v>131.524870545408</v>
      </c>
      <c r="G47" s="67" t="n">
        <f aca="false">(2*G30*1000000000+G37*G46)/1000000000</f>
        <v>131.524870545408</v>
      </c>
      <c r="H47" s="67" t="n">
        <f aca="false">(2*H30*1000000000+H37*H46)/1000000000</f>
        <v>131.524870545408</v>
      </c>
      <c r="I47" s="67" t="n">
        <f aca="false">(2*I30*1000000000+I37*I46)/1000000000</f>
        <v>131.524870545408</v>
      </c>
    </row>
    <row r="48" customFormat="false" ht="15" hidden="false" customHeight="false" outlineLevel="0" collapsed="false">
      <c r="A48" s="53" t="s">
        <v>451</v>
      </c>
      <c r="B48" s="54" t="s">
        <v>274</v>
      </c>
      <c r="C48" s="55" t="n">
        <f aca="false">C24*(1-Serving!$C$9)</f>
        <v>259.2</v>
      </c>
      <c r="D48" s="55" t="n">
        <f aca="false">D24*(1-Serving!$C$9)</f>
        <v>259.2</v>
      </c>
      <c r="E48" s="55" t="n">
        <f aca="false">E24*(1-Serving!$C$9)</f>
        <v>259.2</v>
      </c>
      <c r="F48" s="55" t="n">
        <f aca="false">F24*(1-Serving!$C$9)</f>
        <v>259.2</v>
      </c>
      <c r="G48" s="55" t="n">
        <f aca="false">G24*(1-Serving!$C$9)</f>
        <v>167.4</v>
      </c>
      <c r="H48" s="55" t="n">
        <f aca="false">H24*(1-Serving!$C$9)</f>
        <v>167.4</v>
      </c>
      <c r="I48" s="55" t="n">
        <f aca="false">I24*(1-Serving!$C$9)</f>
        <v>259.2</v>
      </c>
    </row>
    <row r="49" customFormat="false" ht="15" hidden="false" customHeight="false" outlineLevel="0" collapsed="false">
      <c r="A49" s="53" t="s">
        <v>452</v>
      </c>
      <c r="B49" s="53"/>
      <c r="C49" s="82" t="n">
        <f aca="false">MAX(1,CEILING(C34*C29/(Serving!$C$10*C48),1))</f>
        <v>1</v>
      </c>
      <c r="D49" s="82" t="n">
        <f aca="false">MAX(1,CEILING(D34*D29/(Serving!$C$10*D48),1))</f>
        <v>1</v>
      </c>
      <c r="E49" s="82" t="n">
        <f aca="false">MAX(1,CEILING(E34*E29/(Serving!$C$10*E48),1))</f>
        <v>1</v>
      </c>
      <c r="F49" s="82" t="n">
        <f aca="false">MAX(1,CEILING(F34*F29/(Serving!$C$10*F48),1))</f>
        <v>1</v>
      </c>
      <c r="G49" s="82" t="n">
        <f aca="false">MAX(1,CEILING(G34*G29/(Serving!$C$10*G48),1))</f>
        <v>1</v>
      </c>
      <c r="H49" s="82" t="n">
        <f aca="false">MAX(1,CEILING(H34*H29/(Serving!$C$10*H48),1))</f>
        <v>1</v>
      </c>
      <c r="I49" s="82" t="n">
        <f aca="false">MAX(1,CEILING(I34*I29/(Serving!$C$10*I48),1))</f>
        <v>1</v>
      </c>
    </row>
    <row r="50" customFormat="false" ht="15" hidden="false" customHeight="false" outlineLevel="0" collapsed="false">
      <c r="A50" s="54" t="s">
        <v>453</v>
      </c>
      <c r="B50" s="53"/>
      <c r="C50" s="55" t="n">
        <f aca="false">MAX(C27,CEILING(C35*C28/(Serving!$C$11*C48),1))</f>
        <v>32</v>
      </c>
      <c r="D50" s="55" t="n">
        <f aca="false">MAX(D27,CEILING(D35*D28/(Serving!$C$11*D48),1))</f>
        <v>32</v>
      </c>
      <c r="E50" s="55" t="n">
        <f aca="false">MAX(E27,CEILING(E35*E28/(Serving!$C$11*E48),1))</f>
        <v>32</v>
      </c>
      <c r="F50" s="55" t="n">
        <f aca="false">MAX(F27,CEILING(F35*F28/(Serving!$C$11*F48),1))</f>
        <v>32</v>
      </c>
      <c r="G50" s="55" t="n">
        <f aca="false">MAX(G27,CEILING(G35*G28/(Serving!$C$11*G48),1))</f>
        <v>32</v>
      </c>
      <c r="H50" s="55" t="n">
        <f aca="false">MAX(H27,CEILING(H35*H28/(Serving!$C$11*H48),1))</f>
        <v>32</v>
      </c>
      <c r="I50" s="55" t="n">
        <f aca="false">MAX(I27,CEILING(I35*I28/(Serving!$C$11*I48),1))</f>
        <v>32</v>
      </c>
    </row>
    <row r="51" customFormat="false" ht="15" hidden="false" customHeight="false" outlineLevel="0" collapsed="false">
      <c r="A51" s="53" t="s">
        <v>454</v>
      </c>
      <c r="B51" s="54" t="s">
        <v>274</v>
      </c>
      <c r="C51" s="67" t="n">
        <f aca="false">C34*C29/C49+C35*C28/C50</f>
        <v>48.0463324652778</v>
      </c>
      <c r="D51" s="67" t="n">
        <f aca="false">D34*D29/D49+D35*D28/D50</f>
        <v>48.0463324652778</v>
      </c>
      <c r="E51" s="67" t="n">
        <f aca="false">E34*E29/E49+E35*E28/E50</f>
        <v>48.0463324652778</v>
      </c>
      <c r="F51" s="67" t="n">
        <f aca="false">F34*F29/F49+F35*F28/F50</f>
        <v>48.0463324652778</v>
      </c>
      <c r="G51" s="67" t="n">
        <f aca="false">G34*G29/G49+G35*G28/G50</f>
        <v>48.0463324652778</v>
      </c>
      <c r="H51" s="67" t="n">
        <f aca="false">H34*H29/H49+H35*H28/H50</f>
        <v>48.0463324652778</v>
      </c>
      <c r="I51" s="67" t="n">
        <f aca="false">I34*I29/I49+I35*I28/I50</f>
        <v>48.0463324652778</v>
      </c>
    </row>
    <row r="52" customFormat="false" ht="15" hidden="false" customHeight="false" outlineLevel="0" collapsed="false">
      <c r="A52" s="53" t="s">
        <v>455</v>
      </c>
      <c r="B52" s="53"/>
      <c r="C52" s="82" t="n">
        <f aca="false">Serving!$C$6*C13</f>
        <v>3</v>
      </c>
      <c r="D52" s="82" t="n">
        <f aca="false">Serving!$C$6*D13</f>
        <v>3</v>
      </c>
      <c r="E52" s="82" t="n">
        <f aca="false">Serving!$C$6*E13</f>
        <v>3</v>
      </c>
      <c r="F52" s="82" t="n">
        <f aca="false">Serving!$C$6*F13</f>
        <v>0</v>
      </c>
      <c r="G52" s="82" t="n">
        <f aca="false">Serving!$C$6*G13</f>
        <v>0</v>
      </c>
      <c r="H52" s="82" t="n">
        <f aca="false">Serving!$C$6*H13</f>
        <v>3</v>
      </c>
      <c r="I52" s="82" t="n">
        <f aca="false">Serving!$C$6*I13</f>
        <v>3</v>
      </c>
    </row>
    <row r="53" customFormat="false" ht="15" hidden="false" customHeight="false" outlineLevel="0" collapsed="false">
      <c r="A53" s="53" t="s">
        <v>456</v>
      </c>
      <c r="B53" s="53"/>
      <c r="C53" s="90" t="n">
        <f aca="false">IF(C13=1,Serving!$C$8,1)</f>
        <v>2.533</v>
      </c>
      <c r="D53" s="90" t="n">
        <f aca="false">IF(D13=1,Serving!$C$8,1)</f>
        <v>2.533</v>
      </c>
      <c r="E53" s="90" t="n">
        <f aca="false">IF(E13=1,Serving!$C$8,1)</f>
        <v>2.533</v>
      </c>
      <c r="F53" s="90" t="n">
        <f aca="false">IF(F13=1,Serving!$C$8,1)</f>
        <v>1</v>
      </c>
      <c r="G53" s="90" t="n">
        <f aca="false">IF(G13=1,Serving!$C$8,1)</f>
        <v>1</v>
      </c>
      <c r="H53" s="90" t="n">
        <f aca="false">IF(H13=1,Serving!$C$8,1)</f>
        <v>2.533</v>
      </c>
      <c r="I53" s="90" t="n">
        <f aca="false">IF(I13=1,Serving!$C$8,1)</f>
        <v>2.533</v>
      </c>
    </row>
    <row r="54" customFormat="false" ht="15" hidden="false" customHeight="false" outlineLevel="0" collapsed="false">
      <c r="A54" s="54" t="s">
        <v>457</v>
      </c>
      <c r="B54" s="54" t="s">
        <v>330</v>
      </c>
      <c r="C54" s="60" t="n">
        <f aca="false">$C$5*C23*1000000000000000/(C47*1000000000)</f>
        <v>34214.061426857</v>
      </c>
      <c r="D54" s="60" t="n">
        <f aca="false">$C$5*D23*1000000000000000/(D47*1000000000)</f>
        <v>34214.061426857</v>
      </c>
      <c r="E54" s="60" t="n">
        <f aca="false">$C$5*E23*1000000000000000/(E47*1000000000)</f>
        <v>34214.061426857</v>
      </c>
      <c r="F54" s="60" t="n">
        <f aca="false">$C$5*F23*1000000000000000/(F47*1000000000)</f>
        <v>34214.061426857</v>
      </c>
      <c r="G54" s="60" t="n">
        <f aca="false">$C$5*G23*1000000000000000/(G47*1000000000)</f>
        <v>22809.3742845713</v>
      </c>
      <c r="H54" s="60" t="n">
        <f aca="false">$C$5*H23*1000000000000000/(H47*1000000000)</f>
        <v>22809.3742845713</v>
      </c>
      <c r="I54" s="60" t="n">
        <f aca="false">$C$5*I23*1000000000000000/(I47*1000000000)</f>
        <v>34214.061426857</v>
      </c>
    </row>
    <row r="55" customFormat="false" ht="15" hidden="false" customHeight="false" outlineLevel="0" collapsed="false">
      <c r="A55" s="53" t="s">
        <v>458</v>
      </c>
      <c r="B55" s="54" t="s">
        <v>459</v>
      </c>
      <c r="C55" s="92" t="n">
        <f aca="false">(C52+1)*C44/C23/1000</f>
        <v>0.0354198254977024</v>
      </c>
      <c r="D55" s="92" t="n">
        <f aca="false">(D52+1)*D44/D23/1000</f>
        <v>0.0354198254977024</v>
      </c>
      <c r="E55" s="92" t="n">
        <f aca="false">(E52+1)*E44/E23/1000</f>
        <v>0.0354198254977024</v>
      </c>
      <c r="F55" s="92" t="n">
        <f aca="false">(F52+1)*F44/F23/1000</f>
        <v>0.0088549563744256</v>
      </c>
      <c r="G55" s="92" t="n">
        <f aca="false">(G52+1)*G44/G23/1000</f>
        <v>0.0132824345616384</v>
      </c>
      <c r="H55" s="92" t="n">
        <f aca="false">(H52+1)*H44/H23/1000</f>
        <v>0.0531297382465536</v>
      </c>
      <c r="I55" s="92" t="n">
        <f aca="false">(I52+1)*I44/I23/1000</f>
        <v>0.0354198254977024</v>
      </c>
    </row>
    <row r="56" customFormat="false" ht="15" hidden="false" customHeight="false" outlineLevel="0" collapsed="false">
      <c r="A56" s="53" t="s">
        <v>460</v>
      </c>
      <c r="B56" s="54" t="s">
        <v>330</v>
      </c>
      <c r="C56" s="60" t="n">
        <f aca="false">C16/((C15+C16)/C17-C15/C54)</f>
        <v>1370.69137627503</v>
      </c>
      <c r="D56" s="60" t="n">
        <f aca="false">D16/((D15+D16)/D17-D15/D54)</f>
        <v>415.076479131515</v>
      </c>
      <c r="E56" s="60" t="n">
        <f aca="false">E16/((E15+E16)/E17-E15/E54)</f>
        <v>1755.15750600715</v>
      </c>
      <c r="F56" s="60" t="n">
        <f aca="false">F16/((F15+F16)/F17-F15/F54)</f>
        <v>818.3188584363</v>
      </c>
      <c r="G56" s="60" t="n">
        <f aca="false">G16/((G15+G16)/G17-G15/G54)</f>
        <v>265.905578608434</v>
      </c>
      <c r="H56" s="60" t="n">
        <f aca="false">H16/((H15+H16)/H17-H15/H54)</f>
        <v>494.927953841062</v>
      </c>
      <c r="I56" s="60" t="n">
        <f aca="false">I16/((I15+I16)/I17-I15/I54)</f>
        <v>872.571276968989</v>
      </c>
      <c r="J56" s="66" t="s">
        <v>461</v>
      </c>
    </row>
    <row r="57" customFormat="false" ht="15" hidden="false" customHeight="false" outlineLevel="0" collapsed="false">
      <c r="A57" s="53" t="s">
        <v>462</v>
      </c>
      <c r="B57" s="53" t="s">
        <v>463</v>
      </c>
      <c r="C57" s="67" t="n">
        <f aca="false">C56/C14</f>
        <v>19.037380226042</v>
      </c>
      <c r="D57" s="67" t="n">
        <f aca="false">D56/D14</f>
        <v>3.19289599331934</v>
      </c>
      <c r="E57" s="67" t="n">
        <f aca="false">E56/E14</f>
        <v>35.1031501201429</v>
      </c>
      <c r="F57" s="67" t="n">
        <f aca="false">F56/F14</f>
        <v>30.3081058680111</v>
      </c>
      <c r="G57" s="67" t="n">
        <f aca="false">G56/G14</f>
        <v>9.84835476327535</v>
      </c>
      <c r="H57" s="67" t="n">
        <f aca="false">H56/H14</f>
        <v>4.49934503491875</v>
      </c>
      <c r="I57" s="67" t="n">
        <f aca="false">I56/I14</f>
        <v>7.93246615426354</v>
      </c>
    </row>
    <row r="59" customFormat="false" ht="15" hidden="false" customHeight="false" outlineLevel="0" collapsed="false">
      <c r="A59" s="68" t="s">
        <v>464</v>
      </c>
      <c r="B59" s="62"/>
      <c r="C59" s="62"/>
      <c r="D59" s="62"/>
      <c r="E59" s="62"/>
      <c r="F59" s="62"/>
      <c r="G59" s="62"/>
      <c r="H59" s="62"/>
      <c r="I59" s="62"/>
      <c r="J59" s="62"/>
    </row>
    <row r="60" customFormat="false" ht="15" hidden="false" customHeight="false" outlineLevel="0" collapsed="false">
      <c r="A60" s="54" t="s">
        <v>465</v>
      </c>
      <c r="B60" s="54" t="s">
        <v>71</v>
      </c>
      <c r="C60" s="93" t="n">
        <f aca="false">(C57-D57)*C55/(1000*(C53/C14-D53/D14))</f>
        <v>0.0357550334998836</v>
      </c>
      <c r="J60" s="50" t="s">
        <v>466</v>
      </c>
    </row>
    <row r="61" customFormat="false" ht="15" hidden="false" customHeight="false" outlineLevel="0" collapsed="false">
      <c r="A61" s="53" t="s">
        <v>467</v>
      </c>
      <c r="B61" s="54" t="s">
        <v>459</v>
      </c>
      <c r="C61" s="64" t="n">
        <f aca="false">1000*C53/C14-C57*C55/C60</f>
        <v>16.3216531987164</v>
      </c>
    </row>
    <row r="62" customFormat="false" ht="15" hidden="false" customHeight="false" outlineLevel="0" collapsed="false">
      <c r="A62" s="53" t="s">
        <v>468</v>
      </c>
      <c r="B62" s="54" t="s">
        <v>469</v>
      </c>
      <c r="C62" s="63" t="n">
        <f aca="false">(C61-C51/C25)*1000/(C31+C52)</f>
        <v>161.185338133698</v>
      </c>
      <c r="J62" s="66" t="s">
        <v>470</v>
      </c>
    </row>
    <row r="63" customFormat="false" ht="15" hidden="false" customHeight="false" outlineLevel="0" collapsed="false">
      <c r="A63" s="53" t="s">
        <v>471</v>
      </c>
      <c r="C63" s="85" t="str">
        <f aca="false">IF(C55/C60&gt;=MAX(C36*C42/(C25*Serving!$C$13)/1000000000,(C52+1)*C31*C33*C32*Serving!$C$12/(C26*Serving!$C$14)/1000000000),"成立","不成立")</f>
        <v>成立</v>
      </c>
    </row>
    <row r="65" customFormat="false" ht="15" hidden="false" customHeight="false" outlineLevel="0" collapsed="false">
      <c r="A65" s="68" t="s">
        <v>472</v>
      </c>
      <c r="B65" s="62"/>
      <c r="C65" s="62"/>
      <c r="D65" s="62"/>
      <c r="E65" s="62"/>
      <c r="F65" s="62"/>
      <c r="G65" s="62"/>
      <c r="H65" s="62"/>
      <c r="I65" s="62"/>
      <c r="J65" s="62"/>
    </row>
    <row r="66" customFormat="false" ht="15" hidden="false" customHeight="false" outlineLevel="0" collapsed="false">
      <c r="A66" s="51" t="s">
        <v>136</v>
      </c>
      <c r="C66" s="74" t="str">
        <f aca="false">Spec_Rack!C4</f>
        <v>Hopper H100</v>
      </c>
      <c r="D66" s="74" t="str">
        <f aca="false">Spec_Rack!D4</f>
        <v>GB200 NVL72</v>
      </c>
      <c r="E66" s="74" t="str">
        <f aca="false">Spec_Rack!E4</f>
        <v>GB300 NVL72</v>
      </c>
      <c r="F66" s="74" t="str">
        <f aca="false">Spec_Rack!F4</f>
        <v>VR200 NVL72</v>
      </c>
      <c r="G66" s="74" t="str">
        <f aca="false">Spec_Rack!G4</f>
        <v>Rubin Ultra（MGX NVL 單架，72 GPU）</v>
      </c>
    </row>
    <row r="67" customFormat="false" ht="37.3" hidden="false" customHeight="false" outlineLevel="0" collapsed="false">
      <c r="A67" s="54" t="s">
        <v>473</v>
      </c>
      <c r="B67" s="54" t="s">
        <v>75</v>
      </c>
      <c r="C67" s="71" t="n">
        <v>1.5</v>
      </c>
      <c r="D67" s="71" t="n">
        <v>1</v>
      </c>
      <c r="E67" s="71" t="n">
        <v>1</v>
      </c>
      <c r="F67" s="71" t="n">
        <v>1</v>
      </c>
      <c r="G67" s="71" t="n">
        <v>1</v>
      </c>
      <c r="J67" s="80" t="s">
        <v>474</v>
      </c>
    </row>
    <row r="68" customFormat="false" ht="15" hidden="false" customHeight="false" outlineLevel="0" collapsed="false">
      <c r="A68" s="53" t="s">
        <v>475</v>
      </c>
      <c r="B68" s="54" t="s">
        <v>75</v>
      </c>
      <c r="C68" s="71" t="n">
        <v>1.5</v>
      </c>
      <c r="D68" s="71" t="n">
        <v>1</v>
      </c>
      <c r="E68" s="71" t="n">
        <v>1</v>
      </c>
      <c r="F68" s="71" t="n">
        <v>1</v>
      </c>
      <c r="G68" s="71" t="n">
        <v>1</v>
      </c>
      <c r="J68" s="80" t="s">
        <v>476</v>
      </c>
    </row>
    <row r="69" customFormat="false" ht="25.35" hidden="false" customHeight="false" outlineLevel="0" collapsed="false">
      <c r="A69" s="54" t="s">
        <v>477</v>
      </c>
      <c r="B69" s="54" t="s">
        <v>75</v>
      </c>
      <c r="C69" s="90" t="n">
        <f aca="false">SRC_HW_019/SRC_HW_040</f>
        <v>0.499747347145023</v>
      </c>
      <c r="D69" s="71" t="n">
        <v>1</v>
      </c>
      <c r="E69" s="71" t="n">
        <v>1</v>
      </c>
      <c r="F69" s="71" t="n">
        <v>1</v>
      </c>
      <c r="G69" s="71" t="n">
        <v>1</v>
      </c>
      <c r="J69" s="80" t="s">
        <v>478</v>
      </c>
    </row>
    <row r="70" customFormat="false" ht="15" hidden="false" customHeight="false" outlineLevel="0" collapsed="false">
      <c r="A70" s="54" t="s">
        <v>479</v>
      </c>
      <c r="B70" s="54" t="s">
        <v>71</v>
      </c>
      <c r="C70" s="93" t="n">
        <f aca="false">$C$60*C67</f>
        <v>0.0536325502498254</v>
      </c>
      <c r="D70" s="93" t="n">
        <f aca="false">$C$60*D67</f>
        <v>0.0357550334998836</v>
      </c>
      <c r="E70" s="93" t="n">
        <f aca="false">$C$60*E67</f>
        <v>0.0357550334998836</v>
      </c>
      <c r="F70" s="93" t="n">
        <f aca="false">$C$60*F67</f>
        <v>0.0357550334998836</v>
      </c>
      <c r="G70" s="93" t="n">
        <f aca="false">$C$60*G67</f>
        <v>0.0357550334998836</v>
      </c>
    </row>
    <row r="71" customFormat="false" ht="15" hidden="false" customHeight="false" outlineLevel="0" collapsed="false">
      <c r="A71" s="53" t="s">
        <v>480</v>
      </c>
      <c r="B71" s="54" t="s">
        <v>469</v>
      </c>
      <c r="C71" s="63" t="n">
        <f aca="false">$C$62*C68</f>
        <v>241.778007200547</v>
      </c>
      <c r="D71" s="63" t="n">
        <f aca="false">$C$62*D68</f>
        <v>161.185338133698</v>
      </c>
      <c r="E71" s="63" t="n">
        <f aca="false">$C$62*E68</f>
        <v>161.185338133698</v>
      </c>
      <c r="F71" s="63" t="n">
        <f aca="false">$C$62*F68</f>
        <v>161.185338133698</v>
      </c>
      <c r="G71" s="63" t="n">
        <f aca="false">$C$62*G68</f>
        <v>161.185338133698</v>
      </c>
    </row>
    <row r="72" customFormat="false" ht="15" hidden="false" customHeight="false" outlineLevel="0" collapsed="false">
      <c r="A72" s="54" t="s">
        <v>481</v>
      </c>
      <c r="B72" s="54" t="s">
        <v>71</v>
      </c>
      <c r="C72" s="94" t="n">
        <f aca="false">$C$5*C69</f>
        <v>0.149924204143507</v>
      </c>
      <c r="D72" s="94" t="n">
        <f aca="false">$C$5*D69</f>
        <v>0.3</v>
      </c>
      <c r="E72" s="94" t="n">
        <f aca="false">$C$5*E69</f>
        <v>0.3</v>
      </c>
      <c r="F72" s="94" t="n">
        <f aca="false">$C$5*F69</f>
        <v>0.3</v>
      </c>
      <c r="G72" s="94" t="n">
        <f aca="false">$C$5*G69</f>
        <v>0.3</v>
      </c>
    </row>
    <row r="74" customFormat="false" ht="15" hidden="false" customHeight="false" outlineLevel="0" collapsed="false">
      <c r="A74" s="68" t="s">
        <v>482</v>
      </c>
      <c r="B74" s="62"/>
      <c r="C74" s="62"/>
      <c r="D74" s="62"/>
      <c r="E74" s="62"/>
      <c r="F74" s="62"/>
      <c r="G74" s="62"/>
      <c r="H74" s="62"/>
      <c r="I74" s="62"/>
      <c r="J74" s="62"/>
    </row>
    <row r="75" customFormat="false" ht="15" hidden="false" customHeight="false" outlineLevel="0" collapsed="false">
      <c r="A75" s="54" t="s">
        <v>483</v>
      </c>
      <c r="B75" s="54" t="s">
        <v>71</v>
      </c>
      <c r="C75" s="95" t="n">
        <f aca="false">INDEX($C$70:$G$70,C10)</f>
        <v>0.0357550334998836</v>
      </c>
      <c r="D75" s="95" t="n">
        <f aca="false">INDEX($C$70:$G$70,D10)</f>
        <v>0.0357550334998836</v>
      </c>
      <c r="E75" s="95" t="n">
        <f aca="false">INDEX($C$70:$G$70,E10)</f>
        <v>0.0357550334998836</v>
      </c>
      <c r="F75" s="95" t="n">
        <f aca="false">INDEX($C$70:$G$70,F10)</f>
        <v>0.0357550334998836</v>
      </c>
      <c r="G75" s="95" t="n">
        <f aca="false">INDEX($C$70:$G$70,G10)</f>
        <v>0.0357550334998836</v>
      </c>
      <c r="H75" s="95" t="n">
        <f aca="false">INDEX($C$70:$G$70,H10)</f>
        <v>0.0357550334998836</v>
      </c>
      <c r="I75" s="95" t="n">
        <f aca="false">INDEX($C$70:$G$70,I10)</f>
        <v>0.0357550334998836</v>
      </c>
    </row>
    <row r="76" customFormat="false" ht="15" hidden="false" customHeight="false" outlineLevel="0" collapsed="false">
      <c r="A76" s="53" t="s">
        <v>484</v>
      </c>
      <c r="B76" s="54" t="s">
        <v>469</v>
      </c>
      <c r="C76" s="60" t="n">
        <f aca="false">INDEX($C$71:$G$71,C10)</f>
        <v>161.185338133698</v>
      </c>
      <c r="D76" s="60" t="n">
        <f aca="false">INDEX($C$71:$G$71,D10)</f>
        <v>161.185338133698</v>
      </c>
      <c r="E76" s="60" t="n">
        <f aca="false">INDEX($C$71:$G$71,E10)</f>
        <v>161.185338133698</v>
      </c>
      <c r="F76" s="60" t="n">
        <f aca="false">INDEX($C$71:$G$71,F10)</f>
        <v>161.185338133698</v>
      </c>
      <c r="G76" s="60" t="n">
        <f aca="false">INDEX($C$71:$G$71,G10)</f>
        <v>161.185338133698</v>
      </c>
      <c r="H76" s="60" t="n">
        <f aca="false">INDEX($C$71:$G$71,H10)</f>
        <v>161.185338133698</v>
      </c>
      <c r="I76" s="60" t="n">
        <f aca="false">INDEX($C$71:$G$71,I10)</f>
        <v>161.185338133698</v>
      </c>
    </row>
    <row r="77" customFormat="false" ht="15" hidden="false" customHeight="false" outlineLevel="0" collapsed="false">
      <c r="A77" s="54" t="s">
        <v>485</v>
      </c>
      <c r="B77" s="54" t="s">
        <v>71</v>
      </c>
      <c r="C77" s="96" t="n">
        <f aca="false">INDEX($C$72:$G$72,C10)</f>
        <v>0.3</v>
      </c>
      <c r="D77" s="96" t="n">
        <f aca="false">INDEX($C$72:$G$72,D10)</f>
        <v>0.3</v>
      </c>
      <c r="E77" s="96" t="n">
        <f aca="false">INDEX($C$72:$G$72,E10)</f>
        <v>0.3</v>
      </c>
      <c r="F77" s="96" t="n">
        <f aca="false">INDEX($C$72:$G$72,F10)</f>
        <v>0.3</v>
      </c>
      <c r="G77" s="96" t="n">
        <f aca="false">INDEX($C$72:$G$72,G10)</f>
        <v>0.3</v>
      </c>
      <c r="H77" s="96" t="n">
        <f aca="false">INDEX($C$72:$G$72,H10)</f>
        <v>0.3</v>
      </c>
      <c r="I77" s="96" t="n">
        <f aca="false">INDEX($C$72:$G$72,I10)</f>
        <v>0.3</v>
      </c>
    </row>
    <row r="78" customFormat="false" ht="15" hidden="false" customHeight="false" outlineLevel="0" collapsed="false">
      <c r="A78" s="54" t="s">
        <v>486</v>
      </c>
      <c r="B78" s="54" t="s">
        <v>330</v>
      </c>
      <c r="C78" s="60" t="n">
        <f aca="false">C77*C23*1000000000000000/(C47*1000000000)</f>
        <v>34214.061426857</v>
      </c>
      <c r="D78" s="60" t="n">
        <f aca="false">D77*D23*1000000000000000/(D47*1000000000)</f>
        <v>34214.061426857</v>
      </c>
      <c r="E78" s="60" t="n">
        <f aca="false">E77*E23*1000000000000000/(E47*1000000000)</f>
        <v>34214.061426857</v>
      </c>
      <c r="F78" s="60" t="n">
        <f aca="false">F77*F23*1000000000000000/(F47*1000000000)</f>
        <v>34214.061426857</v>
      </c>
      <c r="G78" s="60" t="n">
        <f aca="false">G77*G23*1000000000000000/(G47*1000000000)</f>
        <v>22809.3742845713</v>
      </c>
      <c r="H78" s="60" t="n">
        <f aca="false">H77*H23*1000000000000000/(H47*1000000000)</f>
        <v>22809.3742845713</v>
      </c>
      <c r="I78" s="60" t="n">
        <f aca="false">I77*I23*1000000000000000/(I47*1000000000)</f>
        <v>34214.061426857</v>
      </c>
    </row>
    <row r="79" customFormat="false" ht="15" hidden="false" customHeight="false" outlineLevel="0" collapsed="false">
      <c r="A79" s="53" t="s">
        <v>487</v>
      </c>
      <c r="B79" s="54" t="s">
        <v>459</v>
      </c>
      <c r="C79" s="64" t="n">
        <f aca="false">C51/C25+(C31+C52)*C76/1000</f>
        <v>16.3216531987164</v>
      </c>
      <c r="D79" s="64" t="n">
        <f aca="false">D51/D25+(D31+D52)*D76/1000</f>
        <v>16.3216531987164</v>
      </c>
      <c r="E79" s="64" t="n">
        <f aca="false">E51/E25+(E31+E52)*E76/1000</f>
        <v>16.3216531987164</v>
      </c>
      <c r="F79" s="64" t="n">
        <f aca="false">F51/F25+(F31+F52)*F76/1000</f>
        <v>15.8380971843153</v>
      </c>
      <c r="G79" s="64" t="n">
        <f aca="false">G51/G25+(G31+G52)*G76/1000</f>
        <v>15.8380971843153</v>
      </c>
      <c r="H79" s="64" t="n">
        <f aca="false">H51/H25+(H31+H52)*H76/1000</f>
        <v>16.3216531987164</v>
      </c>
      <c r="I79" s="64" t="n">
        <f aca="false">I51/I25+(I31+I52)*I76/1000</f>
        <v>16.3216531987164</v>
      </c>
    </row>
    <row r="80" customFormat="false" ht="15" hidden="false" customHeight="false" outlineLevel="0" collapsed="false">
      <c r="A80" s="53" t="s">
        <v>488</v>
      </c>
      <c r="B80" s="54" t="s">
        <v>459</v>
      </c>
      <c r="C80" s="89" t="n">
        <f aca="false">MAX(C55/C75,C36*C42/(C25*Serving!$C$13)/1000000000,(C52+1)*C31*C33*C32*Serving!$C$12*(C50-1)/C50/(C26*Serving!$C$14)/1000000000)</f>
        <v>0.990624872378254</v>
      </c>
      <c r="D80" s="89" t="n">
        <f aca="false">MAX(D55/D75,D36*D42/(D25*Serving!$C$13)/1000000000,(D52+1)*D31*D33*D32*Serving!$C$12*(D50-1)/D50/(D26*Serving!$C$14)/1000000000)</f>
        <v>0.990624872378254</v>
      </c>
      <c r="E80" s="89" t="n">
        <f aca="false">MAX(E55/E75,E36*E42/(E25*Serving!$C$13)/1000000000,(E52+1)*E31*E33*E32*Serving!$C$12*(E50-1)/E50/(E26*Serving!$C$14)/1000000000)</f>
        <v>0.990624872378254</v>
      </c>
      <c r="F80" s="89" t="n">
        <f aca="false">MAX(F55/F75,F36*F42/(F25*Serving!$C$13)/1000000000,(F52+1)*F31*F33*F32*Serving!$C$12*(F50-1)/F50/(F26*Serving!$C$14)/1000000000)</f>
        <v>0.247656218094563</v>
      </c>
      <c r="G80" s="89" t="n">
        <f aca="false">MAX(G55/G75,G36*G42/(G25*Serving!$C$13)/1000000000,(G52+1)*G31*G33*G32*Serving!$C$12*(G50-1)/G50/(G26*Serving!$C$14)/1000000000)</f>
        <v>0.371484327141845</v>
      </c>
      <c r="H80" s="89" t="n">
        <f aca="false">MAX(H55/H75,H36*H42/(H25*Serving!$C$13)/1000000000,(H52+1)*H31*H33*H32*Serving!$C$12*(H50-1)/H50/(H26*Serving!$C$14)/1000000000)</f>
        <v>1.48593730856738</v>
      </c>
      <c r="I80" s="89" t="n">
        <f aca="false">MAX(I55/I75,I36*I42/(I25*Serving!$C$13)/1000000000,(I52+1)*I31*I33*I32*Serving!$C$12*(I50-1)/I50/(I26*Serving!$C$14)/1000000000)</f>
        <v>0.990624872378254</v>
      </c>
    </row>
    <row r="81" customFormat="false" ht="15" hidden="false" customHeight="false" outlineLevel="0" collapsed="false">
      <c r="A81" s="54" t="s">
        <v>489</v>
      </c>
      <c r="B81" s="53" t="s">
        <v>490</v>
      </c>
      <c r="C81" s="67" t="n">
        <f aca="false">(1000*C53/C14-C79)/C80</f>
        <v>19.037380226042</v>
      </c>
      <c r="D81" s="67" t="n">
        <f aca="false">(1000*D53/D14-D79)/D80</f>
        <v>3.19289599331934</v>
      </c>
      <c r="E81" s="67" t="n">
        <f aca="false">(1000*E53/E14-E79)/E80</f>
        <v>34.6633198486582</v>
      </c>
      <c r="F81" s="67" t="n">
        <f aca="false">(1000*F53/F14-F79)/F80</f>
        <v>85.5982539660171</v>
      </c>
      <c r="G81" s="67" t="n">
        <f aca="false">(1000*G53/G14-G79)/G80</f>
        <v>57.0655026440114</v>
      </c>
      <c r="H81" s="67" t="n">
        <f aca="false">(1000*H53/H14-H79)/H80</f>
        <v>4.51272034822341</v>
      </c>
      <c r="I81" s="67" t="n">
        <f aca="false">(1000*I53/I14-I79)/I80</f>
        <v>6.76908052233512</v>
      </c>
    </row>
    <row r="82" customFormat="false" ht="15" hidden="false" customHeight="false" outlineLevel="0" collapsed="false">
      <c r="A82" s="53" t="s">
        <v>491</v>
      </c>
      <c r="B82" s="53" t="s">
        <v>490</v>
      </c>
      <c r="C82" s="60" t="n">
        <f aca="false">(C48-C51)*1000000000/(C36*C42)</f>
        <v>6118.38152813225</v>
      </c>
      <c r="D82" s="60" t="n">
        <f aca="false">(D48-D51)*1000000000/(D36*D42)</f>
        <v>6118.38152813225</v>
      </c>
      <c r="E82" s="60" t="n">
        <f aca="false">(E48-E51)*1000000000/(E36*E42)</f>
        <v>6118.38152813225</v>
      </c>
      <c r="F82" s="60" t="n">
        <f aca="false">(F48-F51)*1000000000/(F36*F42)</f>
        <v>6118.38152813225</v>
      </c>
      <c r="G82" s="60" t="n">
        <f aca="false">(G48-G51)*1000000000/(G36*G42)</f>
        <v>3458.38783330249</v>
      </c>
      <c r="H82" s="60" t="n">
        <f aca="false">(H48-H51)*1000000000/(H36*H42)</f>
        <v>3458.38783330249</v>
      </c>
      <c r="I82" s="60" t="n">
        <f aca="false">(I48-I51)*1000000000/(I36*I42)</f>
        <v>6118.38152813225</v>
      </c>
    </row>
    <row r="83" customFormat="false" ht="15" hidden="false" customHeight="false" outlineLevel="0" collapsed="false">
      <c r="A83" s="54" t="s">
        <v>492</v>
      </c>
      <c r="B83" s="53" t="s">
        <v>490</v>
      </c>
      <c r="C83" s="67" t="n">
        <f aca="false">MAX(0,MIN(C81,C82))</f>
        <v>19.037380226042</v>
      </c>
      <c r="D83" s="67" t="n">
        <f aca="false">MAX(0,MIN(D81,D82))</f>
        <v>3.19289599331934</v>
      </c>
      <c r="E83" s="67" t="n">
        <f aca="false">MAX(0,MIN(E81,E82))</f>
        <v>34.6633198486582</v>
      </c>
      <c r="F83" s="67" t="n">
        <f aca="false">MAX(0,MIN(F81,F82))</f>
        <v>85.5982539660171</v>
      </c>
      <c r="G83" s="67" t="n">
        <f aca="false">MAX(0,MIN(G81,G82))</f>
        <v>57.0655026440114</v>
      </c>
      <c r="H83" s="67" t="n">
        <f aca="false">MAX(0,MIN(H81,H82))</f>
        <v>4.51272034822341</v>
      </c>
      <c r="I83" s="67" t="n">
        <f aca="false">MAX(0,MIN(I81,I82))</f>
        <v>6.76908052233512</v>
      </c>
    </row>
    <row r="84" customFormat="false" ht="15" hidden="false" customHeight="false" outlineLevel="0" collapsed="false">
      <c r="A84" s="54" t="s">
        <v>493</v>
      </c>
      <c r="B84" s="54" t="s">
        <v>330</v>
      </c>
      <c r="C84" s="60" t="n">
        <f aca="false">IF(C83&gt;0,C83*C53/((C79+C83*C80)/1000),0)</f>
        <v>1370.69137627503</v>
      </c>
      <c r="D84" s="60" t="n">
        <f aca="false">IF(D83&gt;0,D83*D53/((D79+D83*D80)/1000),0)</f>
        <v>415.076479131514</v>
      </c>
      <c r="E84" s="60" t="n">
        <f aca="false">IF(E83&gt;0,E83*E53/((E79+E83*E80)/1000),0)</f>
        <v>1733.16599243291</v>
      </c>
      <c r="F84" s="60" t="n">
        <f aca="false">IF(F83&gt;0,F83*F53/((F79+F83*F80)/1000),0)</f>
        <v>2311.15285708246</v>
      </c>
      <c r="G84" s="60" t="n">
        <f aca="false">IF(G83&gt;0,G83*G53/((G79+G83*G80)/1000),0)</f>
        <v>1540.76857138831</v>
      </c>
      <c r="H84" s="60" t="n">
        <f aca="false">IF(H83&gt;0,H83*H53/((H79+H83*H80)/1000),0)</f>
        <v>496.399238304576</v>
      </c>
      <c r="I84" s="60" t="n">
        <f aca="false">IF(I83&gt;0,I83*I53/((I79+I83*I80)/1000),0)</f>
        <v>744.598857456863</v>
      </c>
    </row>
    <row r="85" customFormat="false" ht="15" hidden="false" customHeight="false" outlineLevel="0" collapsed="false">
      <c r="A85" s="53" t="s">
        <v>494</v>
      </c>
      <c r="B85" s="54" t="s">
        <v>330</v>
      </c>
      <c r="C85" s="60" t="n">
        <f aca="false">IF(C84&gt;0,(C15+C16)/(C15/C78+C16/C84),0)</f>
        <v>9342.1</v>
      </c>
      <c r="D85" s="60" t="n">
        <f aca="false">IF(D84&gt;0,(D15+D16)/(D15/D78+D16/D84),0)</f>
        <v>3405.2</v>
      </c>
      <c r="E85" s="60" t="n">
        <f aca="false">IF(E84&gt;0,(E15+E16)/(E15/E78+E16/E84),0)</f>
        <v>11100.1374307429</v>
      </c>
      <c r="F85" s="60" t="n">
        <f aca="false">IF(F84&gt;0,(F15+F16)/(F15/F78+F16/F84),0)</f>
        <v>13503.2444760612</v>
      </c>
      <c r="G85" s="60" t="n">
        <f aca="false">IF(G84&gt;0,(G15+G16)/(G15/G78+G16/G84),0)</f>
        <v>9002.16298404078</v>
      </c>
      <c r="H85" s="60" t="n">
        <f aca="false">IF(H84&gt;0,(H15+H16)/(H15/H78+H16/H84),0)</f>
        <v>3805.10986409177</v>
      </c>
      <c r="I85" s="60" t="n">
        <f aca="false">IF(I84&gt;0,(I15+I16)/(I15/I78+I16/I84),0)</f>
        <v>5707.66479613766</v>
      </c>
    </row>
    <row r="86" customFormat="false" ht="15" hidden="false" customHeight="false" outlineLevel="0" collapsed="false">
      <c r="A86" s="53" t="s">
        <v>495</v>
      </c>
      <c r="B86" s="54" t="s">
        <v>75</v>
      </c>
      <c r="C86" s="97" t="n">
        <f aca="false">C85/C17</f>
        <v>1</v>
      </c>
      <c r="D86" s="97" t="n">
        <f aca="false">D85/D17</f>
        <v>0.999999999999999</v>
      </c>
      <c r="E86" s="97" t="n">
        <f aca="false">E85/E17</f>
        <v>0.99108369917347</v>
      </c>
      <c r="F86" s="97" t="n">
        <f aca="false">F85/F17</f>
        <v>2.18428412747673</v>
      </c>
      <c r="G86" s="97" t="n">
        <f aca="false">G85/G17</f>
        <v>4.1124545381639</v>
      </c>
      <c r="H86" s="97" t="n">
        <f aca="false">H85/H17</f>
        <v>1.00253190991747</v>
      </c>
      <c r="I86" s="97" t="n">
        <f aca="false">I85/I17</f>
        <v>0.875086593299653</v>
      </c>
    </row>
    <row r="87" customFormat="false" ht="42" hidden="false" customHeight="true" outlineLevel="0" collapsed="false">
      <c r="A87" s="53" t="s">
        <v>496</v>
      </c>
      <c r="C87" s="86" t="s">
        <v>497</v>
      </c>
      <c r="D87" s="86" t="s">
        <v>497</v>
      </c>
      <c r="E87" s="86" t="s">
        <v>498</v>
      </c>
      <c r="F87" s="86" t="s">
        <v>499</v>
      </c>
      <c r="G87" s="86" t="s">
        <v>500</v>
      </c>
      <c r="H87" s="86" t="s">
        <v>501</v>
      </c>
      <c r="I87" s="86" t="s">
        <v>97</v>
      </c>
    </row>
    <row r="89" customFormat="false" ht="15" hidden="false" customHeight="false" outlineLevel="0" collapsed="false">
      <c r="A89" s="68" t="s">
        <v>502</v>
      </c>
      <c r="B89" s="62"/>
      <c r="C89" s="62"/>
      <c r="D89" s="62"/>
      <c r="E89" s="62"/>
      <c r="F89" s="62"/>
      <c r="G89" s="62"/>
      <c r="H89" s="62"/>
      <c r="I89" s="62"/>
      <c r="J89" s="62"/>
    </row>
    <row r="90" customFormat="false" ht="15" hidden="false" customHeight="false" outlineLevel="0" collapsed="false">
      <c r="A90" s="52" t="s">
        <v>503</v>
      </c>
      <c r="C90" s="58" t="n">
        <v>0.15</v>
      </c>
      <c r="D90" s="58" t="n">
        <v>0.3</v>
      </c>
      <c r="E90" s="58" t="n">
        <v>0.45</v>
      </c>
    </row>
    <row r="91" customFormat="false" ht="15" hidden="false" customHeight="false" outlineLevel="0" collapsed="false">
      <c r="A91" s="53" t="s">
        <v>504</v>
      </c>
      <c r="C91" s="60" t="n">
        <f aca="false">C90*$C$23*1000000000000000/($C$47*1000000000)</f>
        <v>17107.0307134285</v>
      </c>
      <c r="D91" s="60" t="n">
        <f aca="false">D90*$C$23*1000000000000000/($C$47*1000000000)</f>
        <v>34214.061426857</v>
      </c>
      <c r="E91" s="60" t="n">
        <f aca="false">E90*$C$23*1000000000000000/($C$47*1000000000)</f>
        <v>51321.0921402855</v>
      </c>
    </row>
    <row r="92" customFormat="false" ht="15" hidden="false" customHeight="false" outlineLevel="0" collapsed="false">
      <c r="A92" s="53" t="s">
        <v>505</v>
      </c>
      <c r="C92" s="60" t="n">
        <f aca="false">C90*$D$23*1000000000000000/($D$47*1000000000)</f>
        <v>17107.0307134285</v>
      </c>
      <c r="D92" s="60" t="n">
        <f aca="false">D90*$D$23*1000000000000000/($D$47*1000000000)</f>
        <v>34214.061426857</v>
      </c>
      <c r="E92" s="60" t="n">
        <f aca="false">E90*$D$23*1000000000000000/($D$47*1000000000)</f>
        <v>51321.0921402855</v>
      </c>
    </row>
    <row r="93" customFormat="false" ht="15" hidden="false" customHeight="false" outlineLevel="0" collapsed="false">
      <c r="A93" s="53" t="s">
        <v>506</v>
      </c>
      <c r="C93" s="67" t="n">
        <f aca="false">$C$16/(($C$15+$C$16)/$C$17-$C$15/C91)/$C$14</f>
        <v>28.0166567428954</v>
      </c>
      <c r="D93" s="67" t="n">
        <f aca="false">$C$16/(($C$15+$C$16)/$C$17-$C$15/D91)/$C$14</f>
        <v>19.037380226042</v>
      </c>
      <c r="E93" s="67" t="n">
        <f aca="false">$C$16/(($C$15+$C$16)/$C$17-$C$15/E91)/$C$14</f>
        <v>17.199873128154</v>
      </c>
    </row>
    <row r="94" customFormat="false" ht="15" hidden="false" customHeight="false" outlineLevel="0" collapsed="false">
      <c r="A94" s="53" t="s">
        <v>507</v>
      </c>
      <c r="C94" s="67" t="n">
        <f aca="false">$D$16/(($D$15+$D$16)/$D$17-$D$15/C92)/$D$14</f>
        <v>3.53608745806425</v>
      </c>
      <c r="D94" s="67" t="n">
        <f aca="false">$D$16/(($D$15+$D$16)/$D$17-$D$15/D92)/$D$14</f>
        <v>3.19289599331934</v>
      </c>
      <c r="E94" s="67" t="n">
        <f aca="false">$D$16/(($D$15+$D$16)/$D$17-$D$15/E92)/$D$14</f>
        <v>3.09283853347512</v>
      </c>
    </row>
    <row r="95" customFormat="false" ht="15" hidden="false" customHeight="false" outlineLevel="0" collapsed="false">
      <c r="A95" s="54" t="s">
        <v>508</v>
      </c>
      <c r="C95" s="95" t="n">
        <f aca="false">(C93-C94)*$C$55/(1000*($C$53/$C$14-$D$53/$D$14))</f>
        <v>0.0552434249054094</v>
      </c>
      <c r="D95" s="95" t="n">
        <f aca="false">(D93-D94)*$C$55/(1000*($C$53/$C$14-$D$53/$D$14))</f>
        <v>0.0357550334998836</v>
      </c>
      <c r="E95" s="95" t="n">
        <f aca="false">(E93-E94)*$C$55/(1000*($C$53/$C$14-$D$53/$D$14))</f>
        <v>0.0318342640320887</v>
      </c>
    </row>
    <row r="96" customFormat="false" ht="15" hidden="false" customHeight="false" outlineLevel="0" collapsed="false">
      <c r="A96" s="53" t="s">
        <v>509</v>
      </c>
      <c r="C96" s="60" t="n">
        <f aca="false">((1000*$C$53/$C$14-C93*$C$55/C95)-$C$51/$C$25)*1000/($C$31+$C$52)</f>
        <v>175.181704944217</v>
      </c>
      <c r="D96" s="60" t="n">
        <f aca="false">((1000*$C$53/$C$14-D93*$C$55/D95)-$C$51/$C$25)*1000/($C$31+$C$52)</f>
        <v>161.185338133698</v>
      </c>
      <c r="E96" s="60" t="n">
        <f aca="false">((1000*$C$53/$C$14-E93*$C$55/E95)-$C$51/$C$25)*1000/($C$31+$C$52)</f>
        <v>156.838003946316</v>
      </c>
    </row>
    <row r="98" customFormat="false" ht="15" hidden="false" customHeight="false" outlineLevel="0" collapsed="false">
      <c r="A98" s="68" t="s">
        <v>510</v>
      </c>
      <c r="B98" s="62"/>
      <c r="C98" s="62"/>
      <c r="D98" s="62"/>
      <c r="E98" s="62"/>
      <c r="F98" s="62"/>
      <c r="G98" s="62"/>
      <c r="H98" s="62"/>
      <c r="I98" s="62"/>
      <c r="J98" s="62"/>
    </row>
    <row r="99" customFormat="false" ht="15" hidden="false" customHeight="false" outlineLevel="0" collapsed="false">
      <c r="A99" s="52" t="s">
        <v>511</v>
      </c>
    </row>
    <row r="100" customFormat="false" ht="15" hidden="false" customHeight="false" outlineLevel="0" collapsed="false">
      <c r="A100" s="53" t="s">
        <v>227</v>
      </c>
      <c r="B100" s="54" t="s">
        <v>228</v>
      </c>
      <c r="C100" s="55" t="n">
        <f aca="false">SRC_MOD_020</f>
        <v>671</v>
      </c>
      <c r="J100" s="80" t="s">
        <v>512</v>
      </c>
    </row>
    <row r="101" customFormat="false" ht="15" hidden="false" customHeight="false" outlineLevel="0" collapsed="false">
      <c r="A101" s="53" t="s">
        <v>231</v>
      </c>
      <c r="B101" s="54" t="s">
        <v>228</v>
      </c>
      <c r="C101" s="55" t="n">
        <f aca="false">SRC_MOD_021</f>
        <v>37</v>
      </c>
    </row>
    <row r="102" customFormat="false" ht="15" hidden="false" customHeight="false" outlineLevel="0" collapsed="false">
      <c r="A102" s="53" t="s">
        <v>233</v>
      </c>
      <c r="B102" s="53"/>
      <c r="C102" s="55" t="n">
        <f aca="false">SRC_MOD_022</f>
        <v>61</v>
      </c>
    </row>
    <row r="103" customFormat="false" ht="15" hidden="false" customHeight="false" outlineLevel="0" collapsed="false">
      <c r="A103" s="54" t="s">
        <v>236</v>
      </c>
      <c r="B103" s="53"/>
      <c r="C103" s="55" t="n">
        <f aca="false">SRC_MOD_023</f>
        <v>7168</v>
      </c>
    </row>
    <row r="104" customFormat="false" ht="15" hidden="false" customHeight="false" outlineLevel="0" collapsed="false">
      <c r="A104" s="54" t="s">
        <v>242</v>
      </c>
      <c r="B104" s="53"/>
      <c r="C104" s="55" t="n">
        <f aca="false">SRC_MOD_024</f>
        <v>256</v>
      </c>
    </row>
    <row r="105" customFormat="false" ht="15" hidden="false" customHeight="false" outlineLevel="0" collapsed="false">
      <c r="A105" s="53" t="s">
        <v>513</v>
      </c>
      <c r="B105" s="53"/>
      <c r="C105" s="55" t="n">
        <f aca="false">SRC_MOD_025</f>
        <v>8</v>
      </c>
    </row>
    <row r="106" customFormat="false" ht="15" hidden="false" customHeight="false" outlineLevel="0" collapsed="false">
      <c r="A106" s="54" t="s">
        <v>244</v>
      </c>
      <c r="B106" s="53"/>
      <c r="C106" s="55" t="n">
        <f aca="false">SRC_MOD_026</f>
        <v>1</v>
      </c>
    </row>
    <row r="107" customFormat="false" ht="15" hidden="false" customHeight="false" outlineLevel="0" collapsed="false">
      <c r="A107" s="54" t="s">
        <v>245</v>
      </c>
      <c r="B107" s="53"/>
      <c r="C107" s="55" t="n">
        <f aca="false">SRC_MOD_027</f>
        <v>129280</v>
      </c>
    </row>
    <row r="108" customFormat="false" ht="15" hidden="false" customHeight="false" outlineLevel="0" collapsed="false">
      <c r="A108" s="54" t="s">
        <v>514</v>
      </c>
      <c r="B108" s="54" t="s">
        <v>228</v>
      </c>
      <c r="C108" s="55" t="n">
        <f aca="false">SRC_MOD_028*SRC_MOD_022</f>
        <v>35136</v>
      </c>
    </row>
    <row r="109" customFormat="false" ht="15" hidden="false" customHeight="false" outlineLevel="0" collapsed="false">
      <c r="A109" s="53" t="s">
        <v>515</v>
      </c>
      <c r="B109" s="54" t="s">
        <v>272</v>
      </c>
      <c r="C109" s="55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53" t="s">
        <v>516</v>
      </c>
      <c r="B110" s="54" t="s">
        <v>249</v>
      </c>
      <c r="C110" s="55" t="n">
        <f aca="false">SRC_PERF_029</f>
        <v>800</v>
      </c>
    </row>
    <row r="111" customFormat="false" ht="15" hidden="false" customHeight="false" outlineLevel="0" collapsed="false">
      <c r="A111" s="53" t="s">
        <v>517</v>
      </c>
      <c r="B111" s="54" t="s">
        <v>249</v>
      </c>
      <c r="C111" s="55" t="n">
        <f aca="false">SRC_PERF_030</f>
        <v>3880</v>
      </c>
    </row>
    <row r="112" customFormat="false" ht="15" hidden="false" customHeight="false" outlineLevel="0" collapsed="false">
      <c r="A112" s="53" t="s">
        <v>267</v>
      </c>
      <c r="B112" s="54" t="s">
        <v>228</v>
      </c>
      <c r="C112" s="65" t="n">
        <f aca="false">(C100-C101)/(C102*(C104-C105))</f>
        <v>0.0419090428344791</v>
      </c>
    </row>
    <row r="113" customFormat="false" ht="15" hidden="false" customHeight="false" outlineLevel="0" collapsed="false">
      <c r="A113" s="53" t="s">
        <v>440</v>
      </c>
      <c r="B113" s="54" t="s">
        <v>228</v>
      </c>
      <c r="C113" s="67" t="n">
        <f aca="false">C101-C102*(C105+C106)*C112</f>
        <v>13.991935483871</v>
      </c>
    </row>
    <row r="114" customFormat="false" ht="15" hidden="false" customHeight="false" outlineLevel="0" collapsed="false">
      <c r="A114" s="53" t="s">
        <v>270</v>
      </c>
      <c r="B114" s="54" t="s">
        <v>228</v>
      </c>
      <c r="C114" s="60" t="n">
        <f aca="false">C100-C113</f>
        <v>657.008064516129</v>
      </c>
    </row>
    <row r="116" customFormat="false" ht="30" hidden="false" customHeight="true" outlineLevel="0" collapsed="false">
      <c r="A116" s="51" t="s">
        <v>518</v>
      </c>
      <c r="C116" s="77" t="s">
        <v>519</v>
      </c>
      <c r="D116" s="77" t="s">
        <v>520</v>
      </c>
      <c r="E116" s="77" t="s">
        <v>521</v>
      </c>
      <c r="F116" s="77" t="s">
        <v>522</v>
      </c>
    </row>
    <row r="117" customFormat="false" ht="15" hidden="false" customHeight="false" outlineLevel="0" collapsed="false">
      <c r="A117" s="53" t="s">
        <v>407</v>
      </c>
      <c r="B117" s="53"/>
      <c r="C117" s="59" t="n">
        <v>3</v>
      </c>
      <c r="D117" s="59" t="n">
        <v>2</v>
      </c>
      <c r="E117" s="59" t="n">
        <v>4</v>
      </c>
      <c r="F117" s="59" t="n">
        <v>3</v>
      </c>
    </row>
    <row r="118" customFormat="false" ht="15" hidden="false" customHeight="false" outlineLevel="0" collapsed="false">
      <c r="A118" s="53" t="s">
        <v>523</v>
      </c>
      <c r="B118" s="54" t="s">
        <v>330</v>
      </c>
      <c r="C118" s="91" t="n">
        <f aca="false">1000/SRC_PERF_031</f>
        <v>66.6666666666667</v>
      </c>
      <c r="D118" s="91" t="n">
        <f aca="false">1000/SRC_PERF_031</f>
        <v>66.6666666666667</v>
      </c>
      <c r="E118" s="91" t="n">
        <f aca="false">1000/SRC_PERF_031</f>
        <v>66.6666666666667</v>
      </c>
      <c r="F118" s="91" t="n">
        <f aca="false">1000/SRC_PERF_032</f>
        <v>12.5</v>
      </c>
    </row>
    <row r="119" customFormat="false" ht="15" hidden="false" customHeight="false" outlineLevel="0" collapsed="false">
      <c r="A119" s="53" t="s">
        <v>524</v>
      </c>
      <c r="B119" s="53"/>
      <c r="C119" s="59" t="n">
        <v>1</v>
      </c>
      <c r="D119" s="59" t="n">
        <v>1</v>
      </c>
      <c r="E119" s="59" t="n">
        <v>1</v>
      </c>
      <c r="F119" s="59" t="n">
        <v>0</v>
      </c>
      <c r="J119" s="80" t="s">
        <v>525</v>
      </c>
    </row>
    <row r="120" customFormat="false" ht="25.35" hidden="false" customHeight="false" outlineLevel="0" collapsed="false">
      <c r="A120" s="54" t="s">
        <v>526</v>
      </c>
      <c r="B120" s="54" t="s">
        <v>527</v>
      </c>
      <c r="C120" s="55" t="n">
        <f aca="false">SRC_PERF_028/SRC_HW_047</f>
        <v>3520.91666666667</v>
      </c>
      <c r="D120" s="55" t="n">
        <f aca="false">SRC_PERF_025/SRC_HW_047</f>
        <v>3337.75</v>
      </c>
      <c r="E120" s="55" t="n">
        <f aca="false">SRC_PERF_027/SRC_HW_047</f>
        <v>9065.97222222222</v>
      </c>
      <c r="F120" s="55" t="n">
        <f aca="false">SRC_PERF_026</f>
        <v>8064</v>
      </c>
      <c r="J120" s="80" t="s">
        <v>528</v>
      </c>
    </row>
    <row r="121" customFormat="false" ht="30" hidden="false" customHeight="true" outlineLevel="0" collapsed="false">
      <c r="A121" s="53" t="s">
        <v>423</v>
      </c>
      <c r="C121" s="80" t="s">
        <v>529</v>
      </c>
      <c r="D121" s="80" t="s">
        <v>529</v>
      </c>
      <c r="E121" s="80" t="s">
        <v>530</v>
      </c>
      <c r="F121" s="80" t="s">
        <v>529</v>
      </c>
    </row>
    <row r="122" customFormat="false" ht="15" hidden="false" customHeight="false" outlineLevel="0" collapsed="false">
      <c r="A122" s="53" t="s">
        <v>136</v>
      </c>
      <c r="C122" s="85" t="str">
        <f aca="false">INDEX(Spec_Rack!$C$4:$G$4,C117)</f>
        <v>GB300 NVL72</v>
      </c>
      <c r="D122" s="85" t="str">
        <f aca="false">INDEX(Spec_Rack!$C$4:$G$4,D117)</f>
        <v>GB200 NVL72</v>
      </c>
      <c r="E122" s="85" t="str">
        <f aca="false">INDEX(Spec_Rack!$C$4:$G$4,E117)</f>
        <v>VR200 NVL72</v>
      </c>
      <c r="F122" s="85" t="str">
        <f aca="false">INDEX(Spec_Rack!$C$4:$G$4,F117)</f>
        <v>GB300 NVL72</v>
      </c>
    </row>
    <row r="123" customFormat="false" ht="15" hidden="false" customHeight="false" outlineLevel="0" collapsed="false">
      <c r="A123" s="53" t="s">
        <v>427</v>
      </c>
      <c r="C123" s="66" t="s">
        <v>531</v>
      </c>
      <c r="D123" s="66" t="s">
        <v>531</v>
      </c>
      <c r="E123" s="66" t="s">
        <v>531</v>
      </c>
      <c r="F123" s="66" t="s">
        <v>531</v>
      </c>
    </row>
    <row r="124" customFormat="false" ht="15" hidden="false" customHeight="false" outlineLevel="0" collapsed="false">
      <c r="A124" s="53" t="s">
        <v>430</v>
      </c>
      <c r="B124" s="54" t="s">
        <v>532</v>
      </c>
      <c r="C124" s="87" t="n">
        <f aca="false">INDEX(Spec_Rack!$C$35:$G$35,C117)</f>
        <v>15</v>
      </c>
      <c r="D124" s="87" t="n">
        <f aca="false">INDEX(Spec_Rack!$C$35:$G$35,D117)</f>
        <v>10</v>
      </c>
      <c r="E124" s="87" t="n">
        <f aca="false">INDEX(Spec_Rack!$C$35:$G$35,E117)</f>
        <v>35</v>
      </c>
      <c r="F124" s="87" t="n">
        <f aca="false">INDEX(Spec_Rack!$C$35:$G$35,F117)</f>
        <v>15</v>
      </c>
    </row>
    <row r="125" customFormat="false" ht="15" hidden="false" customHeight="false" outlineLevel="0" collapsed="false">
      <c r="A125" s="54" t="s">
        <v>533</v>
      </c>
      <c r="B125" s="54" t="s">
        <v>274</v>
      </c>
      <c r="C125" s="55" t="n">
        <f aca="false">INDEX(Spec_Rack!$C$25:$G$25,C117)</f>
        <v>288</v>
      </c>
      <c r="D125" s="55" t="n">
        <f aca="false">INDEX(Spec_Rack!$C$25:$G$25,D117)</f>
        <v>186</v>
      </c>
      <c r="E125" s="55" t="n">
        <f aca="false">INDEX(Spec_Rack!$C$25:$G$25,E117)</f>
        <v>288</v>
      </c>
      <c r="F125" s="55" t="n">
        <f aca="false">INDEX(Spec_Rack!$C$25:$G$25,F117)</f>
        <v>288</v>
      </c>
    </row>
    <row r="126" customFormat="false" ht="15" hidden="false" customHeight="false" outlineLevel="0" collapsed="false">
      <c r="A126" s="54" t="s">
        <v>433</v>
      </c>
      <c r="B126" s="54" t="s">
        <v>434</v>
      </c>
      <c r="C126" s="88" t="n">
        <f aca="false">INDEX(Spec_Rack!$C$26:$G$26,C117)</f>
        <v>8</v>
      </c>
      <c r="D126" s="88" t="n">
        <f aca="false">INDEX(Spec_Rack!$C$26:$G$26,D117)</f>
        <v>8</v>
      </c>
      <c r="E126" s="88" t="n">
        <f aca="false">INDEX(Spec_Rack!$C$26:$G$26,E117)</f>
        <v>22</v>
      </c>
      <c r="F126" s="88" t="n">
        <f aca="false">INDEX(Spec_Rack!$C$26:$G$26,F117)</f>
        <v>8</v>
      </c>
    </row>
    <row r="127" customFormat="false" ht="15" hidden="false" customHeight="false" outlineLevel="0" collapsed="false">
      <c r="A127" s="54" t="s">
        <v>534</v>
      </c>
      <c r="B127" s="54" t="s">
        <v>434</v>
      </c>
      <c r="C127" s="88" t="n">
        <f aca="false">INDEX(Spec_Rack!$C$27:$G$27,C117)</f>
        <v>0.9</v>
      </c>
      <c r="D127" s="88" t="n">
        <f aca="false">INDEX(Spec_Rack!$C$27:$G$27,D117)</f>
        <v>0.9</v>
      </c>
      <c r="E127" s="88" t="n">
        <f aca="false">INDEX(Spec_Rack!$C$27:$G$27,E117)</f>
        <v>1.8</v>
      </c>
      <c r="F127" s="88" t="n">
        <f aca="false">INDEX(Spec_Rack!$C$27:$G$27,F117)</f>
        <v>0.9</v>
      </c>
    </row>
    <row r="128" customFormat="false" ht="15" hidden="false" customHeight="false" outlineLevel="0" collapsed="false">
      <c r="A128" s="54" t="s">
        <v>535</v>
      </c>
      <c r="B128" s="53"/>
      <c r="C128" s="55" t="n">
        <f aca="false">INDEX(Spec_Rack!$C$29:$G$29,C117)</f>
        <v>32</v>
      </c>
      <c r="D128" s="55" t="n">
        <f aca="false">INDEX(Spec_Rack!$C$29:$G$29,D117)</f>
        <v>32</v>
      </c>
      <c r="E128" s="55" t="n">
        <f aca="false">INDEX(Spec_Rack!$C$29:$G$29,E117)</f>
        <v>32</v>
      </c>
      <c r="F128" s="55" t="n">
        <f aca="false">INDEX(Spec_Rack!$C$29:$G$29,F117)</f>
        <v>32</v>
      </c>
    </row>
    <row r="129" customFormat="false" ht="15" hidden="false" customHeight="false" outlineLevel="0" collapsed="false">
      <c r="A129" s="53" t="s">
        <v>536</v>
      </c>
      <c r="B129" s="53"/>
      <c r="C129" s="89" t="n">
        <f aca="false">INDEX(Spec_Rack!$C$30:$G$30,C117)</f>
        <v>0.5625</v>
      </c>
      <c r="D129" s="89" t="n">
        <f aca="false">INDEX(Spec_Rack!$C$30:$G$30,D117)</f>
        <v>0.5625</v>
      </c>
      <c r="E129" s="89" t="n">
        <f aca="false">INDEX(Spec_Rack!$C$30:$G$30,E117)</f>
        <v>0.5625</v>
      </c>
      <c r="F129" s="89" t="n">
        <f aca="false">INDEX(Spec_Rack!$C$30:$G$30,F117)</f>
        <v>0.5625</v>
      </c>
    </row>
    <row r="130" customFormat="false" ht="15" hidden="false" customHeight="false" outlineLevel="0" collapsed="false">
      <c r="A130" s="53" t="s">
        <v>537</v>
      </c>
      <c r="B130" s="53"/>
      <c r="C130" s="90" t="n">
        <f aca="false">INDEX(Spec_Rack!$C$31:$G$31,C117)</f>
        <v>1</v>
      </c>
      <c r="D130" s="90" t="n">
        <f aca="false">INDEX(Spec_Rack!$C$31:$G$31,D117)</f>
        <v>1</v>
      </c>
      <c r="E130" s="90" t="n">
        <f aca="false">INDEX(Spec_Rack!$C$31:$G$31,E117)</f>
        <v>1</v>
      </c>
      <c r="F130" s="90" t="n">
        <f aca="false">INDEX(Spec_Rack!$C$31:$G$31,F117)</f>
        <v>1</v>
      </c>
    </row>
    <row r="131" customFormat="false" ht="15" hidden="false" customHeight="false" outlineLevel="0" collapsed="false">
      <c r="A131" s="53" t="s">
        <v>451</v>
      </c>
      <c r="B131" s="54" t="s">
        <v>274</v>
      </c>
      <c r="C131" s="55" t="n">
        <f aca="false">C125*(1-Serving!$C$9)</f>
        <v>259.2</v>
      </c>
      <c r="D131" s="55" t="n">
        <f aca="false">D125*(1-Serving!$C$9)</f>
        <v>167.4</v>
      </c>
      <c r="E131" s="55" t="n">
        <f aca="false">E125*(1-Serving!$C$9)</f>
        <v>259.2</v>
      </c>
      <c r="F131" s="55" t="n">
        <f aca="false">F125*(1-Serving!$C$9)</f>
        <v>259.2</v>
      </c>
    </row>
    <row r="132" customFormat="false" ht="15" hidden="false" customHeight="false" outlineLevel="0" collapsed="false">
      <c r="A132" s="53" t="s">
        <v>538</v>
      </c>
      <c r="B132" s="53"/>
      <c r="C132" s="82" t="n">
        <f aca="false">MAX(1,CEILING($C$113*C130/(Serving!$C$10*C131),1))</f>
        <v>1</v>
      </c>
      <c r="D132" s="82" t="n">
        <f aca="false">MAX(1,CEILING($C$113*D130/(Serving!$C$10*D131),1))</f>
        <v>1</v>
      </c>
      <c r="E132" s="82" t="n">
        <f aca="false">MAX(1,CEILING($C$113*E130/(Serving!$C$10*E131),1))</f>
        <v>1</v>
      </c>
      <c r="F132" s="82" t="n">
        <f aca="false">MAX(1,CEILING($C$113*F130/(Serving!$C$10*F131),1))</f>
        <v>1</v>
      </c>
    </row>
    <row r="133" customFormat="false" ht="15" hidden="false" customHeight="false" outlineLevel="0" collapsed="false">
      <c r="A133" s="54" t="s">
        <v>453</v>
      </c>
      <c r="B133" s="53"/>
      <c r="C133" s="55" t="n">
        <f aca="false">MAX(C128,CEILING($C$114*C129/(Serving!$C$11*C131),1))</f>
        <v>32</v>
      </c>
      <c r="D133" s="55" t="n">
        <f aca="false">MAX(D128,CEILING($C$114*D129/(Serving!$C$11*D131),1))</f>
        <v>32</v>
      </c>
      <c r="E133" s="55" t="n">
        <f aca="false">MAX(E128,CEILING($C$114*E129/(Serving!$C$11*E131),1))</f>
        <v>32</v>
      </c>
      <c r="F133" s="55" t="n">
        <f aca="false">MAX(F128,CEILING($C$114*F129/(Serving!$C$11*F131),1))</f>
        <v>32</v>
      </c>
    </row>
    <row r="134" customFormat="false" ht="15" hidden="false" customHeight="false" outlineLevel="0" collapsed="false">
      <c r="A134" s="53" t="s">
        <v>454</v>
      </c>
      <c r="B134" s="54" t="s">
        <v>274</v>
      </c>
      <c r="C134" s="67" t="n">
        <f aca="false">$C$113*C130/C132+$C$114*C129/C133</f>
        <v>25.5409053679435</v>
      </c>
      <c r="D134" s="67" t="n">
        <f aca="false">$C$113*D130/D132+$C$114*D129/D133</f>
        <v>25.5409053679435</v>
      </c>
      <c r="E134" s="67" t="n">
        <f aca="false">$C$113*E130/E132+$C$114*E129/E133</f>
        <v>25.5409053679435</v>
      </c>
      <c r="F134" s="67" t="n">
        <f aca="false">$C$113*F130/F132+$C$114*F129/F133</f>
        <v>25.5409053679435</v>
      </c>
    </row>
    <row r="135" customFormat="false" ht="15" hidden="false" customHeight="false" outlineLevel="0" collapsed="false">
      <c r="A135" s="54" t="s">
        <v>337</v>
      </c>
      <c r="B135" s="54" t="s">
        <v>249</v>
      </c>
      <c r="C135" s="60" t="n">
        <f aca="false">$C$110+$C$111/2</f>
        <v>2740</v>
      </c>
      <c r="D135" s="60" t="n">
        <f aca="false">$C$110+$C$111/2</f>
        <v>2740</v>
      </c>
      <c r="E135" s="60" t="n">
        <f aca="false">$C$110+$C$111/2</f>
        <v>2740</v>
      </c>
      <c r="F135" s="60" t="n">
        <f aca="false">$C$110+$C$111/2</f>
        <v>2740</v>
      </c>
    </row>
    <row r="136" customFormat="false" ht="15" hidden="false" customHeight="false" outlineLevel="0" collapsed="false">
      <c r="A136" s="54" t="s">
        <v>447</v>
      </c>
      <c r="B136" s="54" t="s">
        <v>448</v>
      </c>
      <c r="C136" s="67" t="n">
        <f aca="false">(2*$C$101*1000000000+$C$109*C135)/1000000000</f>
        <v>87.6921088</v>
      </c>
      <c r="D136" s="67" t="n">
        <f aca="false">(2*$C$101*1000000000+$C$109*D135)/1000000000</f>
        <v>87.6921088</v>
      </c>
      <c r="E136" s="67" t="n">
        <f aca="false">(2*$C$101*1000000000+$C$109*E135)/1000000000</f>
        <v>87.6921088</v>
      </c>
      <c r="F136" s="67" t="n">
        <f aca="false">(2*$C$101*1000000000+$C$109*F135)/1000000000</f>
        <v>87.6921088</v>
      </c>
    </row>
    <row r="137" customFormat="false" ht="15" hidden="false" customHeight="false" outlineLevel="0" collapsed="false">
      <c r="A137" s="54" t="s">
        <v>450</v>
      </c>
      <c r="B137" s="54" t="s">
        <v>448</v>
      </c>
      <c r="C137" s="67" t="n">
        <f aca="false">(2*$C$101*1000000000+$C$109*$C$110/2)/1000000000</f>
        <v>75.998848</v>
      </c>
      <c r="D137" s="67" t="n">
        <f aca="false">(2*$C$101*1000000000+$C$109*$C$110/2)/1000000000</f>
        <v>75.998848</v>
      </c>
      <c r="E137" s="67" t="n">
        <f aca="false">(2*$C$101*1000000000+$C$109*$C$110/2)/1000000000</f>
        <v>75.998848</v>
      </c>
      <c r="F137" s="67" t="n">
        <f aca="false">(2*$C$101*1000000000+$C$109*$C$110/2)/1000000000</f>
        <v>75.998848</v>
      </c>
    </row>
    <row r="138" customFormat="false" ht="15" hidden="false" customHeight="false" outlineLevel="0" collapsed="false">
      <c r="A138" s="53" t="s">
        <v>539</v>
      </c>
      <c r="B138" s="53"/>
      <c r="C138" s="82" t="n">
        <f aca="false">Serving!$C$6*C119</f>
        <v>3</v>
      </c>
      <c r="D138" s="82" t="n">
        <f aca="false">Serving!$C$6*D119</f>
        <v>3</v>
      </c>
      <c r="E138" s="82" t="n">
        <f aca="false">Serving!$C$6*E119</f>
        <v>3</v>
      </c>
      <c r="F138" s="82" t="n">
        <f aca="false">Serving!$C$6*F119</f>
        <v>0</v>
      </c>
    </row>
    <row r="139" customFormat="false" ht="15" hidden="false" customHeight="false" outlineLevel="0" collapsed="false">
      <c r="A139" s="53" t="s">
        <v>540</v>
      </c>
      <c r="B139" s="53"/>
      <c r="C139" s="90" t="n">
        <f aca="false">IF(C119=1,Serving!$C$8,1)</f>
        <v>2.533</v>
      </c>
      <c r="D139" s="90" t="n">
        <f aca="false">IF(D119=1,Serving!$C$8,1)</f>
        <v>2.533</v>
      </c>
      <c r="E139" s="90" t="n">
        <f aca="false">IF(E119=1,Serving!$C$8,1)</f>
        <v>2.533</v>
      </c>
      <c r="F139" s="90" t="n">
        <f aca="false">IF(F119=1,Serving!$C$8,1)</f>
        <v>1</v>
      </c>
    </row>
    <row r="140" customFormat="false" ht="15" hidden="false" customHeight="false" outlineLevel="0" collapsed="false">
      <c r="A140" s="54" t="s">
        <v>483</v>
      </c>
      <c r="B140" s="54" t="s">
        <v>71</v>
      </c>
      <c r="C140" s="95" t="n">
        <f aca="false">INDEX($C$70:$G$70,C117)</f>
        <v>0.0357550334998836</v>
      </c>
      <c r="D140" s="95" t="n">
        <f aca="false">INDEX($C$70:$G$70,D117)</f>
        <v>0.0357550334998836</v>
      </c>
      <c r="E140" s="95" t="n">
        <f aca="false">INDEX($C$70:$G$70,E117)</f>
        <v>0.0357550334998836</v>
      </c>
      <c r="F140" s="95" t="n">
        <f aca="false">INDEX($C$70:$G$70,F117)</f>
        <v>0.0357550334998836</v>
      </c>
    </row>
    <row r="141" customFormat="false" ht="15" hidden="false" customHeight="false" outlineLevel="0" collapsed="false">
      <c r="A141" s="53" t="s">
        <v>484</v>
      </c>
      <c r="B141" s="54" t="s">
        <v>469</v>
      </c>
      <c r="C141" s="60" t="n">
        <f aca="false">INDEX($C$71:$G$71,C117)</f>
        <v>161.185338133698</v>
      </c>
      <c r="D141" s="60" t="n">
        <f aca="false">INDEX($C$71:$G$71,D117)</f>
        <v>161.185338133698</v>
      </c>
      <c r="E141" s="60" t="n">
        <f aca="false">INDEX($C$71:$G$71,E117)</f>
        <v>161.185338133698</v>
      </c>
      <c r="F141" s="60" t="n">
        <f aca="false">INDEX($C$71:$G$71,F117)</f>
        <v>161.185338133698</v>
      </c>
    </row>
    <row r="142" customFormat="false" ht="15" hidden="false" customHeight="false" outlineLevel="0" collapsed="false">
      <c r="A142" s="54" t="s">
        <v>485</v>
      </c>
      <c r="B142" s="54" t="s">
        <v>71</v>
      </c>
      <c r="C142" s="96" t="n">
        <f aca="false">INDEX($C$72:$G$72,C117)</f>
        <v>0.3</v>
      </c>
      <c r="D142" s="96" t="n">
        <f aca="false">INDEX($C$72:$G$72,D117)</f>
        <v>0.3</v>
      </c>
      <c r="E142" s="96" t="n">
        <f aca="false">INDEX($C$72:$G$72,E117)</f>
        <v>0.3</v>
      </c>
      <c r="F142" s="96" t="n">
        <f aca="false">INDEX($C$72:$G$72,F117)</f>
        <v>0.3</v>
      </c>
    </row>
    <row r="143" customFormat="false" ht="15" hidden="false" customHeight="false" outlineLevel="0" collapsed="false">
      <c r="A143" s="54" t="s">
        <v>486</v>
      </c>
      <c r="B143" s="54" t="s">
        <v>330</v>
      </c>
      <c r="C143" s="60" t="n">
        <f aca="false">C142*C124*1000000000000000/(C137*1000000000)</f>
        <v>59211.4238363192</v>
      </c>
      <c r="D143" s="60" t="n">
        <f aca="false">D142*D124*1000000000000000/(D137*1000000000)</f>
        <v>39474.2825575461</v>
      </c>
      <c r="E143" s="60" t="n">
        <f aca="false">E142*E124*1000000000000000/(E137*1000000000)</f>
        <v>138159.988951411</v>
      </c>
      <c r="F143" s="60" t="n">
        <f aca="false">F142*F124*1000000000000000/(F137*1000000000)</f>
        <v>59211.4238363192</v>
      </c>
    </row>
    <row r="144" customFormat="false" ht="15" hidden="false" customHeight="false" outlineLevel="0" collapsed="false">
      <c r="A144" s="53" t="s">
        <v>487</v>
      </c>
      <c r="B144" s="54" t="s">
        <v>459</v>
      </c>
      <c r="C144" s="64" t="n">
        <f aca="false">C134/C126+($C$102+C138)*C141/1000</f>
        <v>13.5084748115496</v>
      </c>
      <c r="D144" s="64" t="n">
        <f aca="false">D134/D126+($C$102+D138)*D141/1000</f>
        <v>13.5084748115496</v>
      </c>
      <c r="E144" s="64" t="n">
        <f aca="false">E134/E126+($C$102+E138)*E141/1000</f>
        <v>11.4768118845541</v>
      </c>
      <c r="F144" s="64" t="n">
        <f aca="false">F134/F126+($C$102+F138)*F141/1000</f>
        <v>13.0249187971485</v>
      </c>
    </row>
    <row r="145" customFormat="false" ht="15" hidden="false" customHeight="false" outlineLevel="0" collapsed="false">
      <c r="A145" s="53" t="s">
        <v>488</v>
      </c>
      <c r="B145" s="54" t="s">
        <v>459</v>
      </c>
      <c r="C145" s="89" t="n">
        <f aca="false">MAX((C138+1)*C136/(C124*C140)/1000,$C$108*C135/(C126*Serving!$C$13)/1000000000,(C138+1)*$C$102*$C$105*$C$103*Serving!$C$12*(C133-1)/C133/(C127*Serving!$C$14)/1000000000)</f>
        <v>0.65402154767224</v>
      </c>
      <c r="D145" s="89" t="n">
        <f aca="false">MAX((D138+1)*D136/(D124*D140)/1000,$C$108*D135/(D126*Serving!$C$13)/1000000000,(D138+1)*$C$102*$C$105*$C$103*Serving!$C$12*(D133-1)/D133/(D127*Serving!$C$14)/1000000000)</f>
        <v>0.98103232150836</v>
      </c>
      <c r="E145" s="89" t="n">
        <f aca="false">MAX((E138+1)*E136/(E124*E140)/1000,$C$108*E135/(E126*Serving!$C$13)/1000000000,(E138+1)*$C$102*$C$105*$C$103*Serving!$C$12*(E133-1)/E133/(E127*Serving!$C$14)/1000000000)</f>
        <v>0.280294949002389</v>
      </c>
      <c r="F145" s="89" t="n">
        <f aca="false">MAX((F138+1)*F136/(F124*F140)/1000,$C$108*F135/(F126*Serving!$C$13)/1000000000,(F138+1)*$C$102*$C$105*$C$103*Serving!$C$12*(F133-1)/F133/(F127*Serving!$C$14)/1000000000)</f>
        <v>0.16350538691806</v>
      </c>
    </row>
    <row r="146" customFormat="false" ht="15" hidden="false" customHeight="false" outlineLevel="0" collapsed="false">
      <c r="A146" s="54" t="s">
        <v>492</v>
      </c>
      <c r="B146" s="53" t="s">
        <v>490</v>
      </c>
      <c r="C146" s="67" t="n">
        <f aca="false">MAX(0,MIN((1000*C139/C118-C144)/C145,(C131-C134)*1000000000/($C$108*C135)))</f>
        <v>37.4399364602001</v>
      </c>
      <c r="D146" s="67" t="n">
        <f aca="false">MAX(0,MIN((1000*D139/D118-D144)/D145,(D131-D134)*1000000000/($C$108*D135)))</f>
        <v>24.9599576401334</v>
      </c>
      <c r="E146" s="67" t="n">
        <f aca="false">MAX(0,MIN((1000*E139/E118-E144)/E145,(E131-E134)*1000000000/($C$108*E135)))</f>
        <v>94.6081554798903</v>
      </c>
      <c r="F146" s="67" t="n">
        <f aca="false">MAX(0,MIN((1000*F139/F118-F144)/F145,(F131-F134)*1000000000/($C$108*F135)))</f>
        <v>409.620028216048</v>
      </c>
    </row>
    <row r="147" customFormat="false" ht="15" hidden="false" customHeight="false" outlineLevel="0" collapsed="false">
      <c r="A147" s="54" t="s">
        <v>493</v>
      </c>
      <c r="B147" s="54" t="s">
        <v>330</v>
      </c>
      <c r="C147" s="60" t="n">
        <f aca="false">IF(C146&gt;0,C146*C139/((C144+C146*C145)/1000),0)</f>
        <v>2495.99576401334</v>
      </c>
      <c r="D147" s="60" t="n">
        <f aca="false">IF(D146&gt;0,D146*D139/((D144+D146*D145)/1000),0)</f>
        <v>1663.99717600889</v>
      </c>
      <c r="E147" s="60" t="n">
        <f aca="false">IF(E146&gt;0,E146*E139/((E144+E146*E145)/1000),0)</f>
        <v>6307.21036532602</v>
      </c>
      <c r="F147" s="60" t="n">
        <f aca="false">IF(F146&gt;0,F146*F139/((F144+F146*F145)/1000),0)</f>
        <v>5120.2503527006</v>
      </c>
    </row>
    <row r="148" customFormat="false" ht="15" hidden="false" customHeight="false" outlineLevel="0" collapsed="false">
      <c r="A148" s="53" t="s">
        <v>541</v>
      </c>
      <c r="B148" s="54" t="s">
        <v>330</v>
      </c>
      <c r="C148" s="60" t="n">
        <f aca="false">IF(C147&gt;0,$C$111/($C$110/C143+$C$111/C147),0)</f>
        <v>2474.48865345806</v>
      </c>
      <c r="D148" s="60" t="n">
        <f aca="false">IF(D147&gt;0,$C$111/($C$110/D143+$C$111/D147),0)</f>
        <v>1649.65910230537</v>
      </c>
      <c r="E148" s="60" t="n">
        <f aca="false">IF(E147&gt;0,$C$111/($C$110/E143+$C$111/E147),0)</f>
        <v>6248.39621214415</v>
      </c>
      <c r="F148" s="60" t="n">
        <f aca="false">IF(F147&gt;0,$C$111/($C$110/F143+$C$111/F147),0)</f>
        <v>5030.5570468308</v>
      </c>
    </row>
    <row r="149" customFormat="false" ht="15" hidden="false" customHeight="false" outlineLevel="0" collapsed="false">
      <c r="A149" s="53" t="s">
        <v>542</v>
      </c>
      <c r="B149" s="54" t="s">
        <v>75</v>
      </c>
      <c r="C149" s="97" t="n">
        <f aca="false">C148/C120</f>
        <v>0.702796711119185</v>
      </c>
      <c r="D149" s="97" t="n">
        <f aca="false">D148/D120</f>
        <v>0.494242858903564</v>
      </c>
      <c r="E149" s="97" t="n">
        <f aca="false">E148/E120</f>
        <v>0.689214136000581</v>
      </c>
      <c r="F149" s="97" t="n">
        <f aca="false">F148/F120</f>
        <v>0.623828998862946</v>
      </c>
    </row>
    <row r="150" customFormat="false" ht="25.35" hidden="false" customHeight="false" outlineLevel="0" collapsed="false">
      <c r="A150" s="54" t="s">
        <v>543</v>
      </c>
      <c r="C150" s="97" t="n">
        <f aca="false">E148/C148</f>
        <v>2.5251262330147</v>
      </c>
      <c r="J150" s="80" t="s">
        <v>544</v>
      </c>
    </row>
    <row r="151" customFormat="false" ht="15" hidden="false" customHeight="false" outlineLevel="0" collapsed="false">
      <c r="A151" s="54" t="s">
        <v>545</v>
      </c>
      <c r="C151" s="97" t="n">
        <f aca="false">E120/C120</f>
        <v>2.5748897461993</v>
      </c>
    </row>
    <row r="152" customFormat="false" ht="25.35" hidden="false" customHeight="false" outlineLevel="0" collapsed="false">
      <c r="A152" s="54" t="s">
        <v>546</v>
      </c>
      <c r="C152" s="69" t="n">
        <f aca="false">C148/D148</f>
        <v>1.5</v>
      </c>
      <c r="D152" s="69" t="n">
        <f aca="false">C120/D120</f>
        <v>1.05487728759394</v>
      </c>
      <c r="J152" s="86" t="s">
        <v>547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17.15" hidden="false" customHeight="false" outlineLevel="0" collapsed="false">
      <c r="A1" s="49" t="s">
        <v>548</v>
      </c>
    </row>
    <row r="2" customFormat="false" ht="15" hidden="false" customHeight="false" outlineLevel="0" collapsed="false">
      <c r="A2" s="66" t="s">
        <v>549</v>
      </c>
    </row>
    <row r="4" customFormat="false" ht="30" hidden="false" customHeight="true" outlineLevel="0" collapsed="false">
      <c r="A4" s="77" t="s">
        <v>550</v>
      </c>
      <c r="B4" s="76" t="s">
        <v>551</v>
      </c>
      <c r="C4" s="76" t="s">
        <v>552</v>
      </c>
      <c r="D4" s="76" t="s">
        <v>553</v>
      </c>
      <c r="E4" s="76" t="s">
        <v>554</v>
      </c>
      <c r="F4" s="76" t="s">
        <v>555</v>
      </c>
      <c r="G4" s="76" t="s">
        <v>556</v>
      </c>
      <c r="H4" s="76" t="s">
        <v>557</v>
      </c>
      <c r="I4" s="76" t="s">
        <v>558</v>
      </c>
      <c r="J4" s="76" t="s">
        <v>559</v>
      </c>
      <c r="K4" s="76" t="s">
        <v>560</v>
      </c>
      <c r="L4" s="77" t="s">
        <v>561</v>
      </c>
      <c r="M4" s="76" t="s">
        <v>562</v>
      </c>
      <c r="N4" s="76" t="s">
        <v>563</v>
      </c>
      <c r="O4" s="76" t="s">
        <v>564</v>
      </c>
      <c r="P4" s="76" t="s">
        <v>565</v>
      </c>
      <c r="Q4" s="76" t="s">
        <v>566</v>
      </c>
      <c r="R4" s="76" t="s">
        <v>60</v>
      </c>
      <c r="S4" s="76" t="s">
        <v>567</v>
      </c>
      <c r="T4" s="76" t="s">
        <v>568</v>
      </c>
    </row>
    <row r="5" customFormat="false" ht="42" hidden="false" customHeight="true" outlineLevel="0" collapsed="false">
      <c r="A5" s="54" t="s">
        <v>569</v>
      </c>
      <c r="B5" s="6" t="s">
        <v>570</v>
      </c>
      <c r="C5" s="54" t="s">
        <v>571</v>
      </c>
      <c r="D5" s="54" t="s">
        <v>572</v>
      </c>
      <c r="E5" s="71" t="n">
        <v>1</v>
      </c>
      <c r="F5" s="71" t="n">
        <v>1</v>
      </c>
      <c r="G5" s="71" t="n">
        <v>1</v>
      </c>
      <c r="H5" s="59" t="n">
        <v>2</v>
      </c>
      <c r="I5" s="98" t="s">
        <v>573</v>
      </c>
      <c r="J5" s="59" t="n">
        <v>3</v>
      </c>
      <c r="K5" s="53" t="str">
        <f aca="false">IF(J5&gt;=CST_MainMin,"主流","非主流")</f>
        <v>主流</v>
      </c>
      <c r="L5" s="98"/>
      <c r="M5" s="98" t="s">
        <v>574</v>
      </c>
      <c r="N5" s="58" t="n">
        <v>1</v>
      </c>
      <c r="O5" s="59" t="n">
        <v>1</v>
      </c>
      <c r="P5" s="97" t="n">
        <f aca="false">IF(M5="是",1,1+O5*N5*(CHOOSE(H5,E5,F5,G5)-1))</f>
        <v>1</v>
      </c>
      <c r="Q5" s="50" t="s">
        <v>107</v>
      </c>
      <c r="R5" s="80" t="s">
        <v>575</v>
      </c>
      <c r="S5" s="80" t="s">
        <v>571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54" t="s">
        <v>576</v>
      </c>
      <c r="B6" s="5" t="s">
        <v>577</v>
      </c>
      <c r="C6" s="54" t="s">
        <v>571</v>
      </c>
      <c r="D6" s="54" t="s">
        <v>578</v>
      </c>
      <c r="E6" s="71" t="n">
        <v>1</v>
      </c>
      <c r="F6" s="71" t="n">
        <v>1</v>
      </c>
      <c r="G6" s="71" t="n">
        <v>1</v>
      </c>
      <c r="H6" s="59" t="n">
        <v>2</v>
      </c>
      <c r="I6" s="98" t="s">
        <v>573</v>
      </c>
      <c r="J6" s="59" t="n">
        <v>3</v>
      </c>
      <c r="K6" s="53" t="str">
        <f aca="false">IF(J6&gt;=CST_MainMin,"主流","非主流")</f>
        <v>主流</v>
      </c>
      <c r="L6" s="98"/>
      <c r="M6" s="98" t="s">
        <v>574</v>
      </c>
      <c r="N6" s="58" t="n">
        <v>1</v>
      </c>
      <c r="O6" s="59" t="n">
        <v>1</v>
      </c>
      <c r="P6" s="97" t="n">
        <f aca="false">IF(M6="是",1,1+O6*N6*(CHOOSE(H6,E6,F6,G6)-1))</f>
        <v>1</v>
      </c>
      <c r="Q6" s="50" t="s">
        <v>107</v>
      </c>
      <c r="R6" s="80" t="s">
        <v>579</v>
      </c>
      <c r="S6" s="80" t="s">
        <v>571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54" t="s">
        <v>580</v>
      </c>
      <c r="B7" s="6" t="s">
        <v>581</v>
      </c>
      <c r="C7" s="54" t="s">
        <v>571</v>
      </c>
      <c r="D7" s="54" t="s">
        <v>582</v>
      </c>
      <c r="E7" s="71" t="n">
        <v>1</v>
      </c>
      <c r="F7" s="71" t="n">
        <v>1</v>
      </c>
      <c r="G7" s="71" t="n">
        <v>1</v>
      </c>
      <c r="H7" s="59" t="n">
        <v>2</v>
      </c>
      <c r="I7" s="98" t="s">
        <v>573</v>
      </c>
      <c r="J7" s="59" t="n">
        <v>2</v>
      </c>
      <c r="K7" s="53" t="str">
        <f aca="false">IF(J7&gt;=CST_MainMin,"主流","非主流")</f>
        <v>主流</v>
      </c>
      <c r="L7" s="98"/>
      <c r="M7" s="98" t="s">
        <v>574</v>
      </c>
      <c r="N7" s="58" t="n">
        <v>1</v>
      </c>
      <c r="O7" s="59" t="n">
        <v>1</v>
      </c>
      <c r="P7" s="97" t="n">
        <f aca="false">IF(M7="是",1,1+O7*N7*(CHOOSE(H7,E7,F7,G7)-1))</f>
        <v>1</v>
      </c>
      <c r="Q7" s="50" t="s">
        <v>107</v>
      </c>
      <c r="R7" s="80" t="s">
        <v>583</v>
      </c>
      <c r="S7" s="80" t="s">
        <v>571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54" t="s">
        <v>584</v>
      </c>
      <c r="B8" s="6" t="s">
        <v>585</v>
      </c>
      <c r="C8" s="54" t="s">
        <v>571</v>
      </c>
      <c r="D8" s="54" t="s">
        <v>582</v>
      </c>
      <c r="E8" s="71" t="n">
        <v>1</v>
      </c>
      <c r="F8" s="71" t="n">
        <v>1</v>
      </c>
      <c r="G8" s="71" t="n">
        <v>1</v>
      </c>
      <c r="H8" s="59" t="n">
        <v>2</v>
      </c>
      <c r="I8" s="98" t="s">
        <v>573</v>
      </c>
      <c r="J8" s="59" t="n">
        <v>2</v>
      </c>
      <c r="K8" s="53" t="str">
        <f aca="false">IF(J8&gt;=CST_MainMin,"主流","非主流")</f>
        <v>主流</v>
      </c>
      <c r="L8" s="98"/>
      <c r="M8" s="98" t="s">
        <v>574</v>
      </c>
      <c r="N8" s="58" t="n">
        <v>1</v>
      </c>
      <c r="O8" s="59" t="n">
        <v>1</v>
      </c>
      <c r="P8" s="97" t="n">
        <f aca="false">IF(M8="是",1,1+O8*N8*(CHOOSE(H8,E8,F8,G8)-1))</f>
        <v>1</v>
      </c>
      <c r="Q8" s="50" t="s">
        <v>177</v>
      </c>
      <c r="R8" s="80" t="s">
        <v>586</v>
      </c>
      <c r="S8" s="80" t="s">
        <v>571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54" t="s">
        <v>587</v>
      </c>
      <c r="B9" s="6" t="s">
        <v>588</v>
      </c>
      <c r="C9" s="54" t="s">
        <v>571</v>
      </c>
      <c r="D9" s="54" t="s">
        <v>589</v>
      </c>
      <c r="E9" s="71" t="n">
        <v>1</v>
      </c>
      <c r="F9" s="71" t="n">
        <v>1</v>
      </c>
      <c r="G9" s="71" t="n">
        <v>1</v>
      </c>
      <c r="H9" s="59" t="n">
        <v>2</v>
      </c>
      <c r="I9" s="98" t="s">
        <v>573</v>
      </c>
      <c r="J9" s="59" t="n">
        <v>2</v>
      </c>
      <c r="K9" s="53" t="str">
        <f aca="false">IF(J9&gt;=CST_MainMin,"主流","非主流")</f>
        <v>主流</v>
      </c>
      <c r="L9" s="98"/>
      <c r="M9" s="98" t="s">
        <v>574</v>
      </c>
      <c r="N9" s="58" t="n">
        <v>1</v>
      </c>
      <c r="O9" s="59" t="n">
        <v>1</v>
      </c>
      <c r="P9" s="97" t="n">
        <f aca="false">IF(M9="是",1,1+O9*N9*(CHOOSE(H9,E9,F9,G9)-1))</f>
        <v>1</v>
      </c>
      <c r="Q9" s="50" t="s">
        <v>177</v>
      </c>
      <c r="R9" s="80" t="s">
        <v>590</v>
      </c>
      <c r="S9" s="80" t="s">
        <v>571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54" t="s">
        <v>591</v>
      </c>
      <c r="B10" s="6" t="s">
        <v>592</v>
      </c>
      <c r="C10" s="54" t="s">
        <v>593</v>
      </c>
      <c r="D10" s="53" t="s">
        <v>594</v>
      </c>
      <c r="E10" s="71" t="n">
        <v>0.7</v>
      </c>
      <c r="F10" s="71" t="n">
        <v>0.85</v>
      </c>
      <c r="G10" s="71" t="n">
        <v>1</v>
      </c>
      <c r="H10" s="59" t="n">
        <v>2</v>
      </c>
      <c r="I10" s="98" t="s">
        <v>595</v>
      </c>
      <c r="J10" s="59" t="n">
        <v>2</v>
      </c>
      <c r="K10" s="53" t="str">
        <f aca="false">IF(J10&gt;=CST_MainMin,"主流","非主流")</f>
        <v>主流</v>
      </c>
      <c r="L10" s="98"/>
      <c r="M10" s="98" t="s">
        <v>574</v>
      </c>
      <c r="N10" s="58" t="n">
        <v>1</v>
      </c>
      <c r="O10" s="59" t="n">
        <v>0</v>
      </c>
      <c r="P10" s="97" t="n">
        <f aca="false">IF(M10="是",1,1+O10*N10*(CHOOSE(H10,E10,F10,G10)-1))</f>
        <v>1</v>
      </c>
      <c r="Q10" s="50" t="s">
        <v>177</v>
      </c>
      <c r="R10" s="80" t="s">
        <v>596</v>
      </c>
      <c r="S10" s="86" t="s">
        <v>597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54" t="s">
        <v>598</v>
      </c>
      <c r="B11" s="6" t="s">
        <v>599</v>
      </c>
      <c r="C11" s="54" t="s">
        <v>600</v>
      </c>
      <c r="D11" s="53" t="s">
        <v>601</v>
      </c>
      <c r="E11" s="71" t="n">
        <v>1.5</v>
      </c>
      <c r="F11" s="71" t="n">
        <v>2</v>
      </c>
      <c r="G11" s="71" t="n">
        <v>3</v>
      </c>
      <c r="H11" s="59" t="n">
        <v>2</v>
      </c>
      <c r="I11" s="98" t="s">
        <v>595</v>
      </c>
      <c r="J11" s="59" t="n">
        <v>1</v>
      </c>
      <c r="K11" s="53" t="str">
        <f aca="false">IF(J11&gt;=CST_MainMin,"主流","非主流")</f>
        <v>非主流</v>
      </c>
      <c r="L11" s="98"/>
      <c r="M11" s="98" t="s">
        <v>602</v>
      </c>
      <c r="N11" s="58" t="n">
        <v>1</v>
      </c>
      <c r="O11" s="59" t="n">
        <v>0</v>
      </c>
      <c r="P11" s="97" t="n">
        <f aca="false">IF(M11="是",1,1+O11*N11*(CHOOSE(H11,E11,F11,G11)-1))</f>
        <v>1</v>
      </c>
      <c r="Q11" s="50" t="s">
        <v>177</v>
      </c>
      <c r="R11" s="86" t="s">
        <v>603</v>
      </c>
      <c r="S11" s="86" t="s">
        <v>604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54" t="s">
        <v>605</v>
      </c>
      <c r="B12" s="6" t="s">
        <v>606</v>
      </c>
      <c r="C12" s="54" t="s">
        <v>607</v>
      </c>
      <c r="D12" s="53" t="s">
        <v>608</v>
      </c>
      <c r="E12" s="71" t="n">
        <v>1.5</v>
      </c>
      <c r="F12" s="71" t="n">
        <v>2</v>
      </c>
      <c r="G12" s="71" t="n">
        <v>4</v>
      </c>
      <c r="H12" s="59" t="n">
        <v>2</v>
      </c>
      <c r="I12" s="98" t="s">
        <v>609</v>
      </c>
      <c r="J12" s="59" t="n">
        <v>0</v>
      </c>
      <c r="K12" s="53" t="str">
        <f aca="false">IF(J12&gt;=CST_MainMin,"主流","非主流")</f>
        <v>非主流</v>
      </c>
      <c r="L12" s="98"/>
      <c r="M12" s="98" t="s">
        <v>602</v>
      </c>
      <c r="N12" s="58" t="n">
        <v>1</v>
      </c>
      <c r="O12" s="59" t="n">
        <v>0</v>
      </c>
      <c r="P12" s="97" t="n">
        <f aca="false">IF(M12="是",1,1+O12*N12*(CHOOSE(H12,E12,F12,G12)-1))</f>
        <v>1</v>
      </c>
      <c r="Q12" s="50" t="s">
        <v>72</v>
      </c>
      <c r="R12" s="86" t="s">
        <v>610</v>
      </c>
      <c r="S12" s="86" t="s">
        <v>611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54" t="s">
        <v>612</v>
      </c>
      <c r="B13" s="6" t="s">
        <v>613</v>
      </c>
      <c r="C13" s="54" t="s">
        <v>614</v>
      </c>
      <c r="D13" s="53" t="s">
        <v>615</v>
      </c>
      <c r="E13" s="71" t="n">
        <v>1.5</v>
      </c>
      <c r="F13" s="71" t="n">
        <v>2</v>
      </c>
      <c r="G13" s="71" t="n">
        <v>4</v>
      </c>
      <c r="H13" s="59" t="n">
        <v>2</v>
      </c>
      <c r="I13" s="98" t="s">
        <v>609</v>
      </c>
      <c r="J13" s="59" t="n">
        <v>0</v>
      </c>
      <c r="K13" s="53" t="str">
        <f aca="false">IF(J13&gt;=CST_MainMin,"主流","非主流")</f>
        <v>非主流</v>
      </c>
      <c r="L13" s="98"/>
      <c r="M13" s="98" t="s">
        <v>602</v>
      </c>
      <c r="N13" s="58" t="n">
        <v>1</v>
      </c>
      <c r="O13" s="59" t="n">
        <v>0</v>
      </c>
      <c r="P13" s="97" t="n">
        <f aca="false">IF(M13="是",1,1+O13*N13*(CHOOSE(H13,E13,F13,G13)-1))</f>
        <v>1</v>
      </c>
      <c r="Q13" s="50" t="s">
        <v>72</v>
      </c>
      <c r="R13" s="86" t="s">
        <v>616</v>
      </c>
      <c r="S13" s="86" t="s">
        <v>617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54" t="s">
        <v>618</v>
      </c>
      <c r="B14" s="5" t="s">
        <v>619</v>
      </c>
      <c r="C14" s="54" t="s">
        <v>620</v>
      </c>
      <c r="D14" s="54" t="s">
        <v>621</v>
      </c>
      <c r="E14" s="71" t="n">
        <v>1.2</v>
      </c>
      <c r="F14" s="71" t="n">
        <v>1.4</v>
      </c>
      <c r="G14" s="71" t="n">
        <v>1.6</v>
      </c>
      <c r="H14" s="59" t="n">
        <v>2</v>
      </c>
      <c r="I14" s="98" t="s">
        <v>573</v>
      </c>
      <c r="J14" s="82" t="n">
        <f aca="false">SRC_MOD_043+SRC_MOD_044+SRC_MOD_045+SRC_MOD_047</f>
        <v>4</v>
      </c>
      <c r="K14" s="53" t="str">
        <f aca="false">IF(J14&gt;=CST_MainMin,"主流","非主流")</f>
        <v>主流</v>
      </c>
      <c r="L14" s="98"/>
      <c r="M14" s="98" t="s">
        <v>574</v>
      </c>
      <c r="N14" s="58" t="n">
        <v>1</v>
      </c>
      <c r="O14" s="59" t="n">
        <v>0</v>
      </c>
      <c r="P14" s="97" t="n">
        <f aca="false">IF(M14="是",1,1+O14*N14*(CHOOSE(H14,E14,F14,G14)-1))</f>
        <v>1</v>
      </c>
      <c r="Q14" s="50" t="s">
        <v>177</v>
      </c>
      <c r="R14" s="86" t="s">
        <v>622</v>
      </c>
      <c r="S14" s="86" t="s">
        <v>623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54" t="s">
        <v>624</v>
      </c>
      <c r="B15" s="6" t="s">
        <v>625</v>
      </c>
      <c r="C15" s="54" t="s">
        <v>626</v>
      </c>
      <c r="D15" s="54" t="s">
        <v>441</v>
      </c>
      <c r="E15" s="71" t="n">
        <v>0.5</v>
      </c>
      <c r="F15" s="71" t="n">
        <v>0.5</v>
      </c>
      <c r="G15" s="71" t="n">
        <v>0.75</v>
      </c>
      <c r="H15" s="59" t="n">
        <v>2</v>
      </c>
      <c r="I15" s="98" t="s">
        <v>595</v>
      </c>
      <c r="J15" s="59" t="n">
        <v>1</v>
      </c>
      <c r="K15" s="53" t="str">
        <f aca="false">IF(J15&gt;=CST_MainMin,"主流","非主流")</f>
        <v>非主流</v>
      </c>
      <c r="L15" s="98"/>
      <c r="M15" s="98" t="s">
        <v>602</v>
      </c>
      <c r="N15" s="58" t="n">
        <v>1</v>
      </c>
      <c r="O15" s="59" t="n">
        <v>0</v>
      </c>
      <c r="P15" s="97" t="n">
        <f aca="false">IF(M15="是",1,1+O15*N15*(CHOOSE(H15,E15,F15,G15)-1))</f>
        <v>1</v>
      </c>
      <c r="Q15" s="50" t="s">
        <v>72</v>
      </c>
      <c r="R15" s="80" t="s">
        <v>627</v>
      </c>
      <c r="S15" s="86" t="s">
        <v>628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54" t="s">
        <v>629</v>
      </c>
      <c r="B16" s="6" t="s">
        <v>630</v>
      </c>
      <c r="C16" s="54" t="s">
        <v>631</v>
      </c>
      <c r="D16" s="54" t="s">
        <v>632</v>
      </c>
      <c r="E16" s="71" t="n">
        <v>1</v>
      </c>
      <c r="F16" s="71" t="n">
        <v>1</v>
      </c>
      <c r="G16" s="71" t="n">
        <v>1</v>
      </c>
      <c r="H16" s="59" t="n">
        <v>2</v>
      </c>
      <c r="I16" s="98" t="s">
        <v>633</v>
      </c>
      <c r="J16" s="59" t="n">
        <v>0</v>
      </c>
      <c r="K16" s="53" t="str">
        <f aca="false">IF(J16&gt;=CST_MainMin,"主流","非主流")</f>
        <v>非主流</v>
      </c>
      <c r="L16" s="98"/>
      <c r="M16" s="98" t="s">
        <v>602</v>
      </c>
      <c r="N16" s="58" t="n">
        <v>1</v>
      </c>
      <c r="O16" s="59" t="n">
        <v>0</v>
      </c>
      <c r="P16" s="97" t="n">
        <f aca="false">IF(M16="是",1,1+O16*N16*(CHOOSE(H16,E16,F16,G16)-1))</f>
        <v>1</v>
      </c>
      <c r="Q16" s="50" t="s">
        <v>72</v>
      </c>
      <c r="R16" s="80" t="s">
        <v>634</v>
      </c>
      <c r="S16" s="86" t="s">
        <v>635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6.85" hidden="false" customHeight="false" outlineLevel="0" collapsed="false">
      <c r="A17" s="53" t="s">
        <v>636</v>
      </c>
      <c r="B17" s="5" t="s">
        <v>637</v>
      </c>
      <c r="J17" s="59" t="n">
        <v>2</v>
      </c>
      <c r="Q17" s="50" t="s">
        <v>64</v>
      </c>
      <c r="R17" s="80" t="s">
        <v>638</v>
      </c>
    </row>
    <row r="18" customFormat="false" ht="15" hidden="false" customHeight="false" outlineLevel="0" collapsed="false">
      <c r="A18" s="61" t="s">
        <v>639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</row>
    <row r="19" customFormat="false" ht="15" hidden="false" customHeight="false" outlineLevel="0" collapsed="false">
      <c r="A19" s="51" t="s">
        <v>640</v>
      </c>
      <c r="B19" s="51" t="s">
        <v>641</v>
      </c>
      <c r="C19" s="51"/>
      <c r="D19" s="51" t="s">
        <v>642</v>
      </c>
      <c r="E19" s="51" t="s">
        <v>643</v>
      </c>
    </row>
    <row r="20" customFormat="false" ht="15" hidden="false" customHeight="false" outlineLevel="0" collapsed="false">
      <c r="A20" s="52" t="s">
        <v>644</v>
      </c>
      <c r="B20" s="54" t="s">
        <v>645</v>
      </c>
      <c r="D20" s="80" t="s">
        <v>646</v>
      </c>
      <c r="E20" s="99" t="n">
        <f aca="false">EXP(SUMPRODUCT(($C$5:$C$16="H_ETAD")*LN($P$5:$P$16)))</f>
        <v>1</v>
      </c>
    </row>
    <row r="21" customFormat="false" ht="15" hidden="false" customHeight="false" outlineLevel="0" collapsed="false">
      <c r="A21" s="52" t="s">
        <v>614</v>
      </c>
      <c r="B21" s="53" t="s">
        <v>475</v>
      </c>
      <c r="D21" s="80" t="s">
        <v>647</v>
      </c>
      <c r="E21" s="99" t="n">
        <f aca="false">EXP(SUMPRODUCT(($C$5:$C$16="H_TL")*LN($P$5:$P$16)))</f>
        <v>1</v>
      </c>
    </row>
    <row r="22" customFormat="false" ht="25.35" hidden="false" customHeight="false" outlineLevel="0" collapsed="false">
      <c r="A22" s="52" t="s">
        <v>607</v>
      </c>
      <c r="B22" s="53" t="s">
        <v>648</v>
      </c>
      <c r="D22" s="80" t="s">
        <v>649</v>
      </c>
      <c r="E22" s="99" t="n">
        <f aca="false">EXP(SUMPRODUCT(($C$5:$C$16="H_FLOP")*LN($P$5:$P$16)))</f>
        <v>1</v>
      </c>
    </row>
    <row r="23" customFormat="false" ht="15" hidden="false" customHeight="false" outlineLevel="0" collapsed="false">
      <c r="A23" s="52" t="s">
        <v>626</v>
      </c>
      <c r="B23" s="54" t="s">
        <v>650</v>
      </c>
      <c r="D23" s="80" t="s">
        <v>651</v>
      </c>
      <c r="E23" s="99" t="n">
        <f aca="false">EXP(SUMPRODUCT(($C$5:$C$16="H_KV")*LN($P$5:$P$16)))</f>
        <v>1</v>
      </c>
    </row>
    <row r="24" customFormat="false" ht="15" hidden="false" customHeight="false" outlineLevel="0" collapsed="false">
      <c r="A24" s="52" t="s">
        <v>652</v>
      </c>
      <c r="B24" s="53" t="s">
        <v>653</v>
      </c>
      <c r="D24" s="80" t="s">
        <v>654</v>
      </c>
      <c r="E24" s="99" t="n">
        <f aca="false">EXP(SUMPRODUCT(($C$5:$C$16="H_WB")*LN($P$5:$P$16)))</f>
        <v>1</v>
      </c>
    </row>
    <row r="25" customFormat="false" ht="15" hidden="false" customHeight="false" outlineLevel="0" collapsed="false">
      <c r="A25" s="52" t="s">
        <v>600</v>
      </c>
      <c r="B25" s="53" t="s">
        <v>655</v>
      </c>
      <c r="D25" s="80" t="s">
        <v>656</v>
      </c>
      <c r="E25" s="99" t="n">
        <f aca="false">EXP(SUMPRODUCT(($C$5:$C$16="H_TPK")*LN($P$5:$P$16)))</f>
        <v>1</v>
      </c>
    </row>
    <row r="26" customFormat="false" ht="15" hidden="false" customHeight="false" outlineLevel="0" collapsed="false">
      <c r="A26" s="52" t="s">
        <v>657</v>
      </c>
      <c r="B26" s="53" t="s">
        <v>658</v>
      </c>
      <c r="D26" s="80" t="s">
        <v>659</v>
      </c>
      <c r="E26" s="99" t="n">
        <f aca="false">EXP(SUMPRODUCT(($C$5:$C$16="H_MFU")*LN($P$5:$P$16)))</f>
        <v>1</v>
      </c>
    </row>
    <row r="27" customFormat="false" ht="15" hidden="false" customHeight="false" outlineLevel="0" collapsed="false">
      <c r="A27" s="52" t="s">
        <v>593</v>
      </c>
      <c r="B27" s="53" t="s">
        <v>660</v>
      </c>
      <c r="D27" s="80" t="s">
        <v>661</v>
      </c>
      <c r="E27" s="99" t="n">
        <f aca="false">EXP(SUMPRODUCT(($C$5:$C$16="H_TOK")*LN($P$5:$P$16)))</f>
        <v>1</v>
      </c>
    </row>
    <row r="28" customFormat="false" ht="15" hidden="false" customHeight="false" outlineLevel="0" collapsed="false">
      <c r="A28" s="52" t="s">
        <v>620</v>
      </c>
      <c r="B28" s="54" t="s">
        <v>662</v>
      </c>
      <c r="D28" s="80" t="s">
        <v>663</v>
      </c>
      <c r="E28" s="99" t="n">
        <f aca="false">EXP(SUMPRODUCT(($C$5:$C$16="H_ROLL")*LN($P$5:$P$16)))</f>
        <v>1</v>
      </c>
    </row>
    <row r="29" customFormat="false" ht="15" hidden="false" customHeight="false" outlineLevel="0" collapsed="false">
      <c r="A29" s="52" t="s">
        <v>664</v>
      </c>
      <c r="B29" s="53" t="s">
        <v>665</v>
      </c>
      <c r="D29" s="80" t="s">
        <v>666</v>
      </c>
      <c r="E29" s="99" t="n">
        <f aca="false">EXP(SUMPRODUCT(($C$5:$C$16="H_CAP")*LN($P$5:$P$16)))</f>
        <v>1</v>
      </c>
    </row>
    <row r="30" customFormat="false" ht="15" hidden="false" customHeight="false" outlineLevel="0" collapsed="false">
      <c r="A30" s="52" t="s">
        <v>631</v>
      </c>
      <c r="B30" s="54" t="s">
        <v>667</v>
      </c>
      <c r="D30" s="80" t="s">
        <v>668</v>
      </c>
      <c r="E30" s="99" t="n">
        <f aca="false">EXP(SUMPRODUCT(($C$5:$C$16="H_HAR")*LN($P$5:$P$16)))</f>
        <v>1</v>
      </c>
    </row>
    <row r="32" customFormat="false" ht="30" hidden="false" customHeight="true" outlineLevel="0" collapsed="false">
      <c r="A32" s="51" t="s">
        <v>669</v>
      </c>
      <c r="B32" s="100" t="s">
        <v>670</v>
      </c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17.15" hidden="false" customHeight="false" outlineLevel="0" collapsed="false">
      <c r="A1" s="49" t="s">
        <v>671</v>
      </c>
    </row>
    <row r="2" customFormat="false" ht="15" hidden="false" customHeight="false" outlineLevel="0" collapsed="false">
      <c r="A2" s="50" t="s">
        <v>672</v>
      </c>
    </row>
    <row r="4" customFormat="false" ht="15" hidden="false" customHeight="false" outlineLevel="0" collapsed="false">
      <c r="A4" s="51" t="s">
        <v>136</v>
      </c>
      <c r="C4" s="74" t="str">
        <f aca="false">INDEX(Spec_Rack!$C$4:$G$4,C6)</f>
        <v>Hopper H100</v>
      </c>
      <c r="D4" s="74" t="str">
        <f aca="false">INDEX(Spec_Rack!$C$4:$G$4,D6)</f>
        <v>Hopper H100</v>
      </c>
      <c r="E4" s="74" t="str">
        <f aca="false">INDEX(Spec_Rack!$C$4:$G$4,E6)</f>
        <v>Hopper H100</v>
      </c>
      <c r="F4" s="74" t="str">
        <f aca="false">INDEX(Spec_Rack!$C$4:$G$4,F6)</f>
        <v>GB200 NVL72</v>
      </c>
      <c r="G4" s="74" t="str">
        <f aca="false">INDEX(Spec_Rack!$C$4:$G$4,G6)</f>
        <v>GB200 NVL72</v>
      </c>
      <c r="H4" s="74" t="str">
        <f aca="false">INDEX(Spec_Rack!$C$4:$G$4,H6)</f>
        <v>GB200 NVL72</v>
      </c>
      <c r="I4" s="74" t="str">
        <f aca="false">INDEX(Spec_Rack!$C$4:$G$4,I6)</f>
        <v>GB300 NVL72</v>
      </c>
      <c r="J4" s="74" t="str">
        <f aca="false">INDEX(Spec_Rack!$C$4:$G$4,J6)</f>
        <v>GB300 NVL72</v>
      </c>
      <c r="K4" s="74" t="str">
        <f aca="false">INDEX(Spec_Rack!$C$4:$G$4,K6)</f>
        <v>GB300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Rubin Ultra（MGX NVL 單架，72 GPU）</v>
      </c>
      <c r="P4" s="74" t="str">
        <f aca="false">INDEX(Spec_Rack!$C$4:$G$4,P6)</f>
        <v>Rubin Ultra（MGX NVL 單架，72 GPU）</v>
      </c>
      <c r="Q4" s="74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51" t="s">
        <v>673</v>
      </c>
      <c r="C5" s="74" t="str">
        <f aca="false">INDEX(Arch!$C$4:$E$4,C7)</f>
        <v>Luna（低層）</v>
      </c>
      <c r="D5" s="74" t="str">
        <f aca="false">INDEX(Arch!$C$4:$E$4,D7)</f>
        <v>Sol（中層）</v>
      </c>
      <c r="E5" s="74" t="str">
        <f aca="false">INDEX(Arch!$C$4:$E$4,E7)</f>
        <v>Astra（頂層）</v>
      </c>
      <c r="F5" s="74" t="str">
        <f aca="false">INDEX(Arch!$C$4:$E$4,F7)</f>
        <v>Luna（低層）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Luna（低層）</v>
      </c>
      <c r="J5" s="74" t="str">
        <f aca="false">INDEX(Arch!$C$4:$E$4,J7)</f>
        <v>Sol（中層）</v>
      </c>
      <c r="K5" s="74" t="str">
        <f aca="false">INDEX(Arch!$C$4:$E$4,K7)</f>
        <v>Astra（頂層）</v>
      </c>
      <c r="L5" s="74" t="str">
        <f aca="false">INDEX(Arch!$C$4:$E$4,L7)</f>
        <v>Luna（低層）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Luna（低層）</v>
      </c>
      <c r="P5" s="74" t="str">
        <f aca="false">INDEX(Arch!$C$4:$E$4,P7)</f>
        <v>Sol（中層）</v>
      </c>
      <c r="Q5" s="74" t="str">
        <f aca="false">INDEX(Arch!$C$4:$E$4,Q7)</f>
        <v>Astra（頂層）</v>
      </c>
    </row>
    <row r="6" customFormat="false" ht="15" hidden="false" customHeight="false" outlineLevel="0" collapsed="false">
      <c r="A6" s="51" t="s">
        <v>407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</row>
    <row r="7" customFormat="false" ht="15" hidden="false" customHeight="false" outlineLevel="0" collapsed="false">
      <c r="A7" s="51" t="s">
        <v>674</v>
      </c>
      <c r="C7" s="59" t="n">
        <v>1</v>
      </c>
      <c r="D7" s="59" t="n">
        <v>2</v>
      </c>
      <c r="E7" s="59" t="n">
        <v>3</v>
      </c>
      <c r="F7" s="59" t="n">
        <v>1</v>
      </c>
      <c r="G7" s="59" t="n">
        <v>2</v>
      </c>
      <c r="H7" s="59" t="n">
        <v>3</v>
      </c>
      <c r="I7" s="59" t="n">
        <v>1</v>
      </c>
      <c r="J7" s="59" t="n">
        <v>2</v>
      </c>
      <c r="K7" s="59" t="n">
        <v>3</v>
      </c>
      <c r="L7" s="59" t="n">
        <v>1</v>
      </c>
      <c r="M7" s="59" t="n">
        <v>2</v>
      </c>
      <c r="N7" s="59" t="n">
        <v>3</v>
      </c>
      <c r="O7" s="59" t="n">
        <v>1</v>
      </c>
      <c r="P7" s="59" t="n">
        <v>2</v>
      </c>
      <c r="Q7" s="59" t="n">
        <v>3</v>
      </c>
    </row>
    <row r="9" customFormat="false" ht="15" hidden="false" customHeight="false" outlineLevel="0" collapsed="false">
      <c r="A9" s="68" t="s">
        <v>675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4" t="s">
        <v>676</v>
      </c>
      <c r="B10" s="54" t="s">
        <v>75</v>
      </c>
      <c r="C10" s="90" t="n">
        <f aca="false">Tech_Registry!$E$22</f>
        <v>1</v>
      </c>
      <c r="D10" s="90" t="n">
        <f aca="false">Tech_Registry!$E$22</f>
        <v>1</v>
      </c>
      <c r="E10" s="90" t="n">
        <f aca="false">Tech_Registry!$E$22</f>
        <v>1</v>
      </c>
      <c r="F10" s="90" t="n">
        <f aca="false">Tech_Registry!$E$22</f>
        <v>1</v>
      </c>
      <c r="G10" s="90" t="n">
        <f aca="false">Tech_Registry!$E$22</f>
        <v>1</v>
      </c>
      <c r="H10" s="90" t="n">
        <f aca="false">Tech_Registry!$E$22</f>
        <v>1</v>
      </c>
      <c r="I10" s="90" t="n">
        <f aca="false">Tech_Registry!$E$22</f>
        <v>1</v>
      </c>
      <c r="J10" s="90" t="n">
        <f aca="false">Tech_Registry!$E$22</f>
        <v>1</v>
      </c>
      <c r="K10" s="90" t="n">
        <f aca="false">Tech_Registry!$E$22</f>
        <v>1</v>
      </c>
      <c r="L10" s="90" t="n">
        <f aca="false">Tech_Registry!$E$22</f>
        <v>1</v>
      </c>
      <c r="M10" s="90" t="n">
        <f aca="false">Tech_Registry!$E$22</f>
        <v>1</v>
      </c>
      <c r="N10" s="90" t="n">
        <f aca="false">Tech_Registry!$E$22</f>
        <v>1</v>
      </c>
      <c r="O10" s="90" t="n">
        <f aca="false">Tech_Registry!$E$22</f>
        <v>1</v>
      </c>
      <c r="P10" s="90" t="n">
        <f aca="false">Tech_Registry!$E$22</f>
        <v>1</v>
      </c>
      <c r="Q10" s="90" t="n">
        <f aca="false">Tech_Registry!$E$22</f>
        <v>1</v>
      </c>
    </row>
    <row r="11" customFormat="false" ht="15" hidden="false" customHeight="false" outlineLevel="0" collapsed="false">
      <c r="A11" s="54" t="s">
        <v>677</v>
      </c>
      <c r="B11" s="54" t="s">
        <v>75</v>
      </c>
      <c r="C11" s="90" t="n">
        <f aca="false">Tech_Registry!$E$23</f>
        <v>1</v>
      </c>
      <c r="D11" s="90" t="n">
        <f aca="false">Tech_Registry!$E$23</f>
        <v>1</v>
      </c>
      <c r="E11" s="90" t="n">
        <f aca="false">Tech_Registry!$E$23</f>
        <v>1</v>
      </c>
      <c r="F11" s="90" t="n">
        <f aca="false">Tech_Registry!$E$23</f>
        <v>1</v>
      </c>
      <c r="G11" s="90" t="n">
        <f aca="false">Tech_Registry!$E$23</f>
        <v>1</v>
      </c>
      <c r="H11" s="90" t="n">
        <f aca="false">Tech_Registry!$E$23</f>
        <v>1</v>
      </c>
      <c r="I11" s="90" t="n">
        <f aca="false">Tech_Registry!$E$23</f>
        <v>1</v>
      </c>
      <c r="J11" s="90" t="n">
        <f aca="false">Tech_Registry!$E$23</f>
        <v>1</v>
      </c>
      <c r="K11" s="90" t="n">
        <f aca="false">Tech_Registry!$E$23</f>
        <v>1</v>
      </c>
      <c r="L11" s="90" t="n">
        <f aca="false">Tech_Registry!$E$23</f>
        <v>1</v>
      </c>
      <c r="M11" s="90" t="n">
        <f aca="false">Tech_Registry!$E$23</f>
        <v>1</v>
      </c>
      <c r="N11" s="90" t="n">
        <f aca="false">Tech_Registry!$E$23</f>
        <v>1</v>
      </c>
      <c r="O11" s="90" t="n">
        <f aca="false">Tech_Registry!$E$23</f>
        <v>1</v>
      </c>
      <c r="P11" s="90" t="n">
        <f aca="false">Tech_Registry!$E$23</f>
        <v>1</v>
      </c>
      <c r="Q11" s="90" t="n">
        <f aca="false">Tech_Registry!$E$23</f>
        <v>1</v>
      </c>
    </row>
    <row r="12" customFormat="false" ht="15" hidden="false" customHeight="false" outlineLevel="0" collapsed="false">
      <c r="A12" s="53" t="s">
        <v>678</v>
      </c>
      <c r="B12" s="54" t="s">
        <v>75</v>
      </c>
      <c r="C12" s="90" t="n">
        <f aca="false">Tech_Registry!$E$24</f>
        <v>1</v>
      </c>
      <c r="D12" s="90" t="n">
        <f aca="false">Tech_Registry!$E$24</f>
        <v>1</v>
      </c>
      <c r="E12" s="90" t="n">
        <f aca="false">Tech_Registry!$E$24</f>
        <v>1</v>
      </c>
      <c r="F12" s="90" t="n">
        <f aca="false">Tech_Registry!$E$24</f>
        <v>1</v>
      </c>
      <c r="G12" s="90" t="n">
        <f aca="false">Tech_Registry!$E$24</f>
        <v>1</v>
      </c>
      <c r="H12" s="90" t="n">
        <f aca="false">Tech_Registry!$E$24</f>
        <v>1</v>
      </c>
      <c r="I12" s="90" t="n">
        <f aca="false">Tech_Registry!$E$24</f>
        <v>1</v>
      </c>
      <c r="J12" s="90" t="n">
        <f aca="false">Tech_Registry!$E$24</f>
        <v>1</v>
      </c>
      <c r="K12" s="90" t="n">
        <f aca="false">Tech_Registry!$E$24</f>
        <v>1</v>
      </c>
      <c r="L12" s="90" t="n">
        <f aca="false">Tech_Registry!$E$24</f>
        <v>1</v>
      </c>
      <c r="M12" s="90" t="n">
        <f aca="false">Tech_Registry!$E$24</f>
        <v>1</v>
      </c>
      <c r="N12" s="90" t="n">
        <f aca="false">Tech_Registry!$E$24</f>
        <v>1</v>
      </c>
      <c r="O12" s="90" t="n">
        <f aca="false">Tech_Registry!$E$24</f>
        <v>1</v>
      </c>
      <c r="P12" s="90" t="n">
        <f aca="false">Tech_Registry!$E$24</f>
        <v>1</v>
      </c>
      <c r="Q12" s="90" t="n">
        <f aca="false">Tech_Registry!$E$24</f>
        <v>1</v>
      </c>
    </row>
    <row r="13" customFormat="false" ht="15" hidden="false" customHeight="false" outlineLevel="0" collapsed="false">
      <c r="A13" s="68" t="s">
        <v>679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</row>
    <row r="14" customFormat="false" ht="15" hidden="false" customHeight="false" outlineLevel="0" collapsed="false">
      <c r="A14" s="53" t="s">
        <v>430</v>
      </c>
      <c r="B14" s="54" t="s">
        <v>431</v>
      </c>
      <c r="C14" s="87" t="n">
        <f aca="false">INDEX(Spec_Rack!$C$35:$G$35,C$6)</f>
        <v>1.979</v>
      </c>
      <c r="D14" s="87" t="n">
        <f aca="false">INDEX(Spec_Rack!$C$35:$G$35,D$6)</f>
        <v>1.979</v>
      </c>
      <c r="E14" s="87" t="n">
        <f aca="false">INDEX(Spec_Rack!$C$35:$G$35,E$6)</f>
        <v>1.979</v>
      </c>
      <c r="F14" s="87" t="n">
        <f aca="false">INDEX(Spec_Rack!$C$35:$G$35,F$6)</f>
        <v>10</v>
      </c>
      <c r="G14" s="87" t="n">
        <f aca="false">INDEX(Spec_Rack!$C$35:$G$35,G$6)</f>
        <v>10</v>
      </c>
      <c r="H14" s="87" t="n">
        <f aca="false">INDEX(Spec_Rack!$C$35:$G$35,H$6)</f>
        <v>10</v>
      </c>
      <c r="I14" s="87" t="n">
        <f aca="false">INDEX(Spec_Rack!$C$35:$G$35,I$6)</f>
        <v>15</v>
      </c>
      <c r="J14" s="87" t="n">
        <f aca="false">INDEX(Spec_Rack!$C$35:$G$35,J$6)</f>
        <v>15</v>
      </c>
      <c r="K14" s="87" t="n">
        <f aca="false">INDEX(Spec_Rack!$C$35:$G$35,K$6)</f>
        <v>15</v>
      </c>
      <c r="L14" s="87" t="n">
        <f aca="false">INDEX(Spec_Rack!$C$35:$G$35,L$6)</f>
        <v>35</v>
      </c>
      <c r="M14" s="87" t="n">
        <f aca="false">INDEX(Spec_Rack!$C$35:$G$35,M$6)</f>
        <v>35</v>
      </c>
      <c r="N14" s="87" t="n">
        <f aca="false">INDEX(Spec_Rack!$C$35:$G$35,N$6)</f>
        <v>35</v>
      </c>
      <c r="O14" s="87" t="n">
        <f aca="false">INDEX(Spec_Rack!$C$35:$G$35,O$6)</f>
        <v>70</v>
      </c>
      <c r="P14" s="87" t="n">
        <f aca="false">INDEX(Spec_Rack!$C$35:$G$35,P$6)</f>
        <v>70</v>
      </c>
      <c r="Q14" s="87" t="n">
        <f aca="false">INDEX(Spec_Rack!$C$35:$G$35,Q$6)</f>
        <v>70</v>
      </c>
    </row>
    <row r="15" customFormat="false" ht="15" hidden="false" customHeight="false" outlineLevel="0" collapsed="false">
      <c r="A15" s="54" t="s">
        <v>432</v>
      </c>
      <c r="B15" s="54" t="s">
        <v>680</v>
      </c>
      <c r="C15" s="55" t="n">
        <f aca="false">INDEX(Spec_Rack!$C$25:$G$25,C$6)</f>
        <v>80</v>
      </c>
      <c r="D15" s="55" t="n">
        <f aca="false">INDEX(Spec_Rack!$C$25:$G$25,D$6)</f>
        <v>80</v>
      </c>
      <c r="E15" s="55" t="n">
        <f aca="false">INDEX(Spec_Rack!$C$25:$G$25,E$6)</f>
        <v>80</v>
      </c>
      <c r="F15" s="55" t="n">
        <f aca="false">INDEX(Spec_Rack!$C$25:$G$25,F$6)</f>
        <v>186</v>
      </c>
      <c r="G15" s="55" t="n">
        <f aca="false">INDEX(Spec_Rack!$C$25:$G$25,G$6)</f>
        <v>186</v>
      </c>
      <c r="H15" s="55" t="n">
        <f aca="false">INDEX(Spec_Rack!$C$25:$G$25,H$6)</f>
        <v>186</v>
      </c>
      <c r="I15" s="55" t="n">
        <f aca="false">INDEX(Spec_Rack!$C$25:$G$25,I$6)</f>
        <v>288</v>
      </c>
      <c r="J15" s="55" t="n">
        <f aca="false">INDEX(Spec_Rack!$C$25:$G$25,J$6)</f>
        <v>288</v>
      </c>
      <c r="K15" s="55" t="n">
        <f aca="false">INDEX(Spec_Rack!$C$25:$G$25,K$6)</f>
        <v>288</v>
      </c>
      <c r="L15" s="55" t="n">
        <f aca="false">INDEX(Spec_Rack!$C$25:$G$25,L$6)</f>
        <v>288</v>
      </c>
      <c r="M15" s="55" t="n">
        <f aca="false">INDEX(Spec_Rack!$C$25:$G$25,M$6)</f>
        <v>288</v>
      </c>
      <c r="N15" s="55" t="n">
        <f aca="false">INDEX(Spec_Rack!$C$25:$G$25,N$6)</f>
        <v>288</v>
      </c>
      <c r="O15" s="55" t="n">
        <f aca="false">INDEX(Spec_Rack!$C$25:$G$25,O$6)</f>
        <v>1024</v>
      </c>
      <c r="P15" s="55" t="n">
        <f aca="false">INDEX(Spec_Rack!$C$25:$G$25,P$6)</f>
        <v>1024</v>
      </c>
      <c r="Q15" s="55" t="n">
        <f aca="false">INDEX(Spec_Rack!$C$25:$G$25,Q$6)</f>
        <v>1024</v>
      </c>
    </row>
    <row r="16" customFormat="false" ht="15" hidden="false" customHeight="false" outlineLevel="0" collapsed="false">
      <c r="A16" s="54" t="s">
        <v>433</v>
      </c>
      <c r="B16" s="54" t="s">
        <v>319</v>
      </c>
      <c r="C16" s="88" t="n">
        <f aca="false">INDEX(Spec_Rack!$C$26:$G$26,C$6)</f>
        <v>3.35</v>
      </c>
      <c r="D16" s="88" t="n">
        <f aca="false">INDEX(Spec_Rack!$C$26:$G$26,D$6)</f>
        <v>3.35</v>
      </c>
      <c r="E16" s="88" t="n">
        <f aca="false">INDEX(Spec_Rack!$C$26:$G$26,E$6)</f>
        <v>3.35</v>
      </c>
      <c r="F16" s="88" t="n">
        <f aca="false">INDEX(Spec_Rack!$C$26:$G$26,F$6)</f>
        <v>8</v>
      </c>
      <c r="G16" s="88" t="n">
        <f aca="false">INDEX(Spec_Rack!$C$26:$G$26,G$6)</f>
        <v>8</v>
      </c>
      <c r="H16" s="88" t="n">
        <f aca="false">INDEX(Spec_Rack!$C$26:$G$26,H$6)</f>
        <v>8</v>
      </c>
      <c r="I16" s="88" t="n">
        <f aca="false">INDEX(Spec_Rack!$C$26:$G$26,I$6)</f>
        <v>8</v>
      </c>
      <c r="J16" s="88" t="n">
        <f aca="false">INDEX(Spec_Rack!$C$26:$G$26,J$6)</f>
        <v>8</v>
      </c>
      <c r="K16" s="88" t="n">
        <f aca="false">INDEX(Spec_Rack!$C$26:$G$26,K$6)</f>
        <v>8</v>
      </c>
      <c r="L16" s="88" t="n">
        <f aca="false">INDEX(Spec_Rack!$C$26:$G$26,L$6)</f>
        <v>22</v>
      </c>
      <c r="M16" s="88" t="n">
        <f aca="false">INDEX(Spec_Rack!$C$26:$G$26,M$6)</f>
        <v>22</v>
      </c>
      <c r="N16" s="88" t="n">
        <f aca="false">INDEX(Spec_Rack!$C$26:$G$26,N$6)</f>
        <v>22</v>
      </c>
      <c r="O16" s="88" t="n">
        <f aca="false">INDEX(Spec_Rack!$C$26:$G$26,O$6)</f>
        <v>32</v>
      </c>
      <c r="P16" s="88" t="n">
        <f aca="false">INDEX(Spec_Rack!$C$26:$G$26,P$6)</f>
        <v>32</v>
      </c>
      <c r="Q16" s="88" t="n">
        <f aca="false">INDEX(Spec_Rack!$C$26:$G$26,Q$6)</f>
        <v>32</v>
      </c>
    </row>
    <row r="17" customFormat="false" ht="15" hidden="false" customHeight="false" outlineLevel="0" collapsed="false">
      <c r="A17" s="54" t="s">
        <v>681</v>
      </c>
      <c r="B17" s="54" t="s">
        <v>319</v>
      </c>
      <c r="C17" s="88" t="n">
        <f aca="false">INDEX(Spec_Rack!$C$27:$G$27,C$6)</f>
        <v>0.05</v>
      </c>
      <c r="D17" s="88" t="n">
        <f aca="false">INDEX(Spec_Rack!$C$27:$G$27,D$6)</f>
        <v>0.05</v>
      </c>
      <c r="E17" s="88" t="n">
        <f aca="false">INDEX(Spec_Rack!$C$27:$G$27,E$6)</f>
        <v>0.05</v>
      </c>
      <c r="F17" s="88" t="n">
        <f aca="false">INDEX(Spec_Rack!$C$27:$G$27,F$6)</f>
        <v>0.9</v>
      </c>
      <c r="G17" s="88" t="n">
        <f aca="false">INDEX(Spec_Rack!$C$27:$G$27,G$6)</f>
        <v>0.9</v>
      </c>
      <c r="H17" s="88" t="n">
        <f aca="false">INDEX(Spec_Rack!$C$27:$G$27,H$6)</f>
        <v>0.9</v>
      </c>
      <c r="I17" s="88" t="n">
        <f aca="false">INDEX(Spec_Rack!$C$27:$G$27,I$6)</f>
        <v>0.9</v>
      </c>
      <c r="J17" s="88" t="n">
        <f aca="false">INDEX(Spec_Rack!$C$27:$G$27,J$6)</f>
        <v>0.9</v>
      </c>
      <c r="K17" s="88" t="n">
        <f aca="false">INDEX(Spec_Rack!$C$27:$G$27,K$6)</f>
        <v>0.9</v>
      </c>
      <c r="L17" s="88" t="n">
        <f aca="false">INDEX(Spec_Rack!$C$27:$G$27,L$6)</f>
        <v>1.8</v>
      </c>
      <c r="M17" s="88" t="n">
        <f aca="false">INDEX(Spec_Rack!$C$27:$G$27,M$6)</f>
        <v>1.8</v>
      </c>
      <c r="N17" s="88" t="n">
        <f aca="false">INDEX(Spec_Rack!$C$27:$G$27,N$6)</f>
        <v>1.8</v>
      </c>
      <c r="O17" s="88" t="n">
        <f aca="false">INDEX(Spec_Rack!$C$27:$G$27,O$6)</f>
        <v>1.8</v>
      </c>
      <c r="P17" s="88" t="n">
        <f aca="false">INDEX(Spec_Rack!$C$27:$G$27,P$6)</f>
        <v>1.8</v>
      </c>
      <c r="Q17" s="88" t="n">
        <f aca="false">INDEX(Spec_Rack!$C$27:$G$27,Q$6)</f>
        <v>1.8</v>
      </c>
    </row>
    <row r="18" customFormat="false" ht="15" hidden="false" customHeight="false" outlineLevel="0" collapsed="false">
      <c r="A18" s="54" t="s">
        <v>196</v>
      </c>
      <c r="B18" s="54" t="s">
        <v>682</v>
      </c>
      <c r="C18" s="55" t="n">
        <f aca="false">INDEX(Spec_Rack!$C$29:$G$29,C$6)</f>
        <v>64</v>
      </c>
      <c r="D18" s="55" t="n">
        <f aca="false">INDEX(Spec_Rack!$C$29:$G$29,D$6)</f>
        <v>64</v>
      </c>
      <c r="E18" s="55" t="n">
        <f aca="false">INDEX(Spec_Rack!$C$29:$G$29,E$6)</f>
        <v>64</v>
      </c>
      <c r="F18" s="55" t="n">
        <f aca="false">INDEX(Spec_Rack!$C$29:$G$29,F$6)</f>
        <v>32</v>
      </c>
      <c r="G18" s="55" t="n">
        <f aca="false">INDEX(Spec_Rack!$C$29:$G$29,G$6)</f>
        <v>32</v>
      </c>
      <c r="H18" s="55" t="n">
        <f aca="false">INDEX(Spec_Rack!$C$29:$G$29,H$6)</f>
        <v>32</v>
      </c>
      <c r="I18" s="55" t="n">
        <f aca="false">INDEX(Spec_Rack!$C$29:$G$29,I$6)</f>
        <v>32</v>
      </c>
      <c r="J18" s="55" t="n">
        <f aca="false">INDEX(Spec_Rack!$C$29:$G$29,J$6)</f>
        <v>32</v>
      </c>
      <c r="K18" s="55" t="n">
        <f aca="false">INDEX(Spec_Rack!$C$29:$G$29,K$6)</f>
        <v>32</v>
      </c>
      <c r="L18" s="55" t="n">
        <f aca="false">INDEX(Spec_Rack!$C$29:$G$29,L$6)</f>
        <v>32</v>
      </c>
      <c r="M18" s="55" t="n">
        <f aca="false">INDEX(Spec_Rack!$C$29:$G$29,M$6)</f>
        <v>32</v>
      </c>
      <c r="N18" s="55" t="n">
        <f aca="false">INDEX(Spec_Rack!$C$29:$G$29,N$6)</f>
        <v>32</v>
      </c>
      <c r="O18" s="55" t="n">
        <f aca="false">INDEX(Spec_Rack!$C$29:$G$29,O$6)</f>
        <v>64</v>
      </c>
      <c r="P18" s="55" t="n">
        <f aca="false">INDEX(Spec_Rack!$C$29:$G$29,P$6)</f>
        <v>64</v>
      </c>
      <c r="Q18" s="55" t="n">
        <f aca="false">INDEX(Spec_Rack!$C$29:$G$29,Q$6)</f>
        <v>64</v>
      </c>
    </row>
    <row r="19" customFormat="false" ht="15" hidden="false" customHeight="false" outlineLevel="0" collapsed="false">
      <c r="A19" s="53" t="s">
        <v>683</v>
      </c>
      <c r="B19" s="54" t="s">
        <v>228</v>
      </c>
      <c r="C19" s="89" t="n">
        <f aca="false">INDEX(Spec_Rack!$C$30:$G$30,C$6)*C12</f>
        <v>1</v>
      </c>
      <c r="D19" s="89" t="n">
        <f aca="false">INDEX(Spec_Rack!$C$30:$G$30,D$6)*D12</f>
        <v>1</v>
      </c>
      <c r="E19" s="89" t="n">
        <f aca="false">INDEX(Spec_Rack!$C$30:$G$30,E$6)*E12</f>
        <v>1</v>
      </c>
      <c r="F19" s="89" t="n">
        <f aca="false">INDEX(Spec_Rack!$C$30:$G$30,F$6)*F12</f>
        <v>0.5625</v>
      </c>
      <c r="G19" s="89" t="n">
        <f aca="false">INDEX(Spec_Rack!$C$30:$G$30,G$6)*G12</f>
        <v>0.5625</v>
      </c>
      <c r="H19" s="89" t="n">
        <f aca="false">INDEX(Spec_Rack!$C$30:$G$30,H$6)*H12</f>
        <v>0.5625</v>
      </c>
      <c r="I19" s="89" t="n">
        <f aca="false">INDEX(Spec_Rack!$C$30:$G$30,I$6)*I12</f>
        <v>0.5625</v>
      </c>
      <c r="J19" s="89" t="n">
        <f aca="false">INDEX(Spec_Rack!$C$30:$G$30,J$6)*J12</f>
        <v>0.5625</v>
      </c>
      <c r="K19" s="89" t="n">
        <f aca="false">INDEX(Spec_Rack!$C$30:$G$30,K$6)*K12</f>
        <v>0.5625</v>
      </c>
      <c r="L19" s="89" t="n">
        <f aca="false">INDEX(Spec_Rack!$C$30:$G$30,L$6)*L12</f>
        <v>0.5625</v>
      </c>
      <c r="M19" s="89" t="n">
        <f aca="false">INDEX(Spec_Rack!$C$30:$G$30,M$6)*M12</f>
        <v>0.5625</v>
      </c>
      <c r="N19" s="89" t="n">
        <f aca="false">INDEX(Spec_Rack!$C$30:$G$30,N$6)*N12</f>
        <v>0.5625</v>
      </c>
      <c r="O19" s="89" t="n">
        <f aca="false">INDEX(Spec_Rack!$C$30:$G$30,O$6)*O12</f>
        <v>0.5625</v>
      </c>
      <c r="P19" s="89" t="n">
        <f aca="false">INDEX(Spec_Rack!$C$30:$G$30,P$6)*P12</f>
        <v>0.5625</v>
      </c>
      <c r="Q19" s="89" t="n">
        <f aca="false">INDEX(Spec_Rack!$C$30:$G$30,Q$6)*Q12</f>
        <v>0.5625</v>
      </c>
    </row>
    <row r="20" customFormat="false" ht="15" hidden="false" customHeight="false" outlineLevel="0" collapsed="false">
      <c r="A20" s="53" t="s">
        <v>684</v>
      </c>
      <c r="B20" s="54" t="s">
        <v>228</v>
      </c>
      <c r="C20" s="90" t="n">
        <f aca="false">INDEX(Spec_Rack!$C$31:$G$31,C$6)*C12</f>
        <v>1</v>
      </c>
      <c r="D20" s="90" t="n">
        <f aca="false">INDEX(Spec_Rack!$C$31:$G$31,D$6)*D12</f>
        <v>1</v>
      </c>
      <c r="E20" s="90" t="n">
        <f aca="false">INDEX(Spec_Rack!$C$31:$G$31,E$6)*E12</f>
        <v>1</v>
      </c>
      <c r="F20" s="90" t="n">
        <f aca="false">INDEX(Spec_Rack!$C$31:$G$31,F$6)*F12</f>
        <v>1</v>
      </c>
      <c r="G20" s="90" t="n">
        <f aca="false">INDEX(Spec_Rack!$C$31:$G$31,G$6)*G12</f>
        <v>1</v>
      </c>
      <c r="H20" s="90" t="n">
        <f aca="false">INDEX(Spec_Rack!$C$31:$G$31,H$6)*H12</f>
        <v>1</v>
      </c>
      <c r="I20" s="90" t="n">
        <f aca="false">INDEX(Spec_Rack!$C$31:$G$31,I$6)*I12</f>
        <v>1</v>
      </c>
      <c r="J20" s="90" t="n">
        <f aca="false">INDEX(Spec_Rack!$C$31:$G$31,J$6)*J12</f>
        <v>1</v>
      </c>
      <c r="K20" s="90" t="n">
        <f aca="false">INDEX(Spec_Rack!$C$31:$G$31,K$6)*K12</f>
        <v>1</v>
      </c>
      <c r="L20" s="90" t="n">
        <f aca="false">INDEX(Spec_Rack!$C$31:$G$31,L$6)*L12</f>
        <v>1</v>
      </c>
      <c r="M20" s="90" t="n">
        <f aca="false">INDEX(Spec_Rack!$C$31:$G$31,M$6)*M12</f>
        <v>1</v>
      </c>
      <c r="N20" s="90" t="n">
        <f aca="false">INDEX(Spec_Rack!$C$31:$G$31,N$6)*N12</f>
        <v>1</v>
      </c>
      <c r="O20" s="90" t="n">
        <f aca="false">INDEX(Spec_Rack!$C$31:$G$31,O$6)*O12</f>
        <v>1</v>
      </c>
      <c r="P20" s="90" t="n">
        <f aca="false">INDEX(Spec_Rack!$C$31:$G$31,P$6)*P12</f>
        <v>1</v>
      </c>
      <c r="Q20" s="90" t="n">
        <f aca="false">INDEX(Spec_Rack!$C$31:$G$31,Q$6)*Q12</f>
        <v>1</v>
      </c>
    </row>
    <row r="21" customFormat="false" ht="15" hidden="false" customHeight="false" outlineLevel="0" collapsed="false">
      <c r="A21" s="53" t="s">
        <v>685</v>
      </c>
      <c r="B21" s="54" t="s">
        <v>682</v>
      </c>
      <c r="C21" s="55" t="n">
        <f aca="false">INDEX(Spec_Rack!$C$32:$G$32,C$6)</f>
        <v>8</v>
      </c>
      <c r="D21" s="55" t="n">
        <f aca="false">INDEX(Spec_Rack!$C$32:$G$32,D$6)</f>
        <v>8</v>
      </c>
      <c r="E21" s="55" t="n">
        <f aca="false">INDEX(Spec_Rack!$C$32:$G$32,E$6)</f>
        <v>8</v>
      </c>
      <c r="F21" s="55" t="n">
        <f aca="false">INDEX(Spec_Rack!$C$32:$G$32,F$6)</f>
        <v>4</v>
      </c>
      <c r="G21" s="55" t="n">
        <f aca="false">INDEX(Spec_Rack!$C$32:$G$32,G$6)</f>
        <v>4</v>
      </c>
      <c r="H21" s="55" t="n">
        <f aca="false">INDEX(Spec_Rack!$C$32:$G$32,H$6)</f>
        <v>4</v>
      </c>
      <c r="I21" s="55" t="n">
        <f aca="false">INDEX(Spec_Rack!$C$32:$G$32,I$6)</f>
        <v>4</v>
      </c>
      <c r="J21" s="55" t="n">
        <f aca="false">INDEX(Spec_Rack!$C$32:$G$32,J$6)</f>
        <v>4</v>
      </c>
      <c r="K21" s="55" t="n">
        <f aca="false">INDEX(Spec_Rack!$C$32:$G$32,K$6)</f>
        <v>4</v>
      </c>
      <c r="L21" s="55" t="n">
        <f aca="false">INDEX(Spec_Rack!$C$32:$G$32,L$6)</f>
        <v>4</v>
      </c>
      <c r="M21" s="55" t="n">
        <f aca="false">INDEX(Spec_Rack!$C$32:$G$32,M$6)</f>
        <v>4</v>
      </c>
      <c r="N21" s="55" t="n">
        <f aca="false">INDEX(Spec_Rack!$C$32:$G$32,N$6)</f>
        <v>4</v>
      </c>
      <c r="O21" s="55" t="n">
        <f aca="false">INDEX(Spec_Rack!$C$32:$G$32,O$6)</f>
        <v>8</v>
      </c>
      <c r="P21" s="55" t="n">
        <f aca="false">INDEX(Spec_Rack!$C$32:$G$32,P$6)</f>
        <v>8</v>
      </c>
      <c r="Q21" s="55" t="n">
        <f aca="false">INDEX(Spec_Rack!$C$32:$G$32,Q$6)</f>
        <v>8</v>
      </c>
    </row>
    <row r="22" customFormat="false" ht="15" hidden="false" customHeight="false" outlineLevel="0" collapsed="false">
      <c r="A22" s="54" t="s">
        <v>149</v>
      </c>
      <c r="B22" s="53" t="s">
        <v>686</v>
      </c>
      <c r="C22" s="55" t="n">
        <f aca="false">INDEX(Spec_Rack!$C$6:$G$6,C$6)</f>
        <v>32</v>
      </c>
      <c r="D22" s="55" t="n">
        <f aca="false">INDEX(Spec_Rack!$C$6:$G$6,D$6)</f>
        <v>32</v>
      </c>
      <c r="E22" s="55" t="n">
        <f aca="false">INDEX(Spec_Rack!$C$6:$G$6,E$6)</f>
        <v>32</v>
      </c>
      <c r="F22" s="55" t="n">
        <f aca="false">INDEX(Spec_Rack!$C$6:$G$6,F$6)</f>
        <v>72</v>
      </c>
      <c r="G22" s="55" t="n">
        <f aca="false">INDEX(Spec_Rack!$C$6:$G$6,G$6)</f>
        <v>72</v>
      </c>
      <c r="H22" s="55" t="n">
        <f aca="false">INDEX(Spec_Rack!$C$6:$G$6,H$6)</f>
        <v>72</v>
      </c>
      <c r="I22" s="55" t="n">
        <f aca="false">INDEX(Spec_Rack!$C$6:$G$6,I$6)</f>
        <v>72</v>
      </c>
      <c r="J22" s="55" t="n">
        <f aca="false">INDEX(Spec_Rack!$C$6:$G$6,J$6)</f>
        <v>72</v>
      </c>
      <c r="K22" s="55" t="n">
        <f aca="false">INDEX(Spec_Rack!$C$6:$G$6,K$6)</f>
        <v>72</v>
      </c>
      <c r="L22" s="55" t="n">
        <f aca="false">INDEX(Spec_Rack!$C$6:$G$6,L$6)</f>
        <v>72</v>
      </c>
      <c r="M22" s="55" t="n">
        <f aca="false">INDEX(Spec_Rack!$C$6:$G$6,M$6)</f>
        <v>72</v>
      </c>
      <c r="N22" s="55" t="n">
        <f aca="false">INDEX(Spec_Rack!$C$6:$G$6,N$6)</f>
        <v>72</v>
      </c>
      <c r="O22" s="55" t="n">
        <f aca="false">INDEX(Spec_Rack!$C$6:$G$6,O$6)</f>
        <v>72</v>
      </c>
      <c r="P22" s="55" t="n">
        <f aca="false">INDEX(Spec_Rack!$C$6:$G$6,P$6)</f>
        <v>72</v>
      </c>
      <c r="Q22" s="55" t="n">
        <f aca="false">INDEX(Spec_Rack!$C$6:$G$6,Q$6)</f>
        <v>72</v>
      </c>
    </row>
    <row r="23" customFormat="false" ht="15" hidden="false" customHeight="false" outlineLevel="0" collapsed="false">
      <c r="A23" s="54" t="s">
        <v>687</v>
      </c>
      <c r="B23" s="54" t="s">
        <v>688</v>
      </c>
      <c r="C23" s="55" t="n">
        <f aca="false">INDEX(Spec_Rack!$C$33:$G$33,C$6)</f>
        <v>700</v>
      </c>
      <c r="D23" s="55" t="n">
        <f aca="false">INDEX(Spec_Rack!$C$33:$G$33,D$6)</f>
        <v>700</v>
      </c>
      <c r="E23" s="55" t="n">
        <f aca="false">INDEX(Spec_Rack!$C$33:$G$33,E$6)</f>
        <v>700</v>
      </c>
      <c r="F23" s="55" t="n">
        <f aca="false">INDEX(Spec_Rack!$C$33:$G$33,F$6)</f>
        <v>1200</v>
      </c>
      <c r="G23" s="55" t="n">
        <f aca="false">INDEX(Spec_Rack!$C$33:$G$33,G$6)</f>
        <v>1200</v>
      </c>
      <c r="H23" s="55" t="n">
        <f aca="false">INDEX(Spec_Rack!$C$33:$G$33,H$6)</f>
        <v>1200</v>
      </c>
      <c r="I23" s="55" t="n">
        <f aca="false">INDEX(Spec_Rack!$C$33:$G$33,I$6)</f>
        <v>1400</v>
      </c>
      <c r="J23" s="55" t="n">
        <f aca="false">INDEX(Spec_Rack!$C$33:$G$33,J$6)</f>
        <v>1400</v>
      </c>
      <c r="K23" s="55" t="n">
        <f aca="false">INDEX(Spec_Rack!$C$33:$G$33,K$6)</f>
        <v>1400</v>
      </c>
      <c r="L23" s="55" t="n">
        <f aca="false">INDEX(Spec_Rack!$C$33:$G$33,L$6)</f>
        <v>1800</v>
      </c>
      <c r="M23" s="55" t="n">
        <f aca="false">INDEX(Spec_Rack!$C$33:$G$33,M$6)</f>
        <v>1800</v>
      </c>
      <c r="N23" s="55" t="n">
        <f aca="false">INDEX(Spec_Rack!$C$33:$G$33,N$6)</f>
        <v>1800</v>
      </c>
      <c r="O23" s="55" t="n">
        <f aca="false">INDEX(Spec_Rack!$C$33:$G$33,O$6)</f>
        <v>3600</v>
      </c>
      <c r="P23" s="55" t="n">
        <f aca="false">INDEX(Spec_Rack!$C$33:$G$33,P$6)</f>
        <v>3600</v>
      </c>
      <c r="Q23" s="55" t="n">
        <f aca="false">INDEX(Spec_Rack!$C$33:$G$33,Q$6)</f>
        <v>3600</v>
      </c>
    </row>
    <row r="24" customFormat="false" ht="15" hidden="false" customHeight="false" outlineLevel="0" collapsed="false">
      <c r="A24" s="54" t="s">
        <v>689</v>
      </c>
      <c r="B24" s="54" t="s">
        <v>690</v>
      </c>
      <c r="C24" s="55" t="n">
        <f aca="false">INDEX(Spec_Rack!$C$34:$G$34,C$6)</f>
        <v>31</v>
      </c>
      <c r="D24" s="55" t="n">
        <f aca="false">INDEX(Spec_Rack!$C$34:$G$34,D$6)</f>
        <v>31</v>
      </c>
      <c r="E24" s="55" t="n">
        <f aca="false">INDEX(Spec_Rack!$C$34:$G$34,E$6)</f>
        <v>31</v>
      </c>
      <c r="F24" s="55" t="n">
        <f aca="false">INDEX(Spec_Rack!$C$34:$G$34,F$6)</f>
        <v>25</v>
      </c>
      <c r="G24" s="55" t="n">
        <f aca="false">INDEX(Spec_Rack!$C$34:$G$34,G$6)</f>
        <v>25</v>
      </c>
      <c r="H24" s="55" t="n">
        <f aca="false">INDEX(Spec_Rack!$C$34:$G$34,H$6)</f>
        <v>25</v>
      </c>
      <c r="I24" s="55" t="n">
        <f aca="false">INDEX(Spec_Rack!$C$34:$G$34,I$6)</f>
        <v>25</v>
      </c>
      <c r="J24" s="55" t="n">
        <f aca="false">INDEX(Spec_Rack!$C$34:$G$34,J$6)</f>
        <v>25</v>
      </c>
      <c r="K24" s="55" t="n">
        <f aca="false">INDEX(Spec_Rack!$C$34:$G$34,K$6)</f>
        <v>25</v>
      </c>
      <c r="L24" s="55" t="n">
        <f aca="false">INDEX(Spec_Rack!$C$34:$G$34,L$6)</f>
        <v>20</v>
      </c>
      <c r="M24" s="55" t="n">
        <f aca="false">INDEX(Spec_Rack!$C$34:$G$34,M$6)</f>
        <v>20</v>
      </c>
      <c r="N24" s="55" t="n">
        <f aca="false">INDEX(Spec_Rack!$C$34:$G$34,N$6)</f>
        <v>20</v>
      </c>
      <c r="O24" s="55" t="n">
        <f aca="false">INDEX(Spec_Rack!$C$34:$G$34,O$6)</f>
        <v>18</v>
      </c>
      <c r="P24" s="55" t="n">
        <f aca="false">INDEX(Spec_Rack!$C$34:$G$34,P$6)</f>
        <v>18</v>
      </c>
      <c r="Q24" s="55" t="n">
        <f aca="false">INDEX(Spec_Rack!$C$34:$G$34,Q$6)</f>
        <v>18</v>
      </c>
    </row>
    <row r="25" customFormat="false" ht="15" hidden="false" customHeight="false" outlineLevel="0" collapsed="false">
      <c r="A25" s="53" t="s">
        <v>691</v>
      </c>
      <c r="B25" s="53" t="s">
        <v>692</v>
      </c>
      <c r="C25" s="55" t="n">
        <f aca="false">INDEX(DC_Cost!$C$12:$Q$12,3*(C$6-1)+2)/CTL_GW</f>
        <v>22439</v>
      </c>
      <c r="D25" s="55" t="n">
        <f aca="false">INDEX(DC_Cost!$C$12:$Q$12,3*(D$6-1)+2)/CTL_GW</f>
        <v>22439</v>
      </c>
      <c r="E25" s="55" t="n">
        <f aca="false">INDEX(DC_Cost!$C$12:$Q$12,3*(E$6-1)+2)/CTL_GW</f>
        <v>22439</v>
      </c>
      <c r="F25" s="55" t="n">
        <f aca="false">INDEX(DC_Cost!$C$12:$Q$12,3*(F$6-1)+2)/CTL_GW</f>
        <v>6969</v>
      </c>
      <c r="G25" s="55" t="n">
        <f aca="false">INDEX(DC_Cost!$C$12:$Q$12,3*(G$6-1)+2)/CTL_GW</f>
        <v>6969</v>
      </c>
      <c r="H25" s="55" t="n">
        <f aca="false">INDEX(DC_Cost!$C$12:$Q$12,3*(H$6-1)+2)/CTL_GW</f>
        <v>6969</v>
      </c>
      <c r="I25" s="55" t="n">
        <f aca="false">INDEX(DC_Cost!$C$12:$Q$12,3*(I$6-1)+2)/CTL_GW</f>
        <v>6764</v>
      </c>
      <c r="J25" s="55" t="n">
        <f aca="false">INDEX(DC_Cost!$C$12:$Q$12,3*(J$6-1)+2)/CTL_GW</f>
        <v>6764</v>
      </c>
      <c r="K25" s="55" t="n">
        <f aca="false">INDEX(DC_Cost!$C$12:$Q$12,3*(K$6-1)+2)/CTL_GW</f>
        <v>6764</v>
      </c>
      <c r="L25" s="55" t="n">
        <f aca="false">INDEX(DC_Cost!$C$12:$Q$12,3*(L$6-1)+2)/CTL_GW</f>
        <v>4052</v>
      </c>
      <c r="M25" s="55" t="n">
        <f aca="false">INDEX(DC_Cost!$C$12:$Q$12,3*(M$6-1)+2)/CTL_GW</f>
        <v>4052</v>
      </c>
      <c r="N25" s="55" t="n">
        <f aca="false">INDEX(DC_Cost!$C$12:$Q$12,3*(N$6-1)+2)/CTL_GW</f>
        <v>4052</v>
      </c>
      <c r="O25" s="55" t="n">
        <f aca="false">INDEX(DC_Cost!$C$12:$Q$12,3*(O$6-1)+2)/CTL_GW</f>
        <v>2705</v>
      </c>
      <c r="P25" s="55" t="n">
        <f aca="false">INDEX(DC_Cost!$C$12:$Q$12,3*(P$6-1)+2)/CTL_GW</f>
        <v>2705</v>
      </c>
      <c r="Q25" s="55" t="n">
        <f aca="false">INDEX(DC_Cost!$C$12:$Q$12,3*(Q$6-1)+2)/CTL_GW</f>
        <v>2705</v>
      </c>
    </row>
    <row r="26" customFormat="false" ht="15" hidden="false" customHeight="false" outlineLevel="0" collapsed="false">
      <c r="A26" s="53" t="s">
        <v>693</v>
      </c>
      <c r="B26" s="54" t="s">
        <v>694</v>
      </c>
      <c r="C26" s="55" t="n">
        <f aca="false">INDEX(DC_Cost!$C$11:$Q$11,3*(C$6-1)+2)</f>
        <v>41</v>
      </c>
      <c r="D26" s="55" t="n">
        <f aca="false">INDEX(DC_Cost!$C$11:$Q$11,3*(D$6-1)+2)</f>
        <v>41</v>
      </c>
      <c r="E26" s="55" t="n">
        <f aca="false">INDEX(DC_Cost!$C$11:$Q$11,3*(E$6-1)+2)</f>
        <v>41</v>
      </c>
      <c r="F26" s="55" t="n">
        <f aca="false">INDEX(DC_Cost!$C$11:$Q$11,3*(F$6-1)+2)</f>
        <v>132</v>
      </c>
      <c r="G26" s="55" t="n">
        <f aca="false">INDEX(DC_Cost!$C$11:$Q$11,3*(G$6-1)+2)</f>
        <v>132</v>
      </c>
      <c r="H26" s="55" t="n">
        <f aca="false">INDEX(DC_Cost!$C$11:$Q$11,3*(H$6-1)+2)</f>
        <v>132</v>
      </c>
      <c r="I26" s="55" t="n">
        <f aca="false">INDEX(DC_Cost!$C$11:$Q$11,3*(I$6-1)+2)</f>
        <v>136</v>
      </c>
      <c r="J26" s="55" t="n">
        <f aca="false">INDEX(DC_Cost!$C$11:$Q$11,3*(J$6-1)+2)</f>
        <v>136</v>
      </c>
      <c r="K26" s="55" t="n">
        <f aca="false">INDEX(DC_Cost!$C$11:$Q$11,3*(K$6-1)+2)</f>
        <v>136</v>
      </c>
      <c r="L26" s="55" t="n">
        <f aca="false">INDEX(DC_Cost!$C$11:$Q$11,3*(L$6-1)+2)</f>
        <v>227</v>
      </c>
      <c r="M26" s="55" t="n">
        <f aca="false">INDEX(DC_Cost!$C$11:$Q$11,3*(M$6-1)+2)</f>
        <v>227</v>
      </c>
      <c r="N26" s="55" t="n">
        <f aca="false">INDEX(DC_Cost!$C$11:$Q$11,3*(N$6-1)+2)</f>
        <v>227</v>
      </c>
      <c r="O26" s="55" t="n">
        <f aca="false">INDEX(DC_Cost!$C$11:$Q$11,3*(O$6-1)+2)</f>
        <v>340</v>
      </c>
      <c r="P26" s="55" t="n">
        <f aca="false">INDEX(DC_Cost!$C$11:$Q$11,3*(P$6-1)+2)</f>
        <v>340</v>
      </c>
      <c r="Q26" s="55" t="n">
        <f aca="false">INDEX(DC_Cost!$C$11:$Q$11,3*(Q$6-1)+2)</f>
        <v>340</v>
      </c>
    </row>
    <row r="27" customFormat="false" ht="15" hidden="false" customHeight="false" outlineLevel="0" collapsed="false">
      <c r="A27" s="68" t="s">
        <v>695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53" t="s">
        <v>231</v>
      </c>
      <c r="B28" s="54" t="s">
        <v>228</v>
      </c>
      <c r="C28" s="55" t="n">
        <f aca="false">INDEX(Arch!$C$7:$E$7,C$7)</f>
        <v>13</v>
      </c>
      <c r="D28" s="55" t="n">
        <f aca="false">INDEX(Arch!$C$7:$E$7,D$7)</f>
        <v>49</v>
      </c>
      <c r="E28" s="55" t="n">
        <f aca="false">INDEX(Arch!$C$7:$E$7,E$7)</f>
        <v>180</v>
      </c>
      <c r="F28" s="55" t="n">
        <f aca="false">INDEX(Arch!$C$7:$E$7,F$7)</f>
        <v>13</v>
      </c>
      <c r="G28" s="55" t="n">
        <f aca="false">INDEX(Arch!$C$7:$E$7,G$7)</f>
        <v>49</v>
      </c>
      <c r="H28" s="55" t="n">
        <f aca="false">INDEX(Arch!$C$7:$E$7,H$7)</f>
        <v>180</v>
      </c>
      <c r="I28" s="55" t="n">
        <f aca="false">INDEX(Arch!$C$7:$E$7,I$7)</f>
        <v>13</v>
      </c>
      <c r="J28" s="55" t="n">
        <f aca="false">INDEX(Arch!$C$7:$E$7,J$7)</f>
        <v>49</v>
      </c>
      <c r="K28" s="55" t="n">
        <f aca="false">INDEX(Arch!$C$7:$E$7,K$7)</f>
        <v>180</v>
      </c>
      <c r="L28" s="55" t="n">
        <f aca="false">INDEX(Arch!$C$7:$E$7,L$7)</f>
        <v>13</v>
      </c>
      <c r="M28" s="55" t="n">
        <f aca="false">INDEX(Arch!$C$7:$E$7,M$7)</f>
        <v>49</v>
      </c>
      <c r="N28" s="55" t="n">
        <f aca="false">INDEX(Arch!$C$7:$E$7,N$7)</f>
        <v>180</v>
      </c>
      <c r="O28" s="55" t="n">
        <f aca="false">INDEX(Arch!$C$7:$E$7,O$7)</f>
        <v>13</v>
      </c>
      <c r="P28" s="55" t="n">
        <f aca="false">INDEX(Arch!$C$7:$E$7,P$7)</f>
        <v>49</v>
      </c>
      <c r="Q28" s="55" t="n">
        <f aca="false">INDEX(Arch!$C$7:$E$7,Q$7)</f>
        <v>180</v>
      </c>
    </row>
    <row r="29" customFormat="false" ht="15" hidden="false" customHeight="false" outlineLevel="0" collapsed="false">
      <c r="A29" s="53" t="s">
        <v>233</v>
      </c>
      <c r="B29" s="53" t="s">
        <v>234</v>
      </c>
      <c r="C29" s="55" t="n">
        <f aca="false">INDEX(Arch!$C$8:$E$8,C$7)</f>
        <v>43</v>
      </c>
      <c r="D29" s="55" t="n">
        <f aca="false">INDEX(Arch!$C$8:$E$8,D$7)</f>
        <v>61</v>
      </c>
      <c r="E29" s="55" t="n">
        <f aca="false">INDEX(Arch!$C$8:$E$8,E$7)</f>
        <v>100</v>
      </c>
      <c r="F29" s="55" t="n">
        <f aca="false">INDEX(Arch!$C$8:$E$8,F$7)</f>
        <v>43</v>
      </c>
      <c r="G29" s="55" t="n">
        <f aca="false">INDEX(Arch!$C$8:$E$8,G$7)</f>
        <v>61</v>
      </c>
      <c r="H29" s="55" t="n">
        <f aca="false">INDEX(Arch!$C$8:$E$8,H$7)</f>
        <v>100</v>
      </c>
      <c r="I29" s="55" t="n">
        <f aca="false">INDEX(Arch!$C$8:$E$8,I$7)</f>
        <v>43</v>
      </c>
      <c r="J29" s="55" t="n">
        <f aca="false">INDEX(Arch!$C$8:$E$8,J$7)</f>
        <v>61</v>
      </c>
      <c r="K29" s="55" t="n">
        <f aca="false">INDEX(Arch!$C$8:$E$8,K$7)</f>
        <v>100</v>
      </c>
      <c r="L29" s="55" t="n">
        <f aca="false">INDEX(Arch!$C$8:$E$8,L$7)</f>
        <v>43</v>
      </c>
      <c r="M29" s="55" t="n">
        <f aca="false">INDEX(Arch!$C$8:$E$8,M$7)</f>
        <v>61</v>
      </c>
      <c r="N29" s="55" t="n">
        <f aca="false">INDEX(Arch!$C$8:$E$8,N$7)</f>
        <v>100</v>
      </c>
      <c r="O29" s="55" t="n">
        <f aca="false">INDEX(Arch!$C$8:$E$8,O$7)</f>
        <v>43</v>
      </c>
      <c r="P29" s="55" t="n">
        <f aca="false">INDEX(Arch!$C$8:$E$8,P$7)</f>
        <v>61</v>
      </c>
      <c r="Q29" s="55" t="n">
        <f aca="false">INDEX(Arch!$C$8:$E$8,Q$7)</f>
        <v>100</v>
      </c>
    </row>
    <row r="30" customFormat="false" ht="15" hidden="false" customHeight="false" outlineLevel="0" collapsed="false">
      <c r="A30" s="54" t="s">
        <v>236</v>
      </c>
      <c r="B30" s="53"/>
      <c r="C30" s="55" t="n">
        <f aca="false">INDEX(Arch!$C$9:$E$9,C$7)</f>
        <v>4096</v>
      </c>
      <c r="D30" s="55" t="n">
        <f aca="false">INDEX(Arch!$C$9:$E$9,D$7)</f>
        <v>7168</v>
      </c>
      <c r="E30" s="55" t="n">
        <f aca="false">INDEX(Arch!$C$9:$E$9,E$7)</f>
        <v>12288</v>
      </c>
      <c r="F30" s="55" t="n">
        <f aca="false">INDEX(Arch!$C$9:$E$9,F$7)</f>
        <v>4096</v>
      </c>
      <c r="G30" s="55" t="n">
        <f aca="false">INDEX(Arch!$C$9:$E$9,G$7)</f>
        <v>7168</v>
      </c>
      <c r="H30" s="55" t="n">
        <f aca="false">INDEX(Arch!$C$9:$E$9,H$7)</f>
        <v>12288</v>
      </c>
      <c r="I30" s="55" t="n">
        <f aca="false">INDEX(Arch!$C$9:$E$9,I$7)</f>
        <v>4096</v>
      </c>
      <c r="J30" s="55" t="n">
        <f aca="false">INDEX(Arch!$C$9:$E$9,J$7)</f>
        <v>7168</v>
      </c>
      <c r="K30" s="55" t="n">
        <f aca="false">INDEX(Arch!$C$9:$E$9,K$7)</f>
        <v>12288</v>
      </c>
      <c r="L30" s="55" t="n">
        <f aca="false">INDEX(Arch!$C$9:$E$9,L$7)</f>
        <v>4096</v>
      </c>
      <c r="M30" s="55" t="n">
        <f aca="false">INDEX(Arch!$C$9:$E$9,M$7)</f>
        <v>7168</v>
      </c>
      <c r="N30" s="55" t="n">
        <f aca="false">INDEX(Arch!$C$9:$E$9,N$7)</f>
        <v>12288</v>
      </c>
      <c r="O30" s="55" t="n">
        <f aca="false">INDEX(Arch!$C$9:$E$9,O$7)</f>
        <v>4096</v>
      </c>
      <c r="P30" s="55" t="n">
        <f aca="false">INDEX(Arch!$C$9:$E$9,P$7)</f>
        <v>7168</v>
      </c>
      <c r="Q30" s="55" t="n">
        <f aca="false">INDEX(Arch!$C$9:$E$9,Q$7)</f>
        <v>12288</v>
      </c>
    </row>
    <row r="31" customFormat="false" ht="15" hidden="false" customHeight="false" outlineLevel="0" collapsed="false">
      <c r="A31" s="53" t="s">
        <v>696</v>
      </c>
      <c r="B31" s="53"/>
      <c r="C31" s="55" t="n">
        <f aca="false">INDEX(Arch!$C$13:$E$13,C$7)</f>
        <v>6</v>
      </c>
      <c r="D31" s="55" t="n">
        <f aca="false">INDEX(Arch!$C$13:$E$13,D$7)</f>
        <v>6</v>
      </c>
      <c r="E31" s="55" t="n">
        <f aca="false">INDEX(Arch!$C$13:$E$13,E$7)</f>
        <v>16</v>
      </c>
      <c r="F31" s="55" t="n">
        <f aca="false">INDEX(Arch!$C$13:$E$13,F$7)</f>
        <v>6</v>
      </c>
      <c r="G31" s="55" t="n">
        <f aca="false">INDEX(Arch!$C$13:$E$13,G$7)</f>
        <v>6</v>
      </c>
      <c r="H31" s="55" t="n">
        <f aca="false">INDEX(Arch!$C$13:$E$13,H$7)</f>
        <v>16</v>
      </c>
      <c r="I31" s="55" t="n">
        <f aca="false">INDEX(Arch!$C$13:$E$13,I$7)</f>
        <v>6</v>
      </c>
      <c r="J31" s="55" t="n">
        <f aca="false">INDEX(Arch!$C$13:$E$13,J$7)</f>
        <v>6</v>
      </c>
      <c r="K31" s="55" t="n">
        <f aca="false">INDEX(Arch!$C$13:$E$13,K$7)</f>
        <v>16</v>
      </c>
      <c r="L31" s="55" t="n">
        <f aca="false">INDEX(Arch!$C$13:$E$13,L$7)</f>
        <v>6</v>
      </c>
      <c r="M31" s="55" t="n">
        <f aca="false">INDEX(Arch!$C$13:$E$13,M$7)</f>
        <v>6</v>
      </c>
      <c r="N31" s="55" t="n">
        <f aca="false">INDEX(Arch!$C$13:$E$13,N$7)</f>
        <v>16</v>
      </c>
      <c r="O31" s="55" t="n">
        <f aca="false">INDEX(Arch!$C$13:$E$13,O$7)</f>
        <v>6</v>
      </c>
      <c r="P31" s="55" t="n">
        <f aca="false">INDEX(Arch!$C$13:$E$13,P$7)</f>
        <v>6</v>
      </c>
      <c r="Q31" s="55" t="n">
        <f aca="false">INDEX(Arch!$C$13:$E$13,Q$7)</f>
        <v>16</v>
      </c>
    </row>
    <row r="32" customFormat="false" ht="15" hidden="false" customHeight="false" outlineLevel="0" collapsed="false">
      <c r="A32" s="53" t="s">
        <v>440</v>
      </c>
      <c r="B32" s="54" t="s">
        <v>228</v>
      </c>
      <c r="C32" s="91" t="n">
        <f aca="false">INDEX(Arch!$C$28:$E$28,C$7)</f>
        <v>5.412</v>
      </c>
      <c r="D32" s="91" t="n">
        <f aca="false">INDEX(Arch!$C$28:$E$28,D$7)</f>
        <v>20.2777777777778</v>
      </c>
      <c r="E32" s="91" t="n">
        <f aca="false">INDEX(Arch!$C$28:$E$28,E$7)</f>
        <v>49.0725806451613</v>
      </c>
      <c r="F32" s="91" t="n">
        <f aca="false">INDEX(Arch!$C$28:$E$28,F$7)</f>
        <v>5.412</v>
      </c>
      <c r="G32" s="91" t="n">
        <f aca="false">INDEX(Arch!$C$28:$E$28,G$7)</f>
        <v>20.2777777777778</v>
      </c>
      <c r="H32" s="91" t="n">
        <f aca="false">INDEX(Arch!$C$28:$E$28,H$7)</f>
        <v>49.0725806451613</v>
      </c>
      <c r="I32" s="91" t="n">
        <f aca="false">INDEX(Arch!$C$28:$E$28,I$7)</f>
        <v>5.412</v>
      </c>
      <c r="J32" s="91" t="n">
        <f aca="false">INDEX(Arch!$C$28:$E$28,J$7)</f>
        <v>20.2777777777778</v>
      </c>
      <c r="K32" s="91" t="n">
        <f aca="false">INDEX(Arch!$C$28:$E$28,K$7)</f>
        <v>49.0725806451613</v>
      </c>
      <c r="L32" s="91" t="n">
        <f aca="false">INDEX(Arch!$C$28:$E$28,L$7)</f>
        <v>5.412</v>
      </c>
      <c r="M32" s="91" t="n">
        <f aca="false">INDEX(Arch!$C$28:$E$28,M$7)</f>
        <v>20.2777777777778</v>
      </c>
      <c r="N32" s="91" t="n">
        <f aca="false">INDEX(Arch!$C$28:$E$28,N$7)</f>
        <v>49.0725806451613</v>
      </c>
      <c r="O32" s="91" t="n">
        <f aca="false">INDEX(Arch!$C$28:$E$28,O$7)</f>
        <v>5.412</v>
      </c>
      <c r="P32" s="91" t="n">
        <f aca="false">INDEX(Arch!$C$28:$E$28,P$7)</f>
        <v>20.2777777777778</v>
      </c>
      <c r="Q32" s="91" t="n">
        <f aca="false">INDEX(Arch!$C$28:$E$28,Q$7)</f>
        <v>49.0725806451613</v>
      </c>
    </row>
    <row r="33" customFormat="false" ht="15" hidden="false" customHeight="false" outlineLevel="0" collapsed="false">
      <c r="A33" s="53" t="s">
        <v>270</v>
      </c>
      <c r="B33" s="54" t="s">
        <v>228</v>
      </c>
      <c r="C33" s="55" t="n">
        <f aca="false">INDEX(Arch!$C$29:$E$29,C$7)</f>
        <v>278.588</v>
      </c>
      <c r="D33" s="55" t="n">
        <f aca="false">INDEX(Arch!$C$29:$E$29,D$7)</f>
        <v>1579.72222222222</v>
      </c>
      <c r="E33" s="55" t="n">
        <f aca="false">INDEX(Arch!$C$29:$E$29,E$7)</f>
        <v>3950.92741935484</v>
      </c>
      <c r="F33" s="55" t="n">
        <f aca="false">INDEX(Arch!$C$29:$E$29,F$7)</f>
        <v>278.588</v>
      </c>
      <c r="G33" s="55" t="n">
        <f aca="false">INDEX(Arch!$C$29:$E$29,G$7)</f>
        <v>1579.72222222222</v>
      </c>
      <c r="H33" s="55" t="n">
        <f aca="false">INDEX(Arch!$C$29:$E$29,H$7)</f>
        <v>3950.92741935484</v>
      </c>
      <c r="I33" s="55" t="n">
        <f aca="false">INDEX(Arch!$C$29:$E$29,I$7)</f>
        <v>278.588</v>
      </c>
      <c r="J33" s="55" t="n">
        <f aca="false">INDEX(Arch!$C$29:$E$29,J$7)</f>
        <v>1579.72222222222</v>
      </c>
      <c r="K33" s="55" t="n">
        <f aca="false">INDEX(Arch!$C$29:$E$29,K$7)</f>
        <v>3950.92741935484</v>
      </c>
      <c r="L33" s="55" t="n">
        <f aca="false">INDEX(Arch!$C$29:$E$29,L$7)</f>
        <v>278.588</v>
      </c>
      <c r="M33" s="55" t="n">
        <f aca="false">INDEX(Arch!$C$29:$E$29,M$7)</f>
        <v>1579.72222222222</v>
      </c>
      <c r="N33" s="55" t="n">
        <f aca="false">INDEX(Arch!$C$29:$E$29,N$7)</f>
        <v>3950.92741935484</v>
      </c>
      <c r="O33" s="55" t="n">
        <f aca="false">INDEX(Arch!$C$29:$E$29,O$7)</f>
        <v>278.588</v>
      </c>
      <c r="P33" s="55" t="n">
        <f aca="false">INDEX(Arch!$C$29:$E$29,P$7)</f>
        <v>1579.72222222222</v>
      </c>
      <c r="Q33" s="55" t="n">
        <f aca="false">INDEX(Arch!$C$29:$E$29,Q$7)</f>
        <v>3950.92741935484</v>
      </c>
    </row>
    <row r="34" customFormat="false" ht="15" hidden="false" customHeight="false" outlineLevel="0" collapsed="false">
      <c r="A34" s="54" t="s">
        <v>697</v>
      </c>
      <c r="B34" s="54" t="s">
        <v>228</v>
      </c>
      <c r="C34" s="55" t="n">
        <f aca="false">INDEX(Arch!$C$25:$E$25,C$7)*C11</f>
        <v>2795</v>
      </c>
      <c r="D34" s="55" t="n">
        <f aca="false">INDEX(Arch!$C$25:$E$25,D$7)*D11</f>
        <v>3965</v>
      </c>
      <c r="E34" s="55" t="n">
        <f aca="false">INDEX(Arch!$C$25:$E$25,E$7)*E11</f>
        <v>57600</v>
      </c>
      <c r="F34" s="55" t="n">
        <f aca="false">INDEX(Arch!$C$25:$E$25,F$7)*F11</f>
        <v>2795</v>
      </c>
      <c r="G34" s="55" t="n">
        <f aca="false">INDEX(Arch!$C$25:$E$25,G$7)*G11</f>
        <v>3965</v>
      </c>
      <c r="H34" s="55" t="n">
        <f aca="false">INDEX(Arch!$C$25:$E$25,H$7)*H11</f>
        <v>57600</v>
      </c>
      <c r="I34" s="55" t="n">
        <f aca="false">INDEX(Arch!$C$25:$E$25,I$7)*I11</f>
        <v>2795</v>
      </c>
      <c r="J34" s="55" t="n">
        <f aca="false">INDEX(Arch!$C$25:$E$25,J$7)*J11</f>
        <v>3965</v>
      </c>
      <c r="K34" s="55" t="n">
        <f aca="false">INDEX(Arch!$C$25:$E$25,K$7)*K11</f>
        <v>57600</v>
      </c>
      <c r="L34" s="55" t="n">
        <f aca="false">INDEX(Arch!$C$25:$E$25,L$7)*L11</f>
        <v>2795</v>
      </c>
      <c r="M34" s="55" t="n">
        <f aca="false">INDEX(Arch!$C$25:$E$25,M$7)*M11</f>
        <v>3965</v>
      </c>
      <c r="N34" s="55" t="n">
        <f aca="false">INDEX(Arch!$C$25:$E$25,N$7)*N11</f>
        <v>57600</v>
      </c>
      <c r="O34" s="55" t="n">
        <f aca="false">INDEX(Arch!$C$25:$E$25,O$7)*O11</f>
        <v>2795</v>
      </c>
      <c r="P34" s="55" t="n">
        <f aca="false">INDEX(Arch!$C$25:$E$25,P$7)*P11</f>
        <v>3965</v>
      </c>
      <c r="Q34" s="55" t="n">
        <f aca="false">INDEX(Arch!$C$25:$E$25,Q$7)*Q11</f>
        <v>57600</v>
      </c>
    </row>
    <row r="35" customFormat="false" ht="15" hidden="false" customHeight="false" outlineLevel="0" collapsed="false">
      <c r="A35" s="53" t="s">
        <v>442</v>
      </c>
      <c r="B35" s="54" t="s">
        <v>272</v>
      </c>
      <c r="C35" s="55" t="n">
        <f aca="false">INDEX(Arch!$C$30:$E$30,C$7)</f>
        <v>5636096</v>
      </c>
      <c r="D35" s="55" t="n">
        <f aca="false">INDEX(Arch!$C$30:$E$30,D$7)</f>
        <v>15990784</v>
      </c>
      <c r="E35" s="55" t="n">
        <f aca="false">INDEX(Arch!$C$30:$E$30,E$7)</f>
        <v>4915200</v>
      </c>
      <c r="F35" s="55" t="n">
        <f aca="false">INDEX(Arch!$C$30:$E$30,F$7)</f>
        <v>5636096</v>
      </c>
      <c r="G35" s="55" t="n">
        <f aca="false">INDEX(Arch!$C$30:$E$30,G$7)</f>
        <v>15990784</v>
      </c>
      <c r="H35" s="55" t="n">
        <f aca="false">INDEX(Arch!$C$30:$E$30,H$7)</f>
        <v>4915200</v>
      </c>
      <c r="I35" s="55" t="n">
        <f aca="false">INDEX(Arch!$C$30:$E$30,I$7)</f>
        <v>5636096</v>
      </c>
      <c r="J35" s="55" t="n">
        <f aca="false">INDEX(Arch!$C$30:$E$30,J$7)</f>
        <v>15990784</v>
      </c>
      <c r="K35" s="55" t="n">
        <f aca="false">INDEX(Arch!$C$30:$E$30,K$7)</f>
        <v>4915200</v>
      </c>
      <c r="L35" s="55" t="n">
        <f aca="false">INDEX(Arch!$C$30:$E$30,L$7)</f>
        <v>5636096</v>
      </c>
      <c r="M35" s="55" t="n">
        <f aca="false">INDEX(Arch!$C$30:$E$30,M$7)</f>
        <v>15990784</v>
      </c>
      <c r="N35" s="55" t="n">
        <f aca="false">INDEX(Arch!$C$30:$E$30,N$7)</f>
        <v>4915200</v>
      </c>
      <c r="O35" s="55" t="n">
        <f aca="false">INDEX(Arch!$C$30:$E$30,O$7)</f>
        <v>5636096</v>
      </c>
      <c r="P35" s="55" t="n">
        <f aca="false">INDEX(Arch!$C$30:$E$30,P$7)</f>
        <v>15990784</v>
      </c>
      <c r="Q35" s="55" t="n">
        <f aca="false">INDEX(Arch!$C$30:$E$30,Q$7)</f>
        <v>4915200</v>
      </c>
    </row>
    <row r="36" customFormat="false" ht="15" hidden="false" customHeight="false" outlineLevel="0" collapsed="false">
      <c r="A36" s="53" t="s">
        <v>246</v>
      </c>
      <c r="B36" s="54" t="s">
        <v>71</v>
      </c>
      <c r="C36" s="57" t="n">
        <f aca="false">INDEX(Arch!$C$16:$E$16,C$7)</f>
        <v>0.512</v>
      </c>
      <c r="D36" s="57" t="n">
        <f aca="false">INDEX(Arch!$C$16:$E$16,D$7)</f>
        <v>0.492</v>
      </c>
      <c r="E36" s="57" t="n">
        <f aca="false">INDEX(Arch!$C$16:$E$16,E$7)</f>
        <v>1</v>
      </c>
      <c r="F36" s="57" t="n">
        <f aca="false">INDEX(Arch!$C$16:$E$16,F$7)</f>
        <v>0.512</v>
      </c>
      <c r="G36" s="57" t="n">
        <f aca="false">INDEX(Arch!$C$16:$E$16,G$7)</f>
        <v>0.492</v>
      </c>
      <c r="H36" s="57" t="n">
        <f aca="false">INDEX(Arch!$C$16:$E$16,H$7)</f>
        <v>1</v>
      </c>
      <c r="I36" s="57" t="n">
        <f aca="false">INDEX(Arch!$C$16:$E$16,I$7)</f>
        <v>0.512</v>
      </c>
      <c r="J36" s="57" t="n">
        <f aca="false">INDEX(Arch!$C$16:$E$16,J$7)</f>
        <v>0.492</v>
      </c>
      <c r="K36" s="57" t="n">
        <f aca="false">INDEX(Arch!$C$16:$E$16,K$7)</f>
        <v>1</v>
      </c>
      <c r="L36" s="57" t="n">
        <f aca="false">INDEX(Arch!$C$16:$E$16,L$7)</f>
        <v>0.512</v>
      </c>
      <c r="M36" s="57" t="n">
        <f aca="false">INDEX(Arch!$C$16:$E$16,M$7)</f>
        <v>0.492</v>
      </c>
      <c r="N36" s="57" t="n">
        <f aca="false">INDEX(Arch!$C$16:$E$16,N$7)</f>
        <v>1</v>
      </c>
      <c r="O36" s="57" t="n">
        <f aca="false">INDEX(Arch!$C$16:$E$16,O$7)</f>
        <v>0.512</v>
      </c>
      <c r="P36" s="57" t="n">
        <f aca="false">INDEX(Arch!$C$16:$E$16,P$7)</f>
        <v>0.492</v>
      </c>
      <c r="Q36" s="57" t="n">
        <f aca="false">INDEX(Arch!$C$16:$E$16,Q$7)</f>
        <v>1</v>
      </c>
    </row>
    <row r="37" customFormat="false" ht="15" hidden="false" customHeight="false" outlineLevel="0" collapsed="false">
      <c r="A37" s="53" t="s">
        <v>698</v>
      </c>
      <c r="B37" s="54" t="s">
        <v>249</v>
      </c>
      <c r="C37" s="55" t="n">
        <f aca="false">INDEX(Arch!$C$17:$E$17,C$7)</f>
        <v>4224</v>
      </c>
      <c r="D37" s="55" t="n">
        <f aca="false">INDEX(Arch!$C$17:$E$17,D$7)</f>
        <v>4224</v>
      </c>
      <c r="E37" s="55" t="n">
        <f aca="false">INDEX(Arch!$C$17:$E$17,E$7)</f>
        <v>0</v>
      </c>
      <c r="F37" s="55" t="n">
        <f aca="false">INDEX(Arch!$C$17:$E$17,F$7)</f>
        <v>4224</v>
      </c>
      <c r="G37" s="55" t="n">
        <f aca="false">INDEX(Arch!$C$17:$E$17,G$7)</f>
        <v>4224</v>
      </c>
      <c r="H37" s="55" t="n">
        <f aca="false">INDEX(Arch!$C$17:$E$17,H$7)</f>
        <v>0</v>
      </c>
      <c r="I37" s="55" t="n">
        <f aca="false">INDEX(Arch!$C$17:$E$17,I$7)</f>
        <v>4224</v>
      </c>
      <c r="J37" s="55" t="n">
        <f aca="false">INDEX(Arch!$C$17:$E$17,J$7)</f>
        <v>4224</v>
      </c>
      <c r="K37" s="55" t="n">
        <f aca="false">INDEX(Arch!$C$17:$E$17,K$7)</f>
        <v>0</v>
      </c>
      <c r="L37" s="55" t="n">
        <f aca="false">INDEX(Arch!$C$17:$E$17,L$7)</f>
        <v>4224</v>
      </c>
      <c r="M37" s="55" t="n">
        <f aca="false">INDEX(Arch!$C$17:$E$17,M$7)</f>
        <v>4224</v>
      </c>
      <c r="N37" s="55" t="n">
        <f aca="false">INDEX(Arch!$C$17:$E$17,N$7)</f>
        <v>0</v>
      </c>
      <c r="O37" s="55" t="n">
        <f aca="false">INDEX(Arch!$C$17:$E$17,O$7)</f>
        <v>4224</v>
      </c>
      <c r="P37" s="55" t="n">
        <f aca="false">INDEX(Arch!$C$17:$E$17,P$7)</f>
        <v>4224</v>
      </c>
      <c r="Q37" s="55" t="n">
        <f aca="false">INDEX(Arch!$C$17:$E$17,Q$7)</f>
        <v>0</v>
      </c>
    </row>
    <row r="38" customFormat="false" ht="15" hidden="false" customHeight="false" outlineLevel="0" collapsed="false">
      <c r="A38" s="53" t="s">
        <v>252</v>
      </c>
      <c r="B38" s="54" t="s">
        <v>75</v>
      </c>
      <c r="C38" s="55" t="n">
        <f aca="false">INDEX(Arch!$C$18:$E$18,C$7)</f>
        <v>128</v>
      </c>
      <c r="D38" s="55" t="n">
        <f aca="false">INDEX(Arch!$C$18:$E$18,D$7)</f>
        <v>128</v>
      </c>
      <c r="E38" s="55" t="n">
        <f aca="false">INDEX(Arch!$C$18:$E$18,E$7)</f>
        <v>1</v>
      </c>
      <c r="F38" s="55" t="n">
        <f aca="false">INDEX(Arch!$C$18:$E$18,F$7)</f>
        <v>128</v>
      </c>
      <c r="G38" s="55" t="n">
        <f aca="false">INDEX(Arch!$C$18:$E$18,G$7)</f>
        <v>128</v>
      </c>
      <c r="H38" s="55" t="n">
        <f aca="false">INDEX(Arch!$C$18:$E$18,H$7)</f>
        <v>1</v>
      </c>
      <c r="I38" s="55" t="n">
        <f aca="false">INDEX(Arch!$C$18:$E$18,I$7)</f>
        <v>128</v>
      </c>
      <c r="J38" s="55" t="n">
        <f aca="false">INDEX(Arch!$C$18:$E$18,J$7)</f>
        <v>128</v>
      </c>
      <c r="K38" s="55" t="n">
        <f aca="false">INDEX(Arch!$C$18:$E$18,K$7)</f>
        <v>1</v>
      </c>
      <c r="L38" s="55" t="n">
        <f aca="false">INDEX(Arch!$C$18:$E$18,L$7)</f>
        <v>128</v>
      </c>
      <c r="M38" s="55" t="n">
        <f aca="false">INDEX(Arch!$C$18:$E$18,M$7)</f>
        <v>128</v>
      </c>
      <c r="N38" s="55" t="n">
        <f aca="false">INDEX(Arch!$C$18:$E$18,N$7)</f>
        <v>1</v>
      </c>
      <c r="O38" s="55" t="n">
        <f aca="false">INDEX(Arch!$C$18:$E$18,O$7)</f>
        <v>128</v>
      </c>
      <c r="P38" s="55" t="n">
        <f aca="false">INDEX(Arch!$C$18:$E$18,P$7)</f>
        <v>128</v>
      </c>
      <c r="Q38" s="55" t="n">
        <f aca="false">INDEX(Arch!$C$18:$E$18,Q$7)</f>
        <v>1</v>
      </c>
    </row>
    <row r="39" customFormat="false" ht="15" hidden="false" customHeight="false" outlineLevel="0" collapsed="false">
      <c r="A39" s="53" t="s">
        <v>254</v>
      </c>
      <c r="B39" s="54" t="s">
        <v>249</v>
      </c>
      <c r="C39" s="55" t="n">
        <f aca="false">INDEX(Arch!$C$19:$E$19,C$7)</f>
        <v>128</v>
      </c>
      <c r="D39" s="55" t="n">
        <f aca="false">INDEX(Arch!$C$19:$E$19,D$7)</f>
        <v>128</v>
      </c>
      <c r="E39" s="55" t="n">
        <f aca="false">INDEX(Arch!$C$19:$E$19,E$7)</f>
        <v>0</v>
      </c>
      <c r="F39" s="55" t="n">
        <f aca="false">INDEX(Arch!$C$19:$E$19,F$7)</f>
        <v>128</v>
      </c>
      <c r="G39" s="55" t="n">
        <f aca="false">INDEX(Arch!$C$19:$E$19,G$7)</f>
        <v>128</v>
      </c>
      <c r="H39" s="55" t="n">
        <f aca="false">INDEX(Arch!$C$19:$E$19,H$7)</f>
        <v>0</v>
      </c>
      <c r="I39" s="55" t="n">
        <f aca="false">INDEX(Arch!$C$19:$E$19,I$7)</f>
        <v>128</v>
      </c>
      <c r="J39" s="55" t="n">
        <f aca="false">INDEX(Arch!$C$19:$E$19,J$7)</f>
        <v>128</v>
      </c>
      <c r="K39" s="55" t="n">
        <f aca="false">INDEX(Arch!$C$19:$E$19,K$7)</f>
        <v>0</v>
      </c>
      <c r="L39" s="55" t="n">
        <f aca="false">INDEX(Arch!$C$19:$E$19,L$7)</f>
        <v>128</v>
      </c>
      <c r="M39" s="55" t="n">
        <f aca="false">INDEX(Arch!$C$19:$E$19,M$7)</f>
        <v>128</v>
      </c>
      <c r="N39" s="55" t="n">
        <f aca="false">INDEX(Arch!$C$19:$E$19,N$7)</f>
        <v>0</v>
      </c>
      <c r="O39" s="55" t="n">
        <f aca="false">INDEX(Arch!$C$19:$E$19,O$7)</f>
        <v>128</v>
      </c>
      <c r="P39" s="55" t="n">
        <f aca="false">INDEX(Arch!$C$19:$E$19,P$7)</f>
        <v>128</v>
      </c>
      <c r="Q39" s="55" t="n">
        <f aca="false">INDEX(Arch!$C$19:$E$19,Q$7)</f>
        <v>0</v>
      </c>
    </row>
    <row r="40" customFormat="false" ht="15" hidden="false" customHeight="false" outlineLevel="0" collapsed="false">
      <c r="A40" s="68" t="s">
        <v>699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</row>
    <row r="41" customFormat="false" ht="15" hidden="false" customHeight="false" outlineLevel="0" collapsed="false">
      <c r="A41" s="54" t="s">
        <v>329</v>
      </c>
      <c r="B41" s="54" t="s">
        <v>330</v>
      </c>
      <c r="C41" s="55" t="n">
        <f aca="false">INDEX(Serving!$C$21:$E$21,C$7)</f>
        <v>120</v>
      </c>
      <c r="D41" s="55" t="n">
        <f aca="false">INDEX(Serving!$C$21:$E$21,D$7)</f>
        <v>65</v>
      </c>
      <c r="E41" s="55" t="n">
        <f aca="false">INDEX(Serving!$C$21:$E$21,E$7)</f>
        <v>55</v>
      </c>
      <c r="F41" s="55" t="n">
        <f aca="false">INDEX(Serving!$C$21:$E$21,F$7)</f>
        <v>120</v>
      </c>
      <c r="G41" s="55" t="n">
        <f aca="false">INDEX(Serving!$C$21:$E$21,G$7)</f>
        <v>65</v>
      </c>
      <c r="H41" s="55" t="n">
        <f aca="false">INDEX(Serving!$C$21:$E$21,H$7)</f>
        <v>55</v>
      </c>
      <c r="I41" s="55" t="n">
        <f aca="false">INDEX(Serving!$C$21:$E$21,I$7)</f>
        <v>120</v>
      </c>
      <c r="J41" s="55" t="n">
        <f aca="false">INDEX(Serving!$C$21:$E$21,J$7)</f>
        <v>65</v>
      </c>
      <c r="K41" s="55" t="n">
        <f aca="false">INDEX(Serving!$C$21:$E$21,K$7)</f>
        <v>55</v>
      </c>
      <c r="L41" s="55" t="n">
        <f aca="false">INDEX(Serving!$C$21:$E$21,L$7)</f>
        <v>120</v>
      </c>
      <c r="M41" s="55" t="n">
        <f aca="false">INDEX(Serving!$C$21:$E$21,M$7)</f>
        <v>65</v>
      </c>
      <c r="N41" s="55" t="n">
        <f aca="false">INDEX(Serving!$C$21:$E$21,N$7)</f>
        <v>55</v>
      </c>
      <c r="O41" s="55" t="n">
        <f aca="false">INDEX(Serving!$C$21:$E$21,O$7)</f>
        <v>120</v>
      </c>
      <c r="P41" s="55" t="n">
        <f aca="false">INDEX(Serving!$C$21:$E$21,P$7)</f>
        <v>65</v>
      </c>
      <c r="Q41" s="55" t="n">
        <f aca="false">INDEX(Serving!$C$21:$E$21,Q$7)</f>
        <v>55</v>
      </c>
    </row>
    <row r="42" customFormat="false" ht="15" hidden="false" customHeight="false" outlineLevel="0" collapsed="false">
      <c r="A42" s="54" t="s">
        <v>700</v>
      </c>
      <c r="B42" s="54" t="s">
        <v>333</v>
      </c>
      <c r="C42" s="101" t="n">
        <f aca="false">INDEX(Serving!$C$22:$E$22,C$7)</f>
        <v>2</v>
      </c>
      <c r="D42" s="101" t="n">
        <f aca="false">INDEX(Serving!$C$22:$E$22,D$7)</f>
        <v>3</v>
      </c>
      <c r="E42" s="101" t="n">
        <f aca="false">INDEX(Serving!$C$22:$E$22,E$7)</f>
        <v>5</v>
      </c>
      <c r="F42" s="101" t="n">
        <f aca="false">INDEX(Serving!$C$22:$E$22,F$7)</f>
        <v>2</v>
      </c>
      <c r="G42" s="101" t="n">
        <f aca="false">INDEX(Serving!$C$22:$E$22,G$7)</f>
        <v>3</v>
      </c>
      <c r="H42" s="101" t="n">
        <f aca="false">INDEX(Serving!$C$22:$E$22,H$7)</f>
        <v>5</v>
      </c>
      <c r="I42" s="101" t="n">
        <f aca="false">INDEX(Serving!$C$22:$E$22,I$7)</f>
        <v>2</v>
      </c>
      <c r="J42" s="101" t="n">
        <f aca="false">INDEX(Serving!$C$22:$E$22,J$7)</f>
        <v>3</v>
      </c>
      <c r="K42" s="101" t="n">
        <f aca="false">INDEX(Serving!$C$22:$E$22,K$7)</f>
        <v>5</v>
      </c>
      <c r="L42" s="101" t="n">
        <f aca="false">INDEX(Serving!$C$22:$E$22,L$7)</f>
        <v>2</v>
      </c>
      <c r="M42" s="101" t="n">
        <f aca="false">INDEX(Serving!$C$22:$E$22,M$7)</f>
        <v>3</v>
      </c>
      <c r="N42" s="101" t="n">
        <f aca="false">INDEX(Serving!$C$22:$E$22,N$7)</f>
        <v>5</v>
      </c>
      <c r="O42" s="101" t="n">
        <f aca="false">INDEX(Serving!$C$22:$E$22,O$7)</f>
        <v>2</v>
      </c>
      <c r="P42" s="101" t="n">
        <f aca="false">INDEX(Serving!$C$22:$E$22,P$7)</f>
        <v>3</v>
      </c>
      <c r="Q42" s="101" t="n">
        <f aca="false">INDEX(Serving!$C$22:$E$22,Q$7)</f>
        <v>5</v>
      </c>
    </row>
    <row r="43" customFormat="false" ht="15" hidden="false" customHeight="false" outlineLevel="0" collapsed="false">
      <c r="A43" s="53" t="s">
        <v>701</v>
      </c>
      <c r="B43" s="54" t="s">
        <v>249</v>
      </c>
      <c r="C43" s="55" t="n">
        <f aca="false">INDEX(Serving!$C$23:$E$23,C$7)</f>
        <v>8192</v>
      </c>
      <c r="D43" s="55" t="n">
        <f aca="false">INDEX(Serving!$C$23:$E$23,D$7)</f>
        <v>16384</v>
      </c>
      <c r="E43" s="55" t="n">
        <f aca="false">INDEX(Serving!$C$23:$E$23,E$7)</f>
        <v>32768</v>
      </c>
      <c r="F43" s="55" t="n">
        <f aca="false">INDEX(Serving!$C$23:$E$23,F$7)</f>
        <v>8192</v>
      </c>
      <c r="G43" s="55" t="n">
        <f aca="false">INDEX(Serving!$C$23:$E$23,G$7)</f>
        <v>16384</v>
      </c>
      <c r="H43" s="55" t="n">
        <f aca="false">INDEX(Serving!$C$23:$E$23,H$7)</f>
        <v>32768</v>
      </c>
      <c r="I43" s="55" t="n">
        <f aca="false">INDEX(Serving!$C$23:$E$23,I$7)</f>
        <v>8192</v>
      </c>
      <c r="J43" s="55" t="n">
        <f aca="false">INDEX(Serving!$C$23:$E$23,J$7)</f>
        <v>16384</v>
      </c>
      <c r="K43" s="55" t="n">
        <f aca="false">INDEX(Serving!$C$23:$E$23,K$7)</f>
        <v>32768</v>
      </c>
      <c r="L43" s="55" t="n">
        <f aca="false">INDEX(Serving!$C$23:$E$23,L$7)</f>
        <v>8192</v>
      </c>
      <c r="M43" s="55" t="n">
        <f aca="false">INDEX(Serving!$C$23:$E$23,M$7)</f>
        <v>16384</v>
      </c>
      <c r="N43" s="55" t="n">
        <f aca="false">INDEX(Serving!$C$23:$E$23,N$7)</f>
        <v>32768</v>
      </c>
      <c r="O43" s="55" t="n">
        <f aca="false">INDEX(Serving!$C$23:$E$23,O$7)</f>
        <v>8192</v>
      </c>
      <c r="P43" s="55" t="n">
        <f aca="false">INDEX(Serving!$C$23:$E$23,P$7)</f>
        <v>16384</v>
      </c>
      <c r="Q43" s="55" t="n">
        <f aca="false">INDEX(Serving!$C$23:$E$23,Q$7)</f>
        <v>32768</v>
      </c>
    </row>
    <row r="44" customFormat="false" ht="15" hidden="false" customHeight="false" outlineLevel="0" collapsed="false">
      <c r="A44" s="53" t="s">
        <v>336</v>
      </c>
      <c r="B44" s="54" t="s">
        <v>249</v>
      </c>
      <c r="C44" s="55" t="n">
        <f aca="false">INDEX(Serving!$C$24:$E$24,C$7)</f>
        <v>1024</v>
      </c>
      <c r="D44" s="55" t="n">
        <f aca="false">INDEX(Serving!$C$24:$E$24,D$7)</f>
        <v>2048</v>
      </c>
      <c r="E44" s="55" t="n">
        <f aca="false">INDEX(Serving!$C$24:$E$24,E$7)</f>
        <v>4096</v>
      </c>
      <c r="F44" s="55" t="n">
        <f aca="false">INDEX(Serving!$C$24:$E$24,F$7)</f>
        <v>1024</v>
      </c>
      <c r="G44" s="55" t="n">
        <f aca="false">INDEX(Serving!$C$24:$E$24,G$7)</f>
        <v>2048</v>
      </c>
      <c r="H44" s="55" t="n">
        <f aca="false">INDEX(Serving!$C$24:$E$24,H$7)</f>
        <v>4096</v>
      </c>
      <c r="I44" s="55" t="n">
        <f aca="false">INDEX(Serving!$C$24:$E$24,I$7)</f>
        <v>1024</v>
      </c>
      <c r="J44" s="55" t="n">
        <f aca="false">INDEX(Serving!$C$24:$E$24,J$7)</f>
        <v>2048</v>
      </c>
      <c r="K44" s="55" t="n">
        <f aca="false">INDEX(Serving!$C$24:$E$24,K$7)</f>
        <v>4096</v>
      </c>
      <c r="L44" s="55" t="n">
        <f aca="false">INDEX(Serving!$C$24:$E$24,L$7)</f>
        <v>1024</v>
      </c>
      <c r="M44" s="55" t="n">
        <f aca="false">INDEX(Serving!$C$24:$E$24,M$7)</f>
        <v>2048</v>
      </c>
      <c r="N44" s="55" t="n">
        <f aca="false">INDEX(Serving!$C$24:$E$24,N$7)</f>
        <v>4096</v>
      </c>
      <c r="O44" s="55" t="n">
        <f aca="false">INDEX(Serving!$C$24:$E$24,O$7)</f>
        <v>1024</v>
      </c>
      <c r="P44" s="55" t="n">
        <f aca="false">INDEX(Serving!$C$24:$E$24,P$7)</f>
        <v>2048</v>
      </c>
      <c r="Q44" s="55" t="n">
        <f aca="false">INDEX(Serving!$C$24:$E$24,Q$7)</f>
        <v>4096</v>
      </c>
    </row>
    <row r="45" customFormat="false" ht="15" hidden="false" customHeight="false" outlineLevel="0" collapsed="false">
      <c r="A45" s="54" t="s">
        <v>337</v>
      </c>
      <c r="B45" s="54" t="s">
        <v>249</v>
      </c>
      <c r="C45" s="60" t="n">
        <f aca="false">C43+C44/2</f>
        <v>8704</v>
      </c>
      <c r="D45" s="60" t="n">
        <f aca="false">D43+D44/2</f>
        <v>17408</v>
      </c>
      <c r="E45" s="60" t="n">
        <f aca="false">E43+E44/2</f>
        <v>34816</v>
      </c>
      <c r="F45" s="60" t="n">
        <f aca="false">F43+F44/2</f>
        <v>8704</v>
      </c>
      <c r="G45" s="60" t="n">
        <f aca="false">G43+G44/2</f>
        <v>17408</v>
      </c>
      <c r="H45" s="60" t="n">
        <f aca="false">H43+H44/2</f>
        <v>34816</v>
      </c>
      <c r="I45" s="60" t="n">
        <f aca="false">I43+I44/2</f>
        <v>8704</v>
      </c>
      <c r="J45" s="60" t="n">
        <f aca="false">J43+J44/2</f>
        <v>17408</v>
      </c>
      <c r="K45" s="60" t="n">
        <f aca="false">K43+K44/2</f>
        <v>34816</v>
      </c>
      <c r="L45" s="60" t="n">
        <f aca="false">L43+L44/2</f>
        <v>8704</v>
      </c>
      <c r="M45" s="60" t="n">
        <f aca="false">M43+M44/2</f>
        <v>17408</v>
      </c>
      <c r="N45" s="60" t="n">
        <f aca="false">N43+N44/2</f>
        <v>34816</v>
      </c>
      <c r="O45" s="60" t="n">
        <f aca="false">O43+O44/2</f>
        <v>8704</v>
      </c>
      <c r="P45" s="60" t="n">
        <f aca="false">P43+P44/2</f>
        <v>17408</v>
      </c>
      <c r="Q45" s="60" t="n">
        <f aca="false">Q43+Q44/2</f>
        <v>34816</v>
      </c>
    </row>
    <row r="46" customFormat="false" ht="15" hidden="false" customHeight="false" outlineLevel="0" collapsed="false">
      <c r="A46" s="54" t="s">
        <v>338</v>
      </c>
      <c r="B46" s="54" t="s">
        <v>249</v>
      </c>
      <c r="C46" s="60" t="n">
        <f aca="false">C43/2</f>
        <v>4096</v>
      </c>
      <c r="D46" s="60" t="n">
        <f aca="false">D43/2</f>
        <v>8192</v>
      </c>
      <c r="E46" s="60" t="n">
        <f aca="false">E43/2</f>
        <v>16384</v>
      </c>
      <c r="F46" s="60" t="n">
        <f aca="false">F43/2</f>
        <v>4096</v>
      </c>
      <c r="G46" s="60" t="n">
        <f aca="false">G43/2</f>
        <v>8192</v>
      </c>
      <c r="H46" s="60" t="n">
        <f aca="false">H43/2</f>
        <v>16384</v>
      </c>
      <c r="I46" s="60" t="n">
        <f aca="false">I43/2</f>
        <v>4096</v>
      </c>
      <c r="J46" s="60" t="n">
        <f aca="false">J43/2</f>
        <v>8192</v>
      </c>
      <c r="K46" s="60" t="n">
        <f aca="false">K43/2</f>
        <v>16384</v>
      </c>
      <c r="L46" s="60" t="n">
        <f aca="false">L43/2</f>
        <v>4096</v>
      </c>
      <c r="M46" s="60" t="n">
        <f aca="false">M43/2</f>
        <v>8192</v>
      </c>
      <c r="N46" s="60" t="n">
        <f aca="false">N43/2</f>
        <v>16384</v>
      </c>
      <c r="O46" s="60" t="n">
        <f aca="false">O43/2</f>
        <v>4096</v>
      </c>
      <c r="P46" s="60" t="n">
        <f aca="false">P43/2</f>
        <v>8192</v>
      </c>
      <c r="Q46" s="60" t="n">
        <f aca="false">Q43/2</f>
        <v>16384</v>
      </c>
    </row>
    <row r="47" customFormat="false" ht="15" hidden="false" customHeight="false" outlineLevel="0" collapsed="false">
      <c r="A47" s="54" t="s">
        <v>702</v>
      </c>
      <c r="B47" s="54" t="s">
        <v>249</v>
      </c>
      <c r="C47" s="82" t="n">
        <f aca="false">Serving!$C$6</f>
        <v>3</v>
      </c>
      <c r="D47" s="82" t="n">
        <f aca="false">Serving!$C$6</f>
        <v>3</v>
      </c>
      <c r="E47" s="82" t="n">
        <f aca="false">Serving!$C$6</f>
        <v>3</v>
      </c>
      <c r="F47" s="82" t="n">
        <f aca="false">Serving!$C$6</f>
        <v>3</v>
      </c>
      <c r="G47" s="82" t="n">
        <f aca="false">Serving!$C$6</f>
        <v>3</v>
      </c>
      <c r="H47" s="82" t="n">
        <f aca="false">Serving!$C$6</f>
        <v>3</v>
      </c>
      <c r="I47" s="82" t="n">
        <f aca="false">Serving!$C$6</f>
        <v>3</v>
      </c>
      <c r="J47" s="82" t="n">
        <f aca="false">Serving!$C$6</f>
        <v>3</v>
      </c>
      <c r="K47" s="82" t="n">
        <f aca="false">Serving!$C$6</f>
        <v>3</v>
      </c>
      <c r="L47" s="82" t="n">
        <f aca="false">Serving!$C$6</f>
        <v>3</v>
      </c>
      <c r="M47" s="82" t="n">
        <f aca="false">Serving!$C$6</f>
        <v>3</v>
      </c>
      <c r="N47" s="82" t="n">
        <f aca="false">Serving!$C$6</f>
        <v>3</v>
      </c>
      <c r="O47" s="82" t="n">
        <f aca="false">Serving!$C$6</f>
        <v>3</v>
      </c>
      <c r="P47" s="82" t="n">
        <f aca="false">Serving!$C$6</f>
        <v>3</v>
      </c>
      <c r="Q47" s="82" t="n">
        <f aca="false">Serving!$C$6</f>
        <v>3</v>
      </c>
    </row>
    <row r="48" customFormat="false" ht="15" hidden="false" customHeight="false" outlineLevel="0" collapsed="false">
      <c r="A48" s="53" t="s">
        <v>703</v>
      </c>
      <c r="B48" s="54" t="s">
        <v>71</v>
      </c>
      <c r="C48" s="57" t="n">
        <f aca="false">Serving!$C$7</f>
        <v>0.7</v>
      </c>
      <c r="D48" s="57" t="n">
        <f aca="false">Serving!$C$7</f>
        <v>0.7</v>
      </c>
      <c r="E48" s="57" t="n">
        <f aca="false">Serving!$C$7</f>
        <v>0.7</v>
      </c>
      <c r="F48" s="57" t="n">
        <f aca="false">Serving!$C$7</f>
        <v>0.7</v>
      </c>
      <c r="G48" s="57" t="n">
        <f aca="false">Serving!$C$7</f>
        <v>0.7</v>
      </c>
      <c r="H48" s="57" t="n">
        <f aca="false">Serving!$C$7</f>
        <v>0.7</v>
      </c>
      <c r="I48" s="57" t="n">
        <f aca="false">Serving!$C$7</f>
        <v>0.7</v>
      </c>
      <c r="J48" s="57" t="n">
        <f aca="false">Serving!$C$7</f>
        <v>0.7</v>
      </c>
      <c r="K48" s="57" t="n">
        <f aca="false">Serving!$C$7</f>
        <v>0.7</v>
      </c>
      <c r="L48" s="57" t="n">
        <f aca="false">Serving!$C$7</f>
        <v>0.7</v>
      </c>
      <c r="M48" s="57" t="n">
        <f aca="false">Serving!$C$7</f>
        <v>0.7</v>
      </c>
      <c r="N48" s="57" t="n">
        <f aca="false">Serving!$C$7</f>
        <v>0.7</v>
      </c>
      <c r="O48" s="57" t="n">
        <f aca="false">Serving!$C$7</f>
        <v>0.7</v>
      </c>
      <c r="P48" s="57" t="n">
        <f aca="false">Serving!$C$7</f>
        <v>0.7</v>
      </c>
      <c r="Q48" s="57" t="n">
        <f aca="false">Serving!$C$7</f>
        <v>0.7</v>
      </c>
    </row>
    <row r="49" customFormat="false" ht="15" hidden="false" customHeight="false" outlineLevel="0" collapsed="false">
      <c r="A49" s="53" t="s">
        <v>704</v>
      </c>
      <c r="B49" s="54" t="s">
        <v>249</v>
      </c>
      <c r="C49" s="69" t="n">
        <f aca="false">(1-C48^(C47+1))/(1-C48)</f>
        <v>2.533</v>
      </c>
      <c r="D49" s="69" t="n">
        <f aca="false">(1-D48^(D47+1))/(1-D48)</f>
        <v>2.533</v>
      </c>
      <c r="E49" s="69" t="n">
        <f aca="false">(1-E48^(E47+1))/(1-E48)</f>
        <v>2.533</v>
      </c>
      <c r="F49" s="69" t="n">
        <f aca="false">(1-F48^(F47+1))/(1-F48)</f>
        <v>2.533</v>
      </c>
      <c r="G49" s="69" t="n">
        <f aca="false">(1-G48^(G47+1))/(1-G48)</f>
        <v>2.533</v>
      </c>
      <c r="H49" s="69" t="n">
        <f aca="false">(1-H48^(H47+1))/(1-H48)</f>
        <v>2.533</v>
      </c>
      <c r="I49" s="69" t="n">
        <f aca="false">(1-I48^(I47+1))/(1-I48)</f>
        <v>2.533</v>
      </c>
      <c r="J49" s="69" t="n">
        <f aca="false">(1-J48^(J47+1))/(1-J48)</f>
        <v>2.533</v>
      </c>
      <c r="K49" s="69" t="n">
        <f aca="false">(1-K48^(K47+1))/(1-K48)</f>
        <v>2.533</v>
      </c>
      <c r="L49" s="69" t="n">
        <f aca="false">(1-L48^(L47+1))/(1-L48)</f>
        <v>2.533</v>
      </c>
      <c r="M49" s="69" t="n">
        <f aca="false">(1-M48^(M47+1))/(1-M48)</f>
        <v>2.533</v>
      </c>
      <c r="N49" s="69" t="n">
        <f aca="false">(1-N48^(N47+1))/(1-N48)</f>
        <v>2.533</v>
      </c>
      <c r="O49" s="69" t="n">
        <f aca="false">(1-O48^(O47+1))/(1-O48)</f>
        <v>2.533</v>
      </c>
      <c r="P49" s="69" t="n">
        <f aca="false">(1-P48^(P47+1))/(1-P48)</f>
        <v>2.533</v>
      </c>
      <c r="Q49" s="69" t="n">
        <f aca="false">(1-Q48^(Q47+1))/(1-Q48)</f>
        <v>2.533</v>
      </c>
    </row>
    <row r="50" customFormat="false" ht="15" hidden="false" customHeight="false" outlineLevel="0" collapsed="false">
      <c r="A50" s="53" t="s">
        <v>325</v>
      </c>
      <c r="B50" s="54" t="s">
        <v>75</v>
      </c>
      <c r="C50" s="90" t="n">
        <f aca="false">Serving!$C$18</f>
        <v>1</v>
      </c>
      <c r="D50" s="90" t="n">
        <f aca="false">Serving!$C$18</f>
        <v>1</v>
      </c>
      <c r="E50" s="90" t="n">
        <f aca="false">Serving!$C$18</f>
        <v>1</v>
      </c>
      <c r="F50" s="90" t="n">
        <f aca="false">Serving!$C$18</f>
        <v>1</v>
      </c>
      <c r="G50" s="90" t="n">
        <f aca="false">Serving!$C$18</f>
        <v>1</v>
      </c>
      <c r="H50" s="90" t="n">
        <f aca="false">Serving!$C$18</f>
        <v>1</v>
      </c>
      <c r="I50" s="90" t="n">
        <f aca="false">Serving!$C$18</f>
        <v>1</v>
      </c>
      <c r="J50" s="90" t="n">
        <f aca="false">Serving!$C$18</f>
        <v>1</v>
      </c>
      <c r="K50" s="90" t="n">
        <f aca="false">Serving!$C$18</f>
        <v>1</v>
      </c>
      <c r="L50" s="90" t="n">
        <f aca="false">Serving!$C$18</f>
        <v>1</v>
      </c>
      <c r="M50" s="90" t="n">
        <f aca="false">Serving!$C$18</f>
        <v>1</v>
      </c>
      <c r="N50" s="90" t="n">
        <f aca="false">Serving!$C$18</f>
        <v>1</v>
      </c>
      <c r="O50" s="90" t="n">
        <f aca="false">Serving!$C$18</f>
        <v>1</v>
      </c>
      <c r="P50" s="90" t="n">
        <f aca="false">Serving!$C$18</f>
        <v>1</v>
      </c>
      <c r="Q50" s="90" t="n">
        <f aca="false">Serving!$C$18</f>
        <v>1</v>
      </c>
    </row>
    <row r="51" customFormat="false" ht="15" hidden="false" customHeight="false" outlineLevel="0" collapsed="false">
      <c r="A51" s="54" t="s">
        <v>705</v>
      </c>
      <c r="B51" s="54" t="s">
        <v>71</v>
      </c>
      <c r="C51" s="102" t="n">
        <f aca="false">INDEX(Calib!$C$72:$G$72,C$6)*C50</f>
        <v>0.149924204143507</v>
      </c>
      <c r="D51" s="102" t="n">
        <f aca="false">INDEX(Calib!$C$72:$G$72,D$6)*D50</f>
        <v>0.149924204143507</v>
      </c>
      <c r="E51" s="102" t="n">
        <f aca="false">INDEX(Calib!$C$72:$G$72,E$6)*E50</f>
        <v>0.149924204143507</v>
      </c>
      <c r="F51" s="102" t="n">
        <f aca="false">INDEX(Calib!$C$72:$G$72,F$6)*F50</f>
        <v>0.3</v>
      </c>
      <c r="G51" s="102" t="n">
        <f aca="false">INDEX(Calib!$C$72:$G$72,G$6)*G50</f>
        <v>0.3</v>
      </c>
      <c r="H51" s="102" t="n">
        <f aca="false">INDEX(Calib!$C$72:$G$72,H$6)*H50</f>
        <v>0.3</v>
      </c>
      <c r="I51" s="102" t="n">
        <f aca="false">INDEX(Calib!$C$72:$G$72,I$6)*I50</f>
        <v>0.3</v>
      </c>
      <c r="J51" s="102" t="n">
        <f aca="false">INDEX(Calib!$C$72:$G$72,J$6)*J50</f>
        <v>0.3</v>
      </c>
      <c r="K51" s="102" t="n">
        <f aca="false">INDEX(Calib!$C$72:$G$72,K$6)*K50</f>
        <v>0.3</v>
      </c>
      <c r="L51" s="102" t="n">
        <f aca="false">INDEX(Calib!$C$72:$G$72,L$6)*L50</f>
        <v>0.3</v>
      </c>
      <c r="M51" s="102" t="n">
        <f aca="false">INDEX(Calib!$C$72:$G$72,M$6)*M50</f>
        <v>0.3</v>
      </c>
      <c r="N51" s="102" t="n">
        <f aca="false">INDEX(Calib!$C$72:$G$72,N$6)*N50</f>
        <v>0.3</v>
      </c>
      <c r="O51" s="102" t="n">
        <f aca="false">INDEX(Calib!$C$72:$G$72,O$6)*O50</f>
        <v>0.3</v>
      </c>
      <c r="P51" s="102" t="n">
        <f aca="false">INDEX(Calib!$C$72:$G$72,P$6)*P50</f>
        <v>0.3</v>
      </c>
      <c r="Q51" s="102" t="n">
        <f aca="false">INDEX(Calib!$C$72:$G$72,Q$6)*Q50</f>
        <v>0.3</v>
      </c>
    </row>
    <row r="52" customFormat="false" ht="15" hidden="false" customHeight="false" outlineLevel="0" collapsed="false">
      <c r="A52" s="54" t="s">
        <v>706</v>
      </c>
      <c r="B52" s="54" t="s">
        <v>75</v>
      </c>
      <c r="C52" s="90" t="n">
        <f aca="false">Tech_Registry!$E$20</f>
        <v>1</v>
      </c>
      <c r="D52" s="90" t="n">
        <f aca="false">Tech_Registry!$E$20</f>
        <v>1</v>
      </c>
      <c r="E52" s="90" t="n">
        <f aca="false">Tech_Registry!$E$20</f>
        <v>1</v>
      </c>
      <c r="F52" s="90" t="n">
        <f aca="false">Tech_Registry!$E$20</f>
        <v>1</v>
      </c>
      <c r="G52" s="90" t="n">
        <f aca="false">Tech_Registry!$E$20</f>
        <v>1</v>
      </c>
      <c r="H52" s="90" t="n">
        <f aca="false">Tech_Registry!$E$20</f>
        <v>1</v>
      </c>
      <c r="I52" s="90" t="n">
        <f aca="false">Tech_Registry!$E$20</f>
        <v>1</v>
      </c>
      <c r="J52" s="90" t="n">
        <f aca="false">Tech_Registry!$E$20</f>
        <v>1</v>
      </c>
      <c r="K52" s="90" t="n">
        <f aca="false">Tech_Registry!$E$20</f>
        <v>1</v>
      </c>
      <c r="L52" s="90" t="n">
        <f aca="false">Tech_Registry!$E$20</f>
        <v>1</v>
      </c>
      <c r="M52" s="90" t="n">
        <f aca="false">Tech_Registry!$E$20</f>
        <v>1</v>
      </c>
      <c r="N52" s="90" t="n">
        <f aca="false">Tech_Registry!$E$20</f>
        <v>1</v>
      </c>
      <c r="O52" s="90" t="n">
        <f aca="false">Tech_Registry!$E$20</f>
        <v>1</v>
      </c>
      <c r="P52" s="90" t="n">
        <f aca="false">Tech_Registry!$E$20</f>
        <v>1</v>
      </c>
      <c r="Q52" s="90" t="n">
        <f aca="false">Tech_Registry!$E$20</f>
        <v>1</v>
      </c>
    </row>
    <row r="53" customFormat="false" ht="15" hidden="false" customHeight="false" outlineLevel="0" collapsed="false">
      <c r="A53" s="54" t="s">
        <v>707</v>
      </c>
      <c r="B53" s="54" t="s">
        <v>71</v>
      </c>
      <c r="C53" s="103" t="n">
        <f aca="false">INDEX(Calib!$C$70:$G$70,C$6)*C52*C50</f>
        <v>0.0536325502498254</v>
      </c>
      <c r="D53" s="103" t="n">
        <f aca="false">INDEX(Calib!$C$70:$G$70,D$6)*D52*D50</f>
        <v>0.0536325502498254</v>
      </c>
      <c r="E53" s="103" t="n">
        <f aca="false">INDEX(Calib!$C$70:$G$70,E$6)*E52*E50</f>
        <v>0.0536325502498254</v>
      </c>
      <c r="F53" s="103" t="n">
        <f aca="false">INDEX(Calib!$C$70:$G$70,F$6)*F52*F50</f>
        <v>0.0357550334998836</v>
      </c>
      <c r="G53" s="103" t="n">
        <f aca="false">INDEX(Calib!$C$70:$G$70,G$6)*G52*G50</f>
        <v>0.0357550334998836</v>
      </c>
      <c r="H53" s="103" t="n">
        <f aca="false">INDEX(Calib!$C$70:$G$70,H$6)*H52*H50</f>
        <v>0.0357550334998836</v>
      </c>
      <c r="I53" s="103" t="n">
        <f aca="false">INDEX(Calib!$C$70:$G$70,I$6)*I52*I50</f>
        <v>0.0357550334998836</v>
      </c>
      <c r="J53" s="103" t="n">
        <f aca="false">INDEX(Calib!$C$70:$G$70,J$6)*J52*J50</f>
        <v>0.0357550334998836</v>
      </c>
      <c r="K53" s="103" t="n">
        <f aca="false">INDEX(Calib!$C$70:$G$70,K$6)*K52*K50</f>
        <v>0.0357550334998836</v>
      </c>
      <c r="L53" s="103" t="n">
        <f aca="false">INDEX(Calib!$C$70:$G$70,L$6)*L52*L50</f>
        <v>0.0357550334998836</v>
      </c>
      <c r="M53" s="103" t="n">
        <f aca="false">INDEX(Calib!$C$70:$G$70,M$6)*M52*M50</f>
        <v>0.0357550334998836</v>
      </c>
      <c r="N53" s="103" t="n">
        <f aca="false">INDEX(Calib!$C$70:$G$70,N$6)*N52*N50</f>
        <v>0.0357550334998836</v>
      </c>
      <c r="O53" s="103" t="n">
        <f aca="false">INDEX(Calib!$C$70:$G$70,O$6)*O52*O50</f>
        <v>0.0357550334998836</v>
      </c>
      <c r="P53" s="103" t="n">
        <f aca="false">INDEX(Calib!$C$70:$G$70,P$6)*P52*P50</f>
        <v>0.0357550334998836</v>
      </c>
      <c r="Q53" s="103" t="n">
        <f aca="false">INDEX(Calib!$C$70:$G$70,Q$6)*Q52*Q50</f>
        <v>0.0357550334998836</v>
      </c>
    </row>
    <row r="54" customFormat="false" ht="15" hidden="false" customHeight="false" outlineLevel="0" collapsed="false">
      <c r="A54" s="53" t="s">
        <v>708</v>
      </c>
      <c r="B54" s="54" t="s">
        <v>75</v>
      </c>
      <c r="C54" s="90" t="n">
        <f aca="false">Tech_Registry!$E$21</f>
        <v>1</v>
      </c>
      <c r="D54" s="90" t="n">
        <f aca="false">Tech_Registry!$E$21</f>
        <v>1</v>
      </c>
      <c r="E54" s="90" t="n">
        <f aca="false">Tech_Registry!$E$21</f>
        <v>1</v>
      </c>
      <c r="F54" s="90" t="n">
        <f aca="false">Tech_Registry!$E$21</f>
        <v>1</v>
      </c>
      <c r="G54" s="90" t="n">
        <f aca="false">Tech_Registry!$E$21</f>
        <v>1</v>
      </c>
      <c r="H54" s="90" t="n">
        <f aca="false">Tech_Registry!$E$21</f>
        <v>1</v>
      </c>
      <c r="I54" s="90" t="n">
        <f aca="false">Tech_Registry!$E$21</f>
        <v>1</v>
      </c>
      <c r="J54" s="90" t="n">
        <f aca="false">Tech_Registry!$E$21</f>
        <v>1</v>
      </c>
      <c r="K54" s="90" t="n">
        <f aca="false">Tech_Registry!$E$21</f>
        <v>1</v>
      </c>
      <c r="L54" s="90" t="n">
        <f aca="false">Tech_Registry!$E$21</f>
        <v>1</v>
      </c>
      <c r="M54" s="90" t="n">
        <f aca="false">Tech_Registry!$E$21</f>
        <v>1</v>
      </c>
      <c r="N54" s="90" t="n">
        <f aca="false">Tech_Registry!$E$21</f>
        <v>1</v>
      </c>
      <c r="O54" s="90" t="n">
        <f aca="false">Tech_Registry!$E$21</f>
        <v>1</v>
      </c>
      <c r="P54" s="90" t="n">
        <f aca="false">Tech_Registry!$E$21</f>
        <v>1</v>
      </c>
      <c r="Q54" s="90" t="n">
        <f aca="false">Tech_Registry!$E$21</f>
        <v>1</v>
      </c>
    </row>
    <row r="55" customFormat="false" ht="15" hidden="false" customHeight="false" outlineLevel="0" collapsed="false">
      <c r="A55" s="53" t="s">
        <v>709</v>
      </c>
      <c r="B55" s="54" t="s">
        <v>469</v>
      </c>
      <c r="C55" s="55" t="n">
        <f aca="false">INDEX(Calib!$C$71:$G$71,C$6)*C54/C50</f>
        <v>241.778007200547</v>
      </c>
      <c r="D55" s="55" t="n">
        <f aca="false">INDEX(Calib!$C$71:$G$71,D$6)*D54/D50</f>
        <v>241.778007200547</v>
      </c>
      <c r="E55" s="55" t="n">
        <f aca="false">INDEX(Calib!$C$71:$G$71,E$6)*E54/E50</f>
        <v>241.778007200547</v>
      </c>
      <c r="F55" s="55" t="n">
        <f aca="false">INDEX(Calib!$C$71:$G$71,F$6)*F54/F50</f>
        <v>161.185338133698</v>
      </c>
      <c r="G55" s="55" t="n">
        <f aca="false">INDEX(Calib!$C$71:$G$71,G$6)*G54/G50</f>
        <v>161.185338133698</v>
      </c>
      <c r="H55" s="55" t="n">
        <f aca="false">INDEX(Calib!$C$71:$G$71,H$6)*H54/H50</f>
        <v>161.185338133698</v>
      </c>
      <c r="I55" s="55" t="n">
        <f aca="false">INDEX(Calib!$C$71:$G$71,I$6)*I54/I50</f>
        <v>161.185338133698</v>
      </c>
      <c r="J55" s="55" t="n">
        <f aca="false">INDEX(Calib!$C$71:$G$71,J$6)*J54/J50</f>
        <v>161.185338133698</v>
      </c>
      <c r="K55" s="55" t="n">
        <f aca="false">INDEX(Calib!$C$71:$G$71,K$6)*K54/K50</f>
        <v>161.185338133698</v>
      </c>
      <c r="L55" s="55" t="n">
        <f aca="false">INDEX(Calib!$C$71:$G$71,L$6)*L54/L50</f>
        <v>161.185338133698</v>
      </c>
      <c r="M55" s="55" t="n">
        <f aca="false">INDEX(Calib!$C$71:$G$71,M$6)*M54/M50</f>
        <v>161.185338133698</v>
      </c>
      <c r="N55" s="55" t="n">
        <f aca="false">INDEX(Calib!$C$71:$G$71,N$6)*N54/N50</f>
        <v>161.185338133698</v>
      </c>
      <c r="O55" s="55" t="n">
        <f aca="false">INDEX(Calib!$C$71:$G$71,O$6)*O54/O50</f>
        <v>161.185338133698</v>
      </c>
      <c r="P55" s="55" t="n">
        <f aca="false">INDEX(Calib!$C$71:$G$71,P$6)*P54/P50</f>
        <v>161.185338133698</v>
      </c>
      <c r="Q55" s="55" t="n">
        <f aca="false">INDEX(Calib!$C$71:$G$71,Q$6)*Q54/Q50</f>
        <v>161.185338133698</v>
      </c>
    </row>
    <row r="56" customFormat="false" ht="15" hidden="false" customHeight="false" outlineLevel="0" collapsed="false">
      <c r="A56" s="54" t="s">
        <v>710</v>
      </c>
      <c r="B56" s="54" t="s">
        <v>71</v>
      </c>
      <c r="C56" s="57" t="n">
        <f aca="false">Serving!$C$9</f>
        <v>0.1</v>
      </c>
      <c r="D56" s="57" t="n">
        <f aca="false">Serving!$C$9</f>
        <v>0.1</v>
      </c>
      <c r="E56" s="57" t="n">
        <f aca="false">Serving!$C$9</f>
        <v>0.1</v>
      </c>
      <c r="F56" s="57" t="n">
        <f aca="false">Serving!$C$9</f>
        <v>0.1</v>
      </c>
      <c r="G56" s="57" t="n">
        <f aca="false">Serving!$C$9</f>
        <v>0.1</v>
      </c>
      <c r="H56" s="57" t="n">
        <f aca="false">Serving!$C$9</f>
        <v>0.1</v>
      </c>
      <c r="I56" s="57" t="n">
        <f aca="false">Serving!$C$9</f>
        <v>0.1</v>
      </c>
      <c r="J56" s="57" t="n">
        <f aca="false">Serving!$C$9</f>
        <v>0.1</v>
      </c>
      <c r="K56" s="57" t="n">
        <f aca="false">Serving!$C$9</f>
        <v>0.1</v>
      </c>
      <c r="L56" s="57" t="n">
        <f aca="false">Serving!$C$9</f>
        <v>0.1</v>
      </c>
      <c r="M56" s="57" t="n">
        <f aca="false">Serving!$C$9</f>
        <v>0.1</v>
      </c>
      <c r="N56" s="57" t="n">
        <f aca="false">Serving!$C$9</f>
        <v>0.1</v>
      </c>
      <c r="O56" s="57" t="n">
        <f aca="false">Serving!$C$9</f>
        <v>0.1</v>
      </c>
      <c r="P56" s="57" t="n">
        <f aca="false">Serving!$C$9</f>
        <v>0.1</v>
      </c>
      <c r="Q56" s="57" t="n">
        <f aca="false">Serving!$C$9</f>
        <v>0.1</v>
      </c>
    </row>
    <row r="57" customFormat="false" ht="15" hidden="false" customHeight="false" outlineLevel="0" collapsed="false">
      <c r="A57" s="53" t="s">
        <v>711</v>
      </c>
      <c r="B57" s="54" t="s">
        <v>71</v>
      </c>
      <c r="C57" s="57" t="n">
        <f aca="false">Serving!$C$10</f>
        <v>0.2</v>
      </c>
      <c r="D57" s="57" t="n">
        <f aca="false">Serving!$C$10</f>
        <v>0.2</v>
      </c>
      <c r="E57" s="57" t="n">
        <f aca="false">Serving!$C$10</f>
        <v>0.2</v>
      </c>
      <c r="F57" s="57" t="n">
        <f aca="false">Serving!$C$10</f>
        <v>0.2</v>
      </c>
      <c r="G57" s="57" t="n">
        <f aca="false">Serving!$C$10</f>
        <v>0.2</v>
      </c>
      <c r="H57" s="57" t="n">
        <f aca="false">Serving!$C$10</f>
        <v>0.2</v>
      </c>
      <c r="I57" s="57" t="n">
        <f aca="false">Serving!$C$10</f>
        <v>0.2</v>
      </c>
      <c r="J57" s="57" t="n">
        <f aca="false">Serving!$C$10</f>
        <v>0.2</v>
      </c>
      <c r="K57" s="57" t="n">
        <f aca="false">Serving!$C$10</f>
        <v>0.2</v>
      </c>
      <c r="L57" s="57" t="n">
        <f aca="false">Serving!$C$10</f>
        <v>0.2</v>
      </c>
      <c r="M57" s="57" t="n">
        <f aca="false">Serving!$C$10</f>
        <v>0.2</v>
      </c>
      <c r="N57" s="57" t="n">
        <f aca="false">Serving!$C$10</f>
        <v>0.2</v>
      </c>
      <c r="O57" s="57" t="n">
        <f aca="false">Serving!$C$10</f>
        <v>0.2</v>
      </c>
      <c r="P57" s="57" t="n">
        <f aca="false">Serving!$C$10</f>
        <v>0.2</v>
      </c>
      <c r="Q57" s="57" t="n">
        <f aca="false">Serving!$C$10</f>
        <v>0.2</v>
      </c>
    </row>
    <row r="58" customFormat="false" ht="15" hidden="false" customHeight="false" outlineLevel="0" collapsed="false">
      <c r="A58" s="53" t="s">
        <v>712</v>
      </c>
      <c r="B58" s="54" t="s">
        <v>71</v>
      </c>
      <c r="C58" s="57" t="n">
        <f aca="false">Serving!$C$11</f>
        <v>0.4</v>
      </c>
      <c r="D58" s="57" t="n">
        <f aca="false">Serving!$C$11</f>
        <v>0.4</v>
      </c>
      <c r="E58" s="57" t="n">
        <f aca="false">Serving!$C$11</f>
        <v>0.4</v>
      </c>
      <c r="F58" s="57" t="n">
        <f aca="false">Serving!$C$11</f>
        <v>0.4</v>
      </c>
      <c r="G58" s="57" t="n">
        <f aca="false">Serving!$C$11</f>
        <v>0.4</v>
      </c>
      <c r="H58" s="57" t="n">
        <f aca="false">Serving!$C$11</f>
        <v>0.4</v>
      </c>
      <c r="I58" s="57" t="n">
        <f aca="false">Serving!$C$11</f>
        <v>0.4</v>
      </c>
      <c r="J58" s="57" t="n">
        <f aca="false">Serving!$C$11</f>
        <v>0.4</v>
      </c>
      <c r="K58" s="57" t="n">
        <f aca="false">Serving!$C$11</f>
        <v>0.4</v>
      </c>
      <c r="L58" s="57" t="n">
        <f aca="false">Serving!$C$11</f>
        <v>0.4</v>
      </c>
      <c r="M58" s="57" t="n">
        <f aca="false">Serving!$C$11</f>
        <v>0.4</v>
      </c>
      <c r="N58" s="57" t="n">
        <f aca="false">Serving!$C$11</f>
        <v>0.4</v>
      </c>
      <c r="O58" s="57" t="n">
        <f aca="false">Serving!$C$11</f>
        <v>0.4</v>
      </c>
      <c r="P58" s="57" t="n">
        <f aca="false">Serving!$C$11</f>
        <v>0.4</v>
      </c>
      <c r="Q58" s="57" t="n">
        <f aca="false">Serving!$C$11</f>
        <v>0.4</v>
      </c>
    </row>
    <row r="59" customFormat="false" ht="15" hidden="false" customHeight="false" outlineLevel="0" collapsed="false">
      <c r="A59" s="54" t="s">
        <v>713</v>
      </c>
      <c r="B59" s="54" t="s">
        <v>228</v>
      </c>
      <c r="C59" s="101" t="n">
        <f aca="false">Serving!$C$12</f>
        <v>3</v>
      </c>
      <c r="D59" s="101" t="n">
        <f aca="false">Serving!$C$12</f>
        <v>3</v>
      </c>
      <c r="E59" s="101" t="n">
        <f aca="false">Serving!$C$12</f>
        <v>3</v>
      </c>
      <c r="F59" s="101" t="n">
        <f aca="false">Serving!$C$12</f>
        <v>3</v>
      </c>
      <c r="G59" s="101" t="n">
        <f aca="false">Serving!$C$12</f>
        <v>3</v>
      </c>
      <c r="H59" s="101" t="n">
        <f aca="false">Serving!$C$12</f>
        <v>3</v>
      </c>
      <c r="I59" s="101" t="n">
        <f aca="false">Serving!$C$12</f>
        <v>3</v>
      </c>
      <c r="J59" s="101" t="n">
        <f aca="false">Serving!$C$12</f>
        <v>3</v>
      </c>
      <c r="K59" s="101" t="n">
        <f aca="false">Serving!$C$12</f>
        <v>3</v>
      </c>
      <c r="L59" s="101" t="n">
        <f aca="false">Serving!$C$12</f>
        <v>3</v>
      </c>
      <c r="M59" s="101" t="n">
        <f aca="false">Serving!$C$12</f>
        <v>3</v>
      </c>
      <c r="N59" s="101" t="n">
        <f aca="false">Serving!$C$12</f>
        <v>3</v>
      </c>
      <c r="O59" s="101" t="n">
        <f aca="false">Serving!$C$12</f>
        <v>3</v>
      </c>
      <c r="P59" s="101" t="n">
        <f aca="false">Serving!$C$12</f>
        <v>3</v>
      </c>
      <c r="Q59" s="101" t="n">
        <f aca="false">Serving!$C$12</f>
        <v>3</v>
      </c>
    </row>
    <row r="60" customFormat="false" ht="15" hidden="false" customHeight="false" outlineLevel="0" collapsed="false">
      <c r="A60" s="54" t="s">
        <v>714</v>
      </c>
      <c r="B60" s="54" t="s">
        <v>71</v>
      </c>
      <c r="C60" s="57" t="n">
        <f aca="false">Serving!$C$13</f>
        <v>0.7</v>
      </c>
      <c r="D60" s="57" t="n">
        <f aca="false">Serving!$C$13</f>
        <v>0.7</v>
      </c>
      <c r="E60" s="57" t="n">
        <f aca="false">Serving!$C$13</f>
        <v>0.7</v>
      </c>
      <c r="F60" s="57" t="n">
        <f aca="false">Serving!$C$13</f>
        <v>0.7</v>
      </c>
      <c r="G60" s="57" t="n">
        <f aca="false">Serving!$C$13</f>
        <v>0.7</v>
      </c>
      <c r="H60" s="57" t="n">
        <f aca="false">Serving!$C$13</f>
        <v>0.7</v>
      </c>
      <c r="I60" s="57" t="n">
        <f aca="false">Serving!$C$13</f>
        <v>0.7</v>
      </c>
      <c r="J60" s="57" t="n">
        <f aca="false">Serving!$C$13</f>
        <v>0.7</v>
      </c>
      <c r="K60" s="57" t="n">
        <f aca="false">Serving!$C$13</f>
        <v>0.7</v>
      </c>
      <c r="L60" s="57" t="n">
        <f aca="false">Serving!$C$13</f>
        <v>0.7</v>
      </c>
      <c r="M60" s="57" t="n">
        <f aca="false">Serving!$C$13</f>
        <v>0.7</v>
      </c>
      <c r="N60" s="57" t="n">
        <f aca="false">Serving!$C$13</f>
        <v>0.7</v>
      </c>
      <c r="O60" s="57" t="n">
        <f aca="false">Serving!$C$13</f>
        <v>0.7</v>
      </c>
      <c r="P60" s="57" t="n">
        <f aca="false">Serving!$C$13</f>
        <v>0.7</v>
      </c>
      <c r="Q60" s="57" t="n">
        <f aca="false">Serving!$C$13</f>
        <v>0.7</v>
      </c>
    </row>
    <row r="61" customFormat="false" ht="15" hidden="false" customHeight="false" outlineLevel="0" collapsed="false">
      <c r="A61" s="54" t="s">
        <v>715</v>
      </c>
      <c r="B61" s="54" t="s">
        <v>71</v>
      </c>
      <c r="C61" s="57" t="n">
        <f aca="false">Serving!$C$14</f>
        <v>0.7</v>
      </c>
      <c r="D61" s="57" t="n">
        <f aca="false">Serving!$C$14</f>
        <v>0.7</v>
      </c>
      <c r="E61" s="57" t="n">
        <f aca="false">Serving!$C$14</f>
        <v>0.7</v>
      </c>
      <c r="F61" s="57" t="n">
        <f aca="false">Serving!$C$14</f>
        <v>0.7</v>
      </c>
      <c r="G61" s="57" t="n">
        <f aca="false">Serving!$C$14</f>
        <v>0.7</v>
      </c>
      <c r="H61" s="57" t="n">
        <f aca="false">Serving!$C$14</f>
        <v>0.7</v>
      </c>
      <c r="I61" s="57" t="n">
        <f aca="false">Serving!$C$14</f>
        <v>0.7</v>
      </c>
      <c r="J61" s="57" t="n">
        <f aca="false">Serving!$C$14</f>
        <v>0.7</v>
      </c>
      <c r="K61" s="57" t="n">
        <f aca="false">Serving!$C$14</f>
        <v>0.7</v>
      </c>
      <c r="L61" s="57" t="n">
        <f aca="false">Serving!$C$14</f>
        <v>0.7</v>
      </c>
      <c r="M61" s="57" t="n">
        <f aca="false">Serving!$C$14</f>
        <v>0.7</v>
      </c>
      <c r="N61" s="57" t="n">
        <f aca="false">Serving!$C$14</f>
        <v>0.7</v>
      </c>
      <c r="O61" s="57" t="n">
        <f aca="false">Serving!$C$14</f>
        <v>0.7</v>
      </c>
      <c r="P61" s="57" t="n">
        <f aca="false">Serving!$C$14</f>
        <v>0.7</v>
      </c>
      <c r="Q61" s="57" t="n">
        <f aca="false">Serving!$C$14</f>
        <v>0.7</v>
      </c>
    </row>
    <row r="62" customFormat="false" ht="15" hidden="false" customHeight="false" outlineLevel="0" collapsed="false">
      <c r="A62" s="53" t="s">
        <v>716</v>
      </c>
      <c r="B62" s="54" t="s">
        <v>434</v>
      </c>
      <c r="C62" s="90" t="n">
        <f aca="false">Serving!$C$15</f>
        <v>0.1</v>
      </c>
      <c r="D62" s="90" t="n">
        <f aca="false">Serving!$C$15</f>
        <v>0.1</v>
      </c>
      <c r="E62" s="90" t="n">
        <f aca="false">Serving!$C$15</f>
        <v>0.1</v>
      </c>
      <c r="F62" s="90" t="n">
        <f aca="false">Serving!$C$15</f>
        <v>0.1</v>
      </c>
      <c r="G62" s="90" t="n">
        <f aca="false">Serving!$C$15</f>
        <v>0.1</v>
      </c>
      <c r="H62" s="90" t="n">
        <f aca="false">Serving!$C$15</f>
        <v>0.1</v>
      </c>
      <c r="I62" s="90" t="n">
        <f aca="false">Serving!$C$15</f>
        <v>0.1</v>
      </c>
      <c r="J62" s="90" t="n">
        <f aca="false">Serving!$C$15</f>
        <v>0.1</v>
      </c>
      <c r="K62" s="90" t="n">
        <f aca="false">Serving!$C$15</f>
        <v>0.1</v>
      </c>
      <c r="L62" s="90" t="n">
        <f aca="false">Serving!$C$15</f>
        <v>0.1</v>
      </c>
      <c r="M62" s="90" t="n">
        <f aca="false">Serving!$C$15</f>
        <v>0.1</v>
      </c>
      <c r="N62" s="90" t="n">
        <f aca="false">Serving!$C$15</f>
        <v>0.1</v>
      </c>
      <c r="O62" s="90" t="n">
        <f aca="false">Serving!$C$15</f>
        <v>0.1</v>
      </c>
      <c r="P62" s="90" t="n">
        <f aca="false">Serving!$C$15</f>
        <v>0.1</v>
      </c>
      <c r="Q62" s="90" t="n">
        <f aca="false">Serving!$C$15</f>
        <v>0.1</v>
      </c>
    </row>
    <row r="63" customFormat="false" ht="15" hidden="false" customHeight="false" outlineLevel="0" collapsed="false">
      <c r="A63" s="68" t="s">
        <v>717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</row>
    <row r="64" customFormat="false" ht="15" hidden="false" customHeight="false" outlineLevel="0" collapsed="false">
      <c r="A64" s="54" t="s">
        <v>718</v>
      </c>
      <c r="B64" s="54" t="s">
        <v>249</v>
      </c>
      <c r="C64" s="60" t="n">
        <f aca="false">C36*IF(C37=0,C45,MIN(C45,C37))+(1-C36)*(C45/C38+C39)</f>
        <v>2258.336</v>
      </c>
      <c r="D64" s="60" t="n">
        <f aca="false">D36*IF(D37=0,D45,MIN(D45,D37))+(1-D36)*(D45/D38+D39)</f>
        <v>2212.32</v>
      </c>
      <c r="E64" s="60" t="n">
        <f aca="false">E36*IF(E37=0,E45,MIN(E45,E37))+(1-E36)*(E45/E38+E39)</f>
        <v>34816</v>
      </c>
      <c r="F64" s="60" t="n">
        <f aca="false">F36*IF(F37=0,F45,MIN(F45,F37))+(1-F36)*(F45/F38+F39)</f>
        <v>2258.336</v>
      </c>
      <c r="G64" s="60" t="n">
        <f aca="false">G36*IF(G37=0,G45,MIN(G45,G37))+(1-G36)*(G45/G38+G39)</f>
        <v>2212.32</v>
      </c>
      <c r="H64" s="60" t="n">
        <f aca="false">H36*IF(H37=0,H45,MIN(H45,H37))+(1-H36)*(H45/H38+H39)</f>
        <v>34816</v>
      </c>
      <c r="I64" s="60" t="n">
        <f aca="false">I36*IF(I37=0,I45,MIN(I45,I37))+(1-I36)*(I45/I38+I39)</f>
        <v>2258.336</v>
      </c>
      <c r="J64" s="60" t="n">
        <f aca="false">J36*IF(J37=0,J45,MIN(J45,J37))+(1-J36)*(J45/J38+J39)</f>
        <v>2212.32</v>
      </c>
      <c r="K64" s="60" t="n">
        <f aca="false">K36*IF(K37=0,K45,MIN(K45,K37))+(1-K36)*(K45/K38+K39)</f>
        <v>34816</v>
      </c>
      <c r="L64" s="60" t="n">
        <f aca="false">L36*IF(L37=0,L45,MIN(L45,L37))+(1-L36)*(L45/L38+L39)</f>
        <v>2258.336</v>
      </c>
      <c r="M64" s="60" t="n">
        <f aca="false">M36*IF(M37=0,M45,MIN(M45,M37))+(1-M36)*(M45/M38+M39)</f>
        <v>2212.32</v>
      </c>
      <c r="N64" s="60" t="n">
        <f aca="false">N36*IF(N37=0,N45,MIN(N45,N37))+(1-N36)*(N45/N38+N39)</f>
        <v>34816</v>
      </c>
      <c r="O64" s="60" t="n">
        <f aca="false">O36*IF(O37=0,O45,MIN(O45,O37))+(1-O36)*(O45/O38+O39)</f>
        <v>2258.336</v>
      </c>
      <c r="P64" s="60" t="n">
        <f aca="false">P36*IF(P37=0,P45,MIN(P45,P37))+(1-P36)*(P45/P38+P39)</f>
        <v>2212.32</v>
      </c>
      <c r="Q64" s="60" t="n">
        <f aca="false">Q36*IF(Q37=0,Q45,MIN(Q45,Q37))+(1-Q36)*(Q45/Q38+Q39)</f>
        <v>34816</v>
      </c>
    </row>
    <row r="65" customFormat="false" ht="15" hidden="false" customHeight="false" outlineLevel="0" collapsed="false">
      <c r="A65" s="54" t="s">
        <v>447</v>
      </c>
      <c r="B65" s="54" t="s">
        <v>448</v>
      </c>
      <c r="C65" s="67" t="n">
        <f aca="false">(2*C28*1000000000+C35*C64)*C10/1000000000</f>
        <v>38.728198496256</v>
      </c>
      <c r="D65" s="67" t="n">
        <f aca="false">(2*D28*1000000000+D35*D64)*D10/1000000000</f>
        <v>133.37673125888</v>
      </c>
      <c r="E65" s="67" t="n">
        <f aca="false">(2*E28*1000000000+E35*E64)*E10/1000000000</f>
        <v>531.1276032</v>
      </c>
      <c r="F65" s="67" t="n">
        <f aca="false">(2*F28*1000000000+F35*F64)*F10/1000000000</f>
        <v>38.728198496256</v>
      </c>
      <c r="G65" s="67" t="n">
        <f aca="false">(2*G28*1000000000+G35*G64)*G10/1000000000</f>
        <v>133.37673125888</v>
      </c>
      <c r="H65" s="67" t="n">
        <f aca="false">(2*H28*1000000000+H35*H64)*H10/1000000000</f>
        <v>531.1276032</v>
      </c>
      <c r="I65" s="67" t="n">
        <f aca="false">(2*I28*1000000000+I35*I64)*I10/1000000000</f>
        <v>38.728198496256</v>
      </c>
      <c r="J65" s="67" t="n">
        <f aca="false">(2*J28*1000000000+J35*J64)*J10/1000000000</f>
        <v>133.37673125888</v>
      </c>
      <c r="K65" s="67" t="n">
        <f aca="false">(2*K28*1000000000+K35*K64)*K10/1000000000</f>
        <v>531.1276032</v>
      </c>
      <c r="L65" s="67" t="n">
        <f aca="false">(2*L28*1000000000+L35*L64)*L10/1000000000</f>
        <v>38.728198496256</v>
      </c>
      <c r="M65" s="67" t="n">
        <f aca="false">(2*M28*1000000000+M35*M64)*M10/1000000000</f>
        <v>133.37673125888</v>
      </c>
      <c r="N65" s="67" t="n">
        <f aca="false">(2*N28*1000000000+N35*N64)*N10/1000000000</f>
        <v>531.1276032</v>
      </c>
      <c r="O65" s="67" t="n">
        <f aca="false">(2*O28*1000000000+O35*O64)*O10/1000000000</f>
        <v>38.728198496256</v>
      </c>
      <c r="P65" s="67" t="n">
        <f aca="false">(2*P28*1000000000+P35*P64)*P10/1000000000</f>
        <v>133.37673125888</v>
      </c>
      <c r="Q65" s="67" t="n">
        <f aca="false">(2*Q28*1000000000+Q35*Q64)*Q10/1000000000</f>
        <v>531.1276032</v>
      </c>
    </row>
    <row r="66" customFormat="false" ht="15" hidden="false" customHeight="false" outlineLevel="0" collapsed="false">
      <c r="A66" s="54" t="s">
        <v>719</v>
      </c>
      <c r="B66" s="54" t="s">
        <v>249</v>
      </c>
      <c r="C66" s="60" t="n">
        <f aca="false">C36*IF(C37=0,C46,MIN(C46,C37))+(1-C36)*(C46/C38+C39)</f>
        <v>2175.232</v>
      </c>
      <c r="D66" s="60" t="n">
        <f aca="false">D36*IF(D37=0,D46,MIN(D46,D37))+(1-D36)*(D46/D38+D39)</f>
        <v>2175.744</v>
      </c>
      <c r="E66" s="60" t="n">
        <f aca="false">E36*IF(E37=0,E46,MIN(E46,E37))+(1-E36)*(E46/E38+E39)</f>
        <v>16384</v>
      </c>
      <c r="F66" s="60" t="n">
        <f aca="false">F36*IF(F37=0,F46,MIN(F46,F37))+(1-F36)*(F46/F38+F39)</f>
        <v>2175.232</v>
      </c>
      <c r="G66" s="60" t="n">
        <f aca="false">G36*IF(G37=0,G46,MIN(G46,G37))+(1-G36)*(G46/G38+G39)</f>
        <v>2175.744</v>
      </c>
      <c r="H66" s="60" t="n">
        <f aca="false">H36*IF(H37=0,H46,MIN(H46,H37))+(1-H36)*(H46/H38+H39)</f>
        <v>16384</v>
      </c>
      <c r="I66" s="60" t="n">
        <f aca="false">I36*IF(I37=0,I46,MIN(I46,I37))+(1-I36)*(I46/I38+I39)</f>
        <v>2175.232</v>
      </c>
      <c r="J66" s="60" t="n">
        <f aca="false">J36*IF(J37=0,J46,MIN(J46,J37))+(1-J36)*(J46/J38+J39)</f>
        <v>2175.744</v>
      </c>
      <c r="K66" s="60" t="n">
        <f aca="false">K36*IF(K37=0,K46,MIN(K46,K37))+(1-K36)*(K46/K38+K39)</f>
        <v>16384</v>
      </c>
      <c r="L66" s="60" t="n">
        <f aca="false">L36*IF(L37=0,L46,MIN(L46,L37))+(1-L36)*(L46/L38+L39)</f>
        <v>2175.232</v>
      </c>
      <c r="M66" s="60" t="n">
        <f aca="false">M36*IF(M37=0,M46,MIN(M46,M37))+(1-M36)*(M46/M38+M39)</f>
        <v>2175.744</v>
      </c>
      <c r="N66" s="60" t="n">
        <f aca="false">N36*IF(N37=0,N46,MIN(N46,N37))+(1-N36)*(N46/N38+N39)</f>
        <v>16384</v>
      </c>
      <c r="O66" s="60" t="n">
        <f aca="false">O36*IF(O37=0,O46,MIN(O46,O37))+(1-O36)*(O46/O38+O39)</f>
        <v>2175.232</v>
      </c>
      <c r="P66" s="60" t="n">
        <f aca="false">P36*IF(P37=0,P46,MIN(P46,P37))+(1-P36)*(P46/P38+P39)</f>
        <v>2175.744</v>
      </c>
      <c r="Q66" s="60" t="n">
        <f aca="false">Q36*IF(Q37=0,Q46,MIN(Q46,Q37))+(1-Q36)*(Q46/Q38+Q39)</f>
        <v>16384</v>
      </c>
    </row>
    <row r="67" customFormat="false" ht="15" hidden="false" customHeight="false" outlineLevel="0" collapsed="false">
      <c r="A67" s="54" t="s">
        <v>450</v>
      </c>
      <c r="B67" s="54" t="s">
        <v>448</v>
      </c>
      <c r="C67" s="67" t="n">
        <f aca="false">(2*C28*1000000000+C35*C66)*C10/1000000000</f>
        <v>38.259816374272</v>
      </c>
      <c r="D67" s="67" t="n">
        <f aca="false">(2*D28*1000000000+D35*D66)*D10/1000000000</f>
        <v>132.791852343296</v>
      </c>
      <c r="E67" s="67" t="n">
        <f aca="false">(2*E28*1000000000+E35*E66)*E10/1000000000</f>
        <v>440.5306368</v>
      </c>
      <c r="F67" s="67" t="n">
        <f aca="false">(2*F28*1000000000+F35*F66)*F10/1000000000</f>
        <v>38.259816374272</v>
      </c>
      <c r="G67" s="67" t="n">
        <f aca="false">(2*G28*1000000000+G35*G66)*G10/1000000000</f>
        <v>132.791852343296</v>
      </c>
      <c r="H67" s="67" t="n">
        <f aca="false">(2*H28*1000000000+H35*H66)*H10/1000000000</f>
        <v>440.5306368</v>
      </c>
      <c r="I67" s="67" t="n">
        <f aca="false">(2*I28*1000000000+I35*I66)*I10/1000000000</f>
        <v>38.259816374272</v>
      </c>
      <c r="J67" s="67" t="n">
        <f aca="false">(2*J28*1000000000+J35*J66)*J10/1000000000</f>
        <v>132.791852343296</v>
      </c>
      <c r="K67" s="67" t="n">
        <f aca="false">(2*K28*1000000000+K35*K66)*K10/1000000000</f>
        <v>440.5306368</v>
      </c>
      <c r="L67" s="67" t="n">
        <f aca="false">(2*L28*1000000000+L35*L66)*L10/1000000000</f>
        <v>38.259816374272</v>
      </c>
      <c r="M67" s="67" t="n">
        <f aca="false">(2*M28*1000000000+M35*M66)*M10/1000000000</f>
        <v>132.791852343296</v>
      </c>
      <c r="N67" s="67" t="n">
        <f aca="false">(2*N28*1000000000+N35*N66)*N10/1000000000</f>
        <v>440.5306368</v>
      </c>
      <c r="O67" s="67" t="n">
        <f aca="false">(2*O28*1000000000+O35*O66)*O10/1000000000</f>
        <v>38.259816374272</v>
      </c>
      <c r="P67" s="67" t="n">
        <f aca="false">(2*P28*1000000000+P35*P66)*P10/1000000000</f>
        <v>132.791852343296</v>
      </c>
      <c r="Q67" s="67" t="n">
        <f aca="false">(2*Q28*1000000000+Q35*Q66)*Q10/1000000000</f>
        <v>440.5306368</v>
      </c>
    </row>
    <row r="68" customFormat="false" ht="15" hidden="false" customHeight="false" outlineLevel="0" collapsed="false">
      <c r="A68" s="68" t="s">
        <v>720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</row>
    <row r="69" customFormat="false" ht="15" hidden="false" customHeight="false" outlineLevel="0" collapsed="false">
      <c r="A69" s="53" t="s">
        <v>451</v>
      </c>
      <c r="B69" s="54" t="s">
        <v>274</v>
      </c>
      <c r="C69" s="60" t="n">
        <f aca="false">C15*(1-C56)</f>
        <v>72</v>
      </c>
      <c r="D69" s="60" t="n">
        <f aca="false">D15*(1-D56)</f>
        <v>72</v>
      </c>
      <c r="E69" s="60" t="n">
        <f aca="false">E15*(1-E56)</f>
        <v>72</v>
      </c>
      <c r="F69" s="60" t="n">
        <f aca="false">F15*(1-F56)</f>
        <v>167.4</v>
      </c>
      <c r="G69" s="60" t="n">
        <f aca="false">G15*(1-G56)</f>
        <v>167.4</v>
      </c>
      <c r="H69" s="60" t="n">
        <f aca="false">H15*(1-H56)</f>
        <v>167.4</v>
      </c>
      <c r="I69" s="60" t="n">
        <f aca="false">I15*(1-I56)</f>
        <v>259.2</v>
      </c>
      <c r="J69" s="60" t="n">
        <f aca="false">J15*(1-J56)</f>
        <v>259.2</v>
      </c>
      <c r="K69" s="60" t="n">
        <f aca="false">K15*(1-K56)</f>
        <v>259.2</v>
      </c>
      <c r="L69" s="60" t="n">
        <f aca="false">L15*(1-L56)</f>
        <v>259.2</v>
      </c>
      <c r="M69" s="60" t="n">
        <f aca="false">M15*(1-M56)</f>
        <v>259.2</v>
      </c>
      <c r="N69" s="60" t="n">
        <f aca="false">N15*(1-N56)</f>
        <v>259.2</v>
      </c>
      <c r="O69" s="60" t="n">
        <f aca="false">O15*(1-O56)</f>
        <v>921.6</v>
      </c>
      <c r="P69" s="60" t="n">
        <f aca="false">P15*(1-P56)</f>
        <v>921.6</v>
      </c>
      <c r="Q69" s="60" t="n">
        <f aca="false">Q15*(1-Q56)</f>
        <v>921.6</v>
      </c>
    </row>
    <row r="70" customFormat="false" ht="15" hidden="false" customHeight="false" outlineLevel="0" collapsed="false">
      <c r="A70" s="53" t="s">
        <v>721</v>
      </c>
      <c r="B70" s="53"/>
      <c r="C70" s="104" t="n">
        <f aca="false">MAX(1,CEILING(C32*C20/(C57*C69),1))</f>
        <v>1</v>
      </c>
      <c r="D70" s="104" t="n">
        <f aca="false">MAX(1,CEILING(D32*D20/(D57*D69),1))</f>
        <v>2</v>
      </c>
      <c r="E70" s="104" t="n">
        <f aca="false">MAX(1,CEILING(E32*E20/(E57*E69),1))</f>
        <v>4</v>
      </c>
      <c r="F70" s="104" t="n">
        <f aca="false">MAX(1,CEILING(F32*F20/(F57*F69),1))</f>
        <v>1</v>
      </c>
      <c r="G70" s="104" t="n">
        <f aca="false">MAX(1,CEILING(G32*G20/(G57*G69),1))</f>
        <v>1</v>
      </c>
      <c r="H70" s="104" t="n">
        <f aca="false">MAX(1,CEILING(H32*H20/(H57*H69),1))</f>
        <v>2</v>
      </c>
      <c r="I70" s="104" t="n">
        <f aca="false">MAX(1,CEILING(I32*I20/(I57*I69),1))</f>
        <v>1</v>
      </c>
      <c r="J70" s="104" t="n">
        <f aca="false">MAX(1,CEILING(J32*J20/(J57*J69),1))</f>
        <v>1</v>
      </c>
      <c r="K70" s="104" t="n">
        <f aca="false">MAX(1,CEILING(K32*K20/(K57*K69),1))</f>
        <v>1</v>
      </c>
      <c r="L70" s="104" t="n">
        <f aca="false">MAX(1,CEILING(L32*L20/(L57*L69),1))</f>
        <v>1</v>
      </c>
      <c r="M70" s="104" t="n">
        <f aca="false">MAX(1,CEILING(M32*M20/(M57*M69),1))</f>
        <v>1</v>
      </c>
      <c r="N70" s="104" t="n">
        <f aca="false">MAX(1,CEILING(N32*N20/(N57*N69),1))</f>
        <v>1</v>
      </c>
      <c r="O70" s="104" t="n">
        <f aca="false">MAX(1,CEILING(O32*O20/(O57*O69),1))</f>
        <v>1</v>
      </c>
      <c r="P70" s="104" t="n">
        <f aca="false">MAX(1,CEILING(P32*P20/(P57*P69),1))</f>
        <v>1</v>
      </c>
      <c r="Q70" s="104" t="n">
        <f aca="false">MAX(1,CEILING(Q32*Q20/(Q57*Q69),1))</f>
        <v>1</v>
      </c>
    </row>
    <row r="71" customFormat="false" ht="15" hidden="false" customHeight="false" outlineLevel="0" collapsed="false">
      <c r="A71" s="54" t="s">
        <v>722</v>
      </c>
      <c r="B71" s="54" t="s">
        <v>682</v>
      </c>
      <c r="C71" s="60" t="n">
        <f aca="false">MAX(C18,CEILING(C33*C19/(C58*C69),1))</f>
        <v>64</v>
      </c>
      <c r="D71" s="60" t="n">
        <f aca="false">MAX(D18,CEILING(D33*D19/(D58*D69),1))</f>
        <v>64</v>
      </c>
      <c r="E71" s="60" t="n">
        <f aca="false">MAX(E18,CEILING(E33*E19/(E58*E69),1))</f>
        <v>138</v>
      </c>
      <c r="F71" s="60" t="n">
        <f aca="false">MAX(F18,CEILING(F33*F19/(F58*F69),1))</f>
        <v>32</v>
      </c>
      <c r="G71" s="60" t="n">
        <f aca="false">MAX(G18,CEILING(G33*G19/(G58*G69),1))</f>
        <v>32</v>
      </c>
      <c r="H71" s="60" t="n">
        <f aca="false">MAX(H18,CEILING(H33*H19/(H58*H69),1))</f>
        <v>34</v>
      </c>
      <c r="I71" s="60" t="n">
        <f aca="false">MAX(I18,CEILING(I33*I19/(I58*I69),1))</f>
        <v>32</v>
      </c>
      <c r="J71" s="60" t="n">
        <f aca="false">MAX(J18,CEILING(J33*J19/(J58*J69),1))</f>
        <v>32</v>
      </c>
      <c r="K71" s="60" t="n">
        <f aca="false">MAX(K18,CEILING(K33*K19/(K58*K69),1))</f>
        <v>32</v>
      </c>
      <c r="L71" s="60" t="n">
        <f aca="false">MAX(L18,CEILING(L33*L19/(L58*L69),1))</f>
        <v>32</v>
      </c>
      <c r="M71" s="60" t="n">
        <f aca="false">MAX(M18,CEILING(M33*M19/(M58*M69),1))</f>
        <v>32</v>
      </c>
      <c r="N71" s="60" t="n">
        <f aca="false">MAX(N18,CEILING(N33*N19/(N58*N69),1))</f>
        <v>32</v>
      </c>
      <c r="O71" s="60" t="n">
        <f aca="false">MAX(O18,CEILING(O33*O19/(O58*O69),1))</f>
        <v>64</v>
      </c>
      <c r="P71" s="60" t="n">
        <f aca="false">MAX(P18,CEILING(P33*P19/(P58*P69),1))</f>
        <v>64</v>
      </c>
      <c r="Q71" s="60" t="n">
        <f aca="false">MAX(Q18,CEILING(Q33*Q19/(Q58*Q69),1))</f>
        <v>64</v>
      </c>
    </row>
    <row r="72" customFormat="false" ht="15" hidden="false" customHeight="false" outlineLevel="0" collapsed="false">
      <c r="A72" s="53" t="s">
        <v>454</v>
      </c>
      <c r="B72" s="54" t="s">
        <v>274</v>
      </c>
      <c r="C72" s="67" t="n">
        <f aca="false">C32*C20/C70+C33*C19/C71</f>
        <v>9.7649375</v>
      </c>
      <c r="D72" s="67" t="n">
        <f aca="false">D32*D20/D70+D33*D19/D71</f>
        <v>34.8220486111111</v>
      </c>
      <c r="E72" s="67" t="n">
        <f aca="false">E32*E20/E70+E33*E19/E71</f>
        <v>40.898053997195</v>
      </c>
      <c r="F72" s="67" t="n">
        <f aca="false">F32*F20/F70+F33*F19/F71</f>
        <v>10.3090546875</v>
      </c>
      <c r="G72" s="67" t="n">
        <f aca="false">G32*G20/G70+G33*G19/G71</f>
        <v>48.0463324652778</v>
      </c>
      <c r="H72" s="67" t="n">
        <f aca="false">H32*H20/H70+H33*H19/H71</f>
        <v>89.9008983633776</v>
      </c>
      <c r="I72" s="67" t="n">
        <f aca="false">I32*I20/I70+I33*I19/I71</f>
        <v>10.3090546875</v>
      </c>
      <c r="J72" s="67" t="n">
        <f aca="false">J32*J20/J70+J33*J19/J71</f>
        <v>48.0463324652778</v>
      </c>
      <c r="K72" s="67" t="n">
        <f aca="false">K32*K20/K70+K33*K19/K71</f>
        <v>118.522476688508</v>
      </c>
      <c r="L72" s="67" t="n">
        <f aca="false">L32*L20/L70+L33*L19/L71</f>
        <v>10.3090546875</v>
      </c>
      <c r="M72" s="67" t="n">
        <f aca="false">M32*M20/M70+M33*M19/M71</f>
        <v>48.0463324652778</v>
      </c>
      <c r="N72" s="67" t="n">
        <f aca="false">N32*N20/N70+N33*N19/N71</f>
        <v>118.522476688508</v>
      </c>
      <c r="O72" s="67" t="n">
        <f aca="false">O32*O20/O70+O33*O19/O71</f>
        <v>7.86052734375</v>
      </c>
      <c r="P72" s="67" t="n">
        <f aca="false">P32*P20/P70+P33*P19/P71</f>
        <v>34.1620551215278</v>
      </c>
      <c r="Q72" s="67" t="n">
        <f aca="false">Q32*Q20/Q70+Q33*Q19/Q71</f>
        <v>83.7975286668347</v>
      </c>
    </row>
    <row r="73" customFormat="false" ht="15" hidden="false" customHeight="false" outlineLevel="0" collapsed="false">
      <c r="A73" s="53" t="s">
        <v>723</v>
      </c>
      <c r="B73" s="54" t="s">
        <v>71</v>
      </c>
      <c r="C73" s="78" t="n">
        <f aca="false">C72/C69</f>
        <v>0.135624131944444</v>
      </c>
      <c r="D73" s="78" t="n">
        <f aca="false">D72/D69</f>
        <v>0.48363956404321</v>
      </c>
      <c r="E73" s="78" t="n">
        <f aca="false">E72/E69</f>
        <v>0.568028527738819</v>
      </c>
      <c r="F73" s="78" t="n">
        <f aca="false">F72/F69</f>
        <v>0.0615833613351255</v>
      </c>
      <c r="G73" s="78" t="n">
        <f aca="false">G72/G69</f>
        <v>0.287015128227466</v>
      </c>
      <c r="H73" s="78" t="n">
        <f aca="false">H72/H69</f>
        <v>0.537042403604406</v>
      </c>
      <c r="I73" s="78" t="n">
        <f aca="false">I72/I69</f>
        <v>0.0397725875289352</v>
      </c>
      <c r="J73" s="78" t="n">
        <f aca="false">J72/J69</f>
        <v>0.185363936980238</v>
      </c>
      <c r="K73" s="78" t="n">
        <f aca="false">K72/K69</f>
        <v>0.45726264154517</v>
      </c>
      <c r="L73" s="78" t="n">
        <f aca="false">L72/L69</f>
        <v>0.0397725875289352</v>
      </c>
      <c r="M73" s="78" t="n">
        <f aca="false">M72/M69</f>
        <v>0.185363936980238</v>
      </c>
      <c r="N73" s="78" t="n">
        <f aca="false">N72/N69</f>
        <v>0.45726264154517</v>
      </c>
      <c r="O73" s="78" t="n">
        <f aca="false">O72/O69</f>
        <v>0.00852921803792318</v>
      </c>
      <c r="P73" s="78" t="n">
        <f aca="false">P72/P69</f>
        <v>0.0370682021717966</v>
      </c>
      <c r="Q73" s="78" t="n">
        <f aca="false">Q72/Q69</f>
        <v>0.0909261378763397</v>
      </c>
    </row>
    <row r="74" customFormat="false" ht="15" hidden="false" customHeight="false" outlineLevel="0" collapsed="false">
      <c r="A74" s="68" t="s">
        <v>724</v>
      </c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</row>
    <row r="75" customFormat="false" ht="15" hidden="false" customHeight="false" outlineLevel="0" collapsed="false">
      <c r="A75" s="54" t="s">
        <v>725</v>
      </c>
      <c r="B75" s="54" t="s">
        <v>330</v>
      </c>
      <c r="C75" s="60" t="n">
        <f aca="false">C51*C14*1000000000000000/(C67*1000000000)</f>
        <v>7754.87255604074</v>
      </c>
      <c r="D75" s="60" t="n">
        <f aca="false">D51*D14*1000000000000000/(D67*1000000000)</f>
        <v>2234.32382909281</v>
      </c>
      <c r="E75" s="60" t="n">
        <f aca="false">E51*E14*1000000000000000/(E67*1000000000)</f>
        <v>673.50593855451</v>
      </c>
      <c r="F75" s="60" t="n">
        <f aca="false">F51*F14*1000000000000000/(F67*1000000000)</f>
        <v>78411.2493027375</v>
      </c>
      <c r="G75" s="60" t="n">
        <f aca="false">G51*G14*1000000000000000/(G67*1000000000)</f>
        <v>22591.7475135774</v>
      </c>
      <c r="H75" s="60" t="n">
        <f aca="false">H51*H14*1000000000000000/(H67*1000000000)</f>
        <v>6809.96904504055</v>
      </c>
      <c r="I75" s="60" t="n">
        <f aca="false">I51*I14*1000000000000000/(I67*1000000000)</f>
        <v>117616.873954106</v>
      </c>
      <c r="J75" s="60" t="n">
        <f aca="false">J51*J14*1000000000000000/(J67*1000000000)</f>
        <v>33887.6212703662</v>
      </c>
      <c r="K75" s="60" t="n">
        <f aca="false">K51*K14*1000000000000000/(K67*1000000000)</f>
        <v>10214.9535675608</v>
      </c>
      <c r="L75" s="60" t="n">
        <f aca="false">L51*L14*1000000000000000/(L67*1000000000)</f>
        <v>274439.372559581</v>
      </c>
      <c r="M75" s="60" t="n">
        <f aca="false">M51*M14*1000000000000000/(M67*1000000000)</f>
        <v>79071.116297521</v>
      </c>
      <c r="N75" s="60" t="n">
        <f aca="false">N51*N14*1000000000000000/(N67*1000000000)</f>
        <v>23834.8916576419</v>
      </c>
      <c r="O75" s="60" t="n">
        <f aca="false">O51*O14*1000000000000000/(O67*1000000000)</f>
        <v>548878.745119163</v>
      </c>
      <c r="P75" s="60" t="n">
        <f aca="false">P51*P14*1000000000000000/(P67*1000000000)</f>
        <v>158142.232595042</v>
      </c>
      <c r="Q75" s="60" t="n">
        <f aca="false">Q51*Q14*1000000000000000/(Q67*1000000000)</f>
        <v>47669.7833152838</v>
      </c>
    </row>
    <row r="76" customFormat="false" ht="15" hidden="false" customHeight="false" outlineLevel="0" collapsed="false">
      <c r="A76" s="54" t="s">
        <v>726</v>
      </c>
      <c r="B76" s="54" t="s">
        <v>333</v>
      </c>
      <c r="C76" s="69" t="n">
        <f aca="false">C43*C67*1000000000/(C51*C14*1000000000000000*C21)</f>
        <v>0.132046012697184</v>
      </c>
      <c r="D76" s="69" t="n">
        <f aca="false">D43*D67*1000000000/(D51*D14*1000000000000000*D21)</f>
        <v>0.916608404445805</v>
      </c>
      <c r="E76" s="69" t="n">
        <f aca="false">E43*E67*1000000000/(E51*E14*1000000000000000*E21)</f>
        <v>6.08160933041052</v>
      </c>
      <c r="F76" s="69" t="n">
        <f aca="false">F43*F67*1000000000/(F51*F14*1000000000000000*F21)</f>
        <v>0.026118701311503</v>
      </c>
      <c r="G76" s="69" t="n">
        <f aca="false">G43*G67*1000000000/(G51*G14*1000000000000000*G21)</f>
        <v>0.18130514239938</v>
      </c>
      <c r="H76" s="69" t="n">
        <f aca="false">H43*H67*1000000000/(H51*H14*1000000000000000*H21)</f>
        <v>1.2029423255552</v>
      </c>
      <c r="I76" s="69" t="n">
        <f aca="false">I43*I67*1000000000/(I51*I14*1000000000000000*I21)</f>
        <v>0.017412467541002</v>
      </c>
      <c r="J76" s="69" t="n">
        <f aca="false">J43*J67*1000000000/(J51*J14*1000000000000000*J21)</f>
        <v>0.12087009493292</v>
      </c>
      <c r="K76" s="69" t="n">
        <f aca="false">K43*K67*1000000000/(K51*K14*1000000000000000*K21)</f>
        <v>0.801961550370133</v>
      </c>
      <c r="L76" s="69" t="n">
        <f aca="false">L43*L67*1000000000/(L51*L14*1000000000000000*L21)</f>
        <v>0.00746248608900086</v>
      </c>
      <c r="M76" s="69" t="n">
        <f aca="false">M43*M67*1000000000/(M51*M14*1000000000000000*M21)</f>
        <v>0.0518014692569658</v>
      </c>
      <c r="N76" s="69" t="n">
        <f aca="false">N43*N67*1000000000/(N51*N14*1000000000000000*N21)</f>
        <v>0.343697807301486</v>
      </c>
      <c r="O76" s="69" t="n">
        <f aca="false">O43*O67*1000000000/(O51*O14*1000000000000000*O21)</f>
        <v>0.00186562152225022</v>
      </c>
      <c r="P76" s="69" t="n">
        <f aca="false">P43*P67*1000000000/(P51*P14*1000000000000000*P21)</f>
        <v>0.0129503673142414</v>
      </c>
      <c r="Q76" s="69" t="n">
        <f aca="false">Q43*Q67*1000000000/(Q51*Q14*1000000000000000*Q21)</f>
        <v>0.0859244518253714</v>
      </c>
    </row>
    <row r="77" customFormat="false" ht="15" hidden="false" customHeight="false" outlineLevel="0" collapsed="false">
      <c r="A77" s="54" t="s">
        <v>727</v>
      </c>
      <c r="B77" s="53"/>
      <c r="C77" s="53" t="str">
        <f aca="false">IF(C76&lt;=C42,"是","否")</f>
        <v>是</v>
      </c>
      <c r="D77" s="53" t="str">
        <f aca="false">IF(D76&lt;=D42,"是","否")</f>
        <v>是</v>
      </c>
      <c r="E77" s="53" t="str">
        <f aca="false">IF(E76&lt;=E42,"是","否")</f>
        <v>否</v>
      </c>
      <c r="F77" s="53" t="str">
        <f aca="false">IF(F76&lt;=F42,"是","否")</f>
        <v>是</v>
      </c>
      <c r="G77" s="53" t="str">
        <f aca="false">IF(G76&lt;=G42,"是","否")</f>
        <v>是</v>
      </c>
      <c r="H77" s="53" t="str">
        <f aca="false">IF(H76&lt;=H42,"是","否")</f>
        <v>是</v>
      </c>
      <c r="I77" s="53" t="str">
        <f aca="false">IF(I76&lt;=I42,"是","否")</f>
        <v>是</v>
      </c>
      <c r="J77" s="53" t="str">
        <f aca="false">IF(J76&lt;=J42,"是","否")</f>
        <v>是</v>
      </c>
      <c r="K77" s="53" t="str">
        <f aca="false">IF(K76&lt;=K42,"是","否")</f>
        <v>是</v>
      </c>
      <c r="L77" s="53" t="str">
        <f aca="false">IF(L76&lt;=L42,"是","否")</f>
        <v>是</v>
      </c>
      <c r="M77" s="53" t="str">
        <f aca="false">IF(M76&lt;=M42,"是","否")</f>
        <v>是</v>
      </c>
      <c r="N77" s="53" t="str">
        <f aca="false">IF(N76&lt;=N42,"是","否")</f>
        <v>是</v>
      </c>
      <c r="O77" s="53" t="str">
        <f aca="false">IF(O76&lt;=O42,"是","否")</f>
        <v>是</v>
      </c>
      <c r="P77" s="53" t="str">
        <f aca="false">IF(P76&lt;=P42,"是","否")</f>
        <v>是</v>
      </c>
      <c r="Q77" s="53" t="str">
        <f aca="false">IF(Q76&lt;=Q42,"是","否")</f>
        <v>是</v>
      </c>
    </row>
    <row r="78" customFormat="false" ht="15" hidden="false" customHeight="false" outlineLevel="0" collapsed="false">
      <c r="A78" s="68" t="s">
        <v>728</v>
      </c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</row>
    <row r="79" customFormat="false" ht="15" hidden="false" customHeight="false" outlineLevel="0" collapsed="false">
      <c r="A79" s="53" t="s">
        <v>729</v>
      </c>
      <c r="B79" s="54" t="s">
        <v>459</v>
      </c>
      <c r="C79" s="64" t="n">
        <f aca="false">C72/C16+(C29+C47)*C55/1000</f>
        <v>14.0366950476431</v>
      </c>
      <c r="D79" s="64" t="n">
        <f aca="false">D72/D16+(D29+D47)*D55/1000</f>
        <v>25.8684338372861</v>
      </c>
      <c r="E79" s="64" t="n">
        <f aca="false">E72/E16+(E29+E47)*E55/1000</f>
        <v>37.1115090691772</v>
      </c>
      <c r="F79" s="64" t="n">
        <f aca="false">F72/F16+(F29+F47)*F55/1000</f>
        <v>8.70315739008759</v>
      </c>
      <c r="G79" s="64" t="n">
        <f aca="false">G72/G16+(G29+G47)*G55/1000</f>
        <v>16.3216531987164</v>
      </c>
      <c r="H79" s="64" t="n">
        <f aca="false">H72/H16+(H29+H47)*H55/1000</f>
        <v>27.8397021231931</v>
      </c>
      <c r="I79" s="64" t="n">
        <f aca="false">I72/I16+(I29+I47)*I55/1000</f>
        <v>8.70315739008759</v>
      </c>
      <c r="J79" s="64" t="n">
        <f aca="false">J72/J16+(J29+J47)*J55/1000</f>
        <v>16.3216531987164</v>
      </c>
      <c r="K79" s="64" t="n">
        <f aca="false">K72/K16+(K29+K47)*K55/1000</f>
        <v>31.4173994138344</v>
      </c>
      <c r="L79" s="64" t="n">
        <f aca="false">L72/L16+(L29+L47)*L55/1000</f>
        <v>7.88311894903646</v>
      </c>
      <c r="M79" s="64" t="n">
        <f aca="false">M72/M16+(M29+M47)*M55/1000</f>
        <v>12.4997858435238</v>
      </c>
      <c r="N79" s="64" t="n">
        <f aca="false">N72/N16+(N29+N47)*N55/1000</f>
        <v>21.989475131794</v>
      </c>
      <c r="O79" s="64" t="n">
        <f aca="false">O72/O16+(O29+O47)*O55/1000</f>
        <v>7.66016703364228</v>
      </c>
      <c r="P79" s="64" t="n">
        <f aca="false">P72/P16+(P29+P47)*P55/1000</f>
        <v>11.3834258631044</v>
      </c>
      <c r="Q79" s="64" t="n">
        <f aca="false">Q72/Q16+(Q29+Q47)*Q55/1000</f>
        <v>19.2207625986094</v>
      </c>
    </row>
    <row r="80" customFormat="false" ht="15" hidden="false" customHeight="false" outlineLevel="0" collapsed="false">
      <c r="A80" s="53" t="s">
        <v>730</v>
      </c>
      <c r="B80" s="54" t="s">
        <v>459</v>
      </c>
      <c r="C80" s="65" t="n">
        <f aca="false">(C47+1)*C65/(C14*C53)/1000</f>
        <v>1.45953006114782</v>
      </c>
      <c r="D80" s="65" t="n">
        <f aca="false">(D47+1)*D65/(D14*D53)/1000</f>
        <v>5.02650152314182</v>
      </c>
      <c r="E80" s="65" t="n">
        <f aca="false">(E47+1)*E65/(E14*E53)/1000</f>
        <v>20.0163377919769</v>
      </c>
      <c r="F80" s="65" t="n">
        <f aca="false">(F47+1)*F65/(F14*F53)/1000</f>
        <v>0.43326149865173</v>
      </c>
      <c r="G80" s="65" t="n">
        <f aca="false">(G47+1)*G65/(G14*G53)/1000</f>
        <v>1.49211697714465</v>
      </c>
      <c r="H80" s="65" t="n">
        <f aca="false">(H47+1)*H65/(H14*H53)/1000</f>
        <v>5.94184987354833</v>
      </c>
      <c r="I80" s="65" t="n">
        <f aca="false">(I47+1)*I65/(I14*I53)/1000</f>
        <v>0.288840999101154</v>
      </c>
      <c r="J80" s="65" t="n">
        <f aca="false">(J47+1)*J65/(J14*J53)/1000</f>
        <v>0.994744651429766</v>
      </c>
      <c r="K80" s="65" t="n">
        <f aca="false">(K47+1)*K65/(K14*K53)/1000</f>
        <v>3.96123324903222</v>
      </c>
      <c r="L80" s="65" t="n">
        <f aca="false">(L47+1)*L65/(L14*L53)/1000</f>
        <v>0.12378899961478</v>
      </c>
      <c r="M80" s="65" t="n">
        <f aca="false">(M47+1)*M65/(M14*M53)/1000</f>
        <v>0.426319136327043</v>
      </c>
      <c r="N80" s="65" t="n">
        <f aca="false">(N47+1)*N65/(N14*N53)/1000</f>
        <v>1.69767139244238</v>
      </c>
      <c r="O80" s="65" t="n">
        <f aca="false">(O47+1)*O65/(O14*O53)/1000</f>
        <v>0.06189449980739</v>
      </c>
      <c r="P80" s="65" t="n">
        <f aca="false">(P47+1)*P65/(P14*P53)/1000</f>
        <v>0.213159568163521</v>
      </c>
      <c r="Q80" s="65" t="n">
        <f aca="false">(Q47+1)*Q65/(Q14*Q53)/1000</f>
        <v>0.848835696221191</v>
      </c>
    </row>
    <row r="81" customFormat="false" ht="15" hidden="false" customHeight="false" outlineLevel="0" collapsed="false">
      <c r="A81" s="53" t="s">
        <v>731</v>
      </c>
      <c r="B81" s="54" t="s">
        <v>459</v>
      </c>
      <c r="C81" s="65" t="n">
        <f aca="false">C34*C45/(C16*C60)/1000000000</f>
        <v>0.0103742771855011</v>
      </c>
      <c r="D81" s="65" t="n">
        <f aca="false">D34*D45/(D16*D60)/1000000000</f>
        <v>0.0294339957356077</v>
      </c>
      <c r="E81" s="65" t="n">
        <f aca="false">E34*E45/(E16*E60)/1000000000</f>
        <v>0.855181918976546</v>
      </c>
      <c r="F81" s="65" t="n">
        <f aca="false">F34*F45/(F16*F60)/1000000000</f>
        <v>0.00434422857142857</v>
      </c>
      <c r="G81" s="65" t="n">
        <f aca="false">G34*G45/(G16*G60)/1000000000</f>
        <v>0.0123254857142857</v>
      </c>
      <c r="H81" s="65" t="n">
        <f aca="false">H34*H45/(H16*H60)/1000000000</f>
        <v>0.358107428571429</v>
      </c>
      <c r="I81" s="65" t="n">
        <f aca="false">I34*I45/(I16*I60)/1000000000</f>
        <v>0.00434422857142857</v>
      </c>
      <c r="J81" s="65" t="n">
        <f aca="false">J34*J45/(J16*J60)/1000000000</f>
        <v>0.0123254857142857</v>
      </c>
      <c r="K81" s="65" t="n">
        <f aca="false">K34*K45/(K16*K60)/1000000000</f>
        <v>0.358107428571429</v>
      </c>
      <c r="L81" s="65" t="n">
        <f aca="false">L34*L45/(L16*L60)/1000000000</f>
        <v>0.00157971948051948</v>
      </c>
      <c r="M81" s="65" t="n">
        <f aca="false">M34*M45/(M16*M60)/1000000000</f>
        <v>0.00448199480519481</v>
      </c>
      <c r="N81" s="65" t="n">
        <f aca="false">N34*N45/(N16*N60)/1000000000</f>
        <v>0.130220883116883</v>
      </c>
      <c r="O81" s="65" t="n">
        <f aca="false">O34*O45/(O16*O60)/1000000000</f>
        <v>0.00108605714285714</v>
      </c>
      <c r="P81" s="65" t="n">
        <f aca="false">P34*P45/(P16*P60)/1000000000</f>
        <v>0.00308137142857143</v>
      </c>
      <c r="Q81" s="65" t="n">
        <f aca="false">Q34*Q45/(Q16*Q60)/1000000000</f>
        <v>0.0895268571428571</v>
      </c>
    </row>
    <row r="82" customFormat="false" ht="15" hidden="false" customHeight="false" outlineLevel="0" collapsed="false">
      <c r="A82" s="53" t="s">
        <v>732</v>
      </c>
      <c r="B82" s="54" t="s">
        <v>459</v>
      </c>
      <c r="C82" s="65" t="n">
        <f aca="false">(C47+1)*C29*C31*C30*C59*(C71-1)/C71/(C17*C61)/1000000000</f>
        <v>0.3566592</v>
      </c>
      <c r="D82" s="65" t="n">
        <f aca="false">(D47+1)*D29*D31*D30*D59*(D71-1)/D71/(D17*D61)/1000000000</f>
        <v>0.8854272</v>
      </c>
      <c r="E82" s="65" t="n">
        <f aca="false">(E47+1)*E29*E31*E30*E59*(E71-1)/E71/(E17*E61)/1000000000</f>
        <v>6.69199900621118</v>
      </c>
      <c r="F82" s="65" t="n">
        <f aca="false">(F47+1)*F29*F31*F30*F59*(F71-1)/F71/(F17*F61)/1000000000</f>
        <v>0.0194998857142857</v>
      </c>
      <c r="G82" s="65" t="n">
        <f aca="false">(G47+1)*G29*G31*G30*G59*(G71-1)/G71/(G17*G61)/1000000000</f>
        <v>0.0484096</v>
      </c>
      <c r="H82" s="65" t="n">
        <f aca="false">(H47+1)*H29*H31*H30*H59*(H71-1)/H71/(H17*H61)/1000000000</f>
        <v>0.363476974789916</v>
      </c>
      <c r="I82" s="65" t="n">
        <f aca="false">(I47+1)*I29*I31*I30*I59*(I71-1)/I71/(I17*I61)/1000000000</f>
        <v>0.0194998857142857</v>
      </c>
      <c r="J82" s="65" t="n">
        <f aca="false">(J47+1)*J29*J31*J30*J59*(J71-1)/J71/(J17*J61)/1000000000</f>
        <v>0.0484096</v>
      </c>
      <c r="K82" s="65" t="n">
        <f aca="false">(K47+1)*K29*K31*K30*K59*(K71-1)/K71/(K17*K61)/1000000000</f>
        <v>0.362788571428571</v>
      </c>
      <c r="L82" s="65" t="n">
        <f aca="false">(L47+1)*L29*L31*L30*L59*(L71-1)/L71/(L17*L61)/1000000000</f>
        <v>0.00974994285714286</v>
      </c>
      <c r="M82" s="65" t="n">
        <f aca="false">(M47+1)*M29*M31*M30*M59*(M71-1)/M71/(M17*M61)/1000000000</f>
        <v>0.0242048</v>
      </c>
      <c r="N82" s="65" t="n">
        <f aca="false">(N47+1)*N29*N31*N30*N59*(N71-1)/N71/(N17*N61)/1000000000</f>
        <v>0.181394285714286</v>
      </c>
      <c r="O82" s="65" t="n">
        <f aca="false">(O47+1)*O29*O31*O30*O59*(O71-1)/O71/(O17*O61)/1000000000</f>
        <v>0.0099072</v>
      </c>
      <c r="P82" s="65" t="n">
        <f aca="false">(P47+1)*P29*P31*P30*P59*(P71-1)/P71/(P17*P61)/1000000000</f>
        <v>0.0245952</v>
      </c>
      <c r="Q82" s="65" t="n">
        <f aca="false">(Q47+1)*Q29*Q31*Q30*Q59*(Q71-1)/Q71/(Q17*Q61)/1000000000</f>
        <v>0.18432</v>
      </c>
    </row>
    <row r="83" customFormat="false" ht="15" hidden="false" customHeight="false" outlineLevel="0" collapsed="false">
      <c r="A83" s="53" t="s">
        <v>733</v>
      </c>
      <c r="B83" s="54" t="s">
        <v>459</v>
      </c>
      <c r="C83" s="65" t="n">
        <f aca="false">MAX(C80,C81,C82)</f>
        <v>1.45953006114782</v>
      </c>
      <c r="D83" s="65" t="n">
        <f aca="false">MAX(D80,D81,D82)</f>
        <v>5.02650152314182</v>
      </c>
      <c r="E83" s="65" t="n">
        <f aca="false">MAX(E80,E81,E82)</f>
        <v>20.0163377919769</v>
      </c>
      <c r="F83" s="65" t="n">
        <f aca="false">MAX(F80,F81,F82)</f>
        <v>0.43326149865173</v>
      </c>
      <c r="G83" s="65" t="n">
        <f aca="false">MAX(G80,G81,G82)</f>
        <v>1.49211697714465</v>
      </c>
      <c r="H83" s="65" t="n">
        <f aca="false">MAX(H80,H81,H82)</f>
        <v>5.94184987354833</v>
      </c>
      <c r="I83" s="65" t="n">
        <f aca="false">MAX(I80,I81,I82)</f>
        <v>0.288840999101154</v>
      </c>
      <c r="J83" s="65" t="n">
        <f aca="false">MAX(J80,J81,J82)</f>
        <v>0.994744651429766</v>
      </c>
      <c r="K83" s="65" t="n">
        <f aca="false">MAX(K80,K81,K82)</f>
        <v>3.96123324903222</v>
      </c>
      <c r="L83" s="65" t="n">
        <f aca="false">MAX(L80,L81,L82)</f>
        <v>0.12378899961478</v>
      </c>
      <c r="M83" s="65" t="n">
        <f aca="false">MAX(M80,M81,M82)</f>
        <v>0.426319136327043</v>
      </c>
      <c r="N83" s="65" t="n">
        <f aca="false">MAX(N80,N81,N82)</f>
        <v>1.69767139244238</v>
      </c>
      <c r="O83" s="65" t="n">
        <f aca="false">MAX(O80,O81,O82)</f>
        <v>0.06189449980739</v>
      </c>
      <c r="P83" s="65" t="n">
        <f aca="false">MAX(P80,P81,P82)</f>
        <v>0.213159568163521</v>
      </c>
      <c r="Q83" s="65" t="n">
        <f aca="false">MAX(Q80,Q81,Q82)</f>
        <v>0.848835696221191</v>
      </c>
    </row>
    <row r="84" customFormat="false" ht="15" hidden="false" customHeight="false" outlineLevel="0" collapsed="false">
      <c r="A84" s="53" t="s">
        <v>734</v>
      </c>
      <c r="B84" s="53"/>
      <c r="C84" s="53" t="str">
        <f aca="false">IF(C83=C80,"算力",IF(C83=C81,"KV 頻寬","EP 通訊"))</f>
        <v>算力</v>
      </c>
      <c r="D84" s="53" t="str">
        <f aca="false">IF(D83=D80,"算力",IF(D83=D81,"KV 頻寬","EP 通訊"))</f>
        <v>算力</v>
      </c>
      <c r="E84" s="53" t="str">
        <f aca="false">IF(E83=E80,"算力",IF(E83=E81,"KV 頻寬","EP 通訊"))</f>
        <v>算力</v>
      </c>
      <c r="F84" s="53" t="str">
        <f aca="false">IF(F83=F80,"算力",IF(F83=F81,"KV 頻寬","EP 通訊"))</f>
        <v>算力</v>
      </c>
      <c r="G84" s="53" t="str">
        <f aca="false">IF(G83=G80,"算力",IF(G83=G81,"KV 頻寬","EP 通訊"))</f>
        <v>算力</v>
      </c>
      <c r="H84" s="53" t="str">
        <f aca="false">IF(H83=H80,"算力",IF(H83=H81,"KV 頻寬","EP 通訊"))</f>
        <v>算力</v>
      </c>
      <c r="I84" s="53" t="str">
        <f aca="false">IF(I83=I80,"算力",IF(I83=I81,"KV 頻寬","EP 通訊"))</f>
        <v>算力</v>
      </c>
      <c r="J84" s="53" t="str">
        <f aca="false">IF(J83=J80,"算力",IF(J83=J81,"KV 頻寬","EP 通訊"))</f>
        <v>算力</v>
      </c>
      <c r="K84" s="53" t="str">
        <f aca="false">IF(K83=K80,"算力",IF(K83=K81,"KV 頻寬","EP 通訊"))</f>
        <v>算力</v>
      </c>
      <c r="L84" s="53" t="str">
        <f aca="false">IF(L83=L80,"算力",IF(L83=L81,"KV 頻寬","EP 通訊"))</f>
        <v>算力</v>
      </c>
      <c r="M84" s="53" t="str">
        <f aca="false">IF(M83=M80,"算力",IF(M83=M81,"KV 頻寬","EP 通訊"))</f>
        <v>算力</v>
      </c>
      <c r="N84" s="53" t="str">
        <f aca="false">IF(N83=N80,"算力",IF(N83=N81,"KV 頻寬","EP 通訊"))</f>
        <v>算力</v>
      </c>
      <c r="O84" s="53" t="str">
        <f aca="false">IF(O83=O80,"算力",IF(O83=O81,"KV 頻寬","EP 通訊"))</f>
        <v>算力</v>
      </c>
      <c r="P84" s="53" t="str">
        <f aca="false">IF(P83=P80,"算力",IF(P83=P81,"KV 頻寬","EP 通訊"))</f>
        <v>算力</v>
      </c>
      <c r="Q84" s="53" t="str">
        <f aca="false">IF(Q83=Q80,"算力",IF(Q83=Q81,"KV 頻寬","EP 通訊"))</f>
        <v>算力</v>
      </c>
    </row>
    <row r="85" customFormat="false" ht="15" hidden="false" customHeight="false" outlineLevel="0" collapsed="false">
      <c r="A85" s="54" t="s">
        <v>735</v>
      </c>
      <c r="B85" s="53" t="s">
        <v>463</v>
      </c>
      <c r="C85" s="67" t="n">
        <f aca="false">(1000*C49/C41-C79)/C83</f>
        <v>4.8451474032189</v>
      </c>
      <c r="D85" s="67" t="n">
        <f aca="false">(1000*D49/D41-D79)/D83</f>
        <v>2.60634496411254</v>
      </c>
      <c r="E85" s="67" t="n">
        <f aca="false">(1000*E49/E41-E79)/E83</f>
        <v>0.44678684374286</v>
      </c>
      <c r="F85" s="67" t="n">
        <f aca="false">(1000*F49/F41-F79)/F83</f>
        <v>28.6320755060154</v>
      </c>
      <c r="G85" s="67" t="n">
        <f aca="false">(1000*G49/G41-G79)/G83</f>
        <v>15.1781515239196</v>
      </c>
      <c r="H85" s="67" t="n">
        <f aca="false">(1000*H49/H41-H79)/H83</f>
        <v>3.0655172579234</v>
      </c>
      <c r="I85" s="67" t="n">
        <f aca="false">(1000*I49/I41-I79)/I83</f>
        <v>42.9481132590231</v>
      </c>
      <c r="J85" s="67" t="n">
        <f aca="false">(1000*J49/J41-J79)/J83</f>
        <v>22.7672272858794</v>
      </c>
      <c r="K85" s="67" t="n">
        <f aca="false">(1000*K49/K41-K79)/K83</f>
        <v>3.6950982485788</v>
      </c>
      <c r="L85" s="67" t="n">
        <f aca="false">(1000*L49/L41-L79)/L83</f>
        <v>106.836749836032</v>
      </c>
      <c r="M85" s="67" t="n">
        <f aca="false">(1000*M49/M41-M79)/M83</f>
        <v>62.0883339972837</v>
      </c>
      <c r="N85" s="67" t="n">
        <f aca="false">(1000*N49/N41-N79)/N83</f>
        <v>14.1753406636192</v>
      </c>
      <c r="O85" s="67" t="n">
        <f aca="false">(1000*O49/O41-O79)/O83</f>
        <v>217.275627746254</v>
      </c>
      <c r="P85" s="67" t="n">
        <f aca="false">(1000*P49/P41-P79)/P83</f>
        <v>129.413871231736</v>
      </c>
      <c r="Q85" s="67" t="n">
        <f aca="false">(1000*Q49/Q41-Q79)/Q83</f>
        <v>31.6124580709712</v>
      </c>
    </row>
    <row r="86" customFormat="false" ht="15" hidden="false" customHeight="false" outlineLevel="0" collapsed="false">
      <c r="A86" s="54" t="s">
        <v>736</v>
      </c>
      <c r="B86" s="53" t="s">
        <v>463</v>
      </c>
      <c r="C86" s="60" t="n">
        <f aca="false">(C69-C72)*1000000000/(C34*C45)</f>
        <v>2558.19965159029</v>
      </c>
      <c r="D86" s="60" t="n">
        <f aca="false">(D69-D72)*1000000000/(D34*D45)</f>
        <v>538.633530942984</v>
      </c>
      <c r="E86" s="60" t="n">
        <f aca="false">(E69-E72)*1000000000/(E34*E45)</f>
        <v>15.5090860617669</v>
      </c>
      <c r="F86" s="60" t="n">
        <f aca="false">(F69-F72)*1000000000/(F34*F45)</f>
        <v>6457.29248791911</v>
      </c>
      <c r="G86" s="60" t="n">
        <f aca="false">(G69-G72)*1000000000/(G34*G45)</f>
        <v>1729.19391665125</v>
      </c>
      <c r="H86" s="60" t="n">
        <f aca="false">(H69-H72)*1000000000/(H34*H45)</f>
        <v>38.6451779217801</v>
      </c>
      <c r="I86" s="60" t="n">
        <f aca="false">(I69-I72)*1000000000/(I34*I45)</f>
        <v>10230.7719154683</v>
      </c>
      <c r="J86" s="60" t="n">
        <f aca="false">(J69-J72)*1000000000/(J34*J45)</f>
        <v>3059.19076406613</v>
      </c>
      <c r="K86" s="60" t="n">
        <f aca="false">(K69-K72)*1000000000/(K34*K45)</f>
        <v>70.1493024197706</v>
      </c>
      <c r="L86" s="60" t="n">
        <f aca="false">(L69-L72)*1000000000/(L34*L45)</f>
        <v>10230.7719154683</v>
      </c>
      <c r="M86" s="60" t="n">
        <f aca="false">(M69-M72)*1000000000/(M34*M45)</f>
        <v>3059.19076406613</v>
      </c>
      <c r="N86" s="60" t="n">
        <f aca="false">(N69-N72)*1000000000/(N34*N45)</f>
        <v>70.1493024197706</v>
      </c>
      <c r="O86" s="60" t="n">
        <f aca="false">(O69-O72)*1000000000/(O34*O45)</f>
        <v>37559.6634227452</v>
      </c>
      <c r="P86" s="60" t="n">
        <f aca="false">(P69-P72)*1000000000/(P34*P45)</f>
        <v>12857.1859364347</v>
      </c>
      <c r="Q86" s="60" t="n">
        <f aca="false">(Q69-Q72)*1000000000/(Q34*Q45)</f>
        <v>417.772914578888</v>
      </c>
    </row>
    <row r="87" customFormat="false" ht="15" hidden="false" customHeight="false" outlineLevel="0" collapsed="false">
      <c r="A87" s="53" t="s">
        <v>737</v>
      </c>
      <c r="B87" s="53" t="s">
        <v>463</v>
      </c>
      <c r="C87" s="105" t="n">
        <f aca="false">MAX(0,MIN(C85,C86))</f>
        <v>4.8451474032189</v>
      </c>
      <c r="D87" s="105" t="n">
        <f aca="false">MAX(0,MIN(D85,D86))</f>
        <v>2.60634496411254</v>
      </c>
      <c r="E87" s="105" t="n">
        <f aca="false">MAX(0,MIN(E85,E86))</f>
        <v>0.44678684374286</v>
      </c>
      <c r="F87" s="105" t="n">
        <f aca="false">MAX(0,MIN(F85,F86))</f>
        <v>28.6320755060154</v>
      </c>
      <c r="G87" s="105" t="n">
        <f aca="false">MAX(0,MIN(G85,G86))</f>
        <v>15.1781515239196</v>
      </c>
      <c r="H87" s="105" t="n">
        <f aca="false">MAX(0,MIN(H85,H86))</f>
        <v>3.0655172579234</v>
      </c>
      <c r="I87" s="105" t="n">
        <f aca="false">MAX(0,MIN(I85,I86))</f>
        <v>42.9481132590231</v>
      </c>
      <c r="J87" s="105" t="n">
        <f aca="false">MAX(0,MIN(J85,J86))</f>
        <v>22.7672272858794</v>
      </c>
      <c r="K87" s="105" t="n">
        <f aca="false">MAX(0,MIN(K85,K86))</f>
        <v>3.6950982485788</v>
      </c>
      <c r="L87" s="105" t="n">
        <f aca="false">MAX(0,MIN(L85,L86))</f>
        <v>106.836749836032</v>
      </c>
      <c r="M87" s="105" t="n">
        <f aca="false">MAX(0,MIN(M85,M86))</f>
        <v>62.0883339972837</v>
      </c>
      <c r="N87" s="105" t="n">
        <f aca="false">MAX(0,MIN(N85,N86))</f>
        <v>14.1753406636192</v>
      </c>
      <c r="O87" s="105" t="n">
        <f aca="false">MAX(0,MIN(O85,O86))</f>
        <v>217.275627746254</v>
      </c>
      <c r="P87" s="105" t="n">
        <f aca="false">MAX(0,MIN(P85,P86))</f>
        <v>129.413871231736</v>
      </c>
      <c r="Q87" s="105" t="n">
        <f aca="false">MAX(0,MIN(Q85,Q86))</f>
        <v>31.6124580709712</v>
      </c>
    </row>
    <row r="88" customFormat="false" ht="15" hidden="false" customHeight="false" outlineLevel="0" collapsed="false">
      <c r="A88" s="54" t="s">
        <v>738</v>
      </c>
      <c r="B88" s="54" t="s">
        <v>330</v>
      </c>
      <c r="C88" s="63" t="n">
        <f aca="false">IF(C87&gt;0,C87*C49/((C79+C87*C83)/1000),0)</f>
        <v>581.417688386268</v>
      </c>
      <c r="D88" s="63" t="n">
        <f aca="false">IF(D87&gt;0,D87*D49/((D79+D87*D83)/1000),0)</f>
        <v>169.412422667315</v>
      </c>
      <c r="E88" s="63" t="n">
        <f aca="false">IF(E87&gt;0,E87*E49/((E79+E87*E83)/1000),0)</f>
        <v>24.5732764058573</v>
      </c>
      <c r="F88" s="63" t="n">
        <f aca="false">IF(F87&gt;0,F87*F49/((F79+F87*F83)/1000),0)</f>
        <v>3435.84906072185</v>
      </c>
      <c r="G88" s="63" t="n">
        <f aca="false">IF(G87&gt;0,G87*G49/((G79+G87*G83)/1000),0)</f>
        <v>986.579849054775</v>
      </c>
      <c r="H88" s="63" t="n">
        <f aca="false">IF(H87&gt;0,H87*H49/((H79+H87*H83)/1000),0)</f>
        <v>168.603449185787</v>
      </c>
      <c r="I88" s="63" t="n">
        <f aca="false">IF(I87&gt;0,I87*I49/((I79+I87*I83)/1000),0)</f>
        <v>5153.77359108278</v>
      </c>
      <c r="J88" s="63" t="n">
        <f aca="false">IF(J87&gt;0,J87*J49/((J79+J87*J83)/1000),0)</f>
        <v>1479.86977358216</v>
      </c>
      <c r="K88" s="63" t="n">
        <f aca="false">IF(K87&gt;0,K87*K49/((K79+K87*K83)/1000),0)</f>
        <v>203.230403671834</v>
      </c>
      <c r="L88" s="63" t="n">
        <f aca="false">IF(L87&gt;0,L87*L49/((L79+L87*L83)/1000),0)</f>
        <v>12820.4099803238</v>
      </c>
      <c r="M88" s="63" t="n">
        <f aca="false">IF(M87&gt;0,M87*M49/((M79+M87*M83)/1000),0)</f>
        <v>4035.74170982344</v>
      </c>
      <c r="N88" s="63" t="n">
        <f aca="false">IF(N87&gt;0,N87*N49/((N79+N87*N83)/1000),0)</f>
        <v>779.643736499055</v>
      </c>
      <c r="O88" s="63" t="n">
        <f aca="false">IF(O87&gt;0,O87*O49/((O79+O87*O83)/1000),0)</f>
        <v>26073.0753295504</v>
      </c>
      <c r="P88" s="63" t="n">
        <f aca="false">IF(P87&gt;0,P87*P49/((P79+P87*P83)/1000),0)</f>
        <v>8411.90163006283</v>
      </c>
      <c r="Q88" s="63" t="n">
        <f aca="false">IF(Q87&gt;0,Q87*Q49/((Q79+Q87*Q83)/1000),0)</f>
        <v>1738.68519390341</v>
      </c>
    </row>
    <row r="89" customFormat="false" ht="15" hidden="false" customHeight="false" outlineLevel="0" collapsed="false">
      <c r="A89" s="53" t="s">
        <v>739</v>
      </c>
      <c r="B89" s="54" t="s">
        <v>330</v>
      </c>
      <c r="C89" s="60" t="n">
        <f aca="false">IF(C87&gt;0,C49/((C79+C87*C83)/1000),0)</f>
        <v>120</v>
      </c>
      <c r="D89" s="60" t="n">
        <f aca="false">IF(D87&gt;0,D49/((D79+D87*D83)/1000),0)</f>
        <v>65</v>
      </c>
      <c r="E89" s="60" t="n">
        <f aca="false">IF(E87&gt;0,E49/((E79+E87*E83)/1000),0)</f>
        <v>55</v>
      </c>
      <c r="F89" s="60" t="n">
        <f aca="false">IF(F87&gt;0,F49/((F79+F87*F83)/1000),0)</f>
        <v>120</v>
      </c>
      <c r="G89" s="60" t="n">
        <f aca="false">IF(G87&gt;0,G49/((G79+G87*G83)/1000),0)</f>
        <v>65</v>
      </c>
      <c r="H89" s="60" t="n">
        <f aca="false">IF(H87&gt;0,H49/((H79+H87*H83)/1000),0)</f>
        <v>55</v>
      </c>
      <c r="I89" s="60" t="n">
        <f aca="false">IF(I87&gt;0,I49/((I79+I87*I83)/1000),0)</f>
        <v>120</v>
      </c>
      <c r="J89" s="60" t="n">
        <f aca="false">IF(J87&gt;0,J49/((J79+J87*J83)/1000),0)</f>
        <v>65</v>
      </c>
      <c r="K89" s="60" t="n">
        <f aca="false">IF(K87&gt;0,K49/((K79+K87*K83)/1000),0)</f>
        <v>55</v>
      </c>
      <c r="L89" s="60" t="n">
        <f aca="false">IF(L87&gt;0,L49/((L79+L87*L83)/1000),0)</f>
        <v>120</v>
      </c>
      <c r="M89" s="60" t="n">
        <f aca="false">IF(M87&gt;0,M49/((M79+M87*M83)/1000),0)</f>
        <v>65</v>
      </c>
      <c r="N89" s="60" t="n">
        <f aca="false">IF(N87&gt;0,N49/((N79+N87*N83)/1000),0)</f>
        <v>55</v>
      </c>
      <c r="O89" s="60" t="n">
        <f aca="false">IF(O87&gt;0,O49/((O79+O87*O83)/1000),0)</f>
        <v>120</v>
      </c>
      <c r="P89" s="60" t="n">
        <f aca="false">IF(P87&gt;0,P49/((P79+P87*P83)/1000),0)</f>
        <v>65</v>
      </c>
      <c r="Q89" s="60" t="n">
        <f aca="false">IF(Q87&gt;0,Q49/((Q79+Q87*Q83)/1000),0)</f>
        <v>55</v>
      </c>
    </row>
    <row r="90" customFormat="false" ht="15" hidden="false" customHeight="false" outlineLevel="0" collapsed="false">
      <c r="A90" s="53" t="s">
        <v>740</v>
      </c>
      <c r="B90" s="53"/>
      <c r="C90" s="106" t="str">
        <f aca="false">IF(C87&lt;=0,"SLO 不可達",IF(C85&lt;=C86,"SLO（"&amp;C84&amp;"）","HBM 容量"))</f>
        <v>SLO（算力）</v>
      </c>
      <c r="D90" s="106" t="str">
        <f aca="false">IF(D87&lt;=0,"SLO 不可達",IF(D85&lt;=D86,"SLO（"&amp;D84&amp;"）","HBM 容量"))</f>
        <v>SLO（算力）</v>
      </c>
      <c r="E90" s="106" t="str">
        <f aca="false">IF(E87&lt;=0,"SLO 不可達",IF(E85&lt;=E86,"SLO（"&amp;E84&amp;"）","HBM 容量"))</f>
        <v>SLO（算力）</v>
      </c>
      <c r="F90" s="106" t="str">
        <f aca="false">IF(F87&lt;=0,"SLO 不可達",IF(F85&lt;=F86,"SLO（"&amp;F84&amp;"）","HBM 容量"))</f>
        <v>SLO（算力）</v>
      </c>
      <c r="G90" s="106" t="str">
        <f aca="false">IF(G87&lt;=0,"SLO 不可達",IF(G85&lt;=G86,"SLO（"&amp;G84&amp;"）","HBM 容量"))</f>
        <v>SLO（算力）</v>
      </c>
      <c r="H90" s="106" t="str">
        <f aca="false">IF(H87&lt;=0,"SLO 不可達",IF(H85&lt;=H86,"SLO（"&amp;H84&amp;"）","HBM 容量"))</f>
        <v>SLO（算力）</v>
      </c>
      <c r="I90" s="106" t="str">
        <f aca="false">IF(I87&lt;=0,"SLO 不可達",IF(I85&lt;=I86,"SLO（"&amp;I84&amp;"）","HBM 容量"))</f>
        <v>SLO（算力）</v>
      </c>
      <c r="J90" s="106" t="str">
        <f aca="false">IF(J87&lt;=0,"SLO 不可達",IF(J85&lt;=J86,"SLO（"&amp;J84&amp;"）","HBM 容量"))</f>
        <v>SLO（算力）</v>
      </c>
      <c r="K90" s="106" t="str">
        <f aca="false">IF(K87&lt;=0,"SLO 不可達",IF(K85&lt;=K86,"SLO（"&amp;K84&amp;"）","HBM 容量"))</f>
        <v>SLO（算力）</v>
      </c>
      <c r="L90" s="106" t="str">
        <f aca="false">IF(L87&lt;=0,"SLO 不可達",IF(L85&lt;=L86,"SLO（"&amp;L84&amp;"）","HBM 容量"))</f>
        <v>SLO（算力）</v>
      </c>
      <c r="M90" s="106" t="str">
        <f aca="false">IF(M87&lt;=0,"SLO 不可達",IF(M85&lt;=M86,"SLO（"&amp;M84&amp;"）","HBM 容量"))</f>
        <v>SLO（算力）</v>
      </c>
      <c r="N90" s="106" t="str">
        <f aca="false">IF(N87&lt;=0,"SLO 不可達",IF(N85&lt;=N86,"SLO（"&amp;N84&amp;"）","HBM 容量"))</f>
        <v>SLO（算力）</v>
      </c>
      <c r="O90" s="106" t="str">
        <f aca="false">IF(O87&lt;=0,"SLO 不可達",IF(O85&lt;=O86,"SLO（"&amp;O84&amp;"）","HBM 容量"))</f>
        <v>SLO（算力）</v>
      </c>
      <c r="P90" s="106" t="str">
        <f aca="false">IF(P87&lt;=0,"SLO 不可達",IF(P85&lt;=P86,"SLO（"&amp;P84&amp;"）","HBM 容量"))</f>
        <v>SLO（算力）</v>
      </c>
      <c r="Q90" s="106" t="str">
        <f aca="false">IF(Q87&lt;=0,"SLO 不可達",IF(Q85&lt;=Q86,"SLO（"&amp;Q84&amp;"）","HBM 容量"))</f>
        <v>SLO（算力）</v>
      </c>
    </row>
    <row r="91" customFormat="false" ht="15" hidden="false" customHeight="false" outlineLevel="0" collapsed="false">
      <c r="A91" s="54" t="s">
        <v>741</v>
      </c>
      <c r="B91" s="54" t="s">
        <v>71</v>
      </c>
      <c r="C91" s="78" t="n">
        <f aca="false">C87*C34*C45/1000000000/C69</f>
        <v>0.00163709993858806</v>
      </c>
      <c r="D91" s="78" t="n">
        <f aca="false">D87*D34*D45/1000000000/D69</f>
        <v>0.00249856970390764</v>
      </c>
      <c r="E91" s="78" t="n">
        <f aca="false">E87*E34*E45/1000000000/E69</f>
        <v>0.0124442646014011</v>
      </c>
      <c r="F91" s="78" t="n">
        <f aca="false">F87*F34*F45/1000000000/F69</f>
        <v>0.00416100340887802</v>
      </c>
      <c r="G91" s="78" t="n">
        <f aca="false">G87*G34*G45/1000000000/G69</f>
        <v>0.00625828735216892</v>
      </c>
      <c r="H91" s="78" t="n">
        <f aca="false">H87*H34*H45/1000000000/H69</f>
        <v>0.0367239737984898</v>
      </c>
      <c r="I91" s="78" t="n">
        <f aca="false">I87*I34*I45/1000000000/I69</f>
        <v>0.00403097205235059</v>
      </c>
      <c r="J91" s="78" t="n">
        <f aca="false">J87*J34*J45/1000000000/J69</f>
        <v>0.00606271587241364</v>
      </c>
      <c r="K91" s="78" t="n">
        <f aca="false">K87*K34*K45/1000000000/K69</f>
        <v>0.0285885645827821</v>
      </c>
      <c r="L91" s="78" t="n">
        <f aca="false">L87*L34*L45/1000000000/L69</f>
        <v>0.0100273544068327</v>
      </c>
      <c r="M91" s="78" t="n">
        <f aca="false">M87*M34*M45/1000000000/M69</f>
        <v>0.0165335867776273</v>
      </c>
      <c r="N91" s="78" t="n">
        <f aca="false">N87*N34*N45/1000000000/N69</f>
        <v>0.10967303567657</v>
      </c>
      <c r="O91" s="78" t="n">
        <f aca="false">O87*O34*O45/1000000000/O69</f>
        <v>0.00573547302909069</v>
      </c>
      <c r="P91" s="78" t="n">
        <f aca="false">P87*P34*P45/1000000000/P69</f>
        <v>0.00969237998930573</v>
      </c>
      <c r="Q91" s="78" t="n">
        <f aca="false">Q87*Q34*Q45/1000000000/Q69</f>
        <v>0.0687887087624332</v>
      </c>
    </row>
    <row r="92" customFormat="false" ht="15" hidden="false" customHeight="false" outlineLevel="0" collapsed="false">
      <c r="A92" s="68" t="s">
        <v>742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</row>
    <row r="93" customFormat="false" ht="15" hidden="false" customHeight="false" outlineLevel="0" collapsed="false">
      <c r="A93" s="53" t="s">
        <v>743</v>
      </c>
      <c r="B93" s="54" t="s">
        <v>744</v>
      </c>
      <c r="C93" s="107" t="n">
        <f aca="false">IF(C88&gt;0,C43/C75+C44/C88,0)</f>
        <v>2.81758042871208</v>
      </c>
      <c r="D93" s="107" t="n">
        <f aca="false">IF(D88&gt;0,D43/D75+D44/D88,0)</f>
        <v>19.4217091738095</v>
      </c>
      <c r="E93" s="107" t="n">
        <f aca="false">IF(E88&gt;0,E43/E75+E44/E88,0)</f>
        <v>215.338013912042</v>
      </c>
      <c r="F93" s="107" t="n">
        <f aca="false">IF(F88&gt;0,F43/F75+F44/F88,0)</f>
        <v>0.402508852115598</v>
      </c>
      <c r="G93" s="107" t="n">
        <f aca="false">IF(G88&gt;0,G43/G75+G44/G88,0)</f>
        <v>2.80107890175599</v>
      </c>
      <c r="H93" s="107" t="n">
        <f aca="false">IF(H88&gt;0,H43/H75+H44/H88,0)</f>
        <v>29.1054597325189</v>
      </c>
      <c r="I93" s="107" t="n">
        <f aca="false">IF(I88&gt;0,I43/I75+I44/I88,0)</f>
        <v>0.268339234743732</v>
      </c>
      <c r="J93" s="107" t="n">
        <f aca="false">IF(J88&gt;0,J43/J75+J44/J88,0)</f>
        <v>1.86738593450399</v>
      </c>
      <c r="K93" s="107" t="n">
        <f aca="false">IF(K88&gt;0,K43/K75+K44/K88,0)</f>
        <v>23.3623109173702</v>
      </c>
      <c r="L93" s="107" t="n">
        <f aca="false">IF(L88&gt;0,L43/L75+L44/L88,0)</f>
        <v>0.109722585057166</v>
      </c>
      <c r="M93" s="107" t="n">
        <f aca="false">IF(M88&gt;0,M43/M75+M44/M88,0)</f>
        <v>0.714671455168045</v>
      </c>
      <c r="N93" s="107" t="n">
        <f aca="false">IF(N88&gt;0,N43/N75+N44/N88,0)</f>
        <v>6.62847288948946</v>
      </c>
      <c r="O93" s="107" t="n">
        <f aca="false">IF(O88&gt;0,O43/O75+O44/O88,0)</f>
        <v>0.0541992038157031</v>
      </c>
      <c r="P93" s="107" t="n">
        <f aca="false">IF(P88&gt;0,P43/P75+P44/P88,0)</f>
        <v>0.347067506939312</v>
      </c>
      <c r="Q93" s="107" t="n">
        <f aca="false">IF(Q88&gt;0,Q43/Q75+Q44/Q88,0)</f>
        <v>3.04319873201742</v>
      </c>
    </row>
    <row r="94" customFormat="false" ht="15" hidden="false" customHeight="false" outlineLevel="0" collapsed="false">
      <c r="A94" s="54" t="s">
        <v>745</v>
      </c>
      <c r="B94" s="54" t="s">
        <v>71</v>
      </c>
      <c r="C94" s="78" t="n">
        <f aca="false">IF(C93&gt;0,(C43/C75)/C93,0)</f>
        <v>0.374920300699399</v>
      </c>
      <c r="D94" s="78" t="n">
        <f aca="false">IF(D93&gt;0,(D43/D75)/D93,0)</f>
        <v>0.377560345999565</v>
      </c>
      <c r="E94" s="78" t="n">
        <f aca="false">IF(E93&gt;0,(E43/E75)/E93,0)</f>
        <v>0.225937231236642</v>
      </c>
      <c r="F94" s="78" t="n">
        <f aca="false">IF(F93&gt;0,(F43/F75)/F93,0)</f>
        <v>0.259559025091969</v>
      </c>
      <c r="G94" s="78" t="n">
        <f aca="false">IF(G93&gt;0,(G43/G75)/G93,0)</f>
        <v>0.258907583482522</v>
      </c>
      <c r="H94" s="78" t="n">
        <f aca="false">IF(H93&gt;0,(H43/H75)/H93,0)</f>
        <v>0.165321879346394</v>
      </c>
      <c r="I94" s="78" t="n">
        <f aca="false">IF(I93&gt;0,(I43/I75)/I93,0)</f>
        <v>0.259559025091969</v>
      </c>
      <c r="J94" s="78" t="n">
        <f aca="false">IF(J93&gt;0,(J43/J75)/J93,0)</f>
        <v>0.258907583482522</v>
      </c>
      <c r="K94" s="78" t="n">
        <f aca="false">IF(K93&gt;0,(K43/K75)/K93,0)</f>
        <v>0.13730859985668</v>
      </c>
      <c r="L94" s="78" t="n">
        <f aca="false">IF(L93&gt;0,(L43/L75)/L93,0)</f>
        <v>0.272049226150218</v>
      </c>
      <c r="M94" s="78" t="n">
        <f aca="false">IF(M93&gt;0,(M43/M75)/M93,0)</f>
        <v>0.289931653950194</v>
      </c>
      <c r="N94" s="78" t="n">
        <f aca="false">IF(N93&gt;0,(N43/N75)/N93,0)</f>
        <v>0.207406932505661</v>
      </c>
      <c r="O94" s="78" t="n">
        <f aca="false">IF(O93&gt;0,(O43/O75)/O93,0)</f>
        <v>0.275372535521962</v>
      </c>
      <c r="P94" s="78" t="n">
        <f aca="false">IF(P93&gt;0,(P43/P75)/P93,0)</f>
        <v>0.298509472775415</v>
      </c>
      <c r="Q94" s="78" t="n">
        <f aca="false">IF(Q93&gt;0,(Q43/Q75)/Q93,0)</f>
        <v>0.225879305012486</v>
      </c>
    </row>
    <row r="95" customFormat="false" ht="15" hidden="false" customHeight="false" outlineLevel="0" collapsed="false">
      <c r="A95" s="53" t="s">
        <v>746</v>
      </c>
      <c r="B95" s="54" t="s">
        <v>330</v>
      </c>
      <c r="C95" s="63" t="n">
        <f aca="false">IF(C93&gt;0,C22*(C43+C44)/C93,0)</f>
        <v>104668.529421467</v>
      </c>
      <c r="D95" s="63" t="n">
        <f aca="false">IF(D93&gt;0,D22*(D43+D44)/D93,0)</f>
        <v>30369.3148075447</v>
      </c>
      <c r="E95" s="63" t="n">
        <f aca="false">IF(E93&gt;0,E22*(E43+E44)/E93,0)</f>
        <v>5478.1224112239</v>
      </c>
      <c r="F95" s="63" t="n">
        <f aca="false">IF(F93&gt;0,F22*(F43+F44)/F93,0)</f>
        <v>1648540.14144621</v>
      </c>
      <c r="G95" s="63" t="n">
        <f aca="false">IF(G93&gt;0,G22*(G43+G44)/G93,0)</f>
        <v>473783.155186397</v>
      </c>
      <c r="H95" s="63" t="n">
        <f aca="false">IF(H93&gt;0,H22*(H43+H44)/H93,0)</f>
        <v>91192.7873461663</v>
      </c>
      <c r="I95" s="63" t="n">
        <f aca="false">IF(I93&gt;0,I22*(I43+I44)/I93,0)</f>
        <v>2472810.21216931</v>
      </c>
      <c r="J95" s="63" t="n">
        <f aca="false">IF(J93&gt;0,J22*(J43+J44)/J93,0)</f>
        <v>710674.732779595</v>
      </c>
      <c r="K95" s="63" t="n">
        <f aca="false">IF(K93&gt;0,K22*(K43+K44)/K93,0)</f>
        <v>113610.678728985</v>
      </c>
      <c r="L95" s="63" t="n">
        <f aca="false">IF(L93&gt;0,L22*(L43+L44)/L93,0)</f>
        <v>6047542.53332882</v>
      </c>
      <c r="M95" s="63" t="n">
        <f aca="false">IF(M93&gt;0,M22*(M43+M44)/M93,0)</f>
        <v>1856942.7817541</v>
      </c>
      <c r="N95" s="63" t="n">
        <f aca="false">IF(N93&gt;0,N22*(N43+N44)/N93,0)</f>
        <v>400425.262990618</v>
      </c>
      <c r="O95" s="63" t="n">
        <f aca="false">IF(O93&gt;0,O22*(O43+O44)/O93,0)</f>
        <v>12242836.6707437</v>
      </c>
      <c r="P95" s="63" t="n">
        <f aca="false">IF(P93&gt;0,P22*(P43+P44)/P93,0)</f>
        <v>3823763.31251331</v>
      </c>
      <c r="Q95" s="63" t="n">
        <f aca="false">IF(Q93&gt;0,Q22*(Q43+Q44)/Q93,0)</f>
        <v>872177.01955352</v>
      </c>
    </row>
    <row r="96" customFormat="false" ht="15" hidden="false" customHeight="false" outlineLevel="0" collapsed="false">
      <c r="A96" s="53" t="s">
        <v>747</v>
      </c>
      <c r="B96" s="54" t="s">
        <v>330</v>
      </c>
      <c r="C96" s="60" t="n">
        <f aca="false">C95*C44/(C43+C44)</f>
        <v>11629.8366023852</v>
      </c>
      <c r="D96" s="60" t="n">
        <f aca="false">D95*D44/(D43+D44)</f>
        <v>3374.36831194942</v>
      </c>
      <c r="E96" s="60" t="n">
        <f aca="false">E95*E44/(E43+E44)</f>
        <v>608.680267913767</v>
      </c>
      <c r="F96" s="60" t="n">
        <f aca="false">F95*F44/(F43+F44)</f>
        <v>183171.126827357</v>
      </c>
      <c r="G96" s="60" t="n">
        <f aca="false">G95*G44/(G43+G44)</f>
        <v>52642.5727984885</v>
      </c>
      <c r="H96" s="60" t="n">
        <f aca="false">H95*H44/(H43+H44)</f>
        <v>10132.5319273518</v>
      </c>
      <c r="I96" s="60" t="n">
        <f aca="false">I95*I44/(I43+I44)</f>
        <v>274756.690241035</v>
      </c>
      <c r="J96" s="60" t="n">
        <f aca="false">J95*J44/(J43+J44)</f>
        <v>78963.8591977328</v>
      </c>
      <c r="K96" s="60" t="n">
        <f aca="false">K95*K44/(K43+K44)</f>
        <v>12623.408747665</v>
      </c>
      <c r="L96" s="60" t="n">
        <f aca="false">L95*L44/(L43+L44)</f>
        <v>671949.170369869</v>
      </c>
      <c r="M96" s="60" t="n">
        <f aca="false">M95*M44/(M43+M44)</f>
        <v>206326.975750455</v>
      </c>
      <c r="N96" s="60" t="n">
        <f aca="false">N95*N44/(N43+N44)</f>
        <v>44491.6958878465</v>
      </c>
      <c r="O96" s="60" t="n">
        <f aca="false">O95*O44/(O43+O44)</f>
        <v>1360315.18563819</v>
      </c>
      <c r="P96" s="60" t="n">
        <f aca="false">P95*P44/(P43+P44)</f>
        <v>424862.590279257</v>
      </c>
      <c r="Q96" s="60" t="n">
        <f aca="false">Q95*Q44/(Q43+Q44)</f>
        <v>96908.5577281689</v>
      </c>
    </row>
    <row r="97" customFormat="false" ht="15" hidden="false" customHeight="false" outlineLevel="0" collapsed="false">
      <c r="A97" s="53" t="s">
        <v>748</v>
      </c>
      <c r="B97" s="54" t="s">
        <v>330</v>
      </c>
      <c r="C97" s="60" t="n">
        <f aca="false">C95-C96</f>
        <v>93038.692819082</v>
      </c>
      <c r="D97" s="60" t="n">
        <f aca="false">D95-D96</f>
        <v>26994.9464955953</v>
      </c>
      <c r="E97" s="60" t="n">
        <f aca="false">E95-E96</f>
        <v>4869.44214331013</v>
      </c>
      <c r="F97" s="60" t="n">
        <f aca="false">F95-F96</f>
        <v>1465369.01461885</v>
      </c>
      <c r="G97" s="60" t="n">
        <f aca="false">G95-G96</f>
        <v>421140.582387908</v>
      </c>
      <c r="H97" s="60" t="n">
        <f aca="false">H95-H96</f>
        <v>81060.2554188145</v>
      </c>
      <c r="I97" s="60" t="n">
        <f aca="false">I95-I96</f>
        <v>2198053.52192828</v>
      </c>
      <c r="J97" s="60" t="n">
        <f aca="false">J95-J96</f>
        <v>631710.873581863</v>
      </c>
      <c r="K97" s="60" t="n">
        <f aca="false">K95-K96</f>
        <v>100987.26998132</v>
      </c>
      <c r="L97" s="60" t="n">
        <f aca="false">L95-L96</f>
        <v>5375593.36295895</v>
      </c>
      <c r="M97" s="60" t="n">
        <f aca="false">M95-M96</f>
        <v>1650615.80600364</v>
      </c>
      <c r="N97" s="60" t="n">
        <f aca="false">N95-N96</f>
        <v>355933.567102772</v>
      </c>
      <c r="O97" s="60" t="n">
        <f aca="false">O95-O96</f>
        <v>10882521.4851055</v>
      </c>
      <c r="P97" s="60" t="n">
        <f aca="false">P95-P96</f>
        <v>3398900.72223406</v>
      </c>
      <c r="Q97" s="60" t="n">
        <f aca="false">Q95-Q96</f>
        <v>775268.461825351</v>
      </c>
    </row>
    <row r="98" customFormat="false" ht="15" hidden="false" customHeight="false" outlineLevel="0" collapsed="false">
      <c r="A98" s="53" t="s">
        <v>749</v>
      </c>
      <c r="B98" s="54" t="s">
        <v>750</v>
      </c>
      <c r="C98" s="63" t="n">
        <f aca="false">C95*C25*8760*3600/1000000</f>
        <v>74067251304.9223</v>
      </c>
      <c r="D98" s="63" t="n">
        <f aca="false">D95*D25*8760*3600/1000000</f>
        <v>21490429685.4234</v>
      </c>
      <c r="E98" s="63" t="n">
        <f aca="false">E95*E25*8760*3600/1000000</f>
        <v>3876518295.93805</v>
      </c>
      <c r="F98" s="63" t="n">
        <f aca="false">F95*F25*8760*3600/1000000</f>
        <v>362306894085.614</v>
      </c>
      <c r="G98" s="63" t="n">
        <f aca="false">G95*G25*8760*3600/1000000</f>
        <v>104125401080.667</v>
      </c>
      <c r="H98" s="63" t="n">
        <f aca="false">H95*H25*8760*3600/1000000</f>
        <v>20041838664.2467</v>
      </c>
      <c r="I98" s="63" t="n">
        <f aca="false">I95*I25*8760*3600/1000000</f>
        <v>527473919843.971</v>
      </c>
      <c r="J98" s="63" t="n">
        <f aca="false">J95*J25*8760*3600/1000000</f>
        <v>151593674754.548</v>
      </c>
      <c r="K98" s="63" t="n">
        <f aca="false">K95*K25*8760*3600/1000000</f>
        <v>24234237528.7831</v>
      </c>
      <c r="L98" s="63" t="n">
        <f aca="false">L95*L25*8760*3600/1000000</f>
        <v>772778400993.445</v>
      </c>
      <c r="M98" s="63" t="n">
        <f aca="false">M95*M25*8760*3600/1000000</f>
        <v>237287338734.99</v>
      </c>
      <c r="N98" s="63" t="n">
        <f aca="false">N95*N25*8760*3600/1000000</f>
        <v>51167890551.5595</v>
      </c>
      <c r="O98" s="63" t="n">
        <f aca="false">O95*O25*8760*3600/1000000</f>
        <v>1044373713057.39</v>
      </c>
      <c r="P98" s="63" t="n">
        <f aca="false">P95*P25*8760*3600/1000000</f>
        <v>326185670522.351</v>
      </c>
      <c r="Q98" s="63" t="n">
        <f aca="false">Q95*Q25*8760*3600/1000000</f>
        <v>74400955991.7707</v>
      </c>
    </row>
    <row r="99" customFormat="false" ht="15" hidden="false" customHeight="false" outlineLevel="0" collapsed="false">
      <c r="A99" s="53" t="s">
        <v>751</v>
      </c>
      <c r="B99" s="54" t="s">
        <v>750</v>
      </c>
      <c r="C99" s="60" t="n">
        <f aca="false">C96*C25*8760*3600/1000000</f>
        <v>8229694589.43581</v>
      </c>
      <c r="D99" s="60" t="n">
        <f aca="false">D96*D25*8760*3600/1000000</f>
        <v>2387825520.6026</v>
      </c>
      <c r="E99" s="60" t="n">
        <f aca="false">E96*E25*8760*3600/1000000</f>
        <v>430724255.104228</v>
      </c>
      <c r="F99" s="60" t="n">
        <f aca="false">F96*F25*8760*3600/1000000</f>
        <v>40256321565.0682</v>
      </c>
      <c r="G99" s="60" t="n">
        <f aca="false">G96*G25*8760*3600/1000000</f>
        <v>11569489008.963</v>
      </c>
      <c r="H99" s="60" t="n">
        <f aca="false">H96*H25*8760*3600/1000000</f>
        <v>2226870962.69408</v>
      </c>
      <c r="I99" s="60" t="n">
        <f aca="false">I96*I25*8760*3600/1000000</f>
        <v>58608213315.9968</v>
      </c>
      <c r="J99" s="60" t="n">
        <f aca="false">J96*J25*8760*3600/1000000</f>
        <v>16843741639.3942</v>
      </c>
      <c r="K99" s="60" t="n">
        <f aca="false">K96*K25*8760*3600/1000000</f>
        <v>2692693058.75367</v>
      </c>
      <c r="L99" s="60" t="n">
        <f aca="false">L96*L25*8760*3600/1000000</f>
        <v>85864266777.0495</v>
      </c>
      <c r="M99" s="60" t="n">
        <f aca="false">M96*M25*8760*3600/1000000</f>
        <v>26365259859.4433</v>
      </c>
      <c r="N99" s="60" t="n">
        <f aca="false">N96*N25*8760*3600/1000000</f>
        <v>5685321172.3955</v>
      </c>
      <c r="O99" s="60" t="n">
        <f aca="false">O96*O25*8760*3600/1000000</f>
        <v>116041523673.043</v>
      </c>
      <c r="P99" s="60" t="n">
        <f aca="false">P96*P25*8760*3600/1000000</f>
        <v>36242852280.2612</v>
      </c>
      <c r="Q99" s="60" t="n">
        <f aca="false">Q96*Q25*8760*3600/1000000</f>
        <v>8266772887.97452</v>
      </c>
    </row>
    <row r="100" customFormat="false" ht="15" hidden="false" customHeight="false" outlineLevel="0" collapsed="false">
      <c r="A100" s="68" t="s">
        <v>752</v>
      </c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</row>
    <row r="101" customFormat="false" ht="15" hidden="false" customHeight="false" outlineLevel="0" collapsed="false">
      <c r="A101" s="53" t="s">
        <v>753</v>
      </c>
      <c r="B101" s="54" t="s">
        <v>754</v>
      </c>
      <c r="C101" s="67" t="n">
        <f aca="false">1000000/C75</f>
        <v>128.951184274594</v>
      </c>
      <c r="D101" s="67" t="n">
        <f aca="false">1000000/D75</f>
        <v>447.562697483303</v>
      </c>
      <c r="E101" s="67" t="n">
        <f aca="false">1000000/E75</f>
        <v>1484.76790293225</v>
      </c>
      <c r="F101" s="67" t="n">
        <f aca="false">1000000/F75</f>
        <v>12.7532721247573</v>
      </c>
      <c r="G101" s="67" t="n">
        <f aca="false">1000000/G75</f>
        <v>44.2639507810987</v>
      </c>
      <c r="H101" s="67" t="n">
        <f aca="false">1000000/H75</f>
        <v>146.8435456</v>
      </c>
      <c r="I101" s="67" t="n">
        <f aca="false">1000000/I75</f>
        <v>8.50218141650489</v>
      </c>
      <c r="J101" s="67" t="n">
        <f aca="false">1000000/J75</f>
        <v>29.5093005207324</v>
      </c>
      <c r="K101" s="67" t="n">
        <f aca="false">1000000/K75</f>
        <v>97.8956970666667</v>
      </c>
      <c r="L101" s="67" t="n">
        <f aca="false">1000000/L75</f>
        <v>3.64379203564495</v>
      </c>
      <c r="M101" s="67" t="n">
        <f aca="false">1000000/M75</f>
        <v>12.6468430803139</v>
      </c>
      <c r="N101" s="67" t="n">
        <f aca="false">1000000/N75</f>
        <v>41.9552987428571</v>
      </c>
      <c r="O101" s="67" t="n">
        <f aca="false">1000000/O75</f>
        <v>1.82189601782248</v>
      </c>
      <c r="P101" s="67" t="n">
        <f aca="false">1000000/P75</f>
        <v>6.32342154015695</v>
      </c>
      <c r="Q101" s="67" t="n">
        <f aca="false">1000000/Q75</f>
        <v>20.9776493714286</v>
      </c>
    </row>
    <row r="102" customFormat="false" ht="15" hidden="false" customHeight="false" outlineLevel="0" collapsed="false">
      <c r="A102" s="53" t="s">
        <v>755</v>
      </c>
      <c r="B102" s="54" t="s">
        <v>754</v>
      </c>
      <c r="C102" s="108" t="n">
        <f aca="false">1000000*C34/(C62*1000000000000)</f>
        <v>0.02795</v>
      </c>
      <c r="D102" s="108" t="n">
        <f aca="false">1000000*D34/(D62*1000000000000)</f>
        <v>0.03965</v>
      </c>
      <c r="E102" s="108" t="n">
        <f aca="false">1000000*E34/(E62*1000000000000)</f>
        <v>0.576</v>
      </c>
      <c r="F102" s="108" t="n">
        <f aca="false">1000000*F34/(F62*1000000000000)</f>
        <v>0.02795</v>
      </c>
      <c r="G102" s="108" t="n">
        <f aca="false">1000000*G34/(G62*1000000000000)</f>
        <v>0.03965</v>
      </c>
      <c r="H102" s="108" t="n">
        <f aca="false">1000000*H34/(H62*1000000000000)</f>
        <v>0.576</v>
      </c>
      <c r="I102" s="108" t="n">
        <f aca="false">1000000*I34/(I62*1000000000000)</f>
        <v>0.02795</v>
      </c>
      <c r="J102" s="108" t="n">
        <f aca="false">1000000*J34/(J62*1000000000000)</f>
        <v>0.03965</v>
      </c>
      <c r="K102" s="108" t="n">
        <f aca="false">1000000*K34/(K62*1000000000000)</f>
        <v>0.576</v>
      </c>
      <c r="L102" s="108" t="n">
        <f aca="false">1000000*L34/(L62*1000000000000)</f>
        <v>0.02795</v>
      </c>
      <c r="M102" s="108" t="n">
        <f aca="false">1000000*M34/(M62*1000000000000)</f>
        <v>0.03965</v>
      </c>
      <c r="N102" s="108" t="n">
        <f aca="false">1000000*N34/(N62*1000000000000)</f>
        <v>0.576</v>
      </c>
      <c r="O102" s="108" t="n">
        <f aca="false">1000000*O34/(O62*1000000000000)</f>
        <v>0.02795</v>
      </c>
      <c r="P102" s="108" t="n">
        <f aca="false">1000000*P34/(P62*1000000000000)</f>
        <v>0.03965</v>
      </c>
      <c r="Q102" s="108" t="n">
        <f aca="false">1000000*Q34/(Q62*1000000000000)</f>
        <v>0.576</v>
      </c>
    </row>
    <row r="103" customFormat="false" ht="15" hidden="false" customHeight="false" outlineLevel="0" collapsed="false">
      <c r="A103" s="54" t="s">
        <v>756</v>
      </c>
      <c r="B103" s="54" t="s">
        <v>754</v>
      </c>
      <c r="C103" s="67" t="n">
        <f aca="false">IF(C88&gt;0,1000000/C88,0)</f>
        <v>1719.93391321739</v>
      </c>
      <c r="D103" s="67" t="n">
        <f aca="false">IF(D88&gt;0,1000000/D88,0)</f>
        <v>5902.75485265774</v>
      </c>
      <c r="E103" s="67" t="n">
        <f aca="false">IF(E88&gt;0,1000000/E88,0)</f>
        <v>40694.6140792865</v>
      </c>
      <c r="F103" s="67" t="n">
        <f aca="false">IF(F88&gt;0,1000000/F88,0)</f>
        <v>291.04887389608</v>
      </c>
      <c r="G103" s="67" t="n">
        <f aca="false">IF(G88&gt;0,1000000/G88,0)</f>
        <v>1013.60270124925</v>
      </c>
      <c r="H103" s="67" t="n">
        <f aca="false">IF(H88&gt;0,1000000/H88,0)</f>
        <v>5931.07676520949</v>
      </c>
      <c r="I103" s="67" t="n">
        <f aca="false">IF(I88&gt;0,1000000/I88,0)</f>
        <v>194.032582597387</v>
      </c>
      <c r="J103" s="67" t="n">
        <f aca="false">IF(J88&gt;0,1000000/J88,0)</f>
        <v>675.735134166168</v>
      </c>
      <c r="K103" s="67" t="n">
        <f aca="false">IF(K88&gt;0,1000000/K88,0)</f>
        <v>4920.52361227776</v>
      </c>
      <c r="L103" s="67" t="n">
        <f aca="false">IF(L88&gt;0,1000000/L88,0)</f>
        <v>78.000625684729</v>
      </c>
      <c r="M103" s="67" t="n">
        <f aca="false">IF(M88&gt;0,1000000/M88,0)</f>
        <v>247.785926826261</v>
      </c>
      <c r="N103" s="67" t="n">
        <f aca="false">IF(N88&gt;0,1000000/N88,0)</f>
        <v>1282.63712409266</v>
      </c>
      <c r="O103" s="67" t="n">
        <f aca="false">IF(O88&gt;0,1000000/O88,0)</f>
        <v>38.3537418336927</v>
      </c>
      <c r="P103" s="67" t="n">
        <f aca="false">IF(P88&gt;0,1000000/P88,0)</f>
        <v>118.879183801455</v>
      </c>
      <c r="Q103" s="67" t="n">
        <f aca="false">IF(Q88&gt;0,1000000/Q88,0)</f>
        <v>575.147245462511</v>
      </c>
    </row>
    <row r="104" customFormat="false" ht="15" hidden="false" customHeight="false" outlineLevel="0" collapsed="false">
      <c r="A104" s="53" t="s">
        <v>757</v>
      </c>
      <c r="B104" s="54" t="s">
        <v>758</v>
      </c>
      <c r="C104" s="109" t="n">
        <f aca="false">INDEX(DC_Cost!$C$58:$Q$58,3*(C$6-1)+2)/3600*C101</f>
        <v>0.0574917842790264</v>
      </c>
      <c r="D104" s="109" t="n">
        <f aca="false">INDEX(DC_Cost!$C$58:$Q$58,3*(D$6-1)+2)/3600*D101</f>
        <v>0.199542006533699</v>
      </c>
      <c r="E104" s="109" t="n">
        <f aca="false">INDEX(DC_Cost!$C$58:$Q$58,3*(E$6-1)+2)/3600*E101</f>
        <v>0.661971089757736</v>
      </c>
      <c r="F104" s="109" t="n">
        <f aca="false">INDEX(DC_Cost!$C$58:$Q$58,3*(F$6-1)+2)/3600*F101</f>
        <v>0.00739142025722318</v>
      </c>
      <c r="G104" s="109" t="n">
        <f aca="false">INDEX(DC_Cost!$C$58:$Q$58,3*(G$6-1)+2)/3600*G101</f>
        <v>0.0256540799308293</v>
      </c>
      <c r="H104" s="109" t="n">
        <f aca="false">INDEX(DC_Cost!$C$58:$Q$58,3*(H$6-1)+2)/3600*H101</f>
        <v>0.0851061866298072</v>
      </c>
      <c r="I104" s="109" t="n">
        <f aca="false">INDEX(DC_Cost!$C$58:$Q$58,3*(I$6-1)+2)/3600*I101</f>
        <v>0.00704428307020721</v>
      </c>
      <c r="J104" s="109" t="n">
        <f aca="false">INDEX(DC_Cost!$C$58:$Q$58,3*(J$6-1)+2)/3600*J101</f>
        <v>0.0244492390703779</v>
      </c>
      <c r="K104" s="109" t="n">
        <f aca="false">INDEX(DC_Cost!$C$58:$Q$58,3*(K$6-1)+2)/3600*K101</f>
        <v>0.0811091845387063</v>
      </c>
      <c r="L104" s="109" t="n">
        <f aca="false">INDEX(DC_Cost!$C$58:$Q$58,3*(L$6-1)+2)/3600*L101</f>
        <v>0.00505433844364223</v>
      </c>
      <c r="M104" s="109" t="n">
        <f aca="false">INDEX(DC_Cost!$C$58:$Q$58,3*(M$6-1)+2)/3600*M101</f>
        <v>0.017542555817192</v>
      </c>
      <c r="N104" s="109" t="n">
        <f aca="false">INDEX(DC_Cost!$C$58:$Q$58,3*(N$6-1)+2)/3600*N101</f>
        <v>0.0581965922522752</v>
      </c>
      <c r="O104" s="109" t="n">
        <f aca="false">INDEX(DC_Cost!$C$58:$Q$58,3*(O$6-1)+2)/3600*O101</f>
        <v>0.00476670644383758</v>
      </c>
      <c r="P104" s="109" t="n">
        <f aca="false">INDEX(DC_Cost!$C$58:$Q$58,3*(P$6-1)+2)/3600*P101</f>
        <v>0.0165442450654198</v>
      </c>
      <c r="Q104" s="109" t="n">
        <f aca="false">INDEX(DC_Cost!$C$58:$Q$58,3*(Q$6-1)+2)/3600*Q101</f>
        <v>0.0548847439465106</v>
      </c>
    </row>
    <row r="105" customFormat="false" ht="15" hidden="false" customHeight="false" outlineLevel="0" collapsed="false">
      <c r="A105" s="53" t="s">
        <v>759</v>
      </c>
      <c r="B105" s="54" t="s">
        <v>758</v>
      </c>
      <c r="C105" s="109" t="n">
        <f aca="false">IF(C103&gt;0,INDEX(DC_Cost!$C$58:$Q$58,3*(C$6-1)+2)/3600*C103,0)</f>
        <v>0.766817847149911</v>
      </c>
      <c r="D105" s="109" t="n">
        <f aca="false">IF(D103&gt;0,INDEX(DC_Cost!$C$58:$Q$58,3*(D$6-1)+2)/3600*D103,0)</f>
        <v>2.63169284214039</v>
      </c>
      <c r="E105" s="109" t="n">
        <f aca="false">IF(E103&gt;0,INDEX(DC_Cost!$C$58:$Q$58,3*(E$6-1)+2)/3600*E103,0)</f>
        <v>18.1433461594468</v>
      </c>
      <c r="F105" s="109" t="n">
        <f aca="false">IF(F103&gt;0,INDEX(DC_Cost!$C$58:$Q$58,3*(F$6-1)+2)/3600*F103,0)</f>
        <v>0.168683340346932</v>
      </c>
      <c r="G105" s="109" t="n">
        <f aca="false">IF(G103&gt;0,INDEX(DC_Cost!$C$58:$Q$58,3*(G$6-1)+2)/3600*G103,0)</f>
        <v>0.587454220807071</v>
      </c>
      <c r="H105" s="109" t="n">
        <f aca="false">IF(H103&gt;0,INDEX(DC_Cost!$C$58:$Q$58,3*(H$6-1)+2)/3600*H103,0)</f>
        <v>3.43747710553532</v>
      </c>
      <c r="I105" s="109" t="n">
        <f aca="false">IF(I103&gt;0,INDEX(DC_Cost!$C$58:$Q$58,3*(I$6-1)+2)/3600*I103,0)</f>
        <v>0.16076114701646</v>
      </c>
      <c r="J105" s="109" t="n">
        <f aca="false">IF(J103&gt;0,INDEX(DC_Cost!$C$58:$Q$58,3*(J$6-1)+2)/3600*J103,0)</f>
        <v>0.559864502104182</v>
      </c>
      <c r="K105" s="109" t="n">
        <f aca="false">IF(K103&gt;0,INDEX(DC_Cost!$C$58:$Q$58,3*(K$6-1)+2)/3600*K103,0)</f>
        <v>4.07678447218689</v>
      </c>
      <c r="L105" s="109" t="n">
        <f aca="false">IF(L103&gt;0,INDEX(DC_Cost!$C$58:$Q$58,3*(L$6-1)+2)/3600*L103,0)</f>
        <v>0.108195406645015</v>
      </c>
      <c r="M105" s="109" t="n">
        <f aca="false">IF(M103&gt;0,INDEX(DC_Cost!$C$58:$Q$58,3*(M$6-1)+2)/3600*M103,0)</f>
        <v>0.343706205925063</v>
      </c>
      <c r="N105" s="109" t="n">
        <f aca="false">IF(N103&gt;0,INDEX(DC_Cost!$C$58:$Q$58,3*(N$6-1)+2)/3600*N103,0)</f>
        <v>1.77915810291208</v>
      </c>
      <c r="O105" s="109" t="n">
        <f aca="false">IF(O103&gt;0,INDEX(DC_Cost!$C$58:$Q$58,3*(O$6-1)+2)/3600*O103,0)</f>
        <v>0.10034657661882</v>
      </c>
      <c r="P105" s="109" t="n">
        <f aca="false">IF(P103&gt;0,INDEX(DC_Cost!$C$58:$Q$58,3*(P$6-1)+2)/3600*P103,0)</f>
        <v>0.311028821579961</v>
      </c>
      <c r="Q105" s="109" t="n">
        <f aca="false">IF(Q103&gt;0,INDEX(DC_Cost!$C$58:$Q$58,3*(Q$6-1)+2)/3600*Q103,0)</f>
        <v>1.50478295922634</v>
      </c>
    </row>
    <row r="106" customFormat="false" ht="15" hidden="false" customHeight="false" outlineLevel="0" collapsed="false">
      <c r="A106" s="68" t="s">
        <v>760</v>
      </c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</row>
    <row r="107" customFormat="false" ht="15" hidden="false" customHeight="false" outlineLevel="0" collapsed="false">
      <c r="A107" s="53" t="s">
        <v>761</v>
      </c>
      <c r="B107" s="54" t="s">
        <v>762</v>
      </c>
      <c r="C107" s="110" t="n">
        <f aca="false">C23*Energy!$C$5/(C14*1000000000000000)*1000000000000</f>
        <v>0.212228398180899</v>
      </c>
      <c r="D107" s="110" t="n">
        <f aca="false">D23*Energy!$C$5/(D14*1000000000000000)*1000000000000</f>
        <v>0.212228398180899</v>
      </c>
      <c r="E107" s="110" t="n">
        <f aca="false">E23*Energy!$C$5/(E14*1000000000000000)*1000000000000</f>
        <v>0.212228398180899</v>
      </c>
      <c r="F107" s="110" t="n">
        <f aca="false">F23*Energy!$C$5/(F14*1000000000000000)*1000000000000</f>
        <v>0.072</v>
      </c>
      <c r="G107" s="110" t="n">
        <f aca="false">G23*Energy!$C$5/(G14*1000000000000000)*1000000000000</f>
        <v>0.072</v>
      </c>
      <c r="H107" s="110" t="n">
        <f aca="false">H23*Energy!$C$5/(H14*1000000000000000)*1000000000000</f>
        <v>0.072</v>
      </c>
      <c r="I107" s="110" t="n">
        <f aca="false">I23*Energy!$C$5/(I14*1000000000000000)*1000000000000</f>
        <v>0.056</v>
      </c>
      <c r="J107" s="110" t="n">
        <f aca="false">J23*Energy!$C$5/(J14*1000000000000000)*1000000000000</f>
        <v>0.056</v>
      </c>
      <c r="K107" s="110" t="n">
        <f aca="false">K23*Energy!$C$5/(K14*1000000000000000)*1000000000000</f>
        <v>0.056</v>
      </c>
      <c r="L107" s="110" t="n">
        <f aca="false">L23*Energy!$C$5/(L14*1000000000000000)*1000000000000</f>
        <v>0.0308571428571429</v>
      </c>
      <c r="M107" s="110" t="n">
        <f aca="false">M23*Energy!$C$5/(M14*1000000000000000)*1000000000000</f>
        <v>0.0308571428571429</v>
      </c>
      <c r="N107" s="110" t="n">
        <f aca="false">N23*Energy!$C$5/(N14*1000000000000000)*1000000000000</f>
        <v>0.0308571428571429</v>
      </c>
      <c r="O107" s="110" t="n">
        <f aca="false">O23*Energy!$C$5/(O14*1000000000000000)*1000000000000</f>
        <v>0.0308571428571429</v>
      </c>
      <c r="P107" s="110" t="n">
        <f aca="false">P23*Energy!$C$5/(P14*1000000000000000)*1000000000000</f>
        <v>0.0308571428571429</v>
      </c>
      <c r="Q107" s="110" t="n">
        <f aca="false">Q23*Energy!$C$5/(Q14*1000000000000000)*1000000000000</f>
        <v>0.0308571428571429</v>
      </c>
    </row>
    <row r="108" customFormat="false" ht="15" hidden="false" customHeight="false" outlineLevel="0" collapsed="false">
      <c r="A108" s="54" t="s">
        <v>763</v>
      </c>
      <c r="B108" s="54" t="s">
        <v>690</v>
      </c>
      <c r="C108" s="82" t="n">
        <f aca="false">IF(C$6=1,Energy!$C$7,Energy!$C$6)</f>
        <v>40</v>
      </c>
      <c r="D108" s="82" t="n">
        <f aca="false">IF(D$6=1,Energy!$C$7,Energy!$C$6)</f>
        <v>40</v>
      </c>
      <c r="E108" s="82" t="n">
        <f aca="false">IF(E$6=1,Energy!$C$7,Energy!$C$6)</f>
        <v>40</v>
      </c>
      <c r="F108" s="82" t="n">
        <f aca="false">IF(F$6=1,Energy!$C$7,Energy!$C$6)</f>
        <v>10</v>
      </c>
      <c r="G108" s="82" t="n">
        <f aca="false">IF(G$6=1,Energy!$C$7,Energy!$C$6)</f>
        <v>10</v>
      </c>
      <c r="H108" s="82" t="n">
        <f aca="false">IF(H$6=1,Energy!$C$7,Energy!$C$6)</f>
        <v>10</v>
      </c>
      <c r="I108" s="82" t="n">
        <f aca="false">IF(I$6=1,Energy!$C$7,Energy!$C$6)</f>
        <v>10</v>
      </c>
      <c r="J108" s="82" t="n">
        <f aca="false">IF(J$6=1,Energy!$C$7,Energy!$C$6)</f>
        <v>10</v>
      </c>
      <c r="K108" s="82" t="n">
        <f aca="false">IF(K$6=1,Energy!$C$7,Energy!$C$6)</f>
        <v>10</v>
      </c>
      <c r="L108" s="82" t="n">
        <f aca="false">IF(L$6=1,Energy!$C$7,Energy!$C$6)</f>
        <v>10</v>
      </c>
      <c r="M108" s="82" t="n">
        <f aca="false">IF(M$6=1,Energy!$C$7,Energy!$C$6)</f>
        <v>10</v>
      </c>
      <c r="N108" s="82" t="n">
        <f aca="false">IF(N$6=1,Energy!$C$7,Energy!$C$6)</f>
        <v>10</v>
      </c>
      <c r="O108" s="82" t="n">
        <f aca="false">IF(O$6=1,Energy!$C$7,Energy!$C$6)</f>
        <v>10</v>
      </c>
      <c r="P108" s="82" t="n">
        <f aca="false">IF(P$6=1,Energy!$C$7,Energy!$C$6)</f>
        <v>10</v>
      </c>
      <c r="Q108" s="82" t="n">
        <f aca="false">IF(Q$6=1,Energy!$C$7,Energy!$C$6)</f>
        <v>10</v>
      </c>
    </row>
    <row r="109" customFormat="false" ht="15" hidden="false" customHeight="false" outlineLevel="0" collapsed="false">
      <c r="A109" s="54" t="s">
        <v>764</v>
      </c>
      <c r="B109" s="54" t="s">
        <v>448</v>
      </c>
      <c r="C109" s="67" t="n">
        <f aca="false">(C47+1)*C65/C49</f>
        <v>61.1578341827967</v>
      </c>
      <c r="D109" s="67" t="n">
        <f aca="false">(D47+1)*D65/D49</f>
        <v>210.622552323537</v>
      </c>
      <c r="E109" s="67" t="n">
        <f aca="false">(E47+1)*E65/E49</f>
        <v>838.732890959337</v>
      </c>
      <c r="F109" s="67" t="n">
        <f aca="false">(F47+1)*F65/F49</f>
        <v>61.1578341827967</v>
      </c>
      <c r="G109" s="67" t="n">
        <f aca="false">(G47+1)*G65/G49</f>
        <v>210.622552323537</v>
      </c>
      <c r="H109" s="67" t="n">
        <f aca="false">(H47+1)*H65/H49</f>
        <v>838.732890959337</v>
      </c>
      <c r="I109" s="67" t="n">
        <f aca="false">(I47+1)*I65/I49</f>
        <v>61.1578341827967</v>
      </c>
      <c r="J109" s="67" t="n">
        <f aca="false">(J47+1)*J65/J49</f>
        <v>210.622552323537</v>
      </c>
      <c r="K109" s="67" t="n">
        <f aca="false">(K47+1)*K65/K49</f>
        <v>838.732890959337</v>
      </c>
      <c r="L109" s="67" t="n">
        <f aca="false">(L47+1)*L65/L49</f>
        <v>61.1578341827967</v>
      </c>
      <c r="M109" s="67" t="n">
        <f aca="false">(M47+1)*M65/M49</f>
        <v>210.622552323537</v>
      </c>
      <c r="N109" s="67" t="n">
        <f aca="false">(N47+1)*N65/N49</f>
        <v>838.732890959337</v>
      </c>
      <c r="O109" s="67" t="n">
        <f aca="false">(O47+1)*O65/O49</f>
        <v>61.1578341827967</v>
      </c>
      <c r="P109" s="67" t="n">
        <f aca="false">(P47+1)*P65/P49</f>
        <v>210.622552323537</v>
      </c>
      <c r="Q109" s="67" t="n">
        <f aca="false">(Q47+1)*Q65/Q49</f>
        <v>838.732890959337</v>
      </c>
    </row>
    <row r="110" customFormat="false" ht="15" hidden="false" customHeight="false" outlineLevel="0" collapsed="false">
      <c r="A110" s="54" t="s">
        <v>765</v>
      </c>
      <c r="B110" s="54" t="s">
        <v>274</v>
      </c>
      <c r="C110" s="107" t="n">
        <f aca="false">IF(C87&gt;0,(C72+C87*C34*C45/1000000000)/(C87*C49),0)</f>
        <v>0.805263853140065</v>
      </c>
      <c r="D110" s="107" t="n">
        <f aca="false">IF(D87&gt;0,(D72+D87*D34*D45/1000000000)/(D87*D49),0)</f>
        <v>5.3018214714634</v>
      </c>
      <c r="E110" s="107" t="n">
        <f aca="false">IF(E87&gt;0,(E72+E87*E34*E45/1000000000)/(E87*E49),0)</f>
        <v>36.9299567392546</v>
      </c>
      <c r="F110" s="107" t="n">
        <f aca="false">IF(F87&gt;0,(F72+F87*F34*F45/1000000000)/(F87*F49),0)</f>
        <v>0.151749044977338</v>
      </c>
      <c r="G110" s="107" t="n">
        <f aca="false">IF(G87&gt;0,(G72+G87*G34*G45/1000000000)/(G87*G49),0)</f>
        <v>1.27695054250894</v>
      </c>
      <c r="H110" s="107" t="n">
        <f aca="false">IF(H87&gt;0,(H72+H87*H34*H45/1000000000)/(H87*H49),0)</f>
        <v>12.3694842953008</v>
      </c>
      <c r="I110" s="107" t="n">
        <f aca="false">IF(I87&gt;0,(I72+I87*I34*I45/1000000000)/(I87*I49),0)</f>
        <v>0.10436746175223</v>
      </c>
      <c r="J110" s="107" t="n">
        <f aca="false">IF(J87&gt;0,(J72+J87*J34*J45/1000000000)/(J87*J49),0)</f>
        <v>0.860383493663677</v>
      </c>
      <c r="K110" s="107" t="n">
        <f aca="false">IF(K87&gt;0,(K72+K87*K34*K45/1000000000)/(K87*K49),0)</f>
        <v>13.4547955318711</v>
      </c>
      <c r="L110" s="107" t="n">
        <f aca="false">IF(L87&gt;0,(L72+L87*L34*L45/1000000000)/(L87*L49),0)</f>
        <v>0.0476988574422308</v>
      </c>
      <c r="M110" s="107" t="n">
        <f aca="false">IF(M87&gt;0,(M72+M87*M34*M45/1000000000)/(M87*M49),0)</f>
        <v>0.332752090932984</v>
      </c>
      <c r="N110" s="107" t="n">
        <f aca="false">IF(N87&gt;0,(N72+N87*N34*N45/1000000000)/(N87*N49),0)</f>
        <v>4.09260745171922</v>
      </c>
      <c r="O110" s="107" t="n">
        <f aca="false">IF(O87&gt;0,(O72+O87*O34*O45/1000000000)/(O87*O49),0)</f>
        <v>0.0238868363088292</v>
      </c>
      <c r="P110" s="107" t="n">
        <f aca="false">IF(P87&gt;0,(P72+P87*P34*P45/1000000000)/(P87*P49),0)</f>
        <v>0.131463853114406</v>
      </c>
      <c r="Q110" s="107" t="n">
        <f aca="false">IF(Q87&gt;0,(Q72+Q87*Q34*Q45/1000000000)/(Q87*Q49),0)</f>
        <v>1.83820650549201</v>
      </c>
    </row>
    <row r="111" customFormat="false" ht="15" hidden="false" customHeight="false" outlineLevel="0" collapsed="false">
      <c r="A111" s="54" t="s">
        <v>766</v>
      </c>
      <c r="B111" s="54" t="s">
        <v>274</v>
      </c>
      <c r="C111" s="65" t="n">
        <f aca="false">(C47+1)*C29*C31*C30*C59/C49/1000000000</f>
        <v>0.00500640189498618</v>
      </c>
      <c r="D111" s="65" t="n">
        <f aca="false">(D47+1)*D29*D31*D30*D59/D49/1000000000</f>
        <v>0.0124286837741808</v>
      </c>
      <c r="E111" s="65" t="n">
        <f aca="false">(E47+1)*E29*E31*E30*E59/E49/1000000000</f>
        <v>0.0931423608369523</v>
      </c>
      <c r="F111" s="65" t="n">
        <f aca="false">(F47+1)*F29*F31*F30*F59/F49/1000000000</f>
        <v>0.00500640189498618</v>
      </c>
      <c r="G111" s="65" t="n">
        <f aca="false">(G47+1)*G29*G31*G30*G59/G49/1000000000</f>
        <v>0.0124286837741808</v>
      </c>
      <c r="H111" s="65" t="n">
        <f aca="false">(H47+1)*H29*H31*H30*H59/H49/1000000000</f>
        <v>0.0931423608369523</v>
      </c>
      <c r="I111" s="65" t="n">
        <f aca="false">(I47+1)*I29*I31*I30*I59/I49/1000000000</f>
        <v>0.00500640189498618</v>
      </c>
      <c r="J111" s="65" t="n">
        <f aca="false">(J47+1)*J29*J31*J30*J59/J49/1000000000</f>
        <v>0.0124286837741808</v>
      </c>
      <c r="K111" s="65" t="n">
        <f aca="false">(K47+1)*K29*K31*K30*K59/K49/1000000000</f>
        <v>0.0931423608369523</v>
      </c>
      <c r="L111" s="65" t="n">
        <f aca="false">(L47+1)*L29*L31*L30*L59/L49/1000000000</f>
        <v>0.00500640189498618</v>
      </c>
      <c r="M111" s="65" t="n">
        <f aca="false">(M47+1)*M29*M31*M30*M59/M49/1000000000</f>
        <v>0.0124286837741808</v>
      </c>
      <c r="N111" s="65" t="n">
        <f aca="false">(N47+1)*N29*N31*N30*N59/N49/1000000000</f>
        <v>0.0931423608369523</v>
      </c>
      <c r="O111" s="65" t="n">
        <f aca="false">(O47+1)*O29*O31*O30*O59/O49/1000000000</f>
        <v>0.00500640189498618</v>
      </c>
      <c r="P111" s="65" t="n">
        <f aca="false">(P47+1)*P29*P31*P30*P59/P49/1000000000</f>
        <v>0.0124286837741808</v>
      </c>
      <c r="Q111" s="65" t="n">
        <f aca="false">(Q47+1)*Q29*Q31*Q30*Q59/Q49/1000000000</f>
        <v>0.0931423608369523</v>
      </c>
    </row>
    <row r="112" customFormat="false" ht="15" hidden="false" customHeight="false" outlineLevel="0" collapsed="false">
      <c r="A112" s="54" t="s">
        <v>767</v>
      </c>
      <c r="B112" s="54" t="s">
        <v>768</v>
      </c>
      <c r="C112" s="65" t="n">
        <f aca="false">(C109*C107+C110*C24+C111*C108)/1000</f>
        <v>0.0381428647079694</v>
      </c>
      <c r="D112" s="65" t="n">
        <f aca="false">(D109*D107+D110*D24+D111*D108)/1000</f>
        <v>0.20955369986673</v>
      </c>
      <c r="E112" s="65" t="n">
        <f aca="false">(E109*E107+E110*E24+E111*E108)/1000</f>
        <v>1.32655729130031</v>
      </c>
      <c r="F112" s="65" t="n">
        <f aca="false">(F109*F107+F110*F24+F111*F108)/1000</f>
        <v>0.00824715420454468</v>
      </c>
      <c r="G112" s="65" t="n">
        <f aca="false">(G109*G107+G110*G24+G111*G108)/1000</f>
        <v>0.0472128741677599</v>
      </c>
      <c r="H112" s="65" t="n">
        <f aca="false">(H109*H107+H110*H24+H111*H108)/1000</f>
        <v>0.370557299139961</v>
      </c>
      <c r="I112" s="65" t="n">
        <f aca="false">(I109*I107+I110*I24+I111*I108)/1000</f>
        <v>0.00608408927699223</v>
      </c>
      <c r="J112" s="65" t="n">
        <f aca="false">(J109*J107+J110*J24+J111*J108)/1000</f>
        <v>0.0334287371094518</v>
      </c>
      <c r="K112" s="65" t="n">
        <f aca="false">(K109*K107+K110*K24+K111*K108)/1000</f>
        <v>0.384270353798869</v>
      </c>
      <c r="L112" s="65" t="n">
        <f aca="false">(L109*L107+L110*L24+L111*L108)/1000</f>
        <v>0.00289119719400649</v>
      </c>
      <c r="M112" s="65" t="n">
        <f aca="false">(M109*M107+M110*M24+M111*M108)/1000</f>
        <v>0.0132785388423849</v>
      </c>
      <c r="N112" s="65" t="n">
        <f aca="false">(N109*N107+N110*N24+N111*N108)/1000</f>
        <v>0.108664473278071</v>
      </c>
      <c r="O112" s="65" t="n">
        <f aca="false">(O109*O107+O110*O24+O111*O108)/1000</f>
        <v>0.0023671830987208</v>
      </c>
      <c r="P112" s="65" t="n">
        <f aca="false">(P109*P107+P110*P24+P111*P108)/1000</f>
        <v>0.00898984637978455</v>
      </c>
      <c r="Q112" s="65" t="n">
        <f aca="false">(Q109*Q107+Q110*Q24+Q111*Q108)/1000</f>
        <v>0.0599000413425424</v>
      </c>
    </row>
    <row r="113" customFormat="false" ht="15" hidden="false" customHeight="false" outlineLevel="0" collapsed="false">
      <c r="A113" s="54" t="s">
        <v>769</v>
      </c>
      <c r="B113" s="54" t="s">
        <v>768</v>
      </c>
      <c r="C113" s="65" t="n">
        <f aca="false">C67*C107/1000</f>
        <v>0.0081198195438071</v>
      </c>
      <c r="D113" s="65" t="n">
        <f aca="false">D67*D107/1000</f>
        <v>0.0281822021142922</v>
      </c>
      <c r="E113" s="65" t="n">
        <f aca="false">E67*E107/1000</f>
        <v>0.0934931113976756</v>
      </c>
      <c r="F113" s="65" t="n">
        <f aca="false">F67*F107/1000</f>
        <v>0.00275470677894758</v>
      </c>
      <c r="G113" s="65" t="n">
        <f aca="false">G67*G107/1000</f>
        <v>0.00956101336871731</v>
      </c>
      <c r="H113" s="65" t="n">
        <f aca="false">H67*H107/1000</f>
        <v>0.0317182058496</v>
      </c>
      <c r="I113" s="65" t="n">
        <f aca="false">I67*I107/1000</f>
        <v>0.00214254971695923</v>
      </c>
      <c r="J113" s="65" t="n">
        <f aca="false">J67*J107/1000</f>
        <v>0.00743634373122458</v>
      </c>
      <c r="K113" s="65" t="n">
        <f aca="false">K67*K107/1000</f>
        <v>0.0246697156608</v>
      </c>
      <c r="L113" s="65" t="n">
        <f aca="false">L67*L107/1000</f>
        <v>0.00118058861954897</v>
      </c>
      <c r="M113" s="65" t="n">
        <f aca="false">M67*M107/1000</f>
        <v>0.00409757715802171</v>
      </c>
      <c r="N113" s="65" t="n">
        <f aca="false">N67*N107/1000</f>
        <v>0.0135935167926857</v>
      </c>
      <c r="O113" s="65" t="n">
        <f aca="false">O67*O107/1000</f>
        <v>0.00118058861954897</v>
      </c>
      <c r="P113" s="65" t="n">
        <f aca="false">P67*P107/1000</f>
        <v>0.00409757715802171</v>
      </c>
      <c r="Q113" s="65" t="n">
        <f aca="false">Q67*Q107/1000</f>
        <v>0.0135935167926857</v>
      </c>
    </row>
    <row r="114" customFormat="false" ht="15" hidden="false" customHeight="false" outlineLevel="0" collapsed="false">
      <c r="A114" s="53" t="s">
        <v>770</v>
      </c>
      <c r="B114" s="54" t="s">
        <v>694</v>
      </c>
      <c r="C114" s="67" t="n">
        <f aca="false">(C97*C113+C96*C112)/1000</f>
        <v>1.19905268038322</v>
      </c>
      <c r="D114" s="67" t="n">
        <f aca="false">(D97*D113+D96*D112)/1000</f>
        <v>1.46788840268542</v>
      </c>
      <c r="E114" s="67" t="n">
        <f aca="false">(E97*E113+E96*E112)/1000</f>
        <v>1.26270854422066</v>
      </c>
      <c r="F114" s="67" t="n">
        <f aca="false">(F97*F113+F96*F112)/1000</f>
        <v>5.54730248699572</v>
      </c>
      <c r="G114" s="67" t="n">
        <f aca="false">(G97*G113+G96*G112)/1000</f>
        <v>6.51193790372237</v>
      </c>
      <c r="H114" s="67" t="n">
        <f aca="false">(H97*H113+H96*H112)/1000</f>
        <v>6.32576953204403</v>
      </c>
      <c r="I114" s="67" t="n">
        <f aca="false">(I97*I113+I96*I112)/1000</f>
        <v>6.38108318414603</v>
      </c>
      <c r="J114" s="67" t="n">
        <f aca="false">(J97*J113+J96*J112)/1000</f>
        <v>7.33728128497566</v>
      </c>
      <c r="K114" s="67" t="n">
        <f aca="false">(K97*K113+K96*K112)/1000</f>
        <v>7.34212898141256</v>
      </c>
      <c r="L114" s="67" t="n">
        <f aca="false">(L97*L113+L96*L112)/1000</f>
        <v>8.28910190352064</v>
      </c>
      <c r="M114" s="67" t="n">
        <f aca="false">(M97*M113+M96*M112)/1000</f>
        <v>9.50324638508435</v>
      </c>
      <c r="N114" s="67" t="n">
        <f aca="false">(N97*N113+N96*N112)/1000</f>
        <v>9.67305562039299</v>
      </c>
      <c r="O114" s="67" t="n">
        <f aca="false">(O97*O113+O96*O112)/1000</f>
        <v>16.0678961336886</v>
      </c>
      <c r="P114" s="67" t="n">
        <f aca="false">(P97*P113+P96*P112)/1000</f>
        <v>17.7467073809376</v>
      </c>
      <c r="Q114" s="67" t="n">
        <f aca="false">(Q97*Q113+Q96*Q112)/1000</f>
        <v>16.343451469026</v>
      </c>
    </row>
    <row r="115" customFormat="false" ht="15" hidden="false" customHeight="false" outlineLevel="0" collapsed="false">
      <c r="A115" s="53" t="s">
        <v>771</v>
      </c>
      <c r="B115" s="54" t="s">
        <v>694</v>
      </c>
      <c r="C115" s="91" t="n">
        <f aca="false">C26*Inputs!$E$10</f>
        <v>32.8</v>
      </c>
      <c r="D115" s="91" t="n">
        <f aca="false">D26*Inputs!$E$10</f>
        <v>32.8</v>
      </c>
      <c r="E115" s="91" t="n">
        <f aca="false">E26*Inputs!$E$10</f>
        <v>32.8</v>
      </c>
      <c r="F115" s="91" t="n">
        <f aca="false">F26*Inputs!$E$10</f>
        <v>105.6</v>
      </c>
      <c r="G115" s="91" t="n">
        <f aca="false">G26*Inputs!$E$10</f>
        <v>105.6</v>
      </c>
      <c r="H115" s="91" t="n">
        <f aca="false">H26*Inputs!$E$10</f>
        <v>105.6</v>
      </c>
      <c r="I115" s="91" t="n">
        <f aca="false">I26*Inputs!$E$10</f>
        <v>108.8</v>
      </c>
      <c r="J115" s="91" t="n">
        <f aca="false">J26*Inputs!$E$10</f>
        <v>108.8</v>
      </c>
      <c r="K115" s="91" t="n">
        <f aca="false">K26*Inputs!$E$10</f>
        <v>108.8</v>
      </c>
      <c r="L115" s="91" t="n">
        <f aca="false">L26*Inputs!$E$10</f>
        <v>181.6</v>
      </c>
      <c r="M115" s="91" t="n">
        <f aca="false">M26*Inputs!$E$10</f>
        <v>181.6</v>
      </c>
      <c r="N115" s="91" t="n">
        <f aca="false">N26*Inputs!$E$10</f>
        <v>181.6</v>
      </c>
      <c r="O115" s="91" t="n">
        <f aca="false">O26*Inputs!$E$10</f>
        <v>272</v>
      </c>
      <c r="P115" s="91" t="n">
        <f aca="false">P26*Inputs!$E$10</f>
        <v>272</v>
      </c>
      <c r="Q115" s="91" t="n">
        <f aca="false">Q26*Inputs!$E$10</f>
        <v>272</v>
      </c>
    </row>
    <row r="116" customFormat="false" ht="15" hidden="false" customHeight="false" outlineLevel="0" collapsed="false">
      <c r="A116" s="53" t="s">
        <v>772</v>
      </c>
      <c r="B116" s="54" t="s">
        <v>71</v>
      </c>
      <c r="C116" s="111" t="n">
        <f aca="false">IF(C115&gt;0,C114/C115,0)</f>
        <v>0.0365564841580249</v>
      </c>
      <c r="D116" s="111" t="n">
        <f aca="false">IF(D115&gt;0,D114/D115,0)</f>
        <v>0.0447526952038239</v>
      </c>
      <c r="E116" s="111" t="n">
        <f aca="false">IF(E115&gt;0,E114/E115,0)</f>
        <v>0.0384972117140445</v>
      </c>
      <c r="F116" s="111" t="n">
        <f aca="false">IF(F115&gt;0,F114/F115,0)</f>
        <v>0.0525312735510958</v>
      </c>
      <c r="G116" s="111" t="n">
        <f aca="false">IF(G115&gt;0,G114/G115,0)</f>
        <v>0.0616660786337345</v>
      </c>
      <c r="H116" s="111" t="n">
        <f aca="false">IF(H115&gt;0,H114/H115,0)</f>
        <v>0.0599031205685987</v>
      </c>
      <c r="I116" s="111" t="n">
        <f aca="false">IF(I115&gt;0,I114/I115,0)</f>
        <v>0.0586496616189893</v>
      </c>
      <c r="J116" s="111" t="n">
        <f aca="false">IF(J115&gt;0,J114/J115,0)</f>
        <v>0.0674382471045557</v>
      </c>
      <c r="K116" s="111" t="n">
        <f aca="false">IF(K115&gt;0,K114/K115,0)</f>
        <v>0.067482803137983</v>
      </c>
      <c r="L116" s="111" t="n">
        <f aca="false">IF(L115&gt;0,L114/L115,0)</f>
        <v>0.0456448342704881</v>
      </c>
      <c r="M116" s="111" t="n">
        <f aca="false">IF(M115&gt;0,M114/M115,0)</f>
        <v>0.0523306519002442</v>
      </c>
      <c r="N116" s="111" t="n">
        <f aca="false">IF(N115&gt;0,N114/N115,0)</f>
        <v>0.0532657247818997</v>
      </c>
      <c r="O116" s="111" t="n">
        <f aca="false">IF(O115&gt;0,O114/O115,0)</f>
        <v>0.0590731475503258</v>
      </c>
      <c r="P116" s="111" t="n">
        <f aca="false">IF(P115&gt;0,P114/P115,0)</f>
        <v>0.0652452477240353</v>
      </c>
      <c r="Q116" s="111" t="n">
        <f aca="false">IF(Q115&gt;0,Q114/Q115,0)</f>
        <v>0.060086218636125</v>
      </c>
    </row>
    <row r="117" customFormat="false" ht="15" hidden="false" customHeight="false" outlineLevel="0" collapsed="false">
      <c r="A117" s="54" t="s">
        <v>773</v>
      </c>
      <c r="B117" s="54" t="s">
        <v>774</v>
      </c>
      <c r="C117" s="112" t="n">
        <f aca="false">C95/(C115*1000)</f>
        <v>3.191113701874</v>
      </c>
      <c r="D117" s="112" t="n">
        <f aca="false">D95/(D115*1000)</f>
        <v>0.925893744132461</v>
      </c>
      <c r="E117" s="112" t="n">
        <f aca="false">E95/(E115*1000)</f>
        <v>0.16701592717146</v>
      </c>
      <c r="F117" s="112" t="n">
        <f aca="false">F95/(F115*1000)</f>
        <v>15.611175581877</v>
      </c>
      <c r="G117" s="112" t="n">
        <f aca="false">G95/(G115*1000)</f>
        <v>4.48658290896209</v>
      </c>
      <c r="H117" s="112" t="n">
        <f aca="false">H95/(H115*1000)</f>
        <v>0.863568061990211</v>
      </c>
      <c r="I117" s="112" t="n">
        <f aca="false">I95/(I115*1000)</f>
        <v>22.7280350383209</v>
      </c>
      <c r="J117" s="112" t="n">
        <f aca="false">J95/(J115*1000)</f>
        <v>6.5319368821654</v>
      </c>
      <c r="K117" s="112" t="n">
        <f aca="false">K95/(K115*1000)</f>
        <v>1.0442157971414</v>
      </c>
      <c r="L117" s="112" t="n">
        <f aca="false">L95/(L115*1000)</f>
        <v>33.3014456681102</v>
      </c>
      <c r="M117" s="112" t="n">
        <f aca="false">M95/(M115*1000)</f>
        <v>10.2254558466635</v>
      </c>
      <c r="N117" s="112" t="n">
        <f aca="false">N95/(N115*1000)</f>
        <v>2.20498492836244</v>
      </c>
      <c r="O117" s="112" t="n">
        <f aca="false">O95/(O115*1000)</f>
        <v>45.0104289365576</v>
      </c>
      <c r="P117" s="112" t="n">
        <f aca="false">P95/(P115*1000)</f>
        <v>14.0579533548284</v>
      </c>
      <c r="Q117" s="112" t="n">
        <f aca="false">Q95/(Q115*1000)</f>
        <v>3.20653316012323</v>
      </c>
    </row>
    <row r="118" customFormat="false" ht="15" hidden="false" customHeight="false" outlineLevel="0" collapsed="false">
      <c r="A118" s="53" t="s">
        <v>775</v>
      </c>
      <c r="B118" s="54" t="s">
        <v>768</v>
      </c>
      <c r="C118" s="107" t="n">
        <f aca="false">IF(C96&gt;0,C115*1000*(1-C94)/C96,0)</f>
        <v>1.76293226104782</v>
      </c>
      <c r="D118" s="107" t="n">
        <f aca="false">IF(D96&gt;0,D115*1000*(1-D94)/D96,0)</f>
        <v>6.05032372397419</v>
      </c>
      <c r="E118" s="107" t="n">
        <f aca="false">IF(E96&gt;0,E115*1000*(1-E94)/E96,0)</f>
        <v>41.7119794312687</v>
      </c>
      <c r="F118" s="107" t="n">
        <f aca="false">IF(F96&gt;0,F115*1000*(1-F94)/F96,0)</f>
        <v>0.426871681714251</v>
      </c>
      <c r="G118" s="107" t="n">
        <f aca="false">IF(G96&gt;0,G115*1000*(1-G94)/G96,0)</f>
        <v>1.48661729516557</v>
      </c>
      <c r="H118" s="107" t="n">
        <f aca="false">IF(H96&gt;0,H115*1000*(1-H94)/H96,0)</f>
        <v>8.69891258897392</v>
      </c>
      <c r="I118" s="107" t="n">
        <f aca="false">IF(I96&gt;0,I115*1000*(1-I94)/I96,0)</f>
        <v>0.293204791480496</v>
      </c>
      <c r="J118" s="107" t="n">
        <f aca="false">IF(J96&gt;0,J115*1000*(1-J94)/J96,0)</f>
        <v>1.02111086940665</v>
      </c>
      <c r="K118" s="107" t="n">
        <f aca="false">IF(K96&gt;0,K115*1000*(1-K94)/K96,0)</f>
        <v>7.43545790299751</v>
      </c>
      <c r="L118" s="107" t="n">
        <f aca="false">IF(L96&gt;0,L115*1000*(1-L94)/L96,0)</f>
        <v>0.196734911449261</v>
      </c>
      <c r="M118" s="107" t="n">
        <f aca="false">IF(M96&gt;0,M115*1000*(1-M94)/M96,0)</f>
        <v>0.624971170995125</v>
      </c>
      <c r="N118" s="107" t="n">
        <f aca="false">IF(N96&gt;0,N115*1000*(1-N94)/N96,0)</f>
        <v>3.2350958574337</v>
      </c>
      <c r="O118" s="107" t="n">
        <f aca="false">IF(O96&gt;0,O115*1000*(1-O94)/O96,0)</f>
        <v>0.14489191359395</v>
      </c>
      <c r="P118" s="107" t="n">
        <f aca="false">IF(P96&gt;0,P115*1000*(1-P94)/P96,0)</f>
        <v>0.449099138805497</v>
      </c>
      <c r="Q118" s="107" t="n">
        <f aca="false">IF(Q96&gt;0,Q115*1000*(1-Q94)/Q96,0)</f>
        <v>2.17277848285837</v>
      </c>
    </row>
    <row r="119" customFormat="false" ht="15" hidden="false" customHeight="false" outlineLevel="0" collapsed="false">
      <c r="A119" s="68" t="s">
        <v>776</v>
      </c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</row>
    <row r="120" customFormat="false" ht="15" hidden="false" customHeight="false" outlineLevel="0" collapsed="false">
      <c r="A120" s="54" t="s">
        <v>777</v>
      </c>
      <c r="B120" s="54" t="s">
        <v>75</v>
      </c>
      <c r="C120" s="97" t="n">
        <f aca="false">IF(INDEX($C$98:$Q$98,9+C$7)&gt;0,C98/INDEX($C$98:$Q$98,9+C$7),0)</f>
        <v>0.0958453952772297</v>
      </c>
      <c r="D120" s="97" t="n">
        <f aca="false">IF(INDEX($C$98:$Q$98,9+D$7)&gt;0,D98/INDEX($C$98:$Q$98,9+D$7),0)</f>
        <v>0.0905671149585636</v>
      </c>
      <c r="E120" s="97" t="n">
        <f aca="false">IF(INDEX($C$98:$Q$98,9+E$7)&gt;0,E98/INDEX($C$98:$Q$98,9+E$7),0)</f>
        <v>0.075760760393901</v>
      </c>
      <c r="F120" s="97" t="n">
        <f aca="false">IF(INDEX($C$98:$Q$98,9+F$7)&gt;0,F98/INDEX($C$98:$Q$98,9+F$7),0)</f>
        <v>0.468836724240545</v>
      </c>
      <c r="G120" s="97" t="n">
        <f aca="false">IF(INDEX($C$98:$Q$98,9+G$7)&gt;0,G98/INDEX($C$98:$Q$98,9+G$7),0)</f>
        <v>0.438815663894134</v>
      </c>
      <c r="H120" s="97" t="n">
        <f aca="false">IF(INDEX($C$98:$Q$98,9+H$7)&gt;0,H98/INDEX($C$98:$Q$98,9+H$7),0)</f>
        <v>0.39168780358556</v>
      </c>
      <c r="I120" s="97" t="n">
        <f aca="false">IF(INDEX($C$98:$Q$98,9+I$7)&gt;0,I98/INDEX($C$98:$Q$98,9+I$7),0)</f>
        <v>0.682568145235267</v>
      </c>
      <c r="J120" s="97" t="n">
        <f aca="false">IF(INDEX($C$98:$Q$98,9+J$7)&gt;0,J98/INDEX($C$98:$Q$98,9+J$7),0)</f>
        <v>0.638861203310358</v>
      </c>
      <c r="K120" s="97" t="n">
        <f aca="false">IF(INDEX($C$98:$Q$98,9+K$7)&gt;0,K98/INDEX($C$98:$Q$98,9+K$7),0)</f>
        <v>0.473621977915297</v>
      </c>
      <c r="L120" s="97" t="n">
        <f aca="false">IF(INDEX($C$98:$Q$98,9+L$7)&gt;0,L98/INDEX($C$98:$Q$98,9+L$7),0)</f>
        <v>1</v>
      </c>
      <c r="M120" s="97" t="n">
        <f aca="false">IF(INDEX($C$98:$Q$98,9+M$7)&gt;0,M98/INDEX($C$98:$Q$98,9+M$7),0)</f>
        <v>1</v>
      </c>
      <c r="N120" s="97" t="n">
        <f aca="false">IF(INDEX($C$98:$Q$98,9+N$7)&gt;0,N98/INDEX($C$98:$Q$98,9+N$7),0)</f>
        <v>1</v>
      </c>
      <c r="O120" s="97" t="n">
        <f aca="false">IF(INDEX($C$98:$Q$98,9+O$7)&gt;0,O98/INDEX($C$98:$Q$98,9+O$7),0)</f>
        <v>1.35145303196207</v>
      </c>
      <c r="P120" s="97" t="n">
        <f aca="false">IF(INDEX($C$98:$Q$98,9+P$7)&gt;0,P98/INDEX($C$98:$Q$98,9+P$7),0)</f>
        <v>1.37464422780115</v>
      </c>
      <c r="Q120" s="97" t="n">
        <f aca="false">IF(INDEX($C$98:$Q$98,9+Q$7)&gt;0,Q98/INDEX($C$98:$Q$98,9+Q$7),0)</f>
        <v>1.4540555647257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17.15" hidden="false" customHeight="false" outlineLevel="0" collapsed="false">
      <c r="A1" s="49" t="s">
        <v>778</v>
      </c>
    </row>
    <row r="2" customFormat="false" ht="15" hidden="false" customHeight="false" outlineLevel="0" collapsed="false">
      <c r="A2" s="66" t="s">
        <v>779</v>
      </c>
    </row>
    <row r="3" customFormat="false" ht="43.5" hidden="false" customHeight="true" outlineLevel="0" collapsed="false">
      <c r="A3" s="51" t="s">
        <v>780</v>
      </c>
      <c r="C3" s="113" t="s">
        <v>57</v>
      </c>
      <c r="D3" s="113"/>
      <c r="E3" s="114" t="s">
        <v>781</v>
      </c>
      <c r="F3" s="114"/>
      <c r="G3" s="114" t="s">
        <v>782</v>
      </c>
      <c r="H3" s="114"/>
      <c r="I3" s="114" t="s">
        <v>783</v>
      </c>
      <c r="J3" s="114"/>
      <c r="K3" s="114" t="s">
        <v>784</v>
      </c>
      <c r="L3" s="114"/>
      <c r="M3" s="114" t="s">
        <v>785</v>
      </c>
      <c r="N3" s="114"/>
      <c r="O3" s="114" t="s">
        <v>786</v>
      </c>
      <c r="P3" s="114"/>
      <c r="Q3" s="114" t="s">
        <v>787</v>
      </c>
      <c r="R3" s="114"/>
      <c r="S3" s="114" t="s">
        <v>788</v>
      </c>
      <c r="T3" s="114"/>
      <c r="U3" s="114" t="s">
        <v>789</v>
      </c>
      <c r="V3" s="114"/>
      <c r="W3" s="114" t="s">
        <v>790</v>
      </c>
      <c r="X3" s="114"/>
      <c r="Y3" s="114" t="s">
        <v>791</v>
      </c>
      <c r="Z3" s="114"/>
      <c r="AA3" s="113" t="s">
        <v>792</v>
      </c>
      <c r="AB3" s="113"/>
      <c r="AC3" s="114" t="s">
        <v>793</v>
      </c>
      <c r="AD3" s="114"/>
      <c r="AE3" s="114" t="s">
        <v>794</v>
      </c>
      <c r="AF3" s="114"/>
      <c r="AG3" s="114" t="s">
        <v>795</v>
      </c>
      <c r="AH3" s="114"/>
    </row>
    <row r="4" customFormat="false" ht="15" hidden="false" customHeight="false" outlineLevel="0" collapsed="false">
      <c r="A4" s="51" t="s">
        <v>136</v>
      </c>
      <c r="C4" s="74" t="str">
        <f aca="false">INDEX(Spec_Rack!$C$4:$G$4,C6)</f>
        <v>VR200 NVL72</v>
      </c>
      <c r="D4" s="74" t="str">
        <f aca="false">INDEX(Spec_Rack!$C$4:$G$4,D6)</f>
        <v>GB300 NVL72</v>
      </c>
      <c r="E4" s="74" t="str">
        <f aca="false">INDEX(Spec_Rack!$C$4:$G$4,E6)</f>
        <v>VR200 NVL72</v>
      </c>
      <c r="F4" s="74" t="str">
        <f aca="false">INDEX(Spec_Rack!$C$4:$G$4,F6)</f>
        <v>GB300 NVL72</v>
      </c>
      <c r="G4" s="74" t="str">
        <f aca="false">INDEX(Spec_Rack!$C$4:$G$4,G6)</f>
        <v>VR200 NVL72</v>
      </c>
      <c r="H4" s="74" t="str">
        <f aca="false">INDEX(Spec_Rack!$C$4:$G$4,H6)</f>
        <v>GB300 NVL72</v>
      </c>
      <c r="I4" s="74" t="str">
        <f aca="false">INDEX(Spec_Rack!$C$4:$G$4,I6)</f>
        <v>VR200 NVL72</v>
      </c>
      <c r="J4" s="74" t="str">
        <f aca="false">INDEX(Spec_Rack!$C$4:$G$4,J6)</f>
        <v>GB300 NVL72</v>
      </c>
      <c r="K4" s="74" t="str">
        <f aca="false">INDEX(Spec_Rack!$C$4:$G$4,K6)</f>
        <v>VR200 NVL72</v>
      </c>
      <c r="L4" s="74" t="str">
        <f aca="false">INDEX(Spec_Rack!$C$4:$G$4,L6)</f>
        <v>GB300 NVL72</v>
      </c>
      <c r="M4" s="74" t="str">
        <f aca="false">INDEX(Spec_Rack!$C$4:$G$4,M6)</f>
        <v>VR200 NVL72</v>
      </c>
      <c r="N4" s="74" t="str">
        <f aca="false">INDEX(Spec_Rack!$C$4:$G$4,N6)</f>
        <v>GB300 NVL72</v>
      </c>
      <c r="O4" s="74" t="str">
        <f aca="false">INDEX(Spec_Rack!$C$4:$G$4,O6)</f>
        <v>VR200 NVL72</v>
      </c>
      <c r="P4" s="74" t="str">
        <f aca="false">INDEX(Spec_Rack!$C$4:$G$4,P6)</f>
        <v>GB300 NVL72</v>
      </c>
      <c r="Q4" s="74" t="str">
        <f aca="false">INDEX(Spec_Rack!$C$4:$G$4,Q6)</f>
        <v>VR200 NVL72</v>
      </c>
      <c r="R4" s="74" t="str">
        <f aca="false">INDEX(Spec_Rack!$C$4:$G$4,R6)</f>
        <v>GB300 NVL72</v>
      </c>
      <c r="S4" s="74" t="str">
        <f aca="false">INDEX(Spec_Rack!$C$4:$G$4,S6)</f>
        <v>VR200 NVL72</v>
      </c>
      <c r="T4" s="74" t="str">
        <f aca="false">INDEX(Spec_Rack!$C$4:$G$4,T6)</f>
        <v>GB300 NVL72</v>
      </c>
      <c r="U4" s="74" t="str">
        <f aca="false">INDEX(Spec_Rack!$C$4:$G$4,U6)</f>
        <v>VR200 NVL72</v>
      </c>
      <c r="V4" s="74" t="str">
        <f aca="false">INDEX(Spec_Rack!$C$4:$G$4,V6)</f>
        <v>GB300 NVL72</v>
      </c>
      <c r="W4" s="74" t="str">
        <f aca="false">INDEX(Spec_Rack!$C$4:$G$4,W6)</f>
        <v>VR200 NVL72</v>
      </c>
      <c r="X4" s="74" t="str">
        <f aca="false">INDEX(Spec_Rack!$C$4:$G$4,X6)</f>
        <v>GB300 NVL72</v>
      </c>
      <c r="Y4" s="74" t="str">
        <f aca="false">INDEX(Spec_Rack!$C$4:$G$4,Y6)</f>
        <v>VR200 NVL72</v>
      </c>
      <c r="Z4" s="74" t="str">
        <f aca="false">INDEX(Spec_Rack!$C$4:$G$4,Z6)</f>
        <v>GB300 NVL72</v>
      </c>
      <c r="AA4" s="74" t="str">
        <f aca="false">INDEX(Spec_Rack!$C$4:$G$4,AA6)</f>
        <v>VR200 NVL72</v>
      </c>
      <c r="AB4" s="74" t="str">
        <f aca="false">INDEX(Spec_Rack!$C$4:$G$4,AB6)</f>
        <v>GB300 NVL72</v>
      </c>
      <c r="AC4" s="74" t="str">
        <f aca="false">INDEX(Spec_Rack!$C$4:$G$4,AC6)</f>
        <v>VR200 NVL72</v>
      </c>
      <c r="AD4" s="74" t="str">
        <f aca="false">INDEX(Spec_Rack!$C$4:$G$4,AD6)</f>
        <v>GB300 NVL72</v>
      </c>
      <c r="AE4" s="74" t="str">
        <f aca="false">INDEX(Spec_Rack!$C$4:$G$4,AE6)</f>
        <v>VR200 NVL72</v>
      </c>
      <c r="AF4" s="74" t="str">
        <f aca="false">INDEX(Spec_Rack!$C$4:$G$4,AF6)</f>
        <v>GB300 NVL72</v>
      </c>
      <c r="AG4" s="74" t="str">
        <f aca="false">INDEX(Spec_Rack!$C$4:$G$4,AG6)</f>
        <v>VR200 NVL72</v>
      </c>
      <c r="AH4" s="74" t="str">
        <f aca="false">INDEX(Spec_Rack!$C$4:$G$4,AH6)</f>
        <v>GB300 NVL72</v>
      </c>
    </row>
    <row r="5" customFormat="false" ht="15" hidden="false" customHeight="false" outlineLevel="0" collapsed="false">
      <c r="A5" s="51" t="s">
        <v>673</v>
      </c>
      <c r="C5" s="74" t="str">
        <f aca="false">INDEX(Arch!$C$4:$E$4,C7)</f>
        <v>Sol（中層）</v>
      </c>
      <c r="D5" s="74" t="str">
        <f aca="false">INDEX(Arch!$C$4:$E$4,D7)</f>
        <v>Sol（中層）</v>
      </c>
      <c r="E5" s="74" t="str">
        <f aca="false">INDEX(Arch!$C$4:$E$4,E7)</f>
        <v>Sol（中層）</v>
      </c>
      <c r="F5" s="74" t="str">
        <f aca="false">INDEX(Arch!$C$4:$E$4,F7)</f>
        <v>Sol（中層）</v>
      </c>
      <c r="G5" s="74" t="str">
        <f aca="false">INDEX(Arch!$C$4:$E$4,G7)</f>
        <v>Sol（中層）</v>
      </c>
      <c r="H5" s="74" t="str">
        <f aca="false">INDEX(Arch!$C$4:$E$4,H7)</f>
        <v>Sol（中層）</v>
      </c>
      <c r="I5" s="74" t="str">
        <f aca="false">INDEX(Arch!$C$4:$E$4,I7)</f>
        <v>Sol（中層）</v>
      </c>
      <c r="J5" s="74" t="str">
        <f aca="false">INDEX(Arch!$C$4:$E$4,J7)</f>
        <v>Sol（中層）</v>
      </c>
      <c r="K5" s="74" t="str">
        <f aca="false">INDEX(Arch!$C$4:$E$4,K7)</f>
        <v>Sol（中層）</v>
      </c>
      <c r="L5" s="74" t="str">
        <f aca="false">INDEX(Arch!$C$4:$E$4,L7)</f>
        <v>Sol（中層）</v>
      </c>
      <c r="M5" s="74" t="str">
        <f aca="false">INDEX(Arch!$C$4:$E$4,M7)</f>
        <v>Sol（中層）</v>
      </c>
      <c r="N5" s="74" t="str">
        <f aca="false">INDEX(Arch!$C$4:$E$4,N7)</f>
        <v>Sol（中層）</v>
      </c>
      <c r="O5" s="74" t="str">
        <f aca="false">INDEX(Arch!$C$4:$E$4,O7)</f>
        <v>Sol（中層）</v>
      </c>
      <c r="P5" s="74" t="str">
        <f aca="false">INDEX(Arch!$C$4:$E$4,P7)</f>
        <v>Sol（中層）</v>
      </c>
      <c r="Q5" s="74" t="str">
        <f aca="false">INDEX(Arch!$C$4:$E$4,Q7)</f>
        <v>Sol（中層）</v>
      </c>
      <c r="R5" s="74" t="str">
        <f aca="false">INDEX(Arch!$C$4:$E$4,R7)</f>
        <v>Sol（中層）</v>
      </c>
      <c r="S5" s="74" t="str">
        <f aca="false">INDEX(Arch!$C$4:$E$4,S7)</f>
        <v>Sol（中層）</v>
      </c>
      <c r="T5" s="74" t="str">
        <f aca="false">INDEX(Arch!$C$4:$E$4,T7)</f>
        <v>Sol（中層）</v>
      </c>
      <c r="U5" s="74" t="str">
        <f aca="false">INDEX(Arch!$C$4:$E$4,U7)</f>
        <v>Sol（中層）</v>
      </c>
      <c r="V5" s="74" t="str">
        <f aca="false">INDEX(Arch!$C$4:$E$4,V7)</f>
        <v>Sol（中層）</v>
      </c>
      <c r="W5" s="74" t="str">
        <f aca="false">INDEX(Arch!$C$4:$E$4,W7)</f>
        <v>Sol（中層）</v>
      </c>
      <c r="X5" s="74" t="str">
        <f aca="false">INDEX(Arch!$C$4:$E$4,X7)</f>
        <v>Sol（中層）</v>
      </c>
      <c r="Y5" s="74" t="str">
        <f aca="false">INDEX(Arch!$C$4:$E$4,Y7)</f>
        <v>Sol（中層）</v>
      </c>
      <c r="Z5" s="74" t="str">
        <f aca="false">INDEX(Arch!$C$4:$E$4,Z7)</f>
        <v>Sol（中層）</v>
      </c>
      <c r="AA5" s="74" t="str">
        <f aca="false">INDEX(Arch!$C$4:$E$4,AA7)</f>
        <v>Sol（中層）</v>
      </c>
      <c r="AB5" s="74" t="str">
        <f aca="false">INDEX(Arch!$C$4:$E$4,AB7)</f>
        <v>Sol（中層）</v>
      </c>
      <c r="AC5" s="74" t="str">
        <f aca="false">INDEX(Arch!$C$4:$E$4,AC7)</f>
        <v>Astra（頂層）</v>
      </c>
      <c r="AD5" s="74" t="str">
        <f aca="false">INDEX(Arch!$C$4:$E$4,AD7)</f>
        <v>Astra（頂層）</v>
      </c>
      <c r="AE5" s="74" t="str">
        <f aca="false">INDEX(Arch!$C$4:$E$4,AE7)</f>
        <v>Astra（頂層）</v>
      </c>
      <c r="AF5" s="74" t="str">
        <f aca="false">INDEX(Arch!$C$4:$E$4,AF7)</f>
        <v>Astra（頂層）</v>
      </c>
      <c r="AG5" s="74" t="str">
        <f aca="false">INDEX(Arch!$C$4:$E$4,AG7)</f>
        <v>Astra（頂層）</v>
      </c>
      <c r="AH5" s="74" t="str">
        <f aca="false">INDEX(Arch!$C$4:$E$4,AH7)</f>
        <v>Astra（頂層）</v>
      </c>
    </row>
    <row r="6" customFormat="false" ht="15" hidden="false" customHeight="false" outlineLevel="0" collapsed="false">
      <c r="A6" s="51" t="s">
        <v>407</v>
      </c>
      <c r="C6" s="59" t="n">
        <v>4</v>
      </c>
      <c r="D6" s="59" t="n">
        <v>3</v>
      </c>
      <c r="E6" s="59" t="n">
        <v>4</v>
      </c>
      <c r="F6" s="59" t="n">
        <v>3</v>
      </c>
      <c r="G6" s="59" t="n">
        <v>4</v>
      </c>
      <c r="H6" s="59" t="n">
        <v>3</v>
      </c>
      <c r="I6" s="59" t="n">
        <v>4</v>
      </c>
      <c r="J6" s="59" t="n">
        <v>3</v>
      </c>
      <c r="K6" s="59" t="n">
        <v>4</v>
      </c>
      <c r="L6" s="59" t="n">
        <v>3</v>
      </c>
      <c r="M6" s="59" t="n">
        <v>4</v>
      </c>
      <c r="N6" s="59" t="n">
        <v>3</v>
      </c>
      <c r="O6" s="59" t="n">
        <v>4</v>
      </c>
      <c r="P6" s="59" t="n">
        <v>3</v>
      </c>
      <c r="Q6" s="59" t="n">
        <v>4</v>
      </c>
      <c r="R6" s="59" t="n">
        <v>3</v>
      </c>
      <c r="S6" s="59" t="n">
        <v>4</v>
      </c>
      <c r="T6" s="59" t="n">
        <v>3</v>
      </c>
      <c r="U6" s="59" t="n">
        <v>4</v>
      </c>
      <c r="V6" s="59" t="n">
        <v>3</v>
      </c>
      <c r="W6" s="59" t="n">
        <v>4</v>
      </c>
      <c r="X6" s="59" t="n">
        <v>3</v>
      </c>
      <c r="Y6" s="59" t="n">
        <v>4</v>
      </c>
      <c r="Z6" s="59" t="n">
        <v>3</v>
      </c>
      <c r="AA6" s="59" t="n">
        <v>4</v>
      </c>
      <c r="AB6" s="59" t="n">
        <v>3</v>
      </c>
      <c r="AC6" s="59" t="n">
        <v>4</v>
      </c>
      <c r="AD6" s="59" t="n">
        <v>3</v>
      </c>
      <c r="AE6" s="59" t="n">
        <v>4</v>
      </c>
      <c r="AF6" s="59" t="n">
        <v>3</v>
      </c>
      <c r="AG6" s="59" t="n">
        <v>4</v>
      </c>
      <c r="AH6" s="59" t="n">
        <v>3</v>
      </c>
    </row>
    <row r="7" customFormat="false" ht="15" hidden="false" customHeight="false" outlineLevel="0" collapsed="false">
      <c r="A7" s="51" t="s">
        <v>674</v>
      </c>
      <c r="C7" s="59" t="n">
        <v>2</v>
      </c>
      <c r="D7" s="59" t="n">
        <v>2</v>
      </c>
      <c r="E7" s="59" t="n">
        <v>2</v>
      </c>
      <c r="F7" s="59" t="n">
        <v>2</v>
      </c>
      <c r="G7" s="59" t="n">
        <v>2</v>
      </c>
      <c r="H7" s="59" t="n">
        <v>2</v>
      </c>
      <c r="I7" s="59" t="n">
        <v>2</v>
      </c>
      <c r="J7" s="59" t="n">
        <v>2</v>
      </c>
      <c r="K7" s="59" t="n">
        <v>2</v>
      </c>
      <c r="L7" s="59" t="n">
        <v>2</v>
      </c>
      <c r="M7" s="59" t="n">
        <v>2</v>
      </c>
      <c r="N7" s="59" t="n">
        <v>2</v>
      </c>
      <c r="O7" s="59" t="n">
        <v>2</v>
      </c>
      <c r="P7" s="59" t="n">
        <v>2</v>
      </c>
      <c r="Q7" s="59" t="n">
        <v>2</v>
      </c>
      <c r="R7" s="59" t="n">
        <v>2</v>
      </c>
      <c r="S7" s="59" t="n">
        <v>2</v>
      </c>
      <c r="T7" s="59" t="n">
        <v>2</v>
      </c>
      <c r="U7" s="59" t="n">
        <v>2</v>
      </c>
      <c r="V7" s="59" t="n">
        <v>2</v>
      </c>
      <c r="W7" s="59" t="n">
        <v>2</v>
      </c>
      <c r="X7" s="59" t="n">
        <v>2</v>
      </c>
      <c r="Y7" s="59" t="n">
        <v>2</v>
      </c>
      <c r="Z7" s="59" t="n">
        <v>2</v>
      </c>
      <c r="AA7" s="59" t="n">
        <v>2</v>
      </c>
      <c r="AB7" s="59" t="n">
        <v>2</v>
      </c>
      <c r="AC7" s="59" t="n">
        <v>3</v>
      </c>
      <c r="AD7" s="59" t="n">
        <v>3</v>
      </c>
      <c r="AE7" s="59" t="n">
        <v>3</v>
      </c>
      <c r="AF7" s="59" t="n">
        <v>3</v>
      </c>
      <c r="AG7" s="59" t="n">
        <v>3</v>
      </c>
      <c r="AH7" s="59" t="n">
        <v>3</v>
      </c>
    </row>
    <row r="9" customFormat="false" ht="15" hidden="false" customHeight="false" outlineLevel="0" collapsed="false">
      <c r="A9" s="68" t="s">
        <v>675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</row>
    <row r="10" customFormat="false" ht="15" hidden="false" customHeight="false" outlineLevel="0" collapsed="false">
      <c r="A10" s="54" t="s">
        <v>676</v>
      </c>
      <c r="B10" s="54" t="s">
        <v>75</v>
      </c>
      <c r="C10" s="90" t="n">
        <f aca="false">Tech_Registry!$E$22</f>
        <v>1</v>
      </c>
      <c r="D10" s="90" t="n">
        <f aca="false">Tech_Registry!$E$22</f>
        <v>1</v>
      </c>
      <c r="E10" s="90" t="n">
        <f aca="false">Tech_Registry!$E$22</f>
        <v>1</v>
      </c>
      <c r="F10" s="90" t="n">
        <f aca="false">Tech_Registry!$E$22</f>
        <v>1</v>
      </c>
      <c r="G10" s="90" t="n">
        <f aca="false">Tech_Registry!$E$22</f>
        <v>1</v>
      </c>
      <c r="H10" s="90" t="n">
        <f aca="false">Tech_Registry!$E$22</f>
        <v>1</v>
      </c>
      <c r="I10" s="90" t="n">
        <f aca="false">Tech_Registry!$E$22</f>
        <v>1</v>
      </c>
      <c r="J10" s="90" t="n">
        <f aca="false">Tech_Registry!$E$22</f>
        <v>1</v>
      </c>
      <c r="K10" s="90" t="n">
        <f aca="false">Tech_Registry!$E$22</f>
        <v>1</v>
      </c>
      <c r="L10" s="90" t="n">
        <f aca="false">Tech_Registry!$E$22</f>
        <v>1</v>
      </c>
      <c r="M10" s="90" t="n">
        <f aca="false">Tech_Registry!$E$22</f>
        <v>1</v>
      </c>
      <c r="N10" s="90" t="n">
        <f aca="false">Tech_Registry!$E$22</f>
        <v>1</v>
      </c>
      <c r="O10" s="90" t="n">
        <f aca="false">Tech_Registry!$E$22</f>
        <v>1</v>
      </c>
      <c r="P10" s="90" t="n">
        <f aca="false">Tech_Registry!$E$22</f>
        <v>1</v>
      </c>
      <c r="Q10" s="90" t="n">
        <f aca="false">Tech_Registry!$E$22</f>
        <v>1</v>
      </c>
      <c r="R10" s="90" t="n">
        <f aca="false">Tech_Registry!$E$22</f>
        <v>1</v>
      </c>
      <c r="S10" s="90" t="n">
        <f aca="false">Tech_Registry!$E$22</f>
        <v>1</v>
      </c>
      <c r="T10" s="90" t="n">
        <f aca="false">Tech_Registry!$E$22</f>
        <v>1</v>
      </c>
      <c r="U10" s="90" t="n">
        <f aca="false">Tech_Registry!$E$22</f>
        <v>1</v>
      </c>
      <c r="V10" s="90" t="n">
        <f aca="false">Tech_Registry!$E$22</f>
        <v>1</v>
      </c>
      <c r="W10" s="90" t="n">
        <f aca="false">Tech_Registry!$E$22</f>
        <v>1</v>
      </c>
      <c r="X10" s="90" t="n">
        <f aca="false">Tech_Registry!$E$22</f>
        <v>1</v>
      </c>
      <c r="Y10" s="90" t="n">
        <f aca="false">Tech_Registry!$E$22</f>
        <v>1</v>
      </c>
      <c r="Z10" s="90" t="n">
        <f aca="false">Tech_Registry!$E$22</f>
        <v>1</v>
      </c>
      <c r="AA10" s="90" t="n">
        <f aca="false">Tech_Registry!$E$22</f>
        <v>1</v>
      </c>
      <c r="AB10" s="90" t="n">
        <f aca="false">Tech_Registry!$E$22</f>
        <v>1</v>
      </c>
      <c r="AC10" s="90" t="n">
        <f aca="false">Tech_Registry!$E$22</f>
        <v>1</v>
      </c>
      <c r="AD10" s="90" t="n">
        <f aca="false">Tech_Registry!$E$22</f>
        <v>1</v>
      </c>
      <c r="AE10" s="90" t="n">
        <f aca="false">Tech_Registry!$E$22</f>
        <v>1</v>
      </c>
      <c r="AF10" s="90" t="n">
        <f aca="false">Tech_Registry!$E$22</f>
        <v>1</v>
      </c>
      <c r="AG10" s="90" t="n">
        <f aca="false">Tech_Registry!$E$22</f>
        <v>1</v>
      </c>
      <c r="AH10" s="90" t="n">
        <f aca="false">Tech_Registry!$E$22</f>
        <v>1</v>
      </c>
    </row>
    <row r="11" customFormat="false" ht="15" hidden="false" customHeight="false" outlineLevel="0" collapsed="false">
      <c r="A11" s="54" t="s">
        <v>677</v>
      </c>
      <c r="B11" s="54" t="s">
        <v>75</v>
      </c>
      <c r="C11" s="90" t="n">
        <f aca="false">Tech_Registry!$E$23</f>
        <v>1</v>
      </c>
      <c r="D11" s="90" t="n">
        <f aca="false">Tech_Registry!$E$23</f>
        <v>1</v>
      </c>
      <c r="E11" s="90" t="n">
        <f aca="false">Tech_Registry!$E$23</f>
        <v>1</v>
      </c>
      <c r="F11" s="90" t="n">
        <f aca="false">Tech_Registry!$E$23</f>
        <v>1</v>
      </c>
      <c r="G11" s="90" t="n">
        <f aca="false">Tech_Registry!$E$23</f>
        <v>1</v>
      </c>
      <c r="H11" s="90" t="n">
        <f aca="false">Tech_Registry!$E$23</f>
        <v>1</v>
      </c>
      <c r="I11" s="90" t="n">
        <f aca="false">Tech_Registry!$E$23</f>
        <v>1</v>
      </c>
      <c r="J11" s="90" t="n">
        <f aca="false">Tech_Registry!$E$23</f>
        <v>1</v>
      </c>
      <c r="K11" s="90" t="n">
        <f aca="false">Tech_Registry!$E$23</f>
        <v>1</v>
      </c>
      <c r="L11" s="90" t="n">
        <f aca="false">Tech_Registry!$E$23</f>
        <v>1</v>
      </c>
      <c r="M11" s="90" t="n">
        <f aca="false">Tech_Registry!$E$23</f>
        <v>1</v>
      </c>
      <c r="N11" s="90" t="n">
        <f aca="false">Tech_Registry!$E$23</f>
        <v>1</v>
      </c>
      <c r="O11" s="90" t="n">
        <f aca="false">Tech_Registry!$E$23</f>
        <v>1</v>
      </c>
      <c r="P11" s="90" t="n">
        <f aca="false">Tech_Registry!$E$23</f>
        <v>1</v>
      </c>
      <c r="Q11" s="90" t="n">
        <f aca="false">Tech_Registry!$E$23</f>
        <v>1</v>
      </c>
      <c r="R11" s="90" t="n">
        <f aca="false">Tech_Registry!$E$23</f>
        <v>1</v>
      </c>
      <c r="S11" s="90" t="n">
        <f aca="false">Tech_Registry!$E$23</f>
        <v>1</v>
      </c>
      <c r="T11" s="90" t="n">
        <f aca="false">Tech_Registry!$E$23</f>
        <v>1</v>
      </c>
      <c r="U11" s="90" t="n">
        <f aca="false">Tech_Registry!$E$23</f>
        <v>1</v>
      </c>
      <c r="V11" s="90" t="n">
        <f aca="false">Tech_Registry!$E$23</f>
        <v>1</v>
      </c>
      <c r="W11" s="90" t="n">
        <f aca="false">Tech_Registry!$E$23</f>
        <v>1</v>
      </c>
      <c r="X11" s="90" t="n">
        <f aca="false">Tech_Registry!$E$23</f>
        <v>1</v>
      </c>
      <c r="Y11" s="90" t="n">
        <f aca="false">Tech_Registry!$E$23</f>
        <v>1</v>
      </c>
      <c r="Z11" s="90" t="n">
        <f aca="false">Tech_Registry!$E$23</f>
        <v>1</v>
      </c>
      <c r="AA11" s="90" t="n">
        <f aca="false">Tech_Registry!$E$23</f>
        <v>1</v>
      </c>
      <c r="AB11" s="90" t="n">
        <f aca="false">Tech_Registry!$E$23</f>
        <v>1</v>
      </c>
      <c r="AC11" s="90" t="n">
        <f aca="false">Tech_Registry!$E$23</f>
        <v>1</v>
      </c>
      <c r="AD11" s="90" t="n">
        <f aca="false">Tech_Registry!$E$23</f>
        <v>1</v>
      </c>
      <c r="AE11" s="90" t="n">
        <f aca="false">Tech_Registry!$E$23</f>
        <v>1</v>
      </c>
      <c r="AF11" s="90" t="n">
        <f aca="false">Tech_Registry!$E$23</f>
        <v>1</v>
      </c>
      <c r="AG11" s="90" t="n">
        <f aca="false">Tech_Registry!$E$23</f>
        <v>1</v>
      </c>
      <c r="AH11" s="90" t="n">
        <f aca="false">Tech_Registry!$E$23</f>
        <v>1</v>
      </c>
    </row>
    <row r="12" customFormat="false" ht="15" hidden="false" customHeight="false" outlineLevel="0" collapsed="false">
      <c r="A12" s="53" t="s">
        <v>678</v>
      </c>
      <c r="B12" s="54" t="s">
        <v>75</v>
      </c>
      <c r="C12" s="90" t="n">
        <f aca="false">Tech_Registry!$E$24</f>
        <v>1</v>
      </c>
      <c r="D12" s="90" t="n">
        <f aca="false">Tech_Registry!$E$24</f>
        <v>1</v>
      </c>
      <c r="E12" s="90" t="n">
        <f aca="false">Tech_Registry!$E$24</f>
        <v>1</v>
      </c>
      <c r="F12" s="90" t="n">
        <f aca="false">Tech_Registry!$E$24</f>
        <v>1</v>
      </c>
      <c r="G12" s="90" t="n">
        <f aca="false">Tech_Registry!$E$24</f>
        <v>1</v>
      </c>
      <c r="H12" s="90" t="n">
        <f aca="false">Tech_Registry!$E$24</f>
        <v>1</v>
      </c>
      <c r="I12" s="90" t="n">
        <f aca="false">Tech_Registry!$E$24</f>
        <v>1</v>
      </c>
      <c r="J12" s="90" t="n">
        <f aca="false">Tech_Registry!$E$24</f>
        <v>1</v>
      </c>
      <c r="K12" s="90" t="n">
        <f aca="false">Tech_Registry!$E$24</f>
        <v>1</v>
      </c>
      <c r="L12" s="90" t="n">
        <f aca="false">Tech_Registry!$E$24</f>
        <v>1</v>
      </c>
      <c r="M12" s="90" t="n">
        <f aca="false">Tech_Registry!$E$24</f>
        <v>1</v>
      </c>
      <c r="N12" s="90" t="n">
        <f aca="false">Tech_Registry!$E$24</f>
        <v>1</v>
      </c>
      <c r="O12" s="90" t="n">
        <f aca="false">Tech_Registry!$E$24</f>
        <v>1</v>
      </c>
      <c r="P12" s="90" t="n">
        <f aca="false">Tech_Registry!$E$24</f>
        <v>1</v>
      </c>
      <c r="Q12" s="90" t="n">
        <f aca="false">Tech_Registry!$E$24</f>
        <v>1</v>
      </c>
      <c r="R12" s="90" t="n">
        <f aca="false">Tech_Registry!$E$24</f>
        <v>1</v>
      </c>
      <c r="S12" s="90" t="n">
        <f aca="false">Tech_Registry!$E$24</f>
        <v>1</v>
      </c>
      <c r="T12" s="90" t="n">
        <f aca="false">Tech_Registry!$E$24</f>
        <v>1</v>
      </c>
      <c r="U12" s="90" t="n">
        <f aca="false">Tech_Registry!$E$24</f>
        <v>1</v>
      </c>
      <c r="V12" s="90" t="n">
        <f aca="false">Tech_Registry!$E$24</f>
        <v>1</v>
      </c>
      <c r="W12" s="90" t="n">
        <f aca="false">Tech_Registry!$E$24</f>
        <v>1</v>
      </c>
      <c r="X12" s="90" t="n">
        <f aca="false">Tech_Registry!$E$24</f>
        <v>1</v>
      </c>
      <c r="Y12" s="90" t="n">
        <f aca="false">Tech_Registry!$E$24</f>
        <v>1</v>
      </c>
      <c r="Z12" s="90" t="n">
        <f aca="false">Tech_Registry!$E$24</f>
        <v>1</v>
      </c>
      <c r="AA12" s="90" t="n">
        <f aca="false">Tech_Registry!$E$24</f>
        <v>1</v>
      </c>
      <c r="AB12" s="90" t="n">
        <f aca="false">Tech_Registry!$E$24</f>
        <v>1</v>
      </c>
      <c r="AC12" s="90" t="n">
        <f aca="false">Tech_Registry!$E$24</f>
        <v>1</v>
      </c>
      <c r="AD12" s="90" t="n">
        <f aca="false">Tech_Registry!$E$24</f>
        <v>1</v>
      </c>
      <c r="AE12" s="90" t="n">
        <f aca="false">Tech_Registry!$E$24</f>
        <v>1</v>
      </c>
      <c r="AF12" s="90" t="n">
        <f aca="false">Tech_Registry!$E$24</f>
        <v>1</v>
      </c>
      <c r="AG12" s="90" t="n">
        <f aca="false">Tech_Registry!$E$24</f>
        <v>1</v>
      </c>
      <c r="AH12" s="90" t="n">
        <f aca="false">Tech_Registry!$E$24</f>
        <v>1</v>
      </c>
    </row>
    <row r="13" customFormat="false" ht="15" hidden="false" customHeight="false" outlineLevel="0" collapsed="false">
      <c r="A13" s="68" t="s">
        <v>679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</row>
    <row r="14" customFormat="false" ht="15" hidden="false" customHeight="false" outlineLevel="0" collapsed="false">
      <c r="A14" s="53" t="s">
        <v>430</v>
      </c>
      <c r="B14" s="54" t="s">
        <v>431</v>
      </c>
      <c r="C14" s="87" t="n">
        <f aca="false">INDEX(Spec_Rack!$C$35:$G$35,C$6)</f>
        <v>35</v>
      </c>
      <c r="D14" s="87" t="n">
        <f aca="false">INDEX(Spec_Rack!$C$35:$G$35,D$6)</f>
        <v>15</v>
      </c>
      <c r="E14" s="87" t="n">
        <f aca="false">INDEX(Spec_Rack!$C$35:$G$35,E$6)</f>
        <v>35</v>
      </c>
      <c r="F14" s="87" t="n">
        <f aca="false">INDEX(Spec_Rack!$C$35:$G$35,F$6)</f>
        <v>15</v>
      </c>
      <c r="G14" s="87" t="n">
        <f aca="false">INDEX(Spec_Rack!$C$35:$G$35,G$6)</f>
        <v>35</v>
      </c>
      <c r="H14" s="87" t="n">
        <f aca="false">INDEX(Spec_Rack!$C$35:$G$35,H$6)</f>
        <v>15</v>
      </c>
      <c r="I14" s="87" t="n">
        <f aca="false">INDEX(Spec_Rack!$C$35:$G$35,I$6)</f>
        <v>35</v>
      </c>
      <c r="J14" s="87" t="n">
        <f aca="false">INDEX(Spec_Rack!$C$35:$G$35,J$6)</f>
        <v>15</v>
      </c>
      <c r="K14" s="87" t="n">
        <f aca="false">INDEX(Spec_Rack!$C$35:$G$35,K$6)</f>
        <v>35</v>
      </c>
      <c r="L14" s="87" t="n">
        <f aca="false">INDEX(Spec_Rack!$C$35:$G$35,L$6)</f>
        <v>15</v>
      </c>
      <c r="M14" s="115" t="n">
        <v>50</v>
      </c>
      <c r="N14" s="87" t="n">
        <f aca="false">INDEX(Spec_Rack!$C$35:$G$35,N$6)</f>
        <v>15</v>
      </c>
      <c r="O14" s="87" t="n">
        <f aca="false">INDEX(Spec_Rack!$C$35:$G$35,O$6)</f>
        <v>35</v>
      </c>
      <c r="P14" s="87" t="n">
        <f aca="false">INDEX(Spec_Rack!$C$35:$G$35,P$6)</f>
        <v>15</v>
      </c>
      <c r="Q14" s="87" t="n">
        <f aca="false">INDEX(Spec_Rack!$C$35:$G$35,Q$6)</f>
        <v>35</v>
      </c>
      <c r="R14" s="87" t="n">
        <f aca="false">INDEX(Spec_Rack!$C$35:$G$35,R$6)</f>
        <v>15</v>
      </c>
      <c r="S14" s="87" t="n">
        <f aca="false">INDEX(Spec_Rack!$C$35:$G$35,S$6)</f>
        <v>35</v>
      </c>
      <c r="T14" s="87" t="n">
        <f aca="false">INDEX(Spec_Rack!$C$35:$G$35,T$6)</f>
        <v>15</v>
      </c>
      <c r="U14" s="87" t="n">
        <f aca="false">INDEX(Spec_Rack!$C$35:$G$35,U$6)</f>
        <v>35</v>
      </c>
      <c r="V14" s="87" t="n">
        <f aca="false">INDEX(Spec_Rack!$C$35:$G$35,V$6)</f>
        <v>15</v>
      </c>
      <c r="W14" s="87" t="n">
        <f aca="false">INDEX(Spec_Rack!$C$35:$G$35,W$6)</f>
        <v>35</v>
      </c>
      <c r="X14" s="87" t="n">
        <f aca="false">INDEX(Spec_Rack!$C$35:$G$35,X$6)</f>
        <v>15</v>
      </c>
      <c r="Y14" s="87" t="n">
        <f aca="false">INDEX(Spec_Rack!$C$35:$G$35,Y$6)</f>
        <v>35</v>
      </c>
      <c r="Z14" s="87" t="n">
        <f aca="false">INDEX(Spec_Rack!$C$35:$G$35,Z$6)</f>
        <v>15</v>
      </c>
      <c r="AA14" s="87" t="n">
        <f aca="false">INDEX(Spec_Rack!$C$35:$G$35,AA$6)</f>
        <v>35</v>
      </c>
      <c r="AB14" s="87" t="n">
        <f aca="false">INDEX(Spec_Rack!$C$35:$G$35,AB$6)</f>
        <v>15</v>
      </c>
      <c r="AC14" s="87" t="n">
        <f aca="false">INDEX(Spec_Rack!$C$35:$G$35,AC$6)</f>
        <v>35</v>
      </c>
      <c r="AD14" s="87" t="n">
        <f aca="false">INDEX(Spec_Rack!$C$35:$G$35,AD$6)</f>
        <v>15</v>
      </c>
      <c r="AE14" s="87" t="n">
        <f aca="false">INDEX(Spec_Rack!$C$35:$G$35,AE$6)</f>
        <v>35</v>
      </c>
      <c r="AF14" s="87" t="n">
        <f aca="false">INDEX(Spec_Rack!$C$35:$G$35,AF$6)</f>
        <v>15</v>
      </c>
      <c r="AG14" s="87" t="n">
        <f aca="false">INDEX(Spec_Rack!$C$35:$G$35,AG$6)</f>
        <v>35</v>
      </c>
      <c r="AH14" s="87" t="n">
        <f aca="false">INDEX(Spec_Rack!$C$35:$G$35,AH$6)</f>
        <v>15</v>
      </c>
    </row>
    <row r="15" customFormat="false" ht="15" hidden="false" customHeight="false" outlineLevel="0" collapsed="false">
      <c r="A15" s="54" t="s">
        <v>432</v>
      </c>
      <c r="B15" s="54" t="s">
        <v>680</v>
      </c>
      <c r="C15" s="55" t="n">
        <f aca="false">INDEX(Spec_Rack!$C$25:$G$25,C$6)</f>
        <v>288</v>
      </c>
      <c r="D15" s="55" t="n">
        <f aca="false">INDEX(Spec_Rack!$C$25:$G$25,D$6)</f>
        <v>288</v>
      </c>
      <c r="E15" s="55" t="n">
        <f aca="false">INDEX(Spec_Rack!$C$25:$G$25,E$6)</f>
        <v>288</v>
      </c>
      <c r="F15" s="55" t="n">
        <f aca="false">INDEX(Spec_Rack!$C$25:$G$25,F$6)</f>
        <v>288</v>
      </c>
      <c r="G15" s="55" t="n">
        <f aca="false">INDEX(Spec_Rack!$C$25:$G$25,G$6)</f>
        <v>288</v>
      </c>
      <c r="H15" s="55" t="n">
        <f aca="false">INDEX(Spec_Rack!$C$25:$G$25,H$6)</f>
        <v>288</v>
      </c>
      <c r="I15" s="55" t="n">
        <f aca="false">INDEX(Spec_Rack!$C$25:$G$25,I$6)</f>
        <v>288</v>
      </c>
      <c r="J15" s="55" t="n">
        <f aca="false">INDEX(Spec_Rack!$C$25:$G$25,J$6)</f>
        <v>288</v>
      </c>
      <c r="K15" s="55" t="n">
        <f aca="false">INDEX(Spec_Rack!$C$25:$G$25,K$6)</f>
        <v>288</v>
      </c>
      <c r="L15" s="55" t="n">
        <f aca="false">INDEX(Spec_Rack!$C$25:$G$25,L$6)</f>
        <v>288</v>
      </c>
      <c r="M15" s="55" t="n">
        <f aca="false">INDEX(Spec_Rack!$C$25:$G$25,M$6)</f>
        <v>288</v>
      </c>
      <c r="N15" s="55" t="n">
        <f aca="false">INDEX(Spec_Rack!$C$25:$G$25,N$6)</f>
        <v>288</v>
      </c>
      <c r="O15" s="55" t="n">
        <f aca="false">INDEX(Spec_Rack!$C$25:$G$25,O$6)</f>
        <v>288</v>
      </c>
      <c r="P15" s="55" t="n">
        <f aca="false">INDEX(Spec_Rack!$C$25:$G$25,P$6)</f>
        <v>288</v>
      </c>
      <c r="Q15" s="55" t="n">
        <f aca="false">INDEX(Spec_Rack!$C$25:$G$25,Q$6)</f>
        <v>288</v>
      </c>
      <c r="R15" s="55" t="n">
        <f aca="false">INDEX(Spec_Rack!$C$25:$G$25,R$6)</f>
        <v>288</v>
      </c>
      <c r="S15" s="55" t="n">
        <f aca="false">INDEX(Spec_Rack!$C$25:$G$25,S$6)</f>
        <v>288</v>
      </c>
      <c r="T15" s="55" t="n">
        <f aca="false">INDEX(Spec_Rack!$C$25:$G$25,T$6)</f>
        <v>288</v>
      </c>
      <c r="U15" s="55" t="n">
        <f aca="false">INDEX(Spec_Rack!$C$25:$G$25,U$6)</f>
        <v>288</v>
      </c>
      <c r="V15" s="55" t="n">
        <f aca="false">INDEX(Spec_Rack!$C$25:$G$25,V$6)</f>
        <v>288</v>
      </c>
      <c r="W15" s="55" t="n">
        <f aca="false">INDEX(Spec_Rack!$C$25:$G$25,W$6)</f>
        <v>288</v>
      </c>
      <c r="X15" s="55" t="n">
        <f aca="false">INDEX(Spec_Rack!$C$25:$G$25,X$6)</f>
        <v>288</v>
      </c>
      <c r="Y15" s="55" t="n">
        <f aca="false">INDEX(Spec_Rack!$C$25:$G$25,Y$6)</f>
        <v>288</v>
      </c>
      <c r="Z15" s="55" t="n">
        <f aca="false">INDEX(Spec_Rack!$C$25:$G$25,Z$6)</f>
        <v>288</v>
      </c>
      <c r="AA15" s="55" t="n">
        <f aca="false">INDEX(Spec_Rack!$C$25:$G$25,AA$6)</f>
        <v>288</v>
      </c>
      <c r="AB15" s="55" t="n">
        <f aca="false">INDEX(Spec_Rack!$C$25:$G$25,AB$6)</f>
        <v>288</v>
      </c>
      <c r="AC15" s="55" t="n">
        <f aca="false">INDEX(Spec_Rack!$C$25:$G$25,AC$6)</f>
        <v>288</v>
      </c>
      <c r="AD15" s="55" t="n">
        <f aca="false">INDEX(Spec_Rack!$C$25:$G$25,AD$6)</f>
        <v>288</v>
      </c>
      <c r="AE15" s="55" t="n">
        <f aca="false">INDEX(Spec_Rack!$C$25:$G$25,AE$6)</f>
        <v>288</v>
      </c>
      <c r="AF15" s="55" t="n">
        <f aca="false">INDEX(Spec_Rack!$C$25:$G$25,AF$6)</f>
        <v>288</v>
      </c>
      <c r="AG15" s="55" t="n">
        <f aca="false">INDEX(Spec_Rack!$C$25:$G$25,AG$6)</f>
        <v>288</v>
      </c>
      <c r="AH15" s="55" t="n">
        <f aca="false">INDEX(Spec_Rack!$C$25:$G$25,AH$6)</f>
        <v>288</v>
      </c>
    </row>
    <row r="16" customFormat="false" ht="15" hidden="false" customHeight="false" outlineLevel="0" collapsed="false">
      <c r="A16" s="54" t="s">
        <v>433</v>
      </c>
      <c r="B16" s="54" t="s">
        <v>319</v>
      </c>
      <c r="C16" s="88" t="n">
        <f aca="false">INDEX(Spec_Rack!$C$26:$G$26,C$6)</f>
        <v>22</v>
      </c>
      <c r="D16" s="88" t="n">
        <f aca="false">INDEX(Spec_Rack!$C$26:$G$26,D$6)</f>
        <v>8</v>
      </c>
      <c r="E16" s="88" t="n">
        <f aca="false">INDEX(Spec_Rack!$C$26:$G$26,E$6)</f>
        <v>22</v>
      </c>
      <c r="F16" s="88" t="n">
        <f aca="false">INDEX(Spec_Rack!$C$26:$G$26,F$6)</f>
        <v>8</v>
      </c>
      <c r="G16" s="88" t="n">
        <f aca="false">INDEX(Spec_Rack!$C$26:$G$26,G$6)</f>
        <v>22</v>
      </c>
      <c r="H16" s="88" t="n">
        <f aca="false">INDEX(Spec_Rack!$C$26:$G$26,H$6)</f>
        <v>8</v>
      </c>
      <c r="I16" s="88" t="n">
        <f aca="false">INDEX(Spec_Rack!$C$26:$G$26,I$6)</f>
        <v>22</v>
      </c>
      <c r="J16" s="88" t="n">
        <f aca="false">INDEX(Spec_Rack!$C$26:$G$26,J$6)</f>
        <v>8</v>
      </c>
      <c r="K16" s="88" t="n">
        <f aca="false">INDEX(Spec_Rack!$C$26:$G$26,K$6)</f>
        <v>22</v>
      </c>
      <c r="L16" s="88" t="n">
        <f aca="false">INDEX(Spec_Rack!$C$26:$G$26,L$6)</f>
        <v>8</v>
      </c>
      <c r="M16" s="88" t="n">
        <f aca="false">INDEX(Spec_Rack!$C$26:$G$26,M$6)</f>
        <v>22</v>
      </c>
      <c r="N16" s="88" t="n">
        <f aca="false">INDEX(Spec_Rack!$C$26:$G$26,N$6)</f>
        <v>8</v>
      </c>
      <c r="O16" s="88" t="n">
        <f aca="false">INDEX(Spec_Rack!$C$26:$G$26,O$6)</f>
        <v>22</v>
      </c>
      <c r="P16" s="88" t="n">
        <f aca="false">INDEX(Spec_Rack!$C$26:$G$26,P$6)</f>
        <v>8</v>
      </c>
      <c r="Q16" s="88" t="n">
        <f aca="false">INDEX(Spec_Rack!$C$26:$G$26,Q$6)</f>
        <v>22</v>
      </c>
      <c r="R16" s="88" t="n">
        <f aca="false">INDEX(Spec_Rack!$C$26:$G$26,R$6)</f>
        <v>8</v>
      </c>
      <c r="S16" s="88" t="n">
        <f aca="false">INDEX(Spec_Rack!$C$26:$G$26,S$6)</f>
        <v>22</v>
      </c>
      <c r="T16" s="88" t="n">
        <f aca="false">INDEX(Spec_Rack!$C$26:$G$26,T$6)</f>
        <v>8</v>
      </c>
      <c r="U16" s="88" t="n">
        <f aca="false">INDEX(Spec_Rack!$C$26:$G$26,U$6)</f>
        <v>22</v>
      </c>
      <c r="V16" s="88" t="n">
        <f aca="false">INDEX(Spec_Rack!$C$26:$G$26,V$6)</f>
        <v>8</v>
      </c>
      <c r="W16" s="88" t="n">
        <f aca="false">INDEX(Spec_Rack!$C$26:$G$26,W$6)</f>
        <v>22</v>
      </c>
      <c r="X16" s="88" t="n">
        <f aca="false">INDEX(Spec_Rack!$C$26:$G$26,X$6)</f>
        <v>8</v>
      </c>
      <c r="Y16" s="88" t="n">
        <f aca="false">INDEX(Spec_Rack!$C$26:$G$26,Y$6)</f>
        <v>22</v>
      </c>
      <c r="Z16" s="88" t="n">
        <f aca="false">INDEX(Spec_Rack!$C$26:$G$26,Z$6)</f>
        <v>8</v>
      </c>
      <c r="AA16" s="88" t="n">
        <f aca="false">INDEX(Spec_Rack!$C$26:$G$26,AA$6)</f>
        <v>22</v>
      </c>
      <c r="AB16" s="88" t="n">
        <f aca="false">INDEX(Spec_Rack!$C$26:$G$26,AB$6)</f>
        <v>8</v>
      </c>
      <c r="AC16" s="88" t="n">
        <f aca="false">INDEX(Spec_Rack!$C$26:$G$26,AC$6)</f>
        <v>22</v>
      </c>
      <c r="AD16" s="88" t="n">
        <f aca="false">INDEX(Spec_Rack!$C$26:$G$26,AD$6)</f>
        <v>8</v>
      </c>
      <c r="AE16" s="88" t="n">
        <f aca="false">INDEX(Spec_Rack!$C$26:$G$26,AE$6)</f>
        <v>22</v>
      </c>
      <c r="AF16" s="88" t="n">
        <f aca="false">INDEX(Spec_Rack!$C$26:$G$26,AF$6)</f>
        <v>8</v>
      </c>
      <c r="AG16" s="88" t="n">
        <f aca="false">INDEX(Spec_Rack!$C$26:$G$26,AG$6)</f>
        <v>22</v>
      </c>
      <c r="AH16" s="88" t="n">
        <f aca="false">INDEX(Spec_Rack!$C$26:$G$26,AH$6)</f>
        <v>8</v>
      </c>
    </row>
    <row r="17" customFormat="false" ht="15" hidden="false" customHeight="false" outlineLevel="0" collapsed="false">
      <c r="A17" s="54" t="s">
        <v>681</v>
      </c>
      <c r="B17" s="54" t="s">
        <v>319</v>
      </c>
      <c r="C17" s="88" t="n">
        <f aca="false">INDEX(Spec_Rack!$C$27:$G$27,C$6)</f>
        <v>1.8</v>
      </c>
      <c r="D17" s="88" t="n">
        <f aca="false">INDEX(Spec_Rack!$C$27:$G$27,D$6)</f>
        <v>0.9</v>
      </c>
      <c r="E17" s="88" t="n">
        <f aca="false">INDEX(Spec_Rack!$C$27:$G$27,E$6)</f>
        <v>1.8</v>
      </c>
      <c r="F17" s="88" t="n">
        <f aca="false">INDEX(Spec_Rack!$C$27:$G$27,F$6)</f>
        <v>0.9</v>
      </c>
      <c r="G17" s="88" t="n">
        <f aca="false">INDEX(Spec_Rack!$C$27:$G$27,G$6)</f>
        <v>1.8</v>
      </c>
      <c r="H17" s="88" t="n">
        <f aca="false">INDEX(Spec_Rack!$C$27:$G$27,H$6)</f>
        <v>0.9</v>
      </c>
      <c r="I17" s="88" t="n">
        <f aca="false">INDEX(Spec_Rack!$C$27:$G$27,I$6)</f>
        <v>1.8</v>
      </c>
      <c r="J17" s="88" t="n">
        <f aca="false">INDEX(Spec_Rack!$C$27:$G$27,J$6)</f>
        <v>0.9</v>
      </c>
      <c r="K17" s="88" t="n">
        <f aca="false">INDEX(Spec_Rack!$C$27:$G$27,K$6)</f>
        <v>1.8</v>
      </c>
      <c r="L17" s="88" t="n">
        <f aca="false">INDEX(Spec_Rack!$C$27:$G$27,L$6)</f>
        <v>0.9</v>
      </c>
      <c r="M17" s="88" t="n">
        <f aca="false">INDEX(Spec_Rack!$C$27:$G$27,M$6)</f>
        <v>1.8</v>
      </c>
      <c r="N17" s="88" t="n">
        <f aca="false">INDEX(Spec_Rack!$C$27:$G$27,N$6)</f>
        <v>0.9</v>
      </c>
      <c r="O17" s="88" t="n">
        <f aca="false">INDEX(Spec_Rack!$C$27:$G$27,O$6)</f>
        <v>1.8</v>
      </c>
      <c r="P17" s="88" t="n">
        <f aca="false">INDEX(Spec_Rack!$C$27:$G$27,P$6)</f>
        <v>0.9</v>
      </c>
      <c r="Q17" s="88" t="n">
        <f aca="false">INDEX(Spec_Rack!$C$27:$G$27,Q$6)</f>
        <v>1.8</v>
      </c>
      <c r="R17" s="88" t="n">
        <f aca="false">INDEX(Spec_Rack!$C$27:$G$27,R$6)</f>
        <v>0.9</v>
      </c>
      <c r="S17" s="88" t="n">
        <f aca="false">INDEX(Spec_Rack!$C$27:$G$27,S$6)</f>
        <v>1.8</v>
      </c>
      <c r="T17" s="88" t="n">
        <f aca="false">INDEX(Spec_Rack!$C$27:$G$27,T$6)</f>
        <v>0.9</v>
      </c>
      <c r="U17" s="88" t="n">
        <f aca="false">INDEX(Spec_Rack!$C$27:$G$27,U$6)</f>
        <v>1.8</v>
      </c>
      <c r="V17" s="88" t="n">
        <f aca="false">INDEX(Spec_Rack!$C$27:$G$27,V$6)</f>
        <v>0.9</v>
      </c>
      <c r="W17" s="88" t="n">
        <f aca="false">INDEX(Spec_Rack!$C$27:$G$27,W$6)</f>
        <v>1.8</v>
      </c>
      <c r="X17" s="88" t="n">
        <f aca="false">INDEX(Spec_Rack!$C$27:$G$27,X$6)</f>
        <v>0.9</v>
      </c>
      <c r="Y17" s="88" t="n">
        <f aca="false">INDEX(Spec_Rack!$C$27:$G$27,Y$6)</f>
        <v>1.8</v>
      </c>
      <c r="Z17" s="88" t="n">
        <f aca="false">INDEX(Spec_Rack!$C$27:$G$27,Z$6)</f>
        <v>0.9</v>
      </c>
      <c r="AA17" s="88" t="n">
        <f aca="false">INDEX(Spec_Rack!$C$27:$G$27,AA$6)</f>
        <v>1.8</v>
      </c>
      <c r="AB17" s="88" t="n">
        <f aca="false">INDEX(Spec_Rack!$C$27:$G$27,AB$6)</f>
        <v>0.9</v>
      </c>
      <c r="AC17" s="88" t="n">
        <f aca="false">INDEX(Spec_Rack!$C$27:$G$27,AC$6)</f>
        <v>1.8</v>
      </c>
      <c r="AD17" s="88" t="n">
        <f aca="false">INDEX(Spec_Rack!$C$27:$G$27,AD$6)</f>
        <v>0.9</v>
      </c>
      <c r="AE17" s="88" t="n">
        <f aca="false">INDEX(Spec_Rack!$C$27:$G$27,AE$6)</f>
        <v>1.8</v>
      </c>
      <c r="AF17" s="88" t="n">
        <f aca="false">INDEX(Spec_Rack!$C$27:$G$27,AF$6)</f>
        <v>0.9</v>
      </c>
      <c r="AG17" s="88" t="n">
        <f aca="false">INDEX(Spec_Rack!$C$27:$G$27,AG$6)</f>
        <v>1.8</v>
      </c>
      <c r="AH17" s="88" t="n">
        <f aca="false">INDEX(Spec_Rack!$C$27:$G$27,AH$6)</f>
        <v>0.9</v>
      </c>
    </row>
    <row r="18" customFormat="false" ht="15" hidden="false" customHeight="false" outlineLevel="0" collapsed="false">
      <c r="A18" s="54" t="s">
        <v>196</v>
      </c>
      <c r="B18" s="54" t="s">
        <v>682</v>
      </c>
      <c r="C18" s="55" t="n">
        <f aca="false">INDEX(Spec_Rack!$C$29:$G$29,C$6)</f>
        <v>32</v>
      </c>
      <c r="D18" s="55" t="n">
        <f aca="false">INDEX(Spec_Rack!$C$29:$G$29,D$6)</f>
        <v>32</v>
      </c>
      <c r="E18" s="55" t="n">
        <f aca="false">INDEX(Spec_Rack!$C$29:$G$29,E$6)</f>
        <v>32</v>
      </c>
      <c r="F18" s="55" t="n">
        <f aca="false">INDEX(Spec_Rack!$C$29:$G$29,F$6)</f>
        <v>32</v>
      </c>
      <c r="G18" s="55" t="n">
        <f aca="false">INDEX(Spec_Rack!$C$29:$G$29,G$6)</f>
        <v>32</v>
      </c>
      <c r="H18" s="55" t="n">
        <f aca="false">INDEX(Spec_Rack!$C$29:$G$29,H$6)</f>
        <v>32</v>
      </c>
      <c r="I18" s="55" t="n">
        <f aca="false">INDEX(Spec_Rack!$C$29:$G$29,I$6)</f>
        <v>32</v>
      </c>
      <c r="J18" s="55" t="n">
        <f aca="false">INDEX(Spec_Rack!$C$29:$G$29,J$6)</f>
        <v>32</v>
      </c>
      <c r="K18" s="55" t="n">
        <f aca="false">INDEX(Spec_Rack!$C$29:$G$29,K$6)</f>
        <v>32</v>
      </c>
      <c r="L18" s="55" t="n">
        <f aca="false">INDEX(Spec_Rack!$C$29:$G$29,L$6)</f>
        <v>32</v>
      </c>
      <c r="M18" s="55" t="n">
        <f aca="false">INDEX(Spec_Rack!$C$29:$G$29,M$6)</f>
        <v>32</v>
      </c>
      <c r="N18" s="55" t="n">
        <f aca="false">INDEX(Spec_Rack!$C$29:$G$29,N$6)</f>
        <v>32</v>
      </c>
      <c r="O18" s="55" t="n">
        <f aca="false">INDEX(Spec_Rack!$C$29:$G$29,O$6)</f>
        <v>32</v>
      </c>
      <c r="P18" s="55" t="n">
        <f aca="false">INDEX(Spec_Rack!$C$29:$G$29,P$6)</f>
        <v>32</v>
      </c>
      <c r="Q18" s="55" t="n">
        <f aca="false">INDEX(Spec_Rack!$C$29:$G$29,Q$6)</f>
        <v>32</v>
      </c>
      <c r="R18" s="55" t="n">
        <f aca="false">INDEX(Spec_Rack!$C$29:$G$29,R$6)</f>
        <v>32</v>
      </c>
      <c r="S18" s="55" t="n">
        <f aca="false">INDEX(Spec_Rack!$C$29:$G$29,S$6)</f>
        <v>32</v>
      </c>
      <c r="T18" s="55" t="n">
        <f aca="false">INDEX(Spec_Rack!$C$29:$G$29,T$6)</f>
        <v>32</v>
      </c>
      <c r="U18" s="55" t="n">
        <f aca="false">INDEX(Spec_Rack!$C$29:$G$29,U$6)</f>
        <v>32</v>
      </c>
      <c r="V18" s="55" t="n">
        <f aca="false">INDEX(Spec_Rack!$C$29:$G$29,V$6)</f>
        <v>32</v>
      </c>
      <c r="W18" s="55" t="n">
        <f aca="false">INDEX(Spec_Rack!$C$29:$G$29,W$6)</f>
        <v>32</v>
      </c>
      <c r="X18" s="55" t="n">
        <f aca="false">INDEX(Spec_Rack!$C$29:$G$29,X$6)</f>
        <v>32</v>
      </c>
      <c r="Y18" s="55" t="n">
        <f aca="false">INDEX(Spec_Rack!$C$29:$G$29,Y$6)</f>
        <v>32</v>
      </c>
      <c r="Z18" s="55" t="n">
        <f aca="false">INDEX(Spec_Rack!$C$29:$G$29,Z$6)</f>
        <v>32</v>
      </c>
      <c r="AA18" s="55" t="n">
        <f aca="false">INDEX(Spec_Rack!$C$29:$G$29,AA$6)</f>
        <v>32</v>
      </c>
      <c r="AB18" s="55" t="n">
        <f aca="false">INDEX(Spec_Rack!$C$29:$G$29,AB$6)</f>
        <v>32</v>
      </c>
      <c r="AC18" s="55" t="n">
        <f aca="false">INDEX(Spec_Rack!$C$29:$G$29,AC$6)</f>
        <v>32</v>
      </c>
      <c r="AD18" s="55" t="n">
        <f aca="false">INDEX(Spec_Rack!$C$29:$G$29,AD$6)</f>
        <v>32</v>
      </c>
      <c r="AE18" s="55" t="n">
        <f aca="false">INDEX(Spec_Rack!$C$29:$G$29,AE$6)</f>
        <v>32</v>
      </c>
      <c r="AF18" s="55" t="n">
        <f aca="false">INDEX(Spec_Rack!$C$29:$G$29,AF$6)</f>
        <v>32</v>
      </c>
      <c r="AG18" s="55" t="n">
        <f aca="false">INDEX(Spec_Rack!$C$29:$G$29,AG$6)</f>
        <v>32</v>
      </c>
      <c r="AH18" s="55" t="n">
        <f aca="false">INDEX(Spec_Rack!$C$29:$G$29,AH$6)</f>
        <v>32</v>
      </c>
    </row>
    <row r="19" customFormat="false" ht="15" hidden="false" customHeight="false" outlineLevel="0" collapsed="false">
      <c r="A19" s="53" t="s">
        <v>683</v>
      </c>
      <c r="B19" s="54" t="s">
        <v>228</v>
      </c>
      <c r="C19" s="89" t="n">
        <f aca="false">INDEX(Spec_Rack!$C$30:$G$30,C$6)*C12</f>
        <v>0.5625</v>
      </c>
      <c r="D19" s="89" t="n">
        <f aca="false">INDEX(Spec_Rack!$C$30:$G$30,D$6)*D12</f>
        <v>0.5625</v>
      </c>
      <c r="E19" s="89" t="n">
        <f aca="false">INDEX(Spec_Rack!$C$30:$G$30,E$6)*E12</f>
        <v>0.5625</v>
      </c>
      <c r="F19" s="89" t="n">
        <f aca="false">INDEX(Spec_Rack!$C$30:$G$30,F$6)*F12</f>
        <v>0.5625</v>
      </c>
      <c r="G19" s="89" t="n">
        <f aca="false">INDEX(Spec_Rack!$C$30:$G$30,G$6)*G12</f>
        <v>0.5625</v>
      </c>
      <c r="H19" s="89" t="n">
        <f aca="false">INDEX(Spec_Rack!$C$30:$G$30,H$6)*H12</f>
        <v>0.5625</v>
      </c>
      <c r="I19" s="89" t="n">
        <f aca="false">INDEX(Spec_Rack!$C$30:$G$30,I$6)*I12</f>
        <v>0.5625</v>
      </c>
      <c r="J19" s="89" t="n">
        <f aca="false">INDEX(Spec_Rack!$C$30:$G$30,J$6)*J12</f>
        <v>0.5625</v>
      </c>
      <c r="K19" s="89" t="n">
        <f aca="false">INDEX(Spec_Rack!$C$30:$G$30,K$6)*K12</f>
        <v>0.5625</v>
      </c>
      <c r="L19" s="89" t="n">
        <f aca="false">INDEX(Spec_Rack!$C$30:$G$30,L$6)*L12</f>
        <v>0.5625</v>
      </c>
      <c r="M19" s="89" t="n">
        <f aca="false">INDEX(Spec_Rack!$C$30:$G$30,M$6)*M12</f>
        <v>0.5625</v>
      </c>
      <c r="N19" s="89" t="n">
        <f aca="false">INDEX(Spec_Rack!$C$30:$G$30,N$6)*N12</f>
        <v>0.5625</v>
      </c>
      <c r="O19" s="89" t="n">
        <f aca="false">INDEX(Spec_Rack!$C$30:$G$30,O$6)*O12</f>
        <v>0.5625</v>
      </c>
      <c r="P19" s="89" t="n">
        <f aca="false">INDEX(Spec_Rack!$C$30:$G$30,P$6)*P12</f>
        <v>0.5625</v>
      </c>
      <c r="Q19" s="89" t="n">
        <f aca="false">INDEX(Spec_Rack!$C$30:$G$30,Q$6)*Q12</f>
        <v>0.5625</v>
      </c>
      <c r="R19" s="89" t="n">
        <f aca="false">INDEX(Spec_Rack!$C$30:$G$30,R$6)*R12</f>
        <v>0.5625</v>
      </c>
      <c r="S19" s="89" t="n">
        <f aca="false">INDEX(Spec_Rack!$C$30:$G$30,S$6)*S12</f>
        <v>0.5625</v>
      </c>
      <c r="T19" s="89" t="n">
        <f aca="false">INDEX(Spec_Rack!$C$30:$G$30,T$6)*T12</f>
        <v>0.5625</v>
      </c>
      <c r="U19" s="89" t="n">
        <f aca="false">INDEX(Spec_Rack!$C$30:$G$30,U$6)*U12</f>
        <v>0.5625</v>
      </c>
      <c r="V19" s="89" t="n">
        <f aca="false">INDEX(Spec_Rack!$C$30:$G$30,V$6)*V12</f>
        <v>0.5625</v>
      </c>
      <c r="W19" s="89" t="n">
        <f aca="false">INDEX(Spec_Rack!$C$30:$G$30,W$6)*W12</f>
        <v>0.5625</v>
      </c>
      <c r="X19" s="89" t="n">
        <f aca="false">INDEX(Spec_Rack!$C$30:$G$30,X$6)*X12</f>
        <v>0.5625</v>
      </c>
      <c r="Y19" s="89" t="n">
        <f aca="false">INDEX(Spec_Rack!$C$30:$G$30,Y$6)*Y12</f>
        <v>0.5625</v>
      </c>
      <c r="Z19" s="89" t="n">
        <f aca="false">INDEX(Spec_Rack!$C$30:$G$30,Z$6)*Z12</f>
        <v>0.5625</v>
      </c>
      <c r="AA19" s="89" t="n">
        <f aca="false">INDEX(Spec_Rack!$C$30:$G$30,AA$6)*AA12</f>
        <v>0.5625</v>
      </c>
      <c r="AB19" s="89" t="n">
        <f aca="false">INDEX(Spec_Rack!$C$30:$G$30,AB$6)*AB12</f>
        <v>0.5625</v>
      </c>
      <c r="AC19" s="89" t="n">
        <f aca="false">INDEX(Spec_Rack!$C$30:$G$30,AC$6)*AC12</f>
        <v>0.5625</v>
      </c>
      <c r="AD19" s="89" t="n">
        <f aca="false">INDEX(Spec_Rack!$C$30:$G$30,AD$6)*AD12</f>
        <v>0.5625</v>
      </c>
      <c r="AE19" s="89" t="n">
        <f aca="false">INDEX(Spec_Rack!$C$30:$G$30,AE$6)*AE12</f>
        <v>0.5625</v>
      </c>
      <c r="AF19" s="89" t="n">
        <f aca="false">INDEX(Spec_Rack!$C$30:$G$30,AF$6)*AF12</f>
        <v>0.5625</v>
      </c>
      <c r="AG19" s="89" t="n">
        <f aca="false">INDEX(Spec_Rack!$C$30:$G$30,AG$6)*AG12</f>
        <v>0.5625</v>
      </c>
      <c r="AH19" s="89" t="n">
        <f aca="false">INDEX(Spec_Rack!$C$30:$G$30,AH$6)*AH12</f>
        <v>0.5625</v>
      </c>
    </row>
    <row r="20" customFormat="false" ht="15" hidden="false" customHeight="false" outlineLevel="0" collapsed="false">
      <c r="A20" s="53" t="s">
        <v>684</v>
      </c>
      <c r="B20" s="54" t="s">
        <v>228</v>
      </c>
      <c r="C20" s="90" t="n">
        <f aca="false">INDEX(Spec_Rack!$C$31:$G$31,C$6)*C12</f>
        <v>1</v>
      </c>
      <c r="D20" s="90" t="n">
        <f aca="false">INDEX(Spec_Rack!$C$31:$G$31,D$6)*D12</f>
        <v>1</v>
      </c>
      <c r="E20" s="90" t="n">
        <f aca="false">INDEX(Spec_Rack!$C$31:$G$31,E$6)*E12</f>
        <v>1</v>
      </c>
      <c r="F20" s="90" t="n">
        <f aca="false">INDEX(Spec_Rack!$C$31:$G$31,F$6)*F12</f>
        <v>1</v>
      </c>
      <c r="G20" s="90" t="n">
        <f aca="false">INDEX(Spec_Rack!$C$31:$G$31,G$6)*G12</f>
        <v>1</v>
      </c>
      <c r="H20" s="90" t="n">
        <f aca="false">INDEX(Spec_Rack!$C$31:$G$31,H$6)*H12</f>
        <v>1</v>
      </c>
      <c r="I20" s="90" t="n">
        <f aca="false">INDEX(Spec_Rack!$C$31:$G$31,I$6)*I12</f>
        <v>1</v>
      </c>
      <c r="J20" s="90" t="n">
        <f aca="false">INDEX(Spec_Rack!$C$31:$G$31,J$6)*J12</f>
        <v>1</v>
      </c>
      <c r="K20" s="90" t="n">
        <f aca="false">INDEX(Spec_Rack!$C$31:$G$31,K$6)*K12</f>
        <v>1</v>
      </c>
      <c r="L20" s="90" t="n">
        <f aca="false">INDEX(Spec_Rack!$C$31:$G$31,L$6)*L12</f>
        <v>1</v>
      </c>
      <c r="M20" s="90" t="n">
        <f aca="false">INDEX(Spec_Rack!$C$31:$G$31,M$6)*M12</f>
        <v>1</v>
      </c>
      <c r="N20" s="90" t="n">
        <f aca="false">INDEX(Spec_Rack!$C$31:$G$31,N$6)*N12</f>
        <v>1</v>
      </c>
      <c r="O20" s="90" t="n">
        <f aca="false">INDEX(Spec_Rack!$C$31:$G$31,O$6)*O12</f>
        <v>1</v>
      </c>
      <c r="P20" s="90" t="n">
        <f aca="false">INDEX(Spec_Rack!$C$31:$G$31,P$6)*P12</f>
        <v>1</v>
      </c>
      <c r="Q20" s="90" t="n">
        <f aca="false">INDEX(Spec_Rack!$C$31:$G$31,Q$6)*Q12</f>
        <v>1</v>
      </c>
      <c r="R20" s="90" t="n">
        <f aca="false">INDEX(Spec_Rack!$C$31:$G$31,R$6)*R12</f>
        <v>1</v>
      </c>
      <c r="S20" s="90" t="n">
        <f aca="false">INDEX(Spec_Rack!$C$31:$G$31,S$6)*S12</f>
        <v>1</v>
      </c>
      <c r="T20" s="90" t="n">
        <f aca="false">INDEX(Spec_Rack!$C$31:$G$31,T$6)*T12</f>
        <v>1</v>
      </c>
      <c r="U20" s="90" t="n">
        <f aca="false">INDEX(Spec_Rack!$C$31:$G$31,U$6)*U12</f>
        <v>1</v>
      </c>
      <c r="V20" s="90" t="n">
        <f aca="false">INDEX(Spec_Rack!$C$31:$G$31,V$6)*V12</f>
        <v>1</v>
      </c>
      <c r="W20" s="90" t="n">
        <f aca="false">INDEX(Spec_Rack!$C$31:$G$31,W$6)*W12</f>
        <v>1</v>
      </c>
      <c r="X20" s="90" t="n">
        <f aca="false">INDEX(Spec_Rack!$C$31:$G$31,X$6)*X12</f>
        <v>1</v>
      </c>
      <c r="Y20" s="90" t="n">
        <f aca="false">INDEX(Spec_Rack!$C$31:$G$31,Y$6)*Y12</f>
        <v>1</v>
      </c>
      <c r="Z20" s="90" t="n">
        <f aca="false">INDEX(Spec_Rack!$C$31:$G$31,Z$6)*Z12</f>
        <v>1</v>
      </c>
      <c r="AA20" s="90" t="n">
        <f aca="false">INDEX(Spec_Rack!$C$31:$G$31,AA$6)*AA12</f>
        <v>1</v>
      </c>
      <c r="AB20" s="90" t="n">
        <f aca="false">INDEX(Spec_Rack!$C$31:$G$31,AB$6)*AB12</f>
        <v>1</v>
      </c>
      <c r="AC20" s="90" t="n">
        <f aca="false">INDEX(Spec_Rack!$C$31:$G$31,AC$6)*AC12</f>
        <v>1</v>
      </c>
      <c r="AD20" s="90" t="n">
        <f aca="false">INDEX(Spec_Rack!$C$31:$G$31,AD$6)*AD12</f>
        <v>1</v>
      </c>
      <c r="AE20" s="90" t="n">
        <f aca="false">INDEX(Spec_Rack!$C$31:$G$31,AE$6)*AE12</f>
        <v>1</v>
      </c>
      <c r="AF20" s="90" t="n">
        <f aca="false">INDEX(Spec_Rack!$C$31:$G$31,AF$6)*AF12</f>
        <v>1</v>
      </c>
      <c r="AG20" s="90" t="n">
        <f aca="false">INDEX(Spec_Rack!$C$31:$G$31,AG$6)*AG12</f>
        <v>1</v>
      </c>
      <c r="AH20" s="90" t="n">
        <f aca="false">INDEX(Spec_Rack!$C$31:$G$31,AH$6)*AH12</f>
        <v>1</v>
      </c>
    </row>
    <row r="21" customFormat="false" ht="15" hidden="false" customHeight="false" outlineLevel="0" collapsed="false">
      <c r="A21" s="53" t="s">
        <v>685</v>
      </c>
      <c r="B21" s="54" t="s">
        <v>682</v>
      </c>
      <c r="C21" s="55" t="n">
        <f aca="false">INDEX(Spec_Rack!$C$32:$G$32,C$6)</f>
        <v>4</v>
      </c>
      <c r="D21" s="55" t="n">
        <f aca="false">INDEX(Spec_Rack!$C$32:$G$32,D$6)</f>
        <v>4</v>
      </c>
      <c r="E21" s="55" t="n">
        <f aca="false">INDEX(Spec_Rack!$C$32:$G$32,E$6)</f>
        <v>4</v>
      </c>
      <c r="F21" s="55" t="n">
        <f aca="false">INDEX(Spec_Rack!$C$32:$G$32,F$6)</f>
        <v>4</v>
      </c>
      <c r="G21" s="55" t="n">
        <f aca="false">INDEX(Spec_Rack!$C$32:$G$32,G$6)</f>
        <v>4</v>
      </c>
      <c r="H21" s="55" t="n">
        <f aca="false">INDEX(Spec_Rack!$C$32:$G$32,H$6)</f>
        <v>4</v>
      </c>
      <c r="I21" s="55" t="n">
        <f aca="false">INDEX(Spec_Rack!$C$32:$G$32,I$6)</f>
        <v>4</v>
      </c>
      <c r="J21" s="55" t="n">
        <f aca="false">INDEX(Spec_Rack!$C$32:$G$32,J$6)</f>
        <v>4</v>
      </c>
      <c r="K21" s="55" t="n">
        <f aca="false">INDEX(Spec_Rack!$C$32:$G$32,K$6)</f>
        <v>4</v>
      </c>
      <c r="L21" s="55" t="n">
        <f aca="false">INDEX(Spec_Rack!$C$32:$G$32,L$6)</f>
        <v>4</v>
      </c>
      <c r="M21" s="55" t="n">
        <f aca="false">INDEX(Spec_Rack!$C$32:$G$32,M$6)</f>
        <v>4</v>
      </c>
      <c r="N21" s="55" t="n">
        <f aca="false">INDEX(Spec_Rack!$C$32:$G$32,N$6)</f>
        <v>4</v>
      </c>
      <c r="O21" s="55" t="n">
        <f aca="false">INDEX(Spec_Rack!$C$32:$G$32,O$6)</f>
        <v>4</v>
      </c>
      <c r="P21" s="55" t="n">
        <f aca="false">INDEX(Spec_Rack!$C$32:$G$32,P$6)</f>
        <v>4</v>
      </c>
      <c r="Q21" s="55" t="n">
        <f aca="false">INDEX(Spec_Rack!$C$32:$G$32,Q$6)</f>
        <v>4</v>
      </c>
      <c r="R21" s="55" t="n">
        <f aca="false">INDEX(Spec_Rack!$C$32:$G$32,R$6)</f>
        <v>4</v>
      </c>
      <c r="S21" s="55" t="n">
        <f aca="false">INDEX(Spec_Rack!$C$32:$G$32,S$6)</f>
        <v>4</v>
      </c>
      <c r="T21" s="55" t="n">
        <f aca="false">INDEX(Spec_Rack!$C$32:$G$32,T$6)</f>
        <v>4</v>
      </c>
      <c r="U21" s="55" t="n">
        <f aca="false">INDEX(Spec_Rack!$C$32:$G$32,U$6)</f>
        <v>4</v>
      </c>
      <c r="V21" s="55" t="n">
        <f aca="false">INDEX(Spec_Rack!$C$32:$G$32,V$6)</f>
        <v>4</v>
      </c>
      <c r="W21" s="55" t="n">
        <f aca="false">INDEX(Spec_Rack!$C$32:$G$32,W$6)</f>
        <v>4</v>
      </c>
      <c r="X21" s="55" t="n">
        <f aca="false">INDEX(Spec_Rack!$C$32:$G$32,X$6)</f>
        <v>4</v>
      </c>
      <c r="Y21" s="55" t="n">
        <f aca="false">INDEX(Spec_Rack!$C$32:$G$32,Y$6)</f>
        <v>4</v>
      </c>
      <c r="Z21" s="55" t="n">
        <f aca="false">INDEX(Spec_Rack!$C$32:$G$32,Z$6)</f>
        <v>4</v>
      </c>
      <c r="AA21" s="55" t="n">
        <f aca="false">INDEX(Spec_Rack!$C$32:$G$32,AA$6)</f>
        <v>4</v>
      </c>
      <c r="AB21" s="55" t="n">
        <f aca="false">INDEX(Spec_Rack!$C$32:$G$32,AB$6)</f>
        <v>4</v>
      </c>
      <c r="AC21" s="55" t="n">
        <f aca="false">INDEX(Spec_Rack!$C$32:$G$32,AC$6)</f>
        <v>4</v>
      </c>
      <c r="AD21" s="55" t="n">
        <f aca="false">INDEX(Spec_Rack!$C$32:$G$32,AD$6)</f>
        <v>4</v>
      </c>
      <c r="AE21" s="55" t="n">
        <f aca="false">INDEX(Spec_Rack!$C$32:$G$32,AE$6)</f>
        <v>4</v>
      </c>
      <c r="AF21" s="55" t="n">
        <f aca="false">INDEX(Spec_Rack!$C$32:$G$32,AF$6)</f>
        <v>4</v>
      </c>
      <c r="AG21" s="55" t="n">
        <f aca="false">INDEX(Spec_Rack!$C$32:$G$32,AG$6)</f>
        <v>4</v>
      </c>
      <c r="AH21" s="55" t="n">
        <f aca="false">INDEX(Spec_Rack!$C$32:$G$32,AH$6)</f>
        <v>4</v>
      </c>
    </row>
    <row r="22" customFormat="false" ht="15" hidden="false" customHeight="false" outlineLevel="0" collapsed="false">
      <c r="A22" s="54" t="s">
        <v>149</v>
      </c>
      <c r="B22" s="53" t="s">
        <v>686</v>
      </c>
      <c r="C22" s="55" t="n">
        <f aca="false">INDEX(Spec_Rack!$C$6:$G$6,C$6)</f>
        <v>72</v>
      </c>
      <c r="D22" s="55" t="n">
        <f aca="false">INDEX(Spec_Rack!$C$6:$G$6,D$6)</f>
        <v>72</v>
      </c>
      <c r="E22" s="55" t="n">
        <f aca="false">INDEX(Spec_Rack!$C$6:$G$6,E$6)</f>
        <v>72</v>
      </c>
      <c r="F22" s="55" t="n">
        <f aca="false">INDEX(Spec_Rack!$C$6:$G$6,F$6)</f>
        <v>72</v>
      </c>
      <c r="G22" s="55" t="n">
        <f aca="false">INDEX(Spec_Rack!$C$6:$G$6,G$6)</f>
        <v>72</v>
      </c>
      <c r="H22" s="55" t="n">
        <f aca="false">INDEX(Spec_Rack!$C$6:$G$6,H$6)</f>
        <v>72</v>
      </c>
      <c r="I22" s="55" t="n">
        <f aca="false">INDEX(Spec_Rack!$C$6:$G$6,I$6)</f>
        <v>72</v>
      </c>
      <c r="J22" s="55" t="n">
        <f aca="false">INDEX(Spec_Rack!$C$6:$G$6,J$6)</f>
        <v>72</v>
      </c>
      <c r="K22" s="55" t="n">
        <f aca="false">INDEX(Spec_Rack!$C$6:$G$6,K$6)</f>
        <v>72</v>
      </c>
      <c r="L22" s="55" t="n">
        <f aca="false">INDEX(Spec_Rack!$C$6:$G$6,L$6)</f>
        <v>72</v>
      </c>
      <c r="M22" s="55" t="n">
        <f aca="false">INDEX(Spec_Rack!$C$6:$G$6,M$6)</f>
        <v>72</v>
      </c>
      <c r="N22" s="55" t="n">
        <f aca="false">INDEX(Spec_Rack!$C$6:$G$6,N$6)</f>
        <v>72</v>
      </c>
      <c r="O22" s="55" t="n">
        <f aca="false">INDEX(Spec_Rack!$C$6:$G$6,O$6)</f>
        <v>72</v>
      </c>
      <c r="P22" s="55" t="n">
        <f aca="false">INDEX(Spec_Rack!$C$6:$G$6,P$6)</f>
        <v>72</v>
      </c>
      <c r="Q22" s="55" t="n">
        <f aca="false">INDEX(Spec_Rack!$C$6:$G$6,Q$6)</f>
        <v>72</v>
      </c>
      <c r="R22" s="55" t="n">
        <f aca="false">INDEX(Spec_Rack!$C$6:$G$6,R$6)</f>
        <v>72</v>
      </c>
      <c r="S22" s="55" t="n">
        <f aca="false">INDEX(Spec_Rack!$C$6:$G$6,S$6)</f>
        <v>72</v>
      </c>
      <c r="T22" s="55" t="n">
        <f aca="false">INDEX(Spec_Rack!$C$6:$G$6,T$6)</f>
        <v>72</v>
      </c>
      <c r="U22" s="55" t="n">
        <f aca="false">INDEX(Spec_Rack!$C$6:$G$6,U$6)</f>
        <v>72</v>
      </c>
      <c r="V22" s="55" t="n">
        <f aca="false">INDEX(Spec_Rack!$C$6:$G$6,V$6)</f>
        <v>72</v>
      </c>
      <c r="W22" s="55" t="n">
        <f aca="false">INDEX(Spec_Rack!$C$6:$G$6,W$6)</f>
        <v>72</v>
      </c>
      <c r="X22" s="55" t="n">
        <f aca="false">INDEX(Spec_Rack!$C$6:$G$6,X$6)</f>
        <v>72</v>
      </c>
      <c r="Y22" s="55" t="n">
        <f aca="false">INDEX(Spec_Rack!$C$6:$G$6,Y$6)</f>
        <v>72</v>
      </c>
      <c r="Z22" s="55" t="n">
        <f aca="false">INDEX(Spec_Rack!$C$6:$G$6,Z$6)</f>
        <v>72</v>
      </c>
      <c r="AA22" s="55" t="n">
        <f aca="false">INDEX(Spec_Rack!$C$6:$G$6,AA$6)</f>
        <v>72</v>
      </c>
      <c r="AB22" s="55" t="n">
        <f aca="false">INDEX(Spec_Rack!$C$6:$G$6,AB$6)</f>
        <v>72</v>
      </c>
      <c r="AC22" s="55" t="n">
        <f aca="false">INDEX(Spec_Rack!$C$6:$G$6,AC$6)</f>
        <v>72</v>
      </c>
      <c r="AD22" s="55" t="n">
        <f aca="false">INDEX(Spec_Rack!$C$6:$G$6,AD$6)</f>
        <v>72</v>
      </c>
      <c r="AE22" s="55" t="n">
        <f aca="false">INDEX(Spec_Rack!$C$6:$G$6,AE$6)</f>
        <v>72</v>
      </c>
      <c r="AF22" s="55" t="n">
        <f aca="false">INDEX(Spec_Rack!$C$6:$G$6,AF$6)</f>
        <v>72</v>
      </c>
      <c r="AG22" s="55" t="n">
        <f aca="false">INDEX(Spec_Rack!$C$6:$G$6,AG$6)</f>
        <v>72</v>
      </c>
      <c r="AH22" s="55" t="n">
        <f aca="false">INDEX(Spec_Rack!$C$6:$G$6,AH$6)</f>
        <v>72</v>
      </c>
    </row>
    <row r="23" customFormat="false" ht="15" hidden="false" customHeight="false" outlineLevel="0" collapsed="false">
      <c r="A23" s="54" t="s">
        <v>687</v>
      </c>
      <c r="B23" s="54" t="s">
        <v>688</v>
      </c>
      <c r="C23" s="55" t="n">
        <f aca="false">INDEX(Spec_Rack!$C$33:$G$33,C$6)</f>
        <v>1800</v>
      </c>
      <c r="D23" s="55" t="n">
        <f aca="false">INDEX(Spec_Rack!$C$33:$G$33,D$6)</f>
        <v>1400</v>
      </c>
      <c r="E23" s="55" t="n">
        <f aca="false">INDEX(Spec_Rack!$C$33:$G$33,E$6)</f>
        <v>1800</v>
      </c>
      <c r="F23" s="55" t="n">
        <f aca="false">INDEX(Spec_Rack!$C$33:$G$33,F$6)</f>
        <v>1400</v>
      </c>
      <c r="G23" s="55" t="n">
        <f aca="false">INDEX(Spec_Rack!$C$33:$G$33,G$6)</f>
        <v>1800</v>
      </c>
      <c r="H23" s="55" t="n">
        <f aca="false">INDEX(Spec_Rack!$C$33:$G$33,H$6)</f>
        <v>1400</v>
      </c>
      <c r="I23" s="55" t="n">
        <f aca="false">INDEX(Spec_Rack!$C$33:$G$33,I$6)</f>
        <v>1800</v>
      </c>
      <c r="J23" s="55" t="n">
        <f aca="false">INDEX(Spec_Rack!$C$33:$G$33,J$6)</f>
        <v>1400</v>
      </c>
      <c r="K23" s="55" t="n">
        <f aca="false">INDEX(Spec_Rack!$C$33:$G$33,K$6)</f>
        <v>1800</v>
      </c>
      <c r="L23" s="55" t="n">
        <f aca="false">INDEX(Spec_Rack!$C$33:$G$33,L$6)</f>
        <v>1400</v>
      </c>
      <c r="M23" s="55" t="n">
        <f aca="false">INDEX(Spec_Rack!$C$33:$G$33,M$6)</f>
        <v>1800</v>
      </c>
      <c r="N23" s="55" t="n">
        <f aca="false">INDEX(Spec_Rack!$C$33:$G$33,N$6)</f>
        <v>1400</v>
      </c>
      <c r="O23" s="55" t="n">
        <f aca="false">INDEX(Spec_Rack!$C$33:$G$33,O$6)</f>
        <v>1800</v>
      </c>
      <c r="P23" s="55" t="n">
        <f aca="false">INDEX(Spec_Rack!$C$33:$G$33,P$6)</f>
        <v>1400</v>
      </c>
      <c r="Q23" s="55" t="n">
        <f aca="false">INDEX(Spec_Rack!$C$33:$G$33,Q$6)</f>
        <v>1800</v>
      </c>
      <c r="R23" s="55" t="n">
        <f aca="false">INDEX(Spec_Rack!$C$33:$G$33,R$6)</f>
        <v>1400</v>
      </c>
      <c r="S23" s="55" t="n">
        <f aca="false">INDEX(Spec_Rack!$C$33:$G$33,S$6)</f>
        <v>1800</v>
      </c>
      <c r="T23" s="55" t="n">
        <f aca="false">INDEX(Spec_Rack!$C$33:$G$33,T$6)</f>
        <v>1400</v>
      </c>
      <c r="U23" s="55" t="n">
        <f aca="false">INDEX(Spec_Rack!$C$33:$G$33,U$6)</f>
        <v>1800</v>
      </c>
      <c r="V23" s="55" t="n">
        <f aca="false">INDEX(Spec_Rack!$C$33:$G$33,V$6)</f>
        <v>1400</v>
      </c>
      <c r="W23" s="55" t="n">
        <f aca="false">INDEX(Spec_Rack!$C$33:$G$33,W$6)</f>
        <v>1800</v>
      </c>
      <c r="X23" s="55" t="n">
        <f aca="false">INDEX(Spec_Rack!$C$33:$G$33,X$6)</f>
        <v>1400</v>
      </c>
      <c r="Y23" s="55" t="n">
        <f aca="false">INDEX(Spec_Rack!$C$33:$G$33,Y$6)</f>
        <v>1800</v>
      </c>
      <c r="Z23" s="55" t="n">
        <f aca="false">INDEX(Spec_Rack!$C$33:$G$33,Z$6)</f>
        <v>1400</v>
      </c>
      <c r="AA23" s="55" t="n">
        <f aca="false">INDEX(Spec_Rack!$C$33:$G$33,AA$6)</f>
        <v>1800</v>
      </c>
      <c r="AB23" s="55" t="n">
        <f aca="false">INDEX(Spec_Rack!$C$33:$G$33,AB$6)</f>
        <v>1400</v>
      </c>
      <c r="AC23" s="55" t="n">
        <f aca="false">INDEX(Spec_Rack!$C$33:$G$33,AC$6)</f>
        <v>1800</v>
      </c>
      <c r="AD23" s="55" t="n">
        <f aca="false">INDEX(Spec_Rack!$C$33:$G$33,AD$6)</f>
        <v>1400</v>
      </c>
      <c r="AE23" s="55" t="n">
        <f aca="false">INDEX(Spec_Rack!$C$33:$G$33,AE$6)</f>
        <v>1800</v>
      </c>
      <c r="AF23" s="55" t="n">
        <f aca="false">INDEX(Spec_Rack!$C$33:$G$33,AF$6)</f>
        <v>1400</v>
      </c>
      <c r="AG23" s="55" t="n">
        <f aca="false">INDEX(Spec_Rack!$C$33:$G$33,AG$6)</f>
        <v>1800</v>
      </c>
      <c r="AH23" s="55" t="n">
        <f aca="false">INDEX(Spec_Rack!$C$33:$G$33,AH$6)</f>
        <v>1400</v>
      </c>
    </row>
    <row r="24" customFormat="false" ht="15" hidden="false" customHeight="false" outlineLevel="0" collapsed="false">
      <c r="A24" s="54" t="s">
        <v>689</v>
      </c>
      <c r="B24" s="54" t="s">
        <v>690</v>
      </c>
      <c r="C24" s="55" t="n">
        <f aca="false">INDEX(Spec_Rack!$C$34:$G$34,C$6)</f>
        <v>20</v>
      </c>
      <c r="D24" s="55" t="n">
        <f aca="false">INDEX(Spec_Rack!$C$34:$G$34,D$6)</f>
        <v>25</v>
      </c>
      <c r="E24" s="55" t="n">
        <f aca="false">INDEX(Spec_Rack!$C$34:$G$34,E$6)</f>
        <v>20</v>
      </c>
      <c r="F24" s="55" t="n">
        <f aca="false">INDEX(Spec_Rack!$C$34:$G$34,F$6)</f>
        <v>25</v>
      </c>
      <c r="G24" s="55" t="n">
        <f aca="false">INDEX(Spec_Rack!$C$34:$G$34,G$6)</f>
        <v>20</v>
      </c>
      <c r="H24" s="55" t="n">
        <f aca="false">INDEX(Spec_Rack!$C$34:$G$34,H$6)</f>
        <v>25</v>
      </c>
      <c r="I24" s="55" t="n">
        <f aca="false">INDEX(Spec_Rack!$C$34:$G$34,I$6)</f>
        <v>20</v>
      </c>
      <c r="J24" s="55" t="n">
        <f aca="false">INDEX(Spec_Rack!$C$34:$G$34,J$6)</f>
        <v>25</v>
      </c>
      <c r="K24" s="55" t="n">
        <f aca="false">INDEX(Spec_Rack!$C$34:$G$34,K$6)</f>
        <v>20</v>
      </c>
      <c r="L24" s="55" t="n">
        <f aca="false">INDEX(Spec_Rack!$C$34:$G$34,L$6)</f>
        <v>25</v>
      </c>
      <c r="M24" s="55" t="n">
        <f aca="false">INDEX(Spec_Rack!$C$34:$G$34,M$6)</f>
        <v>20</v>
      </c>
      <c r="N24" s="55" t="n">
        <f aca="false">INDEX(Spec_Rack!$C$34:$G$34,N$6)</f>
        <v>25</v>
      </c>
      <c r="O24" s="55" t="n">
        <f aca="false">INDEX(Spec_Rack!$C$34:$G$34,O$6)</f>
        <v>20</v>
      </c>
      <c r="P24" s="55" t="n">
        <f aca="false">INDEX(Spec_Rack!$C$34:$G$34,P$6)</f>
        <v>25</v>
      </c>
      <c r="Q24" s="55" t="n">
        <f aca="false">INDEX(Spec_Rack!$C$34:$G$34,Q$6)</f>
        <v>20</v>
      </c>
      <c r="R24" s="55" t="n">
        <f aca="false">INDEX(Spec_Rack!$C$34:$G$34,R$6)</f>
        <v>25</v>
      </c>
      <c r="S24" s="55" t="n">
        <f aca="false">INDEX(Spec_Rack!$C$34:$G$34,S$6)</f>
        <v>20</v>
      </c>
      <c r="T24" s="55" t="n">
        <f aca="false">INDEX(Spec_Rack!$C$34:$G$34,T$6)</f>
        <v>25</v>
      </c>
      <c r="U24" s="55" t="n">
        <f aca="false">INDEX(Spec_Rack!$C$34:$G$34,U$6)</f>
        <v>20</v>
      </c>
      <c r="V24" s="55" t="n">
        <f aca="false">INDEX(Spec_Rack!$C$34:$G$34,V$6)</f>
        <v>25</v>
      </c>
      <c r="W24" s="55" t="n">
        <f aca="false">INDEX(Spec_Rack!$C$34:$G$34,W$6)</f>
        <v>20</v>
      </c>
      <c r="X24" s="55" t="n">
        <f aca="false">INDEX(Spec_Rack!$C$34:$G$34,X$6)</f>
        <v>25</v>
      </c>
      <c r="Y24" s="55" t="n">
        <f aca="false">INDEX(Spec_Rack!$C$34:$G$34,Y$6)</f>
        <v>20</v>
      </c>
      <c r="Z24" s="55" t="n">
        <f aca="false">INDEX(Spec_Rack!$C$34:$G$34,Z$6)</f>
        <v>25</v>
      </c>
      <c r="AA24" s="55" t="n">
        <f aca="false">INDEX(Spec_Rack!$C$34:$G$34,AA$6)</f>
        <v>20</v>
      </c>
      <c r="AB24" s="55" t="n">
        <f aca="false">INDEX(Spec_Rack!$C$34:$G$34,AB$6)</f>
        <v>25</v>
      </c>
      <c r="AC24" s="55" t="n">
        <f aca="false">INDEX(Spec_Rack!$C$34:$G$34,AC$6)</f>
        <v>20</v>
      </c>
      <c r="AD24" s="55" t="n">
        <f aca="false">INDEX(Spec_Rack!$C$34:$G$34,AD$6)</f>
        <v>25</v>
      </c>
      <c r="AE24" s="55" t="n">
        <f aca="false">INDEX(Spec_Rack!$C$34:$G$34,AE$6)</f>
        <v>20</v>
      </c>
      <c r="AF24" s="55" t="n">
        <f aca="false">INDEX(Spec_Rack!$C$34:$G$34,AF$6)</f>
        <v>25</v>
      </c>
      <c r="AG24" s="55" t="n">
        <f aca="false">INDEX(Spec_Rack!$C$34:$G$34,AG$6)</f>
        <v>20</v>
      </c>
      <c r="AH24" s="55" t="n">
        <f aca="false">INDEX(Spec_Rack!$C$34:$G$34,AH$6)</f>
        <v>25</v>
      </c>
    </row>
    <row r="25" customFormat="false" ht="15" hidden="false" customHeight="false" outlineLevel="0" collapsed="false">
      <c r="A25" s="53" t="s">
        <v>691</v>
      </c>
      <c r="B25" s="53" t="s">
        <v>692</v>
      </c>
      <c r="C25" s="55" t="n">
        <f aca="false">INDEX(DC_Cost!$C$12:$Q$12,3*(C$6-1)+2)/CTL_GW</f>
        <v>4052</v>
      </c>
      <c r="D25" s="55" t="n">
        <f aca="false">INDEX(DC_Cost!$C$12:$Q$12,3*(D$6-1)+2)/CTL_GW</f>
        <v>6764</v>
      </c>
      <c r="E25" s="55" t="n">
        <f aca="false">INDEX(DC_Cost!$C$12:$Q$12,3*(E$6-1)+2)/CTL_GW</f>
        <v>4052</v>
      </c>
      <c r="F25" s="55" t="n">
        <f aca="false">INDEX(DC_Cost!$C$12:$Q$12,3*(F$6-1)+2)/CTL_GW</f>
        <v>6764</v>
      </c>
      <c r="G25" s="55" t="n">
        <f aca="false">INDEX(DC_Cost!$C$12:$Q$12,3*(G$6-1)+2)/CTL_GW</f>
        <v>4052</v>
      </c>
      <c r="H25" s="55" t="n">
        <f aca="false">INDEX(DC_Cost!$C$12:$Q$12,3*(H$6-1)+2)/CTL_GW</f>
        <v>6764</v>
      </c>
      <c r="I25" s="55" t="n">
        <f aca="false">INDEX(DC_Cost!$C$12:$Q$12,3*(I$6-1)+2)/CTL_GW</f>
        <v>4052</v>
      </c>
      <c r="J25" s="55" t="n">
        <f aca="false">INDEX(DC_Cost!$C$12:$Q$12,3*(J$6-1)+2)/CTL_GW</f>
        <v>6764</v>
      </c>
      <c r="K25" s="55" t="n">
        <f aca="false">INDEX(DC_Cost!$C$12:$Q$12,3*(K$6-1)+2)/CTL_GW</f>
        <v>4052</v>
      </c>
      <c r="L25" s="55" t="n">
        <f aca="false">INDEX(DC_Cost!$C$12:$Q$12,3*(L$6-1)+2)/CTL_GW</f>
        <v>6764</v>
      </c>
      <c r="M25" s="55" t="n">
        <f aca="false">INDEX(DC_Cost!$C$12:$Q$12,3*(M$6-1)+2)/CTL_GW</f>
        <v>4052</v>
      </c>
      <c r="N25" s="55" t="n">
        <f aca="false">INDEX(DC_Cost!$C$12:$Q$12,3*(N$6-1)+2)/CTL_GW</f>
        <v>6764</v>
      </c>
      <c r="O25" s="55" t="n">
        <f aca="false">INDEX(DC_Cost!$C$12:$Q$12,3*(O$6-1)+2)/CTL_GW</f>
        <v>4052</v>
      </c>
      <c r="P25" s="55" t="n">
        <f aca="false">INDEX(DC_Cost!$C$12:$Q$12,3*(P$6-1)+2)/CTL_GW</f>
        <v>6764</v>
      </c>
      <c r="Q25" s="55" t="n">
        <f aca="false">INDEX(DC_Cost!$C$12:$Q$12,3*(Q$6-1)+2)/CTL_GW</f>
        <v>4052</v>
      </c>
      <c r="R25" s="55" t="n">
        <f aca="false">INDEX(DC_Cost!$C$12:$Q$12,3*(R$6-1)+2)/CTL_GW</f>
        <v>6764</v>
      </c>
      <c r="S25" s="55" t="n">
        <f aca="false">INDEX(DC_Cost!$C$12:$Q$12,3*(S$6-1)+2)/CTL_GW</f>
        <v>4052</v>
      </c>
      <c r="T25" s="55" t="n">
        <f aca="false">INDEX(DC_Cost!$C$12:$Q$12,3*(T$6-1)+2)/CTL_GW</f>
        <v>6764</v>
      </c>
      <c r="U25" s="55" t="n">
        <f aca="false">INDEX(DC_Cost!$C$12:$Q$12,3*(U$6-1)+2)/CTL_GW</f>
        <v>4052</v>
      </c>
      <c r="V25" s="55" t="n">
        <f aca="false">INDEX(DC_Cost!$C$12:$Q$12,3*(V$6-1)+2)/CTL_GW</f>
        <v>6764</v>
      </c>
      <c r="W25" s="55" t="n">
        <f aca="false">INDEX(DC_Cost!$C$12:$Q$12,3*(W$6-1)+2)/CTL_GW</f>
        <v>4052</v>
      </c>
      <c r="X25" s="55" t="n">
        <f aca="false">INDEX(DC_Cost!$C$12:$Q$12,3*(X$6-1)+2)/CTL_GW</f>
        <v>6764</v>
      </c>
      <c r="Y25" s="55" t="n">
        <f aca="false">INDEX(DC_Cost!$C$12:$Q$12,3*(Y$6-1)+2)/CTL_GW</f>
        <v>4052</v>
      </c>
      <c r="Z25" s="55" t="n">
        <f aca="false">INDEX(DC_Cost!$C$12:$Q$12,3*(Z$6-1)+2)/CTL_GW</f>
        <v>6764</v>
      </c>
      <c r="AA25" s="55" t="n">
        <f aca="false">INDEX(DC_Cost!$C$12:$Q$12,3*(AA$6-1)+2)/CTL_GW</f>
        <v>4052</v>
      </c>
      <c r="AB25" s="55" t="n">
        <f aca="false">INDEX(DC_Cost!$C$12:$Q$12,3*(AB$6-1)+2)/CTL_GW</f>
        <v>6764</v>
      </c>
      <c r="AC25" s="55" t="n">
        <f aca="false">INDEX(DC_Cost!$C$12:$Q$12,3*(AC$6-1)+2)/CTL_GW</f>
        <v>4052</v>
      </c>
      <c r="AD25" s="55" t="n">
        <f aca="false">INDEX(DC_Cost!$C$12:$Q$12,3*(AD$6-1)+2)/CTL_GW</f>
        <v>6764</v>
      </c>
      <c r="AE25" s="55" t="n">
        <f aca="false">INDEX(DC_Cost!$C$12:$Q$12,3*(AE$6-1)+2)/CTL_GW</f>
        <v>4052</v>
      </c>
      <c r="AF25" s="55" t="n">
        <f aca="false">INDEX(DC_Cost!$C$12:$Q$12,3*(AF$6-1)+2)/CTL_GW</f>
        <v>6764</v>
      </c>
      <c r="AG25" s="55" t="n">
        <f aca="false">INDEX(DC_Cost!$C$12:$Q$12,3*(AG$6-1)+2)/CTL_GW</f>
        <v>4052</v>
      </c>
      <c r="AH25" s="55" t="n">
        <f aca="false">INDEX(DC_Cost!$C$12:$Q$12,3*(AH$6-1)+2)/CTL_GW</f>
        <v>6764</v>
      </c>
    </row>
    <row r="26" customFormat="false" ht="15" hidden="false" customHeight="false" outlineLevel="0" collapsed="false">
      <c r="A26" s="53" t="s">
        <v>693</v>
      </c>
      <c r="B26" s="54" t="s">
        <v>694</v>
      </c>
      <c r="C26" s="55" t="n">
        <f aca="false">INDEX(DC_Cost!$C$11:$Q$11,3*(C$6-1)+2)</f>
        <v>227</v>
      </c>
      <c r="D26" s="55" t="n">
        <f aca="false">INDEX(DC_Cost!$C$11:$Q$11,3*(D$6-1)+2)</f>
        <v>136</v>
      </c>
      <c r="E26" s="55" t="n">
        <f aca="false">INDEX(DC_Cost!$C$11:$Q$11,3*(E$6-1)+2)</f>
        <v>227</v>
      </c>
      <c r="F26" s="55" t="n">
        <f aca="false">INDEX(DC_Cost!$C$11:$Q$11,3*(F$6-1)+2)</f>
        <v>136</v>
      </c>
      <c r="G26" s="55" t="n">
        <f aca="false">INDEX(DC_Cost!$C$11:$Q$11,3*(G$6-1)+2)</f>
        <v>227</v>
      </c>
      <c r="H26" s="55" t="n">
        <f aca="false">INDEX(DC_Cost!$C$11:$Q$11,3*(H$6-1)+2)</f>
        <v>136</v>
      </c>
      <c r="I26" s="55" t="n">
        <f aca="false">INDEX(DC_Cost!$C$11:$Q$11,3*(I$6-1)+2)</f>
        <v>227</v>
      </c>
      <c r="J26" s="55" t="n">
        <f aca="false">INDEX(DC_Cost!$C$11:$Q$11,3*(J$6-1)+2)</f>
        <v>136</v>
      </c>
      <c r="K26" s="55" t="n">
        <f aca="false">INDEX(DC_Cost!$C$11:$Q$11,3*(K$6-1)+2)</f>
        <v>227</v>
      </c>
      <c r="L26" s="55" t="n">
        <f aca="false">INDEX(DC_Cost!$C$11:$Q$11,3*(L$6-1)+2)</f>
        <v>136</v>
      </c>
      <c r="M26" s="55" t="n">
        <f aca="false">INDEX(DC_Cost!$C$11:$Q$11,3*(M$6-1)+2)</f>
        <v>227</v>
      </c>
      <c r="N26" s="55" t="n">
        <f aca="false">INDEX(DC_Cost!$C$11:$Q$11,3*(N$6-1)+2)</f>
        <v>136</v>
      </c>
      <c r="O26" s="55" t="n">
        <f aca="false">INDEX(DC_Cost!$C$11:$Q$11,3*(O$6-1)+2)</f>
        <v>227</v>
      </c>
      <c r="P26" s="55" t="n">
        <f aca="false">INDEX(DC_Cost!$C$11:$Q$11,3*(P$6-1)+2)</f>
        <v>136</v>
      </c>
      <c r="Q26" s="55" t="n">
        <f aca="false">INDEX(DC_Cost!$C$11:$Q$11,3*(Q$6-1)+2)</f>
        <v>227</v>
      </c>
      <c r="R26" s="55" t="n">
        <f aca="false">INDEX(DC_Cost!$C$11:$Q$11,3*(R$6-1)+2)</f>
        <v>136</v>
      </c>
      <c r="S26" s="55" t="n">
        <f aca="false">INDEX(DC_Cost!$C$11:$Q$11,3*(S$6-1)+2)</f>
        <v>227</v>
      </c>
      <c r="T26" s="55" t="n">
        <f aca="false">INDEX(DC_Cost!$C$11:$Q$11,3*(T$6-1)+2)</f>
        <v>136</v>
      </c>
      <c r="U26" s="55" t="n">
        <f aca="false">INDEX(DC_Cost!$C$11:$Q$11,3*(U$6-1)+2)</f>
        <v>227</v>
      </c>
      <c r="V26" s="55" t="n">
        <f aca="false">INDEX(DC_Cost!$C$11:$Q$11,3*(V$6-1)+2)</f>
        <v>136</v>
      </c>
      <c r="W26" s="55" t="n">
        <f aca="false">INDEX(DC_Cost!$C$11:$Q$11,3*(W$6-1)+2)</f>
        <v>227</v>
      </c>
      <c r="X26" s="55" t="n">
        <f aca="false">INDEX(DC_Cost!$C$11:$Q$11,3*(X$6-1)+2)</f>
        <v>136</v>
      </c>
      <c r="Y26" s="55" t="n">
        <f aca="false">INDEX(DC_Cost!$C$11:$Q$11,3*(Y$6-1)+2)</f>
        <v>227</v>
      </c>
      <c r="Z26" s="55" t="n">
        <f aca="false">INDEX(DC_Cost!$C$11:$Q$11,3*(Z$6-1)+2)</f>
        <v>136</v>
      </c>
      <c r="AA26" s="55" t="n">
        <f aca="false">INDEX(DC_Cost!$C$11:$Q$11,3*(AA$6-1)+2)</f>
        <v>227</v>
      </c>
      <c r="AB26" s="55" t="n">
        <f aca="false">INDEX(DC_Cost!$C$11:$Q$11,3*(AB$6-1)+2)</f>
        <v>136</v>
      </c>
      <c r="AC26" s="55" t="n">
        <f aca="false">INDEX(DC_Cost!$C$11:$Q$11,3*(AC$6-1)+2)</f>
        <v>227</v>
      </c>
      <c r="AD26" s="55" t="n">
        <f aca="false">INDEX(DC_Cost!$C$11:$Q$11,3*(AD$6-1)+2)</f>
        <v>136</v>
      </c>
      <c r="AE26" s="55" t="n">
        <f aca="false">INDEX(DC_Cost!$C$11:$Q$11,3*(AE$6-1)+2)</f>
        <v>227</v>
      </c>
      <c r="AF26" s="55" t="n">
        <f aca="false">INDEX(DC_Cost!$C$11:$Q$11,3*(AF$6-1)+2)</f>
        <v>136</v>
      </c>
      <c r="AG26" s="55" t="n">
        <f aca="false">INDEX(DC_Cost!$C$11:$Q$11,3*(AG$6-1)+2)</f>
        <v>227</v>
      </c>
      <c r="AH26" s="55" t="n">
        <f aca="false">INDEX(DC_Cost!$C$11:$Q$11,3*(AH$6-1)+2)</f>
        <v>136</v>
      </c>
    </row>
    <row r="27" customFormat="false" ht="15" hidden="false" customHeight="false" outlineLevel="0" collapsed="false">
      <c r="A27" s="68" t="s">
        <v>695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</row>
    <row r="28" customFormat="false" ht="15" hidden="false" customHeight="false" outlineLevel="0" collapsed="false">
      <c r="A28" s="53" t="s">
        <v>231</v>
      </c>
      <c r="B28" s="54" t="s">
        <v>228</v>
      </c>
      <c r="C28" s="55" t="n">
        <f aca="false">INDEX(Arch!$C$7:$E$7,C$7)</f>
        <v>49</v>
      </c>
      <c r="D28" s="55" t="n">
        <f aca="false">INDEX(Arch!$C$7:$E$7,D$7)</f>
        <v>49</v>
      </c>
      <c r="E28" s="55" t="n">
        <f aca="false">INDEX(Arch!$C$7:$E$7,E$7)</f>
        <v>49</v>
      </c>
      <c r="F28" s="55" t="n">
        <f aca="false">INDEX(Arch!$C$7:$E$7,F$7)</f>
        <v>49</v>
      </c>
      <c r="G28" s="55" t="n">
        <f aca="false">INDEX(Arch!$C$7:$E$7,G$7)</f>
        <v>49</v>
      </c>
      <c r="H28" s="55" t="n">
        <f aca="false">INDEX(Arch!$C$7:$E$7,H$7)</f>
        <v>49</v>
      </c>
      <c r="I28" s="55" t="n">
        <f aca="false">INDEX(Arch!$C$7:$E$7,I$7)</f>
        <v>49</v>
      </c>
      <c r="J28" s="55" t="n">
        <f aca="false">INDEX(Arch!$C$7:$E$7,J$7)</f>
        <v>49</v>
      </c>
      <c r="K28" s="55" t="n">
        <f aca="false">INDEX(Arch!$C$7:$E$7,K$7)</f>
        <v>49</v>
      </c>
      <c r="L28" s="55" t="n">
        <f aca="false">INDEX(Arch!$C$7:$E$7,L$7)</f>
        <v>49</v>
      </c>
      <c r="M28" s="55" t="n">
        <f aca="false">INDEX(Arch!$C$7:$E$7,M$7)</f>
        <v>49</v>
      </c>
      <c r="N28" s="55" t="n">
        <f aca="false">INDEX(Arch!$C$7:$E$7,N$7)</f>
        <v>49</v>
      </c>
      <c r="O28" s="55" t="n">
        <f aca="false">INDEX(Arch!$C$7:$E$7,O$7)</f>
        <v>49</v>
      </c>
      <c r="P28" s="55" t="n">
        <f aca="false">INDEX(Arch!$C$7:$E$7,P$7)</f>
        <v>49</v>
      </c>
      <c r="Q28" s="55" t="n">
        <f aca="false">INDEX(Arch!$C$7:$E$7,Q$7)</f>
        <v>49</v>
      </c>
      <c r="R28" s="55" t="n">
        <f aca="false">INDEX(Arch!$C$7:$E$7,R$7)</f>
        <v>49</v>
      </c>
      <c r="S28" s="55" t="n">
        <f aca="false">INDEX(Arch!$C$7:$E$7,S$7)</f>
        <v>49</v>
      </c>
      <c r="T28" s="55" t="n">
        <f aca="false">INDEX(Arch!$C$7:$E$7,T$7)</f>
        <v>49</v>
      </c>
      <c r="U28" s="55" t="n">
        <f aca="false">INDEX(Arch!$C$7:$E$7,U$7)</f>
        <v>49</v>
      </c>
      <c r="V28" s="55" t="n">
        <f aca="false">INDEX(Arch!$C$7:$E$7,V$7)</f>
        <v>49</v>
      </c>
      <c r="W28" s="55" t="n">
        <f aca="false">INDEX(Arch!$C$7:$E$7,W$7)</f>
        <v>49</v>
      </c>
      <c r="X28" s="55" t="n">
        <f aca="false">INDEX(Arch!$C$7:$E$7,X$7)</f>
        <v>49</v>
      </c>
      <c r="Y28" s="55" t="n">
        <f aca="false">INDEX(Arch!$C$7:$E$7,Y$7)</f>
        <v>49</v>
      </c>
      <c r="Z28" s="55" t="n">
        <f aca="false">INDEX(Arch!$C$7:$E$7,Z$7)</f>
        <v>49</v>
      </c>
      <c r="AA28" s="55" t="n">
        <f aca="false">INDEX(Arch!$C$7:$E$7,AA$7)</f>
        <v>49</v>
      </c>
      <c r="AB28" s="55" t="n">
        <f aca="false">INDEX(Arch!$C$7:$E$7,AB$7)</f>
        <v>49</v>
      </c>
      <c r="AC28" s="55" t="n">
        <f aca="false">INDEX(Arch!$C$7:$E$7,AC$7)</f>
        <v>180</v>
      </c>
      <c r="AD28" s="55" t="n">
        <f aca="false">INDEX(Arch!$C$7:$E$7,AD$7)</f>
        <v>180</v>
      </c>
      <c r="AE28" s="55" t="n">
        <f aca="false">INDEX(Arch!$C$7:$E$7,AE$7)</f>
        <v>180</v>
      </c>
      <c r="AF28" s="55" t="n">
        <f aca="false">INDEX(Arch!$C$7:$E$7,AF$7)</f>
        <v>180</v>
      </c>
      <c r="AG28" s="55" t="n">
        <f aca="false">INDEX(Arch!$C$7:$E$7,AG$7)</f>
        <v>180</v>
      </c>
      <c r="AH28" s="55" t="n">
        <f aca="false">INDEX(Arch!$C$7:$E$7,AH$7)</f>
        <v>180</v>
      </c>
    </row>
    <row r="29" customFormat="false" ht="15" hidden="false" customHeight="false" outlineLevel="0" collapsed="false">
      <c r="A29" s="53" t="s">
        <v>233</v>
      </c>
      <c r="B29" s="53" t="s">
        <v>234</v>
      </c>
      <c r="C29" s="55" t="n">
        <f aca="false">INDEX(Arch!$C$8:$E$8,C$7)</f>
        <v>61</v>
      </c>
      <c r="D29" s="55" t="n">
        <f aca="false">INDEX(Arch!$C$8:$E$8,D$7)</f>
        <v>61</v>
      </c>
      <c r="E29" s="55" t="n">
        <f aca="false">INDEX(Arch!$C$8:$E$8,E$7)</f>
        <v>61</v>
      </c>
      <c r="F29" s="55" t="n">
        <f aca="false">INDEX(Arch!$C$8:$E$8,F$7)</f>
        <v>61</v>
      </c>
      <c r="G29" s="55" t="n">
        <f aca="false">INDEX(Arch!$C$8:$E$8,G$7)</f>
        <v>61</v>
      </c>
      <c r="H29" s="55" t="n">
        <f aca="false">INDEX(Arch!$C$8:$E$8,H$7)</f>
        <v>61</v>
      </c>
      <c r="I29" s="55" t="n">
        <f aca="false">INDEX(Arch!$C$8:$E$8,I$7)</f>
        <v>61</v>
      </c>
      <c r="J29" s="55" t="n">
        <f aca="false">INDEX(Arch!$C$8:$E$8,J$7)</f>
        <v>61</v>
      </c>
      <c r="K29" s="55" t="n">
        <f aca="false">INDEX(Arch!$C$8:$E$8,K$7)</f>
        <v>61</v>
      </c>
      <c r="L29" s="55" t="n">
        <f aca="false">INDEX(Arch!$C$8:$E$8,L$7)</f>
        <v>61</v>
      </c>
      <c r="M29" s="55" t="n">
        <f aca="false">INDEX(Arch!$C$8:$E$8,M$7)</f>
        <v>61</v>
      </c>
      <c r="N29" s="55" t="n">
        <f aca="false">INDEX(Arch!$C$8:$E$8,N$7)</f>
        <v>61</v>
      </c>
      <c r="O29" s="55" t="n">
        <f aca="false">INDEX(Arch!$C$8:$E$8,O$7)</f>
        <v>61</v>
      </c>
      <c r="P29" s="55" t="n">
        <f aca="false">INDEX(Arch!$C$8:$E$8,P$7)</f>
        <v>61</v>
      </c>
      <c r="Q29" s="55" t="n">
        <f aca="false">INDEX(Arch!$C$8:$E$8,Q$7)</f>
        <v>61</v>
      </c>
      <c r="R29" s="55" t="n">
        <f aca="false">INDEX(Arch!$C$8:$E$8,R$7)</f>
        <v>61</v>
      </c>
      <c r="S29" s="55" t="n">
        <f aca="false">INDEX(Arch!$C$8:$E$8,S$7)</f>
        <v>61</v>
      </c>
      <c r="T29" s="55" t="n">
        <f aca="false">INDEX(Arch!$C$8:$E$8,T$7)</f>
        <v>61</v>
      </c>
      <c r="U29" s="55" t="n">
        <f aca="false">INDEX(Arch!$C$8:$E$8,U$7)</f>
        <v>61</v>
      </c>
      <c r="V29" s="55" t="n">
        <f aca="false">INDEX(Arch!$C$8:$E$8,V$7)</f>
        <v>61</v>
      </c>
      <c r="W29" s="55" t="n">
        <f aca="false">INDEX(Arch!$C$8:$E$8,W$7)</f>
        <v>61</v>
      </c>
      <c r="X29" s="55" t="n">
        <f aca="false">INDEX(Arch!$C$8:$E$8,X$7)</f>
        <v>61</v>
      </c>
      <c r="Y29" s="55" t="n">
        <f aca="false">INDEX(Arch!$C$8:$E$8,Y$7)</f>
        <v>61</v>
      </c>
      <c r="Z29" s="55" t="n">
        <f aca="false">INDEX(Arch!$C$8:$E$8,Z$7)</f>
        <v>61</v>
      </c>
      <c r="AA29" s="55" t="n">
        <f aca="false">INDEX(Arch!$C$8:$E$8,AA$7)</f>
        <v>61</v>
      </c>
      <c r="AB29" s="55" t="n">
        <f aca="false">INDEX(Arch!$C$8:$E$8,AB$7)</f>
        <v>61</v>
      </c>
      <c r="AC29" s="55" t="n">
        <f aca="false">INDEX(Arch!$C$8:$E$8,AC$7)</f>
        <v>100</v>
      </c>
      <c r="AD29" s="55" t="n">
        <f aca="false">INDEX(Arch!$C$8:$E$8,AD$7)</f>
        <v>100</v>
      </c>
      <c r="AE29" s="55" t="n">
        <f aca="false">INDEX(Arch!$C$8:$E$8,AE$7)</f>
        <v>100</v>
      </c>
      <c r="AF29" s="55" t="n">
        <f aca="false">INDEX(Arch!$C$8:$E$8,AF$7)</f>
        <v>100</v>
      </c>
      <c r="AG29" s="55" t="n">
        <f aca="false">INDEX(Arch!$C$8:$E$8,AG$7)</f>
        <v>100</v>
      </c>
      <c r="AH29" s="55" t="n">
        <f aca="false">INDEX(Arch!$C$8:$E$8,AH$7)</f>
        <v>100</v>
      </c>
    </row>
    <row r="30" customFormat="false" ht="15" hidden="false" customHeight="false" outlineLevel="0" collapsed="false">
      <c r="A30" s="54" t="s">
        <v>236</v>
      </c>
      <c r="B30" s="53"/>
      <c r="C30" s="55" t="n">
        <f aca="false">INDEX(Arch!$C$9:$E$9,C$7)</f>
        <v>7168</v>
      </c>
      <c r="D30" s="55" t="n">
        <f aca="false">INDEX(Arch!$C$9:$E$9,D$7)</f>
        <v>7168</v>
      </c>
      <c r="E30" s="55" t="n">
        <f aca="false">INDEX(Arch!$C$9:$E$9,E$7)</f>
        <v>7168</v>
      </c>
      <c r="F30" s="55" t="n">
        <f aca="false">INDEX(Arch!$C$9:$E$9,F$7)</f>
        <v>7168</v>
      </c>
      <c r="G30" s="55" t="n">
        <f aca="false">INDEX(Arch!$C$9:$E$9,G$7)</f>
        <v>7168</v>
      </c>
      <c r="H30" s="55" t="n">
        <f aca="false">INDEX(Arch!$C$9:$E$9,H$7)</f>
        <v>7168</v>
      </c>
      <c r="I30" s="55" t="n">
        <f aca="false">INDEX(Arch!$C$9:$E$9,I$7)</f>
        <v>7168</v>
      </c>
      <c r="J30" s="55" t="n">
        <f aca="false">INDEX(Arch!$C$9:$E$9,J$7)</f>
        <v>7168</v>
      </c>
      <c r="K30" s="55" t="n">
        <f aca="false">INDEX(Arch!$C$9:$E$9,K$7)</f>
        <v>7168</v>
      </c>
      <c r="L30" s="55" t="n">
        <f aca="false">INDEX(Arch!$C$9:$E$9,L$7)</f>
        <v>7168</v>
      </c>
      <c r="M30" s="55" t="n">
        <f aca="false">INDEX(Arch!$C$9:$E$9,M$7)</f>
        <v>7168</v>
      </c>
      <c r="N30" s="55" t="n">
        <f aca="false">INDEX(Arch!$C$9:$E$9,N$7)</f>
        <v>7168</v>
      </c>
      <c r="O30" s="55" t="n">
        <f aca="false">INDEX(Arch!$C$9:$E$9,O$7)</f>
        <v>7168</v>
      </c>
      <c r="P30" s="55" t="n">
        <f aca="false">INDEX(Arch!$C$9:$E$9,P$7)</f>
        <v>7168</v>
      </c>
      <c r="Q30" s="55" t="n">
        <f aca="false">INDEX(Arch!$C$9:$E$9,Q$7)</f>
        <v>7168</v>
      </c>
      <c r="R30" s="55" t="n">
        <f aca="false">INDEX(Arch!$C$9:$E$9,R$7)</f>
        <v>7168</v>
      </c>
      <c r="S30" s="55" t="n">
        <f aca="false">INDEX(Arch!$C$9:$E$9,S$7)</f>
        <v>7168</v>
      </c>
      <c r="T30" s="55" t="n">
        <f aca="false">INDEX(Arch!$C$9:$E$9,T$7)</f>
        <v>7168</v>
      </c>
      <c r="U30" s="55" t="n">
        <f aca="false">INDEX(Arch!$C$9:$E$9,U$7)</f>
        <v>7168</v>
      </c>
      <c r="V30" s="55" t="n">
        <f aca="false">INDEX(Arch!$C$9:$E$9,V$7)</f>
        <v>7168</v>
      </c>
      <c r="W30" s="55" t="n">
        <f aca="false">INDEX(Arch!$C$9:$E$9,W$7)</f>
        <v>7168</v>
      </c>
      <c r="X30" s="55" t="n">
        <f aca="false">INDEX(Arch!$C$9:$E$9,X$7)</f>
        <v>7168</v>
      </c>
      <c r="Y30" s="55" t="n">
        <f aca="false">INDEX(Arch!$C$9:$E$9,Y$7)</f>
        <v>7168</v>
      </c>
      <c r="Z30" s="55" t="n">
        <f aca="false">INDEX(Arch!$C$9:$E$9,Z$7)</f>
        <v>7168</v>
      </c>
      <c r="AA30" s="55" t="n">
        <f aca="false">INDEX(Arch!$C$9:$E$9,AA$7)</f>
        <v>7168</v>
      </c>
      <c r="AB30" s="55" t="n">
        <f aca="false">INDEX(Arch!$C$9:$E$9,AB$7)</f>
        <v>7168</v>
      </c>
      <c r="AC30" s="55" t="n">
        <f aca="false">INDEX(Arch!$C$9:$E$9,AC$7)</f>
        <v>12288</v>
      </c>
      <c r="AD30" s="55" t="n">
        <f aca="false">INDEX(Arch!$C$9:$E$9,AD$7)</f>
        <v>12288</v>
      </c>
      <c r="AE30" s="55" t="n">
        <f aca="false">INDEX(Arch!$C$9:$E$9,AE$7)</f>
        <v>12288</v>
      </c>
      <c r="AF30" s="55" t="n">
        <f aca="false">INDEX(Arch!$C$9:$E$9,AF$7)</f>
        <v>12288</v>
      </c>
      <c r="AG30" s="55" t="n">
        <f aca="false">INDEX(Arch!$C$9:$E$9,AG$7)</f>
        <v>12288</v>
      </c>
      <c r="AH30" s="55" t="n">
        <f aca="false">INDEX(Arch!$C$9:$E$9,AH$7)</f>
        <v>12288</v>
      </c>
    </row>
    <row r="31" customFormat="false" ht="15" hidden="false" customHeight="false" outlineLevel="0" collapsed="false">
      <c r="A31" s="53" t="s">
        <v>696</v>
      </c>
      <c r="B31" s="53"/>
      <c r="C31" s="55" t="n">
        <f aca="false">INDEX(Arch!$C$13:$E$13,C$7)</f>
        <v>6</v>
      </c>
      <c r="D31" s="55" t="n">
        <f aca="false">INDEX(Arch!$C$13:$E$13,D$7)</f>
        <v>6</v>
      </c>
      <c r="E31" s="55" t="n">
        <f aca="false">INDEX(Arch!$C$13:$E$13,E$7)</f>
        <v>6</v>
      </c>
      <c r="F31" s="55" t="n">
        <f aca="false">INDEX(Arch!$C$13:$E$13,F$7)</f>
        <v>6</v>
      </c>
      <c r="G31" s="55" t="n">
        <f aca="false">INDEX(Arch!$C$13:$E$13,G$7)</f>
        <v>6</v>
      </c>
      <c r="H31" s="55" t="n">
        <f aca="false">INDEX(Arch!$C$13:$E$13,H$7)</f>
        <v>6</v>
      </c>
      <c r="I31" s="55" t="n">
        <f aca="false">INDEX(Arch!$C$13:$E$13,I$7)</f>
        <v>6</v>
      </c>
      <c r="J31" s="55" t="n">
        <f aca="false">INDEX(Arch!$C$13:$E$13,J$7)</f>
        <v>6</v>
      </c>
      <c r="K31" s="55" t="n">
        <f aca="false">INDEX(Arch!$C$13:$E$13,K$7)</f>
        <v>6</v>
      </c>
      <c r="L31" s="55" t="n">
        <f aca="false">INDEX(Arch!$C$13:$E$13,L$7)</f>
        <v>6</v>
      </c>
      <c r="M31" s="55" t="n">
        <f aca="false">INDEX(Arch!$C$13:$E$13,M$7)</f>
        <v>6</v>
      </c>
      <c r="N31" s="55" t="n">
        <f aca="false">INDEX(Arch!$C$13:$E$13,N$7)</f>
        <v>6</v>
      </c>
      <c r="O31" s="55" t="n">
        <f aca="false">INDEX(Arch!$C$13:$E$13,O$7)</f>
        <v>6</v>
      </c>
      <c r="P31" s="55" t="n">
        <f aca="false">INDEX(Arch!$C$13:$E$13,P$7)</f>
        <v>6</v>
      </c>
      <c r="Q31" s="55" t="n">
        <f aca="false">INDEX(Arch!$C$13:$E$13,Q$7)</f>
        <v>6</v>
      </c>
      <c r="R31" s="55" t="n">
        <f aca="false">INDEX(Arch!$C$13:$E$13,R$7)</f>
        <v>6</v>
      </c>
      <c r="S31" s="55" t="n">
        <f aca="false">INDEX(Arch!$C$13:$E$13,S$7)</f>
        <v>6</v>
      </c>
      <c r="T31" s="55" t="n">
        <f aca="false">INDEX(Arch!$C$13:$E$13,T$7)</f>
        <v>6</v>
      </c>
      <c r="U31" s="55" t="n">
        <f aca="false">INDEX(Arch!$C$13:$E$13,U$7)</f>
        <v>6</v>
      </c>
      <c r="V31" s="55" t="n">
        <f aca="false">INDEX(Arch!$C$13:$E$13,V$7)</f>
        <v>6</v>
      </c>
      <c r="W31" s="55" t="n">
        <f aca="false">INDEX(Arch!$C$13:$E$13,W$7)</f>
        <v>6</v>
      </c>
      <c r="X31" s="55" t="n">
        <f aca="false">INDEX(Arch!$C$13:$E$13,X$7)</f>
        <v>6</v>
      </c>
      <c r="Y31" s="55" t="n">
        <f aca="false">INDEX(Arch!$C$13:$E$13,Y$7)</f>
        <v>6</v>
      </c>
      <c r="Z31" s="55" t="n">
        <f aca="false">INDEX(Arch!$C$13:$E$13,Z$7)</f>
        <v>6</v>
      </c>
      <c r="AA31" s="55" t="n">
        <f aca="false">INDEX(Arch!$C$13:$E$13,AA$7)</f>
        <v>6</v>
      </c>
      <c r="AB31" s="55" t="n">
        <f aca="false">INDEX(Arch!$C$13:$E$13,AB$7)</f>
        <v>6</v>
      </c>
      <c r="AC31" s="55" t="n">
        <f aca="false">INDEX(Arch!$C$13:$E$13,AC$7)</f>
        <v>16</v>
      </c>
      <c r="AD31" s="55" t="n">
        <f aca="false">INDEX(Arch!$C$13:$E$13,AD$7)</f>
        <v>16</v>
      </c>
      <c r="AE31" s="55" t="n">
        <f aca="false">INDEX(Arch!$C$13:$E$13,AE$7)</f>
        <v>16</v>
      </c>
      <c r="AF31" s="55" t="n">
        <f aca="false">INDEX(Arch!$C$13:$E$13,AF$7)</f>
        <v>16</v>
      </c>
      <c r="AG31" s="55" t="n">
        <f aca="false">INDEX(Arch!$C$13:$E$13,AG$7)</f>
        <v>16</v>
      </c>
      <c r="AH31" s="55" t="n">
        <f aca="false">INDEX(Arch!$C$13:$E$13,AH$7)</f>
        <v>16</v>
      </c>
    </row>
    <row r="32" customFormat="false" ht="15" hidden="false" customHeight="false" outlineLevel="0" collapsed="false">
      <c r="A32" s="53" t="s">
        <v>440</v>
      </c>
      <c r="B32" s="54" t="s">
        <v>228</v>
      </c>
      <c r="C32" s="91" t="n">
        <f aca="false">INDEX(Arch!$C$28:$E$28,C$7)</f>
        <v>20.2777777777778</v>
      </c>
      <c r="D32" s="91" t="n">
        <f aca="false">INDEX(Arch!$C$28:$E$28,D$7)</f>
        <v>20.2777777777778</v>
      </c>
      <c r="E32" s="91" t="n">
        <f aca="false">INDEX(Arch!$C$28:$E$28,E$7)</f>
        <v>20.2777777777778</v>
      </c>
      <c r="F32" s="91" t="n">
        <f aca="false">INDEX(Arch!$C$28:$E$28,F$7)</f>
        <v>20.2777777777778</v>
      </c>
      <c r="G32" s="91" t="n">
        <f aca="false">INDEX(Arch!$C$28:$E$28,G$7)</f>
        <v>20.2777777777778</v>
      </c>
      <c r="H32" s="91" t="n">
        <f aca="false">INDEX(Arch!$C$28:$E$28,H$7)</f>
        <v>20.2777777777778</v>
      </c>
      <c r="I32" s="91" t="n">
        <f aca="false">INDEX(Arch!$C$28:$E$28,I$7)</f>
        <v>20.2777777777778</v>
      </c>
      <c r="J32" s="91" t="n">
        <f aca="false">INDEX(Arch!$C$28:$E$28,J$7)</f>
        <v>20.2777777777778</v>
      </c>
      <c r="K32" s="91" t="n">
        <f aca="false">INDEX(Arch!$C$28:$E$28,K$7)</f>
        <v>20.2777777777778</v>
      </c>
      <c r="L32" s="91" t="n">
        <f aca="false">INDEX(Arch!$C$28:$E$28,L$7)</f>
        <v>20.2777777777778</v>
      </c>
      <c r="M32" s="91" t="n">
        <f aca="false">INDEX(Arch!$C$28:$E$28,M$7)</f>
        <v>20.2777777777778</v>
      </c>
      <c r="N32" s="91" t="n">
        <f aca="false">INDEX(Arch!$C$28:$E$28,N$7)</f>
        <v>20.2777777777778</v>
      </c>
      <c r="O32" s="91" t="n">
        <f aca="false">INDEX(Arch!$C$28:$E$28,O$7)</f>
        <v>20.2777777777778</v>
      </c>
      <c r="P32" s="91" t="n">
        <f aca="false">INDEX(Arch!$C$28:$E$28,P$7)</f>
        <v>20.2777777777778</v>
      </c>
      <c r="Q32" s="91" t="n">
        <f aca="false">INDEX(Arch!$C$28:$E$28,Q$7)</f>
        <v>20.2777777777778</v>
      </c>
      <c r="R32" s="91" t="n">
        <f aca="false">INDEX(Arch!$C$28:$E$28,R$7)</f>
        <v>20.2777777777778</v>
      </c>
      <c r="S32" s="91" t="n">
        <f aca="false">INDEX(Arch!$C$28:$E$28,S$7)</f>
        <v>20.2777777777778</v>
      </c>
      <c r="T32" s="91" t="n">
        <f aca="false">INDEX(Arch!$C$28:$E$28,T$7)</f>
        <v>20.2777777777778</v>
      </c>
      <c r="U32" s="91" t="n">
        <f aca="false">INDEX(Arch!$C$28:$E$28,U$7)</f>
        <v>20.2777777777778</v>
      </c>
      <c r="V32" s="91" t="n">
        <f aca="false">INDEX(Arch!$C$28:$E$28,V$7)</f>
        <v>20.2777777777778</v>
      </c>
      <c r="W32" s="91" t="n">
        <f aca="false">INDEX(Arch!$C$28:$E$28,W$7)</f>
        <v>20.2777777777778</v>
      </c>
      <c r="X32" s="91" t="n">
        <f aca="false">INDEX(Arch!$C$28:$E$28,X$7)</f>
        <v>20.2777777777778</v>
      </c>
      <c r="Y32" s="91" t="n">
        <f aca="false">INDEX(Arch!$C$28:$E$28,Y$7)</f>
        <v>20.2777777777778</v>
      </c>
      <c r="Z32" s="91" t="n">
        <f aca="false">INDEX(Arch!$C$28:$E$28,Z$7)</f>
        <v>20.2777777777778</v>
      </c>
      <c r="AA32" s="91" t="n">
        <f aca="false">INDEX(Arch!$C$28:$E$28,AA$7)</f>
        <v>20.2777777777778</v>
      </c>
      <c r="AB32" s="91" t="n">
        <f aca="false">INDEX(Arch!$C$28:$E$28,AB$7)</f>
        <v>20.2777777777778</v>
      </c>
      <c r="AC32" s="91" t="n">
        <f aca="false">INDEX(Arch!$C$28:$E$28,AC$7)</f>
        <v>49.0725806451613</v>
      </c>
      <c r="AD32" s="91" t="n">
        <f aca="false">INDEX(Arch!$C$28:$E$28,AD$7)</f>
        <v>49.0725806451613</v>
      </c>
      <c r="AE32" s="91" t="n">
        <f aca="false">INDEX(Arch!$C$28:$E$28,AE$7)</f>
        <v>49.0725806451613</v>
      </c>
      <c r="AF32" s="91" t="n">
        <f aca="false">INDEX(Arch!$C$28:$E$28,AF$7)</f>
        <v>49.0725806451613</v>
      </c>
      <c r="AG32" s="91" t="n">
        <f aca="false">INDEX(Arch!$C$28:$E$28,AG$7)</f>
        <v>49.0725806451613</v>
      </c>
      <c r="AH32" s="91" t="n">
        <f aca="false">INDEX(Arch!$C$28:$E$28,AH$7)</f>
        <v>49.0725806451613</v>
      </c>
    </row>
    <row r="33" customFormat="false" ht="15" hidden="false" customHeight="false" outlineLevel="0" collapsed="false">
      <c r="A33" s="53" t="s">
        <v>270</v>
      </c>
      <c r="B33" s="54" t="s">
        <v>228</v>
      </c>
      <c r="C33" s="55" t="n">
        <f aca="false">INDEX(Arch!$C$29:$E$29,C$7)</f>
        <v>1579.72222222222</v>
      </c>
      <c r="D33" s="55" t="n">
        <f aca="false">INDEX(Arch!$C$29:$E$29,D$7)</f>
        <v>1579.72222222222</v>
      </c>
      <c r="E33" s="55" t="n">
        <f aca="false">INDEX(Arch!$C$29:$E$29,E$7)</f>
        <v>1579.72222222222</v>
      </c>
      <c r="F33" s="55" t="n">
        <f aca="false">INDEX(Arch!$C$29:$E$29,F$7)</f>
        <v>1579.72222222222</v>
      </c>
      <c r="G33" s="55" t="n">
        <f aca="false">INDEX(Arch!$C$29:$E$29,G$7)</f>
        <v>1579.72222222222</v>
      </c>
      <c r="H33" s="55" t="n">
        <f aca="false">INDEX(Arch!$C$29:$E$29,H$7)</f>
        <v>1579.72222222222</v>
      </c>
      <c r="I33" s="55" t="n">
        <f aca="false">INDEX(Arch!$C$29:$E$29,I$7)</f>
        <v>1579.72222222222</v>
      </c>
      <c r="J33" s="55" t="n">
        <f aca="false">INDEX(Arch!$C$29:$E$29,J$7)</f>
        <v>1579.72222222222</v>
      </c>
      <c r="K33" s="55" t="n">
        <f aca="false">INDEX(Arch!$C$29:$E$29,K$7)</f>
        <v>1579.72222222222</v>
      </c>
      <c r="L33" s="55" t="n">
        <f aca="false">INDEX(Arch!$C$29:$E$29,L$7)</f>
        <v>1579.72222222222</v>
      </c>
      <c r="M33" s="55" t="n">
        <f aca="false">INDEX(Arch!$C$29:$E$29,M$7)</f>
        <v>1579.72222222222</v>
      </c>
      <c r="N33" s="55" t="n">
        <f aca="false">INDEX(Arch!$C$29:$E$29,N$7)</f>
        <v>1579.72222222222</v>
      </c>
      <c r="O33" s="55" t="n">
        <f aca="false">INDEX(Arch!$C$29:$E$29,O$7)</f>
        <v>1579.72222222222</v>
      </c>
      <c r="P33" s="55" t="n">
        <f aca="false">INDEX(Arch!$C$29:$E$29,P$7)</f>
        <v>1579.72222222222</v>
      </c>
      <c r="Q33" s="55" t="n">
        <f aca="false">INDEX(Arch!$C$29:$E$29,Q$7)</f>
        <v>1579.72222222222</v>
      </c>
      <c r="R33" s="55" t="n">
        <f aca="false">INDEX(Arch!$C$29:$E$29,R$7)</f>
        <v>1579.72222222222</v>
      </c>
      <c r="S33" s="55" t="n">
        <f aca="false">INDEX(Arch!$C$29:$E$29,S$7)</f>
        <v>1579.72222222222</v>
      </c>
      <c r="T33" s="55" t="n">
        <f aca="false">INDEX(Arch!$C$29:$E$29,T$7)</f>
        <v>1579.72222222222</v>
      </c>
      <c r="U33" s="55" t="n">
        <f aca="false">INDEX(Arch!$C$29:$E$29,U$7)</f>
        <v>1579.72222222222</v>
      </c>
      <c r="V33" s="55" t="n">
        <f aca="false">INDEX(Arch!$C$29:$E$29,V$7)</f>
        <v>1579.72222222222</v>
      </c>
      <c r="W33" s="55" t="n">
        <f aca="false">INDEX(Arch!$C$29:$E$29,W$7)</f>
        <v>1579.72222222222</v>
      </c>
      <c r="X33" s="55" t="n">
        <f aca="false">INDEX(Arch!$C$29:$E$29,X$7)</f>
        <v>1579.72222222222</v>
      </c>
      <c r="Y33" s="55" t="n">
        <f aca="false">INDEX(Arch!$C$29:$E$29,Y$7)</f>
        <v>1579.72222222222</v>
      </c>
      <c r="Z33" s="55" t="n">
        <f aca="false">INDEX(Arch!$C$29:$E$29,Z$7)</f>
        <v>1579.72222222222</v>
      </c>
      <c r="AA33" s="55" t="n">
        <f aca="false">INDEX(Arch!$C$29:$E$29,AA$7)</f>
        <v>1579.72222222222</v>
      </c>
      <c r="AB33" s="55" t="n">
        <f aca="false">INDEX(Arch!$C$29:$E$29,AB$7)</f>
        <v>1579.72222222222</v>
      </c>
      <c r="AC33" s="55" t="n">
        <f aca="false">INDEX(Arch!$C$29:$E$29,AC$7)</f>
        <v>3950.92741935484</v>
      </c>
      <c r="AD33" s="55" t="n">
        <f aca="false">INDEX(Arch!$C$29:$E$29,AD$7)</f>
        <v>3950.92741935484</v>
      </c>
      <c r="AE33" s="55" t="n">
        <f aca="false">INDEX(Arch!$C$29:$E$29,AE$7)</f>
        <v>3950.92741935484</v>
      </c>
      <c r="AF33" s="55" t="n">
        <f aca="false">INDEX(Arch!$C$29:$E$29,AF$7)</f>
        <v>3950.92741935484</v>
      </c>
      <c r="AG33" s="55" t="n">
        <f aca="false">INDEX(Arch!$C$29:$E$29,AG$7)</f>
        <v>3950.92741935484</v>
      </c>
      <c r="AH33" s="55" t="n">
        <f aca="false">INDEX(Arch!$C$29:$E$29,AH$7)</f>
        <v>3950.92741935484</v>
      </c>
    </row>
    <row r="34" customFormat="false" ht="15" hidden="false" customHeight="false" outlineLevel="0" collapsed="false">
      <c r="A34" s="54" t="s">
        <v>697</v>
      </c>
      <c r="B34" s="54" t="s">
        <v>228</v>
      </c>
      <c r="C34" s="55" t="n">
        <f aca="false">INDEX(Arch!$C$25:$E$25,C$7)*C11</f>
        <v>3965</v>
      </c>
      <c r="D34" s="55" t="n">
        <f aca="false">INDEX(Arch!$C$25:$E$25,D$7)*D11</f>
        <v>3965</v>
      </c>
      <c r="E34" s="55" t="n">
        <f aca="false">INDEX(Arch!$C$25:$E$25,E$7)*E11</f>
        <v>3965</v>
      </c>
      <c r="F34" s="55" t="n">
        <f aca="false">INDEX(Arch!$C$25:$E$25,F$7)*F11</f>
        <v>3965</v>
      </c>
      <c r="G34" s="55" t="n">
        <f aca="false">INDEX(Arch!$C$25:$E$25,G$7)*G11</f>
        <v>3965</v>
      </c>
      <c r="H34" s="55" t="n">
        <f aca="false">INDEX(Arch!$C$25:$E$25,H$7)*H11</f>
        <v>3965</v>
      </c>
      <c r="I34" s="55" t="n">
        <f aca="false">INDEX(Arch!$C$25:$E$25,I$7)*I11</f>
        <v>3965</v>
      </c>
      <c r="J34" s="55" t="n">
        <f aca="false">INDEX(Arch!$C$25:$E$25,J$7)*J11</f>
        <v>3965</v>
      </c>
      <c r="K34" s="55" t="n">
        <f aca="false">INDEX(Arch!$C$25:$E$25,K$7)*K11</f>
        <v>3965</v>
      </c>
      <c r="L34" s="55" t="n">
        <f aca="false">INDEX(Arch!$C$25:$E$25,L$7)*L11</f>
        <v>3965</v>
      </c>
      <c r="M34" s="55" t="n">
        <f aca="false">INDEX(Arch!$C$25:$E$25,M$7)*M11</f>
        <v>3965</v>
      </c>
      <c r="N34" s="55" t="n">
        <f aca="false">INDEX(Arch!$C$25:$E$25,N$7)*N11</f>
        <v>3965</v>
      </c>
      <c r="O34" s="55" t="n">
        <f aca="false">INDEX(Arch!$C$25:$E$25,O$7)*O11</f>
        <v>3965</v>
      </c>
      <c r="P34" s="55" t="n">
        <f aca="false">INDEX(Arch!$C$25:$E$25,P$7)*P11</f>
        <v>3965</v>
      </c>
      <c r="Q34" s="55" t="n">
        <f aca="false">INDEX(Arch!$C$25:$E$25,Q$7)*Q11</f>
        <v>3965</v>
      </c>
      <c r="R34" s="55" t="n">
        <f aca="false">INDEX(Arch!$C$25:$E$25,R$7)*R11</f>
        <v>3965</v>
      </c>
      <c r="S34" s="55" t="n">
        <f aca="false">INDEX(Arch!$C$25:$E$25,S$7)*S11</f>
        <v>3965</v>
      </c>
      <c r="T34" s="55" t="n">
        <f aca="false">INDEX(Arch!$C$25:$E$25,T$7)*T11</f>
        <v>3965</v>
      </c>
      <c r="U34" s="55" t="n">
        <f aca="false">INDEX(Arch!$C$25:$E$25,U$7)*U11</f>
        <v>3965</v>
      </c>
      <c r="V34" s="55" t="n">
        <f aca="false">INDEX(Arch!$C$25:$E$25,V$7)*V11</f>
        <v>3965</v>
      </c>
      <c r="W34" s="55" t="n">
        <f aca="false">INDEX(Arch!$C$25:$E$25,W$7)*W11</f>
        <v>3965</v>
      </c>
      <c r="X34" s="55" t="n">
        <f aca="false">INDEX(Arch!$C$25:$E$25,X$7)*X11</f>
        <v>3965</v>
      </c>
      <c r="Y34" s="55" t="n">
        <f aca="false">INDEX(Arch!$C$25:$E$25,Y$7)*Y11</f>
        <v>3965</v>
      </c>
      <c r="Z34" s="55" t="n">
        <f aca="false">INDEX(Arch!$C$25:$E$25,Z$7)*Z11</f>
        <v>3965</v>
      </c>
      <c r="AA34" s="55" t="n">
        <f aca="false">INDEX(Arch!$C$25:$E$25,AA$7)*AA11</f>
        <v>3965</v>
      </c>
      <c r="AB34" s="55" t="n">
        <f aca="false">INDEX(Arch!$C$25:$E$25,AB$7)*AB11</f>
        <v>3965</v>
      </c>
      <c r="AC34" s="116" t="n">
        <f aca="false">Arch!$E$21</f>
        <v>14976</v>
      </c>
      <c r="AD34" s="116" t="n">
        <f aca="false">Arch!$E$21</f>
        <v>14976</v>
      </c>
      <c r="AE34" s="116" t="n">
        <f aca="false">Arch!$E$22</f>
        <v>57600</v>
      </c>
      <c r="AF34" s="116" t="n">
        <f aca="false">Arch!$E$22</f>
        <v>57600</v>
      </c>
      <c r="AG34" s="116" t="n">
        <f aca="false">Arch!$E$23</f>
        <v>204800</v>
      </c>
      <c r="AH34" s="116" t="n">
        <f aca="false">Arch!$E$23</f>
        <v>204800</v>
      </c>
    </row>
    <row r="35" customFormat="false" ht="15" hidden="false" customHeight="false" outlineLevel="0" collapsed="false">
      <c r="A35" s="53" t="s">
        <v>442</v>
      </c>
      <c r="B35" s="54" t="s">
        <v>272</v>
      </c>
      <c r="C35" s="55" t="n">
        <f aca="false">INDEX(Arch!$C$30:$E$30,C$7)</f>
        <v>15990784</v>
      </c>
      <c r="D35" s="55" t="n">
        <f aca="false">INDEX(Arch!$C$30:$E$30,D$7)</f>
        <v>15990784</v>
      </c>
      <c r="E35" s="55" t="n">
        <f aca="false">INDEX(Arch!$C$30:$E$30,E$7)</f>
        <v>15990784</v>
      </c>
      <c r="F35" s="55" t="n">
        <f aca="false">INDEX(Arch!$C$30:$E$30,F$7)</f>
        <v>15990784</v>
      </c>
      <c r="G35" s="55" t="n">
        <f aca="false">INDEX(Arch!$C$30:$E$30,G$7)</f>
        <v>15990784</v>
      </c>
      <c r="H35" s="55" t="n">
        <f aca="false">INDEX(Arch!$C$30:$E$30,H$7)</f>
        <v>15990784</v>
      </c>
      <c r="I35" s="55" t="n">
        <f aca="false">INDEX(Arch!$C$30:$E$30,I$7)</f>
        <v>15990784</v>
      </c>
      <c r="J35" s="55" t="n">
        <f aca="false">INDEX(Arch!$C$30:$E$30,J$7)</f>
        <v>15990784</v>
      </c>
      <c r="K35" s="55" t="n">
        <f aca="false">INDEX(Arch!$C$30:$E$30,K$7)</f>
        <v>15990784</v>
      </c>
      <c r="L35" s="55" t="n">
        <f aca="false">INDEX(Arch!$C$30:$E$30,L$7)</f>
        <v>15990784</v>
      </c>
      <c r="M35" s="55" t="n">
        <f aca="false">INDEX(Arch!$C$30:$E$30,M$7)</f>
        <v>15990784</v>
      </c>
      <c r="N35" s="55" t="n">
        <f aca="false">INDEX(Arch!$C$30:$E$30,N$7)</f>
        <v>15990784</v>
      </c>
      <c r="O35" s="55" t="n">
        <f aca="false">INDEX(Arch!$C$30:$E$30,O$7)</f>
        <v>15990784</v>
      </c>
      <c r="P35" s="55" t="n">
        <f aca="false">INDEX(Arch!$C$30:$E$30,P$7)</f>
        <v>15990784</v>
      </c>
      <c r="Q35" s="55" t="n">
        <f aca="false">INDEX(Arch!$C$30:$E$30,Q$7)</f>
        <v>15990784</v>
      </c>
      <c r="R35" s="55" t="n">
        <f aca="false">INDEX(Arch!$C$30:$E$30,R$7)</f>
        <v>15990784</v>
      </c>
      <c r="S35" s="55" t="n">
        <f aca="false">INDEX(Arch!$C$30:$E$30,S$7)</f>
        <v>15990784</v>
      </c>
      <c r="T35" s="55" t="n">
        <f aca="false">INDEX(Arch!$C$30:$E$30,T$7)</f>
        <v>15990784</v>
      </c>
      <c r="U35" s="55" t="n">
        <f aca="false">INDEX(Arch!$C$30:$E$30,U$7)</f>
        <v>15990784</v>
      </c>
      <c r="V35" s="55" t="n">
        <f aca="false">INDEX(Arch!$C$30:$E$30,V$7)</f>
        <v>15990784</v>
      </c>
      <c r="W35" s="55" t="n">
        <f aca="false">INDEX(Arch!$C$30:$E$30,W$7)</f>
        <v>15990784</v>
      </c>
      <c r="X35" s="55" t="n">
        <f aca="false">INDEX(Arch!$C$30:$E$30,X$7)</f>
        <v>15990784</v>
      </c>
      <c r="Y35" s="55" t="n">
        <f aca="false">INDEX(Arch!$C$30:$E$30,Y$7)</f>
        <v>15990784</v>
      </c>
      <c r="Z35" s="55" t="n">
        <f aca="false">INDEX(Arch!$C$30:$E$30,Z$7)</f>
        <v>15990784</v>
      </c>
      <c r="AA35" s="55" t="n">
        <f aca="false">INDEX(Arch!$C$30:$E$30,AA$7)</f>
        <v>15990784</v>
      </c>
      <c r="AB35" s="55" t="n">
        <f aca="false">INDEX(Arch!$C$30:$E$30,AB$7)</f>
        <v>15990784</v>
      </c>
      <c r="AC35" s="55" t="n">
        <f aca="false">INDEX(Arch!$C$30:$E$30,AC$7)</f>
        <v>4915200</v>
      </c>
      <c r="AD35" s="55" t="n">
        <f aca="false">INDEX(Arch!$C$30:$E$30,AD$7)</f>
        <v>4915200</v>
      </c>
      <c r="AE35" s="55" t="n">
        <f aca="false">INDEX(Arch!$C$30:$E$30,AE$7)</f>
        <v>4915200</v>
      </c>
      <c r="AF35" s="55" t="n">
        <f aca="false">INDEX(Arch!$C$30:$E$30,AF$7)</f>
        <v>4915200</v>
      </c>
      <c r="AG35" s="55" t="n">
        <f aca="false">INDEX(Arch!$C$30:$E$30,AG$7)</f>
        <v>4915200</v>
      </c>
      <c r="AH35" s="55" t="n">
        <f aca="false">INDEX(Arch!$C$30:$E$30,AH$7)</f>
        <v>4915200</v>
      </c>
    </row>
    <row r="36" customFormat="false" ht="15" hidden="false" customHeight="false" outlineLevel="0" collapsed="false">
      <c r="A36" s="53" t="s">
        <v>246</v>
      </c>
      <c r="B36" s="54" t="s">
        <v>71</v>
      </c>
      <c r="C36" s="57" t="n">
        <f aca="false">INDEX(Arch!$C$16:$E$16,C$7)</f>
        <v>0.492</v>
      </c>
      <c r="D36" s="57" t="n">
        <f aca="false">INDEX(Arch!$C$16:$E$16,D$7)</f>
        <v>0.492</v>
      </c>
      <c r="E36" s="57" t="n">
        <f aca="false">INDEX(Arch!$C$16:$E$16,E$7)</f>
        <v>0.492</v>
      </c>
      <c r="F36" s="57" t="n">
        <f aca="false">INDEX(Arch!$C$16:$E$16,F$7)</f>
        <v>0.492</v>
      </c>
      <c r="G36" s="57" t="n">
        <f aca="false">INDEX(Arch!$C$16:$E$16,G$7)</f>
        <v>0.492</v>
      </c>
      <c r="H36" s="57" t="n">
        <f aca="false">INDEX(Arch!$C$16:$E$16,H$7)</f>
        <v>0.492</v>
      </c>
      <c r="I36" s="57" t="n">
        <f aca="false">INDEX(Arch!$C$16:$E$16,I$7)</f>
        <v>0.492</v>
      </c>
      <c r="J36" s="57" t="n">
        <f aca="false">INDEX(Arch!$C$16:$E$16,J$7)</f>
        <v>0.492</v>
      </c>
      <c r="K36" s="57" t="n">
        <f aca="false">INDEX(Arch!$C$16:$E$16,K$7)</f>
        <v>0.492</v>
      </c>
      <c r="L36" s="57" t="n">
        <f aca="false">INDEX(Arch!$C$16:$E$16,L$7)</f>
        <v>0.492</v>
      </c>
      <c r="M36" s="57" t="n">
        <f aca="false">INDEX(Arch!$C$16:$E$16,M$7)</f>
        <v>0.492</v>
      </c>
      <c r="N36" s="57" t="n">
        <f aca="false">INDEX(Arch!$C$16:$E$16,N$7)</f>
        <v>0.492</v>
      </c>
      <c r="O36" s="57" t="n">
        <f aca="false">INDEX(Arch!$C$16:$E$16,O$7)</f>
        <v>0.492</v>
      </c>
      <c r="P36" s="57" t="n">
        <f aca="false">INDEX(Arch!$C$16:$E$16,P$7)</f>
        <v>0.492</v>
      </c>
      <c r="Q36" s="57" t="n">
        <f aca="false">INDEX(Arch!$C$16:$E$16,Q$7)</f>
        <v>0.492</v>
      </c>
      <c r="R36" s="57" t="n">
        <f aca="false">INDEX(Arch!$C$16:$E$16,R$7)</f>
        <v>0.492</v>
      </c>
      <c r="S36" s="57" t="n">
        <f aca="false">INDEX(Arch!$C$16:$E$16,S$7)</f>
        <v>0.492</v>
      </c>
      <c r="T36" s="57" t="n">
        <f aca="false">INDEX(Arch!$C$16:$E$16,T$7)</f>
        <v>0.492</v>
      </c>
      <c r="U36" s="57" t="n">
        <f aca="false">INDEX(Arch!$C$16:$E$16,U$7)</f>
        <v>0.492</v>
      </c>
      <c r="V36" s="57" t="n">
        <f aca="false">INDEX(Arch!$C$16:$E$16,V$7)</f>
        <v>0.492</v>
      </c>
      <c r="W36" s="57" t="n">
        <f aca="false">INDEX(Arch!$C$16:$E$16,W$7)</f>
        <v>0.492</v>
      </c>
      <c r="X36" s="57" t="n">
        <f aca="false">INDEX(Arch!$C$16:$E$16,X$7)</f>
        <v>0.492</v>
      </c>
      <c r="Y36" s="57" t="n">
        <f aca="false">INDEX(Arch!$C$16:$E$16,Y$7)</f>
        <v>0.492</v>
      </c>
      <c r="Z36" s="57" t="n">
        <f aca="false">INDEX(Arch!$C$16:$E$16,Z$7)</f>
        <v>0.492</v>
      </c>
      <c r="AA36" s="57" t="n">
        <f aca="false">INDEX(Arch!$C$16:$E$16,AA$7)</f>
        <v>0.492</v>
      </c>
      <c r="AB36" s="57" t="n">
        <f aca="false">INDEX(Arch!$C$16:$E$16,AB$7)</f>
        <v>0.492</v>
      </c>
      <c r="AC36" s="57" t="n">
        <f aca="false">INDEX(Arch!$C$16:$E$16,AC$7)</f>
        <v>1</v>
      </c>
      <c r="AD36" s="57" t="n">
        <f aca="false">INDEX(Arch!$C$16:$E$16,AD$7)</f>
        <v>1</v>
      </c>
      <c r="AE36" s="57" t="n">
        <f aca="false">INDEX(Arch!$C$16:$E$16,AE$7)</f>
        <v>1</v>
      </c>
      <c r="AF36" s="57" t="n">
        <f aca="false">INDEX(Arch!$C$16:$E$16,AF$7)</f>
        <v>1</v>
      </c>
      <c r="AG36" s="57" t="n">
        <f aca="false">INDEX(Arch!$C$16:$E$16,AG$7)</f>
        <v>1</v>
      </c>
      <c r="AH36" s="57" t="n">
        <f aca="false">INDEX(Arch!$C$16:$E$16,AH$7)</f>
        <v>1</v>
      </c>
    </row>
    <row r="37" customFormat="false" ht="15" hidden="false" customHeight="false" outlineLevel="0" collapsed="false">
      <c r="A37" s="53" t="s">
        <v>698</v>
      </c>
      <c r="B37" s="54" t="s">
        <v>249</v>
      </c>
      <c r="C37" s="55" t="n">
        <f aca="false">INDEX(Arch!$C$17:$E$17,C$7)</f>
        <v>4224</v>
      </c>
      <c r="D37" s="55" t="n">
        <f aca="false">INDEX(Arch!$C$17:$E$17,D$7)</f>
        <v>4224</v>
      </c>
      <c r="E37" s="55" t="n">
        <f aca="false">INDEX(Arch!$C$17:$E$17,E$7)</f>
        <v>4224</v>
      </c>
      <c r="F37" s="55" t="n">
        <f aca="false">INDEX(Arch!$C$17:$E$17,F$7)</f>
        <v>4224</v>
      </c>
      <c r="G37" s="55" t="n">
        <f aca="false">INDEX(Arch!$C$17:$E$17,G$7)</f>
        <v>4224</v>
      </c>
      <c r="H37" s="55" t="n">
        <f aca="false">INDEX(Arch!$C$17:$E$17,H$7)</f>
        <v>4224</v>
      </c>
      <c r="I37" s="55" t="n">
        <f aca="false">INDEX(Arch!$C$17:$E$17,I$7)</f>
        <v>4224</v>
      </c>
      <c r="J37" s="55" t="n">
        <f aca="false">INDEX(Arch!$C$17:$E$17,J$7)</f>
        <v>4224</v>
      </c>
      <c r="K37" s="55" t="n">
        <f aca="false">INDEX(Arch!$C$17:$E$17,K$7)</f>
        <v>4224</v>
      </c>
      <c r="L37" s="55" t="n">
        <f aca="false">INDEX(Arch!$C$17:$E$17,L$7)</f>
        <v>4224</v>
      </c>
      <c r="M37" s="55" t="n">
        <f aca="false">INDEX(Arch!$C$17:$E$17,M$7)</f>
        <v>4224</v>
      </c>
      <c r="N37" s="55" t="n">
        <f aca="false">INDEX(Arch!$C$17:$E$17,N$7)</f>
        <v>4224</v>
      </c>
      <c r="O37" s="55" t="n">
        <f aca="false">INDEX(Arch!$C$17:$E$17,O$7)</f>
        <v>4224</v>
      </c>
      <c r="P37" s="55" t="n">
        <f aca="false">INDEX(Arch!$C$17:$E$17,P$7)</f>
        <v>4224</v>
      </c>
      <c r="Q37" s="55" t="n">
        <f aca="false">INDEX(Arch!$C$17:$E$17,Q$7)</f>
        <v>4224</v>
      </c>
      <c r="R37" s="55" t="n">
        <f aca="false">INDEX(Arch!$C$17:$E$17,R$7)</f>
        <v>4224</v>
      </c>
      <c r="S37" s="55" t="n">
        <f aca="false">INDEX(Arch!$C$17:$E$17,S$7)</f>
        <v>4224</v>
      </c>
      <c r="T37" s="55" t="n">
        <f aca="false">INDEX(Arch!$C$17:$E$17,T$7)</f>
        <v>4224</v>
      </c>
      <c r="U37" s="55" t="n">
        <f aca="false">INDEX(Arch!$C$17:$E$17,U$7)</f>
        <v>4224</v>
      </c>
      <c r="V37" s="55" t="n">
        <f aca="false">INDEX(Arch!$C$17:$E$17,V$7)</f>
        <v>4224</v>
      </c>
      <c r="W37" s="55" t="n">
        <f aca="false">INDEX(Arch!$C$17:$E$17,W$7)</f>
        <v>4224</v>
      </c>
      <c r="X37" s="55" t="n">
        <f aca="false">INDEX(Arch!$C$17:$E$17,X$7)</f>
        <v>4224</v>
      </c>
      <c r="Y37" s="55" t="n">
        <f aca="false">INDEX(Arch!$C$17:$E$17,Y$7)</f>
        <v>4224</v>
      </c>
      <c r="Z37" s="55" t="n">
        <f aca="false">INDEX(Arch!$C$17:$E$17,Z$7)</f>
        <v>4224</v>
      </c>
      <c r="AA37" s="55" t="n">
        <f aca="false">INDEX(Arch!$C$17:$E$17,AA$7)</f>
        <v>4224</v>
      </c>
      <c r="AB37" s="55" t="n">
        <f aca="false">INDEX(Arch!$C$17:$E$17,AB$7)</f>
        <v>4224</v>
      </c>
      <c r="AC37" s="55" t="n">
        <f aca="false">INDEX(Arch!$C$17:$E$17,AC$7)</f>
        <v>0</v>
      </c>
      <c r="AD37" s="55" t="n">
        <f aca="false">INDEX(Arch!$C$17:$E$17,AD$7)</f>
        <v>0</v>
      </c>
      <c r="AE37" s="55" t="n">
        <f aca="false">INDEX(Arch!$C$17:$E$17,AE$7)</f>
        <v>0</v>
      </c>
      <c r="AF37" s="55" t="n">
        <f aca="false">INDEX(Arch!$C$17:$E$17,AF$7)</f>
        <v>0</v>
      </c>
      <c r="AG37" s="55" t="n">
        <f aca="false">INDEX(Arch!$C$17:$E$17,AG$7)</f>
        <v>0</v>
      </c>
      <c r="AH37" s="55" t="n">
        <f aca="false">INDEX(Arch!$C$17:$E$17,AH$7)</f>
        <v>0</v>
      </c>
    </row>
    <row r="38" customFormat="false" ht="15" hidden="false" customHeight="false" outlineLevel="0" collapsed="false">
      <c r="A38" s="53" t="s">
        <v>252</v>
      </c>
      <c r="B38" s="54" t="s">
        <v>75</v>
      </c>
      <c r="C38" s="55" t="n">
        <f aca="false">INDEX(Arch!$C$18:$E$18,C$7)</f>
        <v>128</v>
      </c>
      <c r="D38" s="55" t="n">
        <f aca="false">INDEX(Arch!$C$18:$E$18,D$7)</f>
        <v>128</v>
      </c>
      <c r="E38" s="55" t="n">
        <f aca="false">INDEX(Arch!$C$18:$E$18,E$7)</f>
        <v>128</v>
      </c>
      <c r="F38" s="55" t="n">
        <f aca="false">INDEX(Arch!$C$18:$E$18,F$7)</f>
        <v>128</v>
      </c>
      <c r="G38" s="55" t="n">
        <f aca="false">INDEX(Arch!$C$18:$E$18,G$7)</f>
        <v>128</v>
      </c>
      <c r="H38" s="55" t="n">
        <f aca="false">INDEX(Arch!$C$18:$E$18,H$7)</f>
        <v>128</v>
      </c>
      <c r="I38" s="55" t="n">
        <f aca="false">INDEX(Arch!$C$18:$E$18,I$7)</f>
        <v>128</v>
      </c>
      <c r="J38" s="55" t="n">
        <f aca="false">INDEX(Arch!$C$18:$E$18,J$7)</f>
        <v>128</v>
      </c>
      <c r="K38" s="55" t="n">
        <f aca="false">INDEX(Arch!$C$18:$E$18,K$7)</f>
        <v>128</v>
      </c>
      <c r="L38" s="55" t="n">
        <f aca="false">INDEX(Arch!$C$18:$E$18,L$7)</f>
        <v>128</v>
      </c>
      <c r="M38" s="55" t="n">
        <f aca="false">INDEX(Arch!$C$18:$E$18,M$7)</f>
        <v>128</v>
      </c>
      <c r="N38" s="55" t="n">
        <f aca="false">INDEX(Arch!$C$18:$E$18,N$7)</f>
        <v>128</v>
      </c>
      <c r="O38" s="55" t="n">
        <f aca="false">INDEX(Arch!$C$18:$E$18,O$7)</f>
        <v>128</v>
      </c>
      <c r="P38" s="55" t="n">
        <f aca="false">INDEX(Arch!$C$18:$E$18,P$7)</f>
        <v>128</v>
      </c>
      <c r="Q38" s="55" t="n">
        <f aca="false">INDEX(Arch!$C$18:$E$18,Q$7)</f>
        <v>128</v>
      </c>
      <c r="R38" s="55" t="n">
        <f aca="false">INDEX(Arch!$C$18:$E$18,R$7)</f>
        <v>128</v>
      </c>
      <c r="S38" s="55" t="n">
        <f aca="false">INDEX(Arch!$C$18:$E$18,S$7)</f>
        <v>128</v>
      </c>
      <c r="T38" s="55" t="n">
        <f aca="false">INDEX(Arch!$C$18:$E$18,T$7)</f>
        <v>128</v>
      </c>
      <c r="U38" s="55" t="n">
        <f aca="false">INDEX(Arch!$C$18:$E$18,U$7)</f>
        <v>128</v>
      </c>
      <c r="V38" s="55" t="n">
        <f aca="false">INDEX(Arch!$C$18:$E$18,V$7)</f>
        <v>128</v>
      </c>
      <c r="W38" s="55" t="n">
        <f aca="false">INDEX(Arch!$C$18:$E$18,W$7)</f>
        <v>128</v>
      </c>
      <c r="X38" s="55" t="n">
        <f aca="false">INDEX(Arch!$C$18:$E$18,X$7)</f>
        <v>128</v>
      </c>
      <c r="Y38" s="55" t="n">
        <f aca="false">INDEX(Arch!$C$18:$E$18,Y$7)</f>
        <v>128</v>
      </c>
      <c r="Z38" s="55" t="n">
        <f aca="false">INDEX(Arch!$C$18:$E$18,Z$7)</f>
        <v>128</v>
      </c>
      <c r="AA38" s="55" t="n">
        <f aca="false">INDEX(Arch!$C$18:$E$18,AA$7)</f>
        <v>128</v>
      </c>
      <c r="AB38" s="55" t="n">
        <f aca="false">INDEX(Arch!$C$18:$E$18,AB$7)</f>
        <v>128</v>
      </c>
      <c r="AC38" s="55" t="n">
        <f aca="false">INDEX(Arch!$C$18:$E$18,AC$7)</f>
        <v>1</v>
      </c>
      <c r="AD38" s="55" t="n">
        <f aca="false">INDEX(Arch!$C$18:$E$18,AD$7)</f>
        <v>1</v>
      </c>
      <c r="AE38" s="55" t="n">
        <f aca="false">INDEX(Arch!$C$18:$E$18,AE$7)</f>
        <v>1</v>
      </c>
      <c r="AF38" s="55" t="n">
        <f aca="false">INDEX(Arch!$C$18:$E$18,AF$7)</f>
        <v>1</v>
      </c>
      <c r="AG38" s="55" t="n">
        <f aca="false">INDEX(Arch!$C$18:$E$18,AG$7)</f>
        <v>1</v>
      </c>
      <c r="AH38" s="55" t="n">
        <f aca="false">INDEX(Arch!$C$18:$E$18,AH$7)</f>
        <v>1</v>
      </c>
    </row>
    <row r="39" customFormat="false" ht="15" hidden="false" customHeight="false" outlineLevel="0" collapsed="false">
      <c r="A39" s="53" t="s">
        <v>254</v>
      </c>
      <c r="B39" s="54" t="s">
        <v>249</v>
      </c>
      <c r="C39" s="55" t="n">
        <f aca="false">INDEX(Arch!$C$19:$E$19,C$7)</f>
        <v>128</v>
      </c>
      <c r="D39" s="55" t="n">
        <f aca="false">INDEX(Arch!$C$19:$E$19,D$7)</f>
        <v>128</v>
      </c>
      <c r="E39" s="55" t="n">
        <f aca="false">INDEX(Arch!$C$19:$E$19,E$7)</f>
        <v>128</v>
      </c>
      <c r="F39" s="55" t="n">
        <f aca="false">INDEX(Arch!$C$19:$E$19,F$7)</f>
        <v>128</v>
      </c>
      <c r="G39" s="55" t="n">
        <f aca="false">INDEX(Arch!$C$19:$E$19,G$7)</f>
        <v>128</v>
      </c>
      <c r="H39" s="55" t="n">
        <f aca="false">INDEX(Arch!$C$19:$E$19,H$7)</f>
        <v>128</v>
      </c>
      <c r="I39" s="55" t="n">
        <f aca="false">INDEX(Arch!$C$19:$E$19,I$7)</f>
        <v>128</v>
      </c>
      <c r="J39" s="55" t="n">
        <f aca="false">INDEX(Arch!$C$19:$E$19,J$7)</f>
        <v>128</v>
      </c>
      <c r="K39" s="55" t="n">
        <f aca="false">INDEX(Arch!$C$19:$E$19,K$7)</f>
        <v>128</v>
      </c>
      <c r="L39" s="55" t="n">
        <f aca="false">INDEX(Arch!$C$19:$E$19,L$7)</f>
        <v>128</v>
      </c>
      <c r="M39" s="55" t="n">
        <f aca="false">INDEX(Arch!$C$19:$E$19,M$7)</f>
        <v>128</v>
      </c>
      <c r="N39" s="55" t="n">
        <f aca="false">INDEX(Arch!$C$19:$E$19,N$7)</f>
        <v>128</v>
      </c>
      <c r="O39" s="55" t="n">
        <f aca="false">INDEX(Arch!$C$19:$E$19,O$7)</f>
        <v>128</v>
      </c>
      <c r="P39" s="55" t="n">
        <f aca="false">INDEX(Arch!$C$19:$E$19,P$7)</f>
        <v>128</v>
      </c>
      <c r="Q39" s="55" t="n">
        <f aca="false">INDEX(Arch!$C$19:$E$19,Q$7)</f>
        <v>128</v>
      </c>
      <c r="R39" s="55" t="n">
        <f aca="false">INDEX(Arch!$C$19:$E$19,R$7)</f>
        <v>128</v>
      </c>
      <c r="S39" s="55" t="n">
        <f aca="false">INDEX(Arch!$C$19:$E$19,S$7)</f>
        <v>128</v>
      </c>
      <c r="T39" s="55" t="n">
        <f aca="false">INDEX(Arch!$C$19:$E$19,T$7)</f>
        <v>128</v>
      </c>
      <c r="U39" s="55" t="n">
        <f aca="false">INDEX(Arch!$C$19:$E$19,U$7)</f>
        <v>128</v>
      </c>
      <c r="V39" s="55" t="n">
        <f aca="false">INDEX(Arch!$C$19:$E$19,V$7)</f>
        <v>128</v>
      </c>
      <c r="W39" s="55" t="n">
        <f aca="false">INDEX(Arch!$C$19:$E$19,W$7)</f>
        <v>128</v>
      </c>
      <c r="X39" s="55" t="n">
        <f aca="false">INDEX(Arch!$C$19:$E$19,X$7)</f>
        <v>128</v>
      </c>
      <c r="Y39" s="55" t="n">
        <f aca="false">INDEX(Arch!$C$19:$E$19,Y$7)</f>
        <v>128</v>
      </c>
      <c r="Z39" s="55" t="n">
        <f aca="false">INDEX(Arch!$C$19:$E$19,Z$7)</f>
        <v>128</v>
      </c>
      <c r="AA39" s="55" t="n">
        <f aca="false">INDEX(Arch!$C$19:$E$19,AA$7)</f>
        <v>128</v>
      </c>
      <c r="AB39" s="55" t="n">
        <f aca="false">INDEX(Arch!$C$19:$E$19,AB$7)</f>
        <v>128</v>
      </c>
      <c r="AC39" s="55" t="n">
        <f aca="false">INDEX(Arch!$C$19:$E$19,AC$7)</f>
        <v>0</v>
      </c>
      <c r="AD39" s="55" t="n">
        <f aca="false">INDEX(Arch!$C$19:$E$19,AD$7)</f>
        <v>0</v>
      </c>
      <c r="AE39" s="55" t="n">
        <f aca="false">INDEX(Arch!$C$19:$E$19,AE$7)</f>
        <v>0</v>
      </c>
      <c r="AF39" s="55" t="n">
        <f aca="false">INDEX(Arch!$C$19:$E$19,AF$7)</f>
        <v>0</v>
      </c>
      <c r="AG39" s="55" t="n">
        <f aca="false">INDEX(Arch!$C$19:$E$19,AG$7)</f>
        <v>0</v>
      </c>
      <c r="AH39" s="55" t="n">
        <f aca="false">INDEX(Arch!$C$19:$E$19,AH$7)</f>
        <v>0</v>
      </c>
    </row>
    <row r="40" customFormat="false" ht="15" hidden="false" customHeight="false" outlineLevel="0" collapsed="false">
      <c r="A40" s="68" t="s">
        <v>699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</row>
    <row r="41" customFormat="false" ht="15" hidden="false" customHeight="false" outlineLevel="0" collapsed="false">
      <c r="A41" s="54" t="s">
        <v>329</v>
      </c>
      <c r="B41" s="54" t="s">
        <v>330</v>
      </c>
      <c r="C41" s="55" t="n">
        <f aca="false">INDEX(Serving!$C$21:$E$21,C$7)</f>
        <v>65</v>
      </c>
      <c r="D41" s="55" t="n">
        <f aca="false">INDEX(Serving!$C$21:$E$21,D$7)</f>
        <v>65</v>
      </c>
      <c r="E41" s="55" t="n">
        <f aca="false">INDEX(Serving!$C$21:$E$21,E$7)</f>
        <v>65</v>
      </c>
      <c r="F41" s="55" t="n">
        <f aca="false">INDEX(Serving!$C$21:$E$21,F$7)</f>
        <v>65</v>
      </c>
      <c r="G41" s="55" t="n">
        <f aca="false">INDEX(Serving!$C$21:$E$21,G$7)</f>
        <v>65</v>
      </c>
      <c r="H41" s="55" t="n">
        <f aca="false">INDEX(Serving!$C$21:$E$21,H$7)</f>
        <v>65</v>
      </c>
      <c r="I41" s="55" t="n">
        <f aca="false">INDEX(Serving!$C$21:$E$21,I$7)</f>
        <v>65</v>
      </c>
      <c r="J41" s="55" t="n">
        <f aca="false">INDEX(Serving!$C$21:$E$21,J$7)</f>
        <v>65</v>
      </c>
      <c r="K41" s="55" t="n">
        <f aca="false">INDEX(Serving!$C$21:$E$21,K$7)</f>
        <v>65</v>
      </c>
      <c r="L41" s="55" t="n">
        <f aca="false">INDEX(Serving!$C$21:$E$21,L$7)</f>
        <v>65</v>
      </c>
      <c r="M41" s="55" t="n">
        <f aca="false">INDEX(Serving!$C$21:$E$21,M$7)</f>
        <v>65</v>
      </c>
      <c r="N41" s="55" t="n">
        <f aca="false">INDEX(Serving!$C$21:$E$21,N$7)</f>
        <v>65</v>
      </c>
      <c r="O41" s="117" t="n">
        <v>40</v>
      </c>
      <c r="P41" s="117" t="n">
        <v>40</v>
      </c>
      <c r="Q41" s="117" t="n">
        <v>100</v>
      </c>
      <c r="R41" s="117" t="n">
        <v>100</v>
      </c>
      <c r="S41" s="55" t="n">
        <f aca="false">INDEX(Serving!$C$21:$E$21,S$7)</f>
        <v>65</v>
      </c>
      <c r="T41" s="55" t="n">
        <f aca="false">INDEX(Serving!$C$21:$E$21,T$7)</f>
        <v>65</v>
      </c>
      <c r="U41" s="55" t="n">
        <f aca="false">INDEX(Serving!$C$21:$E$21,U$7)</f>
        <v>65</v>
      </c>
      <c r="V41" s="55" t="n">
        <f aca="false">INDEX(Serving!$C$21:$E$21,V$7)</f>
        <v>65</v>
      </c>
      <c r="W41" s="55" t="n">
        <f aca="false">INDEX(Serving!$C$21:$E$21,W$7)</f>
        <v>65</v>
      </c>
      <c r="X41" s="55" t="n">
        <f aca="false">INDEX(Serving!$C$21:$E$21,X$7)</f>
        <v>65</v>
      </c>
      <c r="Y41" s="55" t="n">
        <f aca="false">INDEX(Serving!$C$21:$E$21,Y$7)</f>
        <v>65</v>
      </c>
      <c r="Z41" s="55" t="n">
        <f aca="false">INDEX(Serving!$C$21:$E$21,Z$7)</f>
        <v>65</v>
      </c>
      <c r="AA41" s="55" t="n">
        <f aca="false">INDEX(Serving!$C$21:$E$21,AA$7)</f>
        <v>65</v>
      </c>
      <c r="AB41" s="55" t="n">
        <f aca="false">INDEX(Serving!$C$21:$E$21,AB$7)</f>
        <v>65</v>
      </c>
      <c r="AC41" s="55" t="n">
        <f aca="false">INDEX(Serving!$C$21:$E$21,AC$7)</f>
        <v>55</v>
      </c>
      <c r="AD41" s="55" t="n">
        <f aca="false">INDEX(Serving!$C$21:$E$21,AD$7)</f>
        <v>55</v>
      </c>
      <c r="AE41" s="55" t="n">
        <f aca="false">INDEX(Serving!$C$21:$E$21,AE$7)</f>
        <v>55</v>
      </c>
      <c r="AF41" s="55" t="n">
        <f aca="false">INDEX(Serving!$C$21:$E$21,AF$7)</f>
        <v>55</v>
      </c>
      <c r="AG41" s="55" t="n">
        <f aca="false">INDEX(Serving!$C$21:$E$21,AG$7)</f>
        <v>55</v>
      </c>
      <c r="AH41" s="55" t="n">
        <f aca="false">INDEX(Serving!$C$21:$E$21,AH$7)</f>
        <v>55</v>
      </c>
    </row>
    <row r="42" customFormat="false" ht="15" hidden="false" customHeight="false" outlineLevel="0" collapsed="false">
      <c r="A42" s="54" t="s">
        <v>700</v>
      </c>
      <c r="B42" s="54" t="s">
        <v>333</v>
      </c>
      <c r="C42" s="101" t="n">
        <f aca="false">INDEX(Serving!$C$22:$E$22,C$7)</f>
        <v>3</v>
      </c>
      <c r="D42" s="101" t="n">
        <f aca="false">INDEX(Serving!$C$22:$E$22,D$7)</f>
        <v>3</v>
      </c>
      <c r="E42" s="101" t="n">
        <f aca="false">INDEX(Serving!$C$22:$E$22,E$7)</f>
        <v>3</v>
      </c>
      <c r="F42" s="101" t="n">
        <f aca="false">INDEX(Serving!$C$22:$E$22,F$7)</f>
        <v>3</v>
      </c>
      <c r="G42" s="101" t="n">
        <f aca="false">INDEX(Serving!$C$22:$E$22,G$7)</f>
        <v>3</v>
      </c>
      <c r="H42" s="101" t="n">
        <f aca="false">INDEX(Serving!$C$22:$E$22,H$7)</f>
        <v>3</v>
      </c>
      <c r="I42" s="101" t="n">
        <f aca="false">INDEX(Serving!$C$22:$E$22,I$7)</f>
        <v>3</v>
      </c>
      <c r="J42" s="101" t="n">
        <f aca="false">INDEX(Serving!$C$22:$E$22,J$7)</f>
        <v>3</v>
      </c>
      <c r="K42" s="101" t="n">
        <f aca="false">INDEX(Serving!$C$22:$E$22,K$7)</f>
        <v>3</v>
      </c>
      <c r="L42" s="101" t="n">
        <f aca="false">INDEX(Serving!$C$22:$E$22,L$7)</f>
        <v>3</v>
      </c>
      <c r="M42" s="101" t="n">
        <f aca="false">INDEX(Serving!$C$22:$E$22,M$7)</f>
        <v>3</v>
      </c>
      <c r="N42" s="101" t="n">
        <f aca="false">INDEX(Serving!$C$22:$E$22,N$7)</f>
        <v>3</v>
      </c>
      <c r="O42" s="101" t="n">
        <f aca="false">INDEX(Serving!$C$22:$E$22,O$7)</f>
        <v>3</v>
      </c>
      <c r="P42" s="101" t="n">
        <f aca="false">INDEX(Serving!$C$22:$E$22,P$7)</f>
        <v>3</v>
      </c>
      <c r="Q42" s="101" t="n">
        <f aca="false">INDEX(Serving!$C$22:$E$22,Q$7)</f>
        <v>3</v>
      </c>
      <c r="R42" s="101" t="n">
        <f aca="false">INDEX(Serving!$C$22:$E$22,R$7)</f>
        <v>3</v>
      </c>
      <c r="S42" s="101" t="n">
        <f aca="false">INDEX(Serving!$C$22:$E$22,S$7)</f>
        <v>3</v>
      </c>
      <c r="T42" s="101" t="n">
        <f aca="false">INDEX(Serving!$C$22:$E$22,T$7)</f>
        <v>3</v>
      </c>
      <c r="U42" s="101" t="n">
        <f aca="false">INDEX(Serving!$C$22:$E$22,U$7)</f>
        <v>3</v>
      </c>
      <c r="V42" s="101" t="n">
        <f aca="false">INDEX(Serving!$C$22:$E$22,V$7)</f>
        <v>3</v>
      </c>
      <c r="W42" s="101" t="n">
        <f aca="false">INDEX(Serving!$C$22:$E$22,W$7)</f>
        <v>3</v>
      </c>
      <c r="X42" s="101" t="n">
        <f aca="false">INDEX(Serving!$C$22:$E$22,X$7)</f>
        <v>3</v>
      </c>
      <c r="Y42" s="101" t="n">
        <f aca="false">INDEX(Serving!$C$22:$E$22,Y$7)</f>
        <v>3</v>
      </c>
      <c r="Z42" s="101" t="n">
        <f aca="false">INDEX(Serving!$C$22:$E$22,Z$7)</f>
        <v>3</v>
      </c>
      <c r="AA42" s="101" t="n">
        <f aca="false">INDEX(Serving!$C$22:$E$22,AA$7)</f>
        <v>3</v>
      </c>
      <c r="AB42" s="101" t="n">
        <f aca="false">INDEX(Serving!$C$22:$E$22,AB$7)</f>
        <v>3</v>
      </c>
      <c r="AC42" s="101" t="n">
        <f aca="false">INDEX(Serving!$C$22:$E$22,AC$7)</f>
        <v>5</v>
      </c>
      <c r="AD42" s="101" t="n">
        <f aca="false">INDEX(Serving!$C$22:$E$22,AD$7)</f>
        <v>5</v>
      </c>
      <c r="AE42" s="101" t="n">
        <f aca="false">INDEX(Serving!$C$22:$E$22,AE$7)</f>
        <v>5</v>
      </c>
      <c r="AF42" s="101" t="n">
        <f aca="false">INDEX(Serving!$C$22:$E$22,AF$7)</f>
        <v>5</v>
      </c>
      <c r="AG42" s="101" t="n">
        <f aca="false">INDEX(Serving!$C$22:$E$22,AG$7)</f>
        <v>5</v>
      </c>
      <c r="AH42" s="101" t="n">
        <f aca="false">INDEX(Serving!$C$22:$E$22,AH$7)</f>
        <v>5</v>
      </c>
    </row>
    <row r="43" customFormat="false" ht="15" hidden="false" customHeight="false" outlineLevel="0" collapsed="false">
      <c r="A43" s="53" t="s">
        <v>701</v>
      </c>
      <c r="B43" s="54" t="s">
        <v>249</v>
      </c>
      <c r="C43" s="55" t="n">
        <f aca="false">INDEX(Serving!$C$23:$E$23,C$7)</f>
        <v>16384</v>
      </c>
      <c r="D43" s="55" t="n">
        <f aca="false">INDEX(Serving!$C$23:$E$23,D$7)</f>
        <v>16384</v>
      </c>
      <c r="E43" s="55" t="n">
        <f aca="false">INDEX(Serving!$C$23:$E$23,E$7)</f>
        <v>16384</v>
      </c>
      <c r="F43" s="55" t="n">
        <f aca="false">INDEX(Serving!$C$23:$E$23,F$7)</f>
        <v>16384</v>
      </c>
      <c r="G43" s="55" t="n">
        <f aca="false">INDEX(Serving!$C$23:$E$23,G$7)</f>
        <v>16384</v>
      </c>
      <c r="H43" s="55" t="n">
        <f aca="false">INDEX(Serving!$C$23:$E$23,H$7)</f>
        <v>16384</v>
      </c>
      <c r="I43" s="55" t="n">
        <f aca="false">INDEX(Serving!$C$23:$E$23,I$7)</f>
        <v>16384</v>
      </c>
      <c r="J43" s="55" t="n">
        <f aca="false">INDEX(Serving!$C$23:$E$23,J$7)</f>
        <v>16384</v>
      </c>
      <c r="K43" s="55" t="n">
        <f aca="false">INDEX(Serving!$C$23:$E$23,K$7)</f>
        <v>16384</v>
      </c>
      <c r="L43" s="55" t="n">
        <f aca="false">INDEX(Serving!$C$23:$E$23,L$7)</f>
        <v>16384</v>
      </c>
      <c r="M43" s="55" t="n">
        <f aca="false">INDEX(Serving!$C$23:$E$23,M$7)</f>
        <v>16384</v>
      </c>
      <c r="N43" s="55" t="n">
        <f aca="false">INDEX(Serving!$C$23:$E$23,N$7)</f>
        <v>16384</v>
      </c>
      <c r="O43" s="55" t="n">
        <f aca="false">INDEX(Serving!$C$23:$E$23,O$7)</f>
        <v>16384</v>
      </c>
      <c r="P43" s="55" t="n">
        <f aca="false">INDEX(Serving!$C$23:$E$23,P$7)</f>
        <v>16384</v>
      </c>
      <c r="Q43" s="55" t="n">
        <f aca="false">INDEX(Serving!$C$23:$E$23,Q$7)</f>
        <v>16384</v>
      </c>
      <c r="R43" s="55" t="n">
        <f aca="false">INDEX(Serving!$C$23:$E$23,R$7)</f>
        <v>16384</v>
      </c>
      <c r="S43" s="55" t="n">
        <f aca="false">INDEX(Serving!$C$23:$E$23,S$7)</f>
        <v>16384</v>
      </c>
      <c r="T43" s="55" t="n">
        <f aca="false">INDEX(Serving!$C$23:$E$23,T$7)</f>
        <v>16384</v>
      </c>
      <c r="U43" s="55" t="n">
        <f aca="false">INDEX(Serving!$C$23:$E$23,U$7)</f>
        <v>16384</v>
      </c>
      <c r="V43" s="55" t="n">
        <f aca="false">INDEX(Serving!$C$23:$E$23,V$7)</f>
        <v>16384</v>
      </c>
      <c r="W43" s="117" t="n">
        <v>4096</v>
      </c>
      <c r="X43" s="117" t="n">
        <v>4096</v>
      </c>
      <c r="Y43" s="117" t="n">
        <v>65536</v>
      </c>
      <c r="Z43" s="117" t="n">
        <v>65536</v>
      </c>
      <c r="AA43" s="55" t="n">
        <f aca="false">INDEX(Serving!$C$23:$E$23,AA$7)</f>
        <v>16384</v>
      </c>
      <c r="AB43" s="55" t="n">
        <f aca="false">INDEX(Serving!$C$23:$E$23,AB$7)</f>
        <v>16384</v>
      </c>
      <c r="AC43" s="55" t="n">
        <f aca="false">INDEX(Serving!$C$23:$E$23,AC$7)</f>
        <v>32768</v>
      </c>
      <c r="AD43" s="55" t="n">
        <f aca="false">INDEX(Serving!$C$23:$E$23,AD$7)</f>
        <v>32768</v>
      </c>
      <c r="AE43" s="55" t="n">
        <f aca="false">INDEX(Serving!$C$23:$E$23,AE$7)</f>
        <v>32768</v>
      </c>
      <c r="AF43" s="55" t="n">
        <f aca="false">INDEX(Serving!$C$23:$E$23,AF$7)</f>
        <v>32768</v>
      </c>
      <c r="AG43" s="55" t="n">
        <f aca="false">INDEX(Serving!$C$23:$E$23,AG$7)</f>
        <v>32768</v>
      </c>
      <c r="AH43" s="55" t="n">
        <f aca="false">INDEX(Serving!$C$23:$E$23,AH$7)</f>
        <v>32768</v>
      </c>
    </row>
    <row r="44" customFormat="false" ht="15" hidden="false" customHeight="false" outlineLevel="0" collapsed="false">
      <c r="A44" s="53" t="s">
        <v>336</v>
      </c>
      <c r="B44" s="54" t="s">
        <v>249</v>
      </c>
      <c r="C44" s="55" t="n">
        <f aca="false">INDEX(Serving!$C$24:$E$24,C$7)</f>
        <v>2048</v>
      </c>
      <c r="D44" s="55" t="n">
        <f aca="false">INDEX(Serving!$C$24:$E$24,D$7)</f>
        <v>2048</v>
      </c>
      <c r="E44" s="55" t="n">
        <f aca="false">INDEX(Serving!$C$24:$E$24,E$7)</f>
        <v>2048</v>
      </c>
      <c r="F44" s="55" t="n">
        <f aca="false">INDEX(Serving!$C$24:$E$24,F$7)</f>
        <v>2048</v>
      </c>
      <c r="G44" s="55" t="n">
        <f aca="false">INDEX(Serving!$C$24:$E$24,G$7)</f>
        <v>2048</v>
      </c>
      <c r="H44" s="55" t="n">
        <f aca="false">INDEX(Serving!$C$24:$E$24,H$7)</f>
        <v>2048</v>
      </c>
      <c r="I44" s="55" t="n">
        <f aca="false">INDEX(Serving!$C$24:$E$24,I$7)</f>
        <v>2048</v>
      </c>
      <c r="J44" s="55" t="n">
        <f aca="false">INDEX(Serving!$C$24:$E$24,J$7)</f>
        <v>2048</v>
      </c>
      <c r="K44" s="55" t="n">
        <f aca="false">INDEX(Serving!$C$24:$E$24,K$7)</f>
        <v>2048</v>
      </c>
      <c r="L44" s="55" t="n">
        <f aca="false">INDEX(Serving!$C$24:$E$24,L$7)</f>
        <v>2048</v>
      </c>
      <c r="M44" s="55" t="n">
        <f aca="false">INDEX(Serving!$C$24:$E$24,M$7)</f>
        <v>2048</v>
      </c>
      <c r="N44" s="55" t="n">
        <f aca="false">INDEX(Serving!$C$24:$E$24,N$7)</f>
        <v>2048</v>
      </c>
      <c r="O44" s="55" t="n">
        <f aca="false">INDEX(Serving!$C$24:$E$24,O$7)</f>
        <v>2048</v>
      </c>
      <c r="P44" s="55" t="n">
        <f aca="false">INDEX(Serving!$C$24:$E$24,P$7)</f>
        <v>2048</v>
      </c>
      <c r="Q44" s="55" t="n">
        <f aca="false">INDEX(Serving!$C$24:$E$24,Q$7)</f>
        <v>2048</v>
      </c>
      <c r="R44" s="55" t="n">
        <f aca="false">INDEX(Serving!$C$24:$E$24,R$7)</f>
        <v>2048</v>
      </c>
      <c r="S44" s="55" t="n">
        <f aca="false">INDEX(Serving!$C$24:$E$24,S$7)</f>
        <v>2048</v>
      </c>
      <c r="T44" s="55" t="n">
        <f aca="false">INDEX(Serving!$C$24:$E$24,T$7)</f>
        <v>2048</v>
      </c>
      <c r="U44" s="55" t="n">
        <f aca="false">INDEX(Serving!$C$24:$E$24,U$7)</f>
        <v>2048</v>
      </c>
      <c r="V44" s="55" t="n">
        <f aca="false">INDEX(Serving!$C$24:$E$24,V$7)</f>
        <v>2048</v>
      </c>
      <c r="W44" s="55" t="n">
        <f aca="false">INDEX(Serving!$C$24:$E$24,W$7)</f>
        <v>2048</v>
      </c>
      <c r="X44" s="55" t="n">
        <f aca="false">INDEX(Serving!$C$24:$E$24,X$7)</f>
        <v>2048</v>
      </c>
      <c r="Y44" s="55" t="n">
        <f aca="false">INDEX(Serving!$C$24:$E$24,Y$7)</f>
        <v>2048</v>
      </c>
      <c r="Z44" s="55" t="n">
        <f aca="false">INDEX(Serving!$C$24:$E$24,Z$7)</f>
        <v>2048</v>
      </c>
      <c r="AA44" s="55" t="n">
        <f aca="false">INDEX(Serving!$C$24:$E$24,AA$7)</f>
        <v>2048</v>
      </c>
      <c r="AB44" s="55" t="n">
        <f aca="false">INDEX(Serving!$C$24:$E$24,AB$7)</f>
        <v>2048</v>
      </c>
      <c r="AC44" s="55" t="n">
        <f aca="false">INDEX(Serving!$C$24:$E$24,AC$7)</f>
        <v>4096</v>
      </c>
      <c r="AD44" s="55" t="n">
        <f aca="false">INDEX(Serving!$C$24:$E$24,AD$7)</f>
        <v>4096</v>
      </c>
      <c r="AE44" s="55" t="n">
        <f aca="false">INDEX(Serving!$C$24:$E$24,AE$7)</f>
        <v>4096</v>
      </c>
      <c r="AF44" s="55" t="n">
        <f aca="false">INDEX(Serving!$C$24:$E$24,AF$7)</f>
        <v>4096</v>
      </c>
      <c r="AG44" s="55" t="n">
        <f aca="false">INDEX(Serving!$C$24:$E$24,AG$7)</f>
        <v>4096</v>
      </c>
      <c r="AH44" s="55" t="n">
        <f aca="false">INDEX(Serving!$C$24:$E$24,AH$7)</f>
        <v>4096</v>
      </c>
    </row>
    <row r="45" customFormat="false" ht="15" hidden="false" customHeight="false" outlineLevel="0" collapsed="false">
      <c r="A45" s="54" t="s">
        <v>337</v>
      </c>
      <c r="B45" s="54" t="s">
        <v>249</v>
      </c>
      <c r="C45" s="60" t="n">
        <f aca="false">C43+C44/2</f>
        <v>17408</v>
      </c>
      <c r="D45" s="60" t="n">
        <f aca="false">D43+D44/2</f>
        <v>17408</v>
      </c>
      <c r="E45" s="60" t="n">
        <f aca="false">E43+E44/2</f>
        <v>17408</v>
      </c>
      <c r="F45" s="60" t="n">
        <f aca="false">F43+F44/2</f>
        <v>17408</v>
      </c>
      <c r="G45" s="60" t="n">
        <f aca="false">G43+G44/2</f>
        <v>17408</v>
      </c>
      <c r="H45" s="60" t="n">
        <f aca="false">H43+H44/2</f>
        <v>17408</v>
      </c>
      <c r="I45" s="60" t="n">
        <f aca="false">I43+I44/2</f>
        <v>17408</v>
      </c>
      <c r="J45" s="60" t="n">
        <f aca="false">J43+J44/2</f>
        <v>17408</v>
      </c>
      <c r="K45" s="60" t="n">
        <f aca="false">K43+K44/2</f>
        <v>17408</v>
      </c>
      <c r="L45" s="60" t="n">
        <f aca="false">L43+L44/2</f>
        <v>17408</v>
      </c>
      <c r="M45" s="60" t="n">
        <f aca="false">M43+M44/2</f>
        <v>17408</v>
      </c>
      <c r="N45" s="60" t="n">
        <f aca="false">N43+N44/2</f>
        <v>17408</v>
      </c>
      <c r="O45" s="60" t="n">
        <f aca="false">O43+O44/2</f>
        <v>17408</v>
      </c>
      <c r="P45" s="60" t="n">
        <f aca="false">P43+P44/2</f>
        <v>17408</v>
      </c>
      <c r="Q45" s="60" t="n">
        <f aca="false">Q43+Q44/2</f>
        <v>17408</v>
      </c>
      <c r="R45" s="60" t="n">
        <f aca="false">R43+R44/2</f>
        <v>17408</v>
      </c>
      <c r="S45" s="60" t="n">
        <f aca="false">S43+S44/2</f>
        <v>17408</v>
      </c>
      <c r="T45" s="60" t="n">
        <f aca="false">T43+T44/2</f>
        <v>17408</v>
      </c>
      <c r="U45" s="60" t="n">
        <f aca="false">U43+U44/2</f>
        <v>17408</v>
      </c>
      <c r="V45" s="60" t="n">
        <f aca="false">V43+V44/2</f>
        <v>17408</v>
      </c>
      <c r="W45" s="60" t="n">
        <f aca="false">W43+W44/2</f>
        <v>5120</v>
      </c>
      <c r="X45" s="60" t="n">
        <f aca="false">X43+X44/2</f>
        <v>5120</v>
      </c>
      <c r="Y45" s="60" t="n">
        <f aca="false">Y43+Y44/2</f>
        <v>66560</v>
      </c>
      <c r="Z45" s="60" t="n">
        <f aca="false">Z43+Z44/2</f>
        <v>66560</v>
      </c>
      <c r="AA45" s="60" t="n">
        <f aca="false">AA43+AA44/2</f>
        <v>17408</v>
      </c>
      <c r="AB45" s="60" t="n">
        <f aca="false">AB43+AB44/2</f>
        <v>17408</v>
      </c>
      <c r="AC45" s="60" t="n">
        <f aca="false">AC43+AC44/2</f>
        <v>34816</v>
      </c>
      <c r="AD45" s="60" t="n">
        <f aca="false">AD43+AD44/2</f>
        <v>34816</v>
      </c>
      <c r="AE45" s="60" t="n">
        <f aca="false">AE43+AE44/2</f>
        <v>34816</v>
      </c>
      <c r="AF45" s="60" t="n">
        <f aca="false">AF43+AF44/2</f>
        <v>34816</v>
      </c>
      <c r="AG45" s="60" t="n">
        <f aca="false">AG43+AG44/2</f>
        <v>34816</v>
      </c>
      <c r="AH45" s="60" t="n">
        <f aca="false">AH43+AH44/2</f>
        <v>34816</v>
      </c>
    </row>
    <row r="46" customFormat="false" ht="15" hidden="false" customHeight="false" outlineLevel="0" collapsed="false">
      <c r="A46" s="54" t="s">
        <v>338</v>
      </c>
      <c r="B46" s="54" t="s">
        <v>249</v>
      </c>
      <c r="C46" s="60" t="n">
        <f aca="false">C43/2</f>
        <v>8192</v>
      </c>
      <c r="D46" s="60" t="n">
        <f aca="false">D43/2</f>
        <v>8192</v>
      </c>
      <c r="E46" s="60" t="n">
        <f aca="false">E43/2</f>
        <v>8192</v>
      </c>
      <c r="F46" s="60" t="n">
        <f aca="false">F43/2</f>
        <v>8192</v>
      </c>
      <c r="G46" s="60" t="n">
        <f aca="false">G43/2</f>
        <v>8192</v>
      </c>
      <c r="H46" s="60" t="n">
        <f aca="false">H43/2</f>
        <v>8192</v>
      </c>
      <c r="I46" s="60" t="n">
        <f aca="false">I43/2</f>
        <v>8192</v>
      </c>
      <c r="J46" s="60" t="n">
        <f aca="false">J43/2</f>
        <v>8192</v>
      </c>
      <c r="K46" s="60" t="n">
        <f aca="false">K43/2</f>
        <v>8192</v>
      </c>
      <c r="L46" s="60" t="n">
        <f aca="false">L43/2</f>
        <v>8192</v>
      </c>
      <c r="M46" s="60" t="n">
        <f aca="false">M43/2</f>
        <v>8192</v>
      </c>
      <c r="N46" s="60" t="n">
        <f aca="false">N43/2</f>
        <v>8192</v>
      </c>
      <c r="O46" s="60" t="n">
        <f aca="false">O43/2</f>
        <v>8192</v>
      </c>
      <c r="P46" s="60" t="n">
        <f aca="false">P43/2</f>
        <v>8192</v>
      </c>
      <c r="Q46" s="60" t="n">
        <f aca="false">Q43/2</f>
        <v>8192</v>
      </c>
      <c r="R46" s="60" t="n">
        <f aca="false">R43/2</f>
        <v>8192</v>
      </c>
      <c r="S46" s="60" t="n">
        <f aca="false">S43/2</f>
        <v>8192</v>
      </c>
      <c r="T46" s="60" t="n">
        <f aca="false">T43/2</f>
        <v>8192</v>
      </c>
      <c r="U46" s="60" t="n">
        <f aca="false">U43/2</f>
        <v>8192</v>
      </c>
      <c r="V46" s="60" t="n">
        <f aca="false">V43/2</f>
        <v>8192</v>
      </c>
      <c r="W46" s="60" t="n">
        <f aca="false">W43/2</f>
        <v>2048</v>
      </c>
      <c r="X46" s="60" t="n">
        <f aca="false">X43/2</f>
        <v>2048</v>
      </c>
      <c r="Y46" s="60" t="n">
        <f aca="false">Y43/2</f>
        <v>32768</v>
      </c>
      <c r="Z46" s="60" t="n">
        <f aca="false">Z43/2</f>
        <v>32768</v>
      </c>
      <c r="AA46" s="60" t="n">
        <f aca="false">AA43/2</f>
        <v>8192</v>
      </c>
      <c r="AB46" s="60" t="n">
        <f aca="false">AB43/2</f>
        <v>8192</v>
      </c>
      <c r="AC46" s="60" t="n">
        <f aca="false">AC43/2</f>
        <v>16384</v>
      </c>
      <c r="AD46" s="60" t="n">
        <f aca="false">AD43/2</f>
        <v>16384</v>
      </c>
      <c r="AE46" s="60" t="n">
        <f aca="false">AE43/2</f>
        <v>16384</v>
      </c>
      <c r="AF46" s="60" t="n">
        <f aca="false">AF43/2</f>
        <v>16384</v>
      </c>
      <c r="AG46" s="60" t="n">
        <f aca="false">AG43/2</f>
        <v>16384</v>
      </c>
      <c r="AH46" s="60" t="n">
        <f aca="false">AH43/2</f>
        <v>16384</v>
      </c>
    </row>
    <row r="47" customFormat="false" ht="15" hidden="false" customHeight="false" outlineLevel="0" collapsed="false">
      <c r="A47" s="54" t="s">
        <v>702</v>
      </c>
      <c r="B47" s="54" t="s">
        <v>249</v>
      </c>
      <c r="C47" s="82" t="n">
        <f aca="false">Serving!$C$6</f>
        <v>3</v>
      </c>
      <c r="D47" s="82" t="n">
        <f aca="false">Serving!$C$6</f>
        <v>3</v>
      </c>
      <c r="E47" s="82" t="n">
        <f aca="false">Serving!$C$6</f>
        <v>3</v>
      </c>
      <c r="F47" s="82" t="n">
        <f aca="false">Serving!$C$6</f>
        <v>3</v>
      </c>
      <c r="G47" s="82" t="n">
        <f aca="false">Serving!$C$6</f>
        <v>3</v>
      </c>
      <c r="H47" s="82" t="n">
        <f aca="false">Serving!$C$6</f>
        <v>3</v>
      </c>
      <c r="I47" s="82" t="n">
        <f aca="false">Serving!$C$6</f>
        <v>3</v>
      </c>
      <c r="J47" s="82" t="n">
        <f aca="false">Serving!$C$6</f>
        <v>3</v>
      </c>
      <c r="K47" s="82" t="n">
        <f aca="false">Serving!$C$6</f>
        <v>3</v>
      </c>
      <c r="L47" s="82" t="n">
        <f aca="false">Serving!$C$6</f>
        <v>3</v>
      </c>
      <c r="M47" s="82" t="n">
        <f aca="false">Serving!$C$6</f>
        <v>3</v>
      </c>
      <c r="N47" s="82" t="n">
        <f aca="false">Serving!$C$6</f>
        <v>3</v>
      </c>
      <c r="O47" s="82" t="n">
        <f aca="false">Serving!$C$6</f>
        <v>3</v>
      </c>
      <c r="P47" s="82" t="n">
        <f aca="false">Serving!$C$6</f>
        <v>3</v>
      </c>
      <c r="Q47" s="82" t="n">
        <f aca="false">Serving!$C$6</f>
        <v>3</v>
      </c>
      <c r="R47" s="82" t="n">
        <f aca="false">Serving!$C$6</f>
        <v>3</v>
      </c>
      <c r="S47" s="82" t="n">
        <f aca="false">Serving!$C$6</f>
        <v>3</v>
      </c>
      <c r="T47" s="82" t="n">
        <f aca="false">Serving!$C$6</f>
        <v>3</v>
      </c>
      <c r="U47" s="82" t="n">
        <f aca="false">Serving!$C$6</f>
        <v>3</v>
      </c>
      <c r="V47" s="82" t="n">
        <f aca="false">Serving!$C$6</f>
        <v>3</v>
      </c>
      <c r="W47" s="82" t="n">
        <f aca="false">Serving!$C$6</f>
        <v>3</v>
      </c>
      <c r="X47" s="82" t="n">
        <f aca="false">Serving!$C$6</f>
        <v>3</v>
      </c>
      <c r="Y47" s="82" t="n">
        <f aca="false">Serving!$C$6</f>
        <v>3</v>
      </c>
      <c r="Z47" s="82" t="n">
        <f aca="false">Serving!$C$6</f>
        <v>3</v>
      </c>
      <c r="AA47" s="82" t="n">
        <f aca="false">Serving!$C$6</f>
        <v>3</v>
      </c>
      <c r="AB47" s="82" t="n">
        <f aca="false">Serving!$C$6</f>
        <v>3</v>
      </c>
      <c r="AC47" s="82" t="n">
        <f aca="false">Serving!$C$6</f>
        <v>3</v>
      </c>
      <c r="AD47" s="82" t="n">
        <f aca="false">Serving!$C$6</f>
        <v>3</v>
      </c>
      <c r="AE47" s="82" t="n">
        <f aca="false">Serving!$C$6</f>
        <v>3</v>
      </c>
      <c r="AF47" s="82" t="n">
        <f aca="false">Serving!$C$6</f>
        <v>3</v>
      </c>
      <c r="AG47" s="82" t="n">
        <f aca="false">Serving!$C$6</f>
        <v>3</v>
      </c>
      <c r="AH47" s="82" t="n">
        <f aca="false">Serving!$C$6</f>
        <v>3</v>
      </c>
    </row>
    <row r="48" customFormat="false" ht="15" hidden="false" customHeight="false" outlineLevel="0" collapsed="false">
      <c r="A48" s="53" t="s">
        <v>703</v>
      </c>
      <c r="B48" s="54" t="s">
        <v>71</v>
      </c>
      <c r="C48" s="57" t="n">
        <f aca="false">Serving!$C$7</f>
        <v>0.7</v>
      </c>
      <c r="D48" s="57" t="n">
        <f aca="false">Serving!$C$7</f>
        <v>0.7</v>
      </c>
      <c r="E48" s="57" t="n">
        <f aca="false">Serving!$C$7</f>
        <v>0.7</v>
      </c>
      <c r="F48" s="57" t="n">
        <f aca="false">Serving!$C$7</f>
        <v>0.7</v>
      </c>
      <c r="G48" s="57" t="n">
        <f aca="false">Serving!$C$7</f>
        <v>0.7</v>
      </c>
      <c r="H48" s="57" t="n">
        <f aca="false">Serving!$C$7</f>
        <v>0.7</v>
      </c>
      <c r="I48" s="57" t="n">
        <f aca="false">Serving!$C$7</f>
        <v>0.7</v>
      </c>
      <c r="J48" s="57" t="n">
        <f aca="false">Serving!$C$7</f>
        <v>0.7</v>
      </c>
      <c r="K48" s="57" t="n">
        <f aca="false">Serving!$C$7</f>
        <v>0.7</v>
      </c>
      <c r="L48" s="57" t="n">
        <f aca="false">Serving!$C$7</f>
        <v>0.7</v>
      </c>
      <c r="M48" s="57" t="n">
        <f aca="false">Serving!$C$7</f>
        <v>0.7</v>
      </c>
      <c r="N48" s="57" t="n">
        <f aca="false">Serving!$C$7</f>
        <v>0.7</v>
      </c>
      <c r="O48" s="57" t="n">
        <f aca="false">Serving!$C$7</f>
        <v>0.7</v>
      </c>
      <c r="P48" s="57" t="n">
        <f aca="false">Serving!$C$7</f>
        <v>0.7</v>
      </c>
      <c r="Q48" s="57" t="n">
        <f aca="false">Serving!$C$7</f>
        <v>0.7</v>
      </c>
      <c r="R48" s="57" t="n">
        <f aca="false">Serving!$C$7</f>
        <v>0.7</v>
      </c>
      <c r="S48" s="72" t="n">
        <v>0.6</v>
      </c>
      <c r="T48" s="72" t="n">
        <v>0.6</v>
      </c>
      <c r="U48" s="72" t="n">
        <v>0.8</v>
      </c>
      <c r="V48" s="72" t="n">
        <v>0.8</v>
      </c>
      <c r="W48" s="57" t="n">
        <f aca="false">Serving!$C$7</f>
        <v>0.7</v>
      </c>
      <c r="X48" s="57" t="n">
        <f aca="false">Serving!$C$7</f>
        <v>0.7</v>
      </c>
      <c r="Y48" s="57" t="n">
        <f aca="false">Serving!$C$7</f>
        <v>0.7</v>
      </c>
      <c r="Z48" s="57" t="n">
        <f aca="false">Serving!$C$7</f>
        <v>0.7</v>
      </c>
      <c r="AA48" s="57" t="n">
        <f aca="false">Serving!$C$7</f>
        <v>0.7</v>
      </c>
      <c r="AB48" s="57" t="n">
        <f aca="false">Serving!$C$7</f>
        <v>0.7</v>
      </c>
      <c r="AC48" s="57" t="n">
        <f aca="false">Serving!$C$7</f>
        <v>0.7</v>
      </c>
      <c r="AD48" s="57" t="n">
        <f aca="false">Serving!$C$7</f>
        <v>0.7</v>
      </c>
      <c r="AE48" s="57" t="n">
        <f aca="false">Serving!$C$7</f>
        <v>0.7</v>
      </c>
      <c r="AF48" s="57" t="n">
        <f aca="false">Serving!$C$7</f>
        <v>0.7</v>
      </c>
      <c r="AG48" s="57" t="n">
        <f aca="false">Serving!$C$7</f>
        <v>0.7</v>
      </c>
      <c r="AH48" s="57" t="n">
        <f aca="false">Serving!$C$7</f>
        <v>0.7</v>
      </c>
    </row>
    <row r="49" customFormat="false" ht="15" hidden="false" customHeight="false" outlineLevel="0" collapsed="false">
      <c r="A49" s="53" t="s">
        <v>704</v>
      </c>
      <c r="B49" s="54" t="s">
        <v>249</v>
      </c>
      <c r="C49" s="69" t="n">
        <f aca="false">(1-C48^(C47+1))/(1-C48)</f>
        <v>2.533</v>
      </c>
      <c r="D49" s="69" t="n">
        <f aca="false">(1-D48^(D47+1))/(1-D48)</f>
        <v>2.533</v>
      </c>
      <c r="E49" s="69" t="n">
        <f aca="false">(1-E48^(E47+1))/(1-E48)</f>
        <v>2.533</v>
      </c>
      <c r="F49" s="69" t="n">
        <f aca="false">(1-F48^(F47+1))/(1-F48)</f>
        <v>2.533</v>
      </c>
      <c r="G49" s="69" t="n">
        <f aca="false">(1-G48^(G47+1))/(1-G48)</f>
        <v>2.533</v>
      </c>
      <c r="H49" s="69" t="n">
        <f aca="false">(1-H48^(H47+1))/(1-H48)</f>
        <v>2.533</v>
      </c>
      <c r="I49" s="69" t="n">
        <f aca="false">(1-I48^(I47+1))/(1-I48)</f>
        <v>2.533</v>
      </c>
      <c r="J49" s="69" t="n">
        <f aca="false">(1-J48^(J47+1))/(1-J48)</f>
        <v>2.533</v>
      </c>
      <c r="K49" s="69" t="n">
        <f aca="false">(1-K48^(K47+1))/(1-K48)</f>
        <v>2.533</v>
      </c>
      <c r="L49" s="69" t="n">
        <f aca="false">(1-L48^(L47+1))/(1-L48)</f>
        <v>2.533</v>
      </c>
      <c r="M49" s="69" t="n">
        <f aca="false">(1-M48^(M47+1))/(1-M48)</f>
        <v>2.533</v>
      </c>
      <c r="N49" s="69" t="n">
        <f aca="false">(1-N48^(N47+1))/(1-N48)</f>
        <v>2.533</v>
      </c>
      <c r="O49" s="69" t="n">
        <f aca="false">(1-O48^(O47+1))/(1-O48)</f>
        <v>2.533</v>
      </c>
      <c r="P49" s="69" t="n">
        <f aca="false">(1-P48^(P47+1))/(1-P48)</f>
        <v>2.533</v>
      </c>
      <c r="Q49" s="69" t="n">
        <f aca="false">(1-Q48^(Q47+1))/(1-Q48)</f>
        <v>2.533</v>
      </c>
      <c r="R49" s="69" t="n">
        <f aca="false">(1-R48^(R47+1))/(1-R48)</f>
        <v>2.533</v>
      </c>
      <c r="S49" s="69" t="n">
        <f aca="false">(1-S48^(S47+1))/(1-S48)</f>
        <v>2.176</v>
      </c>
      <c r="T49" s="69" t="n">
        <f aca="false">(1-T48^(T47+1))/(1-T48)</f>
        <v>2.176</v>
      </c>
      <c r="U49" s="69" t="n">
        <f aca="false">(1-U48^(U47+1))/(1-U48)</f>
        <v>2.952</v>
      </c>
      <c r="V49" s="69" t="n">
        <f aca="false">(1-V48^(V47+1))/(1-V48)</f>
        <v>2.952</v>
      </c>
      <c r="W49" s="69" t="n">
        <f aca="false">(1-W48^(W47+1))/(1-W48)</f>
        <v>2.533</v>
      </c>
      <c r="X49" s="69" t="n">
        <f aca="false">(1-X48^(X47+1))/(1-X48)</f>
        <v>2.533</v>
      </c>
      <c r="Y49" s="69" t="n">
        <f aca="false">(1-Y48^(Y47+1))/(1-Y48)</f>
        <v>2.533</v>
      </c>
      <c r="Z49" s="69" t="n">
        <f aca="false">(1-Z48^(Z47+1))/(1-Z48)</f>
        <v>2.533</v>
      </c>
      <c r="AA49" s="69" t="n">
        <f aca="false">(1-AA48^(AA47+1))/(1-AA48)</f>
        <v>2.533</v>
      </c>
      <c r="AB49" s="69" t="n">
        <f aca="false">(1-AB48^(AB47+1))/(1-AB48)</f>
        <v>2.533</v>
      </c>
      <c r="AC49" s="69" t="n">
        <f aca="false">(1-AC48^(AC47+1))/(1-AC48)</f>
        <v>2.533</v>
      </c>
      <c r="AD49" s="69" t="n">
        <f aca="false">(1-AD48^(AD47+1))/(1-AD48)</f>
        <v>2.533</v>
      </c>
      <c r="AE49" s="69" t="n">
        <f aca="false">(1-AE48^(AE47+1))/(1-AE48)</f>
        <v>2.533</v>
      </c>
      <c r="AF49" s="69" t="n">
        <f aca="false">(1-AF48^(AF47+1))/(1-AF48)</f>
        <v>2.533</v>
      </c>
      <c r="AG49" s="69" t="n">
        <f aca="false">(1-AG48^(AG47+1))/(1-AG48)</f>
        <v>2.533</v>
      </c>
      <c r="AH49" s="69" t="n">
        <f aca="false">(1-AH48^(AH47+1))/(1-AH48)</f>
        <v>2.533</v>
      </c>
    </row>
    <row r="50" customFormat="false" ht="15" hidden="false" customHeight="false" outlineLevel="0" collapsed="false">
      <c r="A50" s="53" t="s">
        <v>325</v>
      </c>
      <c r="B50" s="54" t="s">
        <v>75</v>
      </c>
      <c r="C50" s="90" t="n">
        <f aca="false">Serving!$C$18</f>
        <v>1</v>
      </c>
      <c r="D50" s="90" t="n">
        <f aca="false">Serving!$C$18</f>
        <v>1</v>
      </c>
      <c r="E50" s="90" t="n">
        <f aca="false">Serving!$C$18</f>
        <v>1</v>
      </c>
      <c r="F50" s="90" t="n">
        <f aca="false">Serving!$C$18</f>
        <v>1</v>
      </c>
      <c r="G50" s="90" t="n">
        <f aca="false">Serving!$C$18</f>
        <v>1</v>
      </c>
      <c r="H50" s="90" t="n">
        <f aca="false">Serving!$C$18</f>
        <v>1</v>
      </c>
      <c r="I50" s="90" t="n">
        <f aca="false">Serving!$C$18</f>
        <v>1</v>
      </c>
      <c r="J50" s="90" t="n">
        <f aca="false">Serving!$C$18</f>
        <v>1</v>
      </c>
      <c r="K50" s="90" t="n">
        <f aca="false">Serving!$C$18</f>
        <v>1</v>
      </c>
      <c r="L50" s="90" t="n">
        <f aca="false">Serving!$C$18</f>
        <v>1</v>
      </c>
      <c r="M50" s="90" t="n">
        <f aca="false">Serving!$C$18</f>
        <v>1</v>
      </c>
      <c r="N50" s="90" t="n">
        <f aca="false">Serving!$C$18</f>
        <v>1</v>
      </c>
      <c r="O50" s="90" t="n">
        <f aca="false">Serving!$C$18</f>
        <v>1</v>
      </c>
      <c r="P50" s="90" t="n">
        <f aca="false">Serving!$C$18</f>
        <v>1</v>
      </c>
      <c r="Q50" s="90" t="n">
        <f aca="false">Serving!$C$18</f>
        <v>1</v>
      </c>
      <c r="R50" s="90" t="n">
        <f aca="false">Serving!$C$18</f>
        <v>1</v>
      </c>
      <c r="S50" s="90" t="n">
        <f aca="false">Serving!$C$18</f>
        <v>1</v>
      </c>
      <c r="T50" s="90" t="n">
        <f aca="false">Serving!$C$18</f>
        <v>1</v>
      </c>
      <c r="U50" s="90" t="n">
        <f aca="false">Serving!$C$18</f>
        <v>1</v>
      </c>
      <c r="V50" s="90" t="n">
        <f aca="false">Serving!$C$18</f>
        <v>1</v>
      </c>
      <c r="W50" s="90" t="n">
        <f aca="false">Serving!$C$18</f>
        <v>1</v>
      </c>
      <c r="X50" s="90" t="n">
        <f aca="false">Serving!$C$18</f>
        <v>1</v>
      </c>
      <c r="Y50" s="90" t="n">
        <f aca="false">Serving!$C$18</f>
        <v>1</v>
      </c>
      <c r="Z50" s="90" t="n">
        <f aca="false">Serving!$C$18</f>
        <v>1</v>
      </c>
      <c r="AA50" s="73" t="n">
        <v>0.7</v>
      </c>
      <c r="AB50" s="73" t="n">
        <v>0.7</v>
      </c>
      <c r="AC50" s="90" t="n">
        <f aca="false">Serving!$C$18</f>
        <v>1</v>
      </c>
      <c r="AD50" s="90" t="n">
        <f aca="false">Serving!$C$18</f>
        <v>1</v>
      </c>
      <c r="AE50" s="90" t="n">
        <f aca="false">Serving!$C$18</f>
        <v>1</v>
      </c>
      <c r="AF50" s="90" t="n">
        <f aca="false">Serving!$C$18</f>
        <v>1</v>
      </c>
      <c r="AG50" s="90" t="n">
        <f aca="false">Serving!$C$18</f>
        <v>1</v>
      </c>
      <c r="AH50" s="90" t="n">
        <f aca="false">Serving!$C$18</f>
        <v>1</v>
      </c>
    </row>
    <row r="51" customFormat="false" ht="15" hidden="false" customHeight="false" outlineLevel="0" collapsed="false">
      <c r="A51" s="54" t="s">
        <v>705</v>
      </c>
      <c r="B51" s="54" t="s">
        <v>71</v>
      </c>
      <c r="C51" s="102" t="n">
        <f aca="false">INDEX(Calib!$C$72:$G$72,C$6)*C50</f>
        <v>0.3</v>
      </c>
      <c r="D51" s="102" t="n">
        <f aca="false">INDEX(Calib!$C$72:$G$72,D$6)*D50</f>
        <v>0.3</v>
      </c>
      <c r="E51" s="102" t="n">
        <f aca="false">INDEX(Calib!$C$72:$G$72,E$6)*E50</f>
        <v>0.3</v>
      </c>
      <c r="F51" s="102" t="n">
        <f aca="false">INDEX(Calib!$C$72:$G$72,F$6)*F50</f>
        <v>0.3</v>
      </c>
      <c r="G51" s="102" t="n">
        <f aca="false">INDEX(Calib!$C$72:$G$72,G$6)*G50</f>
        <v>0.3</v>
      </c>
      <c r="H51" s="102" t="n">
        <f aca="false">INDEX(Calib!$C$72:$G$72,H$6)*H50</f>
        <v>0.3</v>
      </c>
      <c r="I51" s="102" t="n">
        <f aca="false">INDEX(Calib!$C$72:$G$72,I$6)*I50</f>
        <v>0.3</v>
      </c>
      <c r="J51" s="102" t="n">
        <f aca="false">INDEX(Calib!$C$72:$G$72,J$6)*J50</f>
        <v>0.3</v>
      </c>
      <c r="K51" s="102" t="n">
        <f aca="false">INDEX(Calib!$C$72:$G$72,K$6)*K50</f>
        <v>0.3</v>
      </c>
      <c r="L51" s="102" t="n">
        <f aca="false">INDEX(Calib!$C$72:$G$72,L$6)*L50</f>
        <v>0.3</v>
      </c>
      <c r="M51" s="102" t="n">
        <f aca="false">INDEX(Calib!$C$72:$G$72,M$6)*M50</f>
        <v>0.3</v>
      </c>
      <c r="N51" s="102" t="n">
        <f aca="false">INDEX(Calib!$C$72:$G$72,N$6)*N50</f>
        <v>0.3</v>
      </c>
      <c r="O51" s="102" t="n">
        <f aca="false">INDEX(Calib!$C$72:$G$72,O$6)*O50</f>
        <v>0.3</v>
      </c>
      <c r="P51" s="102" t="n">
        <f aca="false">INDEX(Calib!$C$72:$G$72,P$6)*P50</f>
        <v>0.3</v>
      </c>
      <c r="Q51" s="102" t="n">
        <f aca="false">INDEX(Calib!$C$72:$G$72,Q$6)*Q50</f>
        <v>0.3</v>
      </c>
      <c r="R51" s="102" t="n">
        <f aca="false">INDEX(Calib!$C$72:$G$72,R$6)*R50</f>
        <v>0.3</v>
      </c>
      <c r="S51" s="102" t="n">
        <f aca="false">INDEX(Calib!$C$72:$G$72,S$6)*S50</f>
        <v>0.3</v>
      </c>
      <c r="T51" s="102" t="n">
        <f aca="false">INDEX(Calib!$C$72:$G$72,T$6)*T50</f>
        <v>0.3</v>
      </c>
      <c r="U51" s="102" t="n">
        <f aca="false">INDEX(Calib!$C$72:$G$72,U$6)*U50</f>
        <v>0.3</v>
      </c>
      <c r="V51" s="102" t="n">
        <f aca="false">INDEX(Calib!$C$72:$G$72,V$6)*V50</f>
        <v>0.3</v>
      </c>
      <c r="W51" s="102" t="n">
        <f aca="false">INDEX(Calib!$C$72:$G$72,W$6)*W50</f>
        <v>0.3</v>
      </c>
      <c r="X51" s="102" t="n">
        <f aca="false">INDEX(Calib!$C$72:$G$72,X$6)*X50</f>
        <v>0.3</v>
      </c>
      <c r="Y51" s="102" t="n">
        <f aca="false">INDEX(Calib!$C$72:$G$72,Y$6)*Y50</f>
        <v>0.3</v>
      </c>
      <c r="Z51" s="102" t="n">
        <f aca="false">INDEX(Calib!$C$72:$G$72,Z$6)*Z50</f>
        <v>0.3</v>
      </c>
      <c r="AA51" s="102" t="n">
        <f aca="false">INDEX(Calib!$C$72:$G$72,AA$6)*AA50</f>
        <v>0.21</v>
      </c>
      <c r="AB51" s="102" t="n">
        <f aca="false">INDEX(Calib!$C$72:$G$72,AB$6)*AB50</f>
        <v>0.21</v>
      </c>
      <c r="AC51" s="102" t="n">
        <f aca="false">INDEX(Calib!$C$72:$G$72,AC$6)*AC50</f>
        <v>0.3</v>
      </c>
      <c r="AD51" s="102" t="n">
        <f aca="false">INDEX(Calib!$C$72:$G$72,AD$6)*AD50</f>
        <v>0.3</v>
      </c>
      <c r="AE51" s="102" t="n">
        <f aca="false">INDEX(Calib!$C$72:$G$72,AE$6)*AE50</f>
        <v>0.3</v>
      </c>
      <c r="AF51" s="102" t="n">
        <f aca="false">INDEX(Calib!$C$72:$G$72,AF$6)*AF50</f>
        <v>0.3</v>
      </c>
      <c r="AG51" s="102" t="n">
        <f aca="false">INDEX(Calib!$C$72:$G$72,AG$6)*AG50</f>
        <v>0.3</v>
      </c>
      <c r="AH51" s="102" t="n">
        <f aca="false">INDEX(Calib!$C$72:$G$72,AH$6)*AH50</f>
        <v>0.3</v>
      </c>
    </row>
    <row r="52" customFormat="false" ht="15" hidden="false" customHeight="false" outlineLevel="0" collapsed="false">
      <c r="A52" s="54" t="s">
        <v>706</v>
      </c>
      <c r="B52" s="54" t="s">
        <v>75</v>
      </c>
      <c r="C52" s="90" t="n">
        <f aca="false">Tech_Registry!$E$20</f>
        <v>1</v>
      </c>
      <c r="D52" s="90" t="n">
        <f aca="false">Tech_Registry!$E$20</f>
        <v>1</v>
      </c>
      <c r="E52" s="73" t="n">
        <v>0.5</v>
      </c>
      <c r="F52" s="90" t="n">
        <f aca="false">Tech_Registry!$E$20</f>
        <v>1</v>
      </c>
      <c r="G52" s="73" t="n">
        <v>1.5</v>
      </c>
      <c r="H52" s="90" t="n">
        <f aca="false">Tech_Registry!$E$20</f>
        <v>1</v>
      </c>
      <c r="I52" s="90" t="n">
        <f aca="false">Tech_Registry!$E$20</f>
        <v>1</v>
      </c>
      <c r="J52" s="90" t="n">
        <f aca="false">Tech_Registry!$E$20</f>
        <v>1</v>
      </c>
      <c r="K52" s="90" t="n">
        <f aca="false">Tech_Registry!$E$20</f>
        <v>1</v>
      </c>
      <c r="L52" s="90" t="n">
        <f aca="false">Tech_Registry!$E$20</f>
        <v>1</v>
      </c>
      <c r="M52" s="90" t="n">
        <f aca="false">Tech_Registry!$E$20</f>
        <v>1</v>
      </c>
      <c r="N52" s="90" t="n">
        <f aca="false">Tech_Registry!$E$20</f>
        <v>1</v>
      </c>
      <c r="O52" s="90" t="n">
        <f aca="false">Tech_Registry!$E$20</f>
        <v>1</v>
      </c>
      <c r="P52" s="90" t="n">
        <f aca="false">Tech_Registry!$E$20</f>
        <v>1</v>
      </c>
      <c r="Q52" s="90" t="n">
        <f aca="false">Tech_Registry!$E$20</f>
        <v>1</v>
      </c>
      <c r="R52" s="90" t="n">
        <f aca="false">Tech_Registry!$E$20</f>
        <v>1</v>
      </c>
      <c r="S52" s="90" t="n">
        <f aca="false">Tech_Registry!$E$20</f>
        <v>1</v>
      </c>
      <c r="T52" s="90" t="n">
        <f aca="false">Tech_Registry!$E$20</f>
        <v>1</v>
      </c>
      <c r="U52" s="90" t="n">
        <f aca="false">Tech_Registry!$E$20</f>
        <v>1</v>
      </c>
      <c r="V52" s="90" t="n">
        <f aca="false">Tech_Registry!$E$20</f>
        <v>1</v>
      </c>
      <c r="W52" s="90" t="n">
        <f aca="false">Tech_Registry!$E$20</f>
        <v>1</v>
      </c>
      <c r="X52" s="90" t="n">
        <f aca="false">Tech_Registry!$E$20</f>
        <v>1</v>
      </c>
      <c r="Y52" s="90" t="n">
        <f aca="false">Tech_Registry!$E$20</f>
        <v>1</v>
      </c>
      <c r="Z52" s="90" t="n">
        <f aca="false">Tech_Registry!$E$20</f>
        <v>1</v>
      </c>
      <c r="AA52" s="90" t="n">
        <f aca="false">Tech_Registry!$E$20</f>
        <v>1</v>
      </c>
      <c r="AB52" s="90" t="n">
        <f aca="false">Tech_Registry!$E$20</f>
        <v>1</v>
      </c>
      <c r="AC52" s="90" t="n">
        <f aca="false">Tech_Registry!$E$20</f>
        <v>1</v>
      </c>
      <c r="AD52" s="90" t="n">
        <f aca="false">Tech_Registry!$E$20</f>
        <v>1</v>
      </c>
      <c r="AE52" s="90" t="n">
        <f aca="false">Tech_Registry!$E$20</f>
        <v>1</v>
      </c>
      <c r="AF52" s="90" t="n">
        <f aca="false">Tech_Registry!$E$20</f>
        <v>1</v>
      </c>
      <c r="AG52" s="90" t="n">
        <f aca="false">Tech_Registry!$E$20</f>
        <v>1</v>
      </c>
      <c r="AH52" s="90" t="n">
        <f aca="false">Tech_Registry!$E$20</f>
        <v>1</v>
      </c>
    </row>
    <row r="53" customFormat="false" ht="15" hidden="false" customHeight="false" outlineLevel="0" collapsed="false">
      <c r="A53" s="54" t="s">
        <v>707</v>
      </c>
      <c r="B53" s="54" t="s">
        <v>71</v>
      </c>
      <c r="C53" s="103" t="n">
        <f aca="false">INDEX(Calib!$C$70:$G$70,C$6)*C52*C50</f>
        <v>0.0357550334998836</v>
      </c>
      <c r="D53" s="103" t="n">
        <f aca="false">INDEX(Calib!$C$70:$G$70,D$6)*D52*D50</f>
        <v>0.0357550334998836</v>
      </c>
      <c r="E53" s="103" t="n">
        <f aca="false">INDEX(Calib!$C$70:$G$70,E$6)*E52*E50</f>
        <v>0.0178775167499418</v>
      </c>
      <c r="F53" s="103" t="n">
        <f aca="false">INDEX(Calib!$C$70:$G$70,F$6)*F52*F50</f>
        <v>0.0357550334998836</v>
      </c>
      <c r="G53" s="103" t="n">
        <f aca="false">INDEX(Calib!$C$70:$G$70,G$6)*G52*G50</f>
        <v>0.0536325502498254</v>
      </c>
      <c r="H53" s="103" t="n">
        <f aca="false">INDEX(Calib!$C$70:$G$70,H$6)*H52*H50</f>
        <v>0.0357550334998836</v>
      </c>
      <c r="I53" s="103" t="n">
        <f aca="false">INDEX(Calib!$C$70:$G$70,I$6)*I52*I50</f>
        <v>0.0357550334998836</v>
      </c>
      <c r="J53" s="103" t="n">
        <f aca="false">INDEX(Calib!$C$70:$G$70,J$6)*J52*J50</f>
        <v>0.0357550334998836</v>
      </c>
      <c r="K53" s="103" t="n">
        <f aca="false">INDEX(Calib!$C$70:$G$70,K$6)*K52*K50</f>
        <v>0.0357550334998836</v>
      </c>
      <c r="L53" s="103" t="n">
        <f aca="false">INDEX(Calib!$C$70:$G$70,L$6)*L52*L50</f>
        <v>0.0357550334998836</v>
      </c>
      <c r="M53" s="103" t="n">
        <f aca="false">INDEX(Calib!$C$70:$G$70,M$6)*M52*M50</f>
        <v>0.0357550334998836</v>
      </c>
      <c r="N53" s="103" t="n">
        <f aca="false">INDEX(Calib!$C$70:$G$70,N$6)*N52*N50</f>
        <v>0.0357550334998836</v>
      </c>
      <c r="O53" s="103" t="n">
        <f aca="false">INDEX(Calib!$C$70:$G$70,O$6)*O52*O50</f>
        <v>0.0357550334998836</v>
      </c>
      <c r="P53" s="103" t="n">
        <f aca="false">INDEX(Calib!$C$70:$G$70,P$6)*P52*P50</f>
        <v>0.0357550334998836</v>
      </c>
      <c r="Q53" s="103" t="n">
        <f aca="false">INDEX(Calib!$C$70:$G$70,Q$6)*Q52*Q50</f>
        <v>0.0357550334998836</v>
      </c>
      <c r="R53" s="103" t="n">
        <f aca="false">INDEX(Calib!$C$70:$G$70,R$6)*R52*R50</f>
        <v>0.0357550334998836</v>
      </c>
      <c r="S53" s="103" t="n">
        <f aca="false">INDEX(Calib!$C$70:$G$70,S$6)*S52*S50</f>
        <v>0.0357550334998836</v>
      </c>
      <c r="T53" s="103" t="n">
        <f aca="false">INDEX(Calib!$C$70:$G$70,T$6)*T52*T50</f>
        <v>0.0357550334998836</v>
      </c>
      <c r="U53" s="103" t="n">
        <f aca="false">INDEX(Calib!$C$70:$G$70,U$6)*U52*U50</f>
        <v>0.0357550334998836</v>
      </c>
      <c r="V53" s="103" t="n">
        <f aca="false">INDEX(Calib!$C$70:$G$70,V$6)*V52*V50</f>
        <v>0.0357550334998836</v>
      </c>
      <c r="W53" s="103" t="n">
        <f aca="false">INDEX(Calib!$C$70:$G$70,W$6)*W52*W50</f>
        <v>0.0357550334998836</v>
      </c>
      <c r="X53" s="103" t="n">
        <f aca="false">INDEX(Calib!$C$70:$G$70,X$6)*X52*X50</f>
        <v>0.0357550334998836</v>
      </c>
      <c r="Y53" s="103" t="n">
        <f aca="false">INDEX(Calib!$C$70:$G$70,Y$6)*Y52*Y50</f>
        <v>0.0357550334998836</v>
      </c>
      <c r="Z53" s="103" t="n">
        <f aca="false">INDEX(Calib!$C$70:$G$70,Z$6)*Z52*Z50</f>
        <v>0.0357550334998836</v>
      </c>
      <c r="AA53" s="103" t="n">
        <f aca="false">INDEX(Calib!$C$70:$G$70,AA$6)*AA52*AA50</f>
        <v>0.0250285234499185</v>
      </c>
      <c r="AB53" s="103" t="n">
        <f aca="false">INDEX(Calib!$C$70:$G$70,AB$6)*AB52*AB50</f>
        <v>0.0250285234499185</v>
      </c>
      <c r="AC53" s="103" t="n">
        <f aca="false">INDEX(Calib!$C$70:$G$70,AC$6)*AC52*AC50</f>
        <v>0.0357550334998836</v>
      </c>
      <c r="AD53" s="103" t="n">
        <f aca="false">INDEX(Calib!$C$70:$G$70,AD$6)*AD52*AD50</f>
        <v>0.0357550334998836</v>
      </c>
      <c r="AE53" s="103" t="n">
        <f aca="false">INDEX(Calib!$C$70:$G$70,AE$6)*AE52*AE50</f>
        <v>0.0357550334998836</v>
      </c>
      <c r="AF53" s="103" t="n">
        <f aca="false">INDEX(Calib!$C$70:$G$70,AF$6)*AF52*AF50</f>
        <v>0.0357550334998836</v>
      </c>
      <c r="AG53" s="103" t="n">
        <f aca="false">INDEX(Calib!$C$70:$G$70,AG$6)*AG52*AG50</f>
        <v>0.0357550334998836</v>
      </c>
      <c r="AH53" s="103" t="n">
        <f aca="false">INDEX(Calib!$C$70:$G$70,AH$6)*AH52*AH50</f>
        <v>0.0357550334998836</v>
      </c>
    </row>
    <row r="54" customFormat="false" ht="15" hidden="false" customHeight="false" outlineLevel="0" collapsed="false">
      <c r="A54" s="53" t="s">
        <v>708</v>
      </c>
      <c r="B54" s="54" t="s">
        <v>75</v>
      </c>
      <c r="C54" s="90" t="n">
        <f aca="false">Tech_Registry!$E$21</f>
        <v>1</v>
      </c>
      <c r="D54" s="90" t="n">
        <f aca="false">Tech_Registry!$E$21</f>
        <v>1</v>
      </c>
      <c r="E54" s="90" t="n">
        <f aca="false">Tech_Registry!$E$21</f>
        <v>1</v>
      </c>
      <c r="F54" s="90" t="n">
        <f aca="false">Tech_Registry!$E$21</f>
        <v>1</v>
      </c>
      <c r="G54" s="90" t="n">
        <f aca="false">Tech_Registry!$E$21</f>
        <v>1</v>
      </c>
      <c r="H54" s="90" t="n">
        <f aca="false">Tech_Registry!$E$21</f>
        <v>1</v>
      </c>
      <c r="I54" s="73" t="n">
        <v>0.7</v>
      </c>
      <c r="J54" s="90" t="n">
        <f aca="false">Tech_Registry!$E$21</f>
        <v>1</v>
      </c>
      <c r="K54" s="73" t="n">
        <v>1.5</v>
      </c>
      <c r="L54" s="90" t="n">
        <f aca="false">Tech_Registry!$E$21</f>
        <v>1</v>
      </c>
      <c r="M54" s="90" t="n">
        <f aca="false">Tech_Registry!$E$21</f>
        <v>1</v>
      </c>
      <c r="N54" s="90" t="n">
        <f aca="false">Tech_Registry!$E$21</f>
        <v>1</v>
      </c>
      <c r="O54" s="90" t="n">
        <f aca="false">Tech_Registry!$E$21</f>
        <v>1</v>
      </c>
      <c r="P54" s="90" t="n">
        <f aca="false">Tech_Registry!$E$21</f>
        <v>1</v>
      </c>
      <c r="Q54" s="90" t="n">
        <f aca="false">Tech_Registry!$E$21</f>
        <v>1</v>
      </c>
      <c r="R54" s="90" t="n">
        <f aca="false">Tech_Registry!$E$21</f>
        <v>1</v>
      </c>
      <c r="S54" s="90" t="n">
        <f aca="false">Tech_Registry!$E$21</f>
        <v>1</v>
      </c>
      <c r="T54" s="90" t="n">
        <f aca="false">Tech_Registry!$E$21</f>
        <v>1</v>
      </c>
      <c r="U54" s="90" t="n">
        <f aca="false">Tech_Registry!$E$21</f>
        <v>1</v>
      </c>
      <c r="V54" s="90" t="n">
        <f aca="false">Tech_Registry!$E$21</f>
        <v>1</v>
      </c>
      <c r="W54" s="90" t="n">
        <f aca="false">Tech_Registry!$E$21</f>
        <v>1</v>
      </c>
      <c r="X54" s="90" t="n">
        <f aca="false">Tech_Registry!$E$21</f>
        <v>1</v>
      </c>
      <c r="Y54" s="90" t="n">
        <f aca="false">Tech_Registry!$E$21</f>
        <v>1</v>
      </c>
      <c r="Z54" s="90" t="n">
        <f aca="false">Tech_Registry!$E$21</f>
        <v>1</v>
      </c>
      <c r="AA54" s="90" t="n">
        <f aca="false">Tech_Registry!$E$21</f>
        <v>1</v>
      </c>
      <c r="AB54" s="90" t="n">
        <f aca="false">Tech_Registry!$E$21</f>
        <v>1</v>
      </c>
      <c r="AC54" s="90" t="n">
        <f aca="false">Tech_Registry!$E$21</f>
        <v>1</v>
      </c>
      <c r="AD54" s="90" t="n">
        <f aca="false">Tech_Registry!$E$21</f>
        <v>1</v>
      </c>
      <c r="AE54" s="90" t="n">
        <f aca="false">Tech_Registry!$E$21</f>
        <v>1</v>
      </c>
      <c r="AF54" s="90" t="n">
        <f aca="false">Tech_Registry!$E$21</f>
        <v>1</v>
      </c>
      <c r="AG54" s="90" t="n">
        <f aca="false">Tech_Registry!$E$21</f>
        <v>1</v>
      </c>
      <c r="AH54" s="90" t="n">
        <f aca="false">Tech_Registry!$E$21</f>
        <v>1</v>
      </c>
    </row>
    <row r="55" customFormat="false" ht="15" hidden="false" customHeight="false" outlineLevel="0" collapsed="false">
      <c r="A55" s="53" t="s">
        <v>709</v>
      </c>
      <c r="B55" s="54" t="s">
        <v>469</v>
      </c>
      <c r="C55" s="55" t="n">
        <f aca="false">INDEX(Calib!$C$71:$G$71,C$6)*C54/C50</f>
        <v>161.185338133698</v>
      </c>
      <c r="D55" s="55" t="n">
        <f aca="false">INDEX(Calib!$C$71:$G$71,D$6)*D54/D50</f>
        <v>161.185338133698</v>
      </c>
      <c r="E55" s="55" t="n">
        <f aca="false">INDEX(Calib!$C$71:$G$71,E$6)*E54/E50</f>
        <v>161.185338133698</v>
      </c>
      <c r="F55" s="55" t="n">
        <f aca="false">INDEX(Calib!$C$71:$G$71,F$6)*F54/F50</f>
        <v>161.185338133698</v>
      </c>
      <c r="G55" s="55" t="n">
        <f aca="false">INDEX(Calib!$C$71:$G$71,G$6)*G54/G50</f>
        <v>161.185338133698</v>
      </c>
      <c r="H55" s="55" t="n">
        <f aca="false">INDEX(Calib!$C$71:$G$71,H$6)*H54/H50</f>
        <v>161.185338133698</v>
      </c>
      <c r="I55" s="55" t="n">
        <f aca="false">INDEX(Calib!$C$71:$G$71,I$6)*I54/I50</f>
        <v>112.829736693588</v>
      </c>
      <c r="J55" s="55" t="n">
        <f aca="false">INDEX(Calib!$C$71:$G$71,J$6)*J54/J50</f>
        <v>161.185338133698</v>
      </c>
      <c r="K55" s="55" t="n">
        <f aca="false">INDEX(Calib!$C$71:$G$71,K$6)*K54/K50</f>
        <v>241.778007200547</v>
      </c>
      <c r="L55" s="55" t="n">
        <f aca="false">INDEX(Calib!$C$71:$G$71,L$6)*L54/L50</f>
        <v>161.185338133698</v>
      </c>
      <c r="M55" s="55" t="n">
        <f aca="false">INDEX(Calib!$C$71:$G$71,M$6)*M54/M50</f>
        <v>161.185338133698</v>
      </c>
      <c r="N55" s="55" t="n">
        <f aca="false">INDEX(Calib!$C$71:$G$71,N$6)*N54/N50</f>
        <v>161.185338133698</v>
      </c>
      <c r="O55" s="55" t="n">
        <f aca="false">INDEX(Calib!$C$71:$G$71,O$6)*O54/O50</f>
        <v>161.185338133698</v>
      </c>
      <c r="P55" s="55" t="n">
        <f aca="false">INDEX(Calib!$C$71:$G$71,P$6)*P54/P50</f>
        <v>161.185338133698</v>
      </c>
      <c r="Q55" s="55" t="n">
        <f aca="false">INDEX(Calib!$C$71:$G$71,Q$6)*Q54/Q50</f>
        <v>161.185338133698</v>
      </c>
      <c r="R55" s="55" t="n">
        <f aca="false">INDEX(Calib!$C$71:$G$71,R$6)*R54/R50</f>
        <v>161.185338133698</v>
      </c>
      <c r="S55" s="55" t="n">
        <f aca="false">INDEX(Calib!$C$71:$G$71,S$6)*S54/S50</f>
        <v>161.185338133698</v>
      </c>
      <c r="T55" s="55" t="n">
        <f aca="false">INDEX(Calib!$C$71:$G$71,T$6)*T54/T50</f>
        <v>161.185338133698</v>
      </c>
      <c r="U55" s="55" t="n">
        <f aca="false">INDEX(Calib!$C$71:$G$71,U$6)*U54/U50</f>
        <v>161.185338133698</v>
      </c>
      <c r="V55" s="55" t="n">
        <f aca="false">INDEX(Calib!$C$71:$G$71,V$6)*V54/V50</f>
        <v>161.185338133698</v>
      </c>
      <c r="W55" s="55" t="n">
        <f aca="false">INDEX(Calib!$C$71:$G$71,W$6)*W54/W50</f>
        <v>161.185338133698</v>
      </c>
      <c r="X55" s="55" t="n">
        <f aca="false">INDEX(Calib!$C$71:$G$71,X$6)*X54/X50</f>
        <v>161.185338133698</v>
      </c>
      <c r="Y55" s="55" t="n">
        <f aca="false">INDEX(Calib!$C$71:$G$71,Y$6)*Y54/Y50</f>
        <v>161.185338133698</v>
      </c>
      <c r="Z55" s="55" t="n">
        <f aca="false">INDEX(Calib!$C$71:$G$71,Z$6)*Z54/Z50</f>
        <v>161.185338133698</v>
      </c>
      <c r="AA55" s="55" t="n">
        <f aca="false">INDEX(Calib!$C$71:$G$71,AA$6)*AA54/AA50</f>
        <v>230.264768762425</v>
      </c>
      <c r="AB55" s="55" t="n">
        <f aca="false">INDEX(Calib!$C$71:$G$71,AB$6)*AB54/AB50</f>
        <v>230.264768762425</v>
      </c>
      <c r="AC55" s="55" t="n">
        <f aca="false">INDEX(Calib!$C$71:$G$71,AC$6)*AC54/AC50</f>
        <v>161.185338133698</v>
      </c>
      <c r="AD55" s="55" t="n">
        <f aca="false">INDEX(Calib!$C$71:$G$71,AD$6)*AD54/AD50</f>
        <v>161.185338133698</v>
      </c>
      <c r="AE55" s="55" t="n">
        <f aca="false">INDEX(Calib!$C$71:$G$71,AE$6)*AE54/AE50</f>
        <v>161.185338133698</v>
      </c>
      <c r="AF55" s="55" t="n">
        <f aca="false">INDEX(Calib!$C$71:$G$71,AF$6)*AF54/AF50</f>
        <v>161.185338133698</v>
      </c>
      <c r="AG55" s="55" t="n">
        <f aca="false">INDEX(Calib!$C$71:$G$71,AG$6)*AG54/AG50</f>
        <v>161.185338133698</v>
      </c>
      <c r="AH55" s="55" t="n">
        <f aca="false">INDEX(Calib!$C$71:$G$71,AH$6)*AH54/AH50</f>
        <v>161.185338133698</v>
      </c>
    </row>
    <row r="56" customFormat="false" ht="15" hidden="false" customHeight="false" outlineLevel="0" collapsed="false">
      <c r="A56" s="54" t="s">
        <v>710</v>
      </c>
      <c r="B56" s="54" t="s">
        <v>71</v>
      </c>
      <c r="C56" s="57" t="n">
        <f aca="false">Serving!$C$9</f>
        <v>0.1</v>
      </c>
      <c r="D56" s="57" t="n">
        <f aca="false">Serving!$C$9</f>
        <v>0.1</v>
      </c>
      <c r="E56" s="57" t="n">
        <f aca="false">Serving!$C$9</f>
        <v>0.1</v>
      </c>
      <c r="F56" s="57" t="n">
        <f aca="false">Serving!$C$9</f>
        <v>0.1</v>
      </c>
      <c r="G56" s="57" t="n">
        <f aca="false">Serving!$C$9</f>
        <v>0.1</v>
      </c>
      <c r="H56" s="57" t="n">
        <f aca="false">Serving!$C$9</f>
        <v>0.1</v>
      </c>
      <c r="I56" s="57" t="n">
        <f aca="false">Serving!$C$9</f>
        <v>0.1</v>
      </c>
      <c r="J56" s="57" t="n">
        <f aca="false">Serving!$C$9</f>
        <v>0.1</v>
      </c>
      <c r="K56" s="57" t="n">
        <f aca="false">Serving!$C$9</f>
        <v>0.1</v>
      </c>
      <c r="L56" s="57" t="n">
        <f aca="false">Serving!$C$9</f>
        <v>0.1</v>
      </c>
      <c r="M56" s="57" t="n">
        <f aca="false">Serving!$C$9</f>
        <v>0.1</v>
      </c>
      <c r="N56" s="57" t="n">
        <f aca="false">Serving!$C$9</f>
        <v>0.1</v>
      </c>
      <c r="O56" s="57" t="n">
        <f aca="false">Serving!$C$9</f>
        <v>0.1</v>
      </c>
      <c r="P56" s="57" t="n">
        <f aca="false">Serving!$C$9</f>
        <v>0.1</v>
      </c>
      <c r="Q56" s="57" t="n">
        <f aca="false">Serving!$C$9</f>
        <v>0.1</v>
      </c>
      <c r="R56" s="57" t="n">
        <f aca="false">Serving!$C$9</f>
        <v>0.1</v>
      </c>
      <c r="S56" s="57" t="n">
        <f aca="false">Serving!$C$9</f>
        <v>0.1</v>
      </c>
      <c r="T56" s="57" t="n">
        <f aca="false">Serving!$C$9</f>
        <v>0.1</v>
      </c>
      <c r="U56" s="57" t="n">
        <f aca="false">Serving!$C$9</f>
        <v>0.1</v>
      </c>
      <c r="V56" s="57" t="n">
        <f aca="false">Serving!$C$9</f>
        <v>0.1</v>
      </c>
      <c r="W56" s="57" t="n">
        <f aca="false">Serving!$C$9</f>
        <v>0.1</v>
      </c>
      <c r="X56" s="57" t="n">
        <f aca="false">Serving!$C$9</f>
        <v>0.1</v>
      </c>
      <c r="Y56" s="57" t="n">
        <f aca="false">Serving!$C$9</f>
        <v>0.1</v>
      </c>
      <c r="Z56" s="57" t="n">
        <f aca="false">Serving!$C$9</f>
        <v>0.1</v>
      </c>
      <c r="AA56" s="57" t="n">
        <f aca="false">Serving!$C$9</f>
        <v>0.1</v>
      </c>
      <c r="AB56" s="57" t="n">
        <f aca="false">Serving!$C$9</f>
        <v>0.1</v>
      </c>
      <c r="AC56" s="57" t="n">
        <f aca="false">Serving!$C$9</f>
        <v>0.1</v>
      </c>
      <c r="AD56" s="57" t="n">
        <f aca="false">Serving!$C$9</f>
        <v>0.1</v>
      </c>
      <c r="AE56" s="57" t="n">
        <f aca="false">Serving!$C$9</f>
        <v>0.1</v>
      </c>
      <c r="AF56" s="57" t="n">
        <f aca="false">Serving!$C$9</f>
        <v>0.1</v>
      </c>
      <c r="AG56" s="57" t="n">
        <f aca="false">Serving!$C$9</f>
        <v>0.1</v>
      </c>
      <c r="AH56" s="57" t="n">
        <f aca="false">Serving!$C$9</f>
        <v>0.1</v>
      </c>
    </row>
    <row r="57" customFormat="false" ht="15" hidden="false" customHeight="false" outlineLevel="0" collapsed="false">
      <c r="A57" s="53" t="s">
        <v>711</v>
      </c>
      <c r="B57" s="54" t="s">
        <v>71</v>
      </c>
      <c r="C57" s="57" t="n">
        <f aca="false">Serving!$C$10</f>
        <v>0.2</v>
      </c>
      <c r="D57" s="57" t="n">
        <f aca="false">Serving!$C$10</f>
        <v>0.2</v>
      </c>
      <c r="E57" s="57" t="n">
        <f aca="false">Serving!$C$10</f>
        <v>0.2</v>
      </c>
      <c r="F57" s="57" t="n">
        <f aca="false">Serving!$C$10</f>
        <v>0.2</v>
      </c>
      <c r="G57" s="57" t="n">
        <f aca="false">Serving!$C$10</f>
        <v>0.2</v>
      </c>
      <c r="H57" s="57" t="n">
        <f aca="false">Serving!$C$10</f>
        <v>0.2</v>
      </c>
      <c r="I57" s="57" t="n">
        <f aca="false">Serving!$C$10</f>
        <v>0.2</v>
      </c>
      <c r="J57" s="57" t="n">
        <f aca="false">Serving!$C$10</f>
        <v>0.2</v>
      </c>
      <c r="K57" s="57" t="n">
        <f aca="false">Serving!$C$10</f>
        <v>0.2</v>
      </c>
      <c r="L57" s="57" t="n">
        <f aca="false">Serving!$C$10</f>
        <v>0.2</v>
      </c>
      <c r="M57" s="57" t="n">
        <f aca="false">Serving!$C$10</f>
        <v>0.2</v>
      </c>
      <c r="N57" s="57" t="n">
        <f aca="false">Serving!$C$10</f>
        <v>0.2</v>
      </c>
      <c r="O57" s="57" t="n">
        <f aca="false">Serving!$C$10</f>
        <v>0.2</v>
      </c>
      <c r="P57" s="57" t="n">
        <f aca="false">Serving!$C$10</f>
        <v>0.2</v>
      </c>
      <c r="Q57" s="57" t="n">
        <f aca="false">Serving!$C$10</f>
        <v>0.2</v>
      </c>
      <c r="R57" s="57" t="n">
        <f aca="false">Serving!$C$10</f>
        <v>0.2</v>
      </c>
      <c r="S57" s="57" t="n">
        <f aca="false">Serving!$C$10</f>
        <v>0.2</v>
      </c>
      <c r="T57" s="57" t="n">
        <f aca="false">Serving!$C$10</f>
        <v>0.2</v>
      </c>
      <c r="U57" s="57" t="n">
        <f aca="false">Serving!$C$10</f>
        <v>0.2</v>
      </c>
      <c r="V57" s="57" t="n">
        <f aca="false">Serving!$C$10</f>
        <v>0.2</v>
      </c>
      <c r="W57" s="57" t="n">
        <f aca="false">Serving!$C$10</f>
        <v>0.2</v>
      </c>
      <c r="X57" s="57" t="n">
        <f aca="false">Serving!$C$10</f>
        <v>0.2</v>
      </c>
      <c r="Y57" s="57" t="n">
        <f aca="false">Serving!$C$10</f>
        <v>0.2</v>
      </c>
      <c r="Z57" s="57" t="n">
        <f aca="false">Serving!$C$10</f>
        <v>0.2</v>
      </c>
      <c r="AA57" s="57" t="n">
        <f aca="false">Serving!$C$10</f>
        <v>0.2</v>
      </c>
      <c r="AB57" s="57" t="n">
        <f aca="false">Serving!$C$10</f>
        <v>0.2</v>
      </c>
      <c r="AC57" s="57" t="n">
        <f aca="false">Serving!$C$10</f>
        <v>0.2</v>
      </c>
      <c r="AD57" s="57" t="n">
        <f aca="false">Serving!$C$10</f>
        <v>0.2</v>
      </c>
      <c r="AE57" s="57" t="n">
        <f aca="false">Serving!$C$10</f>
        <v>0.2</v>
      </c>
      <c r="AF57" s="57" t="n">
        <f aca="false">Serving!$C$10</f>
        <v>0.2</v>
      </c>
      <c r="AG57" s="57" t="n">
        <f aca="false">Serving!$C$10</f>
        <v>0.2</v>
      </c>
      <c r="AH57" s="57" t="n">
        <f aca="false">Serving!$C$10</f>
        <v>0.2</v>
      </c>
    </row>
    <row r="58" customFormat="false" ht="15" hidden="false" customHeight="false" outlineLevel="0" collapsed="false">
      <c r="A58" s="53" t="s">
        <v>712</v>
      </c>
      <c r="B58" s="54" t="s">
        <v>71</v>
      </c>
      <c r="C58" s="57" t="n">
        <f aca="false">Serving!$C$11</f>
        <v>0.4</v>
      </c>
      <c r="D58" s="57" t="n">
        <f aca="false">Serving!$C$11</f>
        <v>0.4</v>
      </c>
      <c r="E58" s="57" t="n">
        <f aca="false">Serving!$C$11</f>
        <v>0.4</v>
      </c>
      <c r="F58" s="57" t="n">
        <f aca="false">Serving!$C$11</f>
        <v>0.4</v>
      </c>
      <c r="G58" s="57" t="n">
        <f aca="false">Serving!$C$11</f>
        <v>0.4</v>
      </c>
      <c r="H58" s="57" t="n">
        <f aca="false">Serving!$C$11</f>
        <v>0.4</v>
      </c>
      <c r="I58" s="57" t="n">
        <f aca="false">Serving!$C$11</f>
        <v>0.4</v>
      </c>
      <c r="J58" s="57" t="n">
        <f aca="false">Serving!$C$11</f>
        <v>0.4</v>
      </c>
      <c r="K58" s="57" t="n">
        <f aca="false">Serving!$C$11</f>
        <v>0.4</v>
      </c>
      <c r="L58" s="57" t="n">
        <f aca="false">Serving!$C$11</f>
        <v>0.4</v>
      </c>
      <c r="M58" s="57" t="n">
        <f aca="false">Serving!$C$11</f>
        <v>0.4</v>
      </c>
      <c r="N58" s="57" t="n">
        <f aca="false">Serving!$C$11</f>
        <v>0.4</v>
      </c>
      <c r="O58" s="57" t="n">
        <f aca="false">Serving!$C$11</f>
        <v>0.4</v>
      </c>
      <c r="P58" s="57" t="n">
        <f aca="false">Serving!$C$11</f>
        <v>0.4</v>
      </c>
      <c r="Q58" s="57" t="n">
        <f aca="false">Serving!$C$11</f>
        <v>0.4</v>
      </c>
      <c r="R58" s="57" t="n">
        <f aca="false">Serving!$C$11</f>
        <v>0.4</v>
      </c>
      <c r="S58" s="57" t="n">
        <f aca="false">Serving!$C$11</f>
        <v>0.4</v>
      </c>
      <c r="T58" s="57" t="n">
        <f aca="false">Serving!$C$11</f>
        <v>0.4</v>
      </c>
      <c r="U58" s="57" t="n">
        <f aca="false">Serving!$C$11</f>
        <v>0.4</v>
      </c>
      <c r="V58" s="57" t="n">
        <f aca="false">Serving!$C$11</f>
        <v>0.4</v>
      </c>
      <c r="W58" s="57" t="n">
        <f aca="false">Serving!$C$11</f>
        <v>0.4</v>
      </c>
      <c r="X58" s="57" t="n">
        <f aca="false">Serving!$C$11</f>
        <v>0.4</v>
      </c>
      <c r="Y58" s="57" t="n">
        <f aca="false">Serving!$C$11</f>
        <v>0.4</v>
      </c>
      <c r="Z58" s="57" t="n">
        <f aca="false">Serving!$C$11</f>
        <v>0.4</v>
      </c>
      <c r="AA58" s="57" t="n">
        <f aca="false">Serving!$C$11</f>
        <v>0.4</v>
      </c>
      <c r="AB58" s="57" t="n">
        <f aca="false">Serving!$C$11</f>
        <v>0.4</v>
      </c>
      <c r="AC58" s="57" t="n">
        <f aca="false">Serving!$C$11</f>
        <v>0.4</v>
      </c>
      <c r="AD58" s="57" t="n">
        <f aca="false">Serving!$C$11</f>
        <v>0.4</v>
      </c>
      <c r="AE58" s="57" t="n">
        <f aca="false">Serving!$C$11</f>
        <v>0.4</v>
      </c>
      <c r="AF58" s="57" t="n">
        <f aca="false">Serving!$C$11</f>
        <v>0.4</v>
      </c>
      <c r="AG58" s="57" t="n">
        <f aca="false">Serving!$C$11</f>
        <v>0.4</v>
      </c>
      <c r="AH58" s="57" t="n">
        <f aca="false">Serving!$C$11</f>
        <v>0.4</v>
      </c>
    </row>
    <row r="59" customFormat="false" ht="15" hidden="false" customHeight="false" outlineLevel="0" collapsed="false">
      <c r="A59" s="54" t="s">
        <v>713</v>
      </c>
      <c r="B59" s="54" t="s">
        <v>228</v>
      </c>
      <c r="C59" s="101" t="n">
        <f aca="false">Serving!$C$12</f>
        <v>3</v>
      </c>
      <c r="D59" s="101" t="n">
        <f aca="false">Serving!$C$12</f>
        <v>3</v>
      </c>
      <c r="E59" s="101" t="n">
        <f aca="false">Serving!$C$12</f>
        <v>3</v>
      </c>
      <c r="F59" s="101" t="n">
        <f aca="false">Serving!$C$12</f>
        <v>3</v>
      </c>
      <c r="G59" s="101" t="n">
        <f aca="false">Serving!$C$12</f>
        <v>3</v>
      </c>
      <c r="H59" s="101" t="n">
        <f aca="false">Serving!$C$12</f>
        <v>3</v>
      </c>
      <c r="I59" s="101" t="n">
        <f aca="false">Serving!$C$12</f>
        <v>3</v>
      </c>
      <c r="J59" s="101" t="n">
        <f aca="false">Serving!$C$12</f>
        <v>3</v>
      </c>
      <c r="K59" s="101" t="n">
        <f aca="false">Serving!$C$12</f>
        <v>3</v>
      </c>
      <c r="L59" s="101" t="n">
        <f aca="false">Serving!$C$12</f>
        <v>3</v>
      </c>
      <c r="M59" s="101" t="n">
        <f aca="false">Serving!$C$12</f>
        <v>3</v>
      </c>
      <c r="N59" s="101" t="n">
        <f aca="false">Serving!$C$12</f>
        <v>3</v>
      </c>
      <c r="O59" s="101" t="n">
        <f aca="false">Serving!$C$12</f>
        <v>3</v>
      </c>
      <c r="P59" s="101" t="n">
        <f aca="false">Serving!$C$12</f>
        <v>3</v>
      </c>
      <c r="Q59" s="101" t="n">
        <f aca="false">Serving!$C$12</f>
        <v>3</v>
      </c>
      <c r="R59" s="101" t="n">
        <f aca="false">Serving!$C$12</f>
        <v>3</v>
      </c>
      <c r="S59" s="101" t="n">
        <f aca="false">Serving!$C$12</f>
        <v>3</v>
      </c>
      <c r="T59" s="101" t="n">
        <f aca="false">Serving!$C$12</f>
        <v>3</v>
      </c>
      <c r="U59" s="101" t="n">
        <f aca="false">Serving!$C$12</f>
        <v>3</v>
      </c>
      <c r="V59" s="101" t="n">
        <f aca="false">Serving!$C$12</f>
        <v>3</v>
      </c>
      <c r="W59" s="101" t="n">
        <f aca="false">Serving!$C$12</f>
        <v>3</v>
      </c>
      <c r="X59" s="101" t="n">
        <f aca="false">Serving!$C$12</f>
        <v>3</v>
      </c>
      <c r="Y59" s="101" t="n">
        <f aca="false">Serving!$C$12</f>
        <v>3</v>
      </c>
      <c r="Z59" s="101" t="n">
        <f aca="false">Serving!$C$12</f>
        <v>3</v>
      </c>
      <c r="AA59" s="101" t="n">
        <f aca="false">Serving!$C$12</f>
        <v>3</v>
      </c>
      <c r="AB59" s="101" t="n">
        <f aca="false">Serving!$C$12</f>
        <v>3</v>
      </c>
      <c r="AC59" s="101" t="n">
        <f aca="false">Serving!$C$12</f>
        <v>3</v>
      </c>
      <c r="AD59" s="101" t="n">
        <f aca="false">Serving!$C$12</f>
        <v>3</v>
      </c>
      <c r="AE59" s="101" t="n">
        <f aca="false">Serving!$C$12</f>
        <v>3</v>
      </c>
      <c r="AF59" s="101" t="n">
        <f aca="false">Serving!$C$12</f>
        <v>3</v>
      </c>
      <c r="AG59" s="101" t="n">
        <f aca="false">Serving!$C$12</f>
        <v>3</v>
      </c>
      <c r="AH59" s="101" t="n">
        <f aca="false">Serving!$C$12</f>
        <v>3</v>
      </c>
    </row>
    <row r="60" customFormat="false" ht="15" hidden="false" customHeight="false" outlineLevel="0" collapsed="false">
      <c r="A60" s="54" t="s">
        <v>714</v>
      </c>
      <c r="B60" s="54" t="s">
        <v>71</v>
      </c>
      <c r="C60" s="57" t="n">
        <f aca="false">Serving!$C$13</f>
        <v>0.7</v>
      </c>
      <c r="D60" s="57" t="n">
        <f aca="false">Serving!$C$13</f>
        <v>0.7</v>
      </c>
      <c r="E60" s="57" t="n">
        <f aca="false">Serving!$C$13</f>
        <v>0.7</v>
      </c>
      <c r="F60" s="57" t="n">
        <f aca="false">Serving!$C$13</f>
        <v>0.7</v>
      </c>
      <c r="G60" s="57" t="n">
        <f aca="false">Serving!$C$13</f>
        <v>0.7</v>
      </c>
      <c r="H60" s="57" t="n">
        <f aca="false">Serving!$C$13</f>
        <v>0.7</v>
      </c>
      <c r="I60" s="57" t="n">
        <f aca="false">Serving!$C$13</f>
        <v>0.7</v>
      </c>
      <c r="J60" s="57" t="n">
        <f aca="false">Serving!$C$13</f>
        <v>0.7</v>
      </c>
      <c r="K60" s="57" t="n">
        <f aca="false">Serving!$C$13</f>
        <v>0.7</v>
      </c>
      <c r="L60" s="57" t="n">
        <f aca="false">Serving!$C$13</f>
        <v>0.7</v>
      </c>
      <c r="M60" s="57" t="n">
        <f aca="false">Serving!$C$13</f>
        <v>0.7</v>
      </c>
      <c r="N60" s="57" t="n">
        <f aca="false">Serving!$C$13</f>
        <v>0.7</v>
      </c>
      <c r="O60" s="57" t="n">
        <f aca="false">Serving!$C$13</f>
        <v>0.7</v>
      </c>
      <c r="P60" s="57" t="n">
        <f aca="false">Serving!$C$13</f>
        <v>0.7</v>
      </c>
      <c r="Q60" s="57" t="n">
        <f aca="false">Serving!$C$13</f>
        <v>0.7</v>
      </c>
      <c r="R60" s="57" t="n">
        <f aca="false">Serving!$C$13</f>
        <v>0.7</v>
      </c>
      <c r="S60" s="57" t="n">
        <f aca="false">Serving!$C$13</f>
        <v>0.7</v>
      </c>
      <c r="T60" s="57" t="n">
        <f aca="false">Serving!$C$13</f>
        <v>0.7</v>
      </c>
      <c r="U60" s="57" t="n">
        <f aca="false">Serving!$C$13</f>
        <v>0.7</v>
      </c>
      <c r="V60" s="57" t="n">
        <f aca="false">Serving!$C$13</f>
        <v>0.7</v>
      </c>
      <c r="W60" s="57" t="n">
        <f aca="false">Serving!$C$13</f>
        <v>0.7</v>
      </c>
      <c r="X60" s="57" t="n">
        <f aca="false">Serving!$C$13</f>
        <v>0.7</v>
      </c>
      <c r="Y60" s="57" t="n">
        <f aca="false">Serving!$C$13</f>
        <v>0.7</v>
      </c>
      <c r="Z60" s="57" t="n">
        <f aca="false">Serving!$C$13</f>
        <v>0.7</v>
      </c>
      <c r="AA60" s="57" t="n">
        <f aca="false">Serving!$C$13</f>
        <v>0.7</v>
      </c>
      <c r="AB60" s="57" t="n">
        <f aca="false">Serving!$C$13</f>
        <v>0.7</v>
      </c>
      <c r="AC60" s="57" t="n">
        <f aca="false">Serving!$C$13</f>
        <v>0.7</v>
      </c>
      <c r="AD60" s="57" t="n">
        <f aca="false">Serving!$C$13</f>
        <v>0.7</v>
      </c>
      <c r="AE60" s="57" t="n">
        <f aca="false">Serving!$C$13</f>
        <v>0.7</v>
      </c>
      <c r="AF60" s="57" t="n">
        <f aca="false">Serving!$C$13</f>
        <v>0.7</v>
      </c>
      <c r="AG60" s="57" t="n">
        <f aca="false">Serving!$C$13</f>
        <v>0.7</v>
      </c>
      <c r="AH60" s="57" t="n">
        <f aca="false">Serving!$C$13</f>
        <v>0.7</v>
      </c>
    </row>
    <row r="61" customFormat="false" ht="15" hidden="false" customHeight="false" outlineLevel="0" collapsed="false">
      <c r="A61" s="54" t="s">
        <v>715</v>
      </c>
      <c r="B61" s="54" t="s">
        <v>71</v>
      </c>
      <c r="C61" s="57" t="n">
        <f aca="false">Serving!$C$14</f>
        <v>0.7</v>
      </c>
      <c r="D61" s="57" t="n">
        <f aca="false">Serving!$C$14</f>
        <v>0.7</v>
      </c>
      <c r="E61" s="57" t="n">
        <f aca="false">Serving!$C$14</f>
        <v>0.7</v>
      </c>
      <c r="F61" s="57" t="n">
        <f aca="false">Serving!$C$14</f>
        <v>0.7</v>
      </c>
      <c r="G61" s="57" t="n">
        <f aca="false">Serving!$C$14</f>
        <v>0.7</v>
      </c>
      <c r="H61" s="57" t="n">
        <f aca="false">Serving!$C$14</f>
        <v>0.7</v>
      </c>
      <c r="I61" s="57" t="n">
        <f aca="false">Serving!$C$14</f>
        <v>0.7</v>
      </c>
      <c r="J61" s="57" t="n">
        <f aca="false">Serving!$C$14</f>
        <v>0.7</v>
      </c>
      <c r="K61" s="57" t="n">
        <f aca="false">Serving!$C$14</f>
        <v>0.7</v>
      </c>
      <c r="L61" s="57" t="n">
        <f aca="false">Serving!$C$14</f>
        <v>0.7</v>
      </c>
      <c r="M61" s="57" t="n">
        <f aca="false">Serving!$C$14</f>
        <v>0.7</v>
      </c>
      <c r="N61" s="57" t="n">
        <f aca="false">Serving!$C$14</f>
        <v>0.7</v>
      </c>
      <c r="O61" s="57" t="n">
        <f aca="false">Serving!$C$14</f>
        <v>0.7</v>
      </c>
      <c r="P61" s="57" t="n">
        <f aca="false">Serving!$C$14</f>
        <v>0.7</v>
      </c>
      <c r="Q61" s="57" t="n">
        <f aca="false">Serving!$C$14</f>
        <v>0.7</v>
      </c>
      <c r="R61" s="57" t="n">
        <f aca="false">Serving!$C$14</f>
        <v>0.7</v>
      </c>
      <c r="S61" s="57" t="n">
        <f aca="false">Serving!$C$14</f>
        <v>0.7</v>
      </c>
      <c r="T61" s="57" t="n">
        <f aca="false">Serving!$C$14</f>
        <v>0.7</v>
      </c>
      <c r="U61" s="57" t="n">
        <f aca="false">Serving!$C$14</f>
        <v>0.7</v>
      </c>
      <c r="V61" s="57" t="n">
        <f aca="false">Serving!$C$14</f>
        <v>0.7</v>
      </c>
      <c r="W61" s="57" t="n">
        <f aca="false">Serving!$C$14</f>
        <v>0.7</v>
      </c>
      <c r="X61" s="57" t="n">
        <f aca="false">Serving!$C$14</f>
        <v>0.7</v>
      </c>
      <c r="Y61" s="57" t="n">
        <f aca="false">Serving!$C$14</f>
        <v>0.7</v>
      </c>
      <c r="Z61" s="57" t="n">
        <f aca="false">Serving!$C$14</f>
        <v>0.7</v>
      </c>
      <c r="AA61" s="57" t="n">
        <f aca="false">Serving!$C$14</f>
        <v>0.7</v>
      </c>
      <c r="AB61" s="57" t="n">
        <f aca="false">Serving!$C$14</f>
        <v>0.7</v>
      </c>
      <c r="AC61" s="57" t="n">
        <f aca="false">Serving!$C$14</f>
        <v>0.7</v>
      </c>
      <c r="AD61" s="57" t="n">
        <f aca="false">Serving!$C$14</f>
        <v>0.7</v>
      </c>
      <c r="AE61" s="57" t="n">
        <f aca="false">Serving!$C$14</f>
        <v>0.7</v>
      </c>
      <c r="AF61" s="57" t="n">
        <f aca="false">Serving!$C$14</f>
        <v>0.7</v>
      </c>
      <c r="AG61" s="57" t="n">
        <f aca="false">Serving!$C$14</f>
        <v>0.7</v>
      </c>
      <c r="AH61" s="57" t="n">
        <f aca="false">Serving!$C$14</f>
        <v>0.7</v>
      </c>
    </row>
    <row r="62" customFormat="false" ht="15" hidden="false" customHeight="false" outlineLevel="0" collapsed="false">
      <c r="A62" s="53" t="s">
        <v>716</v>
      </c>
      <c r="B62" s="54" t="s">
        <v>434</v>
      </c>
      <c r="C62" s="90" t="n">
        <f aca="false">Serving!$C$15</f>
        <v>0.1</v>
      </c>
      <c r="D62" s="90" t="n">
        <f aca="false">Serving!$C$15</f>
        <v>0.1</v>
      </c>
      <c r="E62" s="90" t="n">
        <f aca="false">Serving!$C$15</f>
        <v>0.1</v>
      </c>
      <c r="F62" s="90" t="n">
        <f aca="false">Serving!$C$15</f>
        <v>0.1</v>
      </c>
      <c r="G62" s="90" t="n">
        <f aca="false">Serving!$C$15</f>
        <v>0.1</v>
      </c>
      <c r="H62" s="90" t="n">
        <f aca="false">Serving!$C$15</f>
        <v>0.1</v>
      </c>
      <c r="I62" s="90" t="n">
        <f aca="false">Serving!$C$15</f>
        <v>0.1</v>
      </c>
      <c r="J62" s="90" t="n">
        <f aca="false">Serving!$C$15</f>
        <v>0.1</v>
      </c>
      <c r="K62" s="90" t="n">
        <f aca="false">Serving!$C$15</f>
        <v>0.1</v>
      </c>
      <c r="L62" s="90" t="n">
        <f aca="false">Serving!$C$15</f>
        <v>0.1</v>
      </c>
      <c r="M62" s="90" t="n">
        <f aca="false">Serving!$C$15</f>
        <v>0.1</v>
      </c>
      <c r="N62" s="90" t="n">
        <f aca="false">Serving!$C$15</f>
        <v>0.1</v>
      </c>
      <c r="O62" s="90" t="n">
        <f aca="false">Serving!$C$15</f>
        <v>0.1</v>
      </c>
      <c r="P62" s="90" t="n">
        <f aca="false">Serving!$C$15</f>
        <v>0.1</v>
      </c>
      <c r="Q62" s="90" t="n">
        <f aca="false">Serving!$C$15</f>
        <v>0.1</v>
      </c>
      <c r="R62" s="90" t="n">
        <f aca="false">Serving!$C$15</f>
        <v>0.1</v>
      </c>
      <c r="S62" s="90" t="n">
        <f aca="false">Serving!$C$15</f>
        <v>0.1</v>
      </c>
      <c r="T62" s="90" t="n">
        <f aca="false">Serving!$C$15</f>
        <v>0.1</v>
      </c>
      <c r="U62" s="90" t="n">
        <f aca="false">Serving!$C$15</f>
        <v>0.1</v>
      </c>
      <c r="V62" s="90" t="n">
        <f aca="false">Serving!$C$15</f>
        <v>0.1</v>
      </c>
      <c r="W62" s="90" t="n">
        <f aca="false">Serving!$C$15</f>
        <v>0.1</v>
      </c>
      <c r="X62" s="90" t="n">
        <f aca="false">Serving!$C$15</f>
        <v>0.1</v>
      </c>
      <c r="Y62" s="90" t="n">
        <f aca="false">Serving!$C$15</f>
        <v>0.1</v>
      </c>
      <c r="Z62" s="90" t="n">
        <f aca="false">Serving!$C$15</f>
        <v>0.1</v>
      </c>
      <c r="AA62" s="90" t="n">
        <f aca="false">Serving!$C$15</f>
        <v>0.1</v>
      </c>
      <c r="AB62" s="90" t="n">
        <f aca="false">Serving!$C$15</f>
        <v>0.1</v>
      </c>
      <c r="AC62" s="90" t="n">
        <f aca="false">Serving!$C$15</f>
        <v>0.1</v>
      </c>
      <c r="AD62" s="90" t="n">
        <f aca="false">Serving!$C$15</f>
        <v>0.1</v>
      </c>
      <c r="AE62" s="90" t="n">
        <f aca="false">Serving!$C$15</f>
        <v>0.1</v>
      </c>
      <c r="AF62" s="90" t="n">
        <f aca="false">Serving!$C$15</f>
        <v>0.1</v>
      </c>
      <c r="AG62" s="90" t="n">
        <f aca="false">Serving!$C$15</f>
        <v>0.1</v>
      </c>
      <c r="AH62" s="90" t="n">
        <f aca="false">Serving!$C$15</f>
        <v>0.1</v>
      </c>
    </row>
    <row r="63" customFormat="false" ht="15" hidden="false" customHeight="false" outlineLevel="0" collapsed="false">
      <c r="A63" s="68" t="s">
        <v>717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</row>
    <row r="64" customFormat="false" ht="15" hidden="false" customHeight="false" outlineLevel="0" collapsed="false">
      <c r="A64" s="54" t="s">
        <v>718</v>
      </c>
      <c r="B64" s="54" t="s">
        <v>249</v>
      </c>
      <c r="C64" s="60" t="n">
        <f aca="false">C36*IF(C37=0,C45,MIN(C45,C37))+(1-C36)*(C45/C38+C39)</f>
        <v>2212.32</v>
      </c>
      <c r="D64" s="60" t="n">
        <f aca="false">D36*IF(D37=0,D45,MIN(D45,D37))+(1-D36)*(D45/D38+D39)</f>
        <v>2212.32</v>
      </c>
      <c r="E64" s="60" t="n">
        <f aca="false">E36*IF(E37=0,E45,MIN(E45,E37))+(1-E36)*(E45/E38+E39)</f>
        <v>2212.32</v>
      </c>
      <c r="F64" s="60" t="n">
        <f aca="false">F36*IF(F37=0,F45,MIN(F45,F37))+(1-F36)*(F45/F38+F39)</f>
        <v>2212.32</v>
      </c>
      <c r="G64" s="60" t="n">
        <f aca="false">G36*IF(G37=0,G45,MIN(G45,G37))+(1-G36)*(G45/G38+G39)</f>
        <v>2212.32</v>
      </c>
      <c r="H64" s="60" t="n">
        <f aca="false">H36*IF(H37=0,H45,MIN(H45,H37))+(1-H36)*(H45/H38+H39)</f>
        <v>2212.32</v>
      </c>
      <c r="I64" s="60" t="n">
        <f aca="false">I36*IF(I37=0,I45,MIN(I45,I37))+(1-I36)*(I45/I38+I39)</f>
        <v>2212.32</v>
      </c>
      <c r="J64" s="60" t="n">
        <f aca="false">J36*IF(J37=0,J45,MIN(J45,J37))+(1-J36)*(J45/J38+J39)</f>
        <v>2212.32</v>
      </c>
      <c r="K64" s="60" t="n">
        <f aca="false">K36*IF(K37=0,K45,MIN(K45,K37))+(1-K36)*(K45/K38+K39)</f>
        <v>2212.32</v>
      </c>
      <c r="L64" s="60" t="n">
        <f aca="false">L36*IF(L37=0,L45,MIN(L45,L37))+(1-L36)*(L45/L38+L39)</f>
        <v>2212.32</v>
      </c>
      <c r="M64" s="60" t="n">
        <f aca="false">M36*IF(M37=0,M45,MIN(M45,M37))+(1-M36)*(M45/M38+M39)</f>
        <v>2212.32</v>
      </c>
      <c r="N64" s="60" t="n">
        <f aca="false">N36*IF(N37=0,N45,MIN(N45,N37))+(1-N36)*(N45/N38+N39)</f>
        <v>2212.32</v>
      </c>
      <c r="O64" s="60" t="n">
        <f aca="false">O36*IF(O37=0,O45,MIN(O45,O37))+(1-O36)*(O45/O38+O39)</f>
        <v>2212.32</v>
      </c>
      <c r="P64" s="60" t="n">
        <f aca="false">P36*IF(P37=0,P45,MIN(P45,P37))+(1-P36)*(P45/P38+P39)</f>
        <v>2212.32</v>
      </c>
      <c r="Q64" s="60" t="n">
        <f aca="false">Q36*IF(Q37=0,Q45,MIN(Q45,Q37))+(1-Q36)*(Q45/Q38+Q39)</f>
        <v>2212.32</v>
      </c>
      <c r="R64" s="60" t="n">
        <f aca="false">R36*IF(R37=0,R45,MIN(R45,R37))+(1-R36)*(R45/R38+R39)</f>
        <v>2212.32</v>
      </c>
      <c r="S64" s="60" t="n">
        <f aca="false">S36*IF(S37=0,S45,MIN(S45,S37))+(1-S36)*(S45/S38+S39)</f>
        <v>2212.32</v>
      </c>
      <c r="T64" s="60" t="n">
        <f aca="false">T36*IF(T37=0,T45,MIN(T45,T37))+(1-T36)*(T45/T38+T39)</f>
        <v>2212.32</v>
      </c>
      <c r="U64" s="60" t="n">
        <f aca="false">U36*IF(U37=0,U45,MIN(U45,U37))+(1-U36)*(U45/U38+U39)</f>
        <v>2212.32</v>
      </c>
      <c r="V64" s="60" t="n">
        <f aca="false">V36*IF(V37=0,V45,MIN(V45,V37))+(1-V36)*(V45/V38+V39)</f>
        <v>2212.32</v>
      </c>
      <c r="W64" s="60" t="n">
        <f aca="false">W36*IF(W37=0,W45,MIN(W45,W37))+(1-W36)*(W45/W38+W39)</f>
        <v>2163.552</v>
      </c>
      <c r="X64" s="60" t="n">
        <f aca="false">X36*IF(X37=0,X45,MIN(X45,X37))+(1-X36)*(X45/X38+X39)</f>
        <v>2163.552</v>
      </c>
      <c r="Y64" s="60" t="n">
        <f aca="false">Y36*IF(Y37=0,Y45,MIN(Y45,Y37))+(1-Y36)*(Y45/Y38+Y39)</f>
        <v>2407.392</v>
      </c>
      <c r="Z64" s="60" t="n">
        <f aca="false">Z36*IF(Z37=0,Z45,MIN(Z45,Z37))+(1-Z36)*(Z45/Z38+Z39)</f>
        <v>2407.392</v>
      </c>
      <c r="AA64" s="60" t="n">
        <f aca="false">AA36*IF(AA37=0,AA45,MIN(AA45,AA37))+(1-AA36)*(AA45/AA38+AA39)</f>
        <v>2212.32</v>
      </c>
      <c r="AB64" s="60" t="n">
        <f aca="false">AB36*IF(AB37=0,AB45,MIN(AB45,AB37))+(1-AB36)*(AB45/AB38+AB39)</f>
        <v>2212.32</v>
      </c>
      <c r="AC64" s="60" t="n">
        <f aca="false">AC36*IF(AC37=0,AC45,MIN(AC45,AC37))+(1-AC36)*(AC45/AC38+AC39)</f>
        <v>34816</v>
      </c>
      <c r="AD64" s="60" t="n">
        <f aca="false">AD36*IF(AD37=0,AD45,MIN(AD45,AD37))+(1-AD36)*(AD45/AD38+AD39)</f>
        <v>34816</v>
      </c>
      <c r="AE64" s="60" t="n">
        <f aca="false">AE36*IF(AE37=0,AE45,MIN(AE45,AE37))+(1-AE36)*(AE45/AE38+AE39)</f>
        <v>34816</v>
      </c>
      <c r="AF64" s="60" t="n">
        <f aca="false">AF36*IF(AF37=0,AF45,MIN(AF45,AF37))+(1-AF36)*(AF45/AF38+AF39)</f>
        <v>34816</v>
      </c>
      <c r="AG64" s="60" t="n">
        <f aca="false">AG36*IF(AG37=0,AG45,MIN(AG45,AG37))+(1-AG36)*(AG45/AG38+AG39)</f>
        <v>34816</v>
      </c>
      <c r="AH64" s="60" t="n">
        <f aca="false">AH36*IF(AH37=0,AH45,MIN(AH45,AH37))+(1-AH36)*(AH45/AH38+AH39)</f>
        <v>34816</v>
      </c>
    </row>
    <row r="65" customFormat="false" ht="15" hidden="false" customHeight="false" outlineLevel="0" collapsed="false">
      <c r="A65" s="54" t="s">
        <v>447</v>
      </c>
      <c r="B65" s="54" t="s">
        <v>448</v>
      </c>
      <c r="C65" s="67" t="n">
        <f aca="false">(2*C28*1000000000+C35*C64)*C10/1000000000</f>
        <v>133.37673125888</v>
      </c>
      <c r="D65" s="67" t="n">
        <f aca="false">(2*D28*1000000000+D35*D64)*D10/1000000000</f>
        <v>133.37673125888</v>
      </c>
      <c r="E65" s="67" t="n">
        <f aca="false">(2*E28*1000000000+E35*E64)*E10/1000000000</f>
        <v>133.37673125888</v>
      </c>
      <c r="F65" s="67" t="n">
        <f aca="false">(2*F28*1000000000+F35*F64)*F10/1000000000</f>
        <v>133.37673125888</v>
      </c>
      <c r="G65" s="67" t="n">
        <f aca="false">(2*G28*1000000000+G35*G64)*G10/1000000000</f>
        <v>133.37673125888</v>
      </c>
      <c r="H65" s="67" t="n">
        <f aca="false">(2*H28*1000000000+H35*H64)*H10/1000000000</f>
        <v>133.37673125888</v>
      </c>
      <c r="I65" s="67" t="n">
        <f aca="false">(2*I28*1000000000+I35*I64)*I10/1000000000</f>
        <v>133.37673125888</v>
      </c>
      <c r="J65" s="67" t="n">
        <f aca="false">(2*J28*1000000000+J35*J64)*J10/1000000000</f>
        <v>133.37673125888</v>
      </c>
      <c r="K65" s="67" t="n">
        <f aca="false">(2*K28*1000000000+K35*K64)*K10/1000000000</f>
        <v>133.37673125888</v>
      </c>
      <c r="L65" s="67" t="n">
        <f aca="false">(2*L28*1000000000+L35*L64)*L10/1000000000</f>
        <v>133.37673125888</v>
      </c>
      <c r="M65" s="67" t="n">
        <f aca="false">(2*M28*1000000000+M35*M64)*M10/1000000000</f>
        <v>133.37673125888</v>
      </c>
      <c r="N65" s="67" t="n">
        <f aca="false">(2*N28*1000000000+N35*N64)*N10/1000000000</f>
        <v>133.37673125888</v>
      </c>
      <c r="O65" s="67" t="n">
        <f aca="false">(2*O28*1000000000+O35*O64)*O10/1000000000</f>
        <v>133.37673125888</v>
      </c>
      <c r="P65" s="67" t="n">
        <f aca="false">(2*P28*1000000000+P35*P64)*P10/1000000000</f>
        <v>133.37673125888</v>
      </c>
      <c r="Q65" s="67" t="n">
        <f aca="false">(2*Q28*1000000000+Q35*Q64)*Q10/1000000000</f>
        <v>133.37673125888</v>
      </c>
      <c r="R65" s="67" t="n">
        <f aca="false">(2*R28*1000000000+R35*R64)*R10/1000000000</f>
        <v>133.37673125888</v>
      </c>
      <c r="S65" s="67" t="n">
        <f aca="false">(2*S28*1000000000+S35*S64)*S10/1000000000</f>
        <v>133.37673125888</v>
      </c>
      <c r="T65" s="67" t="n">
        <f aca="false">(2*T28*1000000000+T35*T64)*T10/1000000000</f>
        <v>133.37673125888</v>
      </c>
      <c r="U65" s="67" t="n">
        <f aca="false">(2*U28*1000000000+U35*U64)*U10/1000000000</f>
        <v>133.37673125888</v>
      </c>
      <c r="V65" s="67" t="n">
        <f aca="false">(2*V28*1000000000+V35*V64)*V10/1000000000</f>
        <v>133.37673125888</v>
      </c>
      <c r="W65" s="67" t="n">
        <f aca="false">(2*W28*1000000000+W35*W64)*W10/1000000000</f>
        <v>132.596892704768</v>
      </c>
      <c r="X65" s="67" t="n">
        <f aca="false">(2*X28*1000000000+X35*X64)*X10/1000000000</f>
        <v>132.596892704768</v>
      </c>
      <c r="Y65" s="67" t="n">
        <f aca="false">(2*Y28*1000000000+Y35*Y64)*Y10/1000000000</f>
        <v>136.496085475328</v>
      </c>
      <c r="Z65" s="67" t="n">
        <f aca="false">(2*Z28*1000000000+Z35*Z64)*Z10/1000000000</f>
        <v>136.496085475328</v>
      </c>
      <c r="AA65" s="67" t="n">
        <f aca="false">(2*AA28*1000000000+AA35*AA64)*AA10/1000000000</f>
        <v>133.37673125888</v>
      </c>
      <c r="AB65" s="67" t="n">
        <f aca="false">(2*AB28*1000000000+AB35*AB64)*AB10/1000000000</f>
        <v>133.37673125888</v>
      </c>
      <c r="AC65" s="67" t="n">
        <f aca="false">(2*AC28*1000000000+AC35*AC64)*AC10/1000000000</f>
        <v>531.1276032</v>
      </c>
      <c r="AD65" s="67" t="n">
        <f aca="false">(2*AD28*1000000000+AD35*AD64)*AD10/1000000000</f>
        <v>531.1276032</v>
      </c>
      <c r="AE65" s="67" t="n">
        <f aca="false">(2*AE28*1000000000+AE35*AE64)*AE10/1000000000</f>
        <v>531.1276032</v>
      </c>
      <c r="AF65" s="67" t="n">
        <f aca="false">(2*AF28*1000000000+AF35*AF64)*AF10/1000000000</f>
        <v>531.1276032</v>
      </c>
      <c r="AG65" s="67" t="n">
        <f aca="false">(2*AG28*1000000000+AG35*AG64)*AG10/1000000000</f>
        <v>531.1276032</v>
      </c>
      <c r="AH65" s="67" t="n">
        <f aca="false">(2*AH28*1000000000+AH35*AH64)*AH10/1000000000</f>
        <v>531.1276032</v>
      </c>
    </row>
    <row r="66" customFormat="false" ht="15" hidden="false" customHeight="false" outlineLevel="0" collapsed="false">
      <c r="A66" s="54" t="s">
        <v>719</v>
      </c>
      <c r="B66" s="54" t="s">
        <v>249</v>
      </c>
      <c r="C66" s="60" t="n">
        <f aca="false">C36*IF(C37=0,C46,MIN(C46,C37))+(1-C36)*(C46/C38+C39)</f>
        <v>2175.744</v>
      </c>
      <c r="D66" s="60" t="n">
        <f aca="false">D36*IF(D37=0,D46,MIN(D46,D37))+(1-D36)*(D46/D38+D39)</f>
        <v>2175.744</v>
      </c>
      <c r="E66" s="60" t="n">
        <f aca="false">E36*IF(E37=0,E46,MIN(E46,E37))+(1-E36)*(E46/E38+E39)</f>
        <v>2175.744</v>
      </c>
      <c r="F66" s="60" t="n">
        <f aca="false">F36*IF(F37=0,F46,MIN(F46,F37))+(1-F36)*(F46/F38+F39)</f>
        <v>2175.744</v>
      </c>
      <c r="G66" s="60" t="n">
        <f aca="false">G36*IF(G37=0,G46,MIN(G46,G37))+(1-G36)*(G46/G38+G39)</f>
        <v>2175.744</v>
      </c>
      <c r="H66" s="60" t="n">
        <f aca="false">H36*IF(H37=0,H46,MIN(H46,H37))+(1-H36)*(H46/H38+H39)</f>
        <v>2175.744</v>
      </c>
      <c r="I66" s="60" t="n">
        <f aca="false">I36*IF(I37=0,I46,MIN(I46,I37))+(1-I36)*(I46/I38+I39)</f>
        <v>2175.744</v>
      </c>
      <c r="J66" s="60" t="n">
        <f aca="false">J36*IF(J37=0,J46,MIN(J46,J37))+(1-J36)*(J46/J38+J39)</f>
        <v>2175.744</v>
      </c>
      <c r="K66" s="60" t="n">
        <f aca="false">K36*IF(K37=0,K46,MIN(K46,K37))+(1-K36)*(K46/K38+K39)</f>
        <v>2175.744</v>
      </c>
      <c r="L66" s="60" t="n">
        <f aca="false">L36*IF(L37=0,L46,MIN(L46,L37))+(1-L36)*(L46/L38+L39)</f>
        <v>2175.744</v>
      </c>
      <c r="M66" s="60" t="n">
        <f aca="false">M36*IF(M37=0,M46,MIN(M46,M37))+(1-M36)*(M46/M38+M39)</f>
        <v>2175.744</v>
      </c>
      <c r="N66" s="60" t="n">
        <f aca="false">N36*IF(N37=0,N46,MIN(N46,N37))+(1-N36)*(N46/N38+N39)</f>
        <v>2175.744</v>
      </c>
      <c r="O66" s="60" t="n">
        <f aca="false">O36*IF(O37=0,O46,MIN(O46,O37))+(1-O36)*(O46/O38+O39)</f>
        <v>2175.744</v>
      </c>
      <c r="P66" s="60" t="n">
        <f aca="false">P36*IF(P37=0,P46,MIN(P46,P37))+(1-P36)*(P46/P38+P39)</f>
        <v>2175.744</v>
      </c>
      <c r="Q66" s="60" t="n">
        <f aca="false">Q36*IF(Q37=0,Q46,MIN(Q46,Q37))+(1-Q36)*(Q46/Q38+Q39)</f>
        <v>2175.744</v>
      </c>
      <c r="R66" s="60" t="n">
        <f aca="false">R36*IF(R37=0,R46,MIN(R46,R37))+(1-R36)*(R46/R38+R39)</f>
        <v>2175.744</v>
      </c>
      <c r="S66" s="60" t="n">
        <f aca="false">S36*IF(S37=0,S46,MIN(S46,S37))+(1-S36)*(S46/S38+S39)</f>
        <v>2175.744</v>
      </c>
      <c r="T66" s="60" t="n">
        <f aca="false">T36*IF(T37=0,T46,MIN(T46,T37))+(1-T36)*(T46/T38+T39)</f>
        <v>2175.744</v>
      </c>
      <c r="U66" s="60" t="n">
        <f aca="false">U36*IF(U37=0,U46,MIN(U46,U37))+(1-U36)*(U46/U38+U39)</f>
        <v>2175.744</v>
      </c>
      <c r="V66" s="60" t="n">
        <f aca="false">V36*IF(V37=0,V46,MIN(V46,V37))+(1-V36)*(V46/V38+V39)</f>
        <v>2175.744</v>
      </c>
      <c r="W66" s="60" t="n">
        <f aca="false">W36*IF(W37=0,W46,MIN(W46,W37))+(1-W36)*(W46/W38+W39)</f>
        <v>1080.768</v>
      </c>
      <c r="X66" s="60" t="n">
        <f aca="false">X36*IF(X37=0,X46,MIN(X46,X37))+(1-X36)*(X46/X38+X39)</f>
        <v>1080.768</v>
      </c>
      <c r="Y66" s="60" t="n">
        <f aca="false">Y36*IF(Y37=0,Y46,MIN(Y46,Y37))+(1-Y36)*(Y46/Y38+Y39)</f>
        <v>2273.28</v>
      </c>
      <c r="Z66" s="60" t="n">
        <f aca="false">Z36*IF(Z37=0,Z46,MIN(Z46,Z37))+(1-Z36)*(Z46/Z38+Z39)</f>
        <v>2273.28</v>
      </c>
      <c r="AA66" s="60" t="n">
        <f aca="false">AA36*IF(AA37=0,AA46,MIN(AA46,AA37))+(1-AA36)*(AA46/AA38+AA39)</f>
        <v>2175.744</v>
      </c>
      <c r="AB66" s="60" t="n">
        <f aca="false">AB36*IF(AB37=0,AB46,MIN(AB46,AB37))+(1-AB36)*(AB46/AB38+AB39)</f>
        <v>2175.744</v>
      </c>
      <c r="AC66" s="60" t="n">
        <f aca="false">AC36*IF(AC37=0,AC46,MIN(AC46,AC37))+(1-AC36)*(AC46/AC38+AC39)</f>
        <v>16384</v>
      </c>
      <c r="AD66" s="60" t="n">
        <f aca="false">AD36*IF(AD37=0,AD46,MIN(AD46,AD37))+(1-AD36)*(AD46/AD38+AD39)</f>
        <v>16384</v>
      </c>
      <c r="AE66" s="60" t="n">
        <f aca="false">AE36*IF(AE37=0,AE46,MIN(AE46,AE37))+(1-AE36)*(AE46/AE38+AE39)</f>
        <v>16384</v>
      </c>
      <c r="AF66" s="60" t="n">
        <f aca="false">AF36*IF(AF37=0,AF46,MIN(AF46,AF37))+(1-AF36)*(AF46/AF38+AF39)</f>
        <v>16384</v>
      </c>
      <c r="AG66" s="60" t="n">
        <f aca="false">AG36*IF(AG37=0,AG46,MIN(AG46,AG37))+(1-AG36)*(AG46/AG38+AG39)</f>
        <v>16384</v>
      </c>
      <c r="AH66" s="60" t="n">
        <f aca="false">AH36*IF(AH37=0,AH46,MIN(AH46,AH37))+(1-AH36)*(AH46/AH38+AH39)</f>
        <v>16384</v>
      </c>
    </row>
    <row r="67" customFormat="false" ht="15" hidden="false" customHeight="false" outlineLevel="0" collapsed="false">
      <c r="A67" s="54" t="s">
        <v>450</v>
      </c>
      <c r="B67" s="54" t="s">
        <v>448</v>
      </c>
      <c r="C67" s="67" t="n">
        <f aca="false">(2*C28*1000000000+C35*C66)*C10/1000000000</f>
        <v>132.791852343296</v>
      </c>
      <c r="D67" s="67" t="n">
        <f aca="false">(2*D28*1000000000+D35*D66)*D10/1000000000</f>
        <v>132.791852343296</v>
      </c>
      <c r="E67" s="67" t="n">
        <f aca="false">(2*E28*1000000000+E35*E66)*E10/1000000000</f>
        <v>132.791852343296</v>
      </c>
      <c r="F67" s="67" t="n">
        <f aca="false">(2*F28*1000000000+F35*F66)*F10/1000000000</f>
        <v>132.791852343296</v>
      </c>
      <c r="G67" s="67" t="n">
        <f aca="false">(2*G28*1000000000+G35*G66)*G10/1000000000</f>
        <v>132.791852343296</v>
      </c>
      <c r="H67" s="67" t="n">
        <f aca="false">(2*H28*1000000000+H35*H66)*H10/1000000000</f>
        <v>132.791852343296</v>
      </c>
      <c r="I67" s="67" t="n">
        <f aca="false">(2*I28*1000000000+I35*I66)*I10/1000000000</f>
        <v>132.791852343296</v>
      </c>
      <c r="J67" s="67" t="n">
        <f aca="false">(2*J28*1000000000+J35*J66)*J10/1000000000</f>
        <v>132.791852343296</v>
      </c>
      <c r="K67" s="67" t="n">
        <f aca="false">(2*K28*1000000000+K35*K66)*K10/1000000000</f>
        <v>132.791852343296</v>
      </c>
      <c r="L67" s="67" t="n">
        <f aca="false">(2*L28*1000000000+L35*L66)*L10/1000000000</f>
        <v>132.791852343296</v>
      </c>
      <c r="M67" s="67" t="n">
        <f aca="false">(2*M28*1000000000+M35*M66)*M10/1000000000</f>
        <v>132.791852343296</v>
      </c>
      <c r="N67" s="67" t="n">
        <f aca="false">(2*N28*1000000000+N35*N66)*N10/1000000000</f>
        <v>132.791852343296</v>
      </c>
      <c r="O67" s="67" t="n">
        <f aca="false">(2*O28*1000000000+O35*O66)*O10/1000000000</f>
        <v>132.791852343296</v>
      </c>
      <c r="P67" s="67" t="n">
        <f aca="false">(2*P28*1000000000+P35*P66)*P10/1000000000</f>
        <v>132.791852343296</v>
      </c>
      <c r="Q67" s="67" t="n">
        <f aca="false">(2*Q28*1000000000+Q35*Q66)*Q10/1000000000</f>
        <v>132.791852343296</v>
      </c>
      <c r="R67" s="67" t="n">
        <f aca="false">(2*R28*1000000000+R35*R66)*R10/1000000000</f>
        <v>132.791852343296</v>
      </c>
      <c r="S67" s="67" t="n">
        <f aca="false">(2*S28*1000000000+S35*S66)*S10/1000000000</f>
        <v>132.791852343296</v>
      </c>
      <c r="T67" s="67" t="n">
        <f aca="false">(2*T28*1000000000+T35*T66)*T10/1000000000</f>
        <v>132.791852343296</v>
      </c>
      <c r="U67" s="67" t="n">
        <f aca="false">(2*U28*1000000000+U35*U66)*U10/1000000000</f>
        <v>132.791852343296</v>
      </c>
      <c r="V67" s="67" t="n">
        <f aca="false">(2*V28*1000000000+V35*V66)*V10/1000000000</f>
        <v>132.791852343296</v>
      </c>
      <c r="W67" s="67" t="n">
        <f aca="false">(2*W28*1000000000+W35*W66)*W10/1000000000</f>
        <v>115.282327642112</v>
      </c>
      <c r="X67" s="67" t="n">
        <f aca="false">(2*X28*1000000000+X35*X66)*X10/1000000000</f>
        <v>115.282327642112</v>
      </c>
      <c r="Y67" s="67" t="n">
        <f aca="false">(2*Y28*1000000000+Y35*Y66)*Y10/1000000000</f>
        <v>134.35152945152</v>
      </c>
      <c r="Z67" s="67" t="n">
        <f aca="false">(2*Z28*1000000000+Z35*Z66)*Z10/1000000000</f>
        <v>134.35152945152</v>
      </c>
      <c r="AA67" s="67" t="n">
        <f aca="false">(2*AA28*1000000000+AA35*AA66)*AA10/1000000000</f>
        <v>132.791852343296</v>
      </c>
      <c r="AB67" s="67" t="n">
        <f aca="false">(2*AB28*1000000000+AB35*AB66)*AB10/1000000000</f>
        <v>132.791852343296</v>
      </c>
      <c r="AC67" s="67" t="n">
        <f aca="false">(2*AC28*1000000000+AC35*AC66)*AC10/1000000000</f>
        <v>440.5306368</v>
      </c>
      <c r="AD67" s="67" t="n">
        <f aca="false">(2*AD28*1000000000+AD35*AD66)*AD10/1000000000</f>
        <v>440.5306368</v>
      </c>
      <c r="AE67" s="67" t="n">
        <f aca="false">(2*AE28*1000000000+AE35*AE66)*AE10/1000000000</f>
        <v>440.5306368</v>
      </c>
      <c r="AF67" s="67" t="n">
        <f aca="false">(2*AF28*1000000000+AF35*AF66)*AF10/1000000000</f>
        <v>440.5306368</v>
      </c>
      <c r="AG67" s="67" t="n">
        <f aca="false">(2*AG28*1000000000+AG35*AG66)*AG10/1000000000</f>
        <v>440.5306368</v>
      </c>
      <c r="AH67" s="67" t="n">
        <f aca="false">(2*AH28*1000000000+AH35*AH66)*AH10/1000000000</f>
        <v>440.5306368</v>
      </c>
    </row>
    <row r="68" customFormat="false" ht="15" hidden="false" customHeight="false" outlineLevel="0" collapsed="false">
      <c r="A68" s="68" t="s">
        <v>720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</row>
    <row r="69" customFormat="false" ht="15" hidden="false" customHeight="false" outlineLevel="0" collapsed="false">
      <c r="A69" s="53" t="s">
        <v>451</v>
      </c>
      <c r="B69" s="54" t="s">
        <v>274</v>
      </c>
      <c r="C69" s="60" t="n">
        <f aca="false">C15*(1-C56)</f>
        <v>259.2</v>
      </c>
      <c r="D69" s="60" t="n">
        <f aca="false">D15*(1-D56)</f>
        <v>259.2</v>
      </c>
      <c r="E69" s="60" t="n">
        <f aca="false">E15*(1-E56)</f>
        <v>259.2</v>
      </c>
      <c r="F69" s="60" t="n">
        <f aca="false">F15*(1-F56)</f>
        <v>259.2</v>
      </c>
      <c r="G69" s="60" t="n">
        <f aca="false">G15*(1-G56)</f>
        <v>259.2</v>
      </c>
      <c r="H69" s="60" t="n">
        <f aca="false">H15*(1-H56)</f>
        <v>259.2</v>
      </c>
      <c r="I69" s="60" t="n">
        <f aca="false">I15*(1-I56)</f>
        <v>259.2</v>
      </c>
      <c r="J69" s="60" t="n">
        <f aca="false">J15*(1-J56)</f>
        <v>259.2</v>
      </c>
      <c r="K69" s="60" t="n">
        <f aca="false">K15*(1-K56)</f>
        <v>259.2</v>
      </c>
      <c r="L69" s="60" t="n">
        <f aca="false">L15*(1-L56)</f>
        <v>259.2</v>
      </c>
      <c r="M69" s="60" t="n">
        <f aca="false">M15*(1-M56)</f>
        <v>259.2</v>
      </c>
      <c r="N69" s="60" t="n">
        <f aca="false">N15*(1-N56)</f>
        <v>259.2</v>
      </c>
      <c r="O69" s="60" t="n">
        <f aca="false">O15*(1-O56)</f>
        <v>259.2</v>
      </c>
      <c r="P69" s="60" t="n">
        <f aca="false">P15*(1-P56)</f>
        <v>259.2</v>
      </c>
      <c r="Q69" s="60" t="n">
        <f aca="false">Q15*(1-Q56)</f>
        <v>259.2</v>
      </c>
      <c r="R69" s="60" t="n">
        <f aca="false">R15*(1-R56)</f>
        <v>259.2</v>
      </c>
      <c r="S69" s="60" t="n">
        <f aca="false">S15*(1-S56)</f>
        <v>259.2</v>
      </c>
      <c r="T69" s="60" t="n">
        <f aca="false">T15*(1-T56)</f>
        <v>259.2</v>
      </c>
      <c r="U69" s="60" t="n">
        <f aca="false">U15*(1-U56)</f>
        <v>259.2</v>
      </c>
      <c r="V69" s="60" t="n">
        <f aca="false">V15*(1-V56)</f>
        <v>259.2</v>
      </c>
      <c r="W69" s="60" t="n">
        <f aca="false">W15*(1-W56)</f>
        <v>259.2</v>
      </c>
      <c r="X69" s="60" t="n">
        <f aca="false">X15*(1-X56)</f>
        <v>259.2</v>
      </c>
      <c r="Y69" s="60" t="n">
        <f aca="false">Y15*(1-Y56)</f>
        <v>259.2</v>
      </c>
      <c r="Z69" s="60" t="n">
        <f aca="false">Z15*(1-Z56)</f>
        <v>259.2</v>
      </c>
      <c r="AA69" s="60" t="n">
        <f aca="false">AA15*(1-AA56)</f>
        <v>259.2</v>
      </c>
      <c r="AB69" s="60" t="n">
        <f aca="false">AB15*(1-AB56)</f>
        <v>259.2</v>
      </c>
      <c r="AC69" s="60" t="n">
        <f aca="false">AC15*(1-AC56)</f>
        <v>259.2</v>
      </c>
      <c r="AD69" s="60" t="n">
        <f aca="false">AD15*(1-AD56)</f>
        <v>259.2</v>
      </c>
      <c r="AE69" s="60" t="n">
        <f aca="false">AE15*(1-AE56)</f>
        <v>259.2</v>
      </c>
      <c r="AF69" s="60" t="n">
        <f aca="false">AF15*(1-AF56)</f>
        <v>259.2</v>
      </c>
      <c r="AG69" s="60" t="n">
        <f aca="false">AG15*(1-AG56)</f>
        <v>259.2</v>
      </c>
      <c r="AH69" s="60" t="n">
        <f aca="false">AH15*(1-AH56)</f>
        <v>259.2</v>
      </c>
    </row>
    <row r="70" customFormat="false" ht="15" hidden="false" customHeight="false" outlineLevel="0" collapsed="false">
      <c r="A70" s="53" t="s">
        <v>721</v>
      </c>
      <c r="B70" s="53"/>
      <c r="C70" s="104" t="n">
        <f aca="false">MAX(1,CEILING(C32*C20/(C57*C69),1))</f>
        <v>1</v>
      </c>
      <c r="D70" s="104" t="n">
        <f aca="false">MAX(1,CEILING(D32*D20/(D57*D69),1))</f>
        <v>1</v>
      </c>
      <c r="E70" s="104" t="n">
        <f aca="false">MAX(1,CEILING(E32*E20/(E57*E69),1))</f>
        <v>1</v>
      </c>
      <c r="F70" s="104" t="n">
        <f aca="false">MAX(1,CEILING(F32*F20/(F57*F69),1))</f>
        <v>1</v>
      </c>
      <c r="G70" s="104" t="n">
        <f aca="false">MAX(1,CEILING(G32*G20/(G57*G69),1))</f>
        <v>1</v>
      </c>
      <c r="H70" s="104" t="n">
        <f aca="false">MAX(1,CEILING(H32*H20/(H57*H69),1))</f>
        <v>1</v>
      </c>
      <c r="I70" s="104" t="n">
        <f aca="false">MAX(1,CEILING(I32*I20/(I57*I69),1))</f>
        <v>1</v>
      </c>
      <c r="J70" s="104" t="n">
        <f aca="false">MAX(1,CEILING(J32*J20/(J57*J69),1))</f>
        <v>1</v>
      </c>
      <c r="K70" s="104" t="n">
        <f aca="false">MAX(1,CEILING(K32*K20/(K57*K69),1))</f>
        <v>1</v>
      </c>
      <c r="L70" s="104" t="n">
        <f aca="false">MAX(1,CEILING(L32*L20/(L57*L69),1))</f>
        <v>1</v>
      </c>
      <c r="M70" s="104" t="n">
        <f aca="false">MAX(1,CEILING(M32*M20/(M57*M69),1))</f>
        <v>1</v>
      </c>
      <c r="N70" s="104" t="n">
        <f aca="false">MAX(1,CEILING(N32*N20/(N57*N69),1))</f>
        <v>1</v>
      </c>
      <c r="O70" s="104" t="n">
        <f aca="false">MAX(1,CEILING(O32*O20/(O57*O69),1))</f>
        <v>1</v>
      </c>
      <c r="P70" s="104" t="n">
        <f aca="false">MAX(1,CEILING(P32*P20/(P57*P69),1))</f>
        <v>1</v>
      </c>
      <c r="Q70" s="104" t="n">
        <f aca="false">MAX(1,CEILING(Q32*Q20/(Q57*Q69),1))</f>
        <v>1</v>
      </c>
      <c r="R70" s="104" t="n">
        <f aca="false">MAX(1,CEILING(R32*R20/(R57*R69),1))</f>
        <v>1</v>
      </c>
      <c r="S70" s="104" t="n">
        <f aca="false">MAX(1,CEILING(S32*S20/(S57*S69),1))</f>
        <v>1</v>
      </c>
      <c r="T70" s="104" t="n">
        <f aca="false">MAX(1,CEILING(T32*T20/(T57*T69),1))</f>
        <v>1</v>
      </c>
      <c r="U70" s="104" t="n">
        <f aca="false">MAX(1,CEILING(U32*U20/(U57*U69),1))</f>
        <v>1</v>
      </c>
      <c r="V70" s="104" t="n">
        <f aca="false">MAX(1,CEILING(V32*V20/(V57*V69),1))</f>
        <v>1</v>
      </c>
      <c r="W70" s="104" t="n">
        <f aca="false">MAX(1,CEILING(W32*W20/(W57*W69),1))</f>
        <v>1</v>
      </c>
      <c r="X70" s="104" t="n">
        <f aca="false">MAX(1,CEILING(X32*X20/(X57*X69),1))</f>
        <v>1</v>
      </c>
      <c r="Y70" s="104" t="n">
        <f aca="false">MAX(1,CEILING(Y32*Y20/(Y57*Y69),1))</f>
        <v>1</v>
      </c>
      <c r="Z70" s="104" t="n">
        <f aca="false">MAX(1,CEILING(Z32*Z20/(Z57*Z69),1))</f>
        <v>1</v>
      </c>
      <c r="AA70" s="104" t="n">
        <f aca="false">MAX(1,CEILING(AA32*AA20/(AA57*AA69),1))</f>
        <v>1</v>
      </c>
      <c r="AB70" s="104" t="n">
        <f aca="false">MAX(1,CEILING(AB32*AB20/(AB57*AB69),1))</f>
        <v>1</v>
      </c>
      <c r="AC70" s="104" t="n">
        <f aca="false">MAX(1,CEILING(AC32*AC20/(AC57*AC69),1))</f>
        <v>1</v>
      </c>
      <c r="AD70" s="104" t="n">
        <f aca="false">MAX(1,CEILING(AD32*AD20/(AD57*AD69),1))</f>
        <v>1</v>
      </c>
      <c r="AE70" s="104" t="n">
        <f aca="false">MAX(1,CEILING(AE32*AE20/(AE57*AE69),1))</f>
        <v>1</v>
      </c>
      <c r="AF70" s="104" t="n">
        <f aca="false">MAX(1,CEILING(AF32*AF20/(AF57*AF69),1))</f>
        <v>1</v>
      </c>
      <c r="AG70" s="104" t="n">
        <f aca="false">MAX(1,CEILING(AG32*AG20/(AG57*AG69),1))</f>
        <v>1</v>
      </c>
      <c r="AH70" s="104" t="n">
        <f aca="false">MAX(1,CEILING(AH32*AH20/(AH57*AH69),1))</f>
        <v>1</v>
      </c>
    </row>
    <row r="71" customFormat="false" ht="15" hidden="false" customHeight="false" outlineLevel="0" collapsed="false">
      <c r="A71" s="54" t="s">
        <v>722</v>
      </c>
      <c r="B71" s="54" t="s">
        <v>682</v>
      </c>
      <c r="C71" s="60" t="n">
        <f aca="false">MAX(C18,CEILING(C33*C19/(C58*C69),1))</f>
        <v>32</v>
      </c>
      <c r="D71" s="60" t="n">
        <f aca="false">MAX(D18,CEILING(D33*D19/(D58*D69),1))</f>
        <v>32</v>
      </c>
      <c r="E71" s="60" t="n">
        <f aca="false">MAX(E18,CEILING(E33*E19/(E58*E69),1))</f>
        <v>32</v>
      </c>
      <c r="F71" s="60" t="n">
        <f aca="false">MAX(F18,CEILING(F33*F19/(F58*F69),1))</f>
        <v>32</v>
      </c>
      <c r="G71" s="60" t="n">
        <f aca="false">MAX(G18,CEILING(G33*G19/(G58*G69),1))</f>
        <v>32</v>
      </c>
      <c r="H71" s="60" t="n">
        <f aca="false">MAX(H18,CEILING(H33*H19/(H58*H69),1))</f>
        <v>32</v>
      </c>
      <c r="I71" s="60" t="n">
        <f aca="false">MAX(I18,CEILING(I33*I19/(I58*I69),1))</f>
        <v>32</v>
      </c>
      <c r="J71" s="60" t="n">
        <f aca="false">MAX(J18,CEILING(J33*J19/(J58*J69),1))</f>
        <v>32</v>
      </c>
      <c r="K71" s="60" t="n">
        <f aca="false">MAX(K18,CEILING(K33*K19/(K58*K69),1))</f>
        <v>32</v>
      </c>
      <c r="L71" s="60" t="n">
        <f aca="false">MAX(L18,CEILING(L33*L19/(L58*L69),1))</f>
        <v>32</v>
      </c>
      <c r="M71" s="60" t="n">
        <f aca="false">MAX(M18,CEILING(M33*M19/(M58*M69),1))</f>
        <v>32</v>
      </c>
      <c r="N71" s="60" t="n">
        <f aca="false">MAX(N18,CEILING(N33*N19/(N58*N69),1))</f>
        <v>32</v>
      </c>
      <c r="O71" s="60" t="n">
        <f aca="false">MAX(O18,CEILING(O33*O19/(O58*O69),1))</f>
        <v>32</v>
      </c>
      <c r="P71" s="60" t="n">
        <f aca="false">MAX(P18,CEILING(P33*P19/(P58*P69),1))</f>
        <v>32</v>
      </c>
      <c r="Q71" s="60" t="n">
        <f aca="false">MAX(Q18,CEILING(Q33*Q19/(Q58*Q69),1))</f>
        <v>32</v>
      </c>
      <c r="R71" s="60" t="n">
        <f aca="false">MAX(R18,CEILING(R33*R19/(R58*R69),1))</f>
        <v>32</v>
      </c>
      <c r="S71" s="60" t="n">
        <f aca="false">MAX(S18,CEILING(S33*S19/(S58*S69),1))</f>
        <v>32</v>
      </c>
      <c r="T71" s="60" t="n">
        <f aca="false">MAX(T18,CEILING(T33*T19/(T58*T69),1))</f>
        <v>32</v>
      </c>
      <c r="U71" s="60" t="n">
        <f aca="false">MAX(U18,CEILING(U33*U19/(U58*U69),1))</f>
        <v>32</v>
      </c>
      <c r="V71" s="60" t="n">
        <f aca="false">MAX(V18,CEILING(V33*V19/(V58*V69),1))</f>
        <v>32</v>
      </c>
      <c r="W71" s="60" t="n">
        <f aca="false">MAX(W18,CEILING(W33*W19/(W58*W69),1))</f>
        <v>32</v>
      </c>
      <c r="X71" s="60" t="n">
        <f aca="false">MAX(X18,CEILING(X33*X19/(X58*X69),1))</f>
        <v>32</v>
      </c>
      <c r="Y71" s="60" t="n">
        <f aca="false">MAX(Y18,CEILING(Y33*Y19/(Y58*Y69),1))</f>
        <v>32</v>
      </c>
      <c r="Z71" s="60" t="n">
        <f aca="false">MAX(Z18,CEILING(Z33*Z19/(Z58*Z69),1))</f>
        <v>32</v>
      </c>
      <c r="AA71" s="60" t="n">
        <f aca="false">MAX(AA18,CEILING(AA33*AA19/(AA58*AA69),1))</f>
        <v>32</v>
      </c>
      <c r="AB71" s="60" t="n">
        <f aca="false">MAX(AB18,CEILING(AB33*AB19/(AB58*AB69),1))</f>
        <v>32</v>
      </c>
      <c r="AC71" s="60" t="n">
        <f aca="false">MAX(AC18,CEILING(AC33*AC19/(AC58*AC69),1))</f>
        <v>32</v>
      </c>
      <c r="AD71" s="60" t="n">
        <f aca="false">MAX(AD18,CEILING(AD33*AD19/(AD58*AD69),1))</f>
        <v>32</v>
      </c>
      <c r="AE71" s="60" t="n">
        <f aca="false">MAX(AE18,CEILING(AE33*AE19/(AE58*AE69),1))</f>
        <v>32</v>
      </c>
      <c r="AF71" s="60" t="n">
        <f aca="false">MAX(AF18,CEILING(AF33*AF19/(AF58*AF69),1))</f>
        <v>32</v>
      </c>
      <c r="AG71" s="60" t="n">
        <f aca="false">MAX(AG18,CEILING(AG33*AG19/(AG58*AG69),1))</f>
        <v>32</v>
      </c>
      <c r="AH71" s="60" t="n">
        <f aca="false">MAX(AH18,CEILING(AH33*AH19/(AH58*AH69),1))</f>
        <v>32</v>
      </c>
    </row>
    <row r="72" customFormat="false" ht="15" hidden="false" customHeight="false" outlineLevel="0" collapsed="false">
      <c r="A72" s="53" t="s">
        <v>454</v>
      </c>
      <c r="B72" s="54" t="s">
        <v>274</v>
      </c>
      <c r="C72" s="67" t="n">
        <f aca="false">C32*C20/C70+C33*C19/C71</f>
        <v>48.0463324652778</v>
      </c>
      <c r="D72" s="67" t="n">
        <f aca="false">D32*D20/D70+D33*D19/D71</f>
        <v>48.0463324652778</v>
      </c>
      <c r="E72" s="67" t="n">
        <f aca="false">E32*E20/E70+E33*E19/E71</f>
        <v>48.0463324652778</v>
      </c>
      <c r="F72" s="67" t="n">
        <f aca="false">F32*F20/F70+F33*F19/F71</f>
        <v>48.0463324652778</v>
      </c>
      <c r="G72" s="67" t="n">
        <f aca="false">G32*G20/G70+G33*G19/G71</f>
        <v>48.0463324652778</v>
      </c>
      <c r="H72" s="67" t="n">
        <f aca="false">H32*H20/H70+H33*H19/H71</f>
        <v>48.0463324652778</v>
      </c>
      <c r="I72" s="67" t="n">
        <f aca="false">I32*I20/I70+I33*I19/I71</f>
        <v>48.0463324652778</v>
      </c>
      <c r="J72" s="67" t="n">
        <f aca="false">J32*J20/J70+J33*J19/J71</f>
        <v>48.0463324652778</v>
      </c>
      <c r="K72" s="67" t="n">
        <f aca="false">K32*K20/K70+K33*K19/K71</f>
        <v>48.0463324652778</v>
      </c>
      <c r="L72" s="67" t="n">
        <f aca="false">L32*L20/L70+L33*L19/L71</f>
        <v>48.0463324652778</v>
      </c>
      <c r="M72" s="67" t="n">
        <f aca="false">M32*M20/M70+M33*M19/M71</f>
        <v>48.0463324652778</v>
      </c>
      <c r="N72" s="67" t="n">
        <f aca="false">N32*N20/N70+N33*N19/N71</f>
        <v>48.0463324652778</v>
      </c>
      <c r="O72" s="67" t="n">
        <f aca="false">O32*O20/O70+O33*O19/O71</f>
        <v>48.0463324652778</v>
      </c>
      <c r="P72" s="67" t="n">
        <f aca="false">P32*P20/P70+P33*P19/P71</f>
        <v>48.0463324652778</v>
      </c>
      <c r="Q72" s="67" t="n">
        <f aca="false">Q32*Q20/Q70+Q33*Q19/Q71</f>
        <v>48.0463324652778</v>
      </c>
      <c r="R72" s="67" t="n">
        <f aca="false">R32*R20/R70+R33*R19/R71</f>
        <v>48.0463324652778</v>
      </c>
      <c r="S72" s="67" t="n">
        <f aca="false">S32*S20/S70+S33*S19/S71</f>
        <v>48.0463324652778</v>
      </c>
      <c r="T72" s="67" t="n">
        <f aca="false">T32*T20/T70+T33*T19/T71</f>
        <v>48.0463324652778</v>
      </c>
      <c r="U72" s="67" t="n">
        <f aca="false">U32*U20/U70+U33*U19/U71</f>
        <v>48.0463324652778</v>
      </c>
      <c r="V72" s="67" t="n">
        <f aca="false">V32*V20/V70+V33*V19/V71</f>
        <v>48.0463324652778</v>
      </c>
      <c r="W72" s="67" t="n">
        <f aca="false">W32*W20/W70+W33*W19/W71</f>
        <v>48.0463324652778</v>
      </c>
      <c r="X72" s="67" t="n">
        <f aca="false">X32*X20/X70+X33*X19/X71</f>
        <v>48.0463324652778</v>
      </c>
      <c r="Y72" s="67" t="n">
        <f aca="false">Y32*Y20/Y70+Y33*Y19/Y71</f>
        <v>48.0463324652778</v>
      </c>
      <c r="Z72" s="67" t="n">
        <f aca="false">Z32*Z20/Z70+Z33*Z19/Z71</f>
        <v>48.0463324652778</v>
      </c>
      <c r="AA72" s="67" t="n">
        <f aca="false">AA32*AA20/AA70+AA33*AA19/AA71</f>
        <v>48.0463324652778</v>
      </c>
      <c r="AB72" s="67" t="n">
        <f aca="false">AB32*AB20/AB70+AB33*AB19/AB71</f>
        <v>48.0463324652778</v>
      </c>
      <c r="AC72" s="67" t="n">
        <f aca="false">AC32*AC20/AC70+AC33*AC19/AC71</f>
        <v>118.522476688508</v>
      </c>
      <c r="AD72" s="67" t="n">
        <f aca="false">AD32*AD20/AD70+AD33*AD19/AD71</f>
        <v>118.522476688508</v>
      </c>
      <c r="AE72" s="67" t="n">
        <f aca="false">AE32*AE20/AE70+AE33*AE19/AE71</f>
        <v>118.522476688508</v>
      </c>
      <c r="AF72" s="67" t="n">
        <f aca="false">AF32*AF20/AF70+AF33*AF19/AF71</f>
        <v>118.522476688508</v>
      </c>
      <c r="AG72" s="67" t="n">
        <f aca="false">AG32*AG20/AG70+AG33*AG19/AG71</f>
        <v>118.522476688508</v>
      </c>
      <c r="AH72" s="67" t="n">
        <f aca="false">AH32*AH20/AH70+AH33*AH19/AH71</f>
        <v>118.522476688508</v>
      </c>
    </row>
    <row r="73" customFormat="false" ht="15" hidden="false" customHeight="false" outlineLevel="0" collapsed="false">
      <c r="A73" s="53" t="s">
        <v>723</v>
      </c>
      <c r="B73" s="54" t="s">
        <v>71</v>
      </c>
      <c r="C73" s="78" t="n">
        <f aca="false">C72/C69</f>
        <v>0.185363936980238</v>
      </c>
      <c r="D73" s="78" t="n">
        <f aca="false">D72/D69</f>
        <v>0.185363936980238</v>
      </c>
      <c r="E73" s="78" t="n">
        <f aca="false">E72/E69</f>
        <v>0.185363936980238</v>
      </c>
      <c r="F73" s="78" t="n">
        <f aca="false">F72/F69</f>
        <v>0.185363936980238</v>
      </c>
      <c r="G73" s="78" t="n">
        <f aca="false">G72/G69</f>
        <v>0.185363936980238</v>
      </c>
      <c r="H73" s="78" t="n">
        <f aca="false">H72/H69</f>
        <v>0.185363936980238</v>
      </c>
      <c r="I73" s="78" t="n">
        <f aca="false">I72/I69</f>
        <v>0.185363936980238</v>
      </c>
      <c r="J73" s="78" t="n">
        <f aca="false">J72/J69</f>
        <v>0.185363936980238</v>
      </c>
      <c r="K73" s="78" t="n">
        <f aca="false">K72/K69</f>
        <v>0.185363936980238</v>
      </c>
      <c r="L73" s="78" t="n">
        <f aca="false">L72/L69</f>
        <v>0.185363936980238</v>
      </c>
      <c r="M73" s="78" t="n">
        <f aca="false">M72/M69</f>
        <v>0.185363936980238</v>
      </c>
      <c r="N73" s="78" t="n">
        <f aca="false">N72/N69</f>
        <v>0.185363936980238</v>
      </c>
      <c r="O73" s="78" t="n">
        <f aca="false">O72/O69</f>
        <v>0.185363936980238</v>
      </c>
      <c r="P73" s="78" t="n">
        <f aca="false">P72/P69</f>
        <v>0.185363936980238</v>
      </c>
      <c r="Q73" s="78" t="n">
        <f aca="false">Q72/Q69</f>
        <v>0.185363936980238</v>
      </c>
      <c r="R73" s="78" t="n">
        <f aca="false">R72/R69</f>
        <v>0.185363936980238</v>
      </c>
      <c r="S73" s="78" t="n">
        <f aca="false">S72/S69</f>
        <v>0.185363936980238</v>
      </c>
      <c r="T73" s="78" t="n">
        <f aca="false">T72/T69</f>
        <v>0.185363936980238</v>
      </c>
      <c r="U73" s="78" t="n">
        <f aca="false">U72/U69</f>
        <v>0.185363936980238</v>
      </c>
      <c r="V73" s="78" t="n">
        <f aca="false">V72/V69</f>
        <v>0.185363936980238</v>
      </c>
      <c r="W73" s="78" t="n">
        <f aca="false">W72/W69</f>
        <v>0.185363936980238</v>
      </c>
      <c r="X73" s="78" t="n">
        <f aca="false">X72/X69</f>
        <v>0.185363936980238</v>
      </c>
      <c r="Y73" s="78" t="n">
        <f aca="false">Y72/Y69</f>
        <v>0.185363936980238</v>
      </c>
      <c r="Z73" s="78" t="n">
        <f aca="false">Z72/Z69</f>
        <v>0.185363936980238</v>
      </c>
      <c r="AA73" s="78" t="n">
        <f aca="false">AA72/AA69</f>
        <v>0.185363936980238</v>
      </c>
      <c r="AB73" s="78" t="n">
        <f aca="false">AB72/AB69</f>
        <v>0.185363936980238</v>
      </c>
      <c r="AC73" s="78" t="n">
        <f aca="false">AC72/AC69</f>
        <v>0.45726264154517</v>
      </c>
      <c r="AD73" s="78" t="n">
        <f aca="false">AD72/AD69</f>
        <v>0.45726264154517</v>
      </c>
      <c r="AE73" s="78" t="n">
        <f aca="false">AE72/AE69</f>
        <v>0.45726264154517</v>
      </c>
      <c r="AF73" s="78" t="n">
        <f aca="false">AF72/AF69</f>
        <v>0.45726264154517</v>
      </c>
      <c r="AG73" s="78" t="n">
        <f aca="false">AG72/AG69</f>
        <v>0.45726264154517</v>
      </c>
      <c r="AH73" s="78" t="n">
        <f aca="false">AH72/AH69</f>
        <v>0.45726264154517</v>
      </c>
    </row>
    <row r="74" customFormat="false" ht="15" hidden="false" customHeight="false" outlineLevel="0" collapsed="false">
      <c r="A74" s="68" t="s">
        <v>724</v>
      </c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</row>
    <row r="75" customFormat="false" ht="15" hidden="false" customHeight="false" outlineLevel="0" collapsed="false">
      <c r="A75" s="54" t="s">
        <v>725</v>
      </c>
      <c r="B75" s="54" t="s">
        <v>330</v>
      </c>
      <c r="C75" s="60" t="n">
        <f aca="false">C51*C14*1000000000000000/(C67*1000000000)</f>
        <v>79071.116297521</v>
      </c>
      <c r="D75" s="60" t="n">
        <f aca="false">D51*D14*1000000000000000/(D67*1000000000)</f>
        <v>33887.6212703662</v>
      </c>
      <c r="E75" s="60" t="n">
        <f aca="false">E51*E14*1000000000000000/(E67*1000000000)</f>
        <v>79071.116297521</v>
      </c>
      <c r="F75" s="60" t="n">
        <f aca="false">F51*F14*1000000000000000/(F67*1000000000)</f>
        <v>33887.6212703662</v>
      </c>
      <c r="G75" s="60" t="n">
        <f aca="false">G51*G14*1000000000000000/(G67*1000000000)</f>
        <v>79071.116297521</v>
      </c>
      <c r="H75" s="60" t="n">
        <f aca="false">H51*H14*1000000000000000/(H67*1000000000)</f>
        <v>33887.6212703662</v>
      </c>
      <c r="I75" s="60" t="n">
        <f aca="false">I51*I14*1000000000000000/(I67*1000000000)</f>
        <v>79071.116297521</v>
      </c>
      <c r="J75" s="60" t="n">
        <f aca="false">J51*J14*1000000000000000/(J67*1000000000)</f>
        <v>33887.6212703662</v>
      </c>
      <c r="K75" s="60" t="n">
        <f aca="false">K51*K14*1000000000000000/(K67*1000000000)</f>
        <v>79071.116297521</v>
      </c>
      <c r="L75" s="60" t="n">
        <f aca="false">L51*L14*1000000000000000/(L67*1000000000)</f>
        <v>33887.6212703662</v>
      </c>
      <c r="M75" s="60" t="n">
        <f aca="false">M51*M14*1000000000000000/(M67*1000000000)</f>
        <v>112958.737567887</v>
      </c>
      <c r="N75" s="60" t="n">
        <f aca="false">N51*N14*1000000000000000/(N67*1000000000)</f>
        <v>33887.6212703662</v>
      </c>
      <c r="O75" s="60" t="n">
        <f aca="false">O51*O14*1000000000000000/(O67*1000000000)</f>
        <v>79071.116297521</v>
      </c>
      <c r="P75" s="60" t="n">
        <f aca="false">P51*P14*1000000000000000/(P67*1000000000)</f>
        <v>33887.6212703662</v>
      </c>
      <c r="Q75" s="60" t="n">
        <f aca="false">Q51*Q14*1000000000000000/(Q67*1000000000)</f>
        <v>79071.116297521</v>
      </c>
      <c r="R75" s="60" t="n">
        <f aca="false">R51*R14*1000000000000000/(R67*1000000000)</f>
        <v>33887.6212703662</v>
      </c>
      <c r="S75" s="60" t="n">
        <f aca="false">S51*S14*1000000000000000/(S67*1000000000)</f>
        <v>79071.116297521</v>
      </c>
      <c r="T75" s="60" t="n">
        <f aca="false">T51*T14*1000000000000000/(T67*1000000000)</f>
        <v>33887.6212703662</v>
      </c>
      <c r="U75" s="60" t="n">
        <f aca="false">U51*U14*1000000000000000/(U67*1000000000)</f>
        <v>79071.116297521</v>
      </c>
      <c r="V75" s="60" t="n">
        <f aca="false">V51*V14*1000000000000000/(V67*1000000000)</f>
        <v>33887.6212703662</v>
      </c>
      <c r="W75" s="60" t="n">
        <f aca="false">W51*W14*1000000000000000/(W67*1000000000)</f>
        <v>91080.7425106535</v>
      </c>
      <c r="X75" s="60" t="n">
        <f aca="false">X51*X14*1000000000000000/(X67*1000000000)</f>
        <v>39034.6039331372</v>
      </c>
      <c r="Y75" s="60" t="n">
        <f aca="false">Y51*Y14*1000000000000000/(Y67*1000000000)</f>
        <v>78153.185474445</v>
      </c>
      <c r="Z75" s="60" t="n">
        <f aca="false">Z51*Z14*1000000000000000/(Z67*1000000000)</f>
        <v>33494.2223461907</v>
      </c>
      <c r="AA75" s="60" t="n">
        <f aca="false">AA51*AA14*1000000000000000/(AA67*1000000000)</f>
        <v>55349.7814082647</v>
      </c>
      <c r="AB75" s="60" t="n">
        <f aca="false">AB51*AB14*1000000000000000/(AB67*1000000000)</f>
        <v>23721.3348892563</v>
      </c>
      <c r="AC75" s="60" t="n">
        <f aca="false">AC51*AC14*1000000000000000/(AC67*1000000000)</f>
        <v>23834.8916576419</v>
      </c>
      <c r="AD75" s="60" t="n">
        <f aca="false">AD51*AD14*1000000000000000/(AD67*1000000000)</f>
        <v>10214.9535675608</v>
      </c>
      <c r="AE75" s="60" t="n">
        <f aca="false">AE51*AE14*1000000000000000/(AE67*1000000000)</f>
        <v>23834.8916576419</v>
      </c>
      <c r="AF75" s="60" t="n">
        <f aca="false">AF51*AF14*1000000000000000/(AF67*1000000000)</f>
        <v>10214.9535675608</v>
      </c>
      <c r="AG75" s="60" t="n">
        <f aca="false">AG51*AG14*1000000000000000/(AG67*1000000000)</f>
        <v>23834.8916576419</v>
      </c>
      <c r="AH75" s="60" t="n">
        <f aca="false">AH51*AH14*1000000000000000/(AH67*1000000000)</f>
        <v>10214.9535675608</v>
      </c>
    </row>
    <row r="76" customFormat="false" ht="15" hidden="false" customHeight="false" outlineLevel="0" collapsed="false">
      <c r="A76" s="54" t="s">
        <v>726</v>
      </c>
      <c r="B76" s="54" t="s">
        <v>333</v>
      </c>
      <c r="C76" s="69" t="n">
        <f aca="false">C43*C67*1000000000/(C51*C14*1000000000000000*C21)</f>
        <v>0.0518014692569658</v>
      </c>
      <c r="D76" s="69" t="n">
        <f aca="false">D43*D67*1000000000/(D51*D14*1000000000000000*D21)</f>
        <v>0.12087009493292</v>
      </c>
      <c r="E76" s="69" t="n">
        <f aca="false">E43*E67*1000000000/(E51*E14*1000000000000000*E21)</f>
        <v>0.0518014692569658</v>
      </c>
      <c r="F76" s="69" t="n">
        <f aca="false">F43*F67*1000000000/(F51*F14*1000000000000000*F21)</f>
        <v>0.12087009493292</v>
      </c>
      <c r="G76" s="69" t="n">
        <f aca="false">G43*G67*1000000000/(G51*G14*1000000000000000*G21)</f>
        <v>0.0518014692569658</v>
      </c>
      <c r="H76" s="69" t="n">
        <f aca="false">H43*H67*1000000000/(H51*H14*1000000000000000*H21)</f>
        <v>0.12087009493292</v>
      </c>
      <c r="I76" s="69" t="n">
        <f aca="false">I43*I67*1000000000/(I51*I14*1000000000000000*I21)</f>
        <v>0.0518014692569658</v>
      </c>
      <c r="J76" s="69" t="n">
        <f aca="false">J43*J67*1000000000/(J51*J14*1000000000000000*J21)</f>
        <v>0.12087009493292</v>
      </c>
      <c r="K76" s="69" t="n">
        <f aca="false">K43*K67*1000000000/(K51*K14*1000000000000000*K21)</f>
        <v>0.0518014692569658</v>
      </c>
      <c r="L76" s="69" t="n">
        <f aca="false">L43*L67*1000000000/(L51*L14*1000000000000000*L21)</f>
        <v>0.12087009493292</v>
      </c>
      <c r="M76" s="69" t="n">
        <f aca="false">M43*M67*1000000000/(M51*M14*1000000000000000*M21)</f>
        <v>0.036261028479876</v>
      </c>
      <c r="N76" s="69" t="n">
        <f aca="false">N43*N67*1000000000/(N51*N14*1000000000000000*N21)</f>
        <v>0.12087009493292</v>
      </c>
      <c r="O76" s="69" t="n">
        <f aca="false">O43*O67*1000000000/(O51*O14*1000000000000000*O21)</f>
        <v>0.0518014692569658</v>
      </c>
      <c r="P76" s="69" t="n">
        <f aca="false">P43*P67*1000000000/(P51*P14*1000000000000000*P21)</f>
        <v>0.12087009493292</v>
      </c>
      <c r="Q76" s="69" t="n">
        <f aca="false">Q43*Q67*1000000000/(Q51*Q14*1000000000000000*Q21)</f>
        <v>0.0518014692569658</v>
      </c>
      <c r="R76" s="69" t="n">
        <f aca="false">R43*R67*1000000000/(R51*R14*1000000000000000*R21)</f>
        <v>0.12087009493292</v>
      </c>
      <c r="S76" s="69" t="n">
        <f aca="false">S43*S67*1000000000/(S51*S14*1000000000000000*S21)</f>
        <v>0.0518014692569658</v>
      </c>
      <c r="T76" s="69" t="n">
        <f aca="false">T43*T67*1000000000/(T51*T14*1000000000000000*T21)</f>
        <v>0.12087009493292</v>
      </c>
      <c r="U76" s="69" t="n">
        <f aca="false">U43*U67*1000000000/(U51*U14*1000000000000000*U21)</f>
        <v>0.0518014692569658</v>
      </c>
      <c r="V76" s="69" t="n">
        <f aca="false">V43*V67*1000000000/(V51*V14*1000000000000000*V21)</f>
        <v>0.12087009493292</v>
      </c>
      <c r="W76" s="69" t="n">
        <f aca="false">W43*W67*1000000000/(W51*W14*1000000000000000*W21)</f>
        <v>0.0112427717624307</v>
      </c>
      <c r="X76" s="69" t="n">
        <f aca="false">X43*X67*1000000000/(X51*X14*1000000000000000*X21)</f>
        <v>0.0262331341123384</v>
      </c>
      <c r="Y76" s="69" t="n">
        <f aca="false">Y43*Y67*1000000000/(Y51*Y14*1000000000000000*Y21)</f>
        <v>0.2096395674794</v>
      </c>
      <c r="Z76" s="69" t="n">
        <f aca="false">Z43*Z67*1000000000/(Z51*Z14*1000000000000000*Z21)</f>
        <v>0.489158990785268</v>
      </c>
      <c r="AA76" s="69" t="n">
        <f aca="false">AA43*AA67*1000000000/(AA51*AA14*1000000000000000*AA21)</f>
        <v>0.0740020989385225</v>
      </c>
      <c r="AB76" s="69" t="n">
        <f aca="false">AB43*AB67*1000000000/(AB51*AB14*1000000000000000*AB21)</f>
        <v>0.172671564189886</v>
      </c>
      <c r="AC76" s="69" t="n">
        <f aca="false">AC43*AC67*1000000000/(AC51*AC14*1000000000000000*AC21)</f>
        <v>0.343697807301486</v>
      </c>
      <c r="AD76" s="69" t="n">
        <f aca="false">AD43*AD67*1000000000/(AD51*AD14*1000000000000000*AD21)</f>
        <v>0.801961550370133</v>
      </c>
      <c r="AE76" s="69" t="n">
        <f aca="false">AE43*AE67*1000000000/(AE51*AE14*1000000000000000*AE21)</f>
        <v>0.343697807301486</v>
      </c>
      <c r="AF76" s="69" t="n">
        <f aca="false">AF43*AF67*1000000000/(AF51*AF14*1000000000000000*AF21)</f>
        <v>0.801961550370133</v>
      </c>
      <c r="AG76" s="69" t="n">
        <f aca="false">AG43*AG67*1000000000/(AG51*AG14*1000000000000000*AG21)</f>
        <v>0.343697807301486</v>
      </c>
      <c r="AH76" s="69" t="n">
        <f aca="false">AH43*AH67*1000000000/(AH51*AH14*1000000000000000*AH21)</f>
        <v>0.801961550370133</v>
      </c>
    </row>
    <row r="77" customFormat="false" ht="15" hidden="false" customHeight="false" outlineLevel="0" collapsed="false">
      <c r="A77" s="54" t="s">
        <v>727</v>
      </c>
      <c r="B77" s="53"/>
      <c r="C77" s="53" t="str">
        <f aca="false">IF(C76&lt;=C42,"是","否")</f>
        <v>是</v>
      </c>
      <c r="D77" s="53" t="str">
        <f aca="false">IF(D76&lt;=D42,"是","否")</f>
        <v>是</v>
      </c>
      <c r="E77" s="53" t="str">
        <f aca="false">IF(E76&lt;=E42,"是","否")</f>
        <v>是</v>
      </c>
      <c r="F77" s="53" t="str">
        <f aca="false">IF(F76&lt;=F42,"是","否")</f>
        <v>是</v>
      </c>
      <c r="G77" s="53" t="str">
        <f aca="false">IF(G76&lt;=G42,"是","否")</f>
        <v>是</v>
      </c>
      <c r="H77" s="53" t="str">
        <f aca="false">IF(H76&lt;=H42,"是","否")</f>
        <v>是</v>
      </c>
      <c r="I77" s="53" t="str">
        <f aca="false">IF(I76&lt;=I42,"是","否")</f>
        <v>是</v>
      </c>
      <c r="J77" s="53" t="str">
        <f aca="false">IF(J76&lt;=J42,"是","否")</f>
        <v>是</v>
      </c>
      <c r="K77" s="53" t="str">
        <f aca="false">IF(K76&lt;=K42,"是","否")</f>
        <v>是</v>
      </c>
      <c r="L77" s="53" t="str">
        <f aca="false">IF(L76&lt;=L42,"是","否")</f>
        <v>是</v>
      </c>
      <c r="M77" s="53" t="str">
        <f aca="false">IF(M76&lt;=M42,"是","否")</f>
        <v>是</v>
      </c>
      <c r="N77" s="53" t="str">
        <f aca="false">IF(N76&lt;=N42,"是","否")</f>
        <v>是</v>
      </c>
      <c r="O77" s="53" t="str">
        <f aca="false">IF(O76&lt;=O42,"是","否")</f>
        <v>是</v>
      </c>
      <c r="P77" s="53" t="str">
        <f aca="false">IF(P76&lt;=P42,"是","否")</f>
        <v>是</v>
      </c>
      <c r="Q77" s="53" t="str">
        <f aca="false">IF(Q76&lt;=Q42,"是","否")</f>
        <v>是</v>
      </c>
      <c r="R77" s="53" t="str">
        <f aca="false">IF(R76&lt;=R42,"是","否")</f>
        <v>是</v>
      </c>
      <c r="S77" s="53" t="str">
        <f aca="false">IF(S76&lt;=S42,"是","否")</f>
        <v>是</v>
      </c>
      <c r="T77" s="53" t="str">
        <f aca="false">IF(T76&lt;=T42,"是","否")</f>
        <v>是</v>
      </c>
      <c r="U77" s="53" t="str">
        <f aca="false">IF(U76&lt;=U42,"是","否")</f>
        <v>是</v>
      </c>
      <c r="V77" s="53" t="str">
        <f aca="false">IF(V76&lt;=V42,"是","否")</f>
        <v>是</v>
      </c>
      <c r="W77" s="53" t="str">
        <f aca="false">IF(W76&lt;=W42,"是","否")</f>
        <v>是</v>
      </c>
      <c r="X77" s="53" t="str">
        <f aca="false">IF(X76&lt;=X42,"是","否")</f>
        <v>是</v>
      </c>
      <c r="Y77" s="53" t="str">
        <f aca="false">IF(Y76&lt;=Y42,"是","否")</f>
        <v>是</v>
      </c>
      <c r="Z77" s="53" t="str">
        <f aca="false">IF(Z76&lt;=Z42,"是","否")</f>
        <v>是</v>
      </c>
      <c r="AA77" s="53" t="str">
        <f aca="false">IF(AA76&lt;=AA42,"是","否")</f>
        <v>是</v>
      </c>
      <c r="AB77" s="53" t="str">
        <f aca="false">IF(AB76&lt;=AB42,"是","否")</f>
        <v>是</v>
      </c>
      <c r="AC77" s="53" t="str">
        <f aca="false">IF(AC76&lt;=AC42,"是","否")</f>
        <v>是</v>
      </c>
      <c r="AD77" s="53" t="str">
        <f aca="false">IF(AD76&lt;=AD42,"是","否")</f>
        <v>是</v>
      </c>
      <c r="AE77" s="53" t="str">
        <f aca="false">IF(AE76&lt;=AE42,"是","否")</f>
        <v>是</v>
      </c>
      <c r="AF77" s="53" t="str">
        <f aca="false">IF(AF76&lt;=AF42,"是","否")</f>
        <v>是</v>
      </c>
      <c r="AG77" s="53" t="str">
        <f aca="false">IF(AG76&lt;=AG42,"是","否")</f>
        <v>是</v>
      </c>
      <c r="AH77" s="53" t="str">
        <f aca="false">IF(AH76&lt;=AH42,"是","否")</f>
        <v>是</v>
      </c>
    </row>
    <row r="78" customFormat="false" ht="15" hidden="false" customHeight="false" outlineLevel="0" collapsed="false">
      <c r="A78" s="68" t="s">
        <v>728</v>
      </c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</row>
    <row r="79" customFormat="false" ht="15" hidden="false" customHeight="false" outlineLevel="0" collapsed="false">
      <c r="A79" s="53" t="s">
        <v>729</v>
      </c>
      <c r="B79" s="54" t="s">
        <v>459</v>
      </c>
      <c r="C79" s="64" t="n">
        <f aca="false">C72/C16+(C29+C47)*C55/1000</f>
        <v>12.4997858435238</v>
      </c>
      <c r="D79" s="64" t="n">
        <f aca="false">D72/D16+(D29+D47)*D55/1000</f>
        <v>16.3216531987164</v>
      </c>
      <c r="E79" s="64" t="n">
        <f aca="false">E72/E16+(E29+E47)*E55/1000</f>
        <v>12.4997858435238</v>
      </c>
      <c r="F79" s="64" t="n">
        <f aca="false">F72/F16+(F29+F47)*F55/1000</f>
        <v>16.3216531987164</v>
      </c>
      <c r="G79" s="64" t="n">
        <f aca="false">G72/G16+(G29+G47)*G55/1000</f>
        <v>12.4997858435238</v>
      </c>
      <c r="H79" s="64" t="n">
        <f aca="false">H72/H16+(H29+H47)*H55/1000</f>
        <v>16.3216531987164</v>
      </c>
      <c r="I79" s="64" t="n">
        <f aca="false">I72/I16+(I29+I47)*I55/1000</f>
        <v>9.40502735135683</v>
      </c>
      <c r="J79" s="64" t="n">
        <f aca="false">J72/J16+(J29+J47)*J55/1000</f>
        <v>16.3216531987164</v>
      </c>
      <c r="K79" s="64" t="n">
        <f aca="false">K72/K16+(K29+K47)*K55/1000</f>
        <v>17.6577166638022</v>
      </c>
      <c r="L79" s="64" t="n">
        <f aca="false">L72/L16+(L29+L47)*L55/1000</f>
        <v>16.3216531987164</v>
      </c>
      <c r="M79" s="64" t="n">
        <f aca="false">M72/M16+(M29+M47)*M55/1000</f>
        <v>12.4997858435238</v>
      </c>
      <c r="N79" s="64" t="n">
        <f aca="false">N72/N16+(N29+N47)*N55/1000</f>
        <v>16.3216531987164</v>
      </c>
      <c r="O79" s="64" t="n">
        <f aca="false">O72/O16+(O29+O47)*O55/1000</f>
        <v>12.4997858435238</v>
      </c>
      <c r="P79" s="64" t="n">
        <f aca="false">P72/P16+(P29+P47)*P55/1000</f>
        <v>16.3216531987164</v>
      </c>
      <c r="Q79" s="64" t="n">
        <f aca="false">Q72/Q16+(Q29+Q47)*Q55/1000</f>
        <v>12.4997858435238</v>
      </c>
      <c r="R79" s="64" t="n">
        <f aca="false">R72/R16+(R29+R47)*R55/1000</f>
        <v>16.3216531987164</v>
      </c>
      <c r="S79" s="64" t="n">
        <f aca="false">S72/S16+(S29+S47)*S55/1000</f>
        <v>12.4997858435238</v>
      </c>
      <c r="T79" s="64" t="n">
        <f aca="false">T72/T16+(T29+T47)*T55/1000</f>
        <v>16.3216531987164</v>
      </c>
      <c r="U79" s="64" t="n">
        <f aca="false">U72/U16+(U29+U47)*U55/1000</f>
        <v>12.4997858435238</v>
      </c>
      <c r="V79" s="64" t="n">
        <f aca="false">V72/V16+(V29+V47)*V55/1000</f>
        <v>16.3216531987164</v>
      </c>
      <c r="W79" s="64" t="n">
        <f aca="false">W72/W16+(W29+W47)*W55/1000</f>
        <v>12.4997858435238</v>
      </c>
      <c r="X79" s="64" t="n">
        <f aca="false">X72/X16+(X29+X47)*X55/1000</f>
        <v>16.3216531987164</v>
      </c>
      <c r="Y79" s="64" t="n">
        <f aca="false">Y72/Y16+(Y29+Y47)*Y55/1000</f>
        <v>12.4997858435238</v>
      </c>
      <c r="Z79" s="64" t="n">
        <f aca="false">Z72/Z16+(Z29+Z47)*Z55/1000</f>
        <v>16.3216531987164</v>
      </c>
      <c r="AA79" s="64" t="n">
        <f aca="false">AA72/AA16+(AA29+AA47)*AA55/1000</f>
        <v>16.9208694037624</v>
      </c>
      <c r="AB79" s="64" t="n">
        <f aca="false">AB72/AB16+(AB29+AB47)*AB55/1000</f>
        <v>20.7427367589549</v>
      </c>
      <c r="AC79" s="64" t="n">
        <f aca="false">AC72/AC16+(AC29+AC47)*AC55/1000</f>
        <v>21.989475131794</v>
      </c>
      <c r="AD79" s="64" t="n">
        <f aca="false">AD72/AD16+(AD29+AD47)*AD55/1000</f>
        <v>31.4173994138344</v>
      </c>
      <c r="AE79" s="64" t="n">
        <f aca="false">AE72/AE16+(AE29+AE47)*AE55/1000</f>
        <v>21.989475131794</v>
      </c>
      <c r="AF79" s="64" t="n">
        <f aca="false">AF72/AF16+(AF29+AF47)*AF55/1000</f>
        <v>31.4173994138344</v>
      </c>
      <c r="AG79" s="64" t="n">
        <f aca="false">AG72/AG16+(AG29+AG47)*AG55/1000</f>
        <v>21.989475131794</v>
      </c>
      <c r="AH79" s="64" t="n">
        <f aca="false">AH72/AH16+(AH29+AH47)*AH55/1000</f>
        <v>31.4173994138344</v>
      </c>
    </row>
    <row r="80" customFormat="false" ht="15" hidden="false" customHeight="false" outlineLevel="0" collapsed="false">
      <c r="A80" s="53" t="s">
        <v>730</v>
      </c>
      <c r="B80" s="54" t="s">
        <v>459</v>
      </c>
      <c r="C80" s="65" t="n">
        <f aca="false">(C47+1)*C65/(C14*C53)/1000</f>
        <v>0.426319136327043</v>
      </c>
      <c r="D80" s="65" t="n">
        <f aca="false">(D47+1)*D65/(D14*D53)/1000</f>
        <v>0.994744651429766</v>
      </c>
      <c r="E80" s="65" t="n">
        <f aca="false">(E47+1)*E65/(E14*E53)/1000</f>
        <v>0.852638272654085</v>
      </c>
      <c r="F80" s="65" t="n">
        <f aca="false">(F47+1)*F65/(F14*F53)/1000</f>
        <v>0.994744651429766</v>
      </c>
      <c r="G80" s="65" t="n">
        <f aca="false">(G47+1)*G65/(G14*G53)/1000</f>
        <v>0.284212757551362</v>
      </c>
      <c r="H80" s="65" t="n">
        <f aca="false">(H47+1)*H65/(H14*H53)/1000</f>
        <v>0.994744651429766</v>
      </c>
      <c r="I80" s="65" t="n">
        <f aca="false">(I47+1)*I65/(I14*I53)/1000</f>
        <v>0.426319136327043</v>
      </c>
      <c r="J80" s="65" t="n">
        <f aca="false">(J47+1)*J65/(J14*J53)/1000</f>
        <v>0.994744651429766</v>
      </c>
      <c r="K80" s="65" t="n">
        <f aca="false">(K47+1)*K65/(K14*K53)/1000</f>
        <v>0.426319136327043</v>
      </c>
      <c r="L80" s="65" t="n">
        <f aca="false">(L47+1)*L65/(L14*L53)/1000</f>
        <v>0.994744651429766</v>
      </c>
      <c r="M80" s="65" t="n">
        <f aca="false">(M47+1)*M65/(M14*M53)/1000</f>
        <v>0.29842339542893</v>
      </c>
      <c r="N80" s="65" t="n">
        <f aca="false">(N47+1)*N65/(N14*N53)/1000</f>
        <v>0.994744651429766</v>
      </c>
      <c r="O80" s="65" t="n">
        <f aca="false">(O47+1)*O65/(O14*O53)/1000</f>
        <v>0.426319136327043</v>
      </c>
      <c r="P80" s="65" t="n">
        <f aca="false">(P47+1)*P65/(P14*P53)/1000</f>
        <v>0.994744651429766</v>
      </c>
      <c r="Q80" s="65" t="n">
        <f aca="false">(Q47+1)*Q65/(Q14*Q53)/1000</f>
        <v>0.426319136327043</v>
      </c>
      <c r="R80" s="65" t="n">
        <f aca="false">(R47+1)*R65/(R14*R53)/1000</f>
        <v>0.994744651429766</v>
      </c>
      <c r="S80" s="65" t="n">
        <f aca="false">(S47+1)*S65/(S14*S53)/1000</f>
        <v>0.426319136327043</v>
      </c>
      <c r="T80" s="65" t="n">
        <f aca="false">(T47+1)*T65/(T14*T53)/1000</f>
        <v>0.994744651429766</v>
      </c>
      <c r="U80" s="65" t="n">
        <f aca="false">(U47+1)*U65/(U14*U53)/1000</f>
        <v>0.426319136327043</v>
      </c>
      <c r="V80" s="65" t="n">
        <f aca="false">(V47+1)*V65/(V14*V53)/1000</f>
        <v>0.994744651429766</v>
      </c>
      <c r="W80" s="65" t="n">
        <f aca="false">(W47+1)*W65/(W14*W53)/1000</f>
        <v>0.423826496900918</v>
      </c>
      <c r="X80" s="65" t="n">
        <f aca="false">(X47+1)*X65/(X14*X53)/1000</f>
        <v>0.988928492768808</v>
      </c>
      <c r="Y80" s="65" t="n">
        <f aca="false">(Y47+1)*Y65/(Y14*Y53)/1000</f>
        <v>0.436289694031542</v>
      </c>
      <c r="Z80" s="65" t="n">
        <f aca="false">(Z47+1)*Z65/(Z14*Z53)/1000</f>
        <v>1.0180092860736</v>
      </c>
      <c r="AA80" s="65" t="n">
        <f aca="false">(AA47+1)*AA65/(AA14*AA53)/1000</f>
        <v>0.609027337610061</v>
      </c>
      <c r="AB80" s="65" t="n">
        <f aca="false">(AB47+1)*AB65/(AB14*AB53)/1000</f>
        <v>1.42106378775681</v>
      </c>
      <c r="AC80" s="65" t="n">
        <f aca="false">(AC47+1)*AC65/(AC14*AC53)/1000</f>
        <v>1.69767139244238</v>
      </c>
      <c r="AD80" s="65" t="n">
        <f aca="false">(AD47+1)*AD65/(AD14*AD53)/1000</f>
        <v>3.96123324903222</v>
      </c>
      <c r="AE80" s="65" t="n">
        <f aca="false">(AE47+1)*AE65/(AE14*AE53)/1000</f>
        <v>1.69767139244238</v>
      </c>
      <c r="AF80" s="65" t="n">
        <f aca="false">(AF47+1)*AF65/(AF14*AF53)/1000</f>
        <v>3.96123324903222</v>
      </c>
      <c r="AG80" s="65" t="n">
        <f aca="false">(AG47+1)*AG65/(AG14*AG53)/1000</f>
        <v>1.69767139244238</v>
      </c>
      <c r="AH80" s="65" t="n">
        <f aca="false">(AH47+1)*AH65/(AH14*AH53)/1000</f>
        <v>3.96123324903222</v>
      </c>
    </row>
    <row r="81" customFormat="false" ht="15" hidden="false" customHeight="false" outlineLevel="0" collapsed="false">
      <c r="A81" s="53" t="s">
        <v>731</v>
      </c>
      <c r="B81" s="54" t="s">
        <v>459</v>
      </c>
      <c r="C81" s="65" t="n">
        <f aca="false">C34*C45/(C16*C60)/1000000000</f>
        <v>0.00448199480519481</v>
      </c>
      <c r="D81" s="65" t="n">
        <f aca="false">D34*D45/(D16*D60)/1000000000</f>
        <v>0.0123254857142857</v>
      </c>
      <c r="E81" s="65" t="n">
        <f aca="false">E34*E45/(E16*E60)/1000000000</f>
        <v>0.00448199480519481</v>
      </c>
      <c r="F81" s="65" t="n">
        <f aca="false">F34*F45/(F16*F60)/1000000000</f>
        <v>0.0123254857142857</v>
      </c>
      <c r="G81" s="65" t="n">
        <f aca="false">G34*G45/(G16*G60)/1000000000</f>
        <v>0.00448199480519481</v>
      </c>
      <c r="H81" s="65" t="n">
        <f aca="false">H34*H45/(H16*H60)/1000000000</f>
        <v>0.0123254857142857</v>
      </c>
      <c r="I81" s="65" t="n">
        <f aca="false">I34*I45/(I16*I60)/1000000000</f>
        <v>0.00448199480519481</v>
      </c>
      <c r="J81" s="65" t="n">
        <f aca="false">J34*J45/(J16*J60)/1000000000</f>
        <v>0.0123254857142857</v>
      </c>
      <c r="K81" s="65" t="n">
        <f aca="false">K34*K45/(K16*K60)/1000000000</f>
        <v>0.00448199480519481</v>
      </c>
      <c r="L81" s="65" t="n">
        <f aca="false">L34*L45/(L16*L60)/1000000000</f>
        <v>0.0123254857142857</v>
      </c>
      <c r="M81" s="65" t="n">
        <f aca="false">M34*M45/(M16*M60)/1000000000</f>
        <v>0.00448199480519481</v>
      </c>
      <c r="N81" s="65" t="n">
        <f aca="false">N34*N45/(N16*N60)/1000000000</f>
        <v>0.0123254857142857</v>
      </c>
      <c r="O81" s="65" t="n">
        <f aca="false">O34*O45/(O16*O60)/1000000000</f>
        <v>0.00448199480519481</v>
      </c>
      <c r="P81" s="65" t="n">
        <f aca="false">P34*P45/(P16*P60)/1000000000</f>
        <v>0.0123254857142857</v>
      </c>
      <c r="Q81" s="65" t="n">
        <f aca="false">Q34*Q45/(Q16*Q60)/1000000000</f>
        <v>0.00448199480519481</v>
      </c>
      <c r="R81" s="65" t="n">
        <f aca="false">R34*R45/(R16*R60)/1000000000</f>
        <v>0.0123254857142857</v>
      </c>
      <c r="S81" s="65" t="n">
        <f aca="false">S34*S45/(S16*S60)/1000000000</f>
        <v>0.00448199480519481</v>
      </c>
      <c r="T81" s="65" t="n">
        <f aca="false">T34*T45/(T16*T60)/1000000000</f>
        <v>0.0123254857142857</v>
      </c>
      <c r="U81" s="65" t="n">
        <f aca="false">U34*U45/(U16*U60)/1000000000</f>
        <v>0.00448199480519481</v>
      </c>
      <c r="V81" s="65" t="n">
        <f aca="false">V34*V45/(V16*V60)/1000000000</f>
        <v>0.0123254857142857</v>
      </c>
      <c r="W81" s="65" t="n">
        <f aca="false">W34*W45/(W16*W60)/1000000000</f>
        <v>0.00131823376623377</v>
      </c>
      <c r="X81" s="65" t="n">
        <f aca="false">X34*X45/(X16*X60)/1000000000</f>
        <v>0.00362514285714286</v>
      </c>
      <c r="Y81" s="65" t="n">
        <f aca="false">Y34*Y45/(Y16*Y60)/1000000000</f>
        <v>0.017137038961039</v>
      </c>
      <c r="Z81" s="65" t="n">
        <f aca="false">Z34*Z45/(Z16*Z60)/1000000000</f>
        <v>0.0471268571428572</v>
      </c>
      <c r="AA81" s="65" t="n">
        <f aca="false">AA34*AA45/(AA16*AA60)/1000000000</f>
        <v>0.00448199480519481</v>
      </c>
      <c r="AB81" s="65" t="n">
        <f aca="false">AB34*AB45/(AB16*AB60)/1000000000</f>
        <v>0.0123254857142857</v>
      </c>
      <c r="AC81" s="65" t="n">
        <f aca="false">AC34*AC45/(AC16*AC60)/1000000000</f>
        <v>0.0338574296103896</v>
      </c>
      <c r="AD81" s="65" t="n">
        <f aca="false">AD34*AD45/(AD16*AD60)/1000000000</f>
        <v>0.0931079314285714</v>
      </c>
      <c r="AE81" s="65" t="n">
        <f aca="false">AE34*AE45/(AE16*AE60)/1000000000</f>
        <v>0.130220883116883</v>
      </c>
      <c r="AF81" s="65" t="n">
        <f aca="false">AF34*AF45/(AF16*AF60)/1000000000</f>
        <v>0.358107428571429</v>
      </c>
      <c r="AG81" s="65" t="n">
        <f aca="false">AG34*AG45/(AG16*AG60)/1000000000</f>
        <v>0.463007584415584</v>
      </c>
      <c r="AH81" s="65" t="n">
        <f aca="false">AH34*AH45/(AH16*AH60)/1000000000</f>
        <v>1.27327085714286</v>
      </c>
    </row>
    <row r="82" customFormat="false" ht="15" hidden="false" customHeight="false" outlineLevel="0" collapsed="false">
      <c r="A82" s="53" t="s">
        <v>732</v>
      </c>
      <c r="B82" s="54" t="s">
        <v>459</v>
      </c>
      <c r="C82" s="65" t="n">
        <f aca="false">(C47+1)*C29*C31*C30*C59*(C71-1)/C71/(C17*C61)/1000000000</f>
        <v>0.0242048</v>
      </c>
      <c r="D82" s="65" t="n">
        <f aca="false">(D47+1)*D29*D31*D30*D59*(D71-1)/D71/(D17*D61)/1000000000</f>
        <v>0.0484096</v>
      </c>
      <c r="E82" s="65" t="n">
        <f aca="false">(E47+1)*E29*E31*E30*E59*(E71-1)/E71/(E17*E61)/1000000000</f>
        <v>0.0242048</v>
      </c>
      <c r="F82" s="65" t="n">
        <f aca="false">(F47+1)*F29*F31*F30*F59*(F71-1)/F71/(F17*F61)/1000000000</f>
        <v>0.0484096</v>
      </c>
      <c r="G82" s="65" t="n">
        <f aca="false">(G47+1)*G29*G31*G30*G59*(G71-1)/G71/(G17*G61)/1000000000</f>
        <v>0.0242048</v>
      </c>
      <c r="H82" s="65" t="n">
        <f aca="false">(H47+1)*H29*H31*H30*H59*(H71-1)/H71/(H17*H61)/1000000000</f>
        <v>0.0484096</v>
      </c>
      <c r="I82" s="65" t="n">
        <f aca="false">(I47+1)*I29*I31*I30*I59*(I71-1)/I71/(I17*I61)/1000000000</f>
        <v>0.0242048</v>
      </c>
      <c r="J82" s="65" t="n">
        <f aca="false">(J47+1)*J29*J31*J30*J59*(J71-1)/J71/(J17*J61)/1000000000</f>
        <v>0.0484096</v>
      </c>
      <c r="K82" s="65" t="n">
        <f aca="false">(K47+1)*K29*K31*K30*K59*(K71-1)/K71/(K17*K61)/1000000000</f>
        <v>0.0242048</v>
      </c>
      <c r="L82" s="65" t="n">
        <f aca="false">(L47+1)*L29*L31*L30*L59*(L71-1)/L71/(L17*L61)/1000000000</f>
        <v>0.0484096</v>
      </c>
      <c r="M82" s="65" t="n">
        <f aca="false">(M47+1)*M29*M31*M30*M59*(M71-1)/M71/(M17*M61)/1000000000</f>
        <v>0.0242048</v>
      </c>
      <c r="N82" s="65" t="n">
        <f aca="false">(N47+1)*N29*N31*N30*N59*(N71-1)/N71/(N17*N61)/1000000000</f>
        <v>0.0484096</v>
      </c>
      <c r="O82" s="65" t="n">
        <f aca="false">(O47+1)*O29*O31*O30*O59*(O71-1)/O71/(O17*O61)/1000000000</f>
        <v>0.0242048</v>
      </c>
      <c r="P82" s="65" t="n">
        <f aca="false">(P47+1)*P29*P31*P30*P59*(P71-1)/P71/(P17*P61)/1000000000</f>
        <v>0.0484096</v>
      </c>
      <c r="Q82" s="65" t="n">
        <f aca="false">(Q47+1)*Q29*Q31*Q30*Q59*(Q71-1)/Q71/(Q17*Q61)/1000000000</f>
        <v>0.0242048</v>
      </c>
      <c r="R82" s="65" t="n">
        <f aca="false">(R47+1)*R29*R31*R30*R59*(R71-1)/R71/(R17*R61)/1000000000</f>
        <v>0.0484096</v>
      </c>
      <c r="S82" s="65" t="n">
        <f aca="false">(S47+1)*S29*S31*S30*S59*(S71-1)/S71/(S17*S61)/1000000000</f>
        <v>0.0242048</v>
      </c>
      <c r="T82" s="65" t="n">
        <f aca="false">(T47+1)*T29*T31*T30*T59*(T71-1)/T71/(T17*T61)/1000000000</f>
        <v>0.0484096</v>
      </c>
      <c r="U82" s="65" t="n">
        <f aca="false">(U47+1)*U29*U31*U30*U59*(U71-1)/U71/(U17*U61)/1000000000</f>
        <v>0.0242048</v>
      </c>
      <c r="V82" s="65" t="n">
        <f aca="false">(V47+1)*V29*V31*V30*V59*(V71-1)/V71/(V17*V61)/1000000000</f>
        <v>0.0484096</v>
      </c>
      <c r="W82" s="65" t="n">
        <f aca="false">(W47+1)*W29*W31*W30*W59*(W71-1)/W71/(W17*W61)/1000000000</f>
        <v>0.0242048</v>
      </c>
      <c r="X82" s="65" t="n">
        <f aca="false">(X47+1)*X29*X31*X30*X59*(X71-1)/X71/(X17*X61)/1000000000</f>
        <v>0.0484096</v>
      </c>
      <c r="Y82" s="65" t="n">
        <f aca="false">(Y47+1)*Y29*Y31*Y30*Y59*(Y71-1)/Y71/(Y17*Y61)/1000000000</f>
        <v>0.0242048</v>
      </c>
      <c r="Z82" s="65" t="n">
        <f aca="false">(Z47+1)*Z29*Z31*Z30*Z59*(Z71-1)/Z71/(Z17*Z61)/1000000000</f>
        <v>0.0484096</v>
      </c>
      <c r="AA82" s="65" t="n">
        <f aca="false">(AA47+1)*AA29*AA31*AA30*AA59*(AA71-1)/AA71/(AA17*AA61)/1000000000</f>
        <v>0.0242048</v>
      </c>
      <c r="AB82" s="65" t="n">
        <f aca="false">(AB47+1)*AB29*AB31*AB30*AB59*(AB71-1)/AB71/(AB17*AB61)/1000000000</f>
        <v>0.0484096</v>
      </c>
      <c r="AC82" s="65" t="n">
        <f aca="false">(AC47+1)*AC29*AC31*AC30*AC59*(AC71-1)/AC71/(AC17*AC61)/1000000000</f>
        <v>0.181394285714286</v>
      </c>
      <c r="AD82" s="65" t="n">
        <f aca="false">(AD47+1)*AD29*AD31*AD30*AD59*(AD71-1)/AD71/(AD17*AD61)/1000000000</f>
        <v>0.362788571428571</v>
      </c>
      <c r="AE82" s="65" t="n">
        <f aca="false">(AE47+1)*AE29*AE31*AE30*AE59*(AE71-1)/AE71/(AE17*AE61)/1000000000</f>
        <v>0.181394285714286</v>
      </c>
      <c r="AF82" s="65" t="n">
        <f aca="false">(AF47+1)*AF29*AF31*AF30*AF59*(AF71-1)/AF71/(AF17*AF61)/1000000000</f>
        <v>0.362788571428571</v>
      </c>
      <c r="AG82" s="65" t="n">
        <f aca="false">(AG47+1)*AG29*AG31*AG30*AG59*(AG71-1)/AG71/(AG17*AG61)/1000000000</f>
        <v>0.181394285714286</v>
      </c>
      <c r="AH82" s="65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53" t="s">
        <v>733</v>
      </c>
      <c r="B83" s="54" t="s">
        <v>459</v>
      </c>
      <c r="C83" s="65" t="n">
        <f aca="false">MAX(C80,C81,C82)</f>
        <v>0.426319136327043</v>
      </c>
      <c r="D83" s="65" t="n">
        <f aca="false">MAX(D80,D81,D82)</f>
        <v>0.994744651429766</v>
      </c>
      <c r="E83" s="65" t="n">
        <f aca="false">MAX(E80,E81,E82)</f>
        <v>0.852638272654085</v>
      </c>
      <c r="F83" s="65" t="n">
        <f aca="false">MAX(F80,F81,F82)</f>
        <v>0.994744651429766</v>
      </c>
      <c r="G83" s="65" t="n">
        <f aca="false">MAX(G80,G81,G82)</f>
        <v>0.284212757551362</v>
      </c>
      <c r="H83" s="65" t="n">
        <f aca="false">MAX(H80,H81,H82)</f>
        <v>0.994744651429766</v>
      </c>
      <c r="I83" s="65" t="n">
        <f aca="false">MAX(I80,I81,I82)</f>
        <v>0.426319136327043</v>
      </c>
      <c r="J83" s="65" t="n">
        <f aca="false">MAX(J80,J81,J82)</f>
        <v>0.994744651429766</v>
      </c>
      <c r="K83" s="65" t="n">
        <f aca="false">MAX(K80,K81,K82)</f>
        <v>0.426319136327043</v>
      </c>
      <c r="L83" s="65" t="n">
        <f aca="false">MAX(L80,L81,L82)</f>
        <v>0.994744651429766</v>
      </c>
      <c r="M83" s="65" t="n">
        <f aca="false">MAX(M80,M81,M82)</f>
        <v>0.29842339542893</v>
      </c>
      <c r="N83" s="65" t="n">
        <f aca="false">MAX(N80,N81,N82)</f>
        <v>0.994744651429766</v>
      </c>
      <c r="O83" s="65" t="n">
        <f aca="false">MAX(O80,O81,O82)</f>
        <v>0.426319136327043</v>
      </c>
      <c r="P83" s="65" t="n">
        <f aca="false">MAX(P80,P81,P82)</f>
        <v>0.994744651429766</v>
      </c>
      <c r="Q83" s="65" t="n">
        <f aca="false">MAX(Q80,Q81,Q82)</f>
        <v>0.426319136327043</v>
      </c>
      <c r="R83" s="65" t="n">
        <f aca="false">MAX(R80,R81,R82)</f>
        <v>0.994744651429766</v>
      </c>
      <c r="S83" s="65" t="n">
        <f aca="false">MAX(S80,S81,S82)</f>
        <v>0.426319136327043</v>
      </c>
      <c r="T83" s="65" t="n">
        <f aca="false">MAX(T80,T81,T82)</f>
        <v>0.994744651429766</v>
      </c>
      <c r="U83" s="65" t="n">
        <f aca="false">MAX(U80,U81,U82)</f>
        <v>0.426319136327043</v>
      </c>
      <c r="V83" s="65" t="n">
        <f aca="false">MAX(V80,V81,V82)</f>
        <v>0.994744651429766</v>
      </c>
      <c r="W83" s="65" t="n">
        <f aca="false">MAX(W80,W81,W82)</f>
        <v>0.423826496900918</v>
      </c>
      <c r="X83" s="65" t="n">
        <f aca="false">MAX(X80,X81,X82)</f>
        <v>0.988928492768808</v>
      </c>
      <c r="Y83" s="65" t="n">
        <f aca="false">MAX(Y80,Y81,Y82)</f>
        <v>0.436289694031542</v>
      </c>
      <c r="Z83" s="65" t="n">
        <f aca="false">MAX(Z80,Z81,Z82)</f>
        <v>1.0180092860736</v>
      </c>
      <c r="AA83" s="65" t="n">
        <f aca="false">MAX(AA80,AA81,AA82)</f>
        <v>0.609027337610061</v>
      </c>
      <c r="AB83" s="65" t="n">
        <f aca="false">MAX(AB80,AB81,AB82)</f>
        <v>1.42106378775681</v>
      </c>
      <c r="AC83" s="65" t="n">
        <f aca="false">MAX(AC80,AC81,AC82)</f>
        <v>1.69767139244238</v>
      </c>
      <c r="AD83" s="65" t="n">
        <f aca="false">MAX(AD80,AD81,AD82)</f>
        <v>3.96123324903222</v>
      </c>
      <c r="AE83" s="65" t="n">
        <f aca="false">MAX(AE80,AE81,AE82)</f>
        <v>1.69767139244238</v>
      </c>
      <c r="AF83" s="65" t="n">
        <f aca="false">MAX(AF80,AF81,AF82)</f>
        <v>3.96123324903222</v>
      </c>
      <c r="AG83" s="65" t="n">
        <f aca="false">MAX(AG80,AG81,AG82)</f>
        <v>1.69767139244238</v>
      </c>
      <c r="AH83" s="65" t="n">
        <f aca="false">MAX(AH80,AH81,AH82)</f>
        <v>3.96123324903222</v>
      </c>
    </row>
    <row r="84" customFormat="false" ht="15" hidden="false" customHeight="false" outlineLevel="0" collapsed="false">
      <c r="A84" s="53" t="s">
        <v>734</v>
      </c>
      <c r="B84" s="53"/>
      <c r="C84" s="53" t="str">
        <f aca="false">IF(C83=C80,"算力",IF(C83=C81,"KV 頻寬","EP 通訊"))</f>
        <v>算力</v>
      </c>
      <c r="D84" s="53" t="str">
        <f aca="false">IF(D83=D80,"算力",IF(D83=D81,"KV 頻寬","EP 通訊"))</f>
        <v>算力</v>
      </c>
      <c r="E84" s="53" t="str">
        <f aca="false">IF(E83=E80,"算力",IF(E83=E81,"KV 頻寬","EP 通訊"))</f>
        <v>算力</v>
      </c>
      <c r="F84" s="53" t="str">
        <f aca="false">IF(F83=F80,"算力",IF(F83=F81,"KV 頻寬","EP 通訊"))</f>
        <v>算力</v>
      </c>
      <c r="G84" s="53" t="str">
        <f aca="false">IF(G83=G80,"算力",IF(G83=G81,"KV 頻寬","EP 通訊"))</f>
        <v>算力</v>
      </c>
      <c r="H84" s="53" t="str">
        <f aca="false">IF(H83=H80,"算力",IF(H83=H81,"KV 頻寬","EP 通訊"))</f>
        <v>算力</v>
      </c>
      <c r="I84" s="53" t="str">
        <f aca="false">IF(I83=I80,"算力",IF(I83=I81,"KV 頻寬","EP 通訊"))</f>
        <v>算力</v>
      </c>
      <c r="J84" s="53" t="str">
        <f aca="false">IF(J83=J80,"算力",IF(J83=J81,"KV 頻寬","EP 通訊"))</f>
        <v>算力</v>
      </c>
      <c r="K84" s="53" t="str">
        <f aca="false">IF(K83=K80,"算力",IF(K83=K81,"KV 頻寬","EP 通訊"))</f>
        <v>算力</v>
      </c>
      <c r="L84" s="53" t="str">
        <f aca="false">IF(L83=L80,"算力",IF(L83=L81,"KV 頻寬","EP 通訊"))</f>
        <v>算力</v>
      </c>
      <c r="M84" s="53" t="str">
        <f aca="false">IF(M83=M80,"算力",IF(M83=M81,"KV 頻寬","EP 通訊"))</f>
        <v>算力</v>
      </c>
      <c r="N84" s="53" t="str">
        <f aca="false">IF(N83=N80,"算力",IF(N83=N81,"KV 頻寬","EP 通訊"))</f>
        <v>算力</v>
      </c>
      <c r="O84" s="53" t="str">
        <f aca="false">IF(O83=O80,"算力",IF(O83=O81,"KV 頻寬","EP 通訊"))</f>
        <v>算力</v>
      </c>
      <c r="P84" s="53" t="str">
        <f aca="false">IF(P83=P80,"算力",IF(P83=P81,"KV 頻寬","EP 通訊"))</f>
        <v>算力</v>
      </c>
      <c r="Q84" s="53" t="str">
        <f aca="false">IF(Q83=Q80,"算力",IF(Q83=Q81,"KV 頻寬","EP 通訊"))</f>
        <v>算力</v>
      </c>
      <c r="R84" s="53" t="str">
        <f aca="false">IF(R83=R80,"算力",IF(R83=R81,"KV 頻寬","EP 通訊"))</f>
        <v>算力</v>
      </c>
      <c r="S84" s="53" t="str">
        <f aca="false">IF(S83=S80,"算力",IF(S83=S81,"KV 頻寬","EP 通訊"))</f>
        <v>算力</v>
      </c>
      <c r="T84" s="53" t="str">
        <f aca="false">IF(T83=T80,"算力",IF(T83=T81,"KV 頻寬","EP 通訊"))</f>
        <v>算力</v>
      </c>
      <c r="U84" s="53" t="str">
        <f aca="false">IF(U83=U80,"算力",IF(U83=U81,"KV 頻寬","EP 通訊"))</f>
        <v>算力</v>
      </c>
      <c r="V84" s="53" t="str">
        <f aca="false">IF(V83=V80,"算力",IF(V83=V81,"KV 頻寬","EP 通訊"))</f>
        <v>算力</v>
      </c>
      <c r="W84" s="53" t="str">
        <f aca="false">IF(W83=W80,"算力",IF(W83=W81,"KV 頻寬","EP 通訊"))</f>
        <v>算力</v>
      </c>
      <c r="X84" s="53" t="str">
        <f aca="false">IF(X83=X80,"算力",IF(X83=X81,"KV 頻寬","EP 通訊"))</f>
        <v>算力</v>
      </c>
      <c r="Y84" s="53" t="str">
        <f aca="false">IF(Y83=Y80,"算力",IF(Y83=Y81,"KV 頻寬","EP 通訊"))</f>
        <v>算力</v>
      </c>
      <c r="Z84" s="53" t="str">
        <f aca="false">IF(Z83=Z80,"算力",IF(Z83=Z81,"KV 頻寬","EP 通訊"))</f>
        <v>算力</v>
      </c>
      <c r="AA84" s="53" t="str">
        <f aca="false">IF(AA83=AA80,"算力",IF(AA83=AA81,"KV 頻寬","EP 通訊"))</f>
        <v>算力</v>
      </c>
      <c r="AB84" s="53" t="str">
        <f aca="false">IF(AB83=AB80,"算力",IF(AB83=AB81,"KV 頻寬","EP 通訊"))</f>
        <v>算力</v>
      </c>
      <c r="AC84" s="53" t="str">
        <f aca="false">IF(AC83=AC80,"算力",IF(AC83=AC81,"KV 頻寬","EP 通訊"))</f>
        <v>算力</v>
      </c>
      <c r="AD84" s="53" t="str">
        <f aca="false">IF(AD83=AD80,"算力",IF(AD83=AD81,"KV 頻寬","EP 通訊"))</f>
        <v>算力</v>
      </c>
      <c r="AE84" s="53" t="str">
        <f aca="false">IF(AE83=AE80,"算力",IF(AE83=AE81,"KV 頻寬","EP 通訊"))</f>
        <v>算力</v>
      </c>
      <c r="AF84" s="53" t="str">
        <f aca="false">IF(AF83=AF80,"算力",IF(AF83=AF81,"KV 頻寬","EP 通訊"))</f>
        <v>算力</v>
      </c>
      <c r="AG84" s="53" t="str">
        <f aca="false">IF(AG83=AG80,"算力",IF(AG83=AG81,"KV 頻寬","EP 通訊"))</f>
        <v>算力</v>
      </c>
      <c r="AH84" s="53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54" t="s">
        <v>735</v>
      </c>
      <c r="B85" s="53" t="s">
        <v>463</v>
      </c>
      <c r="C85" s="67" t="n">
        <f aca="false">(1000*C49/C41-C79)/C83</f>
        <v>62.0883339972837</v>
      </c>
      <c r="D85" s="67" t="n">
        <f aca="false">(1000*D49/D41-D79)/D83</f>
        <v>22.7672272858794</v>
      </c>
      <c r="E85" s="67" t="n">
        <f aca="false">(1000*E49/E41-E79)/E83</f>
        <v>31.0441669986419</v>
      </c>
      <c r="F85" s="67" t="n">
        <f aca="false">(1000*F49/F41-F79)/F83</f>
        <v>22.7672272858794</v>
      </c>
      <c r="G85" s="67" t="n">
        <f aca="false">(1000*G49/G41-G79)/G83</f>
        <v>93.1325009959256</v>
      </c>
      <c r="H85" s="67" t="n">
        <f aca="false">(1000*H49/H41-H79)/H83</f>
        <v>22.7672272858794</v>
      </c>
      <c r="I85" s="67" t="n">
        <f aca="false">(1000*I49/I41-I79)/I83</f>
        <v>69.3475870508293</v>
      </c>
      <c r="J85" s="67" t="n">
        <f aca="false">(1000*J49/J41-J79)/J83</f>
        <v>22.7672272858794</v>
      </c>
      <c r="K85" s="67" t="n">
        <f aca="false">(1000*K49/K41-K79)/K83</f>
        <v>49.9895789080411</v>
      </c>
      <c r="L85" s="67" t="n">
        <f aca="false">(1000*L49/L41-L79)/L83</f>
        <v>22.7672272858794</v>
      </c>
      <c r="M85" s="67" t="n">
        <f aca="false">(1000*M49/M41-M79)/M83</f>
        <v>88.6976199961196</v>
      </c>
      <c r="N85" s="67" t="n">
        <f aca="false">(1000*N49/N41-N79)/N83</f>
        <v>22.7672272858794</v>
      </c>
      <c r="O85" s="67" t="n">
        <f aca="false">(1000*O49/O41-O79)/O83</f>
        <v>119.21870220127</v>
      </c>
      <c r="P85" s="67" t="n">
        <f aca="false">(1000*P49/P41-P79)/P83</f>
        <v>47.2516708018734</v>
      </c>
      <c r="Q85" s="67" t="n">
        <f aca="false">(1000*Q49/Q41-Q79)/Q83</f>
        <v>30.0953278030516</v>
      </c>
      <c r="R85" s="67" t="n">
        <f aca="false">(1000*R49/R41-R79)/R83</f>
        <v>9.0559389169228</v>
      </c>
      <c r="S85" s="67" t="n">
        <f aca="false">(1000*S49/S41-S79)/S83</f>
        <v>49.2052442546399</v>
      </c>
      <c r="T85" s="67" t="n">
        <f aca="false">(1000*T49/T41-T79)/T83</f>
        <v>17.2459031104607</v>
      </c>
      <c r="U85" s="67" t="n">
        <f aca="false">(1000*U49/U41-U79)/U83</f>
        <v>77.2088230789861</v>
      </c>
      <c r="V85" s="67" t="n">
        <f aca="false">(1000*V49/V41-V79)/V83</f>
        <v>29.2474368923233</v>
      </c>
      <c r="W85" s="67" t="n">
        <f aca="false">(1000*W49/W41-W79)/W83</f>
        <v>62.4534924532927</v>
      </c>
      <c r="X85" s="67" t="n">
        <f aca="false">(1000*X49/X41-X79)/X83</f>
        <v>22.9011275700082</v>
      </c>
      <c r="Y85" s="67" t="n">
        <f aca="false">(1000*Y49/Y41-Y79)/Y83</f>
        <v>60.6694251269508</v>
      </c>
      <c r="Z85" s="67" t="n">
        <f aca="false">(1000*Z49/Z41-Z79)/Z83</f>
        <v>22.2469263103333</v>
      </c>
      <c r="AA85" s="67" t="n">
        <f aca="false">(1000*AA49/AA41-AA79)/AA83</f>
        <v>36.202580744553</v>
      </c>
      <c r="AB85" s="67" t="n">
        <f aca="false">(1000*AB49/AB41-AB79)/AB83</f>
        <v>12.8259506485961</v>
      </c>
      <c r="AC85" s="67" t="n">
        <f aca="false">(1000*AC49/AC41-AC79)/AC83</f>
        <v>14.1753406636192</v>
      </c>
      <c r="AD85" s="67" t="n">
        <f aca="false">(1000*AD49/AD41-AD79)/AD83</f>
        <v>3.6950982485788</v>
      </c>
      <c r="AE85" s="67" t="n">
        <f aca="false">(1000*AE49/AE41-AE79)/AE83</f>
        <v>14.1753406636192</v>
      </c>
      <c r="AF85" s="67" t="n">
        <f aca="false">(1000*AF49/AF41-AF79)/AF83</f>
        <v>3.6950982485788</v>
      </c>
      <c r="AG85" s="67" t="n">
        <f aca="false">(1000*AG49/AG41-AG79)/AG83</f>
        <v>14.1753406636192</v>
      </c>
      <c r="AH85" s="67" t="n">
        <f aca="false">(1000*AH49/AH41-AH79)/AH83</f>
        <v>3.6950982485788</v>
      </c>
    </row>
    <row r="86" customFormat="false" ht="15" hidden="false" customHeight="false" outlineLevel="0" collapsed="false">
      <c r="A86" s="54" t="s">
        <v>736</v>
      </c>
      <c r="B86" s="53" t="s">
        <v>463</v>
      </c>
      <c r="C86" s="60" t="n">
        <f aca="false">(C69-C72)*1000000000/(C34*C45)</f>
        <v>3059.19076406613</v>
      </c>
      <c r="D86" s="60" t="n">
        <f aca="false">(D69-D72)*1000000000/(D34*D45)</f>
        <v>3059.19076406613</v>
      </c>
      <c r="E86" s="60" t="n">
        <f aca="false">(E69-E72)*1000000000/(E34*E45)</f>
        <v>3059.19076406613</v>
      </c>
      <c r="F86" s="60" t="n">
        <f aca="false">(F69-F72)*1000000000/(F34*F45)</f>
        <v>3059.19076406613</v>
      </c>
      <c r="G86" s="60" t="n">
        <f aca="false">(G69-G72)*1000000000/(G34*G45)</f>
        <v>3059.19076406613</v>
      </c>
      <c r="H86" s="60" t="n">
        <f aca="false">(H69-H72)*1000000000/(H34*H45)</f>
        <v>3059.19076406613</v>
      </c>
      <c r="I86" s="60" t="n">
        <f aca="false">(I69-I72)*1000000000/(I34*I45)</f>
        <v>3059.19076406613</v>
      </c>
      <c r="J86" s="60" t="n">
        <f aca="false">(J69-J72)*1000000000/(J34*J45)</f>
        <v>3059.19076406613</v>
      </c>
      <c r="K86" s="60" t="n">
        <f aca="false">(K69-K72)*1000000000/(K34*K45)</f>
        <v>3059.19076406613</v>
      </c>
      <c r="L86" s="60" t="n">
        <f aca="false">(L69-L72)*1000000000/(L34*L45)</f>
        <v>3059.19076406613</v>
      </c>
      <c r="M86" s="60" t="n">
        <f aca="false">(M69-M72)*1000000000/(M34*M45)</f>
        <v>3059.19076406613</v>
      </c>
      <c r="N86" s="60" t="n">
        <f aca="false">(N69-N72)*1000000000/(N34*N45)</f>
        <v>3059.19076406613</v>
      </c>
      <c r="O86" s="60" t="n">
        <f aca="false">(O69-O72)*1000000000/(O34*O45)</f>
        <v>3059.19076406613</v>
      </c>
      <c r="P86" s="60" t="n">
        <f aca="false">(P69-P72)*1000000000/(P34*P45)</f>
        <v>3059.19076406613</v>
      </c>
      <c r="Q86" s="60" t="n">
        <f aca="false">(Q69-Q72)*1000000000/(Q34*Q45)</f>
        <v>3059.19076406613</v>
      </c>
      <c r="R86" s="60" t="n">
        <f aca="false">(R69-R72)*1000000000/(R34*R45)</f>
        <v>3059.19076406613</v>
      </c>
      <c r="S86" s="60" t="n">
        <f aca="false">(S69-S72)*1000000000/(S34*S45)</f>
        <v>3059.19076406613</v>
      </c>
      <c r="T86" s="60" t="n">
        <f aca="false">(T69-T72)*1000000000/(T34*T45)</f>
        <v>3059.19076406613</v>
      </c>
      <c r="U86" s="60" t="n">
        <f aca="false">(U69-U72)*1000000000/(U34*U45)</f>
        <v>3059.19076406613</v>
      </c>
      <c r="V86" s="60" t="n">
        <f aca="false">(V69-V72)*1000000000/(V34*V45)</f>
        <v>3059.19076406613</v>
      </c>
      <c r="W86" s="60" t="n">
        <f aca="false">(W69-W72)*1000000000/(W34*W45)</f>
        <v>10401.2485978248</v>
      </c>
      <c r="X86" s="60" t="n">
        <f aca="false">(X69-X72)*1000000000/(X34*X45)</f>
        <v>10401.2485978248</v>
      </c>
      <c r="Y86" s="60" t="n">
        <f aca="false">(Y69-Y72)*1000000000/(Y34*Y45)</f>
        <v>800.096045986525</v>
      </c>
      <c r="Z86" s="60" t="n">
        <f aca="false">(Z69-Z72)*1000000000/(Z34*Z45)</f>
        <v>800.096045986525</v>
      </c>
      <c r="AA86" s="60" t="n">
        <f aca="false">(AA69-AA72)*1000000000/(AA34*AA45)</f>
        <v>3059.19076406613</v>
      </c>
      <c r="AB86" s="60" t="n">
        <f aca="false">(AB69-AB72)*1000000000/(AB34*AB45)</f>
        <v>3059.19076406613</v>
      </c>
      <c r="AC86" s="60" t="n">
        <f aca="false">(AC69-AC72)*1000000000/(AC34*AC45)</f>
        <v>269.80500930681</v>
      </c>
      <c r="AD86" s="60" t="n">
        <f aca="false">(AD69-AD72)*1000000000/(AD34*AD45)</f>
        <v>269.80500930681</v>
      </c>
      <c r="AE86" s="60" t="n">
        <f aca="false">(AE69-AE72)*1000000000/(AE34*AE45)</f>
        <v>70.1493024197706</v>
      </c>
      <c r="AF86" s="60" t="n">
        <f aca="false">(AF69-AF72)*1000000000/(AF34*AF45)</f>
        <v>70.1493024197706</v>
      </c>
      <c r="AG86" s="60" t="n">
        <f aca="false">(AG69-AG72)*1000000000/(AG34*AG45)</f>
        <v>19.7294913055605</v>
      </c>
      <c r="AH86" s="60" t="n">
        <f aca="false">(AH69-AH72)*1000000000/(AH34*AH45)</f>
        <v>19.7294913055605</v>
      </c>
    </row>
    <row r="87" customFormat="false" ht="15" hidden="false" customHeight="false" outlineLevel="0" collapsed="false">
      <c r="A87" s="53" t="s">
        <v>737</v>
      </c>
      <c r="B87" s="53" t="s">
        <v>463</v>
      </c>
      <c r="C87" s="105" t="n">
        <f aca="false">MAX(0,MIN(C85,C86))</f>
        <v>62.0883339972837</v>
      </c>
      <c r="D87" s="105" t="n">
        <f aca="false">MAX(0,MIN(D85,D86))</f>
        <v>22.7672272858794</v>
      </c>
      <c r="E87" s="105" t="n">
        <f aca="false">MAX(0,MIN(E85,E86))</f>
        <v>31.0441669986419</v>
      </c>
      <c r="F87" s="105" t="n">
        <f aca="false">MAX(0,MIN(F85,F86))</f>
        <v>22.7672272858794</v>
      </c>
      <c r="G87" s="105" t="n">
        <f aca="false">MAX(0,MIN(G85,G86))</f>
        <v>93.1325009959256</v>
      </c>
      <c r="H87" s="105" t="n">
        <f aca="false">MAX(0,MIN(H85,H86))</f>
        <v>22.7672272858794</v>
      </c>
      <c r="I87" s="105" t="n">
        <f aca="false">MAX(0,MIN(I85,I86))</f>
        <v>69.3475870508293</v>
      </c>
      <c r="J87" s="105" t="n">
        <f aca="false">MAX(0,MIN(J85,J86))</f>
        <v>22.7672272858794</v>
      </c>
      <c r="K87" s="105" t="n">
        <f aca="false">MAX(0,MIN(K85,K86))</f>
        <v>49.9895789080411</v>
      </c>
      <c r="L87" s="105" t="n">
        <f aca="false">MAX(0,MIN(L85,L86))</f>
        <v>22.7672272858794</v>
      </c>
      <c r="M87" s="105" t="n">
        <f aca="false">MAX(0,MIN(M85,M86))</f>
        <v>88.6976199961196</v>
      </c>
      <c r="N87" s="105" t="n">
        <f aca="false">MAX(0,MIN(N85,N86))</f>
        <v>22.7672272858794</v>
      </c>
      <c r="O87" s="105" t="n">
        <f aca="false">MAX(0,MIN(O85,O86))</f>
        <v>119.21870220127</v>
      </c>
      <c r="P87" s="105" t="n">
        <f aca="false">MAX(0,MIN(P85,P86))</f>
        <v>47.2516708018734</v>
      </c>
      <c r="Q87" s="105" t="n">
        <f aca="false">MAX(0,MIN(Q85,Q86))</f>
        <v>30.0953278030516</v>
      </c>
      <c r="R87" s="105" t="n">
        <f aca="false">MAX(0,MIN(R85,R86))</f>
        <v>9.0559389169228</v>
      </c>
      <c r="S87" s="105" t="n">
        <f aca="false">MAX(0,MIN(S85,S86))</f>
        <v>49.2052442546399</v>
      </c>
      <c r="T87" s="105" t="n">
        <f aca="false">MAX(0,MIN(T85,T86))</f>
        <v>17.2459031104607</v>
      </c>
      <c r="U87" s="105" t="n">
        <f aca="false">MAX(0,MIN(U85,U86))</f>
        <v>77.2088230789861</v>
      </c>
      <c r="V87" s="105" t="n">
        <f aca="false">MAX(0,MIN(V85,V86))</f>
        <v>29.2474368923233</v>
      </c>
      <c r="W87" s="105" t="n">
        <f aca="false">MAX(0,MIN(W85,W86))</f>
        <v>62.4534924532927</v>
      </c>
      <c r="X87" s="105" t="n">
        <f aca="false">MAX(0,MIN(X85,X86))</f>
        <v>22.9011275700082</v>
      </c>
      <c r="Y87" s="105" t="n">
        <f aca="false">MAX(0,MIN(Y85,Y86))</f>
        <v>60.6694251269508</v>
      </c>
      <c r="Z87" s="105" t="n">
        <f aca="false">MAX(0,MIN(Z85,Z86))</f>
        <v>22.2469263103333</v>
      </c>
      <c r="AA87" s="105" t="n">
        <f aca="false">MAX(0,MIN(AA85,AA86))</f>
        <v>36.202580744553</v>
      </c>
      <c r="AB87" s="105" t="n">
        <f aca="false">MAX(0,MIN(AB85,AB86))</f>
        <v>12.8259506485961</v>
      </c>
      <c r="AC87" s="105" t="n">
        <f aca="false">MAX(0,MIN(AC85,AC86))</f>
        <v>14.1753406636192</v>
      </c>
      <c r="AD87" s="105" t="n">
        <f aca="false">MAX(0,MIN(AD85,AD86))</f>
        <v>3.6950982485788</v>
      </c>
      <c r="AE87" s="105" t="n">
        <f aca="false">MAX(0,MIN(AE85,AE86))</f>
        <v>14.1753406636192</v>
      </c>
      <c r="AF87" s="105" t="n">
        <f aca="false">MAX(0,MIN(AF85,AF86))</f>
        <v>3.6950982485788</v>
      </c>
      <c r="AG87" s="105" t="n">
        <f aca="false">MAX(0,MIN(AG85,AG86))</f>
        <v>14.1753406636192</v>
      </c>
      <c r="AH87" s="105" t="n">
        <f aca="false">MAX(0,MIN(AH85,AH86))</f>
        <v>3.6950982485788</v>
      </c>
    </row>
    <row r="88" customFormat="false" ht="15" hidden="false" customHeight="false" outlineLevel="0" collapsed="false">
      <c r="A88" s="54" t="s">
        <v>738</v>
      </c>
      <c r="B88" s="54" t="s">
        <v>330</v>
      </c>
      <c r="C88" s="63" t="n">
        <f aca="false">IF(C87&gt;0,C87*C49/((C79+C87*C83)/1000),0)</f>
        <v>4035.74170982344</v>
      </c>
      <c r="D88" s="63" t="n">
        <f aca="false">IF(D87&gt;0,D87*D49/((D79+D87*D83)/1000),0)</f>
        <v>1479.86977358216</v>
      </c>
      <c r="E88" s="63" t="n">
        <f aca="false">IF(E87&gt;0,E87*E49/((E79+E87*E83)/1000),0)</f>
        <v>2017.87085491172</v>
      </c>
      <c r="F88" s="63" t="n">
        <f aca="false">IF(F87&gt;0,F87*F49/((F79+F87*F83)/1000),0)</f>
        <v>1479.86977358216</v>
      </c>
      <c r="G88" s="63" t="n">
        <f aca="false">IF(G87&gt;0,G87*G49/((G79+G87*G83)/1000),0)</f>
        <v>6053.61256473516</v>
      </c>
      <c r="H88" s="63" t="n">
        <f aca="false">IF(H87&gt;0,H87*H49/((H79+H87*H83)/1000),0)</f>
        <v>1479.86977358216</v>
      </c>
      <c r="I88" s="63" t="n">
        <f aca="false">IF(I87&gt;0,I87*I49/((I79+I87*I83)/1000),0)</f>
        <v>4507.5931583039</v>
      </c>
      <c r="J88" s="63" t="n">
        <f aca="false">IF(J87&gt;0,J87*J49/((J79+J87*J83)/1000),0)</f>
        <v>1479.86977358216</v>
      </c>
      <c r="K88" s="63" t="n">
        <f aca="false">IF(K87&gt;0,K87*K49/((K79+K87*K83)/1000),0)</f>
        <v>3249.32262902267</v>
      </c>
      <c r="L88" s="63" t="n">
        <f aca="false">IF(L87&gt;0,L87*L49/((L79+L87*L83)/1000),0)</f>
        <v>1479.86977358216</v>
      </c>
      <c r="M88" s="63" t="n">
        <f aca="false">IF(M87&gt;0,M87*M49/((M79+M87*M83)/1000),0)</f>
        <v>5765.34529974777</v>
      </c>
      <c r="N88" s="63" t="n">
        <f aca="false">IF(N87&gt;0,N87*N49/((N79+N87*N83)/1000),0)</f>
        <v>1479.86977358216</v>
      </c>
      <c r="O88" s="63" t="n">
        <f aca="false">IF(O87&gt;0,O87*O49/((O79+O87*O83)/1000),0)</f>
        <v>4768.74808805079</v>
      </c>
      <c r="P88" s="63" t="n">
        <f aca="false">IF(P87&gt;0,P87*P49/((P79+P87*P83)/1000),0)</f>
        <v>1890.06683207494</v>
      </c>
      <c r="Q88" s="63" t="n">
        <f aca="false">IF(Q87&gt;0,Q87*Q49/((Q79+Q87*Q83)/1000),0)</f>
        <v>3009.53278030516</v>
      </c>
      <c r="R88" s="63" t="n">
        <f aca="false">IF(R87&gt;0,R87*R49/((R79+R87*R83)/1000),0)</f>
        <v>905.59389169228</v>
      </c>
      <c r="S88" s="63" t="n">
        <f aca="false">IF(S87&gt;0,S87*S49/((S79+S87*S83)/1000),0)</f>
        <v>3198.34087655159</v>
      </c>
      <c r="T88" s="63" t="n">
        <f aca="false">IF(T87&gt;0,T87*T49/((T79+T87*T83)/1000),0)</f>
        <v>1120.98370217994</v>
      </c>
      <c r="U88" s="63" t="n">
        <f aca="false">IF(U87&gt;0,U87*U49/((U79+U87*U83)/1000),0)</f>
        <v>5018.5735001341</v>
      </c>
      <c r="V88" s="63" t="n">
        <f aca="false">IF(V87&gt;0,V87*V49/((V79+V87*V83)/1000),0)</f>
        <v>1901.08339800102</v>
      </c>
      <c r="W88" s="63" t="n">
        <f aca="false">IF(W87&gt;0,W87*W49/((W79+W87*W83)/1000),0)</f>
        <v>4059.47700946403</v>
      </c>
      <c r="X88" s="63" t="n">
        <f aca="false">IF(X87&gt;0,X87*X49/((X79+X87*X83)/1000),0)</f>
        <v>1488.57329205053</v>
      </c>
      <c r="Y88" s="63" t="n">
        <f aca="false">IF(Y87&gt;0,Y87*Y49/((Y79+Y87*Y83)/1000),0)</f>
        <v>3943.5126332518</v>
      </c>
      <c r="Z88" s="63" t="n">
        <f aca="false">IF(Z87&gt;0,Z87*Z49/((Z79+Z87*Z83)/1000),0)</f>
        <v>1446.05021017167</v>
      </c>
      <c r="AA88" s="63" t="n">
        <f aca="false">IF(AA87&gt;0,AA87*AA49/((AA79+AA87*AA83)/1000),0)</f>
        <v>2353.16774839595</v>
      </c>
      <c r="AB88" s="63" t="n">
        <f aca="false">IF(AB87&gt;0,AB87*AB49/((AB79+AB87*AB83)/1000),0)</f>
        <v>833.686792158745</v>
      </c>
      <c r="AC88" s="63" t="n">
        <f aca="false">IF(AC87&gt;0,AC87*AC49/((AC79+AC87*AC83)/1000),0)</f>
        <v>779.643736499055</v>
      </c>
      <c r="AD88" s="63" t="n">
        <f aca="false">IF(AD87&gt;0,AD87*AD49/((AD79+AD87*AD83)/1000),0)</f>
        <v>203.230403671834</v>
      </c>
      <c r="AE88" s="63" t="n">
        <f aca="false">IF(AE87&gt;0,AE87*AE49/((AE79+AE87*AE83)/1000),0)</f>
        <v>779.643736499055</v>
      </c>
      <c r="AF88" s="63" t="n">
        <f aca="false">IF(AF87&gt;0,AF87*AF49/((AF79+AF87*AF83)/1000),0)</f>
        <v>203.230403671834</v>
      </c>
      <c r="AG88" s="63" t="n">
        <f aca="false">IF(AG87&gt;0,AG87*AG49/((AG79+AG87*AG83)/1000),0)</f>
        <v>779.643736499055</v>
      </c>
      <c r="AH88" s="63" t="n">
        <f aca="false">IF(AH87&gt;0,AH87*AH49/((AH79+AH87*AH83)/1000),0)</f>
        <v>203.230403671834</v>
      </c>
    </row>
    <row r="89" customFormat="false" ht="15" hidden="false" customHeight="false" outlineLevel="0" collapsed="false">
      <c r="A89" s="53" t="s">
        <v>739</v>
      </c>
      <c r="B89" s="54" t="s">
        <v>330</v>
      </c>
      <c r="C89" s="60" t="n">
        <f aca="false">IF(C87&gt;0,C49/((C79+C87*C83)/1000),0)</f>
        <v>65</v>
      </c>
      <c r="D89" s="60" t="n">
        <f aca="false">IF(D87&gt;0,D49/((D79+D87*D83)/1000),0)</f>
        <v>65</v>
      </c>
      <c r="E89" s="60" t="n">
        <f aca="false">IF(E87&gt;0,E49/((E79+E87*E83)/1000),0)</f>
        <v>65</v>
      </c>
      <c r="F89" s="60" t="n">
        <f aca="false">IF(F87&gt;0,F49/((F79+F87*F83)/1000),0)</f>
        <v>65</v>
      </c>
      <c r="G89" s="60" t="n">
        <f aca="false">IF(G87&gt;0,G49/((G79+G87*G83)/1000),0)</f>
        <v>65</v>
      </c>
      <c r="H89" s="60" t="n">
        <f aca="false">IF(H87&gt;0,H49/((H79+H87*H83)/1000),0)</f>
        <v>65</v>
      </c>
      <c r="I89" s="60" t="n">
        <f aca="false">IF(I87&gt;0,I49/((I79+I87*I83)/1000),0)</f>
        <v>65</v>
      </c>
      <c r="J89" s="60" t="n">
        <f aca="false">IF(J87&gt;0,J49/((J79+J87*J83)/1000),0)</f>
        <v>65</v>
      </c>
      <c r="K89" s="60" t="n">
        <f aca="false">IF(K87&gt;0,K49/((K79+K87*K83)/1000),0)</f>
        <v>65</v>
      </c>
      <c r="L89" s="60" t="n">
        <f aca="false">IF(L87&gt;0,L49/((L79+L87*L83)/1000),0)</f>
        <v>65</v>
      </c>
      <c r="M89" s="60" t="n">
        <f aca="false">IF(M87&gt;0,M49/((M79+M87*M83)/1000),0)</f>
        <v>65</v>
      </c>
      <c r="N89" s="60" t="n">
        <f aca="false">IF(N87&gt;0,N49/((N79+N87*N83)/1000),0)</f>
        <v>65</v>
      </c>
      <c r="O89" s="60" t="n">
        <f aca="false">IF(O87&gt;0,O49/((O79+O87*O83)/1000),0)</f>
        <v>40</v>
      </c>
      <c r="P89" s="60" t="n">
        <f aca="false">IF(P87&gt;0,P49/((P79+P87*P83)/1000),0)</f>
        <v>40</v>
      </c>
      <c r="Q89" s="60" t="n">
        <f aca="false">IF(Q87&gt;0,Q49/((Q79+Q87*Q83)/1000),0)</f>
        <v>100</v>
      </c>
      <c r="R89" s="60" t="n">
        <f aca="false">IF(R87&gt;0,R49/((R79+R87*R83)/1000),0)</f>
        <v>100</v>
      </c>
      <c r="S89" s="60" t="n">
        <f aca="false">IF(S87&gt;0,S49/((S79+S87*S83)/1000),0)</f>
        <v>65</v>
      </c>
      <c r="T89" s="60" t="n">
        <f aca="false">IF(T87&gt;0,T49/((T79+T87*T83)/1000),0)</f>
        <v>65</v>
      </c>
      <c r="U89" s="60" t="n">
        <f aca="false">IF(U87&gt;0,U49/((U79+U87*U83)/1000),0)</f>
        <v>65</v>
      </c>
      <c r="V89" s="60" t="n">
        <f aca="false">IF(V87&gt;0,V49/((V79+V87*V83)/1000),0)</f>
        <v>65</v>
      </c>
      <c r="W89" s="60" t="n">
        <f aca="false">IF(W87&gt;0,W49/((W79+W87*W83)/1000),0)</f>
        <v>65</v>
      </c>
      <c r="X89" s="60" t="n">
        <f aca="false">IF(X87&gt;0,X49/((X79+X87*X83)/1000),0)</f>
        <v>65</v>
      </c>
      <c r="Y89" s="60" t="n">
        <f aca="false">IF(Y87&gt;0,Y49/((Y79+Y87*Y83)/1000),0)</f>
        <v>65</v>
      </c>
      <c r="Z89" s="60" t="n">
        <f aca="false">IF(Z87&gt;0,Z49/((Z79+Z87*Z83)/1000),0)</f>
        <v>65</v>
      </c>
      <c r="AA89" s="60" t="n">
        <f aca="false">IF(AA87&gt;0,AA49/((AA79+AA87*AA83)/1000),0)</f>
        <v>65</v>
      </c>
      <c r="AB89" s="60" t="n">
        <f aca="false">IF(AB87&gt;0,AB49/((AB79+AB87*AB83)/1000),0)</f>
        <v>65</v>
      </c>
      <c r="AC89" s="60" t="n">
        <f aca="false">IF(AC87&gt;0,AC49/((AC79+AC87*AC83)/1000),0)</f>
        <v>55</v>
      </c>
      <c r="AD89" s="60" t="n">
        <f aca="false">IF(AD87&gt;0,AD49/((AD79+AD87*AD83)/1000),0)</f>
        <v>55</v>
      </c>
      <c r="AE89" s="60" t="n">
        <f aca="false">IF(AE87&gt;0,AE49/((AE79+AE87*AE83)/1000),0)</f>
        <v>55</v>
      </c>
      <c r="AF89" s="60" t="n">
        <f aca="false">IF(AF87&gt;0,AF49/((AF79+AF87*AF83)/1000),0)</f>
        <v>55</v>
      </c>
      <c r="AG89" s="60" t="n">
        <f aca="false">IF(AG87&gt;0,AG49/((AG79+AG87*AG83)/1000),0)</f>
        <v>55</v>
      </c>
      <c r="AH89" s="60" t="n">
        <f aca="false">IF(AH87&gt;0,AH49/((AH79+AH87*AH83)/1000),0)</f>
        <v>55</v>
      </c>
    </row>
    <row r="90" customFormat="false" ht="15" hidden="false" customHeight="false" outlineLevel="0" collapsed="false">
      <c r="A90" s="53" t="s">
        <v>740</v>
      </c>
      <c r="B90" s="53"/>
      <c r="C90" s="106" t="str">
        <f aca="false">IF(C87&lt;=0,"SLO 不可達",IF(C85&lt;=C86,"SLO（"&amp;C84&amp;"）","HBM 容量"))</f>
        <v>SLO（算力）</v>
      </c>
      <c r="D90" s="106" t="str">
        <f aca="false">IF(D87&lt;=0,"SLO 不可達",IF(D85&lt;=D86,"SLO（"&amp;D84&amp;"）","HBM 容量"))</f>
        <v>SLO（算力）</v>
      </c>
      <c r="E90" s="106" t="str">
        <f aca="false">IF(E87&lt;=0,"SLO 不可達",IF(E85&lt;=E86,"SLO（"&amp;E84&amp;"）","HBM 容量"))</f>
        <v>SLO（算力）</v>
      </c>
      <c r="F90" s="106" t="str">
        <f aca="false">IF(F87&lt;=0,"SLO 不可達",IF(F85&lt;=F86,"SLO（"&amp;F84&amp;"）","HBM 容量"))</f>
        <v>SLO（算力）</v>
      </c>
      <c r="G90" s="106" t="str">
        <f aca="false">IF(G87&lt;=0,"SLO 不可達",IF(G85&lt;=G86,"SLO（"&amp;G84&amp;"）","HBM 容量"))</f>
        <v>SLO（算力）</v>
      </c>
      <c r="H90" s="106" t="str">
        <f aca="false">IF(H87&lt;=0,"SLO 不可達",IF(H85&lt;=H86,"SLO（"&amp;H84&amp;"）","HBM 容量"))</f>
        <v>SLO（算力）</v>
      </c>
      <c r="I90" s="106" t="str">
        <f aca="false">IF(I87&lt;=0,"SLO 不可達",IF(I85&lt;=I86,"SLO（"&amp;I84&amp;"）","HBM 容量"))</f>
        <v>SLO（算力）</v>
      </c>
      <c r="J90" s="106" t="str">
        <f aca="false">IF(J87&lt;=0,"SLO 不可達",IF(J85&lt;=J86,"SLO（"&amp;J84&amp;"）","HBM 容量"))</f>
        <v>SLO（算力）</v>
      </c>
      <c r="K90" s="106" t="str">
        <f aca="false">IF(K87&lt;=0,"SLO 不可達",IF(K85&lt;=K86,"SLO（"&amp;K84&amp;"）","HBM 容量"))</f>
        <v>SLO（算力）</v>
      </c>
      <c r="L90" s="106" t="str">
        <f aca="false">IF(L87&lt;=0,"SLO 不可達",IF(L85&lt;=L86,"SLO（"&amp;L84&amp;"）","HBM 容量"))</f>
        <v>SLO（算力）</v>
      </c>
      <c r="M90" s="106" t="str">
        <f aca="false">IF(M87&lt;=0,"SLO 不可達",IF(M85&lt;=M86,"SLO（"&amp;M84&amp;"）","HBM 容量"))</f>
        <v>SLO（算力）</v>
      </c>
      <c r="N90" s="106" t="str">
        <f aca="false">IF(N87&lt;=0,"SLO 不可達",IF(N85&lt;=N86,"SLO（"&amp;N84&amp;"）","HBM 容量"))</f>
        <v>SLO（算力）</v>
      </c>
      <c r="O90" s="106" t="str">
        <f aca="false">IF(O87&lt;=0,"SLO 不可達",IF(O85&lt;=O86,"SLO（"&amp;O84&amp;"）","HBM 容量"))</f>
        <v>SLO（算力）</v>
      </c>
      <c r="P90" s="106" t="str">
        <f aca="false">IF(P87&lt;=0,"SLO 不可達",IF(P85&lt;=P86,"SLO（"&amp;P84&amp;"）","HBM 容量"))</f>
        <v>SLO（算力）</v>
      </c>
      <c r="Q90" s="106" t="str">
        <f aca="false">IF(Q87&lt;=0,"SLO 不可達",IF(Q85&lt;=Q86,"SLO（"&amp;Q84&amp;"）","HBM 容量"))</f>
        <v>SLO（算力）</v>
      </c>
      <c r="R90" s="106" t="str">
        <f aca="false">IF(R87&lt;=0,"SLO 不可達",IF(R85&lt;=R86,"SLO（"&amp;R84&amp;"）","HBM 容量"))</f>
        <v>SLO（算力）</v>
      </c>
      <c r="S90" s="106" t="str">
        <f aca="false">IF(S87&lt;=0,"SLO 不可達",IF(S85&lt;=S86,"SLO（"&amp;S84&amp;"）","HBM 容量"))</f>
        <v>SLO（算力）</v>
      </c>
      <c r="T90" s="106" t="str">
        <f aca="false">IF(T87&lt;=0,"SLO 不可達",IF(T85&lt;=T86,"SLO（"&amp;T84&amp;"）","HBM 容量"))</f>
        <v>SLO（算力）</v>
      </c>
      <c r="U90" s="106" t="str">
        <f aca="false">IF(U87&lt;=0,"SLO 不可達",IF(U85&lt;=U86,"SLO（"&amp;U84&amp;"）","HBM 容量"))</f>
        <v>SLO（算力）</v>
      </c>
      <c r="V90" s="106" t="str">
        <f aca="false">IF(V87&lt;=0,"SLO 不可達",IF(V85&lt;=V86,"SLO（"&amp;V84&amp;"）","HBM 容量"))</f>
        <v>SLO（算力）</v>
      </c>
      <c r="W90" s="106" t="str">
        <f aca="false">IF(W87&lt;=0,"SLO 不可達",IF(W85&lt;=W86,"SLO（"&amp;W84&amp;"）","HBM 容量"))</f>
        <v>SLO（算力）</v>
      </c>
      <c r="X90" s="106" t="str">
        <f aca="false">IF(X87&lt;=0,"SLO 不可達",IF(X85&lt;=X86,"SLO（"&amp;X84&amp;"）","HBM 容量"))</f>
        <v>SLO（算力）</v>
      </c>
      <c r="Y90" s="106" t="str">
        <f aca="false">IF(Y87&lt;=0,"SLO 不可達",IF(Y85&lt;=Y86,"SLO（"&amp;Y84&amp;"）","HBM 容量"))</f>
        <v>SLO（算力）</v>
      </c>
      <c r="Z90" s="106" t="str">
        <f aca="false">IF(Z87&lt;=0,"SLO 不可達",IF(Z85&lt;=Z86,"SLO（"&amp;Z84&amp;"）","HBM 容量"))</f>
        <v>SLO（算力）</v>
      </c>
      <c r="AA90" s="106" t="str">
        <f aca="false">IF(AA87&lt;=0,"SLO 不可達",IF(AA85&lt;=AA86,"SLO（"&amp;AA84&amp;"）","HBM 容量"))</f>
        <v>SLO（算力）</v>
      </c>
      <c r="AB90" s="106" t="str">
        <f aca="false">IF(AB87&lt;=0,"SLO 不可達",IF(AB85&lt;=AB86,"SLO（"&amp;AB84&amp;"）","HBM 容量"))</f>
        <v>SLO（算力）</v>
      </c>
      <c r="AC90" s="106" t="str">
        <f aca="false">IF(AC87&lt;=0,"SLO 不可達",IF(AC85&lt;=AC86,"SLO（"&amp;AC84&amp;"）","HBM 容量"))</f>
        <v>SLO（算力）</v>
      </c>
      <c r="AD90" s="106" t="str">
        <f aca="false">IF(AD87&lt;=0,"SLO 不可達",IF(AD85&lt;=AD86,"SLO（"&amp;AD84&amp;"）","HBM 容量"))</f>
        <v>SLO（算力）</v>
      </c>
      <c r="AE90" s="106" t="str">
        <f aca="false">IF(AE87&lt;=0,"SLO 不可達",IF(AE85&lt;=AE86,"SLO（"&amp;AE84&amp;"）","HBM 容量"))</f>
        <v>SLO（算力）</v>
      </c>
      <c r="AF90" s="106" t="str">
        <f aca="false">IF(AF87&lt;=0,"SLO 不可達",IF(AF85&lt;=AF86,"SLO（"&amp;AF84&amp;"）","HBM 容量"))</f>
        <v>SLO（算力）</v>
      </c>
      <c r="AG90" s="106" t="str">
        <f aca="false">IF(AG87&lt;=0,"SLO 不可達",IF(AG85&lt;=AG86,"SLO（"&amp;AG84&amp;"）","HBM 容量"))</f>
        <v>SLO（算力）</v>
      </c>
      <c r="AH90" s="106" t="str">
        <f aca="false">IF(AH87&lt;=0,"SLO 不可達",IF(AH85&lt;=AH86,"SLO（"&amp;AH84&amp;"）","HBM 容量"))</f>
        <v>SLO（算力）</v>
      </c>
    </row>
    <row r="91" customFormat="false" ht="15" hidden="false" customHeight="false" outlineLevel="0" collapsed="false">
      <c r="A91" s="54" t="s">
        <v>741</v>
      </c>
      <c r="B91" s="54" t="s">
        <v>71</v>
      </c>
      <c r="C91" s="78" t="n">
        <f aca="false">C87*C34*C45/1000000000/C69</f>
        <v>0.0165335867776273</v>
      </c>
      <c r="D91" s="78" t="n">
        <f aca="false">D87*D34*D45/1000000000/D69</f>
        <v>0.00606271587241364</v>
      </c>
      <c r="E91" s="78" t="n">
        <f aca="false">E87*E34*E45/1000000000/E69</f>
        <v>0.00826679338881365</v>
      </c>
      <c r="F91" s="78" t="n">
        <f aca="false">F87*F34*F45/1000000000/F69</f>
        <v>0.00606271587241364</v>
      </c>
      <c r="G91" s="78" t="n">
        <f aca="false">G87*G34*G45/1000000000/G69</f>
        <v>0.0248003801664409</v>
      </c>
      <c r="H91" s="78" t="n">
        <f aca="false">H87*H34*H45/1000000000/H69</f>
        <v>0.00606271587241364</v>
      </c>
      <c r="I91" s="78" t="n">
        <f aca="false">I87*I34*I45/1000000000/I69</f>
        <v>0.0184666631315008</v>
      </c>
      <c r="J91" s="78" t="n">
        <f aca="false">J87*J34*J45/1000000000/J69</f>
        <v>0.00606271587241364</v>
      </c>
      <c r="K91" s="78" t="n">
        <f aca="false">K87*K34*K45/1000000000/K69</f>
        <v>0.0133117928545047</v>
      </c>
      <c r="L91" s="78" t="n">
        <f aca="false">L87*L34*L45/1000000000/L69</f>
        <v>0.00606271587241364</v>
      </c>
      <c r="M91" s="78" t="n">
        <f aca="false">M87*M34*M45/1000000000/M69</f>
        <v>0.0236194096823247</v>
      </c>
      <c r="N91" s="78" t="n">
        <f aca="false">N87*N34*N45/1000000000/N69</f>
        <v>0.00606271587241364</v>
      </c>
      <c r="O91" s="78" t="n">
        <f aca="false">O87*O34*O45/1000000000/O69</f>
        <v>0.0317469101111174</v>
      </c>
      <c r="P91" s="78" t="n">
        <f aca="false">P87*P34*P45/1000000000/P69</f>
        <v>0.0125827115867665</v>
      </c>
      <c r="Q91" s="78" t="n">
        <f aca="false">Q87*Q34*Q45/1000000000/Q69</f>
        <v>0.00801412571087285</v>
      </c>
      <c r="R91" s="78" t="n">
        <f aca="false">R87*R34*R45/1000000000/R69</f>
        <v>0.00241151827237603</v>
      </c>
      <c r="S91" s="78" t="n">
        <f aca="false">S87*S34*S45/1000000000/S69</f>
        <v>0.0131029313145047</v>
      </c>
      <c r="T91" s="78" t="n">
        <f aca="false">T87*T34*T45/1000000000/T69</f>
        <v>0.00459243495964682</v>
      </c>
      <c r="U91" s="78" t="n">
        <f aca="false">U87*U34*U45/1000000000/U69</f>
        <v>0.0205600423491914</v>
      </c>
      <c r="V91" s="78" t="n">
        <f aca="false">V87*V34*V45/1000000000/V69</f>
        <v>0.00778833968879824</v>
      </c>
      <c r="W91" s="78" t="n">
        <f aca="false">W87*W34*W45/1000000000/W69</f>
        <v>0.00489141921140357</v>
      </c>
      <c r="X91" s="78" t="n">
        <f aca="false">X87*X34*X45/1000000000/X69</f>
        <v>0.00179363892968064</v>
      </c>
      <c r="Y91" s="78" t="n">
        <f aca="false">Y87*Y34*Y45/1000000000/Y69</f>
        <v>0.0617719608527147</v>
      </c>
      <c r="Z91" s="78" t="n">
        <f aca="false">Z87*Z34*Z45/1000000000/Z69</f>
        <v>0.0226512161316767</v>
      </c>
      <c r="AA91" s="78" t="n">
        <f aca="false">AA87*AA34*AA45/1000000000/AA69</f>
        <v>0.00964043439046556</v>
      </c>
      <c r="AB91" s="78" t="n">
        <f aca="false">AB87*AB34*AB45/1000000000/AB69</f>
        <v>0.00341543981617232</v>
      </c>
      <c r="AC91" s="78" t="n">
        <f aca="false">AC87*AC34*AC45/1000000000/AC69</f>
        <v>0.0285149892759082</v>
      </c>
      <c r="AD91" s="78" t="n">
        <f aca="false">AD87*AD34*AD45/1000000000/AD69</f>
        <v>0.00743302679152335</v>
      </c>
      <c r="AE91" s="78" t="n">
        <f aca="false">AE87*AE34*AE45/1000000000/AE69</f>
        <v>0.10967303567657</v>
      </c>
      <c r="AF91" s="78" t="n">
        <f aca="false">AF87*AF34*AF45/1000000000/AF69</f>
        <v>0.0285885645827821</v>
      </c>
      <c r="AG91" s="78" t="n">
        <f aca="false">AG87*AG34*AG45/1000000000/AG69</f>
        <v>0.389948571294472</v>
      </c>
      <c r="AH91" s="78" t="n">
        <f aca="false">AH87*AH34*AH45/1000000000/AH69</f>
        <v>0.10164822962767</v>
      </c>
    </row>
    <row r="92" customFormat="false" ht="15" hidden="false" customHeight="false" outlineLevel="0" collapsed="false">
      <c r="A92" s="68" t="s">
        <v>742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</row>
    <row r="93" customFormat="false" ht="15" hidden="false" customHeight="false" outlineLevel="0" collapsed="false">
      <c r="A93" s="53" t="s">
        <v>743</v>
      </c>
      <c r="B93" s="54" t="s">
        <v>744</v>
      </c>
      <c r="C93" s="107" t="n">
        <f aca="false">IF(C88&gt;0,C43/C75+C44/C88,0)</f>
        <v>0.714671455168045</v>
      </c>
      <c r="D93" s="107" t="n">
        <f aca="false">IF(D88&gt;0,D43/D75+D44/D88,0)</f>
        <v>1.86738593450399</v>
      </c>
      <c r="E93" s="107" t="n">
        <f aca="false">IF(E88&gt;0,E43/E75+E44/E88,0)</f>
        <v>1.22213703330823</v>
      </c>
      <c r="F93" s="107" t="n">
        <f aca="false">IF(F88&gt;0,F43/F75+F44/F88,0)</f>
        <v>1.86738593450399</v>
      </c>
      <c r="G93" s="107" t="n">
        <f aca="false">IF(G88&gt;0,G43/G75+G44/G88,0)</f>
        <v>0.545516262454651</v>
      </c>
      <c r="H93" s="107" t="n">
        <f aca="false">IF(H88&gt;0,H43/H75+H44/H88,0)</f>
        <v>1.86738593450399</v>
      </c>
      <c r="I93" s="107" t="n">
        <f aca="false">IF(I88&gt;0,I43/I75+I44/I88,0)</f>
        <v>0.66155034159587</v>
      </c>
      <c r="J93" s="107" t="n">
        <f aca="false">IF(J88&gt;0,J43/J75+J44/J88,0)</f>
        <v>1.86738593450399</v>
      </c>
      <c r="K93" s="107" t="n">
        <f aca="false">IF(K88&gt;0,K43/K75+K44/K88,0)</f>
        <v>0.837491088384667</v>
      </c>
      <c r="L93" s="107" t="n">
        <f aca="false">IF(L88&gt;0,L43/L75+L44/L88,0)</f>
        <v>1.86738593450399</v>
      </c>
      <c r="M93" s="107" t="n">
        <f aca="false">IF(M88&gt;0,M43/M75+M44/M88,0)</f>
        <v>0.500270018617632</v>
      </c>
      <c r="N93" s="107" t="n">
        <f aca="false">IF(N88&gt;0,N43/N75+N44/N88,0)</f>
        <v>1.86738593450399</v>
      </c>
      <c r="O93" s="107" t="n">
        <f aca="false">IF(O88&gt;0,O43/O75+O44/O88,0)</f>
        <v>0.636668696657976</v>
      </c>
      <c r="P93" s="107" t="n">
        <f aca="false">IF(P88&gt;0,P43/P75+P44/P88,0)</f>
        <v>1.56703994770298</v>
      </c>
      <c r="Q93" s="107" t="n">
        <f aca="false">IF(Q88&gt;0,Q43/Q75+Q44/Q88,0)</f>
        <v>0.887710177696201</v>
      </c>
      <c r="R93" s="107" t="n">
        <f aca="false">IF(R88&gt;0,R43/R75+R44/R88,0)</f>
        <v>2.74497973257395</v>
      </c>
      <c r="S93" s="107" t="n">
        <f aca="false">IF(S88&gt;0,S43/S75+S44/S88,0)</f>
        <v>0.847537873849954</v>
      </c>
      <c r="T93" s="107" t="n">
        <f aca="false">IF(T88&gt;0,T43/T75+T44/T88,0)</f>
        <v>2.31044717328748</v>
      </c>
      <c r="U93" s="107" t="n">
        <f aca="false">IF(U88&gt;0,U43/U75+U44/U88,0)</f>
        <v>0.615289967047722</v>
      </c>
      <c r="V93" s="107" t="n">
        <f aca="false">IF(V88&gt;0,V43/V75+V44/V88,0)</f>
        <v>1.56076084104835</v>
      </c>
      <c r="W93" s="107" t="n">
        <f aca="false">IF(W88&gt;0,W43/W75+W44/W88,0)</f>
        <v>0.549469571762264</v>
      </c>
      <c r="X93" s="107" t="n">
        <f aca="false">IF(X88&gt;0,X43/X75+X44/X88,0)</f>
        <v>1.48074655308998</v>
      </c>
      <c r="Y93" s="107" t="n">
        <f aca="false">IF(Y88&gt;0,Y43/Y75+Y44/Y88,0)</f>
        <v>1.35789222176835</v>
      </c>
      <c r="Z93" s="107" t="n">
        <f aca="false">IF(Z88&gt;0,Z43/Z75+Z44/Z88,0)</f>
        <v>3.37290767044014</v>
      </c>
      <c r="AA93" s="107" t="n">
        <f aca="false">IF(AA88&gt;0,AA43/AA75+AA44/AA88,0)</f>
        <v>1.16632459033734</v>
      </c>
      <c r="AB93" s="107" t="n">
        <f aca="false">IF(AB88&gt;0,AB43/AB75+AB44/AB88,0)</f>
        <v>3.14724430621229</v>
      </c>
      <c r="AC93" s="107" t="n">
        <f aca="false">IF(AC88&gt;0,AC43/AC75+AC44/AC88,0)</f>
        <v>6.62847288948946</v>
      </c>
      <c r="AD93" s="107" t="n">
        <f aca="false">IF(AD88&gt;0,AD43/AD75+AD44/AD88,0)</f>
        <v>23.3623109173702</v>
      </c>
      <c r="AE93" s="107" t="n">
        <f aca="false">IF(AE88&gt;0,AE43/AE75+AE44/AE88,0)</f>
        <v>6.62847288948946</v>
      </c>
      <c r="AF93" s="107" t="n">
        <f aca="false">IF(AF88&gt;0,AF43/AF75+AF44/AF88,0)</f>
        <v>23.3623109173702</v>
      </c>
      <c r="AG93" s="107" t="n">
        <f aca="false">IF(AG88&gt;0,AG43/AG75+AG44/AG88,0)</f>
        <v>6.62847288948946</v>
      </c>
      <c r="AH93" s="107" t="n">
        <f aca="false">IF(AH88&gt;0,AH43/AH75+AH44/AH88,0)</f>
        <v>23.3623109173702</v>
      </c>
    </row>
    <row r="94" customFormat="false" ht="15" hidden="false" customHeight="false" outlineLevel="0" collapsed="false">
      <c r="A94" s="54" t="s">
        <v>745</v>
      </c>
      <c r="B94" s="54" t="s">
        <v>71</v>
      </c>
      <c r="C94" s="78" t="n">
        <f aca="false">IF(C93&gt;0,(C43/C75)/C93,0)</f>
        <v>0.289931653950194</v>
      </c>
      <c r="D94" s="78" t="n">
        <f aca="false">IF(D93&gt;0,(D43/D75)/D93,0)</f>
        <v>0.258907583482522</v>
      </c>
      <c r="E94" s="78" t="n">
        <f aca="false">IF(E93&gt;0,(E43/E75)/E93,0)</f>
        <v>0.169543898417818</v>
      </c>
      <c r="F94" s="78" t="n">
        <f aca="false">IF(F93&gt;0,(F43/F75)/F93,0)</f>
        <v>0.258907583482522</v>
      </c>
      <c r="G94" s="78" t="n">
        <f aca="false">IF(G93&gt;0,(G43/G75)/G93,0)</f>
        <v>0.379834463771074</v>
      </c>
      <c r="H94" s="78" t="n">
        <f aca="false">IF(H93&gt;0,(H43/H75)/H93,0)</f>
        <v>0.258907583482522</v>
      </c>
      <c r="I94" s="78" t="n">
        <f aca="false">IF(I93&gt;0,(I43/I75)/I93,0)</f>
        <v>0.313212561462846</v>
      </c>
      <c r="J94" s="78" t="n">
        <f aca="false">IF(J93&gt;0,(J43/J75)/J93,0)</f>
        <v>0.258907583482522</v>
      </c>
      <c r="K94" s="78" t="n">
        <f aca="false">IF(K93&gt;0,(K43/K75)/K93,0)</f>
        <v>0.247412635073547</v>
      </c>
      <c r="L94" s="78" t="n">
        <f aca="false">IF(L93&gt;0,(L43/L75)/L93,0)</f>
        <v>0.258907583482522</v>
      </c>
      <c r="M94" s="78" t="n">
        <f aca="false">IF(M93&gt;0,(M43/M75)/M93,0)</f>
        <v>0.289931653950194</v>
      </c>
      <c r="N94" s="78" t="n">
        <f aca="false">IF(N93&gt;0,(N43/N75)/N93,0)</f>
        <v>0.258907583482522</v>
      </c>
      <c r="O94" s="78" t="n">
        <f aca="false">IF(O93&gt;0,(O43/O75)/O93,0)</f>
        <v>0.325453219414643</v>
      </c>
      <c r="P94" s="78" t="n">
        <f aca="false">IF(P93&gt;0,(P43/P75)/P93,0)</f>
        <v>0.30853098572272</v>
      </c>
      <c r="Q94" s="78" t="n">
        <f aca="false">IF(Q93&gt;0,(Q43/Q75)/Q93,0)</f>
        <v>0.233416133141119</v>
      </c>
      <c r="R94" s="78" t="n">
        <f aca="false">IF(R93&gt;0,(R43/R75)/R93,0)</f>
        <v>0.176132586333643</v>
      </c>
      <c r="S94" s="78" t="n">
        <f aca="false">IF(S93&gt;0,(S43/S75)/S93,0)</f>
        <v>0.244479784822626</v>
      </c>
      <c r="T94" s="78" t="n">
        <f aca="false">IF(T93&gt;0,(T43/T75)/T93,0)</f>
        <v>0.209258357136012</v>
      </c>
      <c r="U94" s="78" t="n">
        <f aca="false">IF(U93&gt;0,(U43/U75)/U93,0)</f>
        <v>0.336761345259823</v>
      </c>
      <c r="V94" s="78" t="n">
        <f aca="false">IF(V93&gt;0,(V43/V75)/V93,0)</f>
        <v>0.309772238651843</v>
      </c>
      <c r="W94" s="78" t="n">
        <f aca="false">IF(W93&gt;0,(W43/W75)/W93,0)</f>
        <v>0.0818445449226446</v>
      </c>
      <c r="X94" s="78" t="n">
        <f aca="false">IF(X93&gt;0,(X43/X75)/X93,0)</f>
        <v>0.0708646163858247</v>
      </c>
      <c r="Y94" s="78" t="n">
        <f aca="false">IF(Y93&gt;0,(Y43/Y75)/Y93,0)</f>
        <v>0.617544055761339</v>
      </c>
      <c r="Z94" s="78" t="n">
        <f aca="false">IF(Z93&gt;0,(Z43/Z75)/Z93,0)</f>
        <v>0.580103624030048</v>
      </c>
      <c r="AA94" s="78" t="n">
        <f aca="false">IF(AA93&gt;0,(AA43/AA75)/AA93,0)</f>
        <v>0.253795897133982</v>
      </c>
      <c r="AB94" s="78" t="n">
        <f aca="false">IF(AB93&gt;0,(AB43/AB75)/AB93,0)</f>
        <v>0.219457464867348</v>
      </c>
      <c r="AC94" s="78" t="n">
        <f aca="false">IF(AC93&gt;0,(AC43/AC75)/AC93,0)</f>
        <v>0.207406932505661</v>
      </c>
      <c r="AD94" s="78" t="n">
        <f aca="false">IF(AD93&gt;0,(AD43/AD75)/AD93,0)</f>
        <v>0.13730859985668</v>
      </c>
      <c r="AE94" s="78" t="n">
        <f aca="false">IF(AE93&gt;0,(AE43/AE75)/AE93,0)</f>
        <v>0.207406932505661</v>
      </c>
      <c r="AF94" s="78" t="n">
        <f aca="false">IF(AF93&gt;0,(AF43/AF75)/AF93,0)</f>
        <v>0.13730859985668</v>
      </c>
      <c r="AG94" s="78" t="n">
        <f aca="false">IF(AG93&gt;0,(AG43/AG75)/AG93,0)</f>
        <v>0.207406932505661</v>
      </c>
      <c r="AH94" s="78" t="n">
        <f aca="false">IF(AH93&gt;0,(AH43/AH75)/AH93,0)</f>
        <v>0.13730859985668</v>
      </c>
    </row>
    <row r="95" customFormat="false" ht="15" hidden="false" customHeight="false" outlineLevel="0" collapsed="false">
      <c r="A95" s="53" t="s">
        <v>746</v>
      </c>
      <c r="B95" s="54" t="s">
        <v>330</v>
      </c>
      <c r="C95" s="63" t="n">
        <f aca="false">IF(C93&gt;0,C22*(C43+C44)/C93,0)</f>
        <v>1856942.7817541</v>
      </c>
      <c r="D95" s="63" t="n">
        <f aca="false">IF(D93&gt;0,D22*(D43+D44)/D93,0)</f>
        <v>710674.732779595</v>
      </c>
      <c r="E95" s="63" t="n">
        <f aca="false">IF(E93&gt;0,E22*(E43+E44)/E93,0)</f>
        <v>1085888.05005576</v>
      </c>
      <c r="F95" s="63" t="n">
        <f aca="false">IF(F93&gt;0,F22*(F43+F44)/F93,0)</f>
        <v>710674.732779595</v>
      </c>
      <c r="G95" s="63" t="n">
        <f aca="false">IF(G93&gt;0,G22*(G43+G44)/G93,0)</f>
        <v>2432748.73975058</v>
      </c>
      <c r="H95" s="63" t="n">
        <f aca="false">IF(H93&gt;0,H22*(H43+H44)/H93,0)</f>
        <v>710674.732779595</v>
      </c>
      <c r="I95" s="63" t="n">
        <f aca="false">IF(I93&gt;0,I22*(I43+I44)/I93,0)</f>
        <v>2006051.41673512</v>
      </c>
      <c r="J95" s="63" t="n">
        <f aca="false">IF(J93&gt;0,J22*(J43+J44)/J93,0)</f>
        <v>710674.732779595</v>
      </c>
      <c r="K95" s="63" t="n">
        <f aca="false">IF(K93&gt;0,K22*(K43+K44)/K93,0)</f>
        <v>1584618.6525515</v>
      </c>
      <c r="L95" s="63" t="n">
        <f aca="false">IF(L93&gt;0,L22*(L43+L44)/L93,0)</f>
        <v>710674.732779595</v>
      </c>
      <c r="M95" s="63" t="n">
        <f aca="false">IF(M93&gt;0,M22*(M43+M44)/M93,0)</f>
        <v>2652775.40250586</v>
      </c>
      <c r="N95" s="63" t="n">
        <f aca="false">IF(N93&gt;0,N22*(N43+N44)/N93,0)</f>
        <v>710674.732779595</v>
      </c>
      <c r="O95" s="63" t="n">
        <f aca="false">IF(O93&gt;0,O22*(O43+O44)/O93,0)</f>
        <v>2084449.89830077</v>
      </c>
      <c r="P95" s="63" t="n">
        <f aca="false">IF(P93&gt;0,P22*(P43+P44)/P93,0)</f>
        <v>846885.876741888</v>
      </c>
      <c r="Q95" s="63" t="n">
        <f aca="false">IF(Q93&gt;0,Q22*(Q43+Q44)/Q93,0)</f>
        <v>1494974.41095485</v>
      </c>
      <c r="R95" s="63" t="n">
        <f aca="false">IF(R93&gt;0,R22*(R43+R44)/R93,0)</f>
        <v>483465.864702609</v>
      </c>
      <c r="S95" s="63" t="n">
        <f aca="false">IF(S93&gt;0,S22*(S43+S44)/S93,0)</f>
        <v>1565834.44934633</v>
      </c>
      <c r="T95" s="63" t="n">
        <f aca="false">IF(T93&gt;0,T22*(T43+T44)/T93,0)</f>
        <v>574392.70429702</v>
      </c>
      <c r="U95" s="63" t="n">
        <f aca="false">IF(U93&gt;0,U22*(U43+U44)/U93,0)</f>
        <v>2156875.73513948</v>
      </c>
      <c r="V95" s="63" t="n">
        <f aca="false">IF(V93&gt;0,V22*(V43+V44)/V93,0)</f>
        <v>850292.988584077</v>
      </c>
      <c r="W95" s="63" t="n">
        <f aca="false">IF(W93&gt;0,W22*(W43+W44)/W93,0)</f>
        <v>805081.887576109</v>
      </c>
      <c r="X95" s="63" t="n">
        <f aca="false">IF(X93&gt;0,X22*(X43+X44)/X93,0)</f>
        <v>298746.601217393</v>
      </c>
      <c r="Y95" s="63" t="n">
        <f aca="false">IF(Y93&gt;0,Y22*(Y43+Y44)/Y93,0)</f>
        <v>3583530.35829535</v>
      </c>
      <c r="Z95" s="63" t="n">
        <f aca="false">IF(Z93&gt;0,Z22*(Z43+Z44)/Z93,0)</f>
        <v>1442686.39270669</v>
      </c>
      <c r="AA95" s="63" t="n">
        <f aca="false">IF(AA93&gt;0,AA22*(AA43+AA44)/AA93,0)</f>
        <v>1137851.34172311</v>
      </c>
      <c r="AB95" s="63" t="n">
        <f aca="false">IF(AB93&gt;0,AB22*(AB43+AB44)/AB93,0)</f>
        <v>421671.74546331</v>
      </c>
      <c r="AC95" s="63" t="n">
        <f aca="false">IF(AC93&gt;0,AC22*(AC43+AC44)/AC93,0)</f>
        <v>400425.262990618</v>
      </c>
      <c r="AD95" s="63" t="n">
        <f aca="false">IF(AD93&gt;0,AD22*(AD43+AD44)/AD93,0)</f>
        <v>113610.678728985</v>
      </c>
      <c r="AE95" s="63" t="n">
        <f aca="false">IF(AE93&gt;0,AE22*(AE43+AE44)/AE93,0)</f>
        <v>400425.262990618</v>
      </c>
      <c r="AF95" s="63" t="n">
        <f aca="false">IF(AF93&gt;0,AF22*(AF43+AF44)/AF93,0)</f>
        <v>113610.678728985</v>
      </c>
      <c r="AG95" s="63" t="n">
        <f aca="false">IF(AG93&gt;0,AG22*(AG43+AG44)/AG93,0)</f>
        <v>400425.262990618</v>
      </c>
      <c r="AH95" s="63" t="n">
        <f aca="false">IF(AH93&gt;0,AH22*(AH43+AH44)/AH93,0)</f>
        <v>113610.678728985</v>
      </c>
    </row>
    <row r="96" customFormat="false" ht="15" hidden="false" customHeight="false" outlineLevel="0" collapsed="false">
      <c r="A96" s="53" t="s">
        <v>747</v>
      </c>
      <c r="B96" s="54" t="s">
        <v>330</v>
      </c>
      <c r="C96" s="60" t="n">
        <f aca="false">C95*C44/(C43+C44)</f>
        <v>206326.975750455</v>
      </c>
      <c r="D96" s="60" t="n">
        <f aca="false">D95*D44/(D43+D44)</f>
        <v>78963.8591977328</v>
      </c>
      <c r="E96" s="60" t="n">
        <f aca="false">E95*E44/(E43+E44)</f>
        <v>120654.227783973</v>
      </c>
      <c r="F96" s="60" t="n">
        <f aca="false">F95*F44/(F43+F44)</f>
        <v>78963.8591977328</v>
      </c>
      <c r="G96" s="60" t="n">
        <f aca="false">G95*G44/(G43+G44)</f>
        <v>270305.415527842</v>
      </c>
      <c r="H96" s="60" t="n">
        <f aca="false">H95*H44/(H43+H44)</f>
        <v>78963.8591977328</v>
      </c>
      <c r="I96" s="60" t="n">
        <f aca="false">I95*I44/(I43+I44)</f>
        <v>222894.601859458</v>
      </c>
      <c r="J96" s="60" t="n">
        <f aca="false">J95*J44/(J43+J44)</f>
        <v>78963.8591977328</v>
      </c>
      <c r="K96" s="60" t="n">
        <f aca="false">K95*K44/(K43+K44)</f>
        <v>176068.739172389</v>
      </c>
      <c r="L96" s="60" t="n">
        <f aca="false">L95*L44/(L43+L44)</f>
        <v>78963.8591977328</v>
      </c>
      <c r="M96" s="60" t="n">
        <f aca="false">M95*M44/(M43+M44)</f>
        <v>294752.822500651</v>
      </c>
      <c r="N96" s="60" t="n">
        <f aca="false">N95*N44/(N43+N44)</f>
        <v>78963.8591977328</v>
      </c>
      <c r="O96" s="60" t="n">
        <f aca="false">O95*O44/(O43+O44)</f>
        <v>231605.544255641</v>
      </c>
      <c r="P96" s="60" t="n">
        <f aca="false">P95*P44/(P43+P44)</f>
        <v>94098.4307490987</v>
      </c>
      <c r="Q96" s="60" t="n">
        <f aca="false">Q95*Q44/(Q43+Q44)</f>
        <v>166108.267883872</v>
      </c>
      <c r="R96" s="60" t="n">
        <f aca="false">R95*R44/(R43+R44)</f>
        <v>53718.429411401</v>
      </c>
      <c r="S96" s="60" t="n">
        <f aca="false">S95*S44/(S43+S44)</f>
        <v>173981.605482925</v>
      </c>
      <c r="T96" s="60" t="n">
        <f aca="false">T95*T44/(T43+T44)</f>
        <v>63821.4115885577</v>
      </c>
      <c r="U96" s="60" t="n">
        <f aca="false">U95*U44/(U43+U44)</f>
        <v>239652.859459942</v>
      </c>
      <c r="V96" s="60" t="n">
        <f aca="false">V95*V44/(V43+V44)</f>
        <v>94476.9987315641</v>
      </c>
      <c r="W96" s="60" t="n">
        <f aca="false">W95*W44/(W43+W44)</f>
        <v>268360.629192036</v>
      </c>
      <c r="X96" s="60" t="n">
        <f aca="false">X95*X44/(X43+X44)</f>
        <v>99582.2004057975</v>
      </c>
      <c r="Y96" s="60" t="n">
        <f aca="false">Y95*Y44/(Y43+Y44)</f>
        <v>108591.829039253</v>
      </c>
      <c r="Z96" s="60" t="n">
        <f aca="false">Z95*Z44/(Z43+Z44)</f>
        <v>43717.7694759603</v>
      </c>
      <c r="AA96" s="60" t="n">
        <f aca="false">AA95*AA44/(AA43+AA44)</f>
        <v>126427.926858123</v>
      </c>
      <c r="AB96" s="60" t="n">
        <f aca="false">AB95*AB44/(AB43+AB44)</f>
        <v>46852.41616259</v>
      </c>
      <c r="AC96" s="60" t="n">
        <f aca="false">AC95*AC44/(AC43+AC44)</f>
        <v>44491.6958878465</v>
      </c>
      <c r="AD96" s="60" t="n">
        <f aca="false">AD95*AD44/(AD43+AD44)</f>
        <v>12623.408747665</v>
      </c>
      <c r="AE96" s="60" t="n">
        <f aca="false">AE95*AE44/(AE43+AE44)</f>
        <v>44491.6958878465</v>
      </c>
      <c r="AF96" s="60" t="n">
        <f aca="false">AF95*AF44/(AF43+AF44)</f>
        <v>12623.408747665</v>
      </c>
      <c r="AG96" s="60" t="n">
        <f aca="false">AG95*AG44/(AG43+AG44)</f>
        <v>44491.6958878465</v>
      </c>
      <c r="AH96" s="60" t="n">
        <f aca="false">AH95*AH44/(AH43+AH44)</f>
        <v>12623.408747665</v>
      </c>
    </row>
    <row r="97" customFormat="false" ht="15" hidden="false" customHeight="false" outlineLevel="0" collapsed="false">
      <c r="A97" s="53" t="s">
        <v>748</v>
      </c>
      <c r="B97" s="54" t="s">
        <v>330</v>
      </c>
      <c r="C97" s="60" t="n">
        <f aca="false">C95-C96</f>
        <v>1650615.80600364</v>
      </c>
      <c r="D97" s="60" t="n">
        <f aca="false">D95-D96</f>
        <v>631710.873581863</v>
      </c>
      <c r="E97" s="60" t="n">
        <f aca="false">E95-E96</f>
        <v>965233.822271785</v>
      </c>
      <c r="F97" s="60" t="n">
        <f aca="false">F95-F96</f>
        <v>631710.873581863</v>
      </c>
      <c r="G97" s="60" t="n">
        <f aca="false">G95-G96</f>
        <v>2162443.32422274</v>
      </c>
      <c r="H97" s="60" t="n">
        <f aca="false">H95-H96</f>
        <v>631710.873581863</v>
      </c>
      <c r="I97" s="60" t="n">
        <f aca="false">I95-I96</f>
        <v>1783156.81487566</v>
      </c>
      <c r="J97" s="60" t="n">
        <f aca="false">J95-J96</f>
        <v>631710.873581863</v>
      </c>
      <c r="K97" s="60" t="n">
        <f aca="false">K95-K96</f>
        <v>1408549.91337911</v>
      </c>
      <c r="L97" s="60" t="n">
        <f aca="false">L95-L96</f>
        <v>631710.873581863</v>
      </c>
      <c r="M97" s="60" t="n">
        <f aca="false">M95-M96</f>
        <v>2358022.58000521</v>
      </c>
      <c r="N97" s="60" t="n">
        <f aca="false">N95-N96</f>
        <v>631710.873581863</v>
      </c>
      <c r="O97" s="60" t="n">
        <f aca="false">O95-O96</f>
        <v>1852844.35404513</v>
      </c>
      <c r="P97" s="60" t="n">
        <f aca="false">P95-P96</f>
        <v>752787.445992789</v>
      </c>
      <c r="Q97" s="60" t="n">
        <f aca="false">Q95-Q96</f>
        <v>1328866.14307097</v>
      </c>
      <c r="R97" s="60" t="n">
        <f aca="false">R95-R96</f>
        <v>429747.435291208</v>
      </c>
      <c r="S97" s="60" t="n">
        <f aca="false">S95-S96</f>
        <v>1391852.8438634</v>
      </c>
      <c r="T97" s="60" t="n">
        <f aca="false">T95-T96</f>
        <v>510571.292708462</v>
      </c>
      <c r="U97" s="60" t="n">
        <f aca="false">U95-U96</f>
        <v>1917222.87567954</v>
      </c>
      <c r="V97" s="60" t="n">
        <f aca="false">V95-V96</f>
        <v>755815.989852513</v>
      </c>
      <c r="W97" s="60" t="n">
        <f aca="false">W95-W96</f>
        <v>536721.258384073</v>
      </c>
      <c r="X97" s="60" t="n">
        <f aca="false">X95-X96</f>
        <v>199164.400811595</v>
      </c>
      <c r="Y97" s="60" t="n">
        <f aca="false">Y95-Y96</f>
        <v>3474938.5292561</v>
      </c>
      <c r="Z97" s="60" t="n">
        <f aca="false">Z95-Z96</f>
        <v>1398968.62323073</v>
      </c>
      <c r="AA97" s="60" t="n">
        <f aca="false">AA95-AA96</f>
        <v>1011423.41486499</v>
      </c>
      <c r="AB97" s="60" t="n">
        <f aca="false">AB95-AB96</f>
        <v>374819.32930072</v>
      </c>
      <c r="AC97" s="60" t="n">
        <f aca="false">AC95-AC96</f>
        <v>355933.567102772</v>
      </c>
      <c r="AD97" s="60" t="n">
        <f aca="false">AD95-AD96</f>
        <v>100987.26998132</v>
      </c>
      <c r="AE97" s="60" t="n">
        <f aca="false">AE95-AE96</f>
        <v>355933.567102772</v>
      </c>
      <c r="AF97" s="60" t="n">
        <f aca="false">AF95-AF96</f>
        <v>100987.26998132</v>
      </c>
      <c r="AG97" s="60" t="n">
        <f aca="false">AG95-AG96</f>
        <v>355933.567102772</v>
      </c>
      <c r="AH97" s="60" t="n">
        <f aca="false">AH95-AH96</f>
        <v>100987.26998132</v>
      </c>
    </row>
    <row r="98" customFormat="false" ht="15" hidden="false" customHeight="false" outlineLevel="0" collapsed="false">
      <c r="A98" s="53" t="s">
        <v>749</v>
      </c>
      <c r="B98" s="54" t="s">
        <v>750</v>
      </c>
      <c r="C98" s="63" t="n">
        <f aca="false">C95*C25*8760*3600/1000000</f>
        <v>237287338734.99</v>
      </c>
      <c r="D98" s="63" t="n">
        <f aca="false">D95*D25*8760*3600/1000000</f>
        <v>151593674754.548</v>
      </c>
      <c r="E98" s="63" t="n">
        <f aca="false">E95*E25*8760*3600/1000000</f>
        <v>138758979594.655</v>
      </c>
      <c r="F98" s="63" t="n">
        <f aca="false">F95*F25*8760*3600/1000000</f>
        <v>151593674754.548</v>
      </c>
      <c r="G98" s="63" t="n">
        <f aca="false">G95*G25*8760*3600/1000000</f>
        <v>310866053568.45</v>
      </c>
      <c r="H98" s="63" t="n">
        <f aca="false">H95*H25*8760*3600/1000000</f>
        <v>151593674754.548</v>
      </c>
      <c r="I98" s="63" t="n">
        <f aca="false">I95*I25*8760*3600/1000000</f>
        <v>256341017461.5</v>
      </c>
      <c r="J98" s="63" t="n">
        <f aca="false">J95*J25*8760*3600/1000000</f>
        <v>151593674754.548</v>
      </c>
      <c r="K98" s="63" t="n">
        <f aca="false">K95*K25*8760*3600/1000000</f>
        <v>202488707066.453</v>
      </c>
      <c r="L98" s="63" t="n">
        <f aca="false">L95*L25*8760*3600/1000000</f>
        <v>151593674754.548</v>
      </c>
      <c r="M98" s="63" t="n">
        <f aca="false">M95*M25*8760*3600/1000000</f>
        <v>338981912478.557</v>
      </c>
      <c r="N98" s="63" t="n">
        <f aca="false">N95*N25*8760*3600/1000000</f>
        <v>151593674754.548</v>
      </c>
      <c r="O98" s="63" t="n">
        <f aca="false">O95*O25*8760*3600/1000000</f>
        <v>266359078994.878</v>
      </c>
      <c r="P98" s="63" t="n">
        <f aca="false">P95*P25*8760*3600/1000000</f>
        <v>180648806312.417</v>
      </c>
      <c r="Q98" s="63" t="n">
        <f aca="false">Q95*Q25*8760*3600/1000000</f>
        <v>191033618772.729</v>
      </c>
      <c r="R98" s="63" t="n">
        <f aca="false">R95*R25*8760*3600/1000000</f>
        <v>103127863800.645</v>
      </c>
      <c r="S98" s="63" t="n">
        <f aca="false">S95*S25*8760*3600/1000000</f>
        <v>200088388848.462</v>
      </c>
      <c r="T98" s="63" t="n">
        <f aca="false">T95*T25*8760*3600/1000000</f>
        <v>122523422854.816</v>
      </c>
      <c r="U98" s="63" t="n">
        <f aca="false">U95*U25*8760*3600/1000000</f>
        <v>275613932858.969</v>
      </c>
      <c r="V98" s="63" t="n">
        <f aca="false">V95*V25*8760*3600/1000000</f>
        <v>181375575649.547</v>
      </c>
      <c r="W98" s="63" t="n">
        <f aca="false">W95*W25*8760*3600/1000000</f>
        <v>102876480871.544</v>
      </c>
      <c r="X98" s="63" t="n">
        <f aca="false">X95*X25*8760*3600/1000000</f>
        <v>63725489327.3678</v>
      </c>
      <c r="Y98" s="63" t="n">
        <f aca="false">Y95*Y25*8760*3600/1000000</f>
        <v>457917384612.528</v>
      </c>
      <c r="Z98" s="63" t="n">
        <f aca="false">Z95*Z25*8760*3600/1000000</f>
        <v>307738718855.813</v>
      </c>
      <c r="AA98" s="63" t="n">
        <f aca="false">AA95*AA25*8760*3600/1000000</f>
        <v>145399050205.774</v>
      </c>
      <c r="AB98" s="63" t="n">
        <f aca="false">AB95*AB25*8760*3600/1000000</f>
        <v>89946590875.593</v>
      </c>
      <c r="AC98" s="63" t="n">
        <f aca="false">AC95*AC25*8760*3600/1000000</f>
        <v>51167890551.5595</v>
      </c>
      <c r="AD98" s="63" t="n">
        <f aca="false">AD95*AD25*8760*3600/1000000</f>
        <v>24234237528.7831</v>
      </c>
      <c r="AE98" s="63" t="n">
        <f aca="false">AE95*AE25*8760*3600/1000000</f>
        <v>51167890551.5595</v>
      </c>
      <c r="AF98" s="63" t="n">
        <f aca="false">AF95*AF25*8760*3600/1000000</f>
        <v>24234237528.7831</v>
      </c>
      <c r="AG98" s="63" t="n">
        <f aca="false">AG95*AG25*8760*3600/1000000</f>
        <v>51167890551.5595</v>
      </c>
      <c r="AH98" s="63" t="n">
        <f aca="false">AH95*AH25*8760*3600/1000000</f>
        <v>24234237528.7831</v>
      </c>
    </row>
    <row r="99" customFormat="false" ht="15" hidden="false" customHeight="false" outlineLevel="0" collapsed="false">
      <c r="A99" s="53" t="s">
        <v>751</v>
      </c>
      <c r="B99" s="54" t="s">
        <v>750</v>
      </c>
      <c r="C99" s="60" t="n">
        <f aca="false">C96*C25*8760*3600/1000000</f>
        <v>26365259859.4433</v>
      </c>
      <c r="D99" s="60" t="n">
        <f aca="false">D96*D25*8760*3600/1000000</f>
        <v>16843741639.3942</v>
      </c>
      <c r="E99" s="60" t="n">
        <f aca="false">E96*E25*8760*3600/1000000</f>
        <v>15417664399.4061</v>
      </c>
      <c r="F99" s="60" t="n">
        <f aca="false">F96*F25*8760*3600/1000000</f>
        <v>16843741639.3942</v>
      </c>
      <c r="G99" s="60" t="n">
        <f aca="false">G96*G25*8760*3600/1000000</f>
        <v>34540672618.7166</v>
      </c>
      <c r="H99" s="60" t="n">
        <f aca="false">H96*H25*8760*3600/1000000</f>
        <v>16843741639.3942</v>
      </c>
      <c r="I99" s="60" t="n">
        <f aca="false">I96*I25*8760*3600/1000000</f>
        <v>28482335273.5</v>
      </c>
      <c r="J99" s="60" t="n">
        <f aca="false">J96*J25*8760*3600/1000000</f>
        <v>16843741639.3942</v>
      </c>
      <c r="K99" s="60" t="n">
        <f aca="false">K96*K25*8760*3600/1000000</f>
        <v>22498745229.6059</v>
      </c>
      <c r="L99" s="60" t="n">
        <f aca="false">L96*L25*8760*3600/1000000</f>
        <v>16843741639.3942</v>
      </c>
      <c r="M99" s="60" t="n">
        <f aca="false">M96*M25*8760*3600/1000000</f>
        <v>37664656942.0619</v>
      </c>
      <c r="N99" s="60" t="n">
        <f aca="false">N96*N25*8760*3600/1000000</f>
        <v>16843741639.3942</v>
      </c>
      <c r="O99" s="60" t="n">
        <f aca="false">O96*O25*8760*3600/1000000</f>
        <v>29595453221.6532</v>
      </c>
      <c r="P99" s="60" t="n">
        <f aca="false">P96*P25*8760*3600/1000000</f>
        <v>20072089590.2686</v>
      </c>
      <c r="Q99" s="60" t="n">
        <f aca="false">Q96*Q25*8760*3600/1000000</f>
        <v>21225957641.4144</v>
      </c>
      <c r="R99" s="60" t="n">
        <f aca="false">R96*R25*8760*3600/1000000</f>
        <v>11458651533.405</v>
      </c>
      <c r="S99" s="60" t="n">
        <f aca="false">S96*S25*8760*3600/1000000</f>
        <v>22232043205.3846</v>
      </c>
      <c r="T99" s="60" t="n">
        <f aca="false">T96*T25*8760*3600/1000000</f>
        <v>13613713650.5351</v>
      </c>
      <c r="U99" s="60" t="n">
        <f aca="false">U96*U25*8760*3600/1000000</f>
        <v>30623770317.6632</v>
      </c>
      <c r="V99" s="60" t="n">
        <f aca="false">V96*V25*8760*3600/1000000</f>
        <v>20152841738.8386</v>
      </c>
      <c r="W99" s="60" t="n">
        <f aca="false">W96*W25*8760*3600/1000000</f>
        <v>34292160290.5146</v>
      </c>
      <c r="X99" s="60" t="n">
        <f aca="false">X96*X25*8760*3600/1000000</f>
        <v>21241829775.7893</v>
      </c>
      <c r="Y99" s="60" t="n">
        <f aca="false">Y96*Y25*8760*3600/1000000</f>
        <v>13876284382.1978</v>
      </c>
      <c r="Z99" s="60" t="n">
        <f aca="false">Z96*Z25*8760*3600/1000000</f>
        <v>9325415722.90342</v>
      </c>
      <c r="AA99" s="60" t="n">
        <f aca="false">AA96*AA25*8760*3600/1000000</f>
        <v>16155450022.8638</v>
      </c>
      <c r="AB99" s="60" t="n">
        <f aca="false">AB96*AB25*8760*3600/1000000</f>
        <v>9994065652.84367</v>
      </c>
      <c r="AC99" s="60" t="n">
        <f aca="false">AC96*AC25*8760*3600/1000000</f>
        <v>5685321172.3955</v>
      </c>
      <c r="AD99" s="60" t="n">
        <f aca="false">AD96*AD25*8760*3600/1000000</f>
        <v>2692693058.75367</v>
      </c>
      <c r="AE99" s="60" t="n">
        <f aca="false">AE96*AE25*8760*3600/1000000</f>
        <v>5685321172.3955</v>
      </c>
      <c r="AF99" s="60" t="n">
        <f aca="false">AF96*AF25*8760*3600/1000000</f>
        <v>2692693058.75367</v>
      </c>
      <c r="AG99" s="60" t="n">
        <f aca="false">AG96*AG25*8760*3600/1000000</f>
        <v>5685321172.3955</v>
      </c>
      <c r="AH99" s="60" t="n">
        <f aca="false">AH96*AH25*8760*3600/1000000</f>
        <v>2692693058.75367</v>
      </c>
    </row>
    <row r="100" customFormat="false" ht="15" hidden="false" customHeight="false" outlineLevel="0" collapsed="false">
      <c r="A100" s="68" t="s">
        <v>752</v>
      </c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</row>
    <row r="101" customFormat="false" ht="15" hidden="false" customHeight="false" outlineLevel="0" collapsed="false">
      <c r="A101" s="53" t="s">
        <v>753</v>
      </c>
      <c r="B101" s="54" t="s">
        <v>754</v>
      </c>
      <c r="C101" s="67" t="n">
        <f aca="false">1000000/C75</f>
        <v>12.6468430803139</v>
      </c>
      <c r="D101" s="67" t="n">
        <f aca="false">1000000/D75</f>
        <v>29.5093005207324</v>
      </c>
      <c r="E101" s="67" t="n">
        <f aca="false">1000000/E75</f>
        <v>12.6468430803139</v>
      </c>
      <c r="F101" s="67" t="n">
        <f aca="false">1000000/F75</f>
        <v>29.5093005207324</v>
      </c>
      <c r="G101" s="67" t="n">
        <f aca="false">1000000/G75</f>
        <v>12.6468430803139</v>
      </c>
      <c r="H101" s="67" t="n">
        <f aca="false">1000000/H75</f>
        <v>29.5093005207324</v>
      </c>
      <c r="I101" s="67" t="n">
        <f aca="false">1000000/I75</f>
        <v>12.6468430803139</v>
      </c>
      <c r="J101" s="67" t="n">
        <f aca="false">1000000/J75</f>
        <v>29.5093005207324</v>
      </c>
      <c r="K101" s="67" t="n">
        <f aca="false">1000000/K75</f>
        <v>12.6468430803139</v>
      </c>
      <c r="L101" s="67" t="n">
        <f aca="false">1000000/L75</f>
        <v>29.5093005207324</v>
      </c>
      <c r="M101" s="67" t="n">
        <f aca="false">1000000/M75</f>
        <v>8.85279015621974</v>
      </c>
      <c r="N101" s="67" t="n">
        <f aca="false">1000000/N75</f>
        <v>29.5093005207324</v>
      </c>
      <c r="O101" s="67" t="n">
        <f aca="false">1000000/O75</f>
        <v>12.6468430803139</v>
      </c>
      <c r="P101" s="67" t="n">
        <f aca="false">1000000/P75</f>
        <v>29.5093005207324</v>
      </c>
      <c r="Q101" s="67" t="n">
        <f aca="false">1000000/Q75</f>
        <v>12.6468430803139</v>
      </c>
      <c r="R101" s="67" t="n">
        <f aca="false">1000000/R75</f>
        <v>29.5093005207324</v>
      </c>
      <c r="S101" s="67" t="n">
        <f aca="false">1000000/S75</f>
        <v>12.6468430803139</v>
      </c>
      <c r="T101" s="67" t="n">
        <f aca="false">1000000/T75</f>
        <v>29.5093005207324</v>
      </c>
      <c r="U101" s="67" t="n">
        <f aca="false">1000000/U75</f>
        <v>12.6468430803139</v>
      </c>
      <c r="V101" s="67" t="n">
        <f aca="false">1000000/V75</f>
        <v>29.5093005207324</v>
      </c>
      <c r="W101" s="67" t="n">
        <f aca="false">1000000/W75</f>
        <v>10.9792692992488</v>
      </c>
      <c r="X101" s="67" t="n">
        <f aca="false">1000000/X75</f>
        <v>25.6182950315804</v>
      </c>
      <c r="Y101" s="67" t="n">
        <f aca="false">1000000/Y75</f>
        <v>12.7953837572876</v>
      </c>
      <c r="Z101" s="67" t="n">
        <f aca="false">1000000/Z75</f>
        <v>29.8558954336711</v>
      </c>
      <c r="AA101" s="67" t="n">
        <f aca="false">1000000/AA75</f>
        <v>18.0669186861627</v>
      </c>
      <c r="AB101" s="67" t="n">
        <f aca="false">1000000/AB75</f>
        <v>42.1561436010464</v>
      </c>
      <c r="AC101" s="67" t="n">
        <f aca="false">1000000/AC75</f>
        <v>41.9552987428571</v>
      </c>
      <c r="AD101" s="67" t="n">
        <f aca="false">1000000/AD75</f>
        <v>97.8956970666667</v>
      </c>
      <c r="AE101" s="67" t="n">
        <f aca="false">1000000/AE75</f>
        <v>41.9552987428571</v>
      </c>
      <c r="AF101" s="67" t="n">
        <f aca="false">1000000/AF75</f>
        <v>97.8956970666667</v>
      </c>
      <c r="AG101" s="67" t="n">
        <f aca="false">1000000/AG75</f>
        <v>41.9552987428571</v>
      </c>
      <c r="AH101" s="67" t="n">
        <f aca="false">1000000/AH75</f>
        <v>97.8956970666667</v>
      </c>
    </row>
    <row r="102" customFormat="false" ht="15" hidden="false" customHeight="false" outlineLevel="0" collapsed="false">
      <c r="A102" s="53" t="s">
        <v>755</v>
      </c>
      <c r="B102" s="54" t="s">
        <v>754</v>
      </c>
      <c r="C102" s="108" t="n">
        <f aca="false">1000000*C34/(C62*1000000000000)</f>
        <v>0.03965</v>
      </c>
      <c r="D102" s="108" t="n">
        <f aca="false">1000000*D34/(D62*1000000000000)</f>
        <v>0.03965</v>
      </c>
      <c r="E102" s="108" t="n">
        <f aca="false">1000000*E34/(E62*1000000000000)</f>
        <v>0.03965</v>
      </c>
      <c r="F102" s="108" t="n">
        <f aca="false">1000000*F34/(F62*1000000000000)</f>
        <v>0.03965</v>
      </c>
      <c r="G102" s="108" t="n">
        <f aca="false">1000000*G34/(G62*1000000000000)</f>
        <v>0.03965</v>
      </c>
      <c r="H102" s="108" t="n">
        <f aca="false">1000000*H34/(H62*1000000000000)</f>
        <v>0.03965</v>
      </c>
      <c r="I102" s="108" t="n">
        <f aca="false">1000000*I34/(I62*1000000000000)</f>
        <v>0.03965</v>
      </c>
      <c r="J102" s="108" t="n">
        <f aca="false">1000000*J34/(J62*1000000000000)</f>
        <v>0.03965</v>
      </c>
      <c r="K102" s="108" t="n">
        <f aca="false">1000000*K34/(K62*1000000000000)</f>
        <v>0.03965</v>
      </c>
      <c r="L102" s="108" t="n">
        <f aca="false">1000000*L34/(L62*1000000000000)</f>
        <v>0.03965</v>
      </c>
      <c r="M102" s="108" t="n">
        <f aca="false">1000000*M34/(M62*1000000000000)</f>
        <v>0.03965</v>
      </c>
      <c r="N102" s="108" t="n">
        <f aca="false">1000000*N34/(N62*1000000000000)</f>
        <v>0.03965</v>
      </c>
      <c r="O102" s="108" t="n">
        <f aca="false">1000000*O34/(O62*1000000000000)</f>
        <v>0.03965</v>
      </c>
      <c r="P102" s="108" t="n">
        <f aca="false">1000000*P34/(P62*1000000000000)</f>
        <v>0.03965</v>
      </c>
      <c r="Q102" s="108" t="n">
        <f aca="false">1000000*Q34/(Q62*1000000000000)</f>
        <v>0.03965</v>
      </c>
      <c r="R102" s="108" t="n">
        <f aca="false">1000000*R34/(R62*1000000000000)</f>
        <v>0.03965</v>
      </c>
      <c r="S102" s="108" t="n">
        <f aca="false">1000000*S34/(S62*1000000000000)</f>
        <v>0.03965</v>
      </c>
      <c r="T102" s="108" t="n">
        <f aca="false">1000000*T34/(T62*1000000000000)</f>
        <v>0.03965</v>
      </c>
      <c r="U102" s="108" t="n">
        <f aca="false">1000000*U34/(U62*1000000000000)</f>
        <v>0.03965</v>
      </c>
      <c r="V102" s="108" t="n">
        <f aca="false">1000000*V34/(V62*1000000000000)</f>
        <v>0.03965</v>
      </c>
      <c r="W102" s="108" t="n">
        <f aca="false">1000000*W34/(W62*1000000000000)</f>
        <v>0.03965</v>
      </c>
      <c r="X102" s="108" t="n">
        <f aca="false">1000000*X34/(X62*1000000000000)</f>
        <v>0.03965</v>
      </c>
      <c r="Y102" s="108" t="n">
        <f aca="false">1000000*Y34/(Y62*1000000000000)</f>
        <v>0.03965</v>
      </c>
      <c r="Z102" s="108" t="n">
        <f aca="false">1000000*Z34/(Z62*1000000000000)</f>
        <v>0.03965</v>
      </c>
      <c r="AA102" s="108" t="n">
        <f aca="false">1000000*AA34/(AA62*1000000000000)</f>
        <v>0.03965</v>
      </c>
      <c r="AB102" s="108" t="n">
        <f aca="false">1000000*AB34/(AB62*1000000000000)</f>
        <v>0.03965</v>
      </c>
      <c r="AC102" s="108" t="n">
        <f aca="false">1000000*AC34/(AC62*1000000000000)</f>
        <v>0.14976</v>
      </c>
      <c r="AD102" s="108" t="n">
        <f aca="false">1000000*AD34/(AD62*1000000000000)</f>
        <v>0.14976</v>
      </c>
      <c r="AE102" s="108" t="n">
        <f aca="false">1000000*AE34/(AE62*1000000000000)</f>
        <v>0.576</v>
      </c>
      <c r="AF102" s="108" t="n">
        <f aca="false">1000000*AF34/(AF62*1000000000000)</f>
        <v>0.576</v>
      </c>
      <c r="AG102" s="108" t="n">
        <f aca="false">1000000*AG34/(AG62*1000000000000)</f>
        <v>2.048</v>
      </c>
      <c r="AH102" s="108" t="n">
        <f aca="false">1000000*AH34/(AH62*1000000000000)</f>
        <v>2.048</v>
      </c>
    </row>
    <row r="103" customFormat="false" ht="15" hidden="false" customHeight="false" outlineLevel="0" collapsed="false">
      <c r="A103" s="54" t="s">
        <v>756</v>
      </c>
      <c r="B103" s="54" t="s">
        <v>754</v>
      </c>
      <c r="C103" s="67" t="n">
        <f aca="false">IF(C88&gt;0,1000000/C88,0)</f>
        <v>247.785926826261</v>
      </c>
      <c r="D103" s="67" t="n">
        <f aca="false">IF(D88&gt;0,1000000/D88,0)</f>
        <v>675.735134166168</v>
      </c>
      <c r="E103" s="67" t="n">
        <f aca="false">IF(E88&gt;0,1000000/E88,0)</f>
        <v>495.571853652522</v>
      </c>
      <c r="F103" s="67" t="n">
        <f aca="false">IF(F88&gt;0,1000000/F88,0)</f>
        <v>675.735134166168</v>
      </c>
      <c r="G103" s="67" t="n">
        <f aca="false">IF(G88&gt;0,1000000/G88,0)</f>
        <v>165.190617884174</v>
      </c>
      <c r="H103" s="67" t="n">
        <f aca="false">IF(H88&gt;0,1000000/H88,0)</f>
        <v>675.735134166168</v>
      </c>
      <c r="I103" s="67" t="n">
        <f aca="false">IF(I88&gt;0,1000000/I88,0)</f>
        <v>221.847883089847</v>
      </c>
      <c r="J103" s="67" t="n">
        <f aca="false">IF(J88&gt;0,1000000/J88,0)</f>
        <v>675.735134166168</v>
      </c>
      <c r="K103" s="67" t="n">
        <f aca="false">IF(K88&gt;0,1000000/K88,0)</f>
        <v>307.756450857815</v>
      </c>
      <c r="L103" s="67" t="n">
        <f aca="false">IF(L88&gt;0,1000000/L88,0)</f>
        <v>675.735134166168</v>
      </c>
      <c r="M103" s="67" t="n">
        <f aca="false">IF(M88&gt;0,1000000/M88,0)</f>
        <v>173.450148778383</v>
      </c>
      <c r="N103" s="67" t="n">
        <f aca="false">IF(N88&gt;0,1000000/N88,0)</f>
        <v>675.735134166168</v>
      </c>
      <c r="O103" s="67" t="n">
        <f aca="false">IF(O88&gt;0,1000000/O88,0)</f>
        <v>209.698642397516</v>
      </c>
      <c r="P103" s="67" t="n">
        <f aca="false">IF(P88&gt;0,1000000/P88,0)</f>
        <v>529.081820298486</v>
      </c>
      <c r="Q103" s="67" t="n">
        <f aca="false">IF(Q88&gt;0,1000000/Q88,0)</f>
        <v>332.277490560712</v>
      </c>
      <c r="R103" s="67" t="n">
        <f aca="false">IF(R88&gt;0,1000000/R88,0)</f>
        <v>1104.24773088001</v>
      </c>
      <c r="S103" s="67" t="n">
        <f aca="false">IF(S88&gt;0,1000000/S88,0)</f>
        <v>312.662107823287</v>
      </c>
      <c r="T103" s="67" t="n">
        <f aca="false">IF(T88&gt;0,1000000/T88,0)</f>
        <v>892.073629665918</v>
      </c>
      <c r="U103" s="67" t="n">
        <f aca="false">IF(U88&gt;0,1000000/U88,0)</f>
        <v>199.259809580009</v>
      </c>
      <c r="V103" s="67" t="n">
        <f aca="false">IF(V88&gt;0,1000000/V88,0)</f>
        <v>526.015850252281</v>
      </c>
      <c r="W103" s="67" t="n">
        <f aca="false">IF(W88&gt;0,1000000/W88,0)</f>
        <v>246.337150738546</v>
      </c>
      <c r="X103" s="67" t="n">
        <f aca="false">IF(X88&gt;0,1000000/X88,0)</f>
        <v>671.784187812805</v>
      </c>
      <c r="Y103" s="67" t="n">
        <f aca="false">IF(Y88&gt;0,1000000/Y88,0)</f>
        <v>253.581031177122</v>
      </c>
      <c r="Z103" s="67" t="n">
        <f aca="false">IF(Z88&gt;0,1000000/Z88,0)</f>
        <v>691.538919579623</v>
      </c>
      <c r="AA103" s="67" t="n">
        <f aca="false">IF(AA88&gt;0,1000000/AA88,0)</f>
        <v>424.959079386354</v>
      </c>
      <c r="AB103" s="67" t="n">
        <f aca="false">IF(AB88&gt;0,1000000/AB88,0)</f>
        <v>1199.49123508435</v>
      </c>
      <c r="AC103" s="67" t="n">
        <f aca="false">IF(AC88&gt;0,1000000/AC88,0)</f>
        <v>1282.63712409266</v>
      </c>
      <c r="AD103" s="67" t="n">
        <f aca="false">IF(AD88&gt;0,1000000/AD88,0)</f>
        <v>4920.52361227776</v>
      </c>
      <c r="AE103" s="67" t="n">
        <f aca="false">IF(AE88&gt;0,1000000/AE88,0)</f>
        <v>1282.63712409266</v>
      </c>
      <c r="AF103" s="67" t="n">
        <f aca="false">IF(AF88&gt;0,1000000/AF88,0)</f>
        <v>4920.52361227776</v>
      </c>
      <c r="AG103" s="67" t="n">
        <f aca="false">IF(AG88&gt;0,1000000/AG88,0)</f>
        <v>1282.63712409266</v>
      </c>
      <c r="AH103" s="67" t="n">
        <f aca="false">IF(AH88&gt;0,1000000/AH88,0)</f>
        <v>4920.52361227776</v>
      </c>
    </row>
    <row r="104" customFormat="false" ht="15" hidden="false" customHeight="false" outlineLevel="0" collapsed="false">
      <c r="A104" s="53" t="s">
        <v>757</v>
      </c>
      <c r="B104" s="54" t="s">
        <v>758</v>
      </c>
      <c r="C104" s="109" t="n">
        <f aca="false">INDEX(DC_Cost!$C$58:$Q$58,3*(C$6-1)+2)/3600*C101</f>
        <v>0.017542555817192</v>
      </c>
      <c r="D104" s="109" t="n">
        <f aca="false">INDEX(DC_Cost!$C$58:$Q$58,3*(D$6-1)+2)/3600*D101</f>
        <v>0.0244492390703779</v>
      </c>
      <c r="E104" s="109" t="n">
        <f aca="false">INDEX(DC_Cost!$C$58:$Q$58,3*(E$6-1)+2)/3600*E101</f>
        <v>0.017542555817192</v>
      </c>
      <c r="F104" s="109" t="n">
        <f aca="false">INDEX(DC_Cost!$C$58:$Q$58,3*(F$6-1)+2)/3600*F101</f>
        <v>0.0244492390703779</v>
      </c>
      <c r="G104" s="109" t="n">
        <f aca="false">INDEX(DC_Cost!$C$58:$Q$58,3*(G$6-1)+2)/3600*G101</f>
        <v>0.017542555817192</v>
      </c>
      <c r="H104" s="109" t="n">
        <f aca="false">INDEX(DC_Cost!$C$58:$Q$58,3*(H$6-1)+2)/3600*H101</f>
        <v>0.0244492390703779</v>
      </c>
      <c r="I104" s="109" t="n">
        <f aca="false">INDEX(DC_Cost!$C$58:$Q$58,3*(I$6-1)+2)/3600*I101</f>
        <v>0.017542555817192</v>
      </c>
      <c r="J104" s="109" t="n">
        <f aca="false">INDEX(DC_Cost!$C$58:$Q$58,3*(J$6-1)+2)/3600*J101</f>
        <v>0.0244492390703779</v>
      </c>
      <c r="K104" s="109" t="n">
        <f aca="false">INDEX(DC_Cost!$C$58:$Q$58,3*(K$6-1)+2)/3600*K101</f>
        <v>0.017542555817192</v>
      </c>
      <c r="L104" s="109" t="n">
        <f aca="false">INDEX(DC_Cost!$C$58:$Q$58,3*(L$6-1)+2)/3600*L101</f>
        <v>0.0244492390703779</v>
      </c>
      <c r="M104" s="109" t="n">
        <f aca="false">INDEX(DC_Cost!$C$58:$Q$58,3*(M$6-1)+2)/3600*M101</f>
        <v>0.0122797890720344</v>
      </c>
      <c r="N104" s="109" t="n">
        <f aca="false">INDEX(DC_Cost!$C$58:$Q$58,3*(N$6-1)+2)/3600*N101</f>
        <v>0.0244492390703779</v>
      </c>
      <c r="O104" s="109" t="n">
        <f aca="false">INDEX(DC_Cost!$C$58:$Q$58,3*(O$6-1)+2)/3600*O101</f>
        <v>0.017542555817192</v>
      </c>
      <c r="P104" s="109" t="n">
        <f aca="false">INDEX(DC_Cost!$C$58:$Q$58,3*(P$6-1)+2)/3600*P101</f>
        <v>0.0244492390703779</v>
      </c>
      <c r="Q104" s="109" t="n">
        <f aca="false">INDEX(DC_Cost!$C$58:$Q$58,3*(Q$6-1)+2)/3600*Q101</f>
        <v>0.017542555817192</v>
      </c>
      <c r="R104" s="109" t="n">
        <f aca="false">INDEX(DC_Cost!$C$58:$Q$58,3*(R$6-1)+2)/3600*R101</f>
        <v>0.0244492390703779</v>
      </c>
      <c r="S104" s="109" t="n">
        <f aca="false">INDEX(DC_Cost!$C$58:$Q$58,3*(S$6-1)+2)/3600*S101</f>
        <v>0.017542555817192</v>
      </c>
      <c r="T104" s="109" t="n">
        <f aca="false">INDEX(DC_Cost!$C$58:$Q$58,3*(T$6-1)+2)/3600*T101</f>
        <v>0.0244492390703779</v>
      </c>
      <c r="U104" s="109" t="n">
        <f aca="false">INDEX(DC_Cost!$C$58:$Q$58,3*(U$6-1)+2)/3600*U101</f>
        <v>0.017542555817192</v>
      </c>
      <c r="V104" s="109" t="n">
        <f aca="false">INDEX(DC_Cost!$C$58:$Q$58,3*(V$6-1)+2)/3600*V101</f>
        <v>0.0244492390703779</v>
      </c>
      <c r="W104" s="109" t="n">
        <f aca="false">INDEX(DC_Cost!$C$58:$Q$58,3*(W$6-1)+2)/3600*W101</f>
        <v>0.0152294484315902</v>
      </c>
      <c r="X104" s="109" t="n">
        <f aca="false">INDEX(DC_Cost!$C$58:$Q$58,3*(X$6-1)+2)/3600*X101</f>
        <v>0.0212254377009896</v>
      </c>
      <c r="Y104" s="109" t="n">
        <f aca="false">INDEX(DC_Cost!$C$58:$Q$58,3*(Y$6-1)+2)/3600*Y101</f>
        <v>0.0177485979970773</v>
      </c>
      <c r="Z104" s="109" t="n">
        <f aca="false">INDEX(DC_Cost!$C$58:$Q$58,3*(Z$6-1)+2)/3600*Z101</f>
        <v>0.024736402159217</v>
      </c>
      <c r="AA104" s="109" t="n">
        <f aca="false">INDEX(DC_Cost!$C$58:$Q$58,3*(AA$6-1)+2)/3600*AA101</f>
        <v>0.02506079402456</v>
      </c>
      <c r="AB104" s="109" t="n">
        <f aca="false">INDEX(DC_Cost!$C$58:$Q$58,3*(AB$6-1)+2)/3600*AB101</f>
        <v>0.0349274843862542</v>
      </c>
      <c r="AC104" s="109" t="n">
        <f aca="false">INDEX(DC_Cost!$C$58:$Q$58,3*(AC$6-1)+2)/3600*AC101</f>
        <v>0.0581965922522752</v>
      </c>
      <c r="AD104" s="109" t="n">
        <f aca="false">INDEX(DC_Cost!$C$58:$Q$58,3*(AD$6-1)+2)/3600*AD101</f>
        <v>0.0811091845387063</v>
      </c>
      <c r="AE104" s="109" t="n">
        <f aca="false">INDEX(DC_Cost!$C$58:$Q$58,3*(AE$6-1)+2)/3600*AE101</f>
        <v>0.0581965922522752</v>
      </c>
      <c r="AF104" s="109" t="n">
        <f aca="false">INDEX(DC_Cost!$C$58:$Q$58,3*(AF$6-1)+2)/3600*AF101</f>
        <v>0.0811091845387063</v>
      </c>
      <c r="AG104" s="109" t="n">
        <f aca="false">INDEX(DC_Cost!$C$58:$Q$58,3*(AG$6-1)+2)/3600*AG101</f>
        <v>0.0581965922522752</v>
      </c>
      <c r="AH104" s="109" t="n">
        <f aca="false">INDEX(DC_Cost!$C$58:$Q$58,3*(AH$6-1)+2)/3600*AH101</f>
        <v>0.0811091845387063</v>
      </c>
    </row>
    <row r="105" customFormat="false" ht="15" hidden="false" customHeight="false" outlineLevel="0" collapsed="false">
      <c r="A105" s="53" t="s">
        <v>759</v>
      </c>
      <c r="B105" s="54" t="s">
        <v>758</v>
      </c>
      <c r="C105" s="109" t="n">
        <f aca="false">IF(C103&gt;0,INDEX(DC_Cost!$C$58:$Q$58,3*(C$6-1)+2)/3600*C103,0)</f>
        <v>0.343706205925063</v>
      </c>
      <c r="D105" s="109" t="n">
        <f aca="false">IF(D103&gt;0,INDEX(DC_Cost!$C$58:$Q$58,3*(D$6-1)+2)/3600*D103,0)</f>
        <v>0.559864502104182</v>
      </c>
      <c r="E105" s="109" t="n">
        <f aca="false">IF(E103&gt;0,INDEX(DC_Cost!$C$58:$Q$58,3*(E$6-1)+2)/3600*E103,0)</f>
        <v>0.687412411850127</v>
      </c>
      <c r="F105" s="109" t="n">
        <f aca="false">IF(F103&gt;0,INDEX(DC_Cost!$C$58:$Q$58,3*(F$6-1)+2)/3600*F103,0)</f>
        <v>0.559864502104182</v>
      </c>
      <c r="G105" s="109" t="n">
        <f aca="false">IF(G103&gt;0,INDEX(DC_Cost!$C$58:$Q$58,3*(G$6-1)+2)/3600*G103,0)</f>
        <v>0.229137470616709</v>
      </c>
      <c r="H105" s="109" t="n">
        <f aca="false">IF(H103&gt;0,INDEX(DC_Cost!$C$58:$Q$58,3*(H$6-1)+2)/3600*H103,0)</f>
        <v>0.559864502104182</v>
      </c>
      <c r="I105" s="109" t="n">
        <f aca="false">IF(I103&gt;0,INDEX(DC_Cost!$C$58:$Q$58,3*(I$6-1)+2)/3600*I103,0)</f>
        <v>0.307727299794482</v>
      </c>
      <c r="J105" s="109" t="n">
        <f aca="false">IF(J103&gt;0,INDEX(DC_Cost!$C$58:$Q$58,3*(J$6-1)+2)/3600*J103,0)</f>
        <v>0.559864502104182</v>
      </c>
      <c r="K105" s="109" t="n">
        <f aca="false">IF(K103&gt;0,INDEX(DC_Cost!$C$58:$Q$58,3*(K$6-1)+2)/3600*K103,0)</f>
        <v>0.426891887800676</v>
      </c>
      <c r="L105" s="109" t="n">
        <f aca="false">IF(L103&gt;0,INDEX(DC_Cost!$C$58:$Q$58,3*(L$6-1)+2)/3600*L103,0)</f>
        <v>0.559864502104182</v>
      </c>
      <c r="M105" s="109" t="n">
        <f aca="false">IF(M103&gt;0,INDEX(DC_Cost!$C$58:$Q$58,3*(M$6-1)+2)/3600*M103,0)</f>
        <v>0.240594344147544</v>
      </c>
      <c r="N105" s="109" t="n">
        <f aca="false">IF(N103&gt;0,INDEX(DC_Cost!$C$58:$Q$58,3*(N$6-1)+2)/3600*N103,0)</f>
        <v>0.559864502104182</v>
      </c>
      <c r="O105" s="109" t="n">
        <f aca="false">IF(O103&gt;0,INDEX(DC_Cost!$C$58:$Q$58,3*(O$6-1)+2)/3600*O103,0)</f>
        <v>0.290874972962541</v>
      </c>
      <c r="P105" s="109" t="n">
        <f aca="false">IF(P103&gt;0,INDEX(DC_Cost!$C$58:$Q$58,3*(P$6-1)+2)/3600*P103,0)</f>
        <v>0.438358337337755</v>
      </c>
      <c r="Q105" s="109" t="n">
        <f aca="false">IF(Q103&gt;0,INDEX(DC_Cost!$C$58:$Q$58,3*(Q$6-1)+2)/3600*Q103,0)</f>
        <v>0.460905254215671</v>
      </c>
      <c r="R105" s="109" t="n">
        <f aca="false">IF(R103&gt;0,INDEX(DC_Cost!$C$58:$Q$58,3*(R$6-1)+2)/3600*R103,0)</f>
        <v>0.914898567190357</v>
      </c>
      <c r="S105" s="109" t="n">
        <f aca="false">IF(S103&gt;0,INDEX(DC_Cost!$C$58:$Q$58,3*(S$6-1)+2)/3600*S103,0)</f>
        <v>0.433696571039828</v>
      </c>
      <c r="T105" s="109" t="n">
        <f aca="false">IF(T103&gt;0,INDEX(DC_Cost!$C$58:$Q$58,3*(T$6-1)+2)/3600*T103,0)</f>
        <v>0.739106690270693</v>
      </c>
      <c r="U105" s="109" t="n">
        <f aca="false">IF(U103&gt;0,INDEX(DC_Cost!$C$58:$Q$58,3*(U$6-1)+2)/3600*U103,0)</f>
        <v>0.276395169093345</v>
      </c>
      <c r="V105" s="109" t="n">
        <f aca="false">IF(V103&gt;0,INDEX(DC_Cost!$C$58:$Q$58,3*(V$6-1)+2)/3600*V103,0)</f>
        <v>0.43581809974081</v>
      </c>
      <c r="W105" s="109" t="n">
        <f aca="false">IF(W103&gt;0,INDEX(DC_Cost!$C$58:$Q$58,3*(W$6-1)+2)/3600*W103,0)</f>
        <v>0.341696594892179</v>
      </c>
      <c r="X105" s="109" t="n">
        <f aca="false">IF(X103&gt;0,INDEX(DC_Cost!$C$58:$Q$58,3*(X$6-1)+2)/3600*X103,0)</f>
        <v>0.556591038137127</v>
      </c>
      <c r="Y105" s="109" t="n">
        <f aca="false">IF(Y103&gt;0,INDEX(DC_Cost!$C$58:$Q$58,3*(Y$6-1)+2)/3600*Y103,0)</f>
        <v>0.351744650056602</v>
      </c>
      <c r="Z105" s="109" t="n">
        <f aca="false">IF(Z103&gt;0,INDEX(DC_Cost!$C$58:$Q$58,3*(Z$6-1)+2)/3600*Z103,0)</f>
        <v>0.572958357972403</v>
      </c>
      <c r="AA105" s="109" t="n">
        <f aca="false">IF(AA103&gt;0,INDEX(DC_Cost!$C$58:$Q$58,3*(AA$6-1)+2)/3600*AA103,0)</f>
        <v>0.589464763879446</v>
      </c>
      <c r="AB105" s="109" t="n">
        <f aca="false">IF(AB103&gt;0,INDEX(DC_Cost!$C$58:$Q$58,3*(AB$6-1)+2)/3600*AB103,0)</f>
        <v>0.993810339516383</v>
      </c>
      <c r="AC105" s="109" t="n">
        <f aca="false">IF(AC103&gt;0,INDEX(DC_Cost!$C$58:$Q$58,3*(AC$6-1)+2)/3600*AC103,0)</f>
        <v>1.77915810291208</v>
      </c>
      <c r="AD105" s="109" t="n">
        <f aca="false">IF(AD103&gt;0,INDEX(DC_Cost!$C$58:$Q$58,3*(AD$6-1)+2)/3600*AD103,0)</f>
        <v>4.07678447218689</v>
      </c>
      <c r="AE105" s="109" t="n">
        <f aca="false">IF(AE103&gt;0,INDEX(DC_Cost!$C$58:$Q$58,3*(AE$6-1)+2)/3600*AE103,0)</f>
        <v>1.77915810291208</v>
      </c>
      <c r="AF105" s="109" t="n">
        <f aca="false">IF(AF103&gt;0,INDEX(DC_Cost!$C$58:$Q$58,3*(AF$6-1)+2)/3600*AF103,0)</f>
        <v>4.07678447218689</v>
      </c>
      <c r="AG105" s="109" t="n">
        <f aca="false">IF(AG103&gt;0,INDEX(DC_Cost!$C$58:$Q$58,3*(AG$6-1)+2)/3600*AG103,0)</f>
        <v>1.77915810291208</v>
      </c>
      <c r="AH105" s="109" t="n">
        <f aca="false">IF(AH103&gt;0,INDEX(DC_Cost!$C$58:$Q$58,3*(AH$6-1)+2)/3600*AH103,0)</f>
        <v>4.07678447218689</v>
      </c>
    </row>
    <row r="106" customFormat="false" ht="15" hidden="false" customHeight="false" outlineLevel="0" collapsed="false">
      <c r="A106" s="68" t="s">
        <v>760</v>
      </c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</row>
    <row r="107" customFormat="false" ht="15" hidden="false" customHeight="false" outlineLevel="0" collapsed="false">
      <c r="A107" s="53" t="s">
        <v>761</v>
      </c>
      <c r="B107" s="54" t="s">
        <v>762</v>
      </c>
      <c r="C107" s="110" t="n">
        <f aca="false">C23*Energy!$C$5/(C14*1000000000000000)*1000000000000</f>
        <v>0.0308571428571429</v>
      </c>
      <c r="D107" s="110" t="n">
        <f aca="false">D23*Energy!$C$5/(D14*1000000000000000)*1000000000000</f>
        <v>0.056</v>
      </c>
      <c r="E107" s="110" t="n">
        <f aca="false">E23*Energy!$C$5/(E14*1000000000000000)*1000000000000</f>
        <v>0.0308571428571429</v>
      </c>
      <c r="F107" s="110" t="n">
        <f aca="false">F23*Energy!$C$5/(F14*1000000000000000)*1000000000000</f>
        <v>0.056</v>
      </c>
      <c r="G107" s="110" t="n">
        <f aca="false">G23*Energy!$C$5/(G14*1000000000000000)*1000000000000</f>
        <v>0.0308571428571429</v>
      </c>
      <c r="H107" s="110" t="n">
        <f aca="false">H23*Energy!$C$5/(H14*1000000000000000)*1000000000000</f>
        <v>0.056</v>
      </c>
      <c r="I107" s="110" t="n">
        <f aca="false">I23*Energy!$C$5/(I14*1000000000000000)*1000000000000</f>
        <v>0.0308571428571429</v>
      </c>
      <c r="J107" s="110" t="n">
        <f aca="false">J23*Energy!$C$5/(J14*1000000000000000)*1000000000000</f>
        <v>0.056</v>
      </c>
      <c r="K107" s="110" t="n">
        <f aca="false">K23*Energy!$C$5/(K14*1000000000000000)*1000000000000</f>
        <v>0.0308571428571429</v>
      </c>
      <c r="L107" s="110" t="n">
        <f aca="false">L23*Energy!$C$5/(L14*1000000000000000)*1000000000000</f>
        <v>0.056</v>
      </c>
      <c r="M107" s="110" t="n">
        <f aca="false">M23*Energy!$C$5/(M14*1000000000000000)*1000000000000</f>
        <v>0.0216</v>
      </c>
      <c r="N107" s="110" t="n">
        <f aca="false">N23*Energy!$C$5/(N14*1000000000000000)*1000000000000</f>
        <v>0.056</v>
      </c>
      <c r="O107" s="110" t="n">
        <f aca="false">O23*Energy!$C$5/(O14*1000000000000000)*1000000000000</f>
        <v>0.0308571428571429</v>
      </c>
      <c r="P107" s="110" t="n">
        <f aca="false">P23*Energy!$C$5/(P14*1000000000000000)*1000000000000</f>
        <v>0.056</v>
      </c>
      <c r="Q107" s="110" t="n">
        <f aca="false">Q23*Energy!$C$5/(Q14*1000000000000000)*1000000000000</f>
        <v>0.0308571428571429</v>
      </c>
      <c r="R107" s="110" t="n">
        <f aca="false">R23*Energy!$C$5/(R14*1000000000000000)*1000000000000</f>
        <v>0.056</v>
      </c>
      <c r="S107" s="110" t="n">
        <f aca="false">S23*Energy!$C$5/(S14*1000000000000000)*1000000000000</f>
        <v>0.0308571428571429</v>
      </c>
      <c r="T107" s="110" t="n">
        <f aca="false">T23*Energy!$C$5/(T14*1000000000000000)*1000000000000</f>
        <v>0.056</v>
      </c>
      <c r="U107" s="110" t="n">
        <f aca="false">U23*Energy!$C$5/(U14*1000000000000000)*1000000000000</f>
        <v>0.0308571428571429</v>
      </c>
      <c r="V107" s="110" t="n">
        <f aca="false">V23*Energy!$C$5/(V14*1000000000000000)*1000000000000</f>
        <v>0.056</v>
      </c>
      <c r="W107" s="110" t="n">
        <f aca="false">W23*Energy!$C$5/(W14*1000000000000000)*1000000000000</f>
        <v>0.0308571428571429</v>
      </c>
      <c r="X107" s="110" t="n">
        <f aca="false">X23*Energy!$C$5/(X14*1000000000000000)*1000000000000</f>
        <v>0.056</v>
      </c>
      <c r="Y107" s="110" t="n">
        <f aca="false">Y23*Energy!$C$5/(Y14*1000000000000000)*1000000000000</f>
        <v>0.0308571428571429</v>
      </c>
      <c r="Z107" s="110" t="n">
        <f aca="false">Z23*Energy!$C$5/(Z14*1000000000000000)*1000000000000</f>
        <v>0.056</v>
      </c>
      <c r="AA107" s="110" t="n">
        <f aca="false">AA23*Energy!$C$5/(AA14*1000000000000000)*1000000000000</f>
        <v>0.0308571428571429</v>
      </c>
      <c r="AB107" s="110" t="n">
        <f aca="false">AB23*Energy!$C$5/(AB14*1000000000000000)*1000000000000</f>
        <v>0.056</v>
      </c>
      <c r="AC107" s="110" t="n">
        <f aca="false">AC23*Energy!$C$5/(AC14*1000000000000000)*1000000000000</f>
        <v>0.0308571428571429</v>
      </c>
      <c r="AD107" s="110" t="n">
        <f aca="false">AD23*Energy!$C$5/(AD14*1000000000000000)*1000000000000</f>
        <v>0.056</v>
      </c>
      <c r="AE107" s="110" t="n">
        <f aca="false">AE23*Energy!$C$5/(AE14*1000000000000000)*1000000000000</f>
        <v>0.0308571428571429</v>
      </c>
      <c r="AF107" s="110" t="n">
        <f aca="false">AF23*Energy!$C$5/(AF14*1000000000000000)*1000000000000</f>
        <v>0.056</v>
      </c>
      <c r="AG107" s="110" t="n">
        <f aca="false">AG23*Energy!$C$5/(AG14*1000000000000000)*1000000000000</f>
        <v>0.0308571428571429</v>
      </c>
      <c r="AH107" s="110" t="n">
        <f aca="false">AH23*Energy!$C$5/(AH14*1000000000000000)*1000000000000</f>
        <v>0.056</v>
      </c>
    </row>
    <row r="108" customFormat="false" ht="15" hidden="false" customHeight="false" outlineLevel="0" collapsed="false">
      <c r="A108" s="54" t="s">
        <v>763</v>
      </c>
      <c r="B108" s="54" t="s">
        <v>690</v>
      </c>
      <c r="C108" s="82" t="n">
        <f aca="false">IF(C$6=1,Energy!$C$7,Energy!$C$6)</f>
        <v>10</v>
      </c>
      <c r="D108" s="82" t="n">
        <f aca="false">IF(D$6=1,Energy!$C$7,Energy!$C$6)</f>
        <v>10</v>
      </c>
      <c r="E108" s="82" t="n">
        <f aca="false">IF(E$6=1,Energy!$C$7,Energy!$C$6)</f>
        <v>10</v>
      </c>
      <c r="F108" s="82" t="n">
        <f aca="false">IF(F$6=1,Energy!$C$7,Energy!$C$6)</f>
        <v>10</v>
      </c>
      <c r="G108" s="82" t="n">
        <f aca="false">IF(G$6=1,Energy!$C$7,Energy!$C$6)</f>
        <v>10</v>
      </c>
      <c r="H108" s="82" t="n">
        <f aca="false">IF(H$6=1,Energy!$C$7,Energy!$C$6)</f>
        <v>10</v>
      </c>
      <c r="I108" s="82" t="n">
        <f aca="false">IF(I$6=1,Energy!$C$7,Energy!$C$6)</f>
        <v>10</v>
      </c>
      <c r="J108" s="82" t="n">
        <f aca="false">IF(J$6=1,Energy!$C$7,Energy!$C$6)</f>
        <v>10</v>
      </c>
      <c r="K108" s="82" t="n">
        <f aca="false">IF(K$6=1,Energy!$C$7,Energy!$C$6)</f>
        <v>10</v>
      </c>
      <c r="L108" s="82" t="n">
        <f aca="false">IF(L$6=1,Energy!$C$7,Energy!$C$6)</f>
        <v>10</v>
      </c>
      <c r="M108" s="82" t="n">
        <f aca="false">IF(M$6=1,Energy!$C$7,Energy!$C$6)</f>
        <v>10</v>
      </c>
      <c r="N108" s="82" t="n">
        <f aca="false">IF(N$6=1,Energy!$C$7,Energy!$C$6)</f>
        <v>10</v>
      </c>
      <c r="O108" s="82" t="n">
        <f aca="false">IF(O$6=1,Energy!$C$7,Energy!$C$6)</f>
        <v>10</v>
      </c>
      <c r="P108" s="82" t="n">
        <f aca="false">IF(P$6=1,Energy!$C$7,Energy!$C$6)</f>
        <v>10</v>
      </c>
      <c r="Q108" s="82" t="n">
        <f aca="false">IF(Q$6=1,Energy!$C$7,Energy!$C$6)</f>
        <v>10</v>
      </c>
      <c r="R108" s="82" t="n">
        <f aca="false">IF(R$6=1,Energy!$C$7,Energy!$C$6)</f>
        <v>10</v>
      </c>
      <c r="S108" s="82" t="n">
        <f aca="false">IF(S$6=1,Energy!$C$7,Energy!$C$6)</f>
        <v>10</v>
      </c>
      <c r="T108" s="82" t="n">
        <f aca="false">IF(T$6=1,Energy!$C$7,Energy!$C$6)</f>
        <v>10</v>
      </c>
      <c r="U108" s="82" t="n">
        <f aca="false">IF(U$6=1,Energy!$C$7,Energy!$C$6)</f>
        <v>10</v>
      </c>
      <c r="V108" s="82" t="n">
        <f aca="false">IF(V$6=1,Energy!$C$7,Energy!$C$6)</f>
        <v>10</v>
      </c>
      <c r="W108" s="82" t="n">
        <f aca="false">IF(W$6=1,Energy!$C$7,Energy!$C$6)</f>
        <v>10</v>
      </c>
      <c r="X108" s="82" t="n">
        <f aca="false">IF(X$6=1,Energy!$C$7,Energy!$C$6)</f>
        <v>10</v>
      </c>
      <c r="Y108" s="82" t="n">
        <f aca="false">IF(Y$6=1,Energy!$C$7,Energy!$C$6)</f>
        <v>10</v>
      </c>
      <c r="Z108" s="82" t="n">
        <f aca="false">IF(Z$6=1,Energy!$C$7,Energy!$C$6)</f>
        <v>10</v>
      </c>
      <c r="AA108" s="82" t="n">
        <f aca="false">IF(AA$6=1,Energy!$C$7,Energy!$C$6)</f>
        <v>10</v>
      </c>
      <c r="AB108" s="82" t="n">
        <f aca="false">IF(AB$6=1,Energy!$C$7,Energy!$C$6)</f>
        <v>10</v>
      </c>
      <c r="AC108" s="82" t="n">
        <f aca="false">IF(AC$6=1,Energy!$C$7,Energy!$C$6)</f>
        <v>10</v>
      </c>
      <c r="AD108" s="82" t="n">
        <f aca="false">IF(AD$6=1,Energy!$C$7,Energy!$C$6)</f>
        <v>10</v>
      </c>
      <c r="AE108" s="82" t="n">
        <f aca="false">IF(AE$6=1,Energy!$C$7,Energy!$C$6)</f>
        <v>10</v>
      </c>
      <c r="AF108" s="82" t="n">
        <f aca="false">IF(AF$6=1,Energy!$C$7,Energy!$C$6)</f>
        <v>10</v>
      </c>
      <c r="AG108" s="82" t="n">
        <f aca="false">IF(AG$6=1,Energy!$C$7,Energy!$C$6)</f>
        <v>10</v>
      </c>
      <c r="AH108" s="82" t="n">
        <f aca="false">IF(AH$6=1,Energy!$C$7,Energy!$C$6)</f>
        <v>10</v>
      </c>
    </row>
    <row r="109" customFormat="false" ht="15" hidden="false" customHeight="false" outlineLevel="0" collapsed="false">
      <c r="A109" s="54" t="s">
        <v>764</v>
      </c>
      <c r="B109" s="54" t="s">
        <v>448</v>
      </c>
      <c r="C109" s="67" t="n">
        <f aca="false">(C47+1)*C65/C49</f>
        <v>210.622552323537</v>
      </c>
      <c r="D109" s="67" t="n">
        <f aca="false">(D47+1)*D65/D49</f>
        <v>210.622552323537</v>
      </c>
      <c r="E109" s="67" t="n">
        <f aca="false">(E47+1)*E65/E49</f>
        <v>210.622552323537</v>
      </c>
      <c r="F109" s="67" t="n">
        <f aca="false">(F47+1)*F65/F49</f>
        <v>210.622552323537</v>
      </c>
      <c r="G109" s="67" t="n">
        <f aca="false">(G47+1)*G65/G49</f>
        <v>210.622552323537</v>
      </c>
      <c r="H109" s="67" t="n">
        <f aca="false">(H47+1)*H65/H49</f>
        <v>210.622552323537</v>
      </c>
      <c r="I109" s="67" t="n">
        <f aca="false">(I47+1)*I65/I49</f>
        <v>210.622552323537</v>
      </c>
      <c r="J109" s="67" t="n">
        <f aca="false">(J47+1)*J65/J49</f>
        <v>210.622552323537</v>
      </c>
      <c r="K109" s="67" t="n">
        <f aca="false">(K47+1)*K65/K49</f>
        <v>210.622552323537</v>
      </c>
      <c r="L109" s="67" t="n">
        <f aca="false">(L47+1)*L65/L49</f>
        <v>210.622552323537</v>
      </c>
      <c r="M109" s="67" t="n">
        <f aca="false">(M47+1)*M65/M49</f>
        <v>210.622552323537</v>
      </c>
      <c r="N109" s="67" t="n">
        <f aca="false">(N47+1)*N65/N49</f>
        <v>210.622552323537</v>
      </c>
      <c r="O109" s="67" t="n">
        <f aca="false">(O47+1)*O65/O49</f>
        <v>210.622552323537</v>
      </c>
      <c r="P109" s="67" t="n">
        <f aca="false">(P47+1)*P65/P49</f>
        <v>210.622552323537</v>
      </c>
      <c r="Q109" s="67" t="n">
        <f aca="false">(Q47+1)*Q65/Q49</f>
        <v>210.622552323537</v>
      </c>
      <c r="R109" s="67" t="n">
        <f aca="false">(R47+1)*R65/R49</f>
        <v>210.622552323537</v>
      </c>
      <c r="S109" s="67" t="n">
        <f aca="false">(S47+1)*S65/S49</f>
        <v>245.177814814118</v>
      </c>
      <c r="T109" s="67" t="n">
        <f aca="false">(T47+1)*T65/T49</f>
        <v>245.177814814118</v>
      </c>
      <c r="U109" s="67" t="n">
        <f aca="false">(U47+1)*U65/U49</f>
        <v>180.727278128564</v>
      </c>
      <c r="V109" s="67" t="n">
        <f aca="false">(V47+1)*V65/V49</f>
        <v>180.727278128564</v>
      </c>
      <c r="W109" s="67" t="n">
        <f aca="false">(W47+1)*W65/W49</f>
        <v>209.391066253088</v>
      </c>
      <c r="X109" s="67" t="n">
        <f aca="false">(X47+1)*X65/X49</f>
        <v>209.391066253088</v>
      </c>
      <c r="Y109" s="67" t="n">
        <f aca="false">(Y47+1)*Y65/Y49</f>
        <v>215.548496605334</v>
      </c>
      <c r="Z109" s="67" t="n">
        <f aca="false">(Z47+1)*Z65/Z49</f>
        <v>215.548496605334</v>
      </c>
      <c r="AA109" s="67" t="n">
        <f aca="false">(AA47+1)*AA65/AA49</f>
        <v>210.622552323537</v>
      </c>
      <c r="AB109" s="67" t="n">
        <f aca="false">(AB47+1)*AB65/AB49</f>
        <v>210.622552323537</v>
      </c>
      <c r="AC109" s="67" t="n">
        <f aca="false">(AC47+1)*AC65/AC49</f>
        <v>838.732890959337</v>
      </c>
      <c r="AD109" s="67" t="n">
        <f aca="false">(AD47+1)*AD65/AD49</f>
        <v>838.732890959337</v>
      </c>
      <c r="AE109" s="67" t="n">
        <f aca="false">(AE47+1)*AE65/AE49</f>
        <v>838.732890959337</v>
      </c>
      <c r="AF109" s="67" t="n">
        <f aca="false">(AF47+1)*AF65/AF49</f>
        <v>838.732890959337</v>
      </c>
      <c r="AG109" s="67" t="n">
        <f aca="false">(AG47+1)*AG65/AG49</f>
        <v>838.732890959337</v>
      </c>
      <c r="AH109" s="67" t="n">
        <f aca="false">(AH47+1)*AH65/AH49</f>
        <v>838.732890959337</v>
      </c>
    </row>
    <row r="110" customFormat="false" ht="15" hidden="false" customHeight="false" outlineLevel="0" collapsed="false">
      <c r="A110" s="54" t="s">
        <v>765</v>
      </c>
      <c r="B110" s="54" t="s">
        <v>274</v>
      </c>
      <c r="C110" s="107" t="n">
        <f aca="false">IF(C87&gt;0,(C72+C87*C34*C45/1000000000)/(C87*C49),0)</f>
        <v>0.332752090932984</v>
      </c>
      <c r="D110" s="107" t="n">
        <f aca="false">IF(D87&gt;0,(D72+D87*D34*D45/1000000000)/(D87*D49),0)</f>
        <v>0.860383493663677</v>
      </c>
      <c r="E110" s="107" t="n">
        <f aca="false">IF(E87&gt;0,(E72+E87*E34*E45/1000000000)/(E87*E49),0)</f>
        <v>0.638254785892814</v>
      </c>
      <c r="F110" s="107" t="n">
        <f aca="false">IF(F87&gt;0,(F72+F87*F34*F45/1000000000)/(F87*F49),0)</f>
        <v>0.860383493663677</v>
      </c>
      <c r="G110" s="107" t="n">
        <f aca="false">IF(G87&gt;0,(G72+G87*G34*G45/1000000000)/(G87*G49),0)</f>
        <v>0.230917859279708</v>
      </c>
      <c r="H110" s="107" t="n">
        <f aca="false">IF(H87&gt;0,(H72+H87*H34*H45/1000000000)/(H87*H49),0)</f>
        <v>0.860383493663677</v>
      </c>
      <c r="I110" s="107" t="n">
        <f aca="false">IF(I87&gt;0,(I72+I87*I34*I45/1000000000)/(I87*I49),0)</f>
        <v>0.300772299485763</v>
      </c>
      <c r="J110" s="107" t="n">
        <f aca="false">IF(J87&gt;0,(J72+J87*J34*J45/1000000000)/(J87*J49),0)</f>
        <v>0.860383493663677</v>
      </c>
      <c r="K110" s="107" t="n">
        <f aca="false">IF(K87&gt;0,(K72+K87*K34*K45/1000000000)/(K87*K49),0)</f>
        <v>0.406691547238907</v>
      </c>
      <c r="L110" s="107" t="n">
        <f aca="false">IF(L87&gt;0,(L72+L87*L34*L45/1000000000)/(L87*L49),0)</f>
        <v>0.860383493663677</v>
      </c>
      <c r="M110" s="107" t="n">
        <f aca="false">IF(M87&gt;0,(M72+M87*M34*M45/1000000000)/(M87*M49),0)</f>
        <v>0.241101282445035</v>
      </c>
      <c r="N110" s="107" t="n">
        <f aca="false">IF(N87&gt;0,(N72+N87*N34*N45/1000000000)/(N87*N49),0)</f>
        <v>0.860383493663677</v>
      </c>
      <c r="O110" s="107" t="n">
        <f aca="false">IF(O87&gt;0,(O72+O87*O34*O45/1000000000)/(O87*O49),0)</f>
        <v>0.186353236322913</v>
      </c>
      <c r="P110" s="107" t="n">
        <f aca="false">IF(P87&gt;0,(P72+P87*P34*P45/1000000000)/(P87*P49),0)</f>
        <v>0.428677600306284</v>
      </c>
      <c r="Q110" s="107" t="n">
        <f aca="false">IF(Q87&gt;0,(Q72+Q87*Q34*Q45/1000000000)/(Q87*Q49),0)</f>
        <v>0.657518435933998</v>
      </c>
      <c r="R110" s="107" t="n">
        <f aca="false">IF(R87&gt;0,(R72+R87*R34*R45/1000000000)/(R87*R49),0)</f>
        <v>2.12180342684128</v>
      </c>
      <c r="S110" s="107" t="n">
        <f aca="false">IF(S87&gt;0,(S72+S87*S34*S45/1000000000)/(S87*S49),0)</f>
        <v>0.48045501508051</v>
      </c>
      <c r="T110" s="107" t="n">
        <f aca="false">IF(T87&gt;0,(T72+T87*T34*T45/1000000000)/(T87*T49),0)</f>
        <v>1.31203080084482</v>
      </c>
      <c r="U110" s="107" t="n">
        <f aca="false">IF(U87&gt;0,(U72+U87*U34*U45/1000000000)/(U87*U49),0)</f>
        <v>0.234184762457042</v>
      </c>
      <c r="V110" s="107" t="n">
        <f aca="false">IF(V87&gt;0,(V72+V87*V34*V45/1000000000)/(V87*V49),0)</f>
        <v>0.579870029644223</v>
      </c>
      <c r="W110" s="107" t="n">
        <f aca="false">IF(W87&gt;0,(W72+W87*W34*W45/1000000000)/(W87*W49),0)</f>
        <v>0.311730983731019</v>
      </c>
      <c r="X110" s="107" t="n">
        <f aca="false">IF(X87&gt;0,(X72+X87*X34*X45/1000000000)/(X87*X49),0)</f>
        <v>0.836277385754872</v>
      </c>
      <c r="Y110" s="107" t="n">
        <f aca="false">IF(Y87&gt;0,(Y72+Y87*Y34*Y45/1000000000)/(Y87*Y49),0)</f>
        <v>0.416836519740844</v>
      </c>
      <c r="Z110" s="107" t="n">
        <f aca="false">IF(Z87&gt;0,(Z72+Z87*Z34*Z45/1000000000)/(Z87*Z49),0)</f>
        <v>0.956807925298895</v>
      </c>
      <c r="AA110" s="107" t="n">
        <f aca="false">IF(AA87&gt;0,(AA72+AA87*AA34*AA45/1000000000)/(AA87*AA49),0)</f>
        <v>0.551194180340222</v>
      </c>
      <c r="AB110" s="107" t="n">
        <f aca="false">IF(AB87&gt;0,(AB72+AB87*AB34*AB45/1000000000)/(AB87*AB49),0)</f>
        <v>1.50613808667714</v>
      </c>
      <c r="AC110" s="107" t="n">
        <f aca="false">IF(AC87&gt;0,(AC72+AC87*AC34*AC45/1000000000)/(AC87*AC49),0)</f>
        <v>3.50674200205479</v>
      </c>
      <c r="AD110" s="107" t="n">
        <f aca="false">IF(AD87&gt;0,(AD72+AD87*AD34*AD45/1000000000)/(AD87*AD49),0)</f>
        <v>12.8689300822067</v>
      </c>
      <c r="AE110" s="107" t="n">
        <f aca="false">IF(AE87&gt;0,(AE72+AE87*AE34*AE45/1000000000)/(AE87*AE49),0)</f>
        <v>4.09260745171922</v>
      </c>
      <c r="AF110" s="107" t="n">
        <f aca="false">IF(AF87&gt;0,(AF72+AF87*AF34*AF45/1000000000)/(AF87*AF49),0)</f>
        <v>13.4547955318711</v>
      </c>
      <c r="AG110" s="107" t="n">
        <f aca="false">IF(AG87&gt;0,(AG72+AG87*AG34*AG45/1000000000)/(AG87*AG49),0)</f>
        <v>6.1158665121219</v>
      </c>
      <c r="AH110" s="107" t="n">
        <f aca="false">IF(AH87&gt;0,(AH72+AH87*AH34*AH45/1000000000)/(AH87*AH49),0)</f>
        <v>15.4780545922738</v>
      </c>
    </row>
    <row r="111" customFormat="false" ht="15" hidden="false" customHeight="false" outlineLevel="0" collapsed="false">
      <c r="A111" s="54" t="s">
        <v>766</v>
      </c>
      <c r="B111" s="54" t="s">
        <v>274</v>
      </c>
      <c r="C111" s="65" t="n">
        <f aca="false">(C47+1)*C29*C31*C30*C59/C49/1000000000</f>
        <v>0.0124286837741808</v>
      </c>
      <c r="D111" s="65" t="n">
        <f aca="false">(D47+1)*D29*D31*D30*D59/D49/1000000000</f>
        <v>0.0124286837741808</v>
      </c>
      <c r="E111" s="65" t="n">
        <f aca="false">(E47+1)*E29*E31*E30*E59/E49/1000000000</f>
        <v>0.0124286837741808</v>
      </c>
      <c r="F111" s="65" t="n">
        <f aca="false">(F47+1)*F29*F31*F30*F59/F49/1000000000</f>
        <v>0.0124286837741808</v>
      </c>
      <c r="G111" s="65" t="n">
        <f aca="false">(G47+1)*G29*G31*G30*G59/G49/1000000000</f>
        <v>0.0124286837741808</v>
      </c>
      <c r="H111" s="65" t="n">
        <f aca="false">(H47+1)*H29*H31*H30*H59/H49/1000000000</f>
        <v>0.0124286837741808</v>
      </c>
      <c r="I111" s="65" t="n">
        <f aca="false">(I47+1)*I29*I31*I30*I59/I49/1000000000</f>
        <v>0.0124286837741808</v>
      </c>
      <c r="J111" s="65" t="n">
        <f aca="false">(J47+1)*J29*J31*J30*J59/J49/1000000000</f>
        <v>0.0124286837741808</v>
      </c>
      <c r="K111" s="65" t="n">
        <f aca="false">(K47+1)*K29*K31*K30*K59/K49/1000000000</f>
        <v>0.0124286837741808</v>
      </c>
      <c r="L111" s="65" t="n">
        <f aca="false">(L47+1)*L29*L31*L30*L59/L49/1000000000</f>
        <v>0.0124286837741808</v>
      </c>
      <c r="M111" s="65" t="n">
        <f aca="false">(M47+1)*M29*M31*M30*M59/M49/1000000000</f>
        <v>0.0124286837741808</v>
      </c>
      <c r="N111" s="65" t="n">
        <f aca="false">(N47+1)*N29*N31*N30*N59/N49/1000000000</f>
        <v>0.0124286837741808</v>
      </c>
      <c r="O111" s="65" t="n">
        <f aca="false">(O47+1)*O29*O31*O30*O59/O49/1000000000</f>
        <v>0.0124286837741808</v>
      </c>
      <c r="P111" s="65" t="n">
        <f aca="false">(P47+1)*P29*P31*P30*P59/P49/1000000000</f>
        <v>0.0124286837741808</v>
      </c>
      <c r="Q111" s="65" t="n">
        <f aca="false">(Q47+1)*Q29*Q31*Q30*Q59/Q49/1000000000</f>
        <v>0.0124286837741808</v>
      </c>
      <c r="R111" s="65" t="n">
        <f aca="false">(R47+1)*R29*R31*R30*R59/R49/1000000000</f>
        <v>0.0124286837741808</v>
      </c>
      <c r="S111" s="65" t="n">
        <f aca="false">(S47+1)*S29*S31*S30*S59/S49/1000000000</f>
        <v>0.0144677647058824</v>
      </c>
      <c r="T111" s="65" t="n">
        <f aca="false">(T47+1)*T29*T31*T30*T59/T49/1000000000</f>
        <v>0.0144677647058824</v>
      </c>
      <c r="U111" s="65" t="n">
        <f aca="false">(U47+1)*U29*U31*U30*U59/U49/1000000000</f>
        <v>0.0106645853658537</v>
      </c>
      <c r="V111" s="65" t="n">
        <f aca="false">(V47+1)*V29*V31*V30*V59/V49/1000000000</f>
        <v>0.0106645853658537</v>
      </c>
      <c r="W111" s="65" t="n">
        <f aca="false">(W47+1)*W29*W31*W30*W59/W49/1000000000</f>
        <v>0.0124286837741808</v>
      </c>
      <c r="X111" s="65" t="n">
        <f aca="false">(X47+1)*X29*X31*X30*X59/X49/1000000000</f>
        <v>0.0124286837741808</v>
      </c>
      <c r="Y111" s="65" t="n">
        <f aca="false">(Y47+1)*Y29*Y31*Y30*Y59/Y49/1000000000</f>
        <v>0.0124286837741808</v>
      </c>
      <c r="Z111" s="65" t="n">
        <f aca="false">(Z47+1)*Z29*Z31*Z30*Z59/Z49/1000000000</f>
        <v>0.0124286837741808</v>
      </c>
      <c r="AA111" s="65" t="n">
        <f aca="false">(AA47+1)*AA29*AA31*AA30*AA59/AA49/1000000000</f>
        <v>0.0124286837741808</v>
      </c>
      <c r="AB111" s="65" t="n">
        <f aca="false">(AB47+1)*AB29*AB31*AB30*AB59/AB49/1000000000</f>
        <v>0.0124286837741808</v>
      </c>
      <c r="AC111" s="65" t="n">
        <f aca="false">(AC47+1)*AC29*AC31*AC30*AC59/AC49/1000000000</f>
        <v>0.0931423608369523</v>
      </c>
      <c r="AD111" s="65" t="n">
        <f aca="false">(AD47+1)*AD29*AD31*AD30*AD59/AD49/1000000000</f>
        <v>0.0931423608369523</v>
      </c>
      <c r="AE111" s="65" t="n">
        <f aca="false">(AE47+1)*AE29*AE31*AE30*AE59/AE49/1000000000</f>
        <v>0.0931423608369523</v>
      </c>
      <c r="AF111" s="65" t="n">
        <f aca="false">(AF47+1)*AF29*AF31*AF30*AF59/AF49/1000000000</f>
        <v>0.0931423608369523</v>
      </c>
      <c r="AG111" s="65" t="n">
        <f aca="false">(AG47+1)*AG29*AG31*AG30*AG59/AG49/1000000000</f>
        <v>0.0931423608369523</v>
      </c>
      <c r="AH111" s="65" t="n">
        <f aca="false">(AH47+1)*AH29*AH31*AH30*AH59/AH49/1000000000</f>
        <v>0.0931423608369523</v>
      </c>
    </row>
    <row r="112" customFormat="false" ht="15" hidden="false" customHeight="false" outlineLevel="0" collapsed="false">
      <c r="A112" s="54" t="s">
        <v>767</v>
      </c>
      <c r="B112" s="54" t="s">
        <v>768</v>
      </c>
      <c r="C112" s="65" t="n">
        <f aca="false">(C109*C107+C110*C24+C111*C108)/1000</f>
        <v>0.0132785388423849</v>
      </c>
      <c r="D112" s="65" t="n">
        <f aca="false">(D109*D107+D110*D24+D111*D108)/1000</f>
        <v>0.0334287371094518</v>
      </c>
      <c r="E112" s="65" t="n">
        <f aca="false">(E109*E107+E110*E24+E111*E108)/1000</f>
        <v>0.0193885927415815</v>
      </c>
      <c r="F112" s="65" t="n">
        <f aca="false">(F109*F107+F110*F24+F111*F108)/1000</f>
        <v>0.0334287371094518</v>
      </c>
      <c r="G112" s="65" t="n">
        <f aca="false">(G109*G107+G110*G24+G111*G108)/1000</f>
        <v>0.0112418542093194</v>
      </c>
      <c r="H112" s="65" t="n">
        <f aca="false">(H109*H107+H110*H24+H111*H108)/1000</f>
        <v>0.0334287371094518</v>
      </c>
      <c r="I112" s="65" t="n">
        <f aca="false">(I109*I107+I110*I24+I111*I108)/1000</f>
        <v>0.0126389430134405</v>
      </c>
      <c r="J112" s="65" t="n">
        <f aca="false">(J109*J107+J110*J24+J111*J108)/1000</f>
        <v>0.0334287371094518</v>
      </c>
      <c r="K112" s="65" t="n">
        <f aca="false">(K109*K107+K110*K24+K111*K108)/1000</f>
        <v>0.0147573279685034</v>
      </c>
      <c r="L112" s="65" t="n">
        <f aca="false">(L109*L107+L110*L24+L111*L108)/1000</f>
        <v>0.0334287371094518</v>
      </c>
      <c r="M112" s="65" t="n">
        <f aca="false">(M109*M107+M110*M24+M111*M108)/1000</f>
        <v>0.00949575961683092</v>
      </c>
      <c r="N112" s="65" t="n">
        <f aca="false">(N109*N107+N110*N24+N111*N108)/1000</f>
        <v>0.0334287371094518</v>
      </c>
      <c r="O112" s="65" t="n">
        <f aca="false">(O109*O107+O110*O24+O111*O108)/1000</f>
        <v>0.0103505617501835</v>
      </c>
      <c r="P112" s="65" t="n">
        <f aca="false">(P109*P107+P110*P24+P111*P108)/1000</f>
        <v>0.022636089775517</v>
      </c>
      <c r="Q112" s="65" t="n">
        <f aca="false">(Q109*Q107+Q110*Q24+Q111*Q108)/1000</f>
        <v>0.0197738657424052</v>
      </c>
      <c r="R112" s="65" t="n">
        <f aca="false">(R109*R107+R110*R24+R111*R108)/1000</f>
        <v>0.0649642354388919</v>
      </c>
      <c r="S112" s="65" t="n">
        <f aca="false">(S109*S107+S110*S24+S111*S108)/1000</f>
        <v>0.0173192648057904</v>
      </c>
      <c r="T112" s="65" t="n">
        <f aca="false">(T109*T107+T110*T24+T111*T108)/1000</f>
        <v>0.0466754052977699</v>
      </c>
      <c r="U112" s="65" t="n">
        <f aca="false">(U109*U107+U110*U24+U111*U108)/1000</f>
        <v>0.0103670685421951</v>
      </c>
      <c r="V112" s="65" t="n">
        <f aca="false">(V109*V107+V110*V24+V111*V108)/1000</f>
        <v>0.0247241241699637</v>
      </c>
      <c r="W112" s="65" t="n">
        <f aca="false">(W109*W107+W110*W24+W111*W108)/1000</f>
        <v>0.0128201165567432</v>
      </c>
      <c r="X112" s="65" t="n">
        <f aca="false">(X109*X107+X110*X24+X111*X108)/1000</f>
        <v>0.0327571211917865</v>
      </c>
      <c r="Y112" s="65" t="n">
        <f aca="false">(Y109*Y107+Y110*Y24+Y111*Y108)/1000</f>
        <v>0.0151122279849519</v>
      </c>
      <c r="Z112" s="65" t="n">
        <f aca="false">(Z109*Z107+Z110*Z24+Z111*Z108)/1000</f>
        <v>0.0361152007801129</v>
      </c>
      <c r="AA112" s="65" t="n">
        <f aca="false">(AA109*AA107+AA110*AA24+AA111*AA108)/1000</f>
        <v>0.0176473806305297</v>
      </c>
      <c r="AB112" s="65" t="n">
        <f aca="false">(AB109*AB107+AB110*AB24+AB111*AB108)/1000</f>
        <v>0.0495726019347884</v>
      </c>
      <c r="AC112" s="65" t="n">
        <f aca="false">(AC109*AC107+AC110*AC24+AC111*AC108)/1000</f>
        <v>0.096947164284782</v>
      </c>
      <c r="AD112" s="65" t="n">
        <f aca="false">(AD109*AD107+AD110*AD24+AD111*AD108)/1000</f>
        <v>0.369623717557259</v>
      </c>
      <c r="AE112" s="65" t="n">
        <f aca="false">(AE109*AE107+AE110*AE24+AE111*AE108)/1000</f>
        <v>0.108664473278071</v>
      </c>
      <c r="AF112" s="65" t="n">
        <f aca="false">(AF109*AF107+AF110*AF24+AF111*AF108)/1000</f>
        <v>0.384270353798869</v>
      </c>
      <c r="AG112" s="65" t="n">
        <f aca="false">(AG109*AG107+AG110*AG24+AG111*AG108)/1000</f>
        <v>0.149129654486124</v>
      </c>
      <c r="AH112" s="65" t="n">
        <f aca="false">(AH109*AH107+AH110*AH24+AH111*AH108)/1000</f>
        <v>0.434851830308937</v>
      </c>
    </row>
    <row r="113" customFormat="false" ht="15" hidden="false" customHeight="false" outlineLevel="0" collapsed="false">
      <c r="A113" s="54" t="s">
        <v>769</v>
      </c>
      <c r="B113" s="54" t="s">
        <v>768</v>
      </c>
      <c r="C113" s="65" t="n">
        <f aca="false">C67*C107/1000</f>
        <v>0.00409757715802171</v>
      </c>
      <c r="D113" s="65" t="n">
        <f aca="false">D67*D107/1000</f>
        <v>0.00743634373122458</v>
      </c>
      <c r="E113" s="65" t="n">
        <f aca="false">E67*E107/1000</f>
        <v>0.00409757715802171</v>
      </c>
      <c r="F113" s="65" t="n">
        <f aca="false">F67*F107/1000</f>
        <v>0.00743634373122458</v>
      </c>
      <c r="G113" s="65" t="n">
        <f aca="false">G67*G107/1000</f>
        <v>0.00409757715802171</v>
      </c>
      <c r="H113" s="65" t="n">
        <f aca="false">H67*H107/1000</f>
        <v>0.00743634373122458</v>
      </c>
      <c r="I113" s="65" t="n">
        <f aca="false">I67*I107/1000</f>
        <v>0.00409757715802171</v>
      </c>
      <c r="J113" s="65" t="n">
        <f aca="false">J67*J107/1000</f>
        <v>0.00743634373122458</v>
      </c>
      <c r="K113" s="65" t="n">
        <f aca="false">K67*K107/1000</f>
        <v>0.00409757715802171</v>
      </c>
      <c r="L113" s="65" t="n">
        <f aca="false">L67*L107/1000</f>
        <v>0.00743634373122458</v>
      </c>
      <c r="M113" s="65" t="n">
        <f aca="false">M67*M107/1000</f>
        <v>0.00286830401061519</v>
      </c>
      <c r="N113" s="65" t="n">
        <f aca="false">N67*N107/1000</f>
        <v>0.00743634373122458</v>
      </c>
      <c r="O113" s="65" t="n">
        <f aca="false">O67*O107/1000</f>
        <v>0.00409757715802171</v>
      </c>
      <c r="P113" s="65" t="n">
        <f aca="false">P67*P107/1000</f>
        <v>0.00743634373122458</v>
      </c>
      <c r="Q113" s="65" t="n">
        <f aca="false">Q67*Q107/1000</f>
        <v>0.00409757715802171</v>
      </c>
      <c r="R113" s="65" t="n">
        <f aca="false">R67*R107/1000</f>
        <v>0.00743634373122458</v>
      </c>
      <c r="S113" s="65" t="n">
        <f aca="false">S67*S107/1000</f>
        <v>0.00409757715802171</v>
      </c>
      <c r="T113" s="65" t="n">
        <f aca="false">T67*T107/1000</f>
        <v>0.00743634373122458</v>
      </c>
      <c r="U113" s="65" t="n">
        <f aca="false">U67*U107/1000</f>
        <v>0.00409757715802171</v>
      </c>
      <c r="V113" s="65" t="n">
        <f aca="false">V67*V107/1000</f>
        <v>0.00743634373122458</v>
      </c>
      <c r="W113" s="65" t="n">
        <f aca="false">W67*W107/1000</f>
        <v>0.0035572832529566</v>
      </c>
      <c r="X113" s="65" t="n">
        <f aca="false">X67*X107/1000</f>
        <v>0.00645581034795827</v>
      </c>
      <c r="Y113" s="65" t="n">
        <f aca="false">Y67*Y107/1000</f>
        <v>0.00414570433736119</v>
      </c>
      <c r="Z113" s="65" t="n">
        <f aca="false">Z67*Z107/1000</f>
        <v>0.00752368564928512</v>
      </c>
      <c r="AA113" s="65" t="n">
        <f aca="false">AA67*AA107/1000</f>
        <v>0.00409757715802171</v>
      </c>
      <c r="AB113" s="65" t="n">
        <f aca="false">AB67*AB107/1000</f>
        <v>0.00743634373122458</v>
      </c>
      <c r="AC113" s="65" t="n">
        <f aca="false">AC67*AC107/1000</f>
        <v>0.0135935167926857</v>
      </c>
      <c r="AD113" s="65" t="n">
        <f aca="false">AD67*AD107/1000</f>
        <v>0.0246697156608</v>
      </c>
      <c r="AE113" s="65" t="n">
        <f aca="false">AE67*AE107/1000</f>
        <v>0.0135935167926857</v>
      </c>
      <c r="AF113" s="65" t="n">
        <f aca="false">AF67*AF107/1000</f>
        <v>0.0246697156608</v>
      </c>
      <c r="AG113" s="65" t="n">
        <f aca="false">AG67*AG107/1000</f>
        <v>0.0135935167926857</v>
      </c>
      <c r="AH113" s="65" t="n">
        <f aca="false">AH67*AH107/1000</f>
        <v>0.0246697156608</v>
      </c>
    </row>
    <row r="114" customFormat="false" ht="15" hidden="false" customHeight="false" outlineLevel="0" collapsed="false">
      <c r="A114" s="53" t="s">
        <v>770</v>
      </c>
      <c r="B114" s="54" t="s">
        <v>694</v>
      </c>
      <c r="C114" s="67" t="n">
        <f aca="false">(C97*C113+C96*C112)/1000</f>
        <v>9.50324638508435</v>
      </c>
      <c r="D114" s="67" t="n">
        <f aca="false">(D97*D113+D96*D112)/1000</f>
        <v>7.33728128497566</v>
      </c>
      <c r="E114" s="67" t="n">
        <f aca="false">(E97*E113+E96*E112)/1000</f>
        <v>6.29443574734431</v>
      </c>
      <c r="F114" s="67" t="n">
        <f aca="false">(F97*F113+F96*F112)/1000</f>
        <v>7.33728128497566</v>
      </c>
      <c r="G114" s="67" t="n">
        <f aca="false">(G97*G113+G96*G112)/1000</f>
        <v>11.8995124442051</v>
      </c>
      <c r="H114" s="67" t="n">
        <f aca="false">(H97*H113+H96*H112)/1000</f>
        <v>7.33728128497566</v>
      </c>
      <c r="I114" s="67" t="n">
        <f aca="false">(I97*I113+I96*I112)/1000</f>
        <v>10.1237748047105</v>
      </c>
      <c r="J114" s="67" t="n">
        <f aca="false">(J97*J113+J96*J112)/1000</f>
        <v>7.33728128497566</v>
      </c>
      <c r="K114" s="67" t="n">
        <f aca="false">(K97*K113+K96*K112)/1000</f>
        <v>8.36994607996352</v>
      </c>
      <c r="L114" s="67" t="n">
        <f aca="false">(L97*L113+L96*L112)/1000</f>
        <v>7.33728128497566</v>
      </c>
      <c r="M114" s="67" t="n">
        <f aca="false">(M97*M113+M96*M112)/1000</f>
        <v>9.56242757219873</v>
      </c>
      <c r="N114" s="67" t="n">
        <f aca="false">(N97*N113+N96*N112)/1000</f>
        <v>7.33728128497566</v>
      </c>
      <c r="O114" s="67" t="n">
        <f aca="false">(O97*O113+O96*O112)/1000</f>
        <v>9.98942019000766</v>
      </c>
      <c r="P114" s="67" t="n">
        <f aca="false">(P97*P113+P96*P112)/1000</f>
        <v>7.7280067311249</v>
      </c>
      <c r="Q114" s="67" t="n">
        <f aca="false">(Q97*Q113+Q96*Q112)/1000</f>
        <v>8.72973414175519</v>
      </c>
      <c r="R114" s="67" t="n">
        <f aca="false">(R97*R113+R96*R112)/1000</f>
        <v>6.68552634212737</v>
      </c>
      <c r="S114" s="67" t="n">
        <f aca="false">(S97*S113+S96*S112)/1000</f>
        <v>8.71645791703756</v>
      </c>
      <c r="T114" s="67" t="n">
        <f aca="false">(T97*T113+T96*T112)/1000</f>
        <v>6.77567388444752</v>
      </c>
      <c r="U114" s="67" t="n">
        <f aca="false">(U97*U113+U96*U112)/1000</f>
        <v>10.3404662825754</v>
      </c>
      <c r="V114" s="67" t="n">
        <f aca="false">(V97*V113+V96*V112)/1000</f>
        <v>7.95636854594372</v>
      </c>
      <c r="W114" s="67" t="n">
        <f aca="false">(W97*W113+W96*W112)/1000</f>
        <v>5.3496840894383</v>
      </c>
      <c r="X114" s="67" t="n">
        <f aca="false">(X97*X113+X96*X112)/1000</f>
        <v>4.54779380694189</v>
      </c>
      <c r="Y114" s="67" t="n">
        <f aca="false">(Y97*Y113+Y96*Y112)/1000</f>
        <v>16.0471322105446</v>
      </c>
      <c r="Z114" s="67" t="n">
        <f aca="false">(Z97*Z113+Z96*Z112)/1000</f>
        <v>12.1042761766842</v>
      </c>
      <c r="AA114" s="67" t="n">
        <f aca="false">(AA97*AA113+AA96*AA112)/1000</f>
        <v>6.37550722943314</v>
      </c>
      <c r="AB114" s="67" t="n">
        <f aca="false">(AB97*AB113+AB96*AB112)/1000</f>
        <v>5.10988154589834</v>
      </c>
      <c r="AC114" s="67" t="n">
        <f aca="false">(AC97*AC113+AC96*AC112)/1000</f>
        <v>9.15173267203967</v>
      </c>
      <c r="AD114" s="67" t="n">
        <f aca="false">(AD97*AD113+AD96*AD112)/1000</f>
        <v>7.15723850535634</v>
      </c>
      <c r="AE114" s="67" t="n">
        <f aca="false">(AE97*AE113+AE96*AE112)/1000</f>
        <v>9.67305562039299</v>
      </c>
      <c r="AF114" s="67" t="n">
        <f aca="false">(AF97*AF113+AF96*AF112)/1000</f>
        <v>7.34212898141256</v>
      </c>
      <c r="AG114" s="67" t="n">
        <f aca="false">(AG97*AG113+AG96*AG112)/1000</f>
        <v>11.4734201567483</v>
      </c>
      <c r="AH114" s="67" t="n">
        <f aca="false">(AH97*AH113+AH96*AH112)/1000</f>
        <v>7.98063963445955</v>
      </c>
    </row>
    <row r="115" customFormat="false" ht="15" hidden="false" customHeight="false" outlineLevel="0" collapsed="false">
      <c r="A115" s="53" t="s">
        <v>771</v>
      </c>
      <c r="B115" s="54" t="s">
        <v>694</v>
      </c>
      <c r="C115" s="91" t="n">
        <f aca="false">C26*Inputs!$E$10</f>
        <v>181.6</v>
      </c>
      <c r="D115" s="91" t="n">
        <f aca="false">D26*Inputs!$E$10</f>
        <v>108.8</v>
      </c>
      <c r="E115" s="91" t="n">
        <f aca="false">E26*Inputs!$E$10</f>
        <v>181.6</v>
      </c>
      <c r="F115" s="91" t="n">
        <f aca="false">F26*Inputs!$E$10</f>
        <v>108.8</v>
      </c>
      <c r="G115" s="91" t="n">
        <f aca="false">G26*Inputs!$E$10</f>
        <v>181.6</v>
      </c>
      <c r="H115" s="91" t="n">
        <f aca="false">H26*Inputs!$E$10</f>
        <v>108.8</v>
      </c>
      <c r="I115" s="91" t="n">
        <f aca="false">I26*Inputs!$E$10</f>
        <v>181.6</v>
      </c>
      <c r="J115" s="91" t="n">
        <f aca="false">J26*Inputs!$E$10</f>
        <v>108.8</v>
      </c>
      <c r="K115" s="91" t="n">
        <f aca="false">K26*Inputs!$E$10</f>
        <v>181.6</v>
      </c>
      <c r="L115" s="91" t="n">
        <f aca="false">L26*Inputs!$E$10</f>
        <v>108.8</v>
      </c>
      <c r="M115" s="91" t="n">
        <f aca="false">M26*Inputs!$E$10</f>
        <v>181.6</v>
      </c>
      <c r="N115" s="91" t="n">
        <f aca="false">N26*Inputs!$E$10</f>
        <v>108.8</v>
      </c>
      <c r="O115" s="91" t="n">
        <f aca="false">O26*Inputs!$E$10</f>
        <v>181.6</v>
      </c>
      <c r="P115" s="91" t="n">
        <f aca="false">P26*Inputs!$E$10</f>
        <v>108.8</v>
      </c>
      <c r="Q115" s="91" t="n">
        <f aca="false">Q26*Inputs!$E$10</f>
        <v>181.6</v>
      </c>
      <c r="R115" s="91" t="n">
        <f aca="false">R26*Inputs!$E$10</f>
        <v>108.8</v>
      </c>
      <c r="S115" s="91" t="n">
        <f aca="false">S26*Inputs!$E$10</f>
        <v>181.6</v>
      </c>
      <c r="T115" s="91" t="n">
        <f aca="false">T26*Inputs!$E$10</f>
        <v>108.8</v>
      </c>
      <c r="U115" s="91" t="n">
        <f aca="false">U26*Inputs!$E$10</f>
        <v>181.6</v>
      </c>
      <c r="V115" s="91" t="n">
        <f aca="false">V26*Inputs!$E$10</f>
        <v>108.8</v>
      </c>
      <c r="W115" s="91" t="n">
        <f aca="false">W26*Inputs!$E$10</f>
        <v>181.6</v>
      </c>
      <c r="X115" s="91" t="n">
        <f aca="false">X26*Inputs!$E$10</f>
        <v>108.8</v>
      </c>
      <c r="Y115" s="91" t="n">
        <f aca="false">Y26*Inputs!$E$10</f>
        <v>181.6</v>
      </c>
      <c r="Z115" s="91" t="n">
        <f aca="false">Z26*Inputs!$E$10</f>
        <v>108.8</v>
      </c>
      <c r="AA115" s="91" t="n">
        <f aca="false">AA26*Inputs!$E$10</f>
        <v>181.6</v>
      </c>
      <c r="AB115" s="91" t="n">
        <f aca="false">AB26*Inputs!$E$10</f>
        <v>108.8</v>
      </c>
      <c r="AC115" s="91" t="n">
        <f aca="false">AC26*Inputs!$E$10</f>
        <v>181.6</v>
      </c>
      <c r="AD115" s="91" t="n">
        <f aca="false">AD26*Inputs!$E$10</f>
        <v>108.8</v>
      </c>
      <c r="AE115" s="91" t="n">
        <f aca="false">AE26*Inputs!$E$10</f>
        <v>181.6</v>
      </c>
      <c r="AF115" s="91" t="n">
        <f aca="false">AF26*Inputs!$E$10</f>
        <v>108.8</v>
      </c>
      <c r="AG115" s="91" t="n">
        <f aca="false">AG26*Inputs!$E$10</f>
        <v>181.6</v>
      </c>
      <c r="AH115" s="91" t="n">
        <f aca="false">AH26*Inputs!$E$10</f>
        <v>108.8</v>
      </c>
    </row>
    <row r="116" customFormat="false" ht="15" hidden="false" customHeight="false" outlineLevel="0" collapsed="false">
      <c r="A116" s="53" t="s">
        <v>772</v>
      </c>
      <c r="B116" s="54" t="s">
        <v>71</v>
      </c>
      <c r="C116" s="111" t="n">
        <f aca="false">IF(C115&gt;0,C114/C115,0)</f>
        <v>0.0523306519002442</v>
      </c>
      <c r="D116" s="111" t="n">
        <f aca="false">IF(D115&gt;0,D114/D115,0)</f>
        <v>0.0674382471045557</v>
      </c>
      <c r="E116" s="111" t="n">
        <f aca="false">IF(E115&gt;0,E114/E115,0)</f>
        <v>0.0346609897981515</v>
      </c>
      <c r="F116" s="111" t="n">
        <f aca="false">IF(F115&gt;0,F114/F115,0)</f>
        <v>0.0674382471045557</v>
      </c>
      <c r="G116" s="111" t="n">
        <f aca="false">IF(G115&gt;0,G114/G115,0)</f>
        <v>0.0655259495826273</v>
      </c>
      <c r="H116" s="111" t="n">
        <f aca="false">IF(H115&gt;0,H114/H115,0)</f>
        <v>0.0674382471045557</v>
      </c>
      <c r="I116" s="111" t="n">
        <f aca="false">IF(I115&gt;0,I114/I115,0)</f>
        <v>0.055747658616247</v>
      </c>
      <c r="J116" s="111" t="n">
        <f aca="false">IF(J115&gt;0,J114/J115,0)</f>
        <v>0.0674382471045557</v>
      </c>
      <c r="K116" s="111" t="n">
        <f aca="false">IF(K115&gt;0,K114/K115,0)</f>
        <v>0.0460900114535436</v>
      </c>
      <c r="L116" s="111" t="n">
        <f aca="false">IF(L115&gt;0,L114/L115,0)</f>
        <v>0.0674382471045557</v>
      </c>
      <c r="M116" s="111" t="n">
        <f aca="false">IF(M115&gt;0,M114/M115,0)</f>
        <v>0.0526565394944864</v>
      </c>
      <c r="N116" s="111" t="n">
        <f aca="false">IF(N115&gt;0,N114/N115,0)</f>
        <v>0.0674382471045557</v>
      </c>
      <c r="O116" s="111" t="n">
        <f aca="false">IF(O115&gt;0,O114/O115,0)</f>
        <v>0.0550078204295576</v>
      </c>
      <c r="P116" s="111" t="n">
        <f aca="false">IF(P115&gt;0,P114/P115,0)</f>
        <v>0.0710294736316627</v>
      </c>
      <c r="Q116" s="111" t="n">
        <f aca="false">IF(Q115&gt;0,Q114/Q115,0)</f>
        <v>0.0480712232475506</v>
      </c>
      <c r="R116" s="111" t="n">
        <f aca="false">IF(R115&gt;0,R114/R115,0)</f>
        <v>0.0614478524092589</v>
      </c>
      <c r="S116" s="111" t="n">
        <f aca="false">IF(S115&gt;0,S114/S115,0)</f>
        <v>0.0479981162832465</v>
      </c>
      <c r="T116" s="111" t="n">
        <f aca="false">IF(T115&gt;0,T114/T115,0)</f>
        <v>0.0622764143791132</v>
      </c>
      <c r="U116" s="111" t="n">
        <f aca="false">IF(U115&gt;0,U114/U115,0)</f>
        <v>0.0569408936265166</v>
      </c>
      <c r="V116" s="111" t="n">
        <f aca="false">IF(V115&gt;0,V114/V115,0)</f>
        <v>0.0731283873708063</v>
      </c>
      <c r="W116" s="111" t="n">
        <f aca="false">IF(W115&gt;0,W114/W115,0)</f>
        <v>0.0294586128273034</v>
      </c>
      <c r="X116" s="111" t="n">
        <f aca="false">IF(X115&gt;0,X114/X115,0)</f>
        <v>0.0417995754314512</v>
      </c>
      <c r="Y116" s="111" t="n">
        <f aca="false">IF(Y115&gt;0,Y114/Y115,0)</f>
        <v>0.0883652654765674</v>
      </c>
      <c r="Z116" s="111" t="n">
        <f aca="false">IF(Z115&gt;0,Z114/Z115,0)</f>
        <v>0.111252538388641</v>
      </c>
      <c r="AA116" s="111" t="n">
        <f aca="false">IF(AA115&gt;0,AA114/AA115,0)</f>
        <v>0.0351074186642794</v>
      </c>
      <c r="AB116" s="111" t="n">
        <f aca="false">IF(AB115&gt;0,AB114/AB115,0)</f>
        <v>0.0469658230321538</v>
      </c>
      <c r="AC116" s="111" t="n">
        <f aca="false">IF(AC115&gt;0,AC114/AC115,0)</f>
        <v>0.050395003700659</v>
      </c>
      <c r="AD116" s="111" t="n">
        <f aca="false">IF(AD115&gt;0,AD114/AD115,0)</f>
        <v>0.0657834421448193</v>
      </c>
      <c r="AE116" s="111" t="n">
        <f aca="false">IF(AE115&gt;0,AE114/AE115,0)</f>
        <v>0.0532657247818997</v>
      </c>
      <c r="AF116" s="111" t="n">
        <f aca="false">IF(AF115&gt;0,AF114/AF115,0)</f>
        <v>0.067482803137983</v>
      </c>
      <c r="AG116" s="111" t="n">
        <f aca="false">IF(AG115&gt;0,AG114/AG115,0)</f>
        <v>0.0631796264138123</v>
      </c>
      <c r="AH116" s="111" t="n">
        <f aca="false">IF(AH115&gt;0,AH114/AH115,0)</f>
        <v>0.0733514672284885</v>
      </c>
    </row>
    <row r="117" customFormat="false" ht="15" hidden="false" customHeight="false" outlineLevel="0" collapsed="false">
      <c r="A117" s="54" t="s">
        <v>773</v>
      </c>
      <c r="B117" s="54" t="s">
        <v>774</v>
      </c>
      <c r="C117" s="112" t="n">
        <f aca="false">C95/(C115*1000)</f>
        <v>10.2254558466635</v>
      </c>
      <c r="D117" s="112" t="n">
        <f aca="false">D95/(D115*1000)</f>
        <v>6.5319368821654</v>
      </c>
      <c r="E117" s="112" t="n">
        <f aca="false">E95/(E115*1000)</f>
        <v>5.97955974700307</v>
      </c>
      <c r="F117" s="112" t="n">
        <f aca="false">F95/(F115*1000)</f>
        <v>6.5319368821654</v>
      </c>
      <c r="G117" s="112" t="n">
        <f aca="false">G95/(G115*1000)</f>
        <v>13.3961935008292</v>
      </c>
      <c r="H117" s="112" t="n">
        <f aca="false">H95/(H115*1000)</f>
        <v>6.5319368821654</v>
      </c>
      <c r="I117" s="112" t="n">
        <f aca="false">I95/(I115*1000)</f>
        <v>11.0465386384093</v>
      </c>
      <c r="J117" s="112" t="n">
        <f aca="false">J95/(J115*1000)</f>
        <v>6.5319368821654</v>
      </c>
      <c r="K117" s="112" t="n">
        <f aca="false">K95/(K115*1000)</f>
        <v>8.72587363739812</v>
      </c>
      <c r="L117" s="112" t="n">
        <f aca="false">L95/(L115*1000)</f>
        <v>6.5319368821654</v>
      </c>
      <c r="M117" s="112" t="n">
        <f aca="false">M95/(M115*1000)</f>
        <v>14.6077940666622</v>
      </c>
      <c r="N117" s="112" t="n">
        <f aca="false">N95/(N115*1000)</f>
        <v>6.5319368821654</v>
      </c>
      <c r="O117" s="112" t="n">
        <f aca="false">O95/(O115*1000)</f>
        <v>11.4782483386606</v>
      </c>
      <c r="P117" s="112" t="n">
        <f aca="false">P95/(P115*1000)</f>
        <v>7.78387754358353</v>
      </c>
      <c r="Q117" s="112" t="n">
        <f aca="false">Q95/(Q115*1000)</f>
        <v>8.2322379457866</v>
      </c>
      <c r="R117" s="112" t="n">
        <f aca="false">R95/(R115*1000)</f>
        <v>4.44362007998722</v>
      </c>
      <c r="S117" s="112" t="n">
        <f aca="false">S95/(S115*1000)</f>
        <v>8.62243639507889</v>
      </c>
      <c r="T117" s="112" t="n">
        <f aca="false">T95/(T115*1000)</f>
        <v>5.27934470861231</v>
      </c>
      <c r="U117" s="112" t="n">
        <f aca="false">U95/(U115*1000)</f>
        <v>11.8770690260984</v>
      </c>
      <c r="V117" s="112" t="n">
        <f aca="false">V95/(V115*1000)</f>
        <v>7.81519290978012</v>
      </c>
      <c r="W117" s="112" t="n">
        <f aca="false">W95/(W115*1000)</f>
        <v>4.43327030603584</v>
      </c>
      <c r="X117" s="112" t="n">
        <f aca="false">X95/(X115*1000)</f>
        <v>2.7458327317775</v>
      </c>
      <c r="Y117" s="112" t="n">
        <f aca="false">Y95/(Y115*1000)</f>
        <v>19.7330966866484</v>
      </c>
      <c r="Z117" s="112" t="n">
        <f aca="false">Z95/(Z115*1000)</f>
        <v>13.2599852270835</v>
      </c>
      <c r="AA117" s="112" t="n">
        <f aca="false">AA95/(AA115*1000)</f>
        <v>6.26570122094223</v>
      </c>
      <c r="AB117" s="112" t="n">
        <f aca="false">AB95/(AB115*1000)</f>
        <v>3.87565942521425</v>
      </c>
      <c r="AC117" s="112" t="n">
        <f aca="false">AC95/(AC115*1000)</f>
        <v>2.20498492836244</v>
      </c>
      <c r="AD117" s="112" t="n">
        <f aca="false">AD95/(AD115*1000)</f>
        <v>1.0442157971414</v>
      </c>
      <c r="AE117" s="112" t="n">
        <f aca="false">AE95/(AE115*1000)</f>
        <v>2.20498492836244</v>
      </c>
      <c r="AF117" s="112" t="n">
        <f aca="false">AF95/(AF115*1000)</f>
        <v>1.0442157971414</v>
      </c>
      <c r="AG117" s="112" t="n">
        <f aca="false">AG95/(AG115*1000)</f>
        <v>2.20498492836244</v>
      </c>
      <c r="AH117" s="112" t="n">
        <f aca="false">AH95/(AH115*1000)</f>
        <v>1.0442157971414</v>
      </c>
    </row>
    <row r="118" customFormat="false" ht="15" hidden="false" customHeight="false" outlineLevel="0" collapsed="false">
      <c r="A118" s="53" t="s">
        <v>775</v>
      </c>
      <c r="B118" s="54" t="s">
        <v>768</v>
      </c>
      <c r="C118" s="107" t="n">
        <f aca="false">IF(C96&gt;0,C115*1000*(1-C94)/C96,0)</f>
        <v>0.624971170995125</v>
      </c>
      <c r="D118" s="107" t="n">
        <f aca="false">IF(D96&gt;0,D115*1000*(1-D94)/D96,0)</f>
        <v>1.02111086940665</v>
      </c>
      <c r="E118" s="107" t="n">
        <f aca="false">IF(E96&gt;0,E115*1000*(1-E94)/E96,0)</f>
        <v>1.24994234199025</v>
      </c>
      <c r="F118" s="107" t="n">
        <f aca="false">IF(F96&gt;0,F115*1000*(1-F94)/F96,0)</f>
        <v>1.02111086940665</v>
      </c>
      <c r="G118" s="107" t="n">
        <f aca="false">IF(G96&gt;0,G115*1000*(1-G94)/G96,0)</f>
        <v>0.416647447330083</v>
      </c>
      <c r="H118" s="107" t="n">
        <f aca="false">IF(H96&gt;0,H115*1000*(1-H94)/H96,0)</f>
        <v>1.02111086940665</v>
      </c>
      <c r="I118" s="107" t="n">
        <f aca="false">IF(I96&gt;0,I115*1000*(1-I94)/I96,0)</f>
        <v>0.559549660682171</v>
      </c>
      <c r="J118" s="107" t="n">
        <f aca="false">IF(J96&gt;0,J115*1000*(1-J94)/J96,0)</f>
        <v>1.02111086940665</v>
      </c>
      <c r="K118" s="107" t="n">
        <f aca="false">IF(K96&gt;0,K115*1000*(1-K94)/K96,0)</f>
        <v>0.776230159385821</v>
      </c>
      <c r="L118" s="107" t="n">
        <f aca="false">IF(L96&gt;0,L115*1000*(1-L94)/L96,0)</f>
        <v>1.02111086940665</v>
      </c>
      <c r="M118" s="107" t="n">
        <f aca="false">IF(M96&gt;0,M115*1000*(1-M94)/M96,0)</f>
        <v>0.437479819696587</v>
      </c>
      <c r="N118" s="107" t="n">
        <f aca="false">IF(N96&gt;0,N115*1000*(1-N94)/N96,0)</f>
        <v>1.02111086940665</v>
      </c>
      <c r="O118" s="107" t="n">
        <f aca="false">IF(O96&gt;0,O115*1000*(1-O94)/O96,0)</f>
        <v>0.528906575824846</v>
      </c>
      <c r="P118" s="107" t="n">
        <f aca="false">IF(P96&gt;0,P115*1000*(1-P94)/P96,0)</f>
        <v>0.799501417339934</v>
      </c>
      <c r="Q118" s="107" t="n">
        <f aca="false">IF(Q96&gt;0,Q115*1000*(1-Q94)/Q96,0)</f>
        <v>0.838077670636463</v>
      </c>
      <c r="R118" s="107" t="n">
        <f aca="false">IF(R96&gt;0,R115*1000*(1-R94)/R96,0)</f>
        <v>1.66864101555202</v>
      </c>
      <c r="S118" s="107" t="n">
        <f aca="false">IF(S96&gt;0,S115*1000*(1-S94)/S96,0)</f>
        <v>0.788603316398735</v>
      </c>
      <c r="T118" s="107" t="n">
        <f aca="false">IF(T96&gt;0,T115*1000*(1-T94)/T96,0)</f>
        <v>1.34802237371739</v>
      </c>
      <c r="U118" s="107" t="n">
        <f aca="false">IF(U96&gt;0,U115*1000*(1-U94)/U96,0)</f>
        <v>0.502577519718467</v>
      </c>
      <c r="V118" s="107" t="n">
        <f aca="false">IF(V96&gt;0,V115*1000*(1-V94)/V96,0)</f>
        <v>0.79486839593678</v>
      </c>
      <c r="W118" s="107" t="n">
        <f aca="false">IF(W96&gt;0,W115*1000*(1-W94)/W96,0)</f>
        <v>0.621317035751665</v>
      </c>
      <c r="X118" s="107" t="n">
        <f aca="false">IF(X96&gt;0,X115*1000*(1-X94)/X96,0)</f>
        <v>1.01514055047268</v>
      </c>
      <c r="Y118" s="107" t="n">
        <f aca="false">IF(Y96&gt;0,Y115*1000*(1-Y94)/Y96,0)</f>
        <v>0.639587711968964</v>
      </c>
      <c r="Z118" s="107" t="n">
        <f aca="false">IF(Z96&gt;0,Z115*1000*(1-Z94)/Z96,0)</f>
        <v>1.04499214514254</v>
      </c>
      <c r="AA118" s="107" t="n">
        <f aca="false">IF(AA96&gt;0,AA115*1000*(1-AA94)/AA96,0)</f>
        <v>1.07184123356336</v>
      </c>
      <c r="AB118" s="107" t="n">
        <f aca="false">IF(AB96&gt;0,AB115*1000*(1-AB94)/AB96,0)</f>
        <v>1.81256453301635</v>
      </c>
      <c r="AC118" s="107" t="n">
        <f aca="false">IF(AC96&gt;0,AC115*1000*(1-AC94)/AC96,0)</f>
        <v>3.2350958574337</v>
      </c>
      <c r="AD118" s="107" t="n">
        <f aca="false">IF(AD96&gt;0,AD115*1000*(1-AD94)/AD96,0)</f>
        <v>7.43545790299751</v>
      </c>
      <c r="AE118" s="107" t="n">
        <f aca="false">IF(AE96&gt;0,AE115*1000*(1-AE94)/AE96,0)</f>
        <v>3.2350958574337</v>
      </c>
      <c r="AF118" s="107" t="n">
        <f aca="false">IF(AF96&gt;0,AF115*1000*(1-AF94)/AF96,0)</f>
        <v>7.43545790299751</v>
      </c>
      <c r="AG118" s="107" t="n">
        <f aca="false">IF(AG96&gt;0,AG115*1000*(1-AG94)/AG96,0)</f>
        <v>3.2350958574337</v>
      </c>
      <c r="AH118" s="107" t="n">
        <f aca="false">IF(AH96&gt;0,AH115*1000*(1-AH94)/AH96,0)</f>
        <v>7.43545790299751</v>
      </c>
    </row>
    <row r="119" customFormat="false" ht="15" hidden="false" customHeight="false" outlineLevel="0" collapsed="false">
      <c r="A119" s="68" t="s">
        <v>796</v>
      </c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</row>
    <row r="120" customFormat="false" ht="15" hidden="false" customHeight="false" outlineLevel="0" collapsed="false">
      <c r="A120" s="54" t="s">
        <v>797</v>
      </c>
      <c r="B120" s="54" t="s">
        <v>75</v>
      </c>
      <c r="C120" s="97" t="n">
        <f aca="false">IF(D98&gt;0,C98/D98,0)</f>
        <v>1.56528522129431</v>
      </c>
      <c r="E120" s="97" t="n">
        <f aca="false">IF(F98&gt;0,E98/F98,0)</f>
        <v>0.915334889924169</v>
      </c>
      <c r="G120" s="97" t="n">
        <f aca="false">IF(H98&gt;0,G98/H98,0)</f>
        <v>2.0506531956019</v>
      </c>
      <c r="I120" s="97" t="n">
        <f aca="false">IF(J98&gt;0,I98/J98,0)</f>
        <v>1.69097436206723</v>
      </c>
      <c r="K120" s="97" t="n">
        <f aca="false">IF(L98&gt;0,K98/L98,0)</f>
        <v>1.33573321838336</v>
      </c>
      <c r="M120" s="97" t="n">
        <f aca="false">IF(N98&gt;0,M98/N98,0)</f>
        <v>2.23612174470615</v>
      </c>
      <c r="O120" s="97" t="n">
        <f aca="false">IF(P98&gt;0,O98/P98,0)</f>
        <v>1.47445800740157</v>
      </c>
      <c r="Q120" s="97" t="n">
        <f aca="false">IF(R98&gt;0,Q98/R98,0)</f>
        <v>1.85239577096268</v>
      </c>
      <c r="S120" s="97" t="n">
        <f aca="false">IF(T98&gt;0,S98/T98,0)</f>
        <v>1.63306234992762</v>
      </c>
      <c r="U120" s="97" t="n">
        <f aca="false">IF(V98&gt;0,U98/V98,0)</f>
        <v>1.51957578561464</v>
      </c>
      <c r="W120" s="97" t="n">
        <f aca="false">IF(X98&gt;0,W98/X98,0)</f>
        <v>1.61436941414528</v>
      </c>
      <c r="Y120" s="97" t="n">
        <f aca="false">IF(Z98&gt;0,Y98/Z98,0)</f>
        <v>1.48800705453992</v>
      </c>
      <c r="AA120" s="97" t="n">
        <f aca="false">IF(AB98&gt;0,AA98/AB98,0)</f>
        <v>1.61650429205125</v>
      </c>
      <c r="AC120" s="97" t="n">
        <f aca="false">IF(AD98&gt;0,AC98/AD98,0)</f>
        <v>2.11138850524128</v>
      </c>
      <c r="AE120" s="97" t="n">
        <f aca="false">IF(AF98&gt;0,AE98/AF98,0)</f>
        <v>2.11138850524128</v>
      </c>
      <c r="AG120" s="97" t="n">
        <f aca="false">IF(AH98&gt;0,AG98/AH98,0)</f>
        <v>2.11138850524128</v>
      </c>
    </row>
    <row r="121" customFormat="false" ht="15" hidden="false" customHeight="false" outlineLevel="0" collapsed="false">
      <c r="A121" s="54" t="s">
        <v>798</v>
      </c>
      <c r="B121" s="54" t="s">
        <v>75</v>
      </c>
      <c r="C121" s="97" t="n">
        <f aca="false">IF(AND(D105&gt;0,C105&gt;0),C105/D105,0)</f>
        <v>0.613909623905938</v>
      </c>
      <c r="E121" s="97" t="n">
        <f aca="false">IF(AND(F105&gt;0,E105&gt;0),E105/F105,0)</f>
        <v>1.22781924781188</v>
      </c>
      <c r="G121" s="97" t="n">
        <f aca="false">IF(AND(H105&gt;0,G105&gt;0),G105/H105,0)</f>
        <v>0.409273082603958</v>
      </c>
      <c r="I121" s="97" t="n">
        <f aca="false">IF(AND(J105&gt;0,I105&gt;0),I105/J105,0)</f>
        <v>0.549646027990571</v>
      </c>
      <c r="K121" s="97" t="n">
        <f aca="false">IF(AND(L105&gt;0,K105&gt;0),K105/L105,0)</f>
        <v>0.762491435331683</v>
      </c>
      <c r="M121" s="97" t="n">
        <f aca="false">IF(AND(N105&gt;0,M105&gt;0),M105/N105,0)</f>
        <v>0.429736736734156</v>
      </c>
      <c r="O121" s="97" t="n">
        <f aca="false">IF(AND(P105&gt;0,O105&gt;0),O105/P105,0)</f>
        <v>0.663555242793118</v>
      </c>
      <c r="Q121" s="97" t="n">
        <f aca="false">IF(AND(R105&gt;0,Q105&gt;0),Q105/R105,0)</f>
        <v>0.503777435821225</v>
      </c>
      <c r="S121" s="97" t="n">
        <f aca="false">IF(AND(T105&gt;0,S105&gt;0),S105/T105,0)</f>
        <v>0.586784799473252</v>
      </c>
      <c r="U121" s="97" t="n">
        <f aca="false">IF(AND(V105&gt;0,U105&gt;0),U105/V105,0)</f>
        <v>0.634198463206834</v>
      </c>
      <c r="W121" s="97" t="n">
        <f aca="false">IF(AND(X105&gt;0,W105&gt;0),W105/X105,0)</f>
        <v>0.613909623905938</v>
      </c>
      <c r="Y121" s="97" t="n">
        <f aca="false">IF(AND(Z105&gt;0,Y105&gt;0),Y105/Z105,0)</f>
        <v>0.613909623905938</v>
      </c>
      <c r="AA121" s="97" t="n">
        <f aca="false">IF(AND(AB105&gt;0,AA105&gt;0),AA105/AB105,0)</f>
        <v>0.593136074803062</v>
      </c>
      <c r="AC121" s="97" t="n">
        <f aca="false">IF(AND(AD105&gt;0,AC105&gt;0),AC105/AD105,0)</f>
        <v>0.4364121073974</v>
      </c>
      <c r="AE121" s="97" t="n">
        <f aca="false">IF(AND(AF105&gt;0,AE105&gt;0),AE105/AF105,0)</f>
        <v>0.4364121073974</v>
      </c>
      <c r="AG121" s="97" t="n">
        <f aca="false">IF(AND(AH105&gt;0,AG105&gt;0),AG105/AH105,0)</f>
        <v>0.4364121073974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</cols>
  <sheetData>
    <row r="1" customFormat="false" ht="17.15" hidden="false" customHeight="false" outlineLevel="0" collapsed="false">
      <c r="A1" s="49" t="s">
        <v>799</v>
      </c>
    </row>
    <row r="2" customFormat="false" ht="15" hidden="false" customHeight="false" outlineLevel="0" collapsed="false">
      <c r="A2" s="66" t="s">
        <v>800</v>
      </c>
    </row>
    <row r="4" customFormat="false" ht="15" hidden="false" customHeight="false" outlineLevel="0" collapsed="false">
      <c r="A4" s="51" t="s">
        <v>136</v>
      </c>
      <c r="C4" s="74" t="str">
        <f aca="false">DC_Cost!C4</f>
        <v>Hopper H100</v>
      </c>
      <c r="D4" s="74" t="str">
        <f aca="false">DC_Cost!D4</f>
        <v>Hopper H100</v>
      </c>
      <c r="E4" s="74" t="str">
        <f aca="false">DC_Cost!E4</f>
        <v>Hopper H100</v>
      </c>
      <c r="F4" s="74" t="str">
        <f aca="false">DC_Cost!F4</f>
        <v>GB200 NVL72</v>
      </c>
      <c r="G4" s="74" t="str">
        <f aca="false">DC_Cost!G4</f>
        <v>GB200 NVL72</v>
      </c>
      <c r="H4" s="74" t="str">
        <f aca="false">DC_Cost!H4</f>
        <v>GB200 NVL72</v>
      </c>
      <c r="I4" s="74" t="str">
        <f aca="false">DC_Cost!I4</f>
        <v>GB300 NVL72</v>
      </c>
      <c r="J4" s="74" t="str">
        <f aca="false">DC_Cost!J4</f>
        <v>GB300 NVL72</v>
      </c>
      <c r="K4" s="74" t="str">
        <f aca="false">DC_Cost!K4</f>
        <v>GB300 NVL72</v>
      </c>
      <c r="L4" s="74" t="str">
        <f aca="false">DC_Cost!L4</f>
        <v>VR200 NVL72</v>
      </c>
      <c r="M4" s="74" t="str">
        <f aca="false">DC_Cost!M4</f>
        <v>VR200 NVL72</v>
      </c>
      <c r="N4" s="74" t="str">
        <f aca="false">DC_Cost!N4</f>
        <v>VR200 NVL72</v>
      </c>
      <c r="O4" s="74" t="str">
        <f aca="false">DC_Cost!O4</f>
        <v>Rubin Ultra（MGX NVL 單架，72 GPU）</v>
      </c>
      <c r="P4" s="74" t="str">
        <f aca="false">DC_Cost!P4</f>
        <v>Rubin Ultra（MGX NVL 單架，72 GPU）</v>
      </c>
      <c r="Q4" s="74" t="str">
        <f aca="false">DC_Cost!Q4</f>
        <v>Rubin Ultra（MGX NVL 單架，72 GPU）</v>
      </c>
    </row>
    <row r="5" customFormat="false" ht="15" hidden="false" customHeight="false" outlineLevel="0" collapsed="false">
      <c r="A5" s="51" t="s">
        <v>28</v>
      </c>
      <c r="C5" s="74" t="str">
        <f aca="false">DC_Cost!C5</f>
        <v>低成本</v>
      </c>
      <c r="D5" s="74" t="str">
        <f aca="false">DC_Cost!D5</f>
        <v>基準</v>
      </c>
      <c r="E5" s="74" t="str">
        <f aca="false">DC_Cost!E5</f>
        <v>高成本</v>
      </c>
      <c r="F5" s="74" t="str">
        <f aca="false">DC_Cost!F5</f>
        <v>低成本</v>
      </c>
      <c r="G5" s="74" t="str">
        <f aca="false">DC_Cost!G5</f>
        <v>基準</v>
      </c>
      <c r="H5" s="74" t="str">
        <f aca="false">DC_Cost!H5</f>
        <v>高成本</v>
      </c>
      <c r="I5" s="74" t="str">
        <f aca="false">DC_Cost!I5</f>
        <v>低成本</v>
      </c>
      <c r="J5" s="74" t="str">
        <f aca="false">DC_Cost!J5</f>
        <v>基準</v>
      </c>
      <c r="K5" s="74" t="str">
        <f aca="false">DC_Cost!K5</f>
        <v>高成本</v>
      </c>
      <c r="L5" s="74" t="str">
        <f aca="false">DC_Cost!L5</f>
        <v>低成本</v>
      </c>
      <c r="M5" s="74" t="str">
        <f aca="false">DC_Cost!M5</f>
        <v>基準</v>
      </c>
      <c r="N5" s="74" t="str">
        <f aca="false">DC_Cost!N5</f>
        <v>高成本</v>
      </c>
      <c r="O5" s="74" t="str">
        <f aca="false">DC_Cost!O5</f>
        <v>低成本</v>
      </c>
      <c r="P5" s="74" t="str">
        <f aca="false">DC_Cost!P5</f>
        <v>基準</v>
      </c>
      <c r="Q5" s="74" t="str">
        <f aca="false">DC_Cost!Q5</f>
        <v>高成本</v>
      </c>
    </row>
    <row r="6" customFormat="false" ht="15" hidden="false" customHeight="false" outlineLevel="0" collapsed="false">
      <c r="A6" s="51" t="s">
        <v>407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</row>
    <row r="7" customFormat="false" ht="15" hidden="false" customHeight="false" outlineLevel="0" collapsed="false">
      <c r="A7" s="61" t="s">
        <v>801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</row>
    <row r="8" customFormat="false" ht="15" hidden="false" customHeight="false" outlineLevel="0" collapsed="false">
      <c r="A8" s="53" t="s">
        <v>802</v>
      </c>
      <c r="B8" s="54" t="s">
        <v>803</v>
      </c>
      <c r="C8" s="88" t="n">
        <f aca="false">DC_Cost!C58</f>
        <v>1.11286669150028</v>
      </c>
      <c r="D8" s="88" t="n">
        <f aca="false">DC_Cost!D58</f>
        <v>1.60502925637165</v>
      </c>
      <c r="E8" s="88" t="n">
        <f aca="false">DC_Cost!E58</f>
        <v>2.76720095633376</v>
      </c>
      <c r="F8" s="88" t="n">
        <f aca="false">DC_Cost!F58</f>
        <v>1.55003663914234</v>
      </c>
      <c r="G8" s="88" t="n">
        <f aca="false">DC_Cost!G58</f>
        <v>2.08645378736555</v>
      </c>
      <c r="H8" s="88" t="n">
        <f aca="false">DC_Cost!H58</f>
        <v>3.39439662035368</v>
      </c>
      <c r="I8" s="88" t="n">
        <f aca="false">DC_Cost!I58</f>
        <v>2.04104144426194</v>
      </c>
      <c r="J8" s="88" t="n">
        <f aca="false">DC_Cost!J58</f>
        <v>2.98269559427618</v>
      </c>
      <c r="K8" s="88" t="n">
        <f aca="false">DC_Cost!K58</f>
        <v>5.59559440727497</v>
      </c>
      <c r="L8" s="88" t="n">
        <f aca="false">DC_Cost!L58</f>
        <v>3.84895231682799</v>
      </c>
      <c r="M8" s="88" t="n">
        <f aca="false">DC_Cost!M58</f>
        <v>4.99359409623699</v>
      </c>
      <c r="N8" s="88" t="n">
        <f aca="false">DC_Cost!N58</f>
        <v>8.09104040200768</v>
      </c>
      <c r="O8" s="88" t="n">
        <f aca="false">DC_Cost!O58</f>
        <v>6.12640309057557</v>
      </c>
      <c r="P8" s="88" t="n">
        <f aca="false">DC_Cost!P58</f>
        <v>9.41883786448199</v>
      </c>
      <c r="Q8" s="88" t="n">
        <f aca="false">DC_Cost!Q58</f>
        <v>17.2643200828347</v>
      </c>
    </row>
    <row r="9" customFormat="false" ht="15" hidden="false" customHeight="false" outlineLevel="0" collapsed="false">
      <c r="A9" s="53" t="s">
        <v>804</v>
      </c>
      <c r="B9" s="54" t="s">
        <v>803</v>
      </c>
      <c r="C9" s="88" t="n">
        <f aca="false">DC_Cost!C57</f>
        <v>0.858328487231628</v>
      </c>
      <c r="D9" s="88" t="n">
        <f aca="false">DC_Cost!D57</f>
        <v>1.19184547960247</v>
      </c>
      <c r="E9" s="88" t="n">
        <f aca="false">DC_Cost!E57</f>
        <v>2.058675041473</v>
      </c>
      <c r="F9" s="88" t="n">
        <f aca="false">DC_Cost!F57</f>
        <v>1.19460366967365</v>
      </c>
      <c r="G9" s="88" t="n">
        <f aca="false">DC_Cost!G57</f>
        <v>1.54521983705496</v>
      </c>
      <c r="H9" s="88" t="n">
        <f aca="false">DC_Cost!H57</f>
        <v>2.50735596295275</v>
      </c>
      <c r="I9" s="88" t="n">
        <f aca="false">DC_Cost!I57</f>
        <v>1.58271768531545</v>
      </c>
      <c r="J9" s="88" t="n">
        <f aca="false">DC_Cost!J57</f>
        <v>2.22691545895677</v>
      </c>
      <c r="K9" s="88" t="n">
        <f aca="false">DC_Cost!K57</f>
        <v>4.210909946266</v>
      </c>
      <c r="L9" s="88" t="n">
        <f aca="false">DC_Cost!L57</f>
        <v>2.99220734481005</v>
      </c>
      <c r="M9" s="88" t="n">
        <f aca="false">DC_Cost!M57</f>
        <v>3.72850221140062</v>
      </c>
      <c r="N9" s="88" t="n">
        <f aca="false">DC_Cost!N57</f>
        <v>6.05995439820971</v>
      </c>
      <c r="O9" s="88" t="n">
        <f aca="false">DC_Cost!O57</f>
        <v>4.76817541231717</v>
      </c>
      <c r="P9" s="88" t="n">
        <f aca="false">DC_Cost!P57</f>
        <v>7.06264809625585</v>
      </c>
      <c r="Q9" s="88" t="n">
        <f aca="false">DC_Cost!Q57</f>
        <v>13.0677140729424</v>
      </c>
    </row>
    <row r="10" customFormat="false" ht="15" hidden="false" customHeight="false" outlineLevel="0" collapsed="false">
      <c r="A10" s="53" t="s">
        <v>805</v>
      </c>
      <c r="B10" s="54" t="s">
        <v>71</v>
      </c>
      <c r="C10" s="57" t="n">
        <f aca="false">Serving!$C$17</f>
        <v>0.6</v>
      </c>
      <c r="D10" s="57" t="n">
        <f aca="false">Serving!$C$17</f>
        <v>0.6</v>
      </c>
      <c r="E10" s="57" t="n">
        <f aca="false">Serving!$C$17</f>
        <v>0.6</v>
      </c>
      <c r="F10" s="57" t="n">
        <f aca="false">Serving!$C$17</f>
        <v>0.6</v>
      </c>
      <c r="G10" s="57" t="n">
        <f aca="false">Serving!$C$17</f>
        <v>0.6</v>
      </c>
      <c r="H10" s="57" t="n">
        <f aca="false">Serving!$C$17</f>
        <v>0.6</v>
      </c>
      <c r="I10" s="57" t="n">
        <f aca="false">Serving!$C$17</f>
        <v>0.6</v>
      </c>
      <c r="J10" s="57" t="n">
        <f aca="false">Serving!$C$17</f>
        <v>0.6</v>
      </c>
      <c r="K10" s="57" t="n">
        <f aca="false">Serving!$C$17</f>
        <v>0.6</v>
      </c>
      <c r="L10" s="57" t="n">
        <f aca="false">Serving!$C$17</f>
        <v>0.6</v>
      </c>
      <c r="M10" s="57" t="n">
        <f aca="false">Serving!$C$17</f>
        <v>0.6</v>
      </c>
      <c r="N10" s="57" t="n">
        <f aca="false">Serving!$C$17</f>
        <v>0.6</v>
      </c>
      <c r="O10" s="57" t="n">
        <f aca="false">Serving!$C$17</f>
        <v>0.6</v>
      </c>
      <c r="P10" s="57" t="n">
        <f aca="false">Serving!$C$17</f>
        <v>0.6</v>
      </c>
      <c r="Q10" s="57" t="n">
        <f aca="false">Serving!$C$17</f>
        <v>0.6</v>
      </c>
    </row>
    <row r="12" customFormat="false" ht="15" hidden="false" customHeight="false" outlineLevel="0" collapsed="false">
      <c r="A12" s="68" t="s">
        <v>219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</row>
    <row r="13" customFormat="false" ht="15" hidden="false" customHeight="false" outlineLevel="0" collapsed="false">
      <c r="A13" s="54" t="s">
        <v>806</v>
      </c>
      <c r="B13" s="54" t="s">
        <v>744</v>
      </c>
      <c r="C13" s="91" t="n">
        <f aca="false">INDEX(Perf!$C$101:$Q$101,3*(C$6-1)+1)</f>
        <v>128.951184274594</v>
      </c>
      <c r="D13" s="91" t="n">
        <f aca="false">INDEX(Perf!$C$101:$Q$101,3*(D$6-1)+1)</f>
        <v>128.951184274594</v>
      </c>
      <c r="E13" s="91" t="n">
        <f aca="false">INDEX(Perf!$C$101:$Q$101,3*(E$6-1)+1)</f>
        <v>128.951184274594</v>
      </c>
      <c r="F13" s="91" t="n">
        <f aca="false">INDEX(Perf!$C$101:$Q$101,3*(F$6-1)+1)</f>
        <v>12.7532721247573</v>
      </c>
      <c r="G13" s="91" t="n">
        <f aca="false">INDEX(Perf!$C$101:$Q$101,3*(G$6-1)+1)</f>
        <v>12.7532721247573</v>
      </c>
      <c r="H13" s="91" t="n">
        <f aca="false">INDEX(Perf!$C$101:$Q$101,3*(H$6-1)+1)</f>
        <v>12.7532721247573</v>
      </c>
      <c r="I13" s="91" t="n">
        <f aca="false">INDEX(Perf!$C$101:$Q$101,3*(I$6-1)+1)</f>
        <v>8.50218141650489</v>
      </c>
      <c r="J13" s="91" t="n">
        <f aca="false">INDEX(Perf!$C$101:$Q$101,3*(J$6-1)+1)</f>
        <v>8.50218141650489</v>
      </c>
      <c r="K13" s="91" t="n">
        <f aca="false">INDEX(Perf!$C$101:$Q$101,3*(K$6-1)+1)</f>
        <v>8.50218141650489</v>
      </c>
      <c r="L13" s="91" t="n">
        <f aca="false">INDEX(Perf!$C$101:$Q$101,3*(L$6-1)+1)</f>
        <v>3.64379203564495</v>
      </c>
      <c r="M13" s="91" t="n">
        <f aca="false">INDEX(Perf!$C$101:$Q$101,3*(M$6-1)+1)</f>
        <v>3.64379203564495</v>
      </c>
      <c r="N13" s="91" t="n">
        <f aca="false">INDEX(Perf!$C$101:$Q$101,3*(N$6-1)+1)</f>
        <v>3.64379203564495</v>
      </c>
      <c r="O13" s="91" t="n">
        <f aca="false">INDEX(Perf!$C$101:$Q$101,3*(O$6-1)+1)</f>
        <v>1.82189601782248</v>
      </c>
      <c r="P13" s="91" t="n">
        <f aca="false">INDEX(Perf!$C$101:$Q$101,3*(P$6-1)+1)</f>
        <v>1.82189601782248</v>
      </c>
      <c r="Q13" s="91" t="n">
        <f aca="false">INDEX(Perf!$C$101:$Q$101,3*(Q$6-1)+1)</f>
        <v>1.82189601782248</v>
      </c>
    </row>
    <row r="14" customFormat="false" ht="15" hidden="false" customHeight="false" outlineLevel="0" collapsed="false">
      <c r="A14" s="54" t="s">
        <v>807</v>
      </c>
      <c r="B14" s="54" t="s">
        <v>744</v>
      </c>
      <c r="C14" s="87" t="n">
        <f aca="false">INDEX(Perf!$C$102:$Q$102,3*(C$6-1)+1)</f>
        <v>0.02795</v>
      </c>
      <c r="D14" s="87" t="n">
        <f aca="false">INDEX(Perf!$C$102:$Q$102,3*(D$6-1)+1)</f>
        <v>0.02795</v>
      </c>
      <c r="E14" s="87" t="n">
        <f aca="false">INDEX(Perf!$C$102:$Q$102,3*(E$6-1)+1)</f>
        <v>0.02795</v>
      </c>
      <c r="F14" s="87" t="n">
        <f aca="false">INDEX(Perf!$C$102:$Q$102,3*(F$6-1)+1)</f>
        <v>0.02795</v>
      </c>
      <c r="G14" s="87" t="n">
        <f aca="false">INDEX(Perf!$C$102:$Q$102,3*(G$6-1)+1)</f>
        <v>0.02795</v>
      </c>
      <c r="H14" s="87" t="n">
        <f aca="false">INDEX(Perf!$C$102:$Q$102,3*(H$6-1)+1)</f>
        <v>0.02795</v>
      </c>
      <c r="I14" s="87" t="n">
        <f aca="false">INDEX(Perf!$C$102:$Q$102,3*(I$6-1)+1)</f>
        <v>0.02795</v>
      </c>
      <c r="J14" s="87" t="n">
        <f aca="false">INDEX(Perf!$C$102:$Q$102,3*(J$6-1)+1)</f>
        <v>0.02795</v>
      </c>
      <c r="K14" s="87" t="n">
        <f aca="false">INDEX(Perf!$C$102:$Q$102,3*(K$6-1)+1)</f>
        <v>0.02795</v>
      </c>
      <c r="L14" s="87" t="n">
        <f aca="false">INDEX(Perf!$C$102:$Q$102,3*(L$6-1)+1)</f>
        <v>0.02795</v>
      </c>
      <c r="M14" s="87" t="n">
        <f aca="false">INDEX(Perf!$C$102:$Q$102,3*(M$6-1)+1)</f>
        <v>0.02795</v>
      </c>
      <c r="N14" s="87" t="n">
        <f aca="false">INDEX(Perf!$C$102:$Q$102,3*(N$6-1)+1)</f>
        <v>0.02795</v>
      </c>
      <c r="O14" s="87" t="n">
        <f aca="false">INDEX(Perf!$C$102:$Q$102,3*(O$6-1)+1)</f>
        <v>0.02795</v>
      </c>
      <c r="P14" s="87" t="n">
        <f aca="false">INDEX(Perf!$C$102:$Q$102,3*(P$6-1)+1)</f>
        <v>0.02795</v>
      </c>
      <c r="Q14" s="87" t="n">
        <f aca="false">INDEX(Perf!$C$102:$Q$102,3*(Q$6-1)+1)</f>
        <v>0.02795</v>
      </c>
    </row>
    <row r="15" customFormat="false" ht="15" hidden="false" customHeight="false" outlineLevel="0" collapsed="false">
      <c r="A15" s="54" t="s">
        <v>808</v>
      </c>
      <c r="B15" s="54" t="s">
        <v>744</v>
      </c>
      <c r="C15" s="91" t="n">
        <f aca="false">INDEX(Perf!$C$103:$Q$103,3*(C$6-1)+1)</f>
        <v>1719.93391321739</v>
      </c>
      <c r="D15" s="91" t="n">
        <f aca="false">INDEX(Perf!$C$103:$Q$103,3*(D$6-1)+1)</f>
        <v>1719.93391321739</v>
      </c>
      <c r="E15" s="91" t="n">
        <f aca="false">INDEX(Perf!$C$103:$Q$103,3*(E$6-1)+1)</f>
        <v>1719.93391321739</v>
      </c>
      <c r="F15" s="91" t="n">
        <f aca="false">INDEX(Perf!$C$103:$Q$103,3*(F$6-1)+1)</f>
        <v>291.04887389608</v>
      </c>
      <c r="G15" s="91" t="n">
        <f aca="false">INDEX(Perf!$C$103:$Q$103,3*(G$6-1)+1)</f>
        <v>291.04887389608</v>
      </c>
      <c r="H15" s="91" t="n">
        <f aca="false">INDEX(Perf!$C$103:$Q$103,3*(H$6-1)+1)</f>
        <v>291.04887389608</v>
      </c>
      <c r="I15" s="91" t="n">
        <f aca="false">INDEX(Perf!$C$103:$Q$103,3*(I$6-1)+1)</f>
        <v>194.032582597387</v>
      </c>
      <c r="J15" s="91" t="n">
        <f aca="false">INDEX(Perf!$C$103:$Q$103,3*(J$6-1)+1)</f>
        <v>194.032582597387</v>
      </c>
      <c r="K15" s="91" t="n">
        <f aca="false">INDEX(Perf!$C$103:$Q$103,3*(K$6-1)+1)</f>
        <v>194.032582597387</v>
      </c>
      <c r="L15" s="91" t="n">
        <f aca="false">INDEX(Perf!$C$103:$Q$103,3*(L$6-1)+1)</f>
        <v>78.000625684729</v>
      </c>
      <c r="M15" s="91" t="n">
        <f aca="false">INDEX(Perf!$C$103:$Q$103,3*(M$6-1)+1)</f>
        <v>78.000625684729</v>
      </c>
      <c r="N15" s="91" t="n">
        <f aca="false">INDEX(Perf!$C$103:$Q$103,3*(N$6-1)+1)</f>
        <v>78.000625684729</v>
      </c>
      <c r="O15" s="91" t="n">
        <f aca="false">INDEX(Perf!$C$103:$Q$103,3*(O$6-1)+1)</f>
        <v>38.3537418336927</v>
      </c>
      <c r="P15" s="91" t="n">
        <f aca="false">INDEX(Perf!$C$103:$Q$103,3*(P$6-1)+1)</f>
        <v>38.3537418336927</v>
      </c>
      <c r="Q15" s="91" t="n">
        <f aca="false">INDEX(Perf!$C$103:$Q$103,3*(Q$6-1)+1)</f>
        <v>38.3537418336927</v>
      </c>
    </row>
    <row r="16" customFormat="false" ht="15" hidden="false" customHeight="false" outlineLevel="0" collapsed="false">
      <c r="A16" s="53" t="s">
        <v>809</v>
      </c>
      <c r="B16" s="54" t="s">
        <v>758</v>
      </c>
      <c r="C16" s="118" t="n">
        <f aca="false">C$8/3600*C13</f>
        <v>0.0398626327246416</v>
      </c>
      <c r="D16" s="118" t="n">
        <f aca="false">D$8/3600*D13</f>
        <v>0.0574917842790264</v>
      </c>
      <c r="E16" s="118" t="n">
        <f aca="false">E$8/3600*E13</f>
        <v>0.0991205112347298</v>
      </c>
      <c r="F16" s="118" t="n">
        <f aca="false">F$8/3600*F13</f>
        <v>0.00549112196175739</v>
      </c>
      <c r="G16" s="118" t="n">
        <f aca="false">G$8/3600*G13</f>
        <v>0.00739142025722318</v>
      </c>
      <c r="H16" s="118" t="n">
        <f aca="false">H$8/3600*H13</f>
        <v>0.0120249066107575</v>
      </c>
      <c r="I16" s="118" t="n">
        <f aca="false">I$8/3600*I13</f>
        <v>0.0048203623993667</v>
      </c>
      <c r="J16" s="118" t="n">
        <f aca="false">J$8/3600*J13</f>
        <v>0.00704428307020721</v>
      </c>
      <c r="K16" s="118" t="n">
        <f aca="false">K$8/3600*K13</f>
        <v>0.0132152107732867</v>
      </c>
      <c r="L16" s="118" t="n">
        <f aca="false">L$8/3600*L13</f>
        <v>0.00389577272156528</v>
      </c>
      <c r="M16" s="118" t="n">
        <f aca="false">M$8/3600*M13</f>
        <v>0.00505433844364223</v>
      </c>
      <c r="N16" s="118" t="n">
        <f aca="false">N$8/3600*N13</f>
        <v>0.00818946349358809</v>
      </c>
      <c r="O16" s="118" t="n">
        <f aca="false">O$8/3600*O13</f>
        <v>0.00310046372063748</v>
      </c>
      <c r="P16" s="118" t="n">
        <f aca="false">P$8/3600*P13</f>
        <v>0.00476670644383758</v>
      </c>
      <c r="Q16" s="118" t="n">
        <f aca="false">Q$8/3600*Q13</f>
        <v>0.00873716555814697</v>
      </c>
    </row>
    <row r="17" customFormat="false" ht="15" hidden="false" customHeight="false" outlineLevel="0" collapsed="false">
      <c r="A17" s="53" t="s">
        <v>810</v>
      </c>
      <c r="B17" s="54" t="s">
        <v>758</v>
      </c>
      <c r="C17" s="119" t="n">
        <f aca="false">C$8/3600*C14</f>
        <v>8.64017334095354E-006</v>
      </c>
      <c r="D17" s="119" t="n">
        <f aca="false">D$8/3600*D14</f>
        <v>1.24612688098854E-005</v>
      </c>
      <c r="E17" s="119" t="n">
        <f aca="false">E$8/3600*E14</f>
        <v>2.14842407582024E-005</v>
      </c>
      <c r="F17" s="119" t="n">
        <f aca="false">F$8/3600*F14</f>
        <v>1.20343122400079E-005</v>
      </c>
      <c r="G17" s="119" t="n">
        <f aca="false">G$8/3600*G14</f>
        <v>1.61989953769075E-005</v>
      </c>
      <c r="H17" s="119" t="n">
        <f aca="false">H$8/3600*H14</f>
        <v>2.6353718205246E-005</v>
      </c>
      <c r="I17" s="119" t="n">
        <f aca="false">I$8/3600*I14</f>
        <v>1.5846418990867E-005</v>
      </c>
      <c r="J17" s="119" t="n">
        <f aca="false">J$8/3600*J14</f>
        <v>2.31573171833387E-005</v>
      </c>
      <c r="K17" s="119" t="n">
        <f aca="false">K$8/3600*K14</f>
        <v>4.3443573245371E-005</v>
      </c>
      <c r="L17" s="119" t="n">
        <f aca="false">L$8/3600*L14</f>
        <v>2.9882838126484E-005</v>
      </c>
      <c r="M17" s="119" t="n">
        <f aca="false">M$8/3600*M14</f>
        <v>3.87697097193956E-005</v>
      </c>
      <c r="N17" s="119" t="n">
        <f aca="false">N$8/3600*N14</f>
        <v>6.28179386766985E-005</v>
      </c>
      <c r="O17" s="119" t="n">
        <f aca="false">O$8/3600*O14</f>
        <v>4.75647128837742E-005</v>
      </c>
      <c r="P17" s="119" t="n">
        <f aca="false">P$8/3600*P14</f>
        <v>7.31268106422977E-005</v>
      </c>
      <c r="Q17" s="119" t="n">
        <f aca="false">Q$8/3600*Q14</f>
        <v>0.000134038262865341</v>
      </c>
    </row>
    <row r="18" customFormat="false" ht="15" hidden="false" customHeight="false" outlineLevel="0" collapsed="false">
      <c r="A18" s="54" t="s">
        <v>811</v>
      </c>
      <c r="B18" s="54" t="s">
        <v>758</v>
      </c>
      <c r="C18" s="118" t="n">
        <f aca="false">IF(C15&gt;0,C$8/3600*C15,"SLO 不可達")</f>
        <v>0.531682545444821</v>
      </c>
      <c r="D18" s="118" t="n">
        <f aca="false">IF(D15&gt;0,D$8/3600*D15,"SLO 不可達")</f>
        <v>0.766817847149911</v>
      </c>
      <c r="E18" s="118" t="n">
        <f aca="false">IF(E15&gt;0,E$8/3600*E15,"SLO 不可達")</f>
        <v>1.32205632485723</v>
      </c>
      <c r="F18" s="118" t="n">
        <f aca="false">IF(F15&gt;0,F$8/3600*F15,"SLO 不可達")</f>
        <v>0.125315671755568</v>
      </c>
      <c r="G18" s="118" t="n">
        <f aca="false">IF(G15&gt;0,G$8/3600*G15,"SLO 不可達")</f>
        <v>0.168683340346932</v>
      </c>
      <c r="H18" s="118" t="n">
        <f aca="false">IF(H15&gt;0,H$8/3600*H15,"SLO 不可達")</f>
        <v>0.274426476086278</v>
      </c>
      <c r="I18" s="118" t="n">
        <f aca="false">IF(I15&gt;0,I$8/3600*I15,"SLO 不可達")</f>
        <v>0.110007928505123</v>
      </c>
      <c r="J18" s="118" t="n">
        <f aca="false">IF(J15&gt;0,J$8/3600*J15,"SLO 不可達")</f>
        <v>0.16076114701646</v>
      </c>
      <c r="K18" s="118" t="n">
        <f aca="false">IF(K15&gt;0,K$8/3600*K15,"SLO 不可達")</f>
        <v>0.301591009447516</v>
      </c>
      <c r="L18" s="118" t="n">
        <f aca="false">IF(L15&gt;0,L$8/3600*L15,"SLO 不可達")</f>
        <v>0.0833946358175752</v>
      </c>
      <c r="M18" s="118" t="n">
        <f aca="false">IF(M15&gt;0,M$8/3600*M15,"SLO 不可達")</f>
        <v>0.108195406645015</v>
      </c>
      <c r="N18" s="118" t="n">
        <f aca="false">IF(N15&gt;0,N$8/3600*N15,"SLO 不可達")</f>
        <v>0.175307281610283</v>
      </c>
      <c r="O18" s="118" t="n">
        <f aca="false">IF(O15&gt;0,O$8/3600*O15,"SLO 不可達")</f>
        <v>0.0652695784736312</v>
      </c>
      <c r="P18" s="118" t="n">
        <f aca="false">IF(P15&gt;0,P$8/3600*P15,"SLO 不可達")</f>
        <v>0.10034657661882</v>
      </c>
      <c r="Q18" s="118" t="n">
        <f aca="false">IF(Q15&gt;0,Q$8/3600*Q15,"SLO 不可達")</f>
        <v>0.18393090983091</v>
      </c>
    </row>
    <row r="19" customFormat="false" ht="15" hidden="false" customHeight="false" outlineLevel="0" collapsed="false">
      <c r="A19" s="53" t="s">
        <v>812</v>
      </c>
      <c r="B19" s="54" t="s">
        <v>758</v>
      </c>
      <c r="C19" s="108" t="n">
        <f aca="false">C16/C$10</f>
        <v>0.066437721207736</v>
      </c>
      <c r="D19" s="108" t="n">
        <f aca="false">D16/D$10</f>
        <v>0.095819640465044</v>
      </c>
      <c r="E19" s="108" t="n">
        <f aca="false">E16/E$10</f>
        <v>0.165200852057883</v>
      </c>
      <c r="F19" s="108" t="n">
        <f aca="false">F16/F$10</f>
        <v>0.00915186993626232</v>
      </c>
      <c r="G19" s="108" t="n">
        <f aca="false">G16/G$10</f>
        <v>0.0123190337620386</v>
      </c>
      <c r="H19" s="108" t="n">
        <f aca="false">H16/H$10</f>
        <v>0.0200415110179292</v>
      </c>
      <c r="I19" s="108" t="n">
        <f aca="false">I16/I$10</f>
        <v>0.00803393733227784</v>
      </c>
      <c r="J19" s="108" t="n">
        <f aca="false">J16/J$10</f>
        <v>0.0117404717836787</v>
      </c>
      <c r="K19" s="108" t="n">
        <f aca="false">K16/K$10</f>
        <v>0.0220253512888111</v>
      </c>
      <c r="L19" s="108" t="n">
        <f aca="false">L16/L$10</f>
        <v>0.00649295453594214</v>
      </c>
      <c r="M19" s="108" t="n">
        <f aca="false">M16/M$10</f>
        <v>0.00842389740607038</v>
      </c>
      <c r="N19" s="108" t="n">
        <f aca="false">N16/N$10</f>
        <v>0.0136491058226468</v>
      </c>
      <c r="O19" s="108" t="n">
        <f aca="false">O16/O$10</f>
        <v>0.00516743953439581</v>
      </c>
      <c r="P19" s="108" t="n">
        <f aca="false">P16/P$10</f>
        <v>0.0079445107397293</v>
      </c>
      <c r="Q19" s="108" t="n">
        <f aca="false">Q16/Q$10</f>
        <v>0.0145619425969116</v>
      </c>
    </row>
    <row r="20" customFormat="false" ht="15" hidden="false" customHeight="false" outlineLevel="0" collapsed="false">
      <c r="A20" s="53" t="s">
        <v>813</v>
      </c>
      <c r="B20" s="54" t="s">
        <v>758</v>
      </c>
      <c r="C20" s="119" t="n">
        <f aca="false">C17/C$10</f>
        <v>1.44002889015892E-005</v>
      </c>
      <c r="D20" s="119" t="n">
        <f aca="false">D17/D$10</f>
        <v>2.07687813498091E-005</v>
      </c>
      <c r="E20" s="119" t="n">
        <f aca="false">E17/E$10</f>
        <v>3.58070679303373E-005</v>
      </c>
      <c r="F20" s="119" t="n">
        <f aca="false">F17/F$10</f>
        <v>2.00571870666799E-005</v>
      </c>
      <c r="G20" s="119" t="n">
        <f aca="false">G17/G$10</f>
        <v>2.69983256281792E-005</v>
      </c>
      <c r="H20" s="119" t="n">
        <f aca="false">H17/H$10</f>
        <v>4.39228636754099E-005</v>
      </c>
      <c r="I20" s="119" t="n">
        <f aca="false">I17/I$10</f>
        <v>2.64106983181116E-005</v>
      </c>
      <c r="J20" s="119" t="n">
        <f aca="false">J17/J$10</f>
        <v>3.85955286388978E-005</v>
      </c>
      <c r="K20" s="119" t="n">
        <f aca="false">K17/K$10</f>
        <v>7.24059554089516E-005</v>
      </c>
      <c r="L20" s="119" t="n">
        <f aca="false">L17/L$10</f>
        <v>4.98047302108066E-005</v>
      </c>
      <c r="M20" s="119" t="n">
        <f aca="false">M17/M$10</f>
        <v>6.46161828656593E-005</v>
      </c>
      <c r="N20" s="119" t="n">
        <f aca="false">N17/N$10</f>
        <v>0.000104696564461164</v>
      </c>
      <c r="O20" s="119" t="n">
        <f aca="false">O17/O$10</f>
        <v>7.9274521472957E-005</v>
      </c>
      <c r="P20" s="119" t="n">
        <f aca="false">P17/P$10</f>
        <v>0.000121878017737163</v>
      </c>
      <c r="Q20" s="119" t="n">
        <f aca="false">Q17/Q$10</f>
        <v>0.000223397104775569</v>
      </c>
    </row>
    <row r="21" customFormat="false" ht="15" hidden="false" customHeight="false" outlineLevel="0" collapsed="false">
      <c r="A21" s="54" t="s">
        <v>814</v>
      </c>
      <c r="B21" s="54" t="s">
        <v>758</v>
      </c>
      <c r="C21" s="118" t="n">
        <f aca="false">IF(ISNUMBER(C18),C18/C$10,C18)</f>
        <v>0.886137575741368</v>
      </c>
      <c r="D21" s="118" t="n">
        <f aca="false">IF(ISNUMBER(D18),D18/D$10,D18)</f>
        <v>1.27802974524985</v>
      </c>
      <c r="E21" s="118" t="n">
        <f aca="false">IF(ISNUMBER(E18),E18/E$10,E18)</f>
        <v>2.20342720809538</v>
      </c>
      <c r="F21" s="118" t="n">
        <f aca="false">IF(ISNUMBER(F18),F18/F$10,F18)</f>
        <v>0.208859452925946</v>
      </c>
      <c r="G21" s="118" t="n">
        <f aca="false">IF(ISNUMBER(G18),G18/G$10,G18)</f>
        <v>0.28113890057822</v>
      </c>
      <c r="H21" s="118" t="n">
        <f aca="false">IF(ISNUMBER(H18),H18/H$10,H18)</f>
        <v>0.457377460143797</v>
      </c>
      <c r="I21" s="118" t="n">
        <f aca="false">IF(ISNUMBER(I18),I18/I$10,I18)</f>
        <v>0.183346547508539</v>
      </c>
      <c r="J21" s="118" t="n">
        <f aca="false">IF(ISNUMBER(J18),J18/J$10,J18)</f>
        <v>0.267935245027433</v>
      </c>
      <c r="K21" s="118" t="n">
        <f aca="false">IF(ISNUMBER(K18),K18/K$10,K18)</f>
        <v>0.502651682412526</v>
      </c>
      <c r="L21" s="118" t="n">
        <f aca="false">IF(ISNUMBER(L18),L18/L$10,L18)</f>
        <v>0.138991059695959</v>
      </c>
      <c r="M21" s="118" t="n">
        <f aca="false">IF(ISNUMBER(M18),M18/M$10,M18)</f>
        <v>0.180325677741692</v>
      </c>
      <c r="N21" s="118" t="n">
        <f aca="false">IF(ISNUMBER(N18),N18/N$10,N18)</f>
        <v>0.292178802683806</v>
      </c>
      <c r="O21" s="118" t="n">
        <f aca="false">IF(ISNUMBER(O18),O18/O$10,O18)</f>
        <v>0.108782630789385</v>
      </c>
      <c r="P21" s="118" t="n">
        <f aca="false">IF(ISNUMBER(P18),P18/P$10,P18)</f>
        <v>0.1672442943647</v>
      </c>
      <c r="Q21" s="118" t="n">
        <f aca="false">IF(ISNUMBER(Q18),Q18/Q$10,Q18)</f>
        <v>0.306551516384851</v>
      </c>
    </row>
    <row r="22" customFormat="false" ht="15" hidden="false" customHeight="false" outlineLevel="0" collapsed="false">
      <c r="A22" s="54" t="s">
        <v>815</v>
      </c>
      <c r="B22" s="54" t="s">
        <v>758</v>
      </c>
      <c r="C22" s="108" t="n">
        <f aca="false">IF(C15&gt;0,C$9/3600*C15,"SLO 不可達")</f>
        <v>0.410074520519514</v>
      </c>
      <c r="D22" s="108" t="n">
        <f aca="false">IF(D15&gt;0,D$9/3600*D15,"SLO 不可達")</f>
        <v>0.569415405467536</v>
      </c>
      <c r="E22" s="108" t="n">
        <f aca="false">IF(E15&gt;0,E$9/3600*E15,"SLO 不可達")</f>
        <v>0.983551394478783</v>
      </c>
      <c r="F22" s="108" t="n">
        <f aca="false">IF(F15&gt;0,F$9/3600*F15,"SLO 不可達")</f>
        <v>0.0965800146696228</v>
      </c>
      <c r="G22" s="108" t="n">
        <f aca="false">IF(G15&gt;0,G$9/3600*G15,"SLO 不可達")</f>
        <v>0.124926248193536</v>
      </c>
      <c r="H22" s="108" t="n">
        <f aca="false">IF(H15&gt;0,H$9/3600*H15,"SLO 不可達")</f>
        <v>0.20271198040945</v>
      </c>
      <c r="I22" s="108" t="n">
        <f aca="false">IF(I15&gt;0,I$9/3600*I15,"SLO 不可達")</f>
        <v>0.0853052222234209</v>
      </c>
      <c r="J22" s="108" t="n">
        <f aca="false">IF(J15&gt;0,J$9/3600*J15,"SLO 不可達")</f>
        <v>0.120026154924285</v>
      </c>
      <c r="K22" s="108" t="n">
        <f aca="false">IF(K15&gt;0,K$9/3600*K15,"SLO 不可達")</f>
        <v>0.226959369988615</v>
      </c>
      <c r="L22" s="108" t="n">
        <f aca="false">IF(L15&gt;0,L$9/3600*L15,"SLO 不可達")</f>
        <v>0.0648316791871181</v>
      </c>
      <c r="M22" s="108" t="n">
        <f aca="false">IF(M15&gt;0,M$9/3600*M15,"SLO 不可達")</f>
        <v>0.0807848625989288</v>
      </c>
      <c r="N22" s="108" t="n">
        <f aca="false">IF(N15&gt;0,N$9/3600*N15,"SLO 不可達")</f>
        <v>0.131300065189245</v>
      </c>
      <c r="O22" s="108" t="n">
        <f aca="false">IF(O15&gt;0,O$9/3600*O15,"SLO 不可達")</f>
        <v>0.0507992691060483</v>
      </c>
      <c r="P22" s="108" t="n">
        <f aca="false">IF(P15&gt;0,P$9/3600*P15,"SLO 不可達")</f>
        <v>0.0752441615961161</v>
      </c>
      <c r="Q22" s="108" t="n">
        <f aca="false">IF(Q15&gt;0,Q$9/3600*Q15,"SLO 不可達")</f>
        <v>0.139221036641708</v>
      </c>
    </row>
    <row r="23" customFormat="false" ht="15" hidden="false" customHeight="false" outlineLevel="0" collapsed="false">
      <c r="A23" s="53" t="s">
        <v>816</v>
      </c>
      <c r="B23" s="54" t="s">
        <v>758</v>
      </c>
      <c r="C23" s="87" t="n">
        <f aca="false">IF(ISNUMBER(C18),(Serving!$C$23*C16+Serving!$C$24*C18)/(Serving!$C$23+Serving!$C$24),C18)</f>
        <v>0.0945092896935504</v>
      </c>
      <c r="D23" s="87" t="n">
        <f aca="false">IF(ISNUMBER(D18),(Serving!$C$23*D16+Serving!$C$24*D18)/(Serving!$C$23+Serving!$C$24),D18)</f>
        <v>0.13630579126468</v>
      </c>
      <c r="E23" s="87" t="n">
        <f aca="false">IF(ISNUMBER(E18),(Serving!$C$23*E16+Serving!$C$24*E18)/(Serving!$C$23+Serving!$C$24),E18)</f>
        <v>0.235002268303896</v>
      </c>
      <c r="F23" s="87" t="n">
        <f aca="false">IF(ISNUMBER(F18),(Serving!$C$23*F16+Serving!$C$24*F18)/(Serving!$C$23+Serving!$C$24),F18)</f>
        <v>0.0188049608277363</v>
      </c>
      <c r="G23" s="87" t="n">
        <f aca="false">IF(ISNUMBER(G18),(Serving!$C$23*G16+Serving!$C$24*G18)/(Serving!$C$23+Serving!$C$24),G18)</f>
        <v>0.0253127447116353</v>
      </c>
      <c r="H23" s="87" t="n">
        <f aca="false">IF(ISNUMBER(H18),(Serving!$C$23*H16+Serving!$C$24*H18)/(Serving!$C$23+Serving!$C$24),H18)</f>
        <v>0.041180636552482</v>
      </c>
      <c r="I23" s="87" t="n">
        <f aca="false">IF(ISNUMBER(I18),(Serving!$C$23*I16+Serving!$C$24*I18)/(Serving!$C$23+Serving!$C$24),I18)</f>
        <v>0.0165078697444508</v>
      </c>
      <c r="J23" s="87" t="n">
        <f aca="false">IF(ISNUMBER(J18),(Serving!$C$23*J16+Serving!$C$24*J18)/(Serving!$C$23+Serving!$C$24),J18)</f>
        <v>0.0241239346197908</v>
      </c>
      <c r="K23" s="87" t="n">
        <f aca="false">IF(ISNUMBER(K18),(Serving!$C$23*K16+Serving!$C$24*K18)/(Serving!$C$23+Serving!$C$24),K18)</f>
        <v>0.0452569661815343</v>
      </c>
      <c r="L23" s="87" t="n">
        <f aca="false">IF(ISNUMBER(L18),(Serving!$C$23*L16+Serving!$C$24*L18)/(Serving!$C$23+Serving!$C$24),L18)</f>
        <v>0.012728979732233</v>
      </c>
      <c r="M23" s="87" t="n">
        <f aca="false">IF(ISNUMBER(M18),(Serving!$C$23*M16+Serving!$C$24*M18)/(Serving!$C$23+Serving!$C$24),M18)</f>
        <v>0.0165144571326837</v>
      </c>
      <c r="N23" s="87" t="n">
        <f aca="false">IF(ISNUMBER(N18),(Serving!$C$23*N16+Serving!$C$24*N18)/(Serving!$C$23+Serving!$C$24),N18)</f>
        <v>0.0267581099509987</v>
      </c>
      <c r="O23" s="87" t="n">
        <f aca="false">IF(ISNUMBER(O18),(Serving!$C$23*O16+Serving!$C$24*O18)/(Serving!$C$23+Serving!$C$24),O18)</f>
        <v>0.0100081431376368</v>
      </c>
      <c r="P23" s="87" t="n">
        <f aca="false">IF(ISNUMBER(P18),(Serving!$C$23*P16+Serving!$C$24*P18)/(Serving!$C$23+Serving!$C$24),P18)</f>
        <v>0.0153866920188356</v>
      </c>
      <c r="Q23" s="87" t="n">
        <f aca="false">IF(ISNUMBER(Q18),(Serving!$C$23*Q16+Serving!$C$24*Q18)/(Serving!$C$23+Serving!$C$24),Q18)</f>
        <v>0.0282031371440096</v>
      </c>
    </row>
    <row r="25" customFormat="false" ht="15" hidden="false" customHeight="false" outlineLevel="0" collapsed="false">
      <c r="A25" s="68" t="s">
        <v>220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</row>
    <row r="26" customFormat="false" ht="15" hidden="false" customHeight="false" outlineLevel="0" collapsed="false">
      <c r="A26" s="54" t="s">
        <v>806</v>
      </c>
      <c r="B26" s="54" t="s">
        <v>744</v>
      </c>
      <c r="C26" s="91" t="n">
        <f aca="false">INDEX(Perf!$C$101:$Q$101,3*(C$6-1)+2)</f>
        <v>447.562697483303</v>
      </c>
      <c r="D26" s="91" t="n">
        <f aca="false">INDEX(Perf!$C$101:$Q$101,3*(D$6-1)+2)</f>
        <v>447.562697483303</v>
      </c>
      <c r="E26" s="91" t="n">
        <f aca="false">INDEX(Perf!$C$101:$Q$101,3*(E$6-1)+2)</f>
        <v>447.562697483303</v>
      </c>
      <c r="F26" s="91" t="n">
        <f aca="false">INDEX(Perf!$C$101:$Q$101,3*(F$6-1)+2)</f>
        <v>44.2639507810987</v>
      </c>
      <c r="G26" s="91" t="n">
        <f aca="false">INDEX(Perf!$C$101:$Q$101,3*(G$6-1)+2)</f>
        <v>44.2639507810987</v>
      </c>
      <c r="H26" s="91" t="n">
        <f aca="false">INDEX(Perf!$C$101:$Q$101,3*(H$6-1)+2)</f>
        <v>44.2639507810987</v>
      </c>
      <c r="I26" s="91" t="n">
        <f aca="false">INDEX(Perf!$C$101:$Q$101,3*(I$6-1)+2)</f>
        <v>29.5093005207324</v>
      </c>
      <c r="J26" s="91" t="n">
        <f aca="false">INDEX(Perf!$C$101:$Q$101,3*(J$6-1)+2)</f>
        <v>29.5093005207324</v>
      </c>
      <c r="K26" s="91" t="n">
        <f aca="false">INDEX(Perf!$C$101:$Q$101,3*(K$6-1)+2)</f>
        <v>29.5093005207324</v>
      </c>
      <c r="L26" s="91" t="n">
        <f aca="false">INDEX(Perf!$C$101:$Q$101,3*(L$6-1)+2)</f>
        <v>12.6468430803139</v>
      </c>
      <c r="M26" s="91" t="n">
        <f aca="false">INDEX(Perf!$C$101:$Q$101,3*(M$6-1)+2)</f>
        <v>12.6468430803139</v>
      </c>
      <c r="N26" s="91" t="n">
        <f aca="false">INDEX(Perf!$C$101:$Q$101,3*(N$6-1)+2)</f>
        <v>12.6468430803139</v>
      </c>
      <c r="O26" s="91" t="n">
        <f aca="false">INDEX(Perf!$C$101:$Q$101,3*(O$6-1)+2)</f>
        <v>6.32342154015695</v>
      </c>
      <c r="P26" s="91" t="n">
        <f aca="false">INDEX(Perf!$C$101:$Q$101,3*(P$6-1)+2)</f>
        <v>6.32342154015695</v>
      </c>
      <c r="Q26" s="91" t="n">
        <f aca="false">INDEX(Perf!$C$101:$Q$101,3*(Q$6-1)+2)</f>
        <v>6.32342154015695</v>
      </c>
    </row>
    <row r="27" customFormat="false" ht="15" hidden="false" customHeight="false" outlineLevel="0" collapsed="false">
      <c r="A27" s="54" t="s">
        <v>807</v>
      </c>
      <c r="B27" s="54" t="s">
        <v>744</v>
      </c>
      <c r="C27" s="87" t="n">
        <f aca="false">INDEX(Perf!$C$102:$Q$102,3*(C$6-1)+2)</f>
        <v>0.03965</v>
      </c>
      <c r="D27" s="87" t="n">
        <f aca="false">INDEX(Perf!$C$102:$Q$102,3*(D$6-1)+2)</f>
        <v>0.03965</v>
      </c>
      <c r="E27" s="87" t="n">
        <f aca="false">INDEX(Perf!$C$102:$Q$102,3*(E$6-1)+2)</f>
        <v>0.03965</v>
      </c>
      <c r="F27" s="87" t="n">
        <f aca="false">INDEX(Perf!$C$102:$Q$102,3*(F$6-1)+2)</f>
        <v>0.03965</v>
      </c>
      <c r="G27" s="87" t="n">
        <f aca="false">INDEX(Perf!$C$102:$Q$102,3*(G$6-1)+2)</f>
        <v>0.03965</v>
      </c>
      <c r="H27" s="87" t="n">
        <f aca="false">INDEX(Perf!$C$102:$Q$102,3*(H$6-1)+2)</f>
        <v>0.03965</v>
      </c>
      <c r="I27" s="87" t="n">
        <f aca="false">INDEX(Perf!$C$102:$Q$102,3*(I$6-1)+2)</f>
        <v>0.03965</v>
      </c>
      <c r="J27" s="87" t="n">
        <f aca="false">INDEX(Perf!$C$102:$Q$102,3*(J$6-1)+2)</f>
        <v>0.03965</v>
      </c>
      <c r="K27" s="87" t="n">
        <f aca="false">INDEX(Perf!$C$102:$Q$102,3*(K$6-1)+2)</f>
        <v>0.03965</v>
      </c>
      <c r="L27" s="87" t="n">
        <f aca="false">INDEX(Perf!$C$102:$Q$102,3*(L$6-1)+2)</f>
        <v>0.03965</v>
      </c>
      <c r="M27" s="87" t="n">
        <f aca="false">INDEX(Perf!$C$102:$Q$102,3*(M$6-1)+2)</f>
        <v>0.03965</v>
      </c>
      <c r="N27" s="87" t="n">
        <f aca="false">INDEX(Perf!$C$102:$Q$102,3*(N$6-1)+2)</f>
        <v>0.03965</v>
      </c>
      <c r="O27" s="87" t="n">
        <f aca="false">INDEX(Perf!$C$102:$Q$102,3*(O$6-1)+2)</f>
        <v>0.03965</v>
      </c>
      <c r="P27" s="87" t="n">
        <f aca="false">INDEX(Perf!$C$102:$Q$102,3*(P$6-1)+2)</f>
        <v>0.03965</v>
      </c>
      <c r="Q27" s="87" t="n">
        <f aca="false">INDEX(Perf!$C$102:$Q$102,3*(Q$6-1)+2)</f>
        <v>0.03965</v>
      </c>
    </row>
    <row r="28" customFormat="false" ht="15" hidden="false" customHeight="false" outlineLevel="0" collapsed="false">
      <c r="A28" s="54" t="s">
        <v>808</v>
      </c>
      <c r="B28" s="54" t="s">
        <v>744</v>
      </c>
      <c r="C28" s="91" t="n">
        <f aca="false">INDEX(Perf!$C$103:$Q$103,3*(C$6-1)+2)</f>
        <v>5902.75485265774</v>
      </c>
      <c r="D28" s="91" t="n">
        <f aca="false">INDEX(Perf!$C$103:$Q$103,3*(D$6-1)+2)</f>
        <v>5902.75485265774</v>
      </c>
      <c r="E28" s="91" t="n">
        <f aca="false">INDEX(Perf!$C$103:$Q$103,3*(E$6-1)+2)</f>
        <v>5902.75485265774</v>
      </c>
      <c r="F28" s="91" t="n">
        <f aca="false">INDEX(Perf!$C$103:$Q$103,3*(F$6-1)+2)</f>
        <v>1013.60270124925</v>
      </c>
      <c r="G28" s="91" t="n">
        <f aca="false">INDEX(Perf!$C$103:$Q$103,3*(G$6-1)+2)</f>
        <v>1013.60270124925</v>
      </c>
      <c r="H28" s="91" t="n">
        <f aca="false">INDEX(Perf!$C$103:$Q$103,3*(H$6-1)+2)</f>
        <v>1013.60270124925</v>
      </c>
      <c r="I28" s="91" t="n">
        <f aca="false">INDEX(Perf!$C$103:$Q$103,3*(I$6-1)+2)</f>
        <v>675.735134166168</v>
      </c>
      <c r="J28" s="91" t="n">
        <f aca="false">INDEX(Perf!$C$103:$Q$103,3*(J$6-1)+2)</f>
        <v>675.735134166168</v>
      </c>
      <c r="K28" s="91" t="n">
        <f aca="false">INDEX(Perf!$C$103:$Q$103,3*(K$6-1)+2)</f>
        <v>675.735134166168</v>
      </c>
      <c r="L28" s="91" t="n">
        <f aca="false">INDEX(Perf!$C$103:$Q$103,3*(L$6-1)+2)</f>
        <v>247.785926826261</v>
      </c>
      <c r="M28" s="91" t="n">
        <f aca="false">INDEX(Perf!$C$103:$Q$103,3*(M$6-1)+2)</f>
        <v>247.785926826261</v>
      </c>
      <c r="N28" s="91" t="n">
        <f aca="false">INDEX(Perf!$C$103:$Q$103,3*(N$6-1)+2)</f>
        <v>247.785926826261</v>
      </c>
      <c r="O28" s="91" t="n">
        <f aca="false">INDEX(Perf!$C$103:$Q$103,3*(O$6-1)+2)</f>
        <v>118.879183801455</v>
      </c>
      <c r="P28" s="91" t="n">
        <f aca="false">INDEX(Perf!$C$103:$Q$103,3*(P$6-1)+2)</f>
        <v>118.879183801455</v>
      </c>
      <c r="Q28" s="91" t="n">
        <f aca="false">INDEX(Perf!$C$103:$Q$103,3*(Q$6-1)+2)</f>
        <v>118.879183801455</v>
      </c>
    </row>
    <row r="29" customFormat="false" ht="15" hidden="false" customHeight="false" outlineLevel="0" collapsed="false">
      <c r="A29" s="53" t="s">
        <v>809</v>
      </c>
      <c r="B29" s="54" t="s">
        <v>758</v>
      </c>
      <c r="C29" s="118" t="n">
        <f aca="false">C$8/3600*C26</f>
        <v>0.13835489399644</v>
      </c>
      <c r="D29" s="118" t="n">
        <f aca="false">D$8/3600*D26</f>
        <v>0.199542006533699</v>
      </c>
      <c r="E29" s="118" t="n">
        <f aca="false">E$8/3600*E26</f>
        <v>0.344026645693087</v>
      </c>
      <c r="F29" s="118" t="n">
        <f aca="false">F$8/3600*F26</f>
        <v>0.019058540417749</v>
      </c>
      <c r="G29" s="118" t="n">
        <f aca="false">G$8/3600*G26</f>
        <v>0.0256540799308293</v>
      </c>
      <c r="H29" s="118" t="n">
        <f aca="false">H$8/3600*H26</f>
        <v>0.0417359458152398</v>
      </c>
      <c r="I29" s="118" t="n">
        <f aca="false">I$8/3600*I26</f>
        <v>0.0167304737094431</v>
      </c>
      <c r="J29" s="118" t="n">
        <f aca="false">J$8/3600*J26</f>
        <v>0.0244492390703779</v>
      </c>
      <c r="K29" s="118" t="n">
        <f aca="false">K$8/3600*K26</f>
        <v>0.0458672435990019</v>
      </c>
      <c r="L29" s="118" t="n">
        <f aca="false">L$8/3600*L26</f>
        <v>0.0135214155484817</v>
      </c>
      <c r="M29" s="118" t="n">
        <f aca="false">M$8/3600*M26</f>
        <v>0.017542555817192</v>
      </c>
      <c r="N29" s="118" t="n">
        <f aca="false">N$8/3600*N26</f>
        <v>0.028423921755742</v>
      </c>
      <c r="O29" s="118" t="n">
        <f aca="false">O$8/3600*O26</f>
        <v>0.0107610636851749</v>
      </c>
      <c r="P29" s="118" t="n">
        <f aca="false">P$8/3600*P26</f>
        <v>0.0165442450654198</v>
      </c>
      <c r="Q29" s="118" t="n">
        <f aca="false">Q$8/3600*Q26</f>
        <v>0.0303248815244336</v>
      </c>
    </row>
    <row r="30" customFormat="false" ht="15" hidden="false" customHeight="false" outlineLevel="0" collapsed="false">
      <c r="A30" s="53" t="s">
        <v>810</v>
      </c>
      <c r="B30" s="54" t="s">
        <v>758</v>
      </c>
      <c r="C30" s="119" t="n">
        <f aca="false">C$8/3600*C27</f>
        <v>1.22569900883294E-005</v>
      </c>
      <c r="D30" s="119" t="n">
        <f aca="false">D$8/3600*D27</f>
        <v>1.76776138930933E-005</v>
      </c>
      <c r="E30" s="119" t="n">
        <f aca="false">E$8/3600*E27</f>
        <v>3.04776438662871E-005</v>
      </c>
      <c r="F30" s="119" t="n">
        <f aca="false">F$8/3600*F27</f>
        <v>1.70719313172205E-005</v>
      </c>
      <c r="G30" s="119" t="n">
        <f aca="false">G$8/3600*G27</f>
        <v>2.29799701858456E-005</v>
      </c>
      <c r="H30" s="119" t="n">
        <f aca="false">H$8/3600*H27</f>
        <v>3.73855072213954E-005</v>
      </c>
      <c r="I30" s="119" t="n">
        <f aca="false">I$8/3600*I27</f>
        <v>2.24798036847183E-005</v>
      </c>
      <c r="J30" s="119" t="n">
        <f aca="false">J$8/3600*J27</f>
        <v>3.28510778647363E-005</v>
      </c>
      <c r="K30" s="119" t="n">
        <f aca="false">K$8/3600*K27</f>
        <v>6.16292550690146E-005</v>
      </c>
      <c r="L30" s="119" t="n">
        <f aca="false">L$8/3600*L27</f>
        <v>4.2391933156175E-005</v>
      </c>
      <c r="M30" s="119" t="n">
        <f aca="false">M$8/3600*M27</f>
        <v>5.49988905321658E-005</v>
      </c>
      <c r="N30" s="119" t="n">
        <f aca="false">N$8/3600*N27</f>
        <v>8.91138199832235E-005</v>
      </c>
      <c r="O30" s="119" t="n">
        <f aca="false">O$8/3600*O27</f>
        <v>6.74755229281448E-005</v>
      </c>
      <c r="P30" s="119" t="n">
        <f aca="false">P$8/3600*P27</f>
        <v>0.000103738033701864</v>
      </c>
      <c r="Q30" s="119" t="n">
        <f aca="false">Q$8/3600*Q27</f>
        <v>0.000190147303134554</v>
      </c>
    </row>
    <row r="31" customFormat="false" ht="15" hidden="false" customHeight="false" outlineLevel="0" collapsed="false">
      <c r="A31" s="54" t="s">
        <v>811</v>
      </c>
      <c r="B31" s="54" t="s">
        <v>758</v>
      </c>
      <c r="C31" s="118" t="n">
        <f aca="false">IF(C28&gt;0,C$8/3600*C28,"SLO 不可達")</f>
        <v>1.82471646211512</v>
      </c>
      <c r="D31" s="118" t="n">
        <f aca="false">IF(D28&gt;0,D$8/3600*D28,"SLO 不可達")</f>
        <v>2.63169284214039</v>
      </c>
      <c r="E31" s="118" t="n">
        <f aca="false">IF(E28&gt;0,E$8/3600*E28,"SLO 不可達")</f>
        <v>4.53725246479951</v>
      </c>
      <c r="F31" s="118" t="n">
        <f aca="false">IF(F28&gt;0,F$8/3600*F28,"SLO 不可達")</f>
        <v>0.436422590130554</v>
      </c>
      <c r="G31" s="118" t="n">
        <f aca="false">IF(G28&gt;0,G$8/3600*G28,"SLO 不可達")</f>
        <v>0.587454220807071</v>
      </c>
      <c r="H31" s="118" t="n">
        <f aca="false">IF(H28&gt;0,H$8/3600*H28,"SLO 不可達")</f>
        <v>0.955713773194952</v>
      </c>
      <c r="I31" s="118" t="n">
        <f aca="false">IF(I28&gt;0,I$8/3600*I28,"SLO 不可達")</f>
        <v>0.383112059493625</v>
      </c>
      <c r="J31" s="118" t="n">
        <f aca="false">IF(J28&gt;0,J$8/3600*J28,"SLO 不可達")</f>
        <v>0.559864502104182</v>
      </c>
      <c r="K31" s="118" t="n">
        <f aca="false">IF(K28&gt;0,K$8/3600*K28,"SLO 不可達")</f>
        <v>1.05031659376095</v>
      </c>
      <c r="L31" s="118" t="n">
        <f aca="false">IF(L28&gt;0,L$8/3600*L28,"SLO 不可達")</f>
        <v>0.264921171426474</v>
      </c>
      <c r="M31" s="118" t="n">
        <f aca="false">IF(M28&gt;0,M$8/3600*M28,"SLO 不可達")</f>
        <v>0.343706205925063</v>
      </c>
      <c r="N31" s="118" t="n">
        <f aca="false">IF(N28&gt;0,N$8/3600*N28,"SLO 不可達")</f>
        <v>0.556901651388943</v>
      </c>
      <c r="O31" s="118" t="n">
        <f aca="false">IF(O28&gt;0,O$8/3600*O28,"SLO 不可達")</f>
        <v>0.202306055290649</v>
      </c>
      <c r="P31" s="118" t="n">
        <f aca="false">IF(P28&gt;0,P$8/3600*P28,"SLO 不可達")</f>
        <v>0.311028821579961</v>
      </c>
      <c r="Q31" s="118" t="n">
        <f aca="false">IF(Q28&gt;0,Q$8/3600*Q28,"SLO 不可達")</f>
        <v>0.570102300092905</v>
      </c>
    </row>
    <row r="32" customFormat="false" ht="15" hidden="false" customHeight="false" outlineLevel="0" collapsed="false">
      <c r="A32" s="53" t="s">
        <v>812</v>
      </c>
      <c r="B32" s="54" t="s">
        <v>758</v>
      </c>
      <c r="C32" s="108" t="n">
        <f aca="false">C29/C$10</f>
        <v>0.230591489994066</v>
      </c>
      <c r="D32" s="108" t="n">
        <f aca="false">D29/D$10</f>
        <v>0.332570010889498</v>
      </c>
      <c r="E32" s="108" t="n">
        <f aca="false">E29/E$10</f>
        <v>0.573377742821812</v>
      </c>
      <c r="F32" s="108" t="n">
        <f aca="false">F29/F$10</f>
        <v>0.0317642340295816</v>
      </c>
      <c r="G32" s="108" t="n">
        <f aca="false">G29/G$10</f>
        <v>0.0427567998847156</v>
      </c>
      <c r="H32" s="108" t="n">
        <f aca="false">H29/H$10</f>
        <v>0.0695599096920663</v>
      </c>
      <c r="I32" s="108" t="n">
        <f aca="false">I29/I$10</f>
        <v>0.0278841228490719</v>
      </c>
      <c r="J32" s="108" t="n">
        <f aca="false">J29/J$10</f>
        <v>0.0407487317839632</v>
      </c>
      <c r="K32" s="108" t="n">
        <f aca="false">K29/K$10</f>
        <v>0.0764454059983365</v>
      </c>
      <c r="L32" s="108" t="n">
        <f aca="false">L29/L$10</f>
        <v>0.0225356925808029</v>
      </c>
      <c r="M32" s="108" t="n">
        <f aca="false">M29/M$10</f>
        <v>0.0292375930286533</v>
      </c>
      <c r="N32" s="108" t="n">
        <f aca="false">N29/N$10</f>
        <v>0.0473732029262366</v>
      </c>
      <c r="O32" s="108" t="n">
        <f aca="false">O29/O$10</f>
        <v>0.0179351061419582</v>
      </c>
      <c r="P32" s="108" t="n">
        <f aca="false">P29/P$10</f>
        <v>0.0275737417756997</v>
      </c>
      <c r="Q32" s="108" t="n">
        <f aca="false">Q29/Q$10</f>
        <v>0.0505414692073894</v>
      </c>
    </row>
    <row r="33" customFormat="false" ht="15" hidden="false" customHeight="false" outlineLevel="0" collapsed="false">
      <c r="A33" s="53" t="s">
        <v>813</v>
      </c>
      <c r="B33" s="54" t="s">
        <v>758</v>
      </c>
      <c r="C33" s="119" t="n">
        <f aca="false">C30/C$10</f>
        <v>2.04283168138824E-005</v>
      </c>
      <c r="D33" s="119" t="n">
        <f aca="false">D30/D$10</f>
        <v>2.94626898218222E-005</v>
      </c>
      <c r="E33" s="119" t="n">
        <f aca="false">E30/E$10</f>
        <v>5.07960731104785E-005</v>
      </c>
      <c r="F33" s="119" t="n">
        <f aca="false">F30/F$10</f>
        <v>2.84532188620342E-005</v>
      </c>
      <c r="G33" s="119" t="n">
        <f aca="false">G30/G$10</f>
        <v>3.82999503097426E-005</v>
      </c>
      <c r="H33" s="119" t="n">
        <f aca="false">H30/H$10</f>
        <v>6.23091787023257E-005</v>
      </c>
      <c r="I33" s="119" t="n">
        <f aca="false">I30/I$10</f>
        <v>3.74663394745304E-005</v>
      </c>
      <c r="J33" s="119" t="n">
        <f aca="false">J30/J$10</f>
        <v>5.47517964412272E-005</v>
      </c>
      <c r="K33" s="119" t="n">
        <f aca="false">K30/K$10</f>
        <v>0.000102715425115024</v>
      </c>
      <c r="L33" s="119" t="n">
        <f aca="false">L30/L$10</f>
        <v>7.06532219269583E-005</v>
      </c>
      <c r="M33" s="119" t="n">
        <f aca="false">M30/M$10</f>
        <v>9.16648175536097E-005</v>
      </c>
      <c r="N33" s="119" t="n">
        <f aca="false">N30/N$10</f>
        <v>0.000148523033305373</v>
      </c>
      <c r="O33" s="119" t="n">
        <f aca="false">O30/O$10</f>
        <v>0.000112459204880241</v>
      </c>
      <c r="P33" s="119" t="n">
        <f aca="false">P30/P$10</f>
        <v>0.00017289672283644</v>
      </c>
      <c r="Q33" s="119" t="n">
        <f aca="false">Q30/Q$10</f>
        <v>0.000316912171890924</v>
      </c>
    </row>
    <row r="34" customFormat="false" ht="15" hidden="false" customHeight="false" outlineLevel="0" collapsed="false">
      <c r="A34" s="54" t="s">
        <v>814</v>
      </c>
      <c r="B34" s="54" t="s">
        <v>758</v>
      </c>
      <c r="C34" s="118" t="n">
        <f aca="false">IF(ISNUMBER(C31),C31/C$10,C31)</f>
        <v>3.0411941035252</v>
      </c>
      <c r="D34" s="118" t="n">
        <f aca="false">IF(ISNUMBER(D31),D31/D$10,D31)</f>
        <v>4.38615473690065</v>
      </c>
      <c r="E34" s="118" t="n">
        <f aca="false">IF(ISNUMBER(E31),E31/E$10,E31)</f>
        <v>7.56208744133252</v>
      </c>
      <c r="F34" s="118" t="n">
        <f aca="false">IF(ISNUMBER(F31),F31/F$10,F31)</f>
        <v>0.727370983550923</v>
      </c>
      <c r="G34" s="118" t="n">
        <f aca="false">IF(ISNUMBER(G31),G31/G$10,G31)</f>
        <v>0.979090368011785</v>
      </c>
      <c r="H34" s="118" t="n">
        <f aca="false">IF(ISNUMBER(H31),H31/H$10,H31)</f>
        <v>1.59285628865825</v>
      </c>
      <c r="I34" s="118" t="n">
        <f aca="false">IF(ISNUMBER(I31),I31/I$10,I31)</f>
        <v>0.638520099156041</v>
      </c>
      <c r="J34" s="118" t="n">
        <f aca="false">IF(ISNUMBER(J31),J31/J$10,J31)</f>
        <v>0.93310750350697</v>
      </c>
      <c r="K34" s="118" t="n">
        <f aca="false">IF(ISNUMBER(K31),K31/K$10,K31)</f>
        <v>1.75052765626825</v>
      </c>
      <c r="L34" s="118" t="n">
        <f aca="false">IF(ISNUMBER(L31),L31/L$10,L31)</f>
        <v>0.441535285710791</v>
      </c>
      <c r="M34" s="118" t="n">
        <f aca="false">IF(ISNUMBER(M31),M31/M$10,M31)</f>
        <v>0.572843676541772</v>
      </c>
      <c r="N34" s="118" t="n">
        <f aca="false">IF(ISNUMBER(N31),N31/N$10,N31)</f>
        <v>0.928169418981572</v>
      </c>
      <c r="O34" s="118" t="n">
        <f aca="false">IF(ISNUMBER(O31),O31/O$10,O31)</f>
        <v>0.337176758817748</v>
      </c>
      <c r="P34" s="118" t="n">
        <f aca="false">IF(ISNUMBER(P31),P31/P$10,P31)</f>
        <v>0.518381369299935</v>
      </c>
      <c r="Q34" s="118" t="n">
        <f aca="false">IF(ISNUMBER(Q31),Q31/Q$10,Q31)</f>
        <v>0.950170500154841</v>
      </c>
    </row>
    <row r="35" customFormat="false" ht="15" hidden="false" customHeight="false" outlineLevel="0" collapsed="false">
      <c r="A35" s="54" t="s">
        <v>815</v>
      </c>
      <c r="B35" s="54" t="s">
        <v>758</v>
      </c>
      <c r="C35" s="108" t="n">
        <f aca="false">IF(C28&gt;0,C$9/3600*C28,"SLO 不可達")</f>
        <v>1.40736184532802</v>
      </c>
      <c r="D35" s="108" t="n">
        <f aca="false">IF(D28&gt;0,D$9/3600*D28,"SLO 不可達")</f>
        <v>1.95421435787269</v>
      </c>
      <c r="E35" s="108" t="n">
        <f aca="false">IF(E28&gt;0,E$9/3600*E28,"SLO 不可達")</f>
        <v>3.37551502530559</v>
      </c>
      <c r="F35" s="108" t="n">
        <f aca="false">IF(F28&gt;0,F$9/3600*F28,"SLO 不可達")</f>
        <v>0.336348196250968</v>
      </c>
      <c r="G35" s="108" t="n">
        <f aca="false">IF(G28&gt;0,G$9/3600*G28,"SLO 不可達")</f>
        <v>0.435066389128565</v>
      </c>
      <c r="H35" s="108" t="n">
        <f aca="false">IF(H28&gt;0,H$9/3600*H28,"SLO 不可達")</f>
        <v>0.705961882511757</v>
      </c>
      <c r="I35" s="108" t="n">
        <f aca="false">IF(I28&gt;0,I$9/3600*I28,"SLO 不可達")</f>
        <v>0.297082763176056</v>
      </c>
      <c r="J35" s="108" t="n">
        <f aca="false">IF(J28&gt;0,J$9/3600*J28,"SLO 不可達")</f>
        <v>0.418001393454129</v>
      </c>
      <c r="K35" s="108" t="n">
        <f aca="false">IF(K28&gt;0,K$9/3600*K28,"SLO 不可達")</f>
        <v>0.79040549930603</v>
      </c>
      <c r="L35" s="108" t="n">
        <f aca="false">IF(L28&gt;0,L$9/3600*L28,"SLO 不可達")</f>
        <v>0.205951908386139</v>
      </c>
      <c r="M35" s="108" t="n">
        <f aca="false">IF(M28&gt;0,M$9/3600*M28,"SLO 不可達")</f>
        <v>0.256630660034907</v>
      </c>
      <c r="N35" s="108" t="n">
        <f aca="false">IF(N28&gt;0,N$9/3600*N28,"SLO 不可達")</f>
        <v>0.417103171412575</v>
      </c>
      <c r="O35" s="108" t="n">
        <f aca="false">IF(O28&gt;0,O$9/3600*O28,"SLO 不可達")</f>
        <v>0.157454667010676</v>
      </c>
      <c r="P35" s="108" t="n">
        <f aca="false">IF(P28&gt;0,P$9/3600*P28,"SLO 不可達")</f>
        <v>0.233222733655499</v>
      </c>
      <c r="Q35" s="108" t="n">
        <f aca="false">IF(Q28&gt;0,Q$9/3600*Q28,"SLO 不可達")</f>
        <v>0.431521995317274</v>
      </c>
    </row>
    <row r="36" customFormat="false" ht="15" hidden="false" customHeight="false" outlineLevel="0" collapsed="false">
      <c r="A36" s="53" t="s">
        <v>816</v>
      </c>
      <c r="B36" s="54" t="s">
        <v>758</v>
      </c>
      <c r="C36" s="87" t="n">
        <f aca="false">IF(ISNUMBER(C31),(Serving!$D$23*C29+Serving!$D$24*C31)/(Serving!$D$23+Serving!$D$24),C31)</f>
        <v>0.325728401565182</v>
      </c>
      <c r="D36" s="87" t="n">
        <f aca="false">IF(ISNUMBER(D31),(Serving!$D$23*D29+Serving!$D$24*D31)/(Serving!$D$23+Serving!$D$24),D31)</f>
        <v>0.469780988267775</v>
      </c>
      <c r="E36" s="87" t="n">
        <f aca="false">IF(ISNUMBER(E31),(Serving!$D$23*E29+Serving!$D$24*E31)/(Serving!$D$23+Serving!$D$24),E31)</f>
        <v>0.809940625593801</v>
      </c>
      <c r="F36" s="87" t="n">
        <f aca="false">IF(ISNUMBER(F31),(Serving!$D$23*F29+Serving!$D$24*F31)/(Serving!$D$23+Serving!$D$24),F31)</f>
        <v>0.0654323237191717</v>
      </c>
      <c r="G36" s="87" t="n">
        <f aca="false">IF(ISNUMBER(G31),(Serving!$D$23*G29+Serving!$D$24*G31)/(Serving!$D$23+Serving!$D$24),G31)</f>
        <v>0.0880763178059673</v>
      </c>
      <c r="H36" s="87" t="n">
        <f aca="false">IF(ISNUMBER(H31),(Serving!$D$23*H29+Serving!$D$24*H31)/(Serving!$D$23+Serving!$D$24),H31)</f>
        <v>0.143289037746319</v>
      </c>
      <c r="I36" s="87" t="n">
        <f aca="false">IF(ISNUMBER(I31),(Serving!$D$23*I29+Serving!$D$24*I31)/(Serving!$D$23+Serving!$D$24),I31)</f>
        <v>0.0574395387965744</v>
      </c>
      <c r="J36" s="87" t="n">
        <f aca="false">IF(ISNUMBER(J31),(Serving!$D$23*J29+Serving!$D$24*J31)/(Serving!$D$23+Serving!$D$24),J31)</f>
        <v>0.0839398238519117</v>
      </c>
      <c r="K36" s="87" t="n">
        <f aca="false">IF(ISNUMBER(K31),(Serving!$D$23*K29+Serving!$D$24*K31)/(Serving!$D$23+Serving!$D$24),K31)</f>
        <v>0.157472726950329</v>
      </c>
      <c r="L36" s="87" t="n">
        <f aca="false">IF(ISNUMBER(L31),(Serving!$D$23*L29+Serving!$D$24*L31)/(Serving!$D$23+Serving!$D$24),L31)</f>
        <v>0.0414547217571476</v>
      </c>
      <c r="M36" s="87" t="n">
        <f aca="false">IF(ISNUMBER(M31),(Serving!$D$23*M29+Serving!$D$24*M31)/(Serving!$D$23+Serving!$D$24),M31)</f>
        <v>0.0537829613847333</v>
      </c>
      <c r="N36" s="87" t="n">
        <f aca="false">IF(ISNUMBER(N31),(Serving!$D$23*N29+Serving!$D$24*N31)/(Serving!$D$23+Serving!$D$24),N31)</f>
        <v>0.0871436694927643</v>
      </c>
      <c r="O36" s="87" t="n">
        <f aca="false">IF(ISNUMBER(O31),(Serving!$D$23*O29+Serving!$D$24*O31)/(Serving!$D$23+Serving!$D$24),O31)</f>
        <v>0.0320438405302276</v>
      </c>
      <c r="P36" s="87" t="n">
        <f aca="false">IF(ISNUMBER(P31),(Serving!$D$23*P29+Serving!$D$24*P31)/(Serving!$D$23+Serving!$D$24),P31)</f>
        <v>0.0492647535670355</v>
      </c>
      <c r="Q36" s="87" t="n">
        <f aca="false">IF(ISNUMBER(Q31),(Serving!$D$23*Q29+Serving!$D$24*Q31)/(Serving!$D$23+Serving!$D$24),Q31)</f>
        <v>0.0903001502542638</v>
      </c>
    </row>
    <row r="38" customFormat="false" ht="15" hidden="false" customHeight="false" outlineLevel="0" collapsed="false">
      <c r="A38" s="68" t="s">
        <v>221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</row>
    <row r="39" customFormat="false" ht="15" hidden="false" customHeight="false" outlineLevel="0" collapsed="false">
      <c r="A39" s="54" t="s">
        <v>806</v>
      </c>
      <c r="B39" s="54" t="s">
        <v>744</v>
      </c>
      <c r="C39" s="91" t="n">
        <f aca="false">INDEX(Perf!$C$101:$Q$101,3*(C$6-1)+3)</f>
        <v>1484.76790293225</v>
      </c>
      <c r="D39" s="91" t="n">
        <f aca="false">INDEX(Perf!$C$101:$Q$101,3*(D$6-1)+3)</f>
        <v>1484.76790293225</v>
      </c>
      <c r="E39" s="91" t="n">
        <f aca="false">INDEX(Perf!$C$101:$Q$101,3*(E$6-1)+3)</f>
        <v>1484.76790293225</v>
      </c>
      <c r="F39" s="91" t="n">
        <f aca="false">INDEX(Perf!$C$101:$Q$101,3*(F$6-1)+3)</f>
        <v>146.8435456</v>
      </c>
      <c r="G39" s="91" t="n">
        <f aca="false">INDEX(Perf!$C$101:$Q$101,3*(G$6-1)+3)</f>
        <v>146.8435456</v>
      </c>
      <c r="H39" s="91" t="n">
        <f aca="false">INDEX(Perf!$C$101:$Q$101,3*(H$6-1)+3)</f>
        <v>146.8435456</v>
      </c>
      <c r="I39" s="91" t="n">
        <f aca="false">INDEX(Perf!$C$101:$Q$101,3*(I$6-1)+3)</f>
        <v>97.8956970666667</v>
      </c>
      <c r="J39" s="91" t="n">
        <f aca="false">INDEX(Perf!$C$101:$Q$101,3*(J$6-1)+3)</f>
        <v>97.8956970666667</v>
      </c>
      <c r="K39" s="91" t="n">
        <f aca="false">INDEX(Perf!$C$101:$Q$101,3*(K$6-1)+3)</f>
        <v>97.8956970666667</v>
      </c>
      <c r="L39" s="91" t="n">
        <f aca="false">INDEX(Perf!$C$101:$Q$101,3*(L$6-1)+3)</f>
        <v>41.9552987428571</v>
      </c>
      <c r="M39" s="91" t="n">
        <f aca="false">INDEX(Perf!$C$101:$Q$101,3*(M$6-1)+3)</f>
        <v>41.9552987428571</v>
      </c>
      <c r="N39" s="91" t="n">
        <f aca="false">INDEX(Perf!$C$101:$Q$101,3*(N$6-1)+3)</f>
        <v>41.9552987428571</v>
      </c>
      <c r="O39" s="91" t="n">
        <f aca="false">INDEX(Perf!$C$101:$Q$101,3*(O$6-1)+3)</f>
        <v>20.9776493714286</v>
      </c>
      <c r="P39" s="91" t="n">
        <f aca="false">INDEX(Perf!$C$101:$Q$101,3*(P$6-1)+3)</f>
        <v>20.9776493714286</v>
      </c>
      <c r="Q39" s="91" t="n">
        <f aca="false">INDEX(Perf!$C$101:$Q$101,3*(Q$6-1)+3)</f>
        <v>20.9776493714286</v>
      </c>
    </row>
    <row r="40" customFormat="false" ht="15" hidden="false" customHeight="false" outlineLevel="0" collapsed="false">
      <c r="A40" s="54" t="s">
        <v>807</v>
      </c>
      <c r="B40" s="54" t="s">
        <v>744</v>
      </c>
      <c r="C40" s="87" t="n">
        <f aca="false">INDEX(Perf!$C$102:$Q$102,3*(C$6-1)+3)</f>
        <v>0.576</v>
      </c>
      <c r="D40" s="87" t="n">
        <f aca="false">INDEX(Perf!$C$102:$Q$102,3*(D$6-1)+3)</f>
        <v>0.576</v>
      </c>
      <c r="E40" s="87" t="n">
        <f aca="false">INDEX(Perf!$C$102:$Q$102,3*(E$6-1)+3)</f>
        <v>0.576</v>
      </c>
      <c r="F40" s="87" t="n">
        <f aca="false">INDEX(Perf!$C$102:$Q$102,3*(F$6-1)+3)</f>
        <v>0.576</v>
      </c>
      <c r="G40" s="87" t="n">
        <f aca="false">INDEX(Perf!$C$102:$Q$102,3*(G$6-1)+3)</f>
        <v>0.576</v>
      </c>
      <c r="H40" s="87" t="n">
        <f aca="false">INDEX(Perf!$C$102:$Q$102,3*(H$6-1)+3)</f>
        <v>0.576</v>
      </c>
      <c r="I40" s="87" t="n">
        <f aca="false">INDEX(Perf!$C$102:$Q$102,3*(I$6-1)+3)</f>
        <v>0.576</v>
      </c>
      <c r="J40" s="87" t="n">
        <f aca="false">INDEX(Perf!$C$102:$Q$102,3*(J$6-1)+3)</f>
        <v>0.576</v>
      </c>
      <c r="K40" s="87" t="n">
        <f aca="false">INDEX(Perf!$C$102:$Q$102,3*(K$6-1)+3)</f>
        <v>0.576</v>
      </c>
      <c r="L40" s="87" t="n">
        <f aca="false">INDEX(Perf!$C$102:$Q$102,3*(L$6-1)+3)</f>
        <v>0.576</v>
      </c>
      <c r="M40" s="87" t="n">
        <f aca="false">INDEX(Perf!$C$102:$Q$102,3*(M$6-1)+3)</f>
        <v>0.576</v>
      </c>
      <c r="N40" s="87" t="n">
        <f aca="false">INDEX(Perf!$C$102:$Q$102,3*(N$6-1)+3)</f>
        <v>0.576</v>
      </c>
      <c r="O40" s="87" t="n">
        <f aca="false">INDEX(Perf!$C$102:$Q$102,3*(O$6-1)+3)</f>
        <v>0.576</v>
      </c>
      <c r="P40" s="87" t="n">
        <f aca="false">INDEX(Perf!$C$102:$Q$102,3*(P$6-1)+3)</f>
        <v>0.576</v>
      </c>
      <c r="Q40" s="87" t="n">
        <f aca="false">INDEX(Perf!$C$102:$Q$102,3*(Q$6-1)+3)</f>
        <v>0.576</v>
      </c>
    </row>
    <row r="41" customFormat="false" ht="15" hidden="false" customHeight="false" outlineLevel="0" collapsed="false">
      <c r="A41" s="54" t="s">
        <v>808</v>
      </c>
      <c r="B41" s="54" t="s">
        <v>744</v>
      </c>
      <c r="C41" s="91" t="n">
        <f aca="false">INDEX(Perf!$C$103:$Q$103,3*(C$6-1)+3)</f>
        <v>40694.6140792865</v>
      </c>
      <c r="D41" s="91" t="n">
        <f aca="false">INDEX(Perf!$C$103:$Q$103,3*(D$6-1)+3)</f>
        <v>40694.6140792865</v>
      </c>
      <c r="E41" s="91" t="n">
        <f aca="false">INDEX(Perf!$C$103:$Q$103,3*(E$6-1)+3)</f>
        <v>40694.6140792865</v>
      </c>
      <c r="F41" s="91" t="n">
        <f aca="false">INDEX(Perf!$C$103:$Q$103,3*(F$6-1)+3)</f>
        <v>5931.07676520949</v>
      </c>
      <c r="G41" s="91" t="n">
        <f aca="false">INDEX(Perf!$C$103:$Q$103,3*(G$6-1)+3)</f>
        <v>5931.07676520949</v>
      </c>
      <c r="H41" s="91" t="n">
        <f aca="false">INDEX(Perf!$C$103:$Q$103,3*(H$6-1)+3)</f>
        <v>5931.07676520949</v>
      </c>
      <c r="I41" s="91" t="n">
        <f aca="false">INDEX(Perf!$C$103:$Q$103,3*(I$6-1)+3)</f>
        <v>4920.52361227776</v>
      </c>
      <c r="J41" s="91" t="n">
        <f aca="false">INDEX(Perf!$C$103:$Q$103,3*(J$6-1)+3)</f>
        <v>4920.52361227776</v>
      </c>
      <c r="K41" s="91" t="n">
        <f aca="false">INDEX(Perf!$C$103:$Q$103,3*(K$6-1)+3)</f>
        <v>4920.52361227776</v>
      </c>
      <c r="L41" s="91" t="n">
        <f aca="false">INDEX(Perf!$C$103:$Q$103,3*(L$6-1)+3)</f>
        <v>1282.63712409266</v>
      </c>
      <c r="M41" s="91" t="n">
        <f aca="false">INDEX(Perf!$C$103:$Q$103,3*(M$6-1)+3)</f>
        <v>1282.63712409266</v>
      </c>
      <c r="N41" s="91" t="n">
        <f aca="false">INDEX(Perf!$C$103:$Q$103,3*(N$6-1)+3)</f>
        <v>1282.63712409266</v>
      </c>
      <c r="O41" s="91" t="n">
        <f aca="false">INDEX(Perf!$C$103:$Q$103,3*(O$6-1)+3)</f>
        <v>575.147245462511</v>
      </c>
      <c r="P41" s="91" t="n">
        <f aca="false">INDEX(Perf!$C$103:$Q$103,3*(P$6-1)+3)</f>
        <v>575.147245462511</v>
      </c>
      <c r="Q41" s="91" t="n">
        <f aca="false">INDEX(Perf!$C$103:$Q$103,3*(Q$6-1)+3)</f>
        <v>575.147245462511</v>
      </c>
    </row>
    <row r="42" customFormat="false" ht="15" hidden="false" customHeight="false" outlineLevel="0" collapsed="false">
      <c r="A42" s="53" t="s">
        <v>809</v>
      </c>
      <c r="B42" s="54" t="s">
        <v>758</v>
      </c>
      <c r="C42" s="118" t="n">
        <f aca="false">C$8/3600*C39</f>
        <v>0.458985762161673</v>
      </c>
      <c r="D42" s="118" t="n">
        <f aca="false">D$8/3600*D39</f>
        <v>0.661971089757736</v>
      </c>
      <c r="E42" s="118" t="n">
        <f aca="false">E$8/3600*E39</f>
        <v>1.14129198914661</v>
      </c>
      <c r="F42" s="118" t="n">
        <f aca="false">F$8/3600*F39</f>
        <v>0.0632257988615471</v>
      </c>
      <c r="G42" s="118" t="n">
        <f aca="false">G$8/3600*G39</f>
        <v>0.0851061866298072</v>
      </c>
      <c r="H42" s="118" t="n">
        <f aca="false">H$8/3600*H39</f>
        <v>0.138457009695942</v>
      </c>
      <c r="I42" s="118" t="n">
        <f aca="false">I$8/3600*I39</f>
        <v>0.0555025485911051</v>
      </c>
      <c r="J42" s="118" t="n">
        <f aca="false">J$8/3600*J39</f>
        <v>0.0811091845387063</v>
      </c>
      <c r="K42" s="118" t="n">
        <f aca="false">K$8/3600*K39</f>
        <v>0.152162393056257</v>
      </c>
      <c r="L42" s="118" t="n">
        <f aca="false">L$8/3600*L39</f>
        <v>0.044856651194314</v>
      </c>
      <c r="M42" s="118" t="n">
        <f aca="false">M$8/3600*M39</f>
        <v>0.0581965922522752</v>
      </c>
      <c r="N42" s="118" t="n">
        <f aca="false">N$8/3600*N39</f>
        <v>0.0942950047796553</v>
      </c>
      <c r="O42" s="118" t="n">
        <f aca="false">O$8/3600*O39</f>
        <v>0.0356993155394807</v>
      </c>
      <c r="P42" s="118" t="n">
        <f aca="false">P$8/3600*P39</f>
        <v>0.0548847439465106</v>
      </c>
      <c r="Q42" s="118" t="n">
        <f aca="false">Q$8/3600*Q39</f>
        <v>0.100601348148283</v>
      </c>
    </row>
    <row r="43" customFormat="false" ht="15" hidden="false" customHeight="false" outlineLevel="0" collapsed="false">
      <c r="A43" s="53" t="s">
        <v>810</v>
      </c>
      <c r="B43" s="54" t="s">
        <v>758</v>
      </c>
      <c r="C43" s="119" t="n">
        <f aca="false">C$8/3600*C40</f>
        <v>0.000178058670640044</v>
      </c>
      <c r="D43" s="119" t="n">
        <f aca="false">D$8/3600*D40</f>
        <v>0.000256804681019464</v>
      </c>
      <c r="E43" s="119" t="n">
        <f aca="false">E$8/3600*E40</f>
        <v>0.000442752153013402</v>
      </c>
      <c r="F43" s="119" t="n">
        <f aca="false">F$8/3600*F40</f>
        <v>0.000248005862262775</v>
      </c>
      <c r="G43" s="119" t="n">
        <f aca="false">G$8/3600*G40</f>
        <v>0.000333832605978488</v>
      </c>
      <c r="H43" s="119" t="n">
        <f aca="false">H$8/3600*H40</f>
        <v>0.000543103459256589</v>
      </c>
      <c r="I43" s="119" t="n">
        <f aca="false">I$8/3600*I40</f>
        <v>0.00032656663108191</v>
      </c>
      <c r="J43" s="119" t="n">
        <f aca="false">J$8/3600*J40</f>
        <v>0.000477231295084189</v>
      </c>
      <c r="K43" s="119" t="n">
        <f aca="false">K$8/3600*K40</f>
        <v>0.000895295105163995</v>
      </c>
      <c r="L43" s="119" t="n">
        <f aca="false">L$8/3600*L40</f>
        <v>0.000615832370692479</v>
      </c>
      <c r="M43" s="119" t="n">
        <f aca="false">M$8/3600*M40</f>
        <v>0.000798975055397919</v>
      </c>
      <c r="N43" s="119" t="n">
        <f aca="false">N$8/3600*N40</f>
        <v>0.00129456646432123</v>
      </c>
      <c r="O43" s="119" t="n">
        <f aca="false">O$8/3600*O40</f>
        <v>0.000980224494492091</v>
      </c>
      <c r="P43" s="119" t="n">
        <f aca="false">P$8/3600*P40</f>
        <v>0.00150701405831712</v>
      </c>
      <c r="Q43" s="119" t="n">
        <f aca="false">Q$8/3600*Q40</f>
        <v>0.00276229121325355</v>
      </c>
    </row>
    <row r="44" customFormat="false" ht="15" hidden="false" customHeight="false" outlineLevel="0" collapsed="false">
      <c r="A44" s="54" t="s">
        <v>811</v>
      </c>
      <c r="B44" s="54" t="s">
        <v>758</v>
      </c>
      <c r="C44" s="118" t="n">
        <f aca="false">IF(C41&gt;0,C$8/3600*C41,"SLO 不可達")</f>
        <v>12.5799112589712</v>
      </c>
      <c r="D44" s="118" t="n">
        <f aca="false">IF(D41&gt;0,D$8/3600*D41,"SLO 不可達")</f>
        <v>18.1433461594468</v>
      </c>
      <c r="E44" s="118" t="n">
        <f aca="false">IF(E41&gt;0,E$8/3600*E41,"SLO 不可達")</f>
        <v>31.2806041660653</v>
      </c>
      <c r="F44" s="118" t="n">
        <f aca="false">IF(F41&gt;0,F$8/3600*F41,"SLO 不可達")</f>
        <v>2.55371841545571</v>
      </c>
      <c r="G44" s="118" t="n">
        <f aca="false">IF(G41&gt;0,G$8/3600*G41,"SLO 不可達")</f>
        <v>3.43747710553532</v>
      </c>
      <c r="H44" s="118" t="n">
        <f aca="false">IF(H41&gt;0,H$8/3600*H41,"SLO 不可達")</f>
        <v>5.59234081302371</v>
      </c>
      <c r="I44" s="118" t="n">
        <f aca="false">IF(I41&gt;0,I$8/3600*I41,"SLO 不可達")</f>
        <v>2.78972017225788</v>
      </c>
      <c r="J44" s="118" t="n">
        <f aca="false">IF(J41&gt;0,J$8/3600*J41,"SLO 不可達")</f>
        <v>4.07678447218689</v>
      </c>
      <c r="K44" s="118" t="n">
        <f aca="false">IF(K41&gt;0,K$8/3600*K41,"SLO 不可達")</f>
        <v>7.64812622381274</v>
      </c>
      <c r="L44" s="118" t="n">
        <f aca="false">IF(L41&gt;0,L$8/3600*L41,"SLO 不可達")</f>
        <v>1.37133586956278</v>
      </c>
      <c r="M44" s="118" t="n">
        <f aca="false">IF(M41&gt;0,M$8/3600*M41,"SLO 不可達")</f>
        <v>1.77915810291208</v>
      </c>
      <c r="N44" s="118" t="n">
        <f aca="false">IF(N41&gt;0,N$8/3600*N41,"SLO 不可達")</f>
        <v>2.88274133115239</v>
      </c>
      <c r="O44" s="118" t="n">
        <f aca="false">IF(O41&gt;0,O$8/3600*O41,"SLO 不可達")</f>
        <v>0.978773295038209</v>
      </c>
      <c r="P44" s="118" t="n">
        <f aca="false">IF(P41&gt;0,P$8/3600*P41,"SLO 不可達")</f>
        <v>1.50478295922634</v>
      </c>
      <c r="Q44" s="118" t="n">
        <f aca="false">IF(Q41&gt;0,Q$8/3600*Q41,"SLO 不可達")</f>
        <v>2.75820170567374</v>
      </c>
    </row>
    <row r="45" customFormat="false" ht="15" hidden="false" customHeight="false" outlineLevel="0" collapsed="false">
      <c r="A45" s="53" t="s">
        <v>812</v>
      </c>
      <c r="B45" s="54" t="s">
        <v>758</v>
      </c>
      <c r="C45" s="108" t="n">
        <f aca="false">C42/C$10</f>
        <v>0.764976270269455</v>
      </c>
      <c r="D45" s="108" t="n">
        <f aca="false">D42/D$10</f>
        <v>1.10328514959623</v>
      </c>
      <c r="E45" s="108" t="n">
        <f aca="false">E42/E$10</f>
        <v>1.90215331524436</v>
      </c>
      <c r="F45" s="108" t="n">
        <f aca="false">F42/F$10</f>
        <v>0.105376331435912</v>
      </c>
      <c r="G45" s="108" t="n">
        <f aca="false">G42/G$10</f>
        <v>0.141843644383012</v>
      </c>
      <c r="H45" s="108" t="n">
        <f aca="false">H42/H$10</f>
        <v>0.23076168282657</v>
      </c>
      <c r="I45" s="108" t="n">
        <f aca="false">I42/I$10</f>
        <v>0.0925042476518418</v>
      </c>
      <c r="J45" s="108" t="n">
        <f aca="false">J42/J$10</f>
        <v>0.135181974231177</v>
      </c>
      <c r="K45" s="108" t="n">
        <f aca="false">K42/K$10</f>
        <v>0.253603988427095</v>
      </c>
      <c r="L45" s="108" t="n">
        <f aca="false">L42/L$10</f>
        <v>0.0747610853238567</v>
      </c>
      <c r="M45" s="108" t="n">
        <f aca="false">M42/M$10</f>
        <v>0.0969943204204587</v>
      </c>
      <c r="N45" s="108" t="n">
        <f aca="false">N42/N$10</f>
        <v>0.157158341299426</v>
      </c>
      <c r="O45" s="108" t="n">
        <f aca="false">O42/O$10</f>
        <v>0.0594988592324679</v>
      </c>
      <c r="P45" s="108" t="n">
        <f aca="false">P42/P$10</f>
        <v>0.0914745732441844</v>
      </c>
      <c r="Q45" s="108" t="n">
        <f aca="false">Q42/Q$10</f>
        <v>0.167668913580472</v>
      </c>
    </row>
    <row r="46" customFormat="false" ht="15" hidden="false" customHeight="false" outlineLevel="0" collapsed="false">
      <c r="A46" s="53" t="s">
        <v>813</v>
      </c>
      <c r="B46" s="54" t="s">
        <v>758</v>
      </c>
      <c r="C46" s="119" t="n">
        <f aca="false">C43/C$10</f>
        <v>0.00029676445106674</v>
      </c>
      <c r="D46" s="119" t="n">
        <f aca="false">D43/D$10</f>
        <v>0.000428007801699106</v>
      </c>
      <c r="E46" s="119" t="n">
        <f aca="false">E43/E$10</f>
        <v>0.000737920255022336</v>
      </c>
      <c r="F46" s="119" t="n">
        <f aca="false">F43/F$10</f>
        <v>0.000413343103771292</v>
      </c>
      <c r="G46" s="119" t="n">
        <f aca="false">G43/G$10</f>
        <v>0.000556387676630813</v>
      </c>
      <c r="H46" s="119" t="n">
        <f aca="false">H43/H$10</f>
        <v>0.000905172432094316</v>
      </c>
      <c r="I46" s="119" t="n">
        <f aca="false">I43/I$10</f>
        <v>0.000544277718469849</v>
      </c>
      <c r="J46" s="119" t="n">
        <f aca="false">J43/J$10</f>
        <v>0.000795385491806982</v>
      </c>
      <c r="K46" s="119" t="n">
        <f aca="false">K43/K$10</f>
        <v>0.00149215850860666</v>
      </c>
      <c r="L46" s="119" t="n">
        <f aca="false">L43/L$10</f>
        <v>0.00102638728448746</v>
      </c>
      <c r="M46" s="119" t="n">
        <f aca="false">M43/M$10</f>
        <v>0.00133162509232987</v>
      </c>
      <c r="N46" s="119" t="n">
        <f aca="false">N43/N$10</f>
        <v>0.00215761077386871</v>
      </c>
      <c r="O46" s="119" t="n">
        <f aca="false">O43/O$10</f>
        <v>0.00163370749082015</v>
      </c>
      <c r="P46" s="119" t="n">
        <f aca="false">P43/P$10</f>
        <v>0.0025116900971952</v>
      </c>
      <c r="Q46" s="119" t="n">
        <f aca="false">Q43/Q$10</f>
        <v>0.00460381868875591</v>
      </c>
    </row>
    <row r="47" customFormat="false" ht="15" hidden="false" customHeight="false" outlineLevel="0" collapsed="false">
      <c r="A47" s="54" t="s">
        <v>814</v>
      </c>
      <c r="B47" s="54" t="s">
        <v>758</v>
      </c>
      <c r="C47" s="118" t="n">
        <f aca="false">IF(ISNUMBER(C44),C44/C$10,C44)</f>
        <v>20.9665187649519</v>
      </c>
      <c r="D47" s="118" t="n">
        <f aca="false">IF(ISNUMBER(D44),D44/D$10,D44)</f>
        <v>30.2389102657447</v>
      </c>
      <c r="E47" s="118" t="n">
        <f aca="false">IF(ISNUMBER(E44),E44/E$10,E44)</f>
        <v>52.1343402767755</v>
      </c>
      <c r="F47" s="118" t="n">
        <f aca="false">IF(ISNUMBER(F44),F44/F$10,F44)</f>
        <v>4.25619735909286</v>
      </c>
      <c r="G47" s="118" t="n">
        <f aca="false">IF(ISNUMBER(G44),G44/G$10,G44)</f>
        <v>5.72912850922554</v>
      </c>
      <c r="H47" s="118" t="n">
        <f aca="false">IF(ISNUMBER(H44),H44/H$10,H44)</f>
        <v>9.32056802170618</v>
      </c>
      <c r="I47" s="118" t="n">
        <f aca="false">IF(ISNUMBER(I44),I44/I$10,I44)</f>
        <v>4.6495336204298</v>
      </c>
      <c r="J47" s="118" t="n">
        <f aca="false">IF(ISNUMBER(J44),J44/J$10,J44)</f>
        <v>6.79464078697815</v>
      </c>
      <c r="K47" s="118" t="n">
        <f aca="false">IF(ISNUMBER(K44),K44/K$10,K44)</f>
        <v>12.7468770396879</v>
      </c>
      <c r="L47" s="118" t="n">
        <f aca="false">IF(ISNUMBER(L44),L44/L$10,L44)</f>
        <v>2.28555978260464</v>
      </c>
      <c r="M47" s="118" t="n">
        <f aca="false">IF(ISNUMBER(M44),M44/M$10,M44)</f>
        <v>2.96526350485346</v>
      </c>
      <c r="N47" s="118" t="n">
        <f aca="false">IF(ISNUMBER(N44),N44/N$10,N44)</f>
        <v>4.80456888525399</v>
      </c>
      <c r="O47" s="118" t="n">
        <f aca="false">IF(ISNUMBER(O44),O44/O$10,O44)</f>
        <v>1.63128882506368</v>
      </c>
      <c r="P47" s="118" t="n">
        <f aca="false">IF(ISNUMBER(P44),P44/P$10,P44)</f>
        <v>2.50797159871056</v>
      </c>
      <c r="Q47" s="118" t="n">
        <f aca="false">IF(ISNUMBER(Q44),Q44/Q$10,Q44)</f>
        <v>4.59700284278957</v>
      </c>
    </row>
    <row r="48" customFormat="false" ht="15" hidden="false" customHeight="false" outlineLevel="0" collapsed="false">
      <c r="A48" s="54" t="s">
        <v>815</v>
      </c>
      <c r="B48" s="54" t="s">
        <v>758</v>
      </c>
      <c r="C48" s="108" t="n">
        <f aca="false">IF(C41&gt;0,C$9/3600*C41,"SLO 不可達")</f>
        <v>9.70259626143025</v>
      </c>
      <c r="D48" s="108" t="n">
        <f aca="false">IF(D41&gt;0,D$9/3600*D41,"SLO 不可達")</f>
        <v>13.472692176268</v>
      </c>
      <c r="E48" s="108" t="n">
        <f aca="false">IF(E41&gt;0,E$9/3600*E41,"SLO 不可達")</f>
        <v>23.2713850909453</v>
      </c>
      <c r="F48" s="108" t="n">
        <f aca="false">IF(F41&gt;0,F$9/3600*F41,"SLO 不可達")</f>
        <v>1.96813501912094</v>
      </c>
      <c r="G48" s="108" t="n">
        <f aca="false">IF(G41&gt;0,G$9/3600*G41,"SLO 不可達")</f>
        <v>2.54578263130485</v>
      </c>
      <c r="H48" s="108" t="n">
        <f aca="false">IF(H41&gt;0,H$9/3600*H41,"SLO 不可達")</f>
        <v>4.13092241499403</v>
      </c>
      <c r="I48" s="108" t="n">
        <f aca="false">IF(I41&gt;0,I$9/3600*I41,"SLO 不可達")</f>
        <v>2.16327770615674</v>
      </c>
      <c r="J48" s="108" t="n">
        <f aca="false">IF(J41&gt;0,J$9/3600*J41,"SLO 不可達")</f>
        <v>3.04377502731754</v>
      </c>
      <c r="K48" s="108" t="n">
        <f aca="false">IF(K41&gt;0,K$9/3600*K41,"SLO 不可達")</f>
        <v>5.75552272771587</v>
      </c>
      <c r="L48" s="108" t="n">
        <f aca="false">IF(L41&gt;0,L$9/3600*L41,"SLO 不可達")</f>
        <v>1.06608783984335</v>
      </c>
      <c r="M48" s="108" t="n">
        <f aca="false">IF(M41&gt;0,M$9/3600*M41,"SLO 不可達")</f>
        <v>1.32842093155666</v>
      </c>
      <c r="N48" s="108" t="n">
        <f aca="false">IF(N41&gt;0,N$9/3600*N41,"SLO 不可達")</f>
        <v>2.15908957818121</v>
      </c>
      <c r="O48" s="108" t="n">
        <f aca="false">IF(O41&gt;0,O$9/3600*O41,"SLO 不可達")</f>
        <v>0.761778598410081</v>
      </c>
      <c r="P48" s="108" t="n">
        <f aca="false">IF(P41&gt;0,P$9/3600*P41,"SLO 不可達")</f>
        <v>1.12835072173128</v>
      </c>
      <c r="Q48" s="108" t="n">
        <f aca="false">IF(Q41&gt;0,Q$9/3600*Q41,"SLO 不可達")</f>
        <v>2.08773882042904</v>
      </c>
    </row>
    <row r="49" customFormat="false" ht="15" hidden="false" customHeight="false" outlineLevel="0" collapsed="false">
      <c r="A49" s="53" t="s">
        <v>816</v>
      </c>
      <c r="B49" s="54" t="s">
        <v>758</v>
      </c>
      <c r="C49" s="87" t="n">
        <f aca="false">IF(ISNUMBER(C44),(Serving!$E$23*C42+Serving!$E$24*C44)/(Serving!$E$23+Serving!$E$24),C44)</f>
        <v>1.80575526180717</v>
      </c>
      <c r="D49" s="87" t="n">
        <f aca="false">IF(ISNUMBER(D44),(Serving!$E$23*D42+Serving!$E$24*D44)/(Serving!$E$23+Serving!$E$24),D44)</f>
        <v>2.60434609750097</v>
      </c>
      <c r="E49" s="87" t="n">
        <f aca="false">IF(ISNUMBER(E44),(Serving!$E$23*E42+Serving!$E$24*E44)/(Serving!$E$23+Serving!$E$24),E44)</f>
        <v>4.49010445324869</v>
      </c>
      <c r="F49" s="87" t="n">
        <f aca="false">IF(ISNUMBER(F44),(Serving!$E$23*F42+Serving!$E$24*F44)/(Serving!$E$23+Serving!$E$24),F44)</f>
        <v>0.339947200705343</v>
      </c>
      <c r="G49" s="87" t="n">
        <f aca="false">IF(ISNUMBER(G44),(Serving!$E$23*G42+Serving!$E$24*G44)/(Serving!$E$23+Serving!$E$24),G44)</f>
        <v>0.457591844285976</v>
      </c>
      <c r="H49" s="87" t="n">
        <f aca="false">IF(ISNUMBER(H44),(Serving!$E$23*H42+Serving!$E$24*H44)/(Serving!$E$23+Serving!$E$24),H44)</f>
        <v>0.744444098954583</v>
      </c>
      <c r="I49" s="87" t="n">
        <f aca="false">IF(ISNUMBER(I44),(Serving!$E$23*I42+Serving!$E$24*I44)/(Serving!$E$23+Serving!$E$24),I44)</f>
        <v>0.359304506776302</v>
      </c>
      <c r="J49" s="87" t="n">
        <f aca="false">IF(ISNUMBER(J44),(Serving!$E$23*J42+Serving!$E$24*J44)/(Serving!$E$23+Serving!$E$24),J44)</f>
        <v>0.525073105388505</v>
      </c>
      <c r="K49" s="87" t="n">
        <f aca="false">IF(ISNUMBER(K44),(Serving!$E$23*K42+Serving!$E$24*K44)/(Serving!$E$23+Serving!$E$24),K44)</f>
        <v>0.985047263140311</v>
      </c>
      <c r="L49" s="87" t="n">
        <f aca="false">IF(ISNUMBER(L44),(Serving!$E$23*L42+Serving!$E$24*L44)/(Serving!$E$23+Serving!$E$24),L44)</f>
        <v>0.192243231013033</v>
      </c>
      <c r="M49" s="87" t="n">
        <f aca="false">IF(ISNUMBER(M44),(Serving!$E$23*M42+Serving!$E$24*M44)/(Serving!$E$23+Serving!$E$24),M44)</f>
        <v>0.249414537881142</v>
      </c>
      <c r="N49" s="87" t="n">
        <f aca="false">IF(ISNUMBER(N44),(Serving!$E$23*N42+Serving!$E$24*N44)/(Serving!$E$23+Serving!$E$24),N44)</f>
        <v>0.404122374376626</v>
      </c>
      <c r="O49" s="87" t="n">
        <f aca="false">IF(ISNUMBER(O44),(Serving!$E$23*O42+Serving!$E$24*O44)/(Serving!$E$23+Serving!$E$24),O44)</f>
        <v>0.140485313261562</v>
      </c>
      <c r="P49" s="87" t="n">
        <f aca="false">IF(ISNUMBER(P44),(Serving!$E$23*P42+Serving!$E$24*P44)/(Serving!$E$23+Serving!$E$24),P44)</f>
        <v>0.215984545644269</v>
      </c>
      <c r="Q49" s="87" t="n">
        <f aca="false">IF(ISNUMBER(Q44),(Serving!$E$23*Q42+Serving!$E$24*Q44)/(Serving!$E$23+Serving!$E$24),Q44)</f>
        <v>0.395890276762223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817</v>
      </c>
    </row>
    <row r="2" customFormat="false" ht="15" hidden="false" customHeight="true" outlineLevel="0" collapsed="false">
      <c r="A2" s="10" t="s">
        <v>818</v>
      </c>
    </row>
    <row r="4" customFormat="false" ht="15" hidden="false" customHeight="true" outlineLevel="0" collapsed="false">
      <c r="A4" s="19" t="s">
        <v>136</v>
      </c>
      <c r="C4" s="120" t="str">
        <f aca="false">Spec_Rack!C4</f>
        <v>Hopper H100</v>
      </c>
      <c r="D4" s="120" t="str">
        <f aca="false">Spec_Rack!C4</f>
        <v>Hopper H100</v>
      </c>
      <c r="E4" s="120" t="str">
        <f aca="false">Spec_Rack!C4</f>
        <v>Hopper H100</v>
      </c>
      <c r="F4" s="120" t="str">
        <f aca="false">Spec_Rack!D4</f>
        <v>GB200 NVL72</v>
      </c>
      <c r="G4" s="120" t="str">
        <f aca="false">Spec_Rack!D4</f>
        <v>GB200 NVL72</v>
      </c>
      <c r="H4" s="120" t="str">
        <f aca="false">Spec_Rack!D4</f>
        <v>GB200 NVL72</v>
      </c>
      <c r="I4" s="120" t="str">
        <f aca="false">Spec_Rack!E4</f>
        <v>GB300 NVL72</v>
      </c>
      <c r="J4" s="120" t="str">
        <f aca="false">Spec_Rack!E4</f>
        <v>GB300 NVL72</v>
      </c>
      <c r="K4" s="120" t="str">
        <f aca="false">Spec_Rack!E4</f>
        <v>GB300 NVL72</v>
      </c>
      <c r="L4" s="120" t="str">
        <f aca="false">Spec_Rack!F4</f>
        <v>VR200 NVL72</v>
      </c>
      <c r="M4" s="120" t="str">
        <f aca="false">Spec_Rack!F4</f>
        <v>VR200 NVL72</v>
      </c>
      <c r="N4" s="120" t="str">
        <f aca="false">Spec_Rack!F4</f>
        <v>VR200 NVL72</v>
      </c>
      <c r="O4" s="120" t="str">
        <f aca="false">Spec_Rack!G4</f>
        <v>Rubin Ultra（MGX NVL 單架，72 GPU）</v>
      </c>
      <c r="P4" s="120" t="str">
        <f aca="false">Spec_Rack!G4</f>
        <v>Rubin Ultra（MGX NVL 單架，72 GPU）</v>
      </c>
      <c r="Q4" s="120" t="str">
        <f aca="false">Spec_Rack!G4</f>
        <v>Rubin Ultra（MGX NVL 單架，72 GPU）</v>
      </c>
    </row>
    <row r="5" customFormat="false" ht="15" hidden="false" customHeight="true" outlineLevel="0" collapsed="false">
      <c r="A5" s="19" t="s">
        <v>28</v>
      </c>
      <c r="C5" s="27" t="s">
        <v>56</v>
      </c>
      <c r="D5" s="27" t="s">
        <v>57</v>
      </c>
      <c r="E5" s="27" t="s">
        <v>58</v>
      </c>
      <c r="F5" s="27" t="s">
        <v>56</v>
      </c>
      <c r="G5" s="27" t="s">
        <v>57</v>
      </c>
      <c r="H5" s="27" t="s">
        <v>58</v>
      </c>
      <c r="I5" s="27" t="s">
        <v>56</v>
      </c>
      <c r="J5" s="27" t="s">
        <v>57</v>
      </c>
      <c r="K5" s="27" t="s">
        <v>58</v>
      </c>
      <c r="L5" s="27" t="s">
        <v>56</v>
      </c>
      <c r="M5" s="27" t="s">
        <v>57</v>
      </c>
      <c r="N5" s="27" t="s">
        <v>58</v>
      </c>
      <c r="O5" s="27" t="s">
        <v>56</v>
      </c>
      <c r="P5" s="27" t="s">
        <v>57</v>
      </c>
      <c r="Q5" s="27" t="s">
        <v>58</v>
      </c>
    </row>
    <row r="7" customFormat="false" ht="15" hidden="false" customHeight="true" outlineLevel="0" collapsed="false">
      <c r="A7" s="24" t="s">
        <v>819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 customFormat="false" ht="15" hidden="false" customHeight="true" outlineLevel="0" collapsed="false">
      <c r="A8" s="14" t="s">
        <v>820</v>
      </c>
      <c r="B8" s="15" t="s">
        <v>821</v>
      </c>
      <c r="C8" s="16" t="n">
        <f aca="false">Inputs!$E$5*1000</f>
        <v>1000</v>
      </c>
      <c r="D8" s="16" t="n">
        <f aca="false">Inputs!$E$5*1000</f>
        <v>1000</v>
      </c>
      <c r="E8" s="16" t="n">
        <f aca="false">Inputs!$E$5*1000</f>
        <v>1000</v>
      </c>
      <c r="F8" s="16" t="n">
        <f aca="false">Inputs!$E$5*1000</f>
        <v>1000</v>
      </c>
      <c r="G8" s="16" t="n">
        <f aca="false">Inputs!$E$5*1000</f>
        <v>1000</v>
      </c>
      <c r="H8" s="16" t="n">
        <f aca="false">Inputs!$E$5*1000</f>
        <v>1000</v>
      </c>
      <c r="I8" s="16" t="n">
        <f aca="false">Inputs!$E$5*1000</f>
        <v>1000</v>
      </c>
      <c r="J8" s="16" t="n">
        <f aca="false">Inputs!$E$5*1000</f>
        <v>1000</v>
      </c>
      <c r="K8" s="16" t="n">
        <f aca="false">Inputs!$E$5*1000</f>
        <v>1000</v>
      </c>
      <c r="L8" s="16" t="n">
        <f aca="false">Inputs!$E$5*1000</f>
        <v>1000</v>
      </c>
      <c r="M8" s="16" t="n">
        <f aca="false">Inputs!$E$5*1000</f>
        <v>1000</v>
      </c>
      <c r="N8" s="16" t="n">
        <f aca="false">Inputs!$E$5*1000</f>
        <v>1000</v>
      </c>
      <c r="O8" s="16" t="n">
        <f aca="false">Inputs!$E$5*1000</f>
        <v>1000</v>
      </c>
      <c r="P8" s="16" t="n">
        <f aca="false">Inputs!$E$5*1000</f>
        <v>1000</v>
      </c>
      <c r="Q8" s="16" t="n">
        <f aca="false">Inputs!$E$5*1000</f>
        <v>1000</v>
      </c>
    </row>
    <row r="9" customFormat="false" ht="15" hidden="false" customHeight="true" outlineLevel="0" collapsed="false">
      <c r="A9" s="19" t="s">
        <v>70</v>
      </c>
      <c r="B9" s="15" t="s">
        <v>71</v>
      </c>
      <c r="C9" s="25" t="n">
        <f aca="false">Inputs!$E$8</f>
        <v>0.08</v>
      </c>
      <c r="D9" s="25" t="n">
        <f aca="false">Inputs!$E$8</f>
        <v>0.08</v>
      </c>
      <c r="E9" s="25" t="n">
        <f aca="false">Inputs!$E$8</f>
        <v>0.08</v>
      </c>
      <c r="F9" s="25" t="n">
        <f aca="false">Inputs!$E$8</f>
        <v>0.08</v>
      </c>
      <c r="G9" s="25" t="n">
        <f aca="false">Inputs!$E$8</f>
        <v>0.08</v>
      </c>
      <c r="H9" s="25" t="n">
        <f aca="false">Inputs!$E$8</f>
        <v>0.08</v>
      </c>
      <c r="I9" s="25" t="n">
        <f aca="false">Inputs!$E$8</f>
        <v>0.08</v>
      </c>
      <c r="J9" s="25" t="n">
        <f aca="false">Inputs!$E$8</f>
        <v>0.08</v>
      </c>
      <c r="K9" s="25" t="n">
        <f aca="false">Inputs!$E$8</f>
        <v>0.08</v>
      </c>
      <c r="L9" s="25" t="n">
        <f aca="false">Inputs!$E$8</f>
        <v>0.08</v>
      </c>
      <c r="M9" s="25" t="n">
        <f aca="false">Inputs!$E$8</f>
        <v>0.08</v>
      </c>
      <c r="N9" s="25" t="n">
        <f aca="false">Inputs!$E$8</f>
        <v>0.08</v>
      </c>
      <c r="O9" s="25" t="n">
        <f aca="false">Inputs!$E$8</f>
        <v>0.08</v>
      </c>
      <c r="P9" s="25" t="n">
        <f aca="false">Inputs!$E$8</f>
        <v>0.08</v>
      </c>
      <c r="Q9" s="25" t="n">
        <f aca="false">Inputs!$E$8</f>
        <v>0.08</v>
      </c>
    </row>
    <row r="10" customFormat="false" ht="15" hidden="false" customHeight="true" outlineLevel="0" collapsed="false">
      <c r="A10" s="19" t="s">
        <v>822</v>
      </c>
      <c r="B10" s="15" t="s">
        <v>821</v>
      </c>
      <c r="C10" s="16" t="n">
        <f aca="false">C8*(1-C9)</f>
        <v>920</v>
      </c>
      <c r="D10" s="16" t="n">
        <f aca="false">D8*(1-D9)</f>
        <v>920</v>
      </c>
      <c r="E10" s="16" t="n">
        <f aca="false">E8*(1-E9)</f>
        <v>920</v>
      </c>
      <c r="F10" s="16" t="n">
        <f aca="false">F8*(1-F9)</f>
        <v>920</v>
      </c>
      <c r="G10" s="16" t="n">
        <f aca="false">G8*(1-G9)</f>
        <v>920</v>
      </c>
      <c r="H10" s="16" t="n">
        <f aca="false">H8*(1-H9)</f>
        <v>920</v>
      </c>
      <c r="I10" s="16" t="n">
        <f aca="false">I8*(1-I9)</f>
        <v>920</v>
      </c>
      <c r="J10" s="16" t="n">
        <f aca="false">J8*(1-J9)</f>
        <v>920</v>
      </c>
      <c r="K10" s="16" t="n">
        <f aca="false">K8*(1-K9)</f>
        <v>920</v>
      </c>
      <c r="L10" s="16" t="n">
        <f aca="false">L8*(1-L9)</f>
        <v>920</v>
      </c>
      <c r="M10" s="16" t="n">
        <f aca="false">M8*(1-M9)</f>
        <v>920</v>
      </c>
      <c r="N10" s="16" t="n">
        <f aca="false">N8*(1-N9)</f>
        <v>920</v>
      </c>
      <c r="O10" s="16" t="n">
        <f aca="false">O8*(1-O9)</f>
        <v>920</v>
      </c>
      <c r="P10" s="16" t="n">
        <f aca="false">P8*(1-P9)</f>
        <v>920</v>
      </c>
      <c r="Q10" s="16" t="n">
        <f aca="false">Q8*(1-Q9)</f>
        <v>920</v>
      </c>
    </row>
    <row r="11" customFormat="false" ht="15" hidden="false" customHeight="true" outlineLevel="0" collapsed="false">
      <c r="A11" s="19" t="s">
        <v>693</v>
      </c>
      <c r="B11" s="15" t="s">
        <v>694</v>
      </c>
      <c r="C11" s="26" t="n">
        <f aca="false">CHOOSE(Inputs!$E$6,Spec_Rack!C8,Spec_Rack!C9,Spec_Rack!C10)</f>
        <v>41</v>
      </c>
      <c r="D11" s="26" t="n">
        <f aca="false">CHOOSE(Inputs!$E$6,Spec_Rack!C8,Spec_Rack!C9,Spec_Rack!C10)</f>
        <v>41</v>
      </c>
      <c r="E11" s="26" t="n">
        <f aca="false">CHOOSE(Inputs!$E$6,Spec_Rack!C8,Spec_Rack!C9,Spec_Rack!C10)</f>
        <v>41</v>
      </c>
      <c r="F11" s="26" t="n">
        <f aca="false">CHOOSE(Inputs!$E$6,Spec_Rack!D8,Spec_Rack!D9,Spec_Rack!D10)</f>
        <v>132</v>
      </c>
      <c r="G11" s="26" t="n">
        <f aca="false">CHOOSE(Inputs!$E$6,Spec_Rack!D8,Spec_Rack!D9,Spec_Rack!D10)</f>
        <v>132</v>
      </c>
      <c r="H11" s="26" t="n">
        <f aca="false">CHOOSE(Inputs!$E$6,Spec_Rack!D8,Spec_Rack!D9,Spec_Rack!D10)</f>
        <v>132</v>
      </c>
      <c r="I11" s="26" t="n">
        <f aca="false">CHOOSE(Inputs!$E$6,Spec_Rack!E8,Spec_Rack!E9,Spec_Rack!E10)</f>
        <v>136</v>
      </c>
      <c r="J11" s="26" t="n">
        <f aca="false">CHOOSE(Inputs!$E$6,Spec_Rack!E8,Spec_Rack!E9,Spec_Rack!E10)</f>
        <v>136</v>
      </c>
      <c r="K11" s="26" t="n">
        <f aca="false">CHOOSE(Inputs!$E$6,Spec_Rack!E8,Spec_Rack!E9,Spec_Rack!E10)</f>
        <v>136</v>
      </c>
      <c r="L11" s="26" t="n">
        <f aca="false">CHOOSE(Inputs!$E$6,Spec_Rack!F8,Spec_Rack!F9,Spec_Rack!F10)</f>
        <v>227</v>
      </c>
      <c r="M11" s="26" t="n">
        <f aca="false">CHOOSE(Inputs!$E$6,Spec_Rack!F8,Spec_Rack!F9,Spec_Rack!F10)</f>
        <v>227</v>
      </c>
      <c r="N11" s="26" t="n">
        <f aca="false">CHOOSE(Inputs!$E$6,Spec_Rack!F8,Spec_Rack!F9,Spec_Rack!F10)</f>
        <v>227</v>
      </c>
      <c r="O11" s="26" t="n">
        <f aca="false">CHOOSE(Inputs!$E$6,Spec_Rack!G8,Spec_Rack!G9,Spec_Rack!G10)</f>
        <v>340</v>
      </c>
      <c r="P11" s="26" t="n">
        <f aca="false">CHOOSE(Inputs!$E$6,Spec_Rack!G8,Spec_Rack!G9,Spec_Rack!G10)</f>
        <v>340</v>
      </c>
      <c r="Q11" s="26" t="n">
        <f aca="false">CHOOSE(Inputs!$E$6,Spec_Rack!G8,Spec_Rack!G9,Spec_Rack!G10)</f>
        <v>340</v>
      </c>
    </row>
    <row r="12" customFormat="false" ht="15" hidden="false" customHeight="true" outlineLevel="0" collapsed="false">
      <c r="A12" s="19" t="s">
        <v>823</v>
      </c>
      <c r="B12" s="20" t="s">
        <v>692</v>
      </c>
      <c r="C12" s="121" t="n">
        <f aca="false">FLOOR(C10*1000/C11,1)</f>
        <v>22439</v>
      </c>
      <c r="D12" s="121" t="n">
        <f aca="false">FLOOR(D10*1000/D11,1)</f>
        <v>22439</v>
      </c>
      <c r="E12" s="121" t="n">
        <f aca="false">FLOOR(E10*1000/E11,1)</f>
        <v>22439</v>
      </c>
      <c r="F12" s="121" t="n">
        <f aca="false">FLOOR(F10*1000/F11,1)</f>
        <v>6969</v>
      </c>
      <c r="G12" s="121" t="n">
        <f aca="false">FLOOR(G10*1000/G11,1)</f>
        <v>6969</v>
      </c>
      <c r="H12" s="121" t="n">
        <f aca="false">FLOOR(H10*1000/H11,1)</f>
        <v>6969</v>
      </c>
      <c r="I12" s="121" t="n">
        <f aca="false">FLOOR(I10*1000/I11,1)</f>
        <v>6764</v>
      </c>
      <c r="J12" s="121" t="n">
        <f aca="false">FLOOR(J10*1000/J11,1)</f>
        <v>6764</v>
      </c>
      <c r="K12" s="121" t="n">
        <f aca="false">FLOOR(K10*1000/K11,1)</f>
        <v>6764</v>
      </c>
      <c r="L12" s="121" t="n">
        <f aca="false">FLOOR(L10*1000/L11,1)</f>
        <v>4052</v>
      </c>
      <c r="M12" s="121" t="n">
        <f aca="false">FLOOR(M10*1000/M11,1)</f>
        <v>4052</v>
      </c>
      <c r="N12" s="121" t="n">
        <f aca="false">FLOOR(N10*1000/N11,1)</f>
        <v>4052</v>
      </c>
      <c r="O12" s="121" t="n">
        <f aca="false">FLOOR(O10*1000/O11,1)</f>
        <v>2705</v>
      </c>
      <c r="P12" s="121" t="n">
        <f aca="false">FLOOR(P10*1000/P11,1)</f>
        <v>2705</v>
      </c>
      <c r="Q12" s="121" t="n">
        <f aca="false">FLOOR(Q10*1000/Q11,1)</f>
        <v>2705</v>
      </c>
    </row>
    <row r="13" customFormat="false" ht="15" hidden="false" customHeight="true" outlineLevel="0" collapsed="false">
      <c r="A13" s="14" t="s">
        <v>149</v>
      </c>
      <c r="B13" s="20" t="s">
        <v>686</v>
      </c>
      <c r="C13" s="26" t="n">
        <f aca="false">Spec_Rack!C6</f>
        <v>32</v>
      </c>
      <c r="D13" s="26" t="n">
        <f aca="false">Spec_Rack!C6</f>
        <v>32</v>
      </c>
      <c r="E13" s="26" t="n">
        <f aca="false">Spec_Rack!C6</f>
        <v>32</v>
      </c>
      <c r="F13" s="26" t="n">
        <f aca="false">Spec_Rack!D6</f>
        <v>72</v>
      </c>
      <c r="G13" s="26" t="n">
        <f aca="false">Spec_Rack!D6</f>
        <v>72</v>
      </c>
      <c r="H13" s="26" t="n">
        <f aca="false">Spec_Rack!D6</f>
        <v>72</v>
      </c>
      <c r="I13" s="26" t="n">
        <f aca="false">Spec_Rack!E6</f>
        <v>72</v>
      </c>
      <c r="J13" s="26" t="n">
        <f aca="false">Spec_Rack!E6</f>
        <v>72</v>
      </c>
      <c r="K13" s="26" t="n">
        <f aca="false">Spec_Rack!E6</f>
        <v>72</v>
      </c>
      <c r="L13" s="26" t="n">
        <f aca="false">Spec_Rack!F6</f>
        <v>72</v>
      </c>
      <c r="M13" s="26" t="n">
        <f aca="false">Spec_Rack!F6</f>
        <v>72</v>
      </c>
      <c r="N13" s="26" t="n">
        <f aca="false">Spec_Rack!F6</f>
        <v>72</v>
      </c>
      <c r="O13" s="26" t="n">
        <f aca="false">Spec_Rack!G6</f>
        <v>72</v>
      </c>
      <c r="P13" s="26" t="n">
        <f aca="false">Spec_Rack!G6</f>
        <v>72</v>
      </c>
      <c r="Q13" s="26" t="n">
        <f aca="false">Spec_Rack!G6</f>
        <v>72</v>
      </c>
    </row>
    <row r="14" customFormat="false" ht="15" hidden="false" customHeight="true" outlineLevel="0" collapsed="false">
      <c r="A14" s="122" t="s">
        <v>824</v>
      </c>
      <c r="B14" s="20" t="s">
        <v>686</v>
      </c>
      <c r="C14" s="16" t="n">
        <f aca="false">C12*C13</f>
        <v>718048</v>
      </c>
      <c r="D14" s="16" t="n">
        <f aca="false">D12*D13</f>
        <v>718048</v>
      </c>
      <c r="E14" s="16" t="n">
        <f aca="false">E12*E13</f>
        <v>718048</v>
      </c>
      <c r="F14" s="16" t="n">
        <f aca="false">F12*F13</f>
        <v>501768</v>
      </c>
      <c r="G14" s="16" t="n">
        <f aca="false">G12*G13</f>
        <v>501768</v>
      </c>
      <c r="H14" s="16" t="n">
        <f aca="false">H12*H13</f>
        <v>501768</v>
      </c>
      <c r="I14" s="16" t="n">
        <f aca="false">I12*I13</f>
        <v>487008</v>
      </c>
      <c r="J14" s="16" t="n">
        <f aca="false">J12*J13</f>
        <v>487008</v>
      </c>
      <c r="K14" s="16" t="n">
        <f aca="false">K12*K13</f>
        <v>487008</v>
      </c>
      <c r="L14" s="16" t="n">
        <f aca="false">L12*L13</f>
        <v>291744</v>
      </c>
      <c r="M14" s="16" t="n">
        <f aca="false">M12*M13</f>
        <v>291744</v>
      </c>
      <c r="N14" s="16" t="n">
        <f aca="false">N12*N13</f>
        <v>291744</v>
      </c>
      <c r="O14" s="16" t="n">
        <f aca="false">O12*O13</f>
        <v>194760</v>
      </c>
      <c r="P14" s="16" t="n">
        <f aca="false">P12*P13</f>
        <v>194760</v>
      </c>
      <c r="Q14" s="16" t="n">
        <f aca="false">Q12*Q13</f>
        <v>194760</v>
      </c>
    </row>
    <row r="15" customFormat="false" ht="15" hidden="false" customHeight="true" outlineLevel="0" collapsed="false">
      <c r="A15" s="14" t="s">
        <v>74</v>
      </c>
      <c r="B15" s="15" t="s">
        <v>75</v>
      </c>
      <c r="C15" s="123" t="n">
        <f aca="false">Inputs!D9</f>
        <v>1.1</v>
      </c>
      <c r="D15" s="123" t="n">
        <f aca="false">Inputs!E9</f>
        <v>1.2</v>
      </c>
      <c r="E15" s="123" t="n">
        <f aca="false">Inputs!F9</f>
        <v>1.3</v>
      </c>
      <c r="F15" s="123" t="n">
        <f aca="false">Inputs!D9</f>
        <v>1.1</v>
      </c>
      <c r="G15" s="123" t="n">
        <f aca="false">Inputs!E9</f>
        <v>1.2</v>
      </c>
      <c r="H15" s="123" t="n">
        <f aca="false">Inputs!F9</f>
        <v>1.3</v>
      </c>
      <c r="I15" s="123" t="n">
        <f aca="false">Inputs!D9</f>
        <v>1.1</v>
      </c>
      <c r="J15" s="123" t="n">
        <f aca="false">Inputs!E9</f>
        <v>1.2</v>
      </c>
      <c r="K15" s="123" t="n">
        <f aca="false">Inputs!F9</f>
        <v>1.3</v>
      </c>
      <c r="L15" s="123" t="n">
        <f aca="false">Inputs!D9</f>
        <v>1.1</v>
      </c>
      <c r="M15" s="123" t="n">
        <f aca="false">Inputs!E9</f>
        <v>1.2</v>
      </c>
      <c r="N15" s="123" t="n">
        <f aca="false">Inputs!F9</f>
        <v>1.3</v>
      </c>
      <c r="O15" s="123" t="n">
        <f aca="false">Inputs!D9</f>
        <v>1.1</v>
      </c>
      <c r="P15" s="123" t="n">
        <f aca="false">Inputs!E9</f>
        <v>1.2</v>
      </c>
      <c r="Q15" s="123" t="n">
        <f aca="false">Inputs!F9</f>
        <v>1.3</v>
      </c>
    </row>
    <row r="16" customFormat="false" ht="15" hidden="false" customHeight="true" outlineLevel="0" collapsed="false">
      <c r="A16" s="19" t="s">
        <v>825</v>
      </c>
      <c r="B16" s="15" t="s">
        <v>821</v>
      </c>
      <c r="C16" s="16" t="n">
        <f aca="false">C8*C15</f>
        <v>1100</v>
      </c>
      <c r="D16" s="16" t="n">
        <f aca="false">D8*D15</f>
        <v>1200</v>
      </c>
      <c r="E16" s="16" t="n">
        <f aca="false">E8*E15</f>
        <v>1300</v>
      </c>
      <c r="F16" s="16" t="n">
        <f aca="false">F8*F15</f>
        <v>1100</v>
      </c>
      <c r="G16" s="16" t="n">
        <f aca="false">G8*G15</f>
        <v>1200</v>
      </c>
      <c r="H16" s="16" t="n">
        <f aca="false">H8*H15</f>
        <v>1300</v>
      </c>
      <c r="I16" s="16" t="n">
        <f aca="false">I8*I15</f>
        <v>1100</v>
      </c>
      <c r="J16" s="16" t="n">
        <f aca="false">J8*J15</f>
        <v>1200</v>
      </c>
      <c r="K16" s="16" t="n">
        <f aca="false">K8*K15</f>
        <v>1300</v>
      </c>
      <c r="L16" s="16" t="n">
        <f aca="false">L8*L15</f>
        <v>1100</v>
      </c>
      <c r="M16" s="16" t="n">
        <f aca="false">M8*M15</f>
        <v>1200</v>
      </c>
      <c r="N16" s="16" t="n">
        <f aca="false">N8*N15</f>
        <v>1300</v>
      </c>
      <c r="O16" s="16" t="n">
        <f aca="false">O8*O15</f>
        <v>1100</v>
      </c>
      <c r="P16" s="16" t="n">
        <f aca="false">P8*P15</f>
        <v>1200</v>
      </c>
      <c r="Q16" s="16" t="n">
        <f aca="false">Q8*Q15</f>
        <v>1300</v>
      </c>
    </row>
    <row r="17" customFormat="false" ht="15" hidden="false" customHeight="true" outlineLevel="0" collapsed="false">
      <c r="A17" s="24" t="s">
        <v>826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customFormat="false" ht="15" hidden="false" customHeight="true" outlineLevel="0" collapsed="false">
      <c r="A18" s="19" t="s">
        <v>827</v>
      </c>
      <c r="B18" s="15" t="s">
        <v>828</v>
      </c>
      <c r="C18" s="29" t="n">
        <f aca="false">Spec_Rack!C11</f>
        <v>0.9</v>
      </c>
      <c r="D18" s="29" t="n">
        <f aca="false">Spec_Rack!C12</f>
        <v>1.1</v>
      </c>
      <c r="E18" s="29" t="n">
        <f aca="false">Spec_Rack!C13</f>
        <v>1.3</v>
      </c>
      <c r="F18" s="29" t="n">
        <f aca="false">Spec_Rack!D11</f>
        <v>2.8</v>
      </c>
      <c r="G18" s="29" t="n">
        <f aca="false">Spec_Rack!D12</f>
        <v>3.1</v>
      </c>
      <c r="H18" s="29" t="n">
        <f aca="false">Spec_Rack!D13</f>
        <v>3.4</v>
      </c>
      <c r="I18" s="29" t="n">
        <f aca="false">Spec_Rack!E11</f>
        <v>4</v>
      </c>
      <c r="J18" s="29" t="n">
        <f aca="false">Spec_Rack!E12</f>
        <v>5</v>
      </c>
      <c r="K18" s="29" t="n">
        <f aca="false">Spec_Rack!E13</f>
        <v>6.5</v>
      </c>
      <c r="L18" s="29" t="n">
        <f aca="false">Spec_Rack!F11</f>
        <v>7.8</v>
      </c>
      <c r="M18" s="29" t="n">
        <f aca="false">Spec_Rack!F12</f>
        <v>8.4</v>
      </c>
      <c r="N18" s="29" t="n">
        <f aca="false">Spec_Rack!F13</f>
        <v>9.1</v>
      </c>
      <c r="O18" s="29" t="n">
        <f aca="false">Spec_Rack!G11</f>
        <v>12.6</v>
      </c>
      <c r="P18" s="29" t="n">
        <f aca="false">Spec_Rack!G12</f>
        <v>16.8</v>
      </c>
      <c r="Q18" s="29" t="n">
        <f aca="false">Spec_Rack!G13</f>
        <v>21</v>
      </c>
    </row>
    <row r="19" customFormat="false" ht="15" hidden="false" customHeight="true" outlineLevel="0" collapsed="false">
      <c r="A19" s="19" t="s">
        <v>829</v>
      </c>
      <c r="B19" s="15" t="s">
        <v>830</v>
      </c>
      <c r="C19" s="124" t="n">
        <f aca="false">C12*C18/1000</f>
        <v>20.1951</v>
      </c>
      <c r="D19" s="124" t="n">
        <f aca="false">D12*D18/1000</f>
        <v>24.6829</v>
      </c>
      <c r="E19" s="124" t="n">
        <f aca="false">E12*E18/1000</f>
        <v>29.1707</v>
      </c>
      <c r="F19" s="124" t="n">
        <f aca="false">F12*F18/1000</f>
        <v>19.5132</v>
      </c>
      <c r="G19" s="124" t="n">
        <f aca="false">G12*G18/1000</f>
        <v>21.6039</v>
      </c>
      <c r="H19" s="124" t="n">
        <f aca="false">H12*H18/1000</f>
        <v>23.6946</v>
      </c>
      <c r="I19" s="124" t="n">
        <f aca="false">I12*I18/1000</f>
        <v>27.056</v>
      </c>
      <c r="J19" s="124" t="n">
        <f aca="false">J12*J18/1000</f>
        <v>33.82</v>
      </c>
      <c r="K19" s="124" t="n">
        <f aca="false">K12*K18/1000</f>
        <v>43.966</v>
      </c>
      <c r="L19" s="124" t="n">
        <f aca="false">L12*L18/1000</f>
        <v>31.6056</v>
      </c>
      <c r="M19" s="124" t="n">
        <f aca="false">M12*M18/1000</f>
        <v>34.0368</v>
      </c>
      <c r="N19" s="124" t="n">
        <f aca="false">N12*N18/1000</f>
        <v>36.8732</v>
      </c>
      <c r="O19" s="124" t="n">
        <f aca="false">O12*O18/1000</f>
        <v>34.083</v>
      </c>
      <c r="P19" s="124" t="n">
        <f aca="false">P12*P18/1000</f>
        <v>45.444</v>
      </c>
      <c r="Q19" s="124" t="n">
        <f aca="false">Q12*Q18/1000</f>
        <v>56.805</v>
      </c>
    </row>
    <row r="20" customFormat="false" ht="15" hidden="false" customHeight="true" outlineLevel="0" collapsed="false">
      <c r="A20" s="14" t="s">
        <v>85</v>
      </c>
      <c r="B20" s="15" t="s">
        <v>71</v>
      </c>
      <c r="C20" s="25" t="n">
        <f aca="false">Inputs!D13</f>
        <v>0.05</v>
      </c>
      <c r="D20" s="25" t="n">
        <f aca="false">Inputs!E13</f>
        <v>0.1</v>
      </c>
      <c r="E20" s="25" t="n">
        <f aca="false">Inputs!F13</f>
        <v>0.15</v>
      </c>
      <c r="F20" s="25" t="n">
        <f aca="false">Inputs!D13</f>
        <v>0.05</v>
      </c>
      <c r="G20" s="25" t="n">
        <f aca="false">Inputs!E13</f>
        <v>0.1</v>
      </c>
      <c r="H20" s="25" t="n">
        <f aca="false">Inputs!F13</f>
        <v>0.15</v>
      </c>
      <c r="I20" s="25" t="n">
        <f aca="false">Inputs!D13</f>
        <v>0.05</v>
      </c>
      <c r="J20" s="25" t="n">
        <f aca="false">Inputs!E13</f>
        <v>0.1</v>
      </c>
      <c r="K20" s="25" t="n">
        <f aca="false">Inputs!F13</f>
        <v>0.15</v>
      </c>
      <c r="L20" s="25" t="n">
        <f aca="false">Inputs!D13</f>
        <v>0.05</v>
      </c>
      <c r="M20" s="25" t="n">
        <f aca="false">Inputs!E13</f>
        <v>0.1</v>
      </c>
      <c r="N20" s="25" t="n">
        <f aca="false">Inputs!F13</f>
        <v>0.15</v>
      </c>
      <c r="O20" s="25" t="n">
        <f aca="false">Inputs!D13</f>
        <v>0.05</v>
      </c>
      <c r="P20" s="25" t="n">
        <f aca="false">Inputs!E13</f>
        <v>0.1</v>
      </c>
      <c r="Q20" s="25" t="n">
        <f aca="false">Inputs!F13</f>
        <v>0.15</v>
      </c>
    </row>
    <row r="21" customFormat="false" ht="15" hidden="false" customHeight="true" outlineLevel="0" collapsed="false">
      <c r="A21" s="14" t="s">
        <v>831</v>
      </c>
      <c r="B21" s="15" t="s">
        <v>830</v>
      </c>
      <c r="C21" s="124" t="n">
        <f aca="false">C19*C20</f>
        <v>1.009755</v>
      </c>
      <c r="D21" s="124" t="n">
        <f aca="false">D19*D20</f>
        <v>2.46829</v>
      </c>
      <c r="E21" s="124" t="n">
        <f aca="false">E19*E20</f>
        <v>4.375605</v>
      </c>
      <c r="F21" s="124" t="n">
        <f aca="false">F19*F20</f>
        <v>0.97566</v>
      </c>
      <c r="G21" s="124" t="n">
        <f aca="false">G19*G20</f>
        <v>2.16039</v>
      </c>
      <c r="H21" s="124" t="n">
        <f aca="false">H19*H20</f>
        <v>3.55419</v>
      </c>
      <c r="I21" s="124" t="n">
        <f aca="false">I19*I20</f>
        <v>1.3528</v>
      </c>
      <c r="J21" s="124" t="n">
        <f aca="false">J19*J20</f>
        <v>3.382</v>
      </c>
      <c r="K21" s="124" t="n">
        <f aca="false">K19*K20</f>
        <v>6.5949</v>
      </c>
      <c r="L21" s="124" t="n">
        <f aca="false">L19*L20</f>
        <v>1.58028</v>
      </c>
      <c r="M21" s="124" t="n">
        <f aca="false">M19*M20</f>
        <v>3.40368</v>
      </c>
      <c r="N21" s="124" t="n">
        <f aca="false">N19*N20</f>
        <v>5.53098</v>
      </c>
      <c r="O21" s="124" t="n">
        <f aca="false">O19*O20</f>
        <v>1.70415</v>
      </c>
      <c r="P21" s="124" t="n">
        <f aca="false">P19*P20</f>
        <v>4.5444</v>
      </c>
      <c r="Q21" s="124" t="n">
        <f aca="false">Q19*Q20</f>
        <v>8.52075</v>
      </c>
    </row>
    <row r="22" customFormat="false" ht="15" hidden="false" customHeight="true" outlineLevel="0" collapsed="false">
      <c r="A22" s="19" t="s">
        <v>832</v>
      </c>
      <c r="B22" s="15" t="s">
        <v>88</v>
      </c>
      <c r="C22" s="26" t="n">
        <f aca="false">Inputs!D14</f>
        <v>300</v>
      </c>
      <c r="D22" s="26" t="n">
        <f aca="false">Inputs!E14</f>
        <v>500</v>
      </c>
      <c r="E22" s="26" t="n">
        <f aca="false">Inputs!F14</f>
        <v>800</v>
      </c>
      <c r="F22" s="26" t="n">
        <f aca="false">Inputs!D14</f>
        <v>300</v>
      </c>
      <c r="G22" s="26" t="n">
        <f aca="false">Inputs!E14</f>
        <v>500</v>
      </c>
      <c r="H22" s="26" t="n">
        <f aca="false">Inputs!F14</f>
        <v>800</v>
      </c>
      <c r="I22" s="26" t="n">
        <f aca="false">Inputs!D14</f>
        <v>300</v>
      </c>
      <c r="J22" s="26" t="n">
        <f aca="false">Inputs!E14</f>
        <v>500</v>
      </c>
      <c r="K22" s="26" t="n">
        <f aca="false">Inputs!F14</f>
        <v>800</v>
      </c>
      <c r="L22" s="26" t="n">
        <f aca="false">Inputs!D14</f>
        <v>300</v>
      </c>
      <c r="M22" s="26" t="n">
        <f aca="false">Inputs!E14</f>
        <v>500</v>
      </c>
      <c r="N22" s="26" t="n">
        <f aca="false">Inputs!F14</f>
        <v>800</v>
      </c>
      <c r="O22" s="26" t="n">
        <f aca="false">Inputs!D14</f>
        <v>300</v>
      </c>
      <c r="P22" s="26" t="n">
        <f aca="false">Inputs!E14</f>
        <v>500</v>
      </c>
      <c r="Q22" s="26" t="n">
        <f aca="false">Inputs!F14</f>
        <v>800</v>
      </c>
    </row>
    <row r="23" customFormat="false" ht="15" hidden="false" customHeight="true" outlineLevel="0" collapsed="false">
      <c r="A23" s="19" t="s">
        <v>832</v>
      </c>
      <c r="B23" s="15" t="s">
        <v>830</v>
      </c>
      <c r="C23" s="124" t="n">
        <f aca="false">C14*C22/1000000000</f>
        <v>0.2154144</v>
      </c>
      <c r="D23" s="124" t="n">
        <f aca="false">D14*D22/1000000000</f>
        <v>0.359024</v>
      </c>
      <c r="E23" s="124" t="n">
        <f aca="false">E14*E22/1000000000</f>
        <v>0.5744384</v>
      </c>
      <c r="F23" s="124" t="n">
        <f aca="false">F14*F22/1000000000</f>
        <v>0.1505304</v>
      </c>
      <c r="G23" s="124" t="n">
        <f aca="false">G14*G22/1000000000</f>
        <v>0.250884</v>
      </c>
      <c r="H23" s="124" t="n">
        <f aca="false">H14*H22/1000000000</f>
        <v>0.4014144</v>
      </c>
      <c r="I23" s="124" t="n">
        <f aca="false">I14*I22/1000000000</f>
        <v>0.1461024</v>
      </c>
      <c r="J23" s="124" t="n">
        <f aca="false">J14*J22/1000000000</f>
        <v>0.243504</v>
      </c>
      <c r="K23" s="124" t="n">
        <f aca="false">K14*K22/1000000000</f>
        <v>0.3896064</v>
      </c>
      <c r="L23" s="124" t="n">
        <f aca="false">L14*L22/1000000000</f>
        <v>0.0875232</v>
      </c>
      <c r="M23" s="124" t="n">
        <f aca="false">M14*M22/1000000000</f>
        <v>0.145872</v>
      </c>
      <c r="N23" s="124" t="n">
        <f aca="false">N14*N22/1000000000</f>
        <v>0.2333952</v>
      </c>
      <c r="O23" s="124" t="n">
        <f aca="false">O14*O22/1000000000</f>
        <v>0.058428</v>
      </c>
      <c r="P23" s="124" t="n">
        <f aca="false">P14*P22/1000000000</f>
        <v>0.09738</v>
      </c>
      <c r="Q23" s="124" t="n">
        <f aca="false">Q14*Q22/1000000000</f>
        <v>0.155808</v>
      </c>
    </row>
    <row r="24" customFormat="false" ht="15" hidden="false" customHeight="true" outlineLevel="0" collapsed="false">
      <c r="A24" s="14" t="s">
        <v>833</v>
      </c>
      <c r="B24" s="15" t="s">
        <v>830</v>
      </c>
      <c r="C24" s="124" t="n">
        <f aca="false">C19+C21+C23</f>
        <v>21.4202694</v>
      </c>
      <c r="D24" s="124" t="n">
        <f aca="false">D19+D21+D23</f>
        <v>27.510214</v>
      </c>
      <c r="E24" s="124" t="n">
        <f aca="false">E19+E21+E23</f>
        <v>34.1207434</v>
      </c>
      <c r="F24" s="124" t="n">
        <f aca="false">F19+F21+F23</f>
        <v>20.6393904</v>
      </c>
      <c r="G24" s="124" t="n">
        <f aca="false">G19+G21+G23</f>
        <v>24.015174</v>
      </c>
      <c r="H24" s="124" t="n">
        <f aca="false">H19+H21+H23</f>
        <v>27.6502044</v>
      </c>
      <c r="I24" s="124" t="n">
        <f aca="false">I19+I21+I23</f>
        <v>28.5549024</v>
      </c>
      <c r="J24" s="124" t="n">
        <f aca="false">J19+J21+J23</f>
        <v>37.445504</v>
      </c>
      <c r="K24" s="124" t="n">
        <f aca="false">K19+K21+K23</f>
        <v>50.9505064</v>
      </c>
      <c r="L24" s="124" t="n">
        <f aca="false">L19+L21+L23</f>
        <v>33.2734032</v>
      </c>
      <c r="M24" s="124" t="n">
        <f aca="false">M19+M21+M23</f>
        <v>37.586352</v>
      </c>
      <c r="N24" s="124" t="n">
        <f aca="false">N19+N21+N23</f>
        <v>42.6375752</v>
      </c>
      <c r="O24" s="124" t="n">
        <f aca="false">O19+O21+O23</f>
        <v>35.845578</v>
      </c>
      <c r="P24" s="124" t="n">
        <f aca="false">P19+P21+P23</f>
        <v>50.08578</v>
      </c>
      <c r="Q24" s="124" t="n">
        <f aca="false">Q19+Q21+Q23</f>
        <v>65.481558</v>
      </c>
    </row>
    <row r="25" customFormat="false" ht="15" hidden="false" customHeight="true" outlineLevel="0" collapsed="false">
      <c r="A25" s="19" t="s">
        <v>91</v>
      </c>
      <c r="B25" s="15" t="s">
        <v>830</v>
      </c>
      <c r="C25" s="124" t="n">
        <f aca="false">C8*Inputs!D16/1000</f>
        <v>0.02</v>
      </c>
      <c r="D25" s="124" t="n">
        <f aca="false">D8*Inputs!E16/1000</f>
        <v>0.02</v>
      </c>
      <c r="E25" s="124" t="n">
        <f aca="false">E8*Inputs!F16/1000</f>
        <v>0.02</v>
      </c>
      <c r="F25" s="124" t="n">
        <f aca="false">F8*Inputs!D16/1000</f>
        <v>0.02</v>
      </c>
      <c r="G25" s="124" t="n">
        <f aca="false">G8*Inputs!E16/1000</f>
        <v>0.02</v>
      </c>
      <c r="H25" s="124" t="n">
        <f aca="false">H8*Inputs!F16/1000</f>
        <v>0.02</v>
      </c>
      <c r="I25" s="124" t="n">
        <f aca="false">I8*Inputs!D16/1000</f>
        <v>0.02</v>
      </c>
      <c r="J25" s="124" t="n">
        <f aca="false">J8*Inputs!E16/1000</f>
        <v>0.02</v>
      </c>
      <c r="K25" s="124" t="n">
        <f aca="false">K8*Inputs!F16/1000</f>
        <v>0.02</v>
      </c>
      <c r="L25" s="124" t="n">
        <f aca="false">L8*Inputs!D16/1000</f>
        <v>0.02</v>
      </c>
      <c r="M25" s="124" t="n">
        <f aca="false">M8*Inputs!E16/1000</f>
        <v>0.02</v>
      </c>
      <c r="N25" s="124" t="n">
        <f aca="false">N8*Inputs!F16/1000</f>
        <v>0.02</v>
      </c>
      <c r="O25" s="124" t="n">
        <f aca="false">O8*Inputs!D16/1000</f>
        <v>0.02</v>
      </c>
      <c r="P25" s="124" t="n">
        <f aca="false">P8*Inputs!E16/1000</f>
        <v>0.02</v>
      </c>
      <c r="Q25" s="124" t="n">
        <f aca="false">Q8*Inputs!F16/1000</f>
        <v>0.02</v>
      </c>
    </row>
    <row r="26" customFormat="false" ht="15" hidden="false" customHeight="true" outlineLevel="0" collapsed="false">
      <c r="A26" s="19" t="s">
        <v>834</v>
      </c>
      <c r="B26" s="15" t="s">
        <v>830</v>
      </c>
      <c r="C26" s="124" t="n">
        <f aca="false">C8*Inputs!D17/1000</f>
        <v>3</v>
      </c>
      <c r="D26" s="124" t="n">
        <f aca="false">D8*Inputs!E17/1000</f>
        <v>3.6</v>
      </c>
      <c r="E26" s="124" t="n">
        <f aca="false">E8*Inputs!F17/1000</f>
        <v>4.5</v>
      </c>
      <c r="F26" s="124" t="n">
        <f aca="false">F8*Inputs!D17/1000</f>
        <v>3</v>
      </c>
      <c r="G26" s="124" t="n">
        <f aca="false">G8*Inputs!E17/1000</f>
        <v>3.6</v>
      </c>
      <c r="H26" s="124" t="n">
        <f aca="false">H8*Inputs!F17/1000</f>
        <v>4.5</v>
      </c>
      <c r="I26" s="124" t="n">
        <f aca="false">I8*Inputs!D17/1000</f>
        <v>3</v>
      </c>
      <c r="J26" s="124" t="n">
        <f aca="false">J8*Inputs!E17/1000</f>
        <v>3.6</v>
      </c>
      <c r="K26" s="124" t="n">
        <f aca="false">K8*Inputs!F17/1000</f>
        <v>4.5</v>
      </c>
      <c r="L26" s="124" t="n">
        <f aca="false">L8*Inputs!D17/1000</f>
        <v>3</v>
      </c>
      <c r="M26" s="124" t="n">
        <f aca="false">M8*Inputs!E17/1000</f>
        <v>3.6</v>
      </c>
      <c r="N26" s="124" t="n">
        <f aca="false">N8*Inputs!F17/1000</f>
        <v>4.5</v>
      </c>
      <c r="O26" s="124" t="n">
        <f aca="false">O8*Inputs!D17/1000</f>
        <v>3</v>
      </c>
      <c r="P26" s="124" t="n">
        <f aca="false">P8*Inputs!E17/1000</f>
        <v>3.6</v>
      </c>
      <c r="Q26" s="124" t="n">
        <f aca="false">Q8*Inputs!F17/1000</f>
        <v>4.5</v>
      </c>
    </row>
    <row r="27" customFormat="false" ht="15" hidden="false" customHeight="true" outlineLevel="0" collapsed="false">
      <c r="A27" s="19" t="s">
        <v>835</v>
      </c>
      <c r="B27" s="15" t="s">
        <v>830</v>
      </c>
      <c r="C27" s="124" t="n">
        <f aca="false">C8*Inputs!D18/1000</f>
        <v>3.8</v>
      </c>
      <c r="D27" s="124" t="n">
        <f aca="false">D8*Inputs!E18/1000</f>
        <v>4.5</v>
      </c>
      <c r="E27" s="124" t="n">
        <f aca="false">E8*Inputs!F18/1000</f>
        <v>5.5</v>
      </c>
      <c r="F27" s="124" t="n">
        <f aca="false">F8*Inputs!D18/1000</f>
        <v>3.8</v>
      </c>
      <c r="G27" s="124" t="n">
        <f aca="false">G8*Inputs!E18/1000</f>
        <v>4.5</v>
      </c>
      <c r="H27" s="124" t="n">
        <f aca="false">H8*Inputs!F18/1000</f>
        <v>5.5</v>
      </c>
      <c r="I27" s="124" t="n">
        <f aca="false">I8*Inputs!D18/1000</f>
        <v>3.8</v>
      </c>
      <c r="J27" s="124" t="n">
        <f aca="false">J8*Inputs!E18/1000</f>
        <v>4.5</v>
      </c>
      <c r="K27" s="124" t="n">
        <f aca="false">K8*Inputs!F18/1000</f>
        <v>5.5</v>
      </c>
      <c r="L27" s="124" t="n">
        <f aca="false">L8*Inputs!D18/1000</f>
        <v>3.8</v>
      </c>
      <c r="M27" s="124" t="n">
        <f aca="false">M8*Inputs!E18/1000</f>
        <v>4.5</v>
      </c>
      <c r="N27" s="124" t="n">
        <f aca="false">N8*Inputs!F18/1000</f>
        <v>5.5</v>
      </c>
      <c r="O27" s="124" t="n">
        <f aca="false">O8*Inputs!D18/1000</f>
        <v>3.8</v>
      </c>
      <c r="P27" s="124" t="n">
        <f aca="false">P8*Inputs!E18/1000</f>
        <v>4.5</v>
      </c>
      <c r="Q27" s="124" t="n">
        <f aca="false">Q8*Inputs!F18/1000</f>
        <v>5.5</v>
      </c>
    </row>
    <row r="28" customFormat="false" ht="15" hidden="false" customHeight="true" outlineLevel="0" collapsed="false">
      <c r="A28" s="19" t="s">
        <v>836</v>
      </c>
      <c r="B28" s="15" t="s">
        <v>830</v>
      </c>
      <c r="C28" s="124" t="n">
        <f aca="false">C8*Inputs!D19/1000</f>
        <v>2</v>
      </c>
      <c r="D28" s="124" t="n">
        <f aca="false">D8*Inputs!E19/1000</f>
        <v>2.5</v>
      </c>
      <c r="E28" s="124" t="n">
        <f aca="false">E8*Inputs!F19/1000</f>
        <v>3.2</v>
      </c>
      <c r="F28" s="124" t="n">
        <f aca="false">F8*Inputs!D19/1000</f>
        <v>2</v>
      </c>
      <c r="G28" s="124" t="n">
        <f aca="false">G8*Inputs!E19/1000</f>
        <v>2.5</v>
      </c>
      <c r="H28" s="124" t="n">
        <f aca="false">H8*Inputs!F19/1000</f>
        <v>3.2</v>
      </c>
      <c r="I28" s="124" t="n">
        <f aca="false">I8*Inputs!D19/1000</f>
        <v>2</v>
      </c>
      <c r="J28" s="124" t="n">
        <f aca="false">J8*Inputs!E19/1000</f>
        <v>2.5</v>
      </c>
      <c r="K28" s="124" t="n">
        <f aca="false">K8*Inputs!F19/1000</f>
        <v>3.2</v>
      </c>
      <c r="L28" s="124" t="n">
        <f aca="false">L8*Inputs!D19/1000</f>
        <v>2</v>
      </c>
      <c r="M28" s="124" t="n">
        <f aca="false">M8*Inputs!E19/1000</f>
        <v>2.5</v>
      </c>
      <c r="N28" s="124" t="n">
        <f aca="false">N8*Inputs!F19/1000</f>
        <v>3.2</v>
      </c>
      <c r="O28" s="124" t="n">
        <f aca="false">O8*Inputs!D19/1000</f>
        <v>2</v>
      </c>
      <c r="P28" s="124" t="n">
        <f aca="false">P8*Inputs!E19/1000</f>
        <v>2.5</v>
      </c>
      <c r="Q28" s="124" t="n">
        <f aca="false">Q8*Inputs!F19/1000</f>
        <v>3.2</v>
      </c>
    </row>
    <row r="29" customFormat="false" ht="15" hidden="false" customHeight="true" outlineLevel="0" collapsed="false">
      <c r="A29" s="19" t="s">
        <v>837</v>
      </c>
      <c r="B29" s="15" t="s">
        <v>830</v>
      </c>
      <c r="C29" s="124" t="n">
        <f aca="false">C8*Inputs!D20/1000</f>
        <v>0.3</v>
      </c>
      <c r="D29" s="124" t="n">
        <f aca="false">D8*Inputs!E20/1000</f>
        <v>0.4</v>
      </c>
      <c r="E29" s="124" t="n">
        <f aca="false">E8*Inputs!F20/1000</f>
        <v>0.5</v>
      </c>
      <c r="F29" s="124" t="n">
        <f aca="false">F8*Inputs!D20/1000</f>
        <v>0.3</v>
      </c>
      <c r="G29" s="124" t="n">
        <f aca="false">G8*Inputs!E20/1000</f>
        <v>0.4</v>
      </c>
      <c r="H29" s="124" t="n">
        <f aca="false">H8*Inputs!F20/1000</f>
        <v>0.5</v>
      </c>
      <c r="I29" s="124" t="n">
        <f aca="false">I8*Inputs!D20/1000</f>
        <v>0.3</v>
      </c>
      <c r="J29" s="124" t="n">
        <f aca="false">J8*Inputs!E20/1000</f>
        <v>0.4</v>
      </c>
      <c r="K29" s="124" t="n">
        <f aca="false">K8*Inputs!F20/1000</f>
        <v>0.5</v>
      </c>
      <c r="L29" s="124" t="n">
        <f aca="false">L8*Inputs!D20/1000</f>
        <v>0.3</v>
      </c>
      <c r="M29" s="124" t="n">
        <f aca="false">M8*Inputs!E20/1000</f>
        <v>0.4</v>
      </c>
      <c r="N29" s="124" t="n">
        <f aca="false">N8*Inputs!F20/1000</f>
        <v>0.5</v>
      </c>
      <c r="O29" s="124" t="n">
        <f aca="false">O8*Inputs!D20/1000</f>
        <v>0.3</v>
      </c>
      <c r="P29" s="124" t="n">
        <f aca="false">P8*Inputs!E20/1000</f>
        <v>0.4</v>
      </c>
      <c r="Q29" s="124" t="n">
        <f aca="false">Q8*Inputs!F20/1000</f>
        <v>0.5</v>
      </c>
    </row>
    <row r="30" customFormat="false" ht="15" hidden="false" customHeight="true" outlineLevel="0" collapsed="false">
      <c r="A30" s="19" t="s">
        <v>838</v>
      </c>
      <c r="B30" s="15" t="s">
        <v>71</v>
      </c>
      <c r="C30" s="25" t="n">
        <f aca="false">Inputs!D21</f>
        <v>0.12</v>
      </c>
      <c r="D30" s="25" t="n">
        <f aca="false">Inputs!E21</f>
        <v>0.15</v>
      </c>
      <c r="E30" s="25" t="n">
        <f aca="false">Inputs!F21</f>
        <v>0.18</v>
      </c>
      <c r="F30" s="25" t="n">
        <f aca="false">Inputs!D21</f>
        <v>0.12</v>
      </c>
      <c r="G30" s="25" t="n">
        <f aca="false">Inputs!E21</f>
        <v>0.15</v>
      </c>
      <c r="H30" s="25" t="n">
        <f aca="false">Inputs!F21</f>
        <v>0.18</v>
      </c>
      <c r="I30" s="25" t="n">
        <f aca="false">Inputs!D21</f>
        <v>0.12</v>
      </c>
      <c r="J30" s="25" t="n">
        <f aca="false">Inputs!E21</f>
        <v>0.15</v>
      </c>
      <c r="K30" s="25" t="n">
        <f aca="false">Inputs!F21</f>
        <v>0.18</v>
      </c>
      <c r="L30" s="25" t="n">
        <f aca="false">Inputs!D21</f>
        <v>0.12</v>
      </c>
      <c r="M30" s="25" t="n">
        <f aca="false">Inputs!E21</f>
        <v>0.15</v>
      </c>
      <c r="N30" s="25" t="n">
        <f aca="false">Inputs!F21</f>
        <v>0.18</v>
      </c>
      <c r="O30" s="25" t="n">
        <f aca="false">Inputs!D21</f>
        <v>0.12</v>
      </c>
      <c r="P30" s="25" t="n">
        <f aca="false">Inputs!E21</f>
        <v>0.15</v>
      </c>
      <c r="Q30" s="25" t="n">
        <f aca="false">Inputs!F21</f>
        <v>0.18</v>
      </c>
    </row>
    <row r="31" customFormat="false" ht="15" hidden="false" customHeight="true" outlineLevel="0" collapsed="false">
      <c r="A31" s="19" t="s">
        <v>101</v>
      </c>
      <c r="B31" s="15" t="s">
        <v>830</v>
      </c>
      <c r="C31" s="124" t="n">
        <f aca="false">(C26+C27+C28+C29)*C30</f>
        <v>1.092</v>
      </c>
      <c r="D31" s="124" t="n">
        <f aca="false">(D26+D27+D28+D29)*D30</f>
        <v>1.65</v>
      </c>
      <c r="E31" s="124" t="n">
        <f aca="false">(E26+E27+E28+E29)*E30</f>
        <v>2.466</v>
      </c>
      <c r="F31" s="124" t="n">
        <f aca="false">(F26+F27+F28+F29)*F30</f>
        <v>1.092</v>
      </c>
      <c r="G31" s="124" t="n">
        <f aca="false">(G26+G27+G28+G29)*G30</f>
        <v>1.65</v>
      </c>
      <c r="H31" s="124" t="n">
        <f aca="false">(H26+H27+H28+H29)*H30</f>
        <v>2.466</v>
      </c>
      <c r="I31" s="124" t="n">
        <f aca="false">(I26+I27+I28+I29)*I30</f>
        <v>1.092</v>
      </c>
      <c r="J31" s="124" t="n">
        <f aca="false">(J26+J27+J28+J29)*J30</f>
        <v>1.65</v>
      </c>
      <c r="K31" s="124" t="n">
        <f aca="false">(K26+K27+K28+K29)*K30</f>
        <v>2.466</v>
      </c>
      <c r="L31" s="124" t="n">
        <f aca="false">(L26+L27+L28+L29)*L30</f>
        <v>1.092</v>
      </c>
      <c r="M31" s="124" t="n">
        <f aca="false">(M26+M27+M28+M29)*M30</f>
        <v>1.65</v>
      </c>
      <c r="N31" s="124" t="n">
        <f aca="false">(N26+N27+N28+N29)*N30</f>
        <v>2.466</v>
      </c>
      <c r="O31" s="124" t="n">
        <f aca="false">(O26+O27+O28+O29)*O30</f>
        <v>1.092</v>
      </c>
      <c r="P31" s="124" t="n">
        <f aca="false">(P26+P27+P28+P29)*P30</f>
        <v>1.65</v>
      </c>
      <c r="Q31" s="124" t="n">
        <f aca="false">(Q26+Q27+Q28+Q29)*Q30</f>
        <v>2.466</v>
      </c>
    </row>
    <row r="32" customFormat="false" ht="15" hidden="false" customHeight="true" outlineLevel="0" collapsed="false">
      <c r="A32" s="19" t="s">
        <v>839</v>
      </c>
      <c r="B32" s="15" t="s">
        <v>830</v>
      </c>
      <c r="C32" s="124" t="n">
        <f aca="false">C25+C26+C27+C28+C29+C31</f>
        <v>10.212</v>
      </c>
      <c r="D32" s="124" t="n">
        <f aca="false">D25+D26+D27+D28+D29+D31</f>
        <v>12.67</v>
      </c>
      <c r="E32" s="124" t="n">
        <f aca="false">E25+E26+E27+E28+E29+E31</f>
        <v>16.186</v>
      </c>
      <c r="F32" s="124" t="n">
        <f aca="false">F25+F26+F27+F28+F29+F31</f>
        <v>10.212</v>
      </c>
      <c r="G32" s="124" t="n">
        <f aca="false">G25+G26+G27+G28+G29+G31</f>
        <v>12.67</v>
      </c>
      <c r="H32" s="124" t="n">
        <f aca="false">H25+H26+H27+H28+H29+H31</f>
        <v>16.186</v>
      </c>
      <c r="I32" s="124" t="n">
        <f aca="false">I25+I26+I27+I28+I29+I31</f>
        <v>10.212</v>
      </c>
      <c r="J32" s="124" t="n">
        <f aca="false">J25+J26+J27+J28+J29+J31</f>
        <v>12.67</v>
      </c>
      <c r="K32" s="124" t="n">
        <f aca="false">K25+K26+K27+K28+K29+K31</f>
        <v>16.186</v>
      </c>
      <c r="L32" s="124" t="n">
        <f aca="false">L25+L26+L27+L28+L29+L31</f>
        <v>10.212</v>
      </c>
      <c r="M32" s="124" t="n">
        <f aca="false">M25+M26+M27+M28+M29+M31</f>
        <v>12.67</v>
      </c>
      <c r="N32" s="124" t="n">
        <f aca="false">N25+N26+N27+N28+N29+N31</f>
        <v>16.186</v>
      </c>
      <c r="O32" s="124" t="n">
        <f aca="false">O25+O26+O27+O28+O29+O31</f>
        <v>10.212</v>
      </c>
      <c r="P32" s="124" t="n">
        <f aca="false">P25+P26+P27+P28+P29+P31</f>
        <v>12.67</v>
      </c>
      <c r="Q32" s="124" t="n">
        <f aca="false">Q25+Q26+Q27+Q28+Q29+Q31</f>
        <v>16.186</v>
      </c>
    </row>
    <row r="33" customFormat="false" ht="15" hidden="false" customHeight="true" outlineLevel="0" collapsed="false">
      <c r="A33" s="19" t="s">
        <v>840</v>
      </c>
      <c r="B33" s="15" t="s">
        <v>830</v>
      </c>
      <c r="C33" s="125" t="n">
        <f aca="false">C24+C32</f>
        <v>31.6322694</v>
      </c>
      <c r="D33" s="125" t="n">
        <f aca="false">D24+D32</f>
        <v>40.180214</v>
      </c>
      <c r="E33" s="125" t="n">
        <f aca="false">E24+E32</f>
        <v>50.3067434</v>
      </c>
      <c r="F33" s="125" t="n">
        <f aca="false">F24+F32</f>
        <v>30.8513904</v>
      </c>
      <c r="G33" s="125" t="n">
        <f aca="false">G24+G32</f>
        <v>36.685174</v>
      </c>
      <c r="H33" s="125" t="n">
        <f aca="false">H24+H32</f>
        <v>43.8362044</v>
      </c>
      <c r="I33" s="125" t="n">
        <f aca="false">I24+I32</f>
        <v>38.7669024</v>
      </c>
      <c r="J33" s="125" t="n">
        <f aca="false">J24+J32</f>
        <v>50.115504</v>
      </c>
      <c r="K33" s="125" t="n">
        <f aca="false">K24+K32</f>
        <v>67.1365064</v>
      </c>
      <c r="L33" s="125" t="n">
        <f aca="false">L24+L32</f>
        <v>43.4854032</v>
      </c>
      <c r="M33" s="125" t="n">
        <f aca="false">M24+M32</f>
        <v>50.256352</v>
      </c>
      <c r="N33" s="125" t="n">
        <f aca="false">N24+N32</f>
        <v>58.8235752</v>
      </c>
      <c r="O33" s="125" t="n">
        <f aca="false">O24+O32</f>
        <v>46.057578</v>
      </c>
      <c r="P33" s="125" t="n">
        <f aca="false">P24+P32</f>
        <v>62.75578</v>
      </c>
      <c r="Q33" s="125" t="n">
        <f aca="false">Q24+Q32</f>
        <v>81.667558</v>
      </c>
    </row>
    <row r="34" customFormat="false" ht="15" hidden="false" customHeight="true" outlineLevel="0" collapsed="false">
      <c r="A34" s="19" t="s">
        <v>841</v>
      </c>
      <c r="B34" s="15" t="s">
        <v>842</v>
      </c>
      <c r="C34" s="30" t="n">
        <f aca="false">C33*1000000/C14</f>
        <v>44.0531404585766</v>
      </c>
      <c r="D34" s="30" t="n">
        <f aca="false">D33*1000000/D14</f>
        <v>55.9575599402826</v>
      </c>
      <c r="E34" s="30" t="n">
        <f aca="false">E33*1000000/E14</f>
        <v>70.0604185235527</v>
      </c>
      <c r="F34" s="30" t="n">
        <f aca="false">F33*1000000/F14</f>
        <v>61.4853685368537</v>
      </c>
      <c r="G34" s="30" t="n">
        <f aca="false">G33*1000000/G14</f>
        <v>73.1118245882559</v>
      </c>
      <c r="H34" s="30" t="n">
        <f aca="false">H33*1000000/H14</f>
        <v>87.3634914940769</v>
      </c>
      <c r="I34" s="30" t="n">
        <f aca="false">I33*1000000/I14</f>
        <v>79.6021880544057</v>
      </c>
      <c r="J34" s="30" t="n">
        <f aca="false">J33*1000000/J14</f>
        <v>102.90488862606</v>
      </c>
      <c r="K34" s="30" t="n">
        <f aca="false">K33*1000000/K14</f>
        <v>137.855038110257</v>
      </c>
      <c r="L34" s="30" t="n">
        <f aca="false">L33*1000000/L14</f>
        <v>149.053290556104</v>
      </c>
      <c r="M34" s="30" t="n">
        <f aca="false">M33*1000000/M14</f>
        <v>172.261818580673</v>
      </c>
      <c r="N34" s="30" t="n">
        <f aca="false">N33*1000000/N14</f>
        <v>201.627369200395</v>
      </c>
      <c r="O34" s="30" t="n">
        <f aca="false">O33*1000000/O14</f>
        <v>236.483764633395</v>
      </c>
      <c r="P34" s="30" t="n">
        <f aca="false">P33*1000000/P14</f>
        <v>322.221092626823</v>
      </c>
      <c r="Q34" s="30" t="n">
        <f aca="false">Q33*1000000/Q14</f>
        <v>419.324080920107</v>
      </c>
    </row>
    <row r="35" customFormat="false" ht="15" hidden="false" customHeight="true" outlineLevel="0" collapsed="false">
      <c r="A35" s="19" t="s">
        <v>843</v>
      </c>
      <c r="B35" s="15" t="s">
        <v>828</v>
      </c>
      <c r="C35" s="30" t="n">
        <f aca="false">C33*1000/C8</f>
        <v>31.6322694</v>
      </c>
      <c r="D35" s="30" t="n">
        <f aca="false">D33*1000/D8</f>
        <v>40.180214</v>
      </c>
      <c r="E35" s="30" t="n">
        <f aca="false">E33*1000/E8</f>
        <v>50.3067434</v>
      </c>
      <c r="F35" s="30" t="n">
        <f aca="false">F33*1000/F8</f>
        <v>30.8513904</v>
      </c>
      <c r="G35" s="30" t="n">
        <f aca="false">G33*1000/G8</f>
        <v>36.685174</v>
      </c>
      <c r="H35" s="30" t="n">
        <f aca="false">H33*1000/H8</f>
        <v>43.8362044</v>
      </c>
      <c r="I35" s="30" t="n">
        <f aca="false">I33*1000/I8</f>
        <v>38.7669024</v>
      </c>
      <c r="J35" s="30" t="n">
        <f aca="false">J33*1000/J8</f>
        <v>50.115504</v>
      </c>
      <c r="K35" s="30" t="n">
        <f aca="false">K33*1000/K8</f>
        <v>67.1365064</v>
      </c>
      <c r="L35" s="30" t="n">
        <f aca="false">L33*1000/L8</f>
        <v>43.4854032</v>
      </c>
      <c r="M35" s="30" t="n">
        <f aca="false">M33*1000/M8</f>
        <v>50.256352</v>
      </c>
      <c r="N35" s="30" t="n">
        <f aca="false">N33*1000/N8</f>
        <v>58.8235752</v>
      </c>
      <c r="O35" s="30" t="n">
        <f aca="false">O33*1000/O8</f>
        <v>46.057578</v>
      </c>
      <c r="P35" s="30" t="n">
        <f aca="false">P33*1000/P8</f>
        <v>62.75578</v>
      </c>
      <c r="Q35" s="30" t="n">
        <f aca="false">Q33*1000/Q8</f>
        <v>81.667558</v>
      </c>
    </row>
    <row r="36" customFormat="false" ht="15" hidden="false" customHeight="true" outlineLevel="0" collapsed="false">
      <c r="A36" s="19" t="s">
        <v>844</v>
      </c>
      <c r="B36" s="15" t="s">
        <v>828</v>
      </c>
      <c r="C36" s="124" t="n">
        <f aca="false">C32*1000/C8</f>
        <v>10.212</v>
      </c>
      <c r="D36" s="124" t="n">
        <f aca="false">D32*1000/D8</f>
        <v>12.67</v>
      </c>
      <c r="E36" s="124" t="n">
        <f aca="false">E32*1000/E8</f>
        <v>16.186</v>
      </c>
      <c r="F36" s="124" t="n">
        <f aca="false">F32*1000/F8</f>
        <v>10.212</v>
      </c>
      <c r="G36" s="124" t="n">
        <f aca="false">G32*1000/G8</f>
        <v>12.67</v>
      </c>
      <c r="H36" s="124" t="n">
        <f aca="false">H32*1000/H8</f>
        <v>16.186</v>
      </c>
      <c r="I36" s="124" t="n">
        <f aca="false">I32*1000/I8</f>
        <v>10.212</v>
      </c>
      <c r="J36" s="124" t="n">
        <f aca="false">J32*1000/J8</f>
        <v>12.67</v>
      </c>
      <c r="K36" s="124" t="n">
        <f aca="false">K32*1000/K8</f>
        <v>16.186</v>
      </c>
      <c r="L36" s="124" t="n">
        <f aca="false">L32*1000/L8</f>
        <v>10.212</v>
      </c>
      <c r="M36" s="124" t="n">
        <f aca="false">M32*1000/M8</f>
        <v>12.67</v>
      </c>
      <c r="N36" s="124" t="n">
        <f aca="false">N32*1000/N8</f>
        <v>16.186</v>
      </c>
      <c r="O36" s="124" t="n">
        <f aca="false">O32*1000/O8</f>
        <v>10.212</v>
      </c>
      <c r="P36" s="124" t="n">
        <f aca="false">P32*1000/P8</f>
        <v>12.67</v>
      </c>
      <c r="Q36" s="124" t="n">
        <f aca="false">Q32*1000/Q8</f>
        <v>16.186</v>
      </c>
    </row>
    <row r="37" customFormat="false" ht="15" hidden="false" customHeight="true" outlineLevel="0" collapsed="false">
      <c r="A37" s="24" t="s">
        <v>845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customFormat="false" ht="15" hidden="false" customHeight="true" outlineLevel="0" collapsed="false">
      <c r="A38" s="14" t="s">
        <v>846</v>
      </c>
      <c r="B38" s="20" t="s">
        <v>106</v>
      </c>
      <c r="C38" s="126" t="n">
        <f aca="false">Inputs!D23</f>
        <v>6</v>
      </c>
      <c r="D38" s="126" t="n">
        <f aca="false">Inputs!E23</f>
        <v>6</v>
      </c>
      <c r="E38" s="126" t="n">
        <f aca="false">Inputs!F23</f>
        <v>4</v>
      </c>
      <c r="F38" s="126" t="n">
        <f aca="false">Inputs!D23</f>
        <v>6</v>
      </c>
      <c r="G38" s="126" t="n">
        <f aca="false">Inputs!E23</f>
        <v>6</v>
      </c>
      <c r="H38" s="126" t="n">
        <f aca="false">Inputs!F23</f>
        <v>4</v>
      </c>
      <c r="I38" s="126" t="n">
        <f aca="false">Inputs!D23</f>
        <v>6</v>
      </c>
      <c r="J38" s="126" t="n">
        <f aca="false">Inputs!E23</f>
        <v>6</v>
      </c>
      <c r="K38" s="126" t="n">
        <f aca="false">Inputs!F23</f>
        <v>4</v>
      </c>
      <c r="L38" s="126" t="n">
        <f aca="false">Inputs!D23</f>
        <v>6</v>
      </c>
      <c r="M38" s="126" t="n">
        <f aca="false">Inputs!E23</f>
        <v>6</v>
      </c>
      <c r="N38" s="126" t="n">
        <f aca="false">Inputs!F23</f>
        <v>4</v>
      </c>
      <c r="O38" s="126" t="n">
        <f aca="false">Inputs!D23</f>
        <v>6</v>
      </c>
      <c r="P38" s="126" t="n">
        <f aca="false">Inputs!E23</f>
        <v>6</v>
      </c>
      <c r="Q38" s="126" t="n">
        <f aca="false">Inputs!F23</f>
        <v>4</v>
      </c>
    </row>
    <row r="39" customFormat="false" ht="15" hidden="false" customHeight="true" outlineLevel="0" collapsed="false">
      <c r="A39" s="14" t="s">
        <v>847</v>
      </c>
      <c r="B39" s="15" t="s">
        <v>830</v>
      </c>
      <c r="C39" s="124" t="n">
        <f aca="false">C24/C38</f>
        <v>3.5700449</v>
      </c>
      <c r="D39" s="124" t="n">
        <f aca="false">D24/D38</f>
        <v>4.58503566666667</v>
      </c>
      <c r="E39" s="124" t="n">
        <f aca="false">E24/E38</f>
        <v>8.53018585</v>
      </c>
      <c r="F39" s="124" t="n">
        <f aca="false">F24/F38</f>
        <v>3.4398984</v>
      </c>
      <c r="G39" s="124" t="n">
        <f aca="false">G24/G38</f>
        <v>4.002529</v>
      </c>
      <c r="H39" s="124" t="n">
        <f aca="false">H24/H38</f>
        <v>6.9125511</v>
      </c>
      <c r="I39" s="124" t="n">
        <f aca="false">I24/I38</f>
        <v>4.7591504</v>
      </c>
      <c r="J39" s="124" t="n">
        <f aca="false">J24/J38</f>
        <v>6.24091733333333</v>
      </c>
      <c r="K39" s="124" t="n">
        <f aca="false">K24/K38</f>
        <v>12.7376266</v>
      </c>
      <c r="L39" s="124" t="n">
        <f aca="false">L24/L38</f>
        <v>5.5455672</v>
      </c>
      <c r="M39" s="124" t="n">
        <f aca="false">M24/M38</f>
        <v>6.264392</v>
      </c>
      <c r="N39" s="124" t="n">
        <f aca="false">N24/N38</f>
        <v>10.6593938</v>
      </c>
      <c r="O39" s="124" t="n">
        <f aca="false">O24/O38</f>
        <v>5.974263</v>
      </c>
      <c r="P39" s="124" t="n">
        <f aca="false">P24/P38</f>
        <v>8.34763</v>
      </c>
      <c r="Q39" s="124" t="n">
        <f aca="false">Q24/Q38</f>
        <v>16.3703895</v>
      </c>
    </row>
    <row r="40" customFormat="false" ht="15" hidden="false" customHeight="true" outlineLevel="0" collapsed="false">
      <c r="A40" s="19" t="s">
        <v>848</v>
      </c>
      <c r="B40" s="15" t="s">
        <v>830</v>
      </c>
      <c r="C40" s="124" t="n">
        <f aca="false">(C26/Inputs!D24+C27/Inputs!D25+C28/Inputs!D26+C29/Inputs!D27)*(1+C30)</f>
        <v>0.507733333333333</v>
      </c>
      <c r="D40" s="124" t="n">
        <f aca="false">(D26/Inputs!E24+D27/Inputs!E25+D28/Inputs!E26+D29/Inputs!E27)*(1+D30)</f>
        <v>0.634416666666667</v>
      </c>
      <c r="E40" s="124" t="n">
        <f aca="false">(E26/Inputs!F24+E27/Inputs!F25+E28/Inputs!F26+E29/Inputs!F27)*(1+E30)</f>
        <v>0.812233333333334</v>
      </c>
      <c r="F40" s="124" t="n">
        <f aca="false">(F26/Inputs!D24+F27/Inputs!D25+F28/Inputs!D26+F29/Inputs!D27)*(1+F30)</f>
        <v>0.507733333333333</v>
      </c>
      <c r="G40" s="124" t="n">
        <f aca="false">(G26/Inputs!E24+G27/Inputs!E25+G28/Inputs!E26+G29/Inputs!E27)*(1+G30)</f>
        <v>0.634416666666667</v>
      </c>
      <c r="H40" s="124" t="n">
        <f aca="false">(H26/Inputs!F24+H27/Inputs!F25+H28/Inputs!F26+H29/Inputs!F27)*(1+H30)</f>
        <v>0.812233333333334</v>
      </c>
      <c r="I40" s="124" t="n">
        <f aca="false">(I26/Inputs!D24+I27/Inputs!D25+I28/Inputs!D26+I29/Inputs!D27)*(1+I30)</f>
        <v>0.507733333333333</v>
      </c>
      <c r="J40" s="124" t="n">
        <f aca="false">(J26/Inputs!E24+J27/Inputs!E25+J28/Inputs!E26+J29/Inputs!E27)*(1+J30)</f>
        <v>0.634416666666667</v>
      </c>
      <c r="K40" s="124" t="n">
        <f aca="false">(K26/Inputs!F24+K27/Inputs!F25+K28/Inputs!F26+K29/Inputs!F27)*(1+K30)</f>
        <v>0.812233333333334</v>
      </c>
      <c r="L40" s="124" t="n">
        <f aca="false">(L26/Inputs!D24+L27/Inputs!D25+L28/Inputs!D26+L29/Inputs!D27)*(1+L30)</f>
        <v>0.507733333333333</v>
      </c>
      <c r="M40" s="124" t="n">
        <f aca="false">(M26/Inputs!E24+M27/Inputs!E25+M28/Inputs!E26+M29/Inputs!E27)*(1+M30)</f>
        <v>0.634416666666667</v>
      </c>
      <c r="N40" s="124" t="n">
        <f aca="false">(N26/Inputs!F24+N27/Inputs!F25+N28/Inputs!F26+N29/Inputs!F27)*(1+N30)</f>
        <v>0.812233333333334</v>
      </c>
      <c r="O40" s="124" t="n">
        <f aca="false">(O26/Inputs!D24+O27/Inputs!D25+O28/Inputs!D26+O29/Inputs!D27)*(1+O30)</f>
        <v>0.507733333333333</v>
      </c>
      <c r="P40" s="124" t="n">
        <f aca="false">(P26/Inputs!E24+P27/Inputs!E25+P28/Inputs!E26+P29/Inputs!E27)*(1+P30)</f>
        <v>0.634416666666667</v>
      </c>
      <c r="Q40" s="124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19" t="s">
        <v>78</v>
      </c>
      <c r="B41" s="15" t="s">
        <v>71</v>
      </c>
      <c r="C41" s="25" t="n">
        <f aca="false">Inputs!D10</f>
        <v>0.7</v>
      </c>
      <c r="D41" s="25" t="n">
        <f aca="false">Inputs!E10</f>
        <v>0.8</v>
      </c>
      <c r="E41" s="25" t="n">
        <f aca="false">Inputs!F10</f>
        <v>0.9</v>
      </c>
      <c r="F41" s="25" t="n">
        <f aca="false">Inputs!D10</f>
        <v>0.7</v>
      </c>
      <c r="G41" s="25" t="n">
        <f aca="false">Inputs!E10</f>
        <v>0.8</v>
      </c>
      <c r="H41" s="25" t="n">
        <f aca="false">Inputs!F10</f>
        <v>0.9</v>
      </c>
      <c r="I41" s="25" t="n">
        <f aca="false">Inputs!D10</f>
        <v>0.7</v>
      </c>
      <c r="J41" s="25" t="n">
        <f aca="false">Inputs!E10</f>
        <v>0.8</v>
      </c>
      <c r="K41" s="25" t="n">
        <f aca="false">Inputs!F10</f>
        <v>0.9</v>
      </c>
      <c r="L41" s="25" t="n">
        <f aca="false">Inputs!D10</f>
        <v>0.7</v>
      </c>
      <c r="M41" s="25" t="n">
        <f aca="false">Inputs!E10</f>
        <v>0.8</v>
      </c>
      <c r="N41" s="25" t="n">
        <f aca="false">Inputs!F10</f>
        <v>0.9</v>
      </c>
      <c r="O41" s="25" t="n">
        <f aca="false">Inputs!D10</f>
        <v>0.7</v>
      </c>
      <c r="P41" s="25" t="n">
        <f aca="false">Inputs!E10</f>
        <v>0.8</v>
      </c>
      <c r="Q41" s="25" t="n">
        <f aca="false">Inputs!F10</f>
        <v>0.9</v>
      </c>
    </row>
    <row r="42" customFormat="false" ht="15" hidden="false" customHeight="true" outlineLevel="0" collapsed="false">
      <c r="A42" s="19" t="s">
        <v>80</v>
      </c>
      <c r="B42" s="15" t="s">
        <v>81</v>
      </c>
      <c r="C42" s="127" t="n">
        <f aca="false">Inputs!D11</f>
        <v>0.06</v>
      </c>
      <c r="D42" s="127" t="n">
        <f aca="false">Inputs!E11</f>
        <v>0.08</v>
      </c>
      <c r="E42" s="127" t="n">
        <f aca="false">Inputs!F11</f>
        <v>0.1</v>
      </c>
      <c r="F42" s="127" t="n">
        <f aca="false">Inputs!D11</f>
        <v>0.06</v>
      </c>
      <c r="G42" s="127" t="n">
        <f aca="false">Inputs!E11</f>
        <v>0.08</v>
      </c>
      <c r="H42" s="127" t="n">
        <f aca="false">Inputs!F11</f>
        <v>0.1</v>
      </c>
      <c r="I42" s="127" t="n">
        <f aca="false">Inputs!D11</f>
        <v>0.06</v>
      </c>
      <c r="J42" s="127" t="n">
        <f aca="false">Inputs!E11</f>
        <v>0.08</v>
      </c>
      <c r="K42" s="127" t="n">
        <f aca="false">Inputs!F11</f>
        <v>0.1</v>
      </c>
      <c r="L42" s="127" t="n">
        <f aca="false">Inputs!D11</f>
        <v>0.06</v>
      </c>
      <c r="M42" s="127" t="n">
        <f aca="false">Inputs!E11</f>
        <v>0.08</v>
      </c>
      <c r="N42" s="127" t="n">
        <f aca="false">Inputs!F11</f>
        <v>0.1</v>
      </c>
      <c r="O42" s="127" t="n">
        <f aca="false">Inputs!D11</f>
        <v>0.06</v>
      </c>
      <c r="P42" s="127" t="n">
        <f aca="false">Inputs!E11</f>
        <v>0.08</v>
      </c>
      <c r="Q42" s="127" t="n">
        <f aca="false">Inputs!F11</f>
        <v>0.1</v>
      </c>
    </row>
    <row r="43" customFormat="false" ht="15" hidden="false" customHeight="true" outlineLevel="0" collapsed="false">
      <c r="A43" s="19" t="s">
        <v>849</v>
      </c>
      <c r="B43" s="15" t="s">
        <v>830</v>
      </c>
      <c r="C43" s="124" t="n">
        <f aca="false">C8*1000*C41*C15*8760*C42/1000000000</f>
        <v>0.404712</v>
      </c>
      <c r="D43" s="124" t="n">
        <f aca="false">D8*1000*D41*D15*8760*D42/1000000000</f>
        <v>0.672768</v>
      </c>
      <c r="E43" s="124" t="n">
        <f aca="false">E8*1000*E41*E15*8760*E42/1000000000</f>
        <v>1.02492</v>
      </c>
      <c r="F43" s="124" t="n">
        <f aca="false">F8*1000*F41*F15*8760*F42/1000000000</f>
        <v>0.404712</v>
      </c>
      <c r="G43" s="124" t="n">
        <f aca="false">G8*1000*G41*G15*8760*G42/1000000000</f>
        <v>0.672768</v>
      </c>
      <c r="H43" s="124" t="n">
        <f aca="false">H8*1000*H41*H15*8760*H42/1000000000</f>
        <v>1.02492</v>
      </c>
      <c r="I43" s="124" t="n">
        <f aca="false">I8*1000*I41*I15*8760*I42/1000000000</f>
        <v>0.404712</v>
      </c>
      <c r="J43" s="124" t="n">
        <f aca="false">J8*1000*J41*J15*8760*J42/1000000000</f>
        <v>0.672768</v>
      </c>
      <c r="K43" s="124" t="n">
        <f aca="false">K8*1000*K41*K15*8760*K42/1000000000</f>
        <v>1.02492</v>
      </c>
      <c r="L43" s="124" t="n">
        <f aca="false">L8*1000*L41*L15*8760*L42/1000000000</f>
        <v>0.404712</v>
      </c>
      <c r="M43" s="124" t="n">
        <f aca="false">M8*1000*M41*M15*8760*M42/1000000000</f>
        <v>0.672768</v>
      </c>
      <c r="N43" s="124" t="n">
        <f aca="false">N8*1000*N41*N15*8760*N42/1000000000</f>
        <v>1.02492</v>
      </c>
      <c r="O43" s="124" t="n">
        <f aca="false">O8*1000*O41*O15*8760*O42/1000000000</f>
        <v>0.404712</v>
      </c>
      <c r="P43" s="124" t="n">
        <f aca="false">P8*1000*P41*P15*8760*P42/1000000000</f>
        <v>0.672768</v>
      </c>
      <c r="Q43" s="124" t="n">
        <f aca="false">Q8*1000*Q41*Q15*8760*Q42/1000000000</f>
        <v>1.02492</v>
      </c>
    </row>
    <row r="44" customFormat="false" ht="15" hidden="false" customHeight="true" outlineLevel="0" collapsed="false">
      <c r="A44" s="14" t="s">
        <v>117</v>
      </c>
      <c r="B44" s="15" t="s">
        <v>830</v>
      </c>
      <c r="C44" s="124" t="n">
        <f aca="false">C24*Inputs!D30</f>
        <v>0.428405388</v>
      </c>
      <c r="D44" s="124" t="n">
        <f aca="false">D24*Inputs!E30</f>
        <v>0.82530642</v>
      </c>
      <c r="E44" s="124" t="n">
        <f aca="false">E24*Inputs!F30</f>
        <v>1.364829736</v>
      </c>
      <c r="F44" s="124" t="n">
        <f aca="false">F24*Inputs!D30</f>
        <v>0.412787808</v>
      </c>
      <c r="G44" s="124" t="n">
        <f aca="false">G24*Inputs!E30</f>
        <v>0.72045522</v>
      </c>
      <c r="H44" s="124" t="n">
        <f aca="false">H24*Inputs!F30</f>
        <v>1.106008176</v>
      </c>
      <c r="I44" s="124" t="n">
        <f aca="false">I24*Inputs!D30</f>
        <v>0.571098048</v>
      </c>
      <c r="J44" s="124" t="n">
        <f aca="false">J24*Inputs!E30</f>
        <v>1.12336512</v>
      </c>
      <c r="K44" s="124" t="n">
        <f aca="false">K24*Inputs!F30</f>
        <v>2.038020256</v>
      </c>
      <c r="L44" s="124" t="n">
        <f aca="false">L24*Inputs!D30</f>
        <v>0.665468064</v>
      </c>
      <c r="M44" s="124" t="n">
        <f aca="false">M24*Inputs!E30</f>
        <v>1.12759056</v>
      </c>
      <c r="N44" s="124" t="n">
        <f aca="false">N24*Inputs!F30</f>
        <v>1.705503008</v>
      </c>
      <c r="O44" s="124" t="n">
        <f aca="false">O24*Inputs!D30</f>
        <v>0.71691156</v>
      </c>
      <c r="P44" s="124" t="n">
        <f aca="false">P24*Inputs!E30</f>
        <v>1.5025734</v>
      </c>
      <c r="Q44" s="124" t="n">
        <f aca="false">Q24*Inputs!F30</f>
        <v>2.61926232</v>
      </c>
    </row>
    <row r="45" customFormat="false" ht="15" hidden="false" customHeight="true" outlineLevel="0" collapsed="false">
      <c r="A45" s="19" t="s">
        <v>120</v>
      </c>
      <c r="B45" s="15" t="s">
        <v>830</v>
      </c>
      <c r="C45" s="124" t="n">
        <f aca="false">C32*Inputs!D31</f>
        <v>0.15318</v>
      </c>
      <c r="D45" s="124" t="n">
        <f aca="false">D32*Inputs!E31</f>
        <v>0.2534</v>
      </c>
      <c r="E45" s="124" t="n">
        <f aca="false">E32*Inputs!F31</f>
        <v>0.40465</v>
      </c>
      <c r="F45" s="124" t="n">
        <f aca="false">F32*Inputs!D31</f>
        <v>0.15318</v>
      </c>
      <c r="G45" s="124" t="n">
        <f aca="false">G32*Inputs!E31</f>
        <v>0.2534</v>
      </c>
      <c r="H45" s="124" t="n">
        <f aca="false">H32*Inputs!F31</f>
        <v>0.40465</v>
      </c>
      <c r="I45" s="124" t="n">
        <f aca="false">I32*Inputs!D31</f>
        <v>0.15318</v>
      </c>
      <c r="J45" s="124" t="n">
        <f aca="false">J32*Inputs!E31</f>
        <v>0.2534</v>
      </c>
      <c r="K45" s="124" t="n">
        <f aca="false">K32*Inputs!F31</f>
        <v>0.40465</v>
      </c>
      <c r="L45" s="124" t="n">
        <f aca="false">L32*Inputs!D31</f>
        <v>0.15318</v>
      </c>
      <c r="M45" s="124" t="n">
        <f aca="false">M32*Inputs!E31</f>
        <v>0.2534</v>
      </c>
      <c r="N45" s="124" t="n">
        <f aca="false">N32*Inputs!F31</f>
        <v>0.40465</v>
      </c>
      <c r="O45" s="124" t="n">
        <f aca="false">O32*Inputs!D31</f>
        <v>0.15318</v>
      </c>
      <c r="P45" s="124" t="n">
        <f aca="false">P32*Inputs!E31</f>
        <v>0.2534</v>
      </c>
      <c r="Q45" s="124" t="n">
        <f aca="false">Q32*Inputs!F31</f>
        <v>0.40465</v>
      </c>
    </row>
    <row r="46" customFormat="false" ht="15" hidden="false" customHeight="true" outlineLevel="0" collapsed="false">
      <c r="A46" s="19" t="s">
        <v>850</v>
      </c>
      <c r="B46" s="15" t="s">
        <v>830</v>
      </c>
      <c r="C46" s="124" t="n">
        <f aca="false">(Inputs!D32*C8/1000+Inputs!D33*C8/1000+Inputs!D34*C8)/1000</f>
        <v>0.24</v>
      </c>
      <c r="D46" s="124" t="n">
        <f aca="false">(Inputs!E32*D8/1000+Inputs!E33*D8/1000+Inputs!E34*D8)/1000</f>
        <v>0.325</v>
      </c>
      <c r="E46" s="124" t="n">
        <f aca="false">(Inputs!F32*E8/1000+Inputs!F33*E8/1000+Inputs!F34*E8)/1000</f>
        <v>0.41</v>
      </c>
      <c r="F46" s="124" t="n">
        <f aca="false">(Inputs!D32*F8/1000+Inputs!D33*F8/1000+Inputs!D34*F8)/1000</f>
        <v>0.24</v>
      </c>
      <c r="G46" s="124" t="n">
        <f aca="false">(Inputs!E32*G8/1000+Inputs!E33*G8/1000+Inputs!E34*G8)/1000</f>
        <v>0.325</v>
      </c>
      <c r="H46" s="124" t="n">
        <f aca="false">(Inputs!F32*H8/1000+Inputs!F33*H8/1000+Inputs!F34*H8)/1000</f>
        <v>0.41</v>
      </c>
      <c r="I46" s="124" t="n">
        <f aca="false">(Inputs!D32*I8/1000+Inputs!D33*I8/1000+Inputs!D34*I8)/1000</f>
        <v>0.24</v>
      </c>
      <c r="J46" s="124" t="n">
        <f aca="false">(Inputs!E32*J8/1000+Inputs!E33*J8/1000+Inputs!E34*J8)/1000</f>
        <v>0.325</v>
      </c>
      <c r="K46" s="124" t="n">
        <f aca="false">(Inputs!F32*K8/1000+Inputs!F33*K8/1000+Inputs!F34*K8)/1000</f>
        <v>0.41</v>
      </c>
      <c r="L46" s="124" t="n">
        <f aca="false">(Inputs!D32*L8/1000+Inputs!D33*L8/1000+Inputs!D34*L8)/1000</f>
        <v>0.24</v>
      </c>
      <c r="M46" s="124" t="n">
        <f aca="false">(Inputs!E32*M8/1000+Inputs!E33*M8/1000+Inputs!E34*M8)/1000</f>
        <v>0.325</v>
      </c>
      <c r="N46" s="124" t="n">
        <f aca="false">(Inputs!F32*N8/1000+Inputs!F33*N8/1000+Inputs!F34*N8)/1000</f>
        <v>0.41</v>
      </c>
      <c r="O46" s="124" t="n">
        <f aca="false">(Inputs!D32*O8/1000+Inputs!D33*O8/1000+Inputs!D34*O8)/1000</f>
        <v>0.24</v>
      </c>
      <c r="P46" s="124" t="n">
        <f aca="false">(Inputs!E32*P8/1000+Inputs!E33*P8/1000+Inputs!E34*P8)/1000</f>
        <v>0.325</v>
      </c>
      <c r="Q46" s="124" t="n">
        <f aca="false">(Inputs!F32*Q8/1000+Inputs!F33*Q8/1000+Inputs!F34*Q8)/1000</f>
        <v>0.41</v>
      </c>
    </row>
    <row r="47" customFormat="false" ht="15" hidden="false" customHeight="true" outlineLevel="0" collapsed="false">
      <c r="A47" s="19" t="s">
        <v>131</v>
      </c>
      <c r="B47" s="15" t="s">
        <v>830</v>
      </c>
      <c r="C47" s="124" t="n">
        <f aca="false">C33*Inputs!D35</f>
        <v>0.0948968082</v>
      </c>
      <c r="D47" s="124" t="n">
        <f aca="false">D33*Inputs!E35</f>
        <v>0.20090107</v>
      </c>
      <c r="E47" s="124" t="n">
        <f aca="false">E33*Inputs!F35</f>
        <v>0.4024539472</v>
      </c>
      <c r="F47" s="124" t="n">
        <f aca="false">F33*Inputs!D35</f>
        <v>0.0925541712</v>
      </c>
      <c r="G47" s="124" t="n">
        <f aca="false">G33*Inputs!E35</f>
        <v>0.18342587</v>
      </c>
      <c r="H47" s="124" t="n">
        <f aca="false">H33*Inputs!F35</f>
        <v>0.3506896352</v>
      </c>
      <c r="I47" s="124" t="n">
        <f aca="false">I33*Inputs!D35</f>
        <v>0.1163007072</v>
      </c>
      <c r="J47" s="124" t="n">
        <f aca="false">J33*Inputs!E35</f>
        <v>0.25057752</v>
      </c>
      <c r="K47" s="124" t="n">
        <f aca="false">K33*Inputs!F35</f>
        <v>0.5370920512</v>
      </c>
      <c r="L47" s="124" t="n">
        <f aca="false">L33*Inputs!D35</f>
        <v>0.1304562096</v>
      </c>
      <c r="M47" s="124" t="n">
        <f aca="false">M33*Inputs!E35</f>
        <v>0.25128176</v>
      </c>
      <c r="N47" s="124" t="n">
        <f aca="false">N33*Inputs!F35</f>
        <v>0.4705886016</v>
      </c>
      <c r="O47" s="124" t="n">
        <f aca="false">O33*Inputs!D35</f>
        <v>0.138172734</v>
      </c>
      <c r="P47" s="124" t="n">
        <f aca="false">P33*Inputs!E35</f>
        <v>0.3137789</v>
      </c>
      <c r="Q47" s="124" t="n">
        <f aca="false">Q33*Inputs!F35</f>
        <v>0.653340464</v>
      </c>
    </row>
    <row r="48" customFormat="false" ht="15" hidden="false" customHeight="true" outlineLevel="0" collapsed="false">
      <c r="A48" s="19" t="s">
        <v>851</v>
      </c>
      <c r="B48" s="15" t="s">
        <v>830</v>
      </c>
      <c r="C48" s="124" t="n">
        <f aca="false">C43+C44+C45+C46+C47</f>
        <v>1.3211941962</v>
      </c>
      <c r="D48" s="124" t="n">
        <f aca="false">D43+D44+D45+D46+D47</f>
        <v>2.27737549</v>
      </c>
      <c r="E48" s="124" t="n">
        <f aca="false">E43+E44+E45+E46+E47</f>
        <v>3.6068536832</v>
      </c>
      <c r="F48" s="124" t="n">
        <f aca="false">F43+F44+F45+F46+F47</f>
        <v>1.3032339792</v>
      </c>
      <c r="G48" s="124" t="n">
        <f aca="false">G43+G44+G45+G46+G47</f>
        <v>2.15504909</v>
      </c>
      <c r="H48" s="124" t="n">
        <f aca="false">H43+H44+H45+H46+H47</f>
        <v>3.2962678112</v>
      </c>
      <c r="I48" s="124" t="n">
        <f aca="false">I43+I44+I45+I46+I47</f>
        <v>1.4852907552</v>
      </c>
      <c r="J48" s="124" t="n">
        <f aca="false">J43+J44+J45+J46+J47</f>
        <v>2.62511064</v>
      </c>
      <c r="K48" s="124" t="n">
        <f aca="false">K43+K44+K45+K46+K47</f>
        <v>4.4146823072</v>
      </c>
      <c r="L48" s="124" t="n">
        <f aca="false">L43+L44+L45+L46+L47</f>
        <v>1.5938162736</v>
      </c>
      <c r="M48" s="124" t="n">
        <f aca="false">M43+M44+M45+M46+M47</f>
        <v>2.63004032</v>
      </c>
      <c r="N48" s="124" t="n">
        <f aca="false">N43+N44+N45+N46+N47</f>
        <v>4.0156616096</v>
      </c>
      <c r="O48" s="124" t="n">
        <f aca="false">O43+O44+O45+O46+O47</f>
        <v>1.652976294</v>
      </c>
      <c r="P48" s="124" t="n">
        <f aca="false">P43+P44+P45+P46+P47</f>
        <v>3.0675203</v>
      </c>
      <c r="Q48" s="124" t="n">
        <f aca="false">Q43+Q44+Q45+Q46+Q47</f>
        <v>5.112172784</v>
      </c>
    </row>
    <row r="49" customFormat="false" ht="15" hidden="false" customHeight="true" outlineLevel="0" collapsed="false">
      <c r="A49" s="19" t="s">
        <v>852</v>
      </c>
      <c r="B49" s="15" t="s">
        <v>830</v>
      </c>
      <c r="C49" s="125" t="n">
        <f aca="false">C39+C40+C48</f>
        <v>5.39897242953333</v>
      </c>
      <c r="D49" s="125" t="n">
        <f aca="false">D39+D40+D48</f>
        <v>7.49682782333333</v>
      </c>
      <c r="E49" s="125" t="n">
        <f aca="false">E39+E40+E48</f>
        <v>12.9492728665333</v>
      </c>
      <c r="F49" s="125" t="n">
        <f aca="false">F39+F40+F48</f>
        <v>5.25086571253333</v>
      </c>
      <c r="G49" s="125" t="n">
        <f aca="false">G39+G40+G48</f>
        <v>6.79199475666667</v>
      </c>
      <c r="H49" s="125" t="n">
        <f aca="false">H39+H40+H48</f>
        <v>11.0210522445333</v>
      </c>
      <c r="I49" s="125" t="n">
        <f aca="false">I39+I40+I48</f>
        <v>6.75217448853333</v>
      </c>
      <c r="J49" s="125" t="n">
        <f aca="false">J39+J40+J48</f>
        <v>9.50044464</v>
      </c>
      <c r="K49" s="125" t="n">
        <f aca="false">K39+K40+K48</f>
        <v>17.9645422405333</v>
      </c>
      <c r="L49" s="125" t="n">
        <f aca="false">L39+L40+L48</f>
        <v>7.64711680693333</v>
      </c>
      <c r="M49" s="125" t="n">
        <f aca="false">M39+M40+M48</f>
        <v>9.52884898666667</v>
      </c>
      <c r="N49" s="125" t="n">
        <f aca="false">N39+N40+N48</f>
        <v>15.4872887429333</v>
      </c>
      <c r="O49" s="125" t="n">
        <f aca="false">O39+O40+O48</f>
        <v>8.13497262733334</v>
      </c>
      <c r="P49" s="125" t="n">
        <f aca="false">P39+P40+P48</f>
        <v>12.0495669666667</v>
      </c>
      <c r="Q49" s="125" t="n">
        <f aca="false">Q39+Q40+Q48</f>
        <v>22.2947956173333</v>
      </c>
    </row>
    <row r="50" customFormat="false" ht="15" hidden="false" customHeight="true" outlineLevel="0" collapsed="false">
      <c r="A50" s="24" t="s">
        <v>853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customFormat="false" ht="15" hidden="false" customHeight="true" outlineLevel="0" collapsed="false">
      <c r="A51" s="14" t="s">
        <v>854</v>
      </c>
      <c r="B51" s="15" t="s">
        <v>71</v>
      </c>
      <c r="C51" s="25" t="n">
        <f aca="false">Inputs!D28</f>
        <v>0.08</v>
      </c>
      <c r="D51" s="25" t="n">
        <f aca="false">Inputs!E28</f>
        <v>0.1</v>
      </c>
      <c r="E51" s="25" t="n">
        <f aca="false">Inputs!F28</f>
        <v>0.13</v>
      </c>
      <c r="F51" s="25" t="n">
        <f aca="false">Inputs!D28</f>
        <v>0.08</v>
      </c>
      <c r="G51" s="25" t="n">
        <f aca="false">Inputs!E28</f>
        <v>0.1</v>
      </c>
      <c r="H51" s="25" t="n">
        <f aca="false">Inputs!F28</f>
        <v>0.13</v>
      </c>
      <c r="I51" s="25" t="n">
        <f aca="false">Inputs!D28</f>
        <v>0.08</v>
      </c>
      <c r="J51" s="25" t="n">
        <f aca="false">Inputs!E28</f>
        <v>0.1</v>
      </c>
      <c r="K51" s="25" t="n">
        <f aca="false">Inputs!F28</f>
        <v>0.13</v>
      </c>
      <c r="L51" s="25" t="n">
        <f aca="false">Inputs!D28</f>
        <v>0.08</v>
      </c>
      <c r="M51" s="25" t="n">
        <f aca="false">Inputs!E28</f>
        <v>0.1</v>
      </c>
      <c r="N51" s="25" t="n">
        <f aca="false">Inputs!F28</f>
        <v>0.13</v>
      </c>
      <c r="O51" s="25" t="n">
        <f aca="false">Inputs!D28</f>
        <v>0.08</v>
      </c>
      <c r="P51" s="25" t="n">
        <f aca="false">Inputs!E28</f>
        <v>0.1</v>
      </c>
      <c r="Q51" s="25" t="n">
        <f aca="false">Inputs!F28</f>
        <v>0.13</v>
      </c>
    </row>
    <row r="52" customFormat="false" ht="15" hidden="false" customHeight="true" outlineLevel="0" collapsed="false">
      <c r="A52" s="14" t="s">
        <v>855</v>
      </c>
      <c r="B52" s="15" t="s">
        <v>75</v>
      </c>
      <c r="C52" s="128" t="n">
        <f aca="false">C51/(1-(1+C51)^(-C38))</f>
        <v>0.21631538622901</v>
      </c>
      <c r="D52" s="128" t="n">
        <f aca="false">D51/(1-(1+D51)^(-D38))</f>
        <v>0.229607380362667</v>
      </c>
      <c r="E52" s="128" t="n">
        <f aca="false">E51/(1-(1+E51)^(-E38))</f>
        <v>0.336194197406613</v>
      </c>
      <c r="F52" s="128" t="n">
        <f aca="false">F51/(1-(1+F51)^(-F38))</f>
        <v>0.21631538622901</v>
      </c>
      <c r="G52" s="128" t="n">
        <f aca="false">G51/(1-(1+G51)^(-G38))</f>
        <v>0.229607380362667</v>
      </c>
      <c r="H52" s="128" t="n">
        <f aca="false">H51/(1-(1+H51)^(-H38))</f>
        <v>0.336194197406613</v>
      </c>
      <c r="I52" s="128" t="n">
        <f aca="false">I51/(1-(1+I51)^(-I38))</f>
        <v>0.21631538622901</v>
      </c>
      <c r="J52" s="128" t="n">
        <f aca="false">J51/(1-(1+J51)^(-J38))</f>
        <v>0.229607380362667</v>
      </c>
      <c r="K52" s="128" t="n">
        <f aca="false">K51/(1-(1+K51)^(-K38))</f>
        <v>0.336194197406613</v>
      </c>
      <c r="L52" s="128" t="n">
        <f aca="false">L51/(1-(1+L51)^(-L38))</f>
        <v>0.21631538622901</v>
      </c>
      <c r="M52" s="128" t="n">
        <f aca="false">M51/(1-(1+M51)^(-M38))</f>
        <v>0.229607380362667</v>
      </c>
      <c r="N52" s="128" t="n">
        <f aca="false">N51/(1-(1+N51)^(-N38))</f>
        <v>0.336194197406613</v>
      </c>
      <c r="O52" s="128" t="n">
        <f aca="false">O51/(1-(1+O51)^(-O38))</f>
        <v>0.21631538622901</v>
      </c>
      <c r="P52" s="128" t="n">
        <f aca="false">P51/(1-(1+P51)^(-P38))</f>
        <v>0.229607380362667</v>
      </c>
      <c r="Q52" s="128" t="n">
        <f aca="false">Q51/(1-(1+Q51)^(-Q38))</f>
        <v>0.336194197406613</v>
      </c>
    </row>
    <row r="53" customFormat="false" ht="15" hidden="false" customHeight="true" outlineLevel="0" collapsed="false">
      <c r="A53" s="14" t="s">
        <v>856</v>
      </c>
      <c r="B53" s="15" t="s">
        <v>830</v>
      </c>
      <c r="C53" s="124" t="n">
        <f aca="false">C24*C52</f>
        <v>4.63353384839044</v>
      </c>
      <c r="D53" s="124" t="n">
        <f aca="false">D24*D52</f>
        <v>6.31654816975637</v>
      </c>
      <c r="E53" s="124" t="n">
        <f aca="false">E24*E52</f>
        <v>11.47119594228</v>
      </c>
      <c r="F53" s="124" t="n">
        <f aca="false">F24*F52</f>
        <v>4.46461770590731</v>
      </c>
      <c r="G53" s="124" t="n">
        <f aca="false">G24*G52</f>
        <v>5.51406119109364</v>
      </c>
      <c r="H53" s="124" t="n">
        <f aca="false">H24*H52</f>
        <v>9.29583827638681</v>
      </c>
      <c r="I53" s="124" t="n">
        <f aca="false">I24*I52</f>
        <v>6.17686474138768</v>
      </c>
      <c r="J53" s="124" t="n">
        <f aca="false">J24*J52</f>
        <v>8.59776407979978</v>
      </c>
      <c r="K53" s="124" t="n">
        <f aca="false">K24*K52</f>
        <v>17.1292646066085</v>
      </c>
      <c r="L53" s="124" t="n">
        <f aca="false">L24*L52</f>
        <v>7.19754906436157</v>
      </c>
      <c r="M53" s="124" t="n">
        <f aca="false">M24*M52</f>
        <v>8.6301038201091</v>
      </c>
      <c r="N53" s="124" t="n">
        <f aca="false">N24*N52</f>
        <v>14.3345053737281</v>
      </c>
      <c r="O53" s="124" t="n">
        <f aca="false">O24*O52</f>
        <v>7.75395004967209</v>
      </c>
      <c r="P53" s="124" t="n">
        <f aca="false">P24*P52</f>
        <v>11.5000647392209</v>
      </c>
      <c r="Q53" s="124" t="n">
        <f aca="false">Q24*Q52</f>
        <v>22.0145198367446</v>
      </c>
    </row>
    <row r="54" customFormat="false" ht="15" hidden="false" customHeight="true" outlineLevel="0" collapsed="false">
      <c r="A54" s="19" t="s">
        <v>857</v>
      </c>
      <c r="B54" s="15" t="s">
        <v>830</v>
      </c>
      <c r="C54" s="124" t="n">
        <f aca="false">(C26*C51/(1-(1+C51)^(-Inputs!D24))+C27*C51/(1-(1+C51)^(-Inputs!D25))+C28*C51/(1-(1+C51)^(-Inputs!D26))+C29*C51/(1-(1+C51)^(-Inputs!D27)))*(1+C30)+C25*C51</f>
        <v>1.04531526579147</v>
      </c>
      <c r="D54" s="124" t="n">
        <f aca="false">(D26*D51/(1-(1+D51)^(-Inputs!E24))+D27*D51/(1-(1+D51)^(-Inputs!E25))+D28*D51/(1-(1+D51)^(-Inputs!E26))+D29*D51/(1-(1+D51)^(-Inputs!E27)))*(1+D30)+D25*D51</f>
        <v>1.50187163616098</v>
      </c>
      <c r="E54" s="124" t="n">
        <f aca="false">(E26*E51/(1-(1+E51)^(-Inputs!F24))+E27*E51/(1-(1+E51)^(-Inputs!F25))+E28*E51/(1-(1+E51)^(-Inputs!F26))+E29*E51/(1-(1+E51)^(-Inputs!F27)))*(1+E30)+E25*E51</f>
        <v>2.32792243821144</v>
      </c>
      <c r="F54" s="124" t="n">
        <f aca="false">(F26*F51/(1-(1+F51)^(-Inputs!D24))+F27*F51/(1-(1+F51)^(-Inputs!D25))+F28*F51/(1-(1+F51)^(-Inputs!D26))+F29*F51/(1-(1+F51)^(-Inputs!D27)))*(1+F30)+F25*F51</f>
        <v>1.04531526579147</v>
      </c>
      <c r="G54" s="124" t="n">
        <f aca="false">(G26*G51/(1-(1+G51)^(-Inputs!E24))+G27*G51/(1-(1+G51)^(-Inputs!E25))+G28*G51/(1-(1+G51)^(-Inputs!E26))+G29*G51/(1-(1+G51)^(-Inputs!E27)))*(1+G30)+G25*G51</f>
        <v>1.50187163616098</v>
      </c>
      <c r="H54" s="124" t="n">
        <f aca="false">(H26*H51/(1-(1+H51)^(-Inputs!F24))+H27*H51/(1-(1+H51)^(-Inputs!F25))+H28*H51/(1-(1+H51)^(-Inputs!F26))+H29*H51/(1-(1+H51)^(-Inputs!F27)))*(1+H30)+H25*H51</f>
        <v>2.32792243821144</v>
      </c>
      <c r="I54" s="124" t="n">
        <f aca="false">(I26*I51/(1-(1+I51)^(-Inputs!D24))+I27*I51/(1-(1+I51)^(-Inputs!D25))+I28*I51/(1-(1+I51)^(-Inputs!D26))+I29*I51/(1-(1+I51)^(-Inputs!D27)))*(1+I30)+I25*I51</f>
        <v>1.04531526579147</v>
      </c>
      <c r="J54" s="124" t="n">
        <f aca="false">(J26*J51/(1-(1+J51)^(-Inputs!E24))+J27*J51/(1-(1+J51)^(-Inputs!E25))+J28*J51/(1-(1+J51)^(-Inputs!E26))+J29*J51/(1-(1+J51)^(-Inputs!E27)))*(1+J30)+J25*J51</f>
        <v>1.50187163616098</v>
      </c>
      <c r="K54" s="124" t="n">
        <f aca="false">(K26*K51/(1-(1+K51)^(-Inputs!F24))+K27*K51/(1-(1+K51)^(-Inputs!F25))+K28*K51/(1-(1+K51)^(-Inputs!F26))+K29*K51/(1-(1+K51)^(-Inputs!F27)))*(1+K30)+K25*K51</f>
        <v>2.32792243821144</v>
      </c>
      <c r="L54" s="124" t="n">
        <f aca="false">(L26*L51/(1-(1+L51)^(-Inputs!D24))+L27*L51/(1-(1+L51)^(-Inputs!D25))+L28*L51/(1-(1+L51)^(-Inputs!D26))+L29*L51/(1-(1+L51)^(-Inputs!D27)))*(1+L30)+L25*L51</f>
        <v>1.04531526579147</v>
      </c>
      <c r="M54" s="124" t="n">
        <f aca="false">(M26*M51/(1-(1+M51)^(-Inputs!E24))+M27*M51/(1-(1+M51)^(-Inputs!E25))+M28*M51/(1-(1+M51)^(-Inputs!E26))+M29*M51/(1-(1+M51)^(-Inputs!E27)))*(1+M30)+M25*M51</f>
        <v>1.50187163616098</v>
      </c>
      <c r="N54" s="124" t="n">
        <f aca="false">(N26*N51/(1-(1+N51)^(-Inputs!F24))+N27*N51/(1-(1+N51)^(-Inputs!F25))+N28*N51/(1-(1+N51)^(-Inputs!F26))+N29*N51/(1-(1+N51)^(-Inputs!F27)))*(1+N30)+N25*N51</f>
        <v>2.32792243821144</v>
      </c>
      <c r="O54" s="124" t="n">
        <f aca="false">(O26*O51/(1-(1+O51)^(-Inputs!D24))+O27*O51/(1-(1+O51)^(-Inputs!D25))+O28*O51/(1-(1+O51)^(-Inputs!D26))+O29*O51/(1-(1+O51)^(-Inputs!D27)))*(1+O30)+O25*O51</f>
        <v>1.04531526579147</v>
      </c>
      <c r="P54" s="124" t="n">
        <f aca="false">(P26*P51/(1-(1+P51)^(-Inputs!E24))+P27*P51/(1-(1+P51)^(-Inputs!E25))+P28*P51/(1-(1+P51)^(-Inputs!E26))+P29*P51/(1-(1+P51)^(-Inputs!E27)))*(1+P30)+P25*P51</f>
        <v>1.50187163616098</v>
      </c>
      <c r="Q54" s="124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19" t="s">
        <v>858</v>
      </c>
      <c r="B55" s="15" t="s">
        <v>830</v>
      </c>
      <c r="C55" s="125" t="n">
        <f aca="false">C53+C54+C48</f>
        <v>7.0000433103819</v>
      </c>
      <c r="D55" s="125" t="n">
        <f aca="false">D53+D54+D48</f>
        <v>10.0957952959174</v>
      </c>
      <c r="E55" s="125" t="n">
        <f aca="false">E53+E54+E48</f>
        <v>17.4059720636914</v>
      </c>
      <c r="F55" s="125" t="n">
        <f aca="false">F53+F54+F48</f>
        <v>6.81316695089878</v>
      </c>
      <c r="G55" s="125" t="n">
        <f aca="false">G53+G54+G48</f>
        <v>9.17098191725462</v>
      </c>
      <c r="H55" s="125" t="n">
        <f aca="false">H53+H54+H48</f>
        <v>14.9200285257983</v>
      </c>
      <c r="I55" s="125" t="n">
        <f aca="false">I53+I54+I48</f>
        <v>8.70747076237914</v>
      </c>
      <c r="J55" s="125" t="n">
        <f aca="false">J53+J54+J48</f>
        <v>12.7247463559608</v>
      </c>
      <c r="K55" s="125" t="n">
        <f aca="false">K53+K54+K48</f>
        <v>23.87186935202</v>
      </c>
      <c r="L55" s="125" t="n">
        <f aca="false">L53+L54+L48</f>
        <v>9.83668060375303</v>
      </c>
      <c r="M55" s="125" t="n">
        <f aca="false">M53+M54+M48</f>
        <v>12.7620157762701</v>
      </c>
      <c r="N55" s="125" t="n">
        <f aca="false">N53+N54+N48</f>
        <v>20.6780894215396</v>
      </c>
      <c r="O55" s="125" t="n">
        <f aca="false">O53+O54+O48</f>
        <v>10.4522416094636</v>
      </c>
      <c r="P55" s="125" t="n">
        <f aca="false">P53+P54+P48</f>
        <v>16.0694566753819</v>
      </c>
      <c r="Q55" s="125" t="n">
        <f aca="false">Q53+Q54+Q48</f>
        <v>29.454615058956</v>
      </c>
    </row>
    <row r="56" customFormat="false" ht="15" hidden="false" customHeight="true" outlineLevel="0" collapsed="false">
      <c r="A56" s="24" t="s">
        <v>859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 customFormat="false" ht="15" hidden="false" customHeight="true" outlineLevel="0" collapsed="false">
      <c r="A57" s="19" t="s">
        <v>860</v>
      </c>
      <c r="B57" s="15" t="s">
        <v>803</v>
      </c>
      <c r="C57" s="124" t="n">
        <f aca="false">C49*1000000000/(C14*8760)</f>
        <v>0.858328487231628</v>
      </c>
      <c r="D57" s="124" t="n">
        <f aca="false">D49*1000000000/(D14*8760)</f>
        <v>1.19184547960247</v>
      </c>
      <c r="E57" s="124" t="n">
        <f aca="false">E49*1000000000/(E14*8760)</f>
        <v>2.058675041473</v>
      </c>
      <c r="F57" s="124" t="n">
        <f aca="false">F49*1000000000/(F14*8760)</f>
        <v>1.19460366967365</v>
      </c>
      <c r="G57" s="124" t="n">
        <f aca="false">G49*1000000000/(G14*8760)</f>
        <v>1.54521983705496</v>
      </c>
      <c r="H57" s="124" t="n">
        <f aca="false">H49*1000000000/(H14*8760)</f>
        <v>2.50735596295275</v>
      </c>
      <c r="I57" s="124" t="n">
        <f aca="false">I49*1000000000/(I14*8760)</f>
        <v>1.58271768531545</v>
      </c>
      <c r="J57" s="124" t="n">
        <f aca="false">J49*1000000000/(J14*8760)</f>
        <v>2.22691545895677</v>
      </c>
      <c r="K57" s="124" t="n">
        <f aca="false">K49*1000000000/(K14*8760)</f>
        <v>4.210909946266</v>
      </c>
      <c r="L57" s="124" t="n">
        <f aca="false">L49*1000000000/(L14*8760)</f>
        <v>2.99220734481005</v>
      </c>
      <c r="M57" s="124" t="n">
        <f aca="false">M49*1000000000/(M14*8760)</f>
        <v>3.72850221140062</v>
      </c>
      <c r="N57" s="124" t="n">
        <f aca="false">N49*1000000000/(N14*8760)</f>
        <v>6.05995439820971</v>
      </c>
      <c r="O57" s="124" t="n">
        <f aca="false">O49*1000000000/(O14*8760)</f>
        <v>4.76817541231717</v>
      </c>
      <c r="P57" s="124" t="n">
        <f aca="false">P49*1000000000/(P14*8760)</f>
        <v>7.06264809625585</v>
      </c>
      <c r="Q57" s="124" t="n">
        <f aca="false">Q49*1000000000/(Q14*8760)</f>
        <v>13.0677140729424</v>
      </c>
    </row>
    <row r="58" customFormat="false" ht="15" hidden="false" customHeight="true" outlineLevel="0" collapsed="false">
      <c r="A58" s="19" t="s">
        <v>861</v>
      </c>
      <c r="B58" s="15" t="s">
        <v>803</v>
      </c>
      <c r="C58" s="125" t="n">
        <f aca="false">C55*1000000000/(C14*8760)</f>
        <v>1.11286669150028</v>
      </c>
      <c r="D58" s="125" t="n">
        <f aca="false">D55*1000000000/(D14*8760)</f>
        <v>1.60502925637165</v>
      </c>
      <c r="E58" s="125" t="n">
        <f aca="false">E55*1000000000/(E14*8760)</f>
        <v>2.76720095633376</v>
      </c>
      <c r="F58" s="125" t="n">
        <f aca="false">F55*1000000000/(F14*8760)</f>
        <v>1.55003663914234</v>
      </c>
      <c r="G58" s="125" t="n">
        <f aca="false">G55*1000000000/(G14*8760)</f>
        <v>2.08645378736555</v>
      </c>
      <c r="H58" s="125" t="n">
        <f aca="false">H55*1000000000/(H14*8760)</f>
        <v>3.39439662035368</v>
      </c>
      <c r="I58" s="125" t="n">
        <f aca="false">I55*1000000000/(I14*8760)</f>
        <v>2.04104144426194</v>
      </c>
      <c r="J58" s="125" t="n">
        <f aca="false">J55*1000000000/(J14*8760)</f>
        <v>2.98269559427618</v>
      </c>
      <c r="K58" s="125" t="n">
        <f aca="false">K55*1000000000/(K14*8760)</f>
        <v>5.59559440727497</v>
      </c>
      <c r="L58" s="125" t="n">
        <f aca="false">L55*1000000000/(L14*8760)</f>
        <v>3.84895231682799</v>
      </c>
      <c r="M58" s="125" t="n">
        <f aca="false">M55*1000000000/(M14*8760)</f>
        <v>4.99359409623699</v>
      </c>
      <c r="N58" s="125" t="n">
        <f aca="false">N55*1000000000/(N14*8760)</f>
        <v>8.09104040200768</v>
      </c>
      <c r="O58" s="125" t="n">
        <f aca="false">O55*1000000000/(O14*8760)</f>
        <v>6.12640309057557</v>
      </c>
      <c r="P58" s="125" t="n">
        <f aca="false">P55*1000000000/(P14*8760)</f>
        <v>9.41883786448199</v>
      </c>
      <c r="Q58" s="125" t="n">
        <f aca="false">Q55*1000000000/(Q14*8760)</f>
        <v>17.2643200828347</v>
      </c>
    </row>
    <row r="59" customFormat="false" ht="15" hidden="false" customHeight="true" outlineLevel="0" collapsed="false">
      <c r="A59" s="19" t="s">
        <v>862</v>
      </c>
      <c r="B59" s="15" t="s">
        <v>863</v>
      </c>
      <c r="C59" s="16" t="n">
        <f aca="false">C55*1000000000/(C12*8760)</f>
        <v>35.6117341280089</v>
      </c>
      <c r="D59" s="16" t="n">
        <f aca="false">D55*1000000000/(D12*8760)</f>
        <v>51.3609362038928</v>
      </c>
      <c r="E59" s="16" t="n">
        <f aca="false">E55*1000000000/(E12*8760)</f>
        <v>88.5504306026803</v>
      </c>
      <c r="F59" s="16" t="n">
        <f aca="false">F55*1000000000/(F12*8760)</f>
        <v>111.602638018249</v>
      </c>
      <c r="G59" s="16" t="n">
        <f aca="false">G55*1000000000/(G12*8760)</f>
        <v>150.22467269032</v>
      </c>
      <c r="H59" s="16" t="n">
        <f aca="false">H55*1000000000/(H12*8760)</f>
        <v>244.396556665465</v>
      </c>
      <c r="I59" s="16" t="n">
        <f aca="false">I55*1000000000/(I12*8760)</f>
        <v>146.954983986859</v>
      </c>
      <c r="J59" s="16" t="n">
        <f aca="false">J55*1000000000/(J12*8760)</f>
        <v>214.754082787885</v>
      </c>
      <c r="K59" s="16" t="n">
        <f aca="false">K55*1000000000/(K12*8760)</f>
        <v>402.882797323798</v>
      </c>
      <c r="L59" s="16" t="n">
        <f aca="false">L55*1000000000/(L12*8760)</f>
        <v>277.124566811615</v>
      </c>
      <c r="M59" s="16" t="n">
        <f aca="false">M55*1000000000/(M12*8760)</f>
        <v>359.538774929064</v>
      </c>
      <c r="N59" s="16" t="n">
        <f aca="false">N55*1000000000/(N12*8760)</f>
        <v>582.554908944553</v>
      </c>
      <c r="O59" s="16" t="n">
        <f aca="false">O55*1000000000/(O12*8760)</f>
        <v>441.101022521441</v>
      </c>
      <c r="P59" s="16" t="n">
        <f aca="false">P55*1000000000/(P12*8760)</f>
        <v>678.156326242703</v>
      </c>
      <c r="Q59" s="16" t="n">
        <f aca="false">Q55*1000000000/(Q12*8760)</f>
        <v>1243.0310459641</v>
      </c>
    </row>
    <row r="60" customFormat="false" ht="15" hidden="false" customHeight="true" outlineLevel="0" collapsed="false">
      <c r="A60" s="19" t="s">
        <v>864</v>
      </c>
      <c r="B60" s="15" t="s">
        <v>865</v>
      </c>
      <c r="C60" s="124" t="n">
        <f aca="false">C8*C41*C15*8760/1000000</f>
        <v>6.7452</v>
      </c>
      <c r="D60" s="124" t="n">
        <f aca="false">D8*D41*D15*8760/1000000</f>
        <v>8.4096</v>
      </c>
      <c r="E60" s="124" t="n">
        <f aca="false">E8*E41*E15*8760/1000000</f>
        <v>10.2492</v>
      </c>
      <c r="F60" s="124" t="n">
        <f aca="false">F8*F41*F15*8760/1000000</f>
        <v>6.7452</v>
      </c>
      <c r="G60" s="124" t="n">
        <f aca="false">G8*G41*G15*8760/1000000</f>
        <v>8.4096</v>
      </c>
      <c r="H60" s="124" t="n">
        <f aca="false">H8*H41*H15*8760/1000000</f>
        <v>10.2492</v>
      </c>
      <c r="I60" s="124" t="n">
        <f aca="false">I8*I41*I15*8760/1000000</f>
        <v>6.7452</v>
      </c>
      <c r="J60" s="124" t="n">
        <f aca="false">J8*J41*J15*8760/1000000</f>
        <v>8.4096</v>
      </c>
      <c r="K60" s="124" t="n">
        <f aca="false">K8*K41*K15*8760/1000000</f>
        <v>10.2492</v>
      </c>
      <c r="L60" s="124" t="n">
        <f aca="false">L8*L41*L15*8760/1000000</f>
        <v>6.7452</v>
      </c>
      <c r="M60" s="124" t="n">
        <f aca="false">M8*M41*M15*8760/1000000</f>
        <v>8.4096</v>
      </c>
      <c r="N60" s="124" t="n">
        <f aca="false">N8*N41*N15*8760/1000000</f>
        <v>10.2492</v>
      </c>
      <c r="O60" s="124" t="n">
        <f aca="false">O8*O41*O15*8760/1000000</f>
        <v>6.7452</v>
      </c>
      <c r="P60" s="124" t="n">
        <f aca="false">P8*P41*P15*8760/1000000</f>
        <v>8.4096</v>
      </c>
      <c r="Q60" s="124" t="n">
        <f aca="false">Q8*Q41*Q15*8760/1000000</f>
        <v>10.2492</v>
      </c>
    </row>
    <row r="61" customFormat="false" ht="15" hidden="false" customHeight="true" outlineLevel="0" collapsed="false">
      <c r="A61" s="19" t="s">
        <v>866</v>
      </c>
      <c r="B61" s="15" t="s">
        <v>71</v>
      </c>
      <c r="C61" s="21" t="n">
        <f aca="false">(C53+C54)/C55</f>
        <v>0.811259139748391</v>
      </c>
      <c r="D61" s="21" t="n">
        <f aca="false">(D53+D54)/D55</f>
        <v>0.774423369011756</v>
      </c>
      <c r="E61" s="21" t="n">
        <f aca="false">(E53+E54)/E55</f>
        <v>0.792780680676615</v>
      </c>
      <c r="F61" s="21" t="n">
        <f aca="false">(F53+F54)/F55</f>
        <v>0.808718326060089</v>
      </c>
      <c r="G61" s="21" t="n">
        <f aca="false">(G53+G54)/G55</f>
        <v>0.765014356211366</v>
      </c>
      <c r="H61" s="21" t="n">
        <f aca="false">(H53+H54)/H55</f>
        <v>0.779070944435501</v>
      </c>
      <c r="I61" s="21" t="n">
        <f aca="false">(I53+I54)/I55</f>
        <v>0.829423400234976</v>
      </c>
      <c r="J61" s="21" t="n">
        <f aca="false">(J53+J54)/J55</f>
        <v>0.793700356253443</v>
      </c>
      <c r="K61" s="21" t="n">
        <f aca="false">(K53+K54)/K55</f>
        <v>0.815067590974963</v>
      </c>
      <c r="L61" s="21" t="n">
        <f aca="false">(L53+L54)/L55</f>
        <v>0.837972143469627</v>
      </c>
      <c r="M61" s="21" t="n">
        <f aca="false">(M53+M54)/M55</f>
        <v>0.793916543741441</v>
      </c>
      <c r="N61" s="21" t="n">
        <f aca="false">(N53+N54)/N55</f>
        <v>0.805801129507785</v>
      </c>
      <c r="O61" s="21" t="n">
        <f aca="false">(O53+O54)/O55</f>
        <v>0.841854373849971</v>
      </c>
      <c r="P61" s="21" t="n">
        <f aca="false">(P53+P54)/P55</f>
        <v>0.809108648663935</v>
      </c>
      <c r="Q61" s="21" t="n">
        <f aca="false">(Q53+Q54)/Q55</f>
        <v>0.826438988465219</v>
      </c>
    </row>
    <row r="62" customFormat="false" ht="15" hidden="false" customHeight="true" outlineLevel="0" collapsed="false">
      <c r="A62" s="19" t="s">
        <v>867</v>
      </c>
      <c r="B62" s="15" t="s">
        <v>71</v>
      </c>
      <c r="C62" s="21" t="n">
        <f aca="false">C43/C55</f>
        <v>0.0578156422832076</v>
      </c>
      <c r="D62" s="21" t="n">
        <f aca="false">D43/D55</f>
        <v>0.0666384351386425</v>
      </c>
      <c r="E62" s="21" t="n">
        <f aca="false">E43/E55</f>
        <v>0.0588832382500467</v>
      </c>
      <c r="F62" s="21" t="n">
        <f aca="false">F43/F55</f>
        <v>0.0594014505906994</v>
      </c>
      <c r="G62" s="21" t="n">
        <f aca="false">G43/G55</f>
        <v>0.0733583389510593</v>
      </c>
      <c r="H62" s="21" t="n">
        <f aca="false">H43/H55</f>
        <v>0.0686942386355233</v>
      </c>
      <c r="I62" s="21" t="n">
        <f aca="false">I43/I55</f>
        <v>0.0464787090355295</v>
      </c>
      <c r="J62" s="21" t="n">
        <f aca="false">J43/J55</f>
        <v>0.0528708377503218</v>
      </c>
      <c r="K62" s="21" t="n">
        <f aca="false">K43/K55</f>
        <v>0.0429342162059577</v>
      </c>
      <c r="L62" s="21" t="n">
        <f aca="false">L43/L55</f>
        <v>0.0411431473992953</v>
      </c>
      <c r="M62" s="21" t="n">
        <f aca="false">M43/M55</f>
        <v>0.0527164369480688</v>
      </c>
      <c r="N62" s="21" t="n">
        <f aca="false">N43/N55</f>
        <v>0.0495655076784986</v>
      </c>
      <c r="O62" s="21" t="n">
        <f aca="false">O43/O55</f>
        <v>0.0387201152749445</v>
      </c>
      <c r="P62" s="21" t="n">
        <f aca="false">P43/P55</f>
        <v>0.0418662568119475</v>
      </c>
      <c r="Q62" s="21" t="n">
        <f aca="false">Q43/Q55</f>
        <v>0.0347965844384159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</cols>
  <sheetData>
    <row r="1" customFormat="false" ht="17.15" hidden="false" customHeight="false" outlineLevel="0" collapsed="false">
      <c r="A1" s="49" t="s">
        <v>868</v>
      </c>
    </row>
    <row r="2" customFormat="false" ht="15" hidden="false" customHeight="false" outlineLevel="0" collapsed="false">
      <c r="A2" s="50" t="s">
        <v>869</v>
      </c>
    </row>
    <row r="4" customFormat="false" ht="15" hidden="false" customHeight="false" outlineLevel="0" collapsed="false">
      <c r="A4" s="51" t="s">
        <v>294</v>
      </c>
      <c r="B4" s="51" t="s">
        <v>55</v>
      </c>
      <c r="C4" s="51" t="s">
        <v>295</v>
      </c>
      <c r="D4" s="51" t="s">
        <v>59</v>
      </c>
      <c r="H4" s="51" t="s">
        <v>296</v>
      </c>
    </row>
    <row r="5" customFormat="false" ht="15" hidden="false" customHeight="false" outlineLevel="0" collapsed="false">
      <c r="A5" s="53" t="s">
        <v>870</v>
      </c>
      <c r="B5" s="53"/>
      <c r="C5" s="129" t="s">
        <v>871</v>
      </c>
      <c r="D5" s="50" t="s">
        <v>64</v>
      </c>
      <c r="H5" s="80" t="s">
        <v>872</v>
      </c>
    </row>
    <row r="6" customFormat="false" ht="25.35" hidden="false" customHeight="false" outlineLevel="0" collapsed="false">
      <c r="A6" s="53" t="s">
        <v>873</v>
      </c>
      <c r="B6" s="54" t="s">
        <v>71</v>
      </c>
      <c r="C6" s="58" t="n">
        <v>0.25</v>
      </c>
      <c r="D6" s="50" t="s">
        <v>76</v>
      </c>
      <c r="H6" s="80" t="s">
        <v>874</v>
      </c>
    </row>
    <row r="7" customFormat="false" ht="15" hidden="false" customHeight="false" outlineLevel="0" collapsed="false">
      <c r="A7" s="54" t="s">
        <v>875</v>
      </c>
      <c r="B7" s="54" t="s">
        <v>71</v>
      </c>
      <c r="C7" s="58" t="n">
        <v>0.9</v>
      </c>
      <c r="D7" s="50" t="s">
        <v>76</v>
      </c>
      <c r="H7" s="80" t="s">
        <v>876</v>
      </c>
    </row>
    <row r="8" customFormat="false" ht="15" hidden="false" customHeight="false" outlineLevel="0" collapsed="false">
      <c r="A8" s="54" t="s">
        <v>877</v>
      </c>
      <c r="B8" s="54" t="s">
        <v>75</v>
      </c>
      <c r="C8" s="71" t="n">
        <v>0.8</v>
      </c>
      <c r="D8" s="50" t="s">
        <v>72</v>
      </c>
      <c r="H8" s="86" t="s">
        <v>878</v>
      </c>
    </row>
    <row r="9" customFormat="false" ht="15" hidden="false" customHeight="false" outlineLevel="0" collapsed="false">
      <c r="A9" s="54" t="s">
        <v>879</v>
      </c>
      <c r="B9" s="54" t="s">
        <v>75</v>
      </c>
      <c r="C9" s="71" t="n">
        <v>0.6</v>
      </c>
      <c r="D9" s="50" t="s">
        <v>72</v>
      </c>
      <c r="H9" s="86" t="s">
        <v>880</v>
      </c>
    </row>
    <row r="10" customFormat="false" ht="15" hidden="false" customHeight="false" outlineLevel="0" collapsed="false">
      <c r="A10" s="53" t="s">
        <v>881</v>
      </c>
      <c r="B10" s="53" t="s">
        <v>67</v>
      </c>
      <c r="C10" s="59" t="n">
        <v>0</v>
      </c>
      <c r="D10" s="50" t="s">
        <v>72</v>
      </c>
      <c r="H10" s="80" t="s">
        <v>882</v>
      </c>
    </row>
    <row r="11" customFormat="false" ht="25.35" hidden="false" customHeight="false" outlineLevel="0" collapsed="false">
      <c r="A11" s="54" t="s">
        <v>883</v>
      </c>
      <c r="B11" s="54" t="s">
        <v>71</v>
      </c>
      <c r="C11" s="58" t="n">
        <v>0.85</v>
      </c>
      <c r="D11" s="50" t="s">
        <v>76</v>
      </c>
      <c r="H11" s="80" t="s">
        <v>884</v>
      </c>
    </row>
    <row r="12" customFormat="false" ht="15" hidden="false" customHeight="false" outlineLevel="0" collapsed="false">
      <c r="A12" s="54" t="s">
        <v>885</v>
      </c>
      <c r="B12" s="53" t="s">
        <v>287</v>
      </c>
      <c r="C12" s="59" t="n">
        <v>16</v>
      </c>
      <c r="D12" s="50" t="s">
        <v>76</v>
      </c>
      <c r="H12" s="80" t="s">
        <v>886</v>
      </c>
    </row>
    <row r="13" customFormat="false" ht="25.35" hidden="false" customHeight="false" outlineLevel="0" collapsed="false">
      <c r="A13" s="53" t="s">
        <v>887</v>
      </c>
      <c r="B13" s="54" t="s">
        <v>75</v>
      </c>
      <c r="C13" s="70" t="n">
        <v>8</v>
      </c>
      <c r="D13" s="50" t="s">
        <v>76</v>
      </c>
      <c r="H13" s="80" t="s">
        <v>888</v>
      </c>
    </row>
    <row r="14" customFormat="false" ht="15" hidden="false" customHeight="false" outlineLevel="0" collapsed="false">
      <c r="A14" s="53" t="s">
        <v>889</v>
      </c>
      <c r="B14" s="53"/>
      <c r="C14" s="98" t="s">
        <v>890</v>
      </c>
      <c r="D14" s="50" t="s">
        <v>64</v>
      </c>
      <c r="H14" s="80" t="s">
        <v>891</v>
      </c>
    </row>
    <row r="15" customFormat="false" ht="15" hidden="false" customHeight="false" outlineLevel="0" collapsed="false">
      <c r="A15" s="53" t="s">
        <v>892</v>
      </c>
      <c r="B15" s="53" t="s">
        <v>67</v>
      </c>
      <c r="C15" s="59" t="n">
        <v>3</v>
      </c>
      <c r="D15" s="50" t="s">
        <v>72</v>
      </c>
      <c r="H15" s="86" t="s">
        <v>893</v>
      </c>
    </row>
    <row r="16" customFormat="false" ht="15" hidden="false" customHeight="false" outlineLevel="0" collapsed="false">
      <c r="A16" s="53" t="s">
        <v>894</v>
      </c>
      <c r="B16" s="53" t="s">
        <v>895</v>
      </c>
      <c r="C16" s="59" t="n">
        <v>4</v>
      </c>
      <c r="D16" s="50" t="s">
        <v>64</v>
      </c>
      <c r="E16" s="74" t="str">
        <f aca="false">INDEX(Spec_Rack!$C$4:$G$4,$C$16)</f>
        <v>VR200 NVL72</v>
      </c>
      <c r="H16" s="80" t="s">
        <v>896</v>
      </c>
    </row>
    <row r="17" customFormat="false" ht="15" hidden="false" customHeight="false" outlineLevel="0" collapsed="false">
      <c r="A17" s="53" t="s">
        <v>897</v>
      </c>
      <c r="B17" s="53" t="s">
        <v>895</v>
      </c>
      <c r="C17" s="59" t="n">
        <v>3</v>
      </c>
      <c r="D17" s="50" t="s">
        <v>64</v>
      </c>
      <c r="E17" s="74" t="str">
        <f aca="false">INDEX(Spec_Rack!$C$4:$G$4,$C$17)</f>
        <v>GB300 NVL72</v>
      </c>
      <c r="H17" s="80" t="s">
        <v>898</v>
      </c>
    </row>
    <row r="19" customFormat="false" ht="15" hidden="false" customHeight="false" outlineLevel="0" collapsed="false">
      <c r="A19" s="61" t="s">
        <v>899</v>
      </c>
      <c r="B19" s="62"/>
      <c r="C19" s="62"/>
      <c r="D19" s="62"/>
      <c r="E19" s="62"/>
      <c r="F19" s="62"/>
      <c r="G19" s="62"/>
      <c r="H19" s="62"/>
    </row>
    <row r="20" customFormat="false" ht="15" hidden="false" customHeight="false" outlineLevel="0" collapsed="false">
      <c r="A20" s="51" t="s">
        <v>136</v>
      </c>
      <c r="C20" s="74" t="str">
        <f aca="false">Spec_Rack!C4</f>
        <v>Hopper H100</v>
      </c>
      <c r="D20" s="74" t="str">
        <f aca="false">Spec_Rack!D4</f>
        <v>GB200 NVL72</v>
      </c>
      <c r="E20" s="74" t="str">
        <f aca="false">Spec_Rack!E4</f>
        <v>GB300 NVL72</v>
      </c>
      <c r="F20" s="74" t="str">
        <f aca="false">Spec_Rack!F4</f>
        <v>VR200 NVL72</v>
      </c>
      <c r="G20" s="74" t="str">
        <f aca="false">Spec_Rack!G4</f>
        <v>Rubin Ultra（MGX NVL 單架，72 GPU）</v>
      </c>
    </row>
    <row r="21" customFormat="false" ht="25.35" hidden="false" customHeight="false" outlineLevel="0" collapsed="false">
      <c r="A21" s="53" t="s">
        <v>900</v>
      </c>
      <c r="B21" s="54" t="s">
        <v>75</v>
      </c>
      <c r="C21" s="71" t="n">
        <v>1</v>
      </c>
      <c r="D21" s="71" t="n">
        <v>1</v>
      </c>
      <c r="E21" s="71" t="n">
        <v>1</v>
      </c>
      <c r="F21" s="71" t="n">
        <v>0.9</v>
      </c>
      <c r="G21" s="71" t="n">
        <v>0.9</v>
      </c>
      <c r="H21" s="80" t="s">
        <v>901</v>
      </c>
    </row>
    <row r="23" customFormat="false" ht="15" hidden="false" customHeight="false" outlineLevel="0" collapsed="false">
      <c r="A23" s="61" t="s">
        <v>902</v>
      </c>
      <c r="B23" s="62"/>
      <c r="C23" s="62"/>
      <c r="D23" s="62"/>
      <c r="E23" s="62"/>
      <c r="F23" s="62"/>
      <c r="G23" s="62"/>
      <c r="H23" s="62"/>
    </row>
    <row r="24" customFormat="false" ht="15" hidden="false" customHeight="false" outlineLevel="0" collapsed="false">
      <c r="A24" s="51" t="s">
        <v>328</v>
      </c>
      <c r="B24" s="51" t="s">
        <v>55</v>
      </c>
      <c r="C24" s="74" t="str">
        <f aca="false">Arch!C4</f>
        <v>Luna（低層）</v>
      </c>
      <c r="D24" s="74" t="str">
        <f aca="false">Arch!D4</f>
        <v>Sol（中層）</v>
      </c>
      <c r="E24" s="74" t="str">
        <f aca="false">Arch!E4</f>
        <v>Astra（頂層）</v>
      </c>
      <c r="H24" s="51" t="s">
        <v>296</v>
      </c>
    </row>
    <row r="25" customFormat="false" ht="15" hidden="false" customHeight="false" outlineLevel="0" collapsed="false">
      <c r="A25" s="53" t="s">
        <v>903</v>
      </c>
      <c r="B25" s="54" t="s">
        <v>904</v>
      </c>
      <c r="C25" s="91" t="n">
        <f aca="false">SRC_MOD_029</f>
        <v>32</v>
      </c>
      <c r="D25" s="91" t="n">
        <f aca="false">SRC_MOD_030</f>
        <v>33</v>
      </c>
      <c r="E25" s="130" t="n">
        <v>60</v>
      </c>
      <c r="H25" s="80" t="s">
        <v>905</v>
      </c>
    </row>
    <row r="26" customFormat="false" ht="15" hidden="false" customHeight="false" outlineLevel="0" collapsed="false">
      <c r="A26" s="53" t="s">
        <v>906</v>
      </c>
      <c r="B26" s="54" t="s">
        <v>249</v>
      </c>
      <c r="C26" s="55" t="n">
        <f aca="false">SRC_MOD_031</f>
        <v>4096</v>
      </c>
      <c r="D26" s="55" t="n">
        <f aca="false">SRC_MOD_031</f>
        <v>4096</v>
      </c>
      <c r="E26" s="56" t="n">
        <v>8192</v>
      </c>
      <c r="H26" s="80" t="s">
        <v>907</v>
      </c>
    </row>
    <row r="27" customFormat="false" ht="15" hidden="false" customHeight="false" outlineLevel="0" collapsed="false">
      <c r="A27" s="53" t="s">
        <v>908</v>
      </c>
      <c r="B27" s="54" t="s">
        <v>904</v>
      </c>
      <c r="C27" s="130" t="n">
        <v>1</v>
      </c>
      <c r="D27" s="130" t="n">
        <v>1</v>
      </c>
      <c r="E27" s="130" t="n">
        <v>2</v>
      </c>
      <c r="H27" s="80" t="s">
        <v>909</v>
      </c>
    </row>
    <row r="28" customFormat="false" ht="15" hidden="false" customHeight="false" outlineLevel="0" collapsed="false">
      <c r="A28" s="53" t="s">
        <v>910</v>
      </c>
      <c r="B28" s="54" t="s">
        <v>249</v>
      </c>
      <c r="C28" s="56" t="n">
        <v>131072</v>
      </c>
      <c r="D28" s="56" t="n">
        <v>131072</v>
      </c>
      <c r="E28" s="56" t="n">
        <v>131072</v>
      </c>
      <c r="H28" s="80" t="s">
        <v>72</v>
      </c>
    </row>
    <row r="29" customFormat="false" ht="15" hidden="false" customHeight="false" outlineLevel="0" collapsed="false">
      <c r="A29" s="54" t="s">
        <v>911</v>
      </c>
      <c r="B29" s="54" t="s">
        <v>904</v>
      </c>
      <c r="C29" s="131" t="n">
        <v>0.05</v>
      </c>
      <c r="D29" s="131" t="n">
        <v>0.05</v>
      </c>
      <c r="E29" s="131" t="n">
        <v>0.1</v>
      </c>
      <c r="H29" s="80" t="s">
        <v>912</v>
      </c>
    </row>
    <row r="30" customFormat="false" ht="15" hidden="false" customHeight="false" outlineLevel="0" collapsed="false">
      <c r="A30" s="54" t="s">
        <v>913</v>
      </c>
      <c r="B30" s="54" t="s">
        <v>249</v>
      </c>
      <c r="C30" s="56" t="n">
        <v>16384</v>
      </c>
      <c r="D30" s="56" t="n">
        <v>16384</v>
      </c>
      <c r="E30" s="56" t="n">
        <v>16384</v>
      </c>
      <c r="H30" s="80" t="s">
        <v>72</v>
      </c>
    </row>
    <row r="31" customFormat="false" ht="15" hidden="false" customHeight="false" outlineLevel="0" collapsed="false">
      <c r="A31" s="53" t="s">
        <v>914</v>
      </c>
      <c r="B31" s="54" t="s">
        <v>330</v>
      </c>
      <c r="C31" s="56" t="n">
        <v>20</v>
      </c>
      <c r="D31" s="56" t="n">
        <v>20</v>
      </c>
      <c r="E31" s="56" t="n">
        <v>20</v>
      </c>
      <c r="H31" s="86" t="s">
        <v>915</v>
      </c>
    </row>
    <row r="32" customFormat="false" ht="15" hidden="false" customHeight="false" outlineLevel="0" collapsed="false">
      <c r="A32" s="54" t="s">
        <v>916</v>
      </c>
      <c r="B32" s="54" t="s">
        <v>249</v>
      </c>
      <c r="C32" s="56" t="n">
        <v>4096</v>
      </c>
      <c r="D32" s="56" t="n">
        <v>8192</v>
      </c>
      <c r="E32" s="56" t="n">
        <v>16384</v>
      </c>
      <c r="H32" s="80" t="s">
        <v>72</v>
      </c>
    </row>
    <row r="33" customFormat="false" ht="15" hidden="false" customHeight="false" outlineLevel="0" collapsed="false">
      <c r="A33" s="54" t="s">
        <v>917</v>
      </c>
      <c r="B33" s="54" t="s">
        <v>249</v>
      </c>
      <c r="C33" s="56" t="n">
        <v>8192</v>
      </c>
      <c r="D33" s="56" t="n">
        <v>16384</v>
      </c>
      <c r="E33" s="56" t="n">
        <v>32768</v>
      </c>
      <c r="H33" s="80" t="s">
        <v>918</v>
      </c>
    </row>
    <row r="34" customFormat="false" ht="37.3" hidden="false" customHeight="false" outlineLevel="0" collapsed="false">
      <c r="A34" s="54" t="s">
        <v>919</v>
      </c>
      <c r="B34" s="54" t="s">
        <v>904</v>
      </c>
      <c r="C34" s="132" t="n">
        <v>2.36</v>
      </c>
      <c r="D34" s="132" t="n">
        <v>2.36</v>
      </c>
      <c r="E34" s="132" t="n">
        <v>9.6</v>
      </c>
      <c r="H34" s="80" t="s">
        <v>920</v>
      </c>
    </row>
    <row r="35" customFormat="false" ht="15" hidden="false" customHeight="false" outlineLevel="0" collapsed="false">
      <c r="A35" s="54" t="s">
        <v>921</v>
      </c>
      <c r="B35" s="54" t="s">
        <v>904</v>
      </c>
      <c r="C35" s="131" t="n">
        <v>0.2</v>
      </c>
      <c r="D35" s="131" t="n">
        <v>0.2</v>
      </c>
      <c r="E35" s="131" t="n">
        <v>0.2</v>
      </c>
      <c r="H35" s="80" t="s">
        <v>922</v>
      </c>
    </row>
    <row r="36" customFormat="false" ht="15" hidden="false" customHeight="false" outlineLevel="0" collapsed="false">
      <c r="A36" s="53" t="s">
        <v>923</v>
      </c>
      <c r="B36" s="53" t="s">
        <v>67</v>
      </c>
      <c r="C36" s="59" t="n">
        <v>1</v>
      </c>
      <c r="D36" s="59" t="n">
        <v>2</v>
      </c>
      <c r="E36" s="59" t="n">
        <v>3</v>
      </c>
      <c r="H36" s="80" t="s">
        <v>924</v>
      </c>
    </row>
    <row r="37" customFormat="false" ht="15" hidden="false" customHeight="false" outlineLevel="0" collapsed="false">
      <c r="A37" s="53" t="s">
        <v>925</v>
      </c>
      <c r="B37" s="54" t="s">
        <v>904</v>
      </c>
      <c r="C37" s="130" t="n">
        <v>1</v>
      </c>
      <c r="D37" s="130" t="n">
        <v>2</v>
      </c>
      <c r="E37" s="130" t="n">
        <v>3</v>
      </c>
      <c r="H37" s="80" t="s">
        <v>926</v>
      </c>
    </row>
    <row r="38" customFormat="false" ht="15" hidden="false" customHeight="false" outlineLevel="0" collapsed="false">
      <c r="A38" s="53" t="s">
        <v>927</v>
      </c>
      <c r="B38" s="54" t="s">
        <v>904</v>
      </c>
      <c r="C38" s="131" t="n">
        <v>0.02</v>
      </c>
      <c r="D38" s="131" t="n">
        <v>0.05</v>
      </c>
      <c r="E38" s="131" t="n">
        <v>0.1</v>
      </c>
      <c r="H38" s="80" t="s">
        <v>72</v>
      </c>
    </row>
    <row r="40" customFormat="false" ht="15" hidden="false" customHeight="false" outlineLevel="0" collapsed="false">
      <c r="A40" s="61" t="s">
        <v>928</v>
      </c>
      <c r="B40" s="62"/>
      <c r="C40" s="62"/>
      <c r="D40" s="62"/>
      <c r="E40" s="62"/>
      <c r="F40" s="62"/>
      <c r="G40" s="62"/>
      <c r="H40" s="62"/>
    </row>
    <row r="41" customFormat="false" ht="15" hidden="false" customHeight="false" outlineLevel="0" collapsed="false">
      <c r="A41" s="54" t="s">
        <v>929</v>
      </c>
      <c r="B41" s="54" t="s">
        <v>904</v>
      </c>
      <c r="C41" s="91" t="n">
        <f aca="false">SRC_MOD_039</f>
        <v>14.8</v>
      </c>
      <c r="H41" s="80" t="s">
        <v>930</v>
      </c>
    </row>
    <row r="42" customFormat="false" ht="15" hidden="false" customHeight="false" outlineLevel="0" collapsed="false">
      <c r="A42" s="54" t="s">
        <v>931</v>
      </c>
      <c r="B42" s="54" t="s">
        <v>932</v>
      </c>
      <c r="C42" s="87" t="n">
        <f aca="false">SRC_MOD_040</f>
        <v>2.664</v>
      </c>
      <c r="H42" s="80" t="s">
        <v>933</v>
      </c>
    </row>
    <row r="43" customFormat="false" ht="15" hidden="false" customHeight="false" outlineLevel="0" collapsed="false">
      <c r="A43" s="54" t="s">
        <v>934</v>
      </c>
      <c r="B43" s="54" t="s">
        <v>249</v>
      </c>
      <c r="C43" s="55" t="n">
        <f aca="false">SRC_MOD_042</f>
        <v>4096</v>
      </c>
      <c r="H43" s="80" t="s">
        <v>935</v>
      </c>
    </row>
    <row r="44" customFormat="false" ht="15" hidden="false" customHeight="false" outlineLevel="0" collapsed="false">
      <c r="A44" s="54" t="s">
        <v>936</v>
      </c>
      <c r="B44" s="54" t="s">
        <v>75</v>
      </c>
      <c r="C44" s="102" t="n">
        <f aca="false">SRC_MOD_034/SRC_MOD_040</f>
        <v>0.0551801801801802</v>
      </c>
      <c r="H44" s="80" t="s">
        <v>937</v>
      </c>
    </row>
    <row r="45" customFormat="false" ht="15" hidden="false" customHeight="false" outlineLevel="0" collapsed="false">
      <c r="A45" s="54" t="s">
        <v>938</v>
      </c>
      <c r="B45" s="54" t="s">
        <v>75</v>
      </c>
      <c r="C45" s="101" t="n">
        <f aca="false">SRC_MOD_036</f>
        <v>1</v>
      </c>
      <c r="H45" s="80" t="s">
        <v>939</v>
      </c>
    </row>
    <row r="46" customFormat="false" ht="15" hidden="false" customHeight="false" outlineLevel="0" collapsed="false">
      <c r="A46" s="53" t="s">
        <v>940</v>
      </c>
      <c r="B46" s="54" t="s">
        <v>272</v>
      </c>
      <c r="C46" s="133" t="n">
        <v>2E+026</v>
      </c>
      <c r="H46" s="80" t="s">
        <v>941</v>
      </c>
    </row>
    <row r="47" customFormat="false" ht="15" hidden="false" customHeight="false" outlineLevel="0" collapsed="false">
      <c r="A47" s="53" t="s">
        <v>942</v>
      </c>
      <c r="B47" s="54" t="s">
        <v>272</v>
      </c>
      <c r="C47" s="133" t="n">
        <v>5E+026</v>
      </c>
      <c r="H47" s="86" t="s">
        <v>97</v>
      </c>
    </row>
    <row r="48" customFormat="false" ht="15" hidden="false" customHeight="false" outlineLevel="0" collapsed="false">
      <c r="A48" s="53" t="s">
        <v>943</v>
      </c>
      <c r="B48" s="54" t="s">
        <v>272</v>
      </c>
      <c r="C48" s="133" t="n">
        <v>2E+027</v>
      </c>
      <c r="H48" s="86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</cols>
  <sheetData>
    <row r="1" customFormat="false" ht="17.15" hidden="false" customHeight="false" outlineLevel="0" collapsed="false">
      <c r="A1" s="49" t="s">
        <v>944</v>
      </c>
    </row>
    <row r="2" customFormat="false" ht="15" hidden="false" customHeight="false" outlineLevel="0" collapsed="false">
      <c r="A2" s="50" t="s">
        <v>945</v>
      </c>
    </row>
    <row r="3" customFormat="false" ht="15" hidden="false" customHeight="false" outlineLevel="0" collapsed="false">
      <c r="A3" s="51" t="s">
        <v>946</v>
      </c>
      <c r="R3" s="51" t="s">
        <v>947</v>
      </c>
      <c r="S3" s="51" t="s">
        <v>947</v>
      </c>
    </row>
    <row r="4" customFormat="false" ht="15" hidden="false" customHeight="false" outlineLevel="0" collapsed="false">
      <c r="A4" s="51" t="s">
        <v>136</v>
      </c>
      <c r="C4" s="74" t="str">
        <f aca="false">INDEX(Spec_Rack!$C$4:$G$4,C6)</f>
        <v>Hopper H100</v>
      </c>
      <c r="D4" s="74" t="str">
        <f aca="false">INDEX(Spec_Rack!$C$4:$G$4,D6)</f>
        <v>Hopper H100</v>
      </c>
      <c r="E4" s="74" t="str">
        <f aca="false">INDEX(Spec_Rack!$C$4:$G$4,E6)</f>
        <v>Hopper H100</v>
      </c>
      <c r="F4" s="74" t="str">
        <f aca="false">INDEX(Spec_Rack!$C$4:$G$4,F6)</f>
        <v>GB200 NVL72</v>
      </c>
      <c r="G4" s="74" t="str">
        <f aca="false">INDEX(Spec_Rack!$C$4:$G$4,G6)</f>
        <v>GB200 NVL72</v>
      </c>
      <c r="H4" s="74" t="str">
        <f aca="false">INDEX(Spec_Rack!$C$4:$G$4,H6)</f>
        <v>GB200 NVL72</v>
      </c>
      <c r="I4" s="74" t="str">
        <f aca="false">INDEX(Spec_Rack!$C$4:$G$4,I6)</f>
        <v>GB300 NVL72</v>
      </c>
      <c r="J4" s="74" t="str">
        <f aca="false">INDEX(Spec_Rack!$C$4:$G$4,J6)</f>
        <v>GB300 NVL72</v>
      </c>
      <c r="K4" s="74" t="str">
        <f aca="false">INDEX(Spec_Rack!$C$4:$G$4,K6)</f>
        <v>GB300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Rubin Ultra（MGX NVL 單架，72 GPU）</v>
      </c>
      <c r="P4" s="74" t="str">
        <f aca="false">INDEX(Spec_Rack!$C$4:$G$4,P6)</f>
        <v>Rubin Ultra（MGX NVL 單架，72 GPU）</v>
      </c>
      <c r="Q4" s="74" t="str">
        <f aca="false">INDEX(Spec_Rack!$C$4:$G$4,Q6)</f>
        <v>Rubin Ultra（MGX NVL 單架，72 GPU）</v>
      </c>
      <c r="R4" s="74" t="str">
        <f aca="false">INDEX(Spec_Rack!$C$4:$G$4,R6)</f>
        <v>VR200 NVL72</v>
      </c>
      <c r="S4" s="74" t="str">
        <f aca="false">INDEX(Spec_Rack!$C$4:$G$4,S6)</f>
        <v>VR200 NVL72</v>
      </c>
    </row>
    <row r="5" customFormat="false" ht="15" hidden="false" customHeight="false" outlineLevel="0" collapsed="false">
      <c r="A5" s="51" t="s">
        <v>673</v>
      </c>
      <c r="C5" s="74" t="str">
        <f aca="false">INDEX(Arch!$C$4:$E$4,C7)</f>
        <v>Luna（低層）</v>
      </c>
      <c r="D5" s="74" t="str">
        <f aca="false">INDEX(Arch!$C$4:$E$4,D7)</f>
        <v>Sol（中層）</v>
      </c>
      <c r="E5" s="74" t="str">
        <f aca="false">INDEX(Arch!$C$4:$E$4,E7)</f>
        <v>Astra（頂層）</v>
      </c>
      <c r="F5" s="74" t="str">
        <f aca="false">INDEX(Arch!$C$4:$E$4,F7)</f>
        <v>Luna（低層）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Luna（低層）</v>
      </c>
      <c r="J5" s="74" t="str">
        <f aca="false">INDEX(Arch!$C$4:$E$4,J7)</f>
        <v>Sol（中層）</v>
      </c>
      <c r="K5" s="74" t="str">
        <f aca="false">INDEX(Arch!$C$4:$E$4,K7)</f>
        <v>Astra（頂層）</v>
      </c>
      <c r="L5" s="74" t="str">
        <f aca="false">INDEX(Arch!$C$4:$E$4,L7)</f>
        <v>Luna（低層）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Luna（低層）</v>
      </c>
      <c r="P5" s="74" t="str">
        <f aca="false">INDEX(Arch!$C$4:$E$4,P7)</f>
        <v>Sol（中層）</v>
      </c>
      <c r="Q5" s="74" t="str">
        <f aca="false">INDEX(Arch!$C$4:$E$4,Q7)</f>
        <v>Astra（頂層）</v>
      </c>
      <c r="R5" s="74" t="str">
        <f aca="false">INDEX(Arch!$C$4:$E$4,R7)</f>
        <v>Sol（中層）</v>
      </c>
      <c r="S5" s="74" t="str">
        <f aca="false">INDEX(Arch!$C$4:$E$4,S7)</f>
        <v>Astra（頂層）</v>
      </c>
    </row>
    <row r="6" customFormat="false" ht="15" hidden="false" customHeight="false" outlineLevel="0" collapsed="false">
      <c r="A6" s="51" t="s">
        <v>407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  <c r="R6" s="59" t="n">
        <v>4</v>
      </c>
      <c r="S6" s="59" t="n">
        <v>4</v>
      </c>
    </row>
    <row r="7" customFormat="false" ht="15" hidden="false" customHeight="false" outlineLevel="0" collapsed="false">
      <c r="A7" s="51" t="s">
        <v>674</v>
      </c>
      <c r="C7" s="59" t="n">
        <v>1</v>
      </c>
      <c r="D7" s="59" t="n">
        <v>2</v>
      </c>
      <c r="E7" s="59" t="n">
        <v>3</v>
      </c>
      <c r="F7" s="59" t="n">
        <v>1</v>
      </c>
      <c r="G7" s="59" t="n">
        <v>2</v>
      </c>
      <c r="H7" s="59" t="n">
        <v>3</v>
      </c>
      <c r="I7" s="59" t="n">
        <v>1</v>
      </c>
      <c r="J7" s="59" t="n">
        <v>2</v>
      </c>
      <c r="K7" s="59" t="n">
        <v>3</v>
      </c>
      <c r="L7" s="59" t="n">
        <v>1</v>
      </c>
      <c r="M7" s="59" t="n">
        <v>2</v>
      </c>
      <c r="N7" s="59" t="n">
        <v>3</v>
      </c>
      <c r="O7" s="59" t="n">
        <v>1</v>
      </c>
      <c r="P7" s="59" t="n">
        <v>2</v>
      </c>
      <c r="Q7" s="59" t="n">
        <v>3</v>
      </c>
      <c r="R7" s="59" t="n">
        <v>2</v>
      </c>
      <c r="S7" s="59" t="n">
        <v>3</v>
      </c>
    </row>
    <row r="9" customFormat="false" ht="15" hidden="false" customHeight="false" outlineLevel="0" collapsed="false">
      <c r="A9" s="68" t="s">
        <v>675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4" t="s">
        <v>676</v>
      </c>
      <c r="B10" s="54" t="s">
        <v>75</v>
      </c>
      <c r="C10" s="90" t="n">
        <f aca="false">Tech_Registry!$E$22</f>
        <v>1</v>
      </c>
      <c r="D10" s="90" t="n">
        <f aca="false">Tech_Registry!$E$22</f>
        <v>1</v>
      </c>
      <c r="E10" s="90" t="n">
        <f aca="false">Tech_Registry!$E$22</f>
        <v>1</v>
      </c>
      <c r="F10" s="90" t="n">
        <f aca="false">Tech_Registry!$E$22</f>
        <v>1</v>
      </c>
      <c r="G10" s="90" t="n">
        <f aca="false">Tech_Registry!$E$22</f>
        <v>1</v>
      </c>
      <c r="H10" s="90" t="n">
        <f aca="false">Tech_Registry!$E$22</f>
        <v>1</v>
      </c>
      <c r="I10" s="90" t="n">
        <f aca="false">Tech_Registry!$E$22</f>
        <v>1</v>
      </c>
      <c r="J10" s="90" t="n">
        <f aca="false">Tech_Registry!$E$22</f>
        <v>1</v>
      </c>
      <c r="K10" s="90" t="n">
        <f aca="false">Tech_Registry!$E$22</f>
        <v>1</v>
      </c>
      <c r="L10" s="90" t="n">
        <f aca="false">Tech_Registry!$E$22</f>
        <v>1</v>
      </c>
      <c r="M10" s="90" t="n">
        <f aca="false">Tech_Registry!$E$22</f>
        <v>1</v>
      </c>
      <c r="N10" s="90" t="n">
        <f aca="false">Tech_Registry!$E$22</f>
        <v>1</v>
      </c>
      <c r="O10" s="90" t="n">
        <f aca="false">Tech_Registry!$E$22</f>
        <v>1</v>
      </c>
      <c r="P10" s="90" t="n">
        <f aca="false">Tech_Registry!$E$22</f>
        <v>1</v>
      </c>
      <c r="Q10" s="90" t="n">
        <f aca="false">Tech_Registry!$E$22</f>
        <v>1</v>
      </c>
      <c r="R10" s="90" t="n">
        <f aca="false">Tech_Registry!$E$22</f>
        <v>1</v>
      </c>
      <c r="S10" s="90" t="n">
        <f aca="false">Tech_Registry!$E$22</f>
        <v>1</v>
      </c>
    </row>
    <row r="11" customFormat="false" ht="15" hidden="false" customHeight="false" outlineLevel="0" collapsed="false">
      <c r="A11" s="54" t="s">
        <v>677</v>
      </c>
      <c r="B11" s="54" t="s">
        <v>75</v>
      </c>
      <c r="C11" s="90" t="n">
        <f aca="false">Tech_Registry!$E$23</f>
        <v>1</v>
      </c>
      <c r="D11" s="90" t="n">
        <f aca="false">Tech_Registry!$E$23</f>
        <v>1</v>
      </c>
      <c r="E11" s="90" t="n">
        <f aca="false">Tech_Registry!$E$23</f>
        <v>1</v>
      </c>
      <c r="F11" s="90" t="n">
        <f aca="false">Tech_Registry!$E$23</f>
        <v>1</v>
      </c>
      <c r="G11" s="90" t="n">
        <f aca="false">Tech_Registry!$E$23</f>
        <v>1</v>
      </c>
      <c r="H11" s="90" t="n">
        <f aca="false">Tech_Registry!$E$23</f>
        <v>1</v>
      </c>
      <c r="I11" s="90" t="n">
        <f aca="false">Tech_Registry!$E$23</f>
        <v>1</v>
      </c>
      <c r="J11" s="90" t="n">
        <f aca="false">Tech_Registry!$E$23</f>
        <v>1</v>
      </c>
      <c r="K11" s="90" t="n">
        <f aca="false">Tech_Registry!$E$23</f>
        <v>1</v>
      </c>
      <c r="L11" s="90" t="n">
        <f aca="false">Tech_Registry!$E$23</f>
        <v>1</v>
      </c>
      <c r="M11" s="90" t="n">
        <f aca="false">Tech_Registry!$E$23</f>
        <v>1</v>
      </c>
      <c r="N11" s="90" t="n">
        <f aca="false">Tech_Registry!$E$23</f>
        <v>1</v>
      </c>
      <c r="O11" s="90" t="n">
        <f aca="false">Tech_Registry!$E$23</f>
        <v>1</v>
      </c>
      <c r="P11" s="90" t="n">
        <f aca="false">Tech_Registry!$E$23</f>
        <v>1</v>
      </c>
      <c r="Q11" s="90" t="n">
        <f aca="false">Tech_Registry!$E$23</f>
        <v>1</v>
      </c>
      <c r="R11" s="90" t="n">
        <f aca="false">Tech_Registry!$E$23</f>
        <v>1</v>
      </c>
      <c r="S11" s="90" t="n">
        <f aca="false">Tech_Registry!$E$23</f>
        <v>1</v>
      </c>
    </row>
    <row r="12" customFormat="false" ht="15" hidden="false" customHeight="false" outlineLevel="0" collapsed="false">
      <c r="A12" s="53" t="s">
        <v>678</v>
      </c>
      <c r="B12" s="54" t="s">
        <v>75</v>
      </c>
      <c r="C12" s="90" t="n">
        <f aca="false">Tech_Registry!$E$24</f>
        <v>1</v>
      </c>
      <c r="D12" s="90" t="n">
        <f aca="false">Tech_Registry!$E$24</f>
        <v>1</v>
      </c>
      <c r="E12" s="90" t="n">
        <f aca="false">Tech_Registry!$E$24</f>
        <v>1</v>
      </c>
      <c r="F12" s="90" t="n">
        <f aca="false">Tech_Registry!$E$24</f>
        <v>1</v>
      </c>
      <c r="G12" s="90" t="n">
        <f aca="false">Tech_Registry!$E$24</f>
        <v>1</v>
      </c>
      <c r="H12" s="90" t="n">
        <f aca="false">Tech_Registry!$E$24</f>
        <v>1</v>
      </c>
      <c r="I12" s="90" t="n">
        <f aca="false">Tech_Registry!$E$24</f>
        <v>1</v>
      </c>
      <c r="J12" s="90" t="n">
        <f aca="false">Tech_Registry!$E$24</f>
        <v>1</v>
      </c>
      <c r="K12" s="90" t="n">
        <f aca="false">Tech_Registry!$E$24</f>
        <v>1</v>
      </c>
      <c r="L12" s="90" t="n">
        <f aca="false">Tech_Registry!$E$24</f>
        <v>1</v>
      </c>
      <c r="M12" s="90" t="n">
        <f aca="false">Tech_Registry!$E$24</f>
        <v>1</v>
      </c>
      <c r="N12" s="90" t="n">
        <f aca="false">Tech_Registry!$E$24</f>
        <v>1</v>
      </c>
      <c r="O12" s="90" t="n">
        <f aca="false">Tech_Registry!$E$24</f>
        <v>1</v>
      </c>
      <c r="P12" s="90" t="n">
        <f aca="false">Tech_Registry!$E$24</f>
        <v>1</v>
      </c>
      <c r="Q12" s="90" t="n">
        <f aca="false">Tech_Registry!$E$24</f>
        <v>1</v>
      </c>
      <c r="R12" s="90" t="n">
        <f aca="false">Tech_Registry!$E$24</f>
        <v>1</v>
      </c>
      <c r="S12" s="90" t="n">
        <f aca="false">Tech_Registry!$E$24</f>
        <v>1</v>
      </c>
    </row>
    <row r="13" customFormat="false" ht="15" hidden="false" customHeight="false" outlineLevel="0" collapsed="false">
      <c r="A13" s="68" t="s">
        <v>679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</row>
    <row r="14" customFormat="false" ht="15" hidden="false" customHeight="false" outlineLevel="0" collapsed="false">
      <c r="A14" s="53" t="s">
        <v>430</v>
      </c>
      <c r="B14" s="54" t="s">
        <v>431</v>
      </c>
      <c r="C14" s="87" t="n">
        <f aca="false">INDEX(Spec_Rack!$C$35:$G$35,C$6)</f>
        <v>1.979</v>
      </c>
      <c r="D14" s="87" t="n">
        <f aca="false">INDEX(Spec_Rack!$C$35:$G$35,D$6)</f>
        <v>1.979</v>
      </c>
      <c r="E14" s="87" t="n">
        <f aca="false">INDEX(Spec_Rack!$C$35:$G$35,E$6)</f>
        <v>1.979</v>
      </c>
      <c r="F14" s="87" t="n">
        <f aca="false">INDEX(Spec_Rack!$C$35:$G$35,F$6)</f>
        <v>10</v>
      </c>
      <c r="G14" s="87" t="n">
        <f aca="false">INDEX(Spec_Rack!$C$35:$G$35,G$6)</f>
        <v>10</v>
      </c>
      <c r="H14" s="87" t="n">
        <f aca="false">INDEX(Spec_Rack!$C$35:$G$35,H$6)</f>
        <v>10</v>
      </c>
      <c r="I14" s="87" t="n">
        <f aca="false">INDEX(Spec_Rack!$C$35:$G$35,I$6)</f>
        <v>15</v>
      </c>
      <c r="J14" s="87" t="n">
        <f aca="false">INDEX(Spec_Rack!$C$35:$G$35,J$6)</f>
        <v>15</v>
      </c>
      <c r="K14" s="87" t="n">
        <f aca="false">INDEX(Spec_Rack!$C$35:$G$35,K$6)</f>
        <v>15</v>
      </c>
      <c r="L14" s="87" t="n">
        <f aca="false">INDEX(Spec_Rack!$C$35:$G$35,L$6)</f>
        <v>35</v>
      </c>
      <c r="M14" s="87" t="n">
        <f aca="false">INDEX(Spec_Rack!$C$35:$G$35,M$6)</f>
        <v>35</v>
      </c>
      <c r="N14" s="87" t="n">
        <f aca="false">INDEX(Spec_Rack!$C$35:$G$35,N$6)</f>
        <v>35</v>
      </c>
      <c r="O14" s="87" t="n">
        <f aca="false">INDEX(Spec_Rack!$C$35:$G$35,O$6)</f>
        <v>70</v>
      </c>
      <c r="P14" s="87" t="n">
        <f aca="false">INDEX(Spec_Rack!$C$35:$G$35,P$6)</f>
        <v>70</v>
      </c>
      <c r="Q14" s="87" t="n">
        <f aca="false">INDEX(Spec_Rack!$C$35:$G$35,Q$6)</f>
        <v>70</v>
      </c>
      <c r="R14" s="134" t="n">
        <f aca="false">Spec_Rack!$F$40</f>
        <v>17.5</v>
      </c>
      <c r="S14" s="134" t="n">
        <f aca="false">Spec_Rack!$F$40</f>
        <v>17.5</v>
      </c>
    </row>
    <row r="15" customFormat="false" ht="15" hidden="false" customHeight="false" outlineLevel="0" collapsed="false">
      <c r="A15" s="54" t="s">
        <v>432</v>
      </c>
      <c r="B15" s="54" t="s">
        <v>680</v>
      </c>
      <c r="C15" s="55" t="n">
        <f aca="false">INDEX(Spec_Rack!$C$25:$G$25,C$6)</f>
        <v>80</v>
      </c>
      <c r="D15" s="55" t="n">
        <f aca="false">INDEX(Spec_Rack!$C$25:$G$25,D$6)</f>
        <v>80</v>
      </c>
      <c r="E15" s="55" t="n">
        <f aca="false">INDEX(Spec_Rack!$C$25:$G$25,E$6)</f>
        <v>80</v>
      </c>
      <c r="F15" s="55" t="n">
        <f aca="false">INDEX(Spec_Rack!$C$25:$G$25,F$6)</f>
        <v>186</v>
      </c>
      <c r="G15" s="55" t="n">
        <f aca="false">INDEX(Spec_Rack!$C$25:$G$25,G$6)</f>
        <v>186</v>
      </c>
      <c r="H15" s="55" t="n">
        <f aca="false">INDEX(Spec_Rack!$C$25:$G$25,H$6)</f>
        <v>186</v>
      </c>
      <c r="I15" s="55" t="n">
        <f aca="false">INDEX(Spec_Rack!$C$25:$G$25,I$6)</f>
        <v>288</v>
      </c>
      <c r="J15" s="55" t="n">
        <f aca="false">INDEX(Spec_Rack!$C$25:$G$25,J$6)</f>
        <v>288</v>
      </c>
      <c r="K15" s="55" t="n">
        <f aca="false">INDEX(Spec_Rack!$C$25:$G$25,K$6)</f>
        <v>288</v>
      </c>
      <c r="L15" s="55" t="n">
        <f aca="false">INDEX(Spec_Rack!$C$25:$G$25,L$6)</f>
        <v>288</v>
      </c>
      <c r="M15" s="55" t="n">
        <f aca="false">INDEX(Spec_Rack!$C$25:$G$25,M$6)</f>
        <v>288</v>
      </c>
      <c r="N15" s="55" t="n">
        <f aca="false">INDEX(Spec_Rack!$C$25:$G$25,N$6)</f>
        <v>288</v>
      </c>
      <c r="O15" s="55" t="n">
        <f aca="false">INDEX(Spec_Rack!$C$25:$G$25,O$6)</f>
        <v>1024</v>
      </c>
      <c r="P15" s="55" t="n">
        <f aca="false">INDEX(Spec_Rack!$C$25:$G$25,P$6)</f>
        <v>1024</v>
      </c>
      <c r="Q15" s="55" t="n">
        <f aca="false">INDEX(Spec_Rack!$C$25:$G$25,Q$6)</f>
        <v>1024</v>
      </c>
      <c r="R15" s="55" t="n">
        <f aca="false">INDEX(Spec_Rack!$C$25:$G$25,R$6)</f>
        <v>288</v>
      </c>
      <c r="S15" s="55" t="n">
        <f aca="false">INDEX(Spec_Rack!$C$25:$G$25,S$6)</f>
        <v>288</v>
      </c>
    </row>
    <row r="16" customFormat="false" ht="15" hidden="false" customHeight="false" outlineLevel="0" collapsed="false">
      <c r="A16" s="54" t="s">
        <v>433</v>
      </c>
      <c r="B16" s="54" t="s">
        <v>319</v>
      </c>
      <c r="C16" s="88" t="n">
        <f aca="false">INDEX(Spec_Rack!$C$26:$G$26,C$6)</f>
        <v>3.35</v>
      </c>
      <c r="D16" s="88" t="n">
        <f aca="false">INDEX(Spec_Rack!$C$26:$G$26,D$6)</f>
        <v>3.35</v>
      </c>
      <c r="E16" s="88" t="n">
        <f aca="false">INDEX(Spec_Rack!$C$26:$G$26,E$6)</f>
        <v>3.35</v>
      </c>
      <c r="F16" s="88" t="n">
        <f aca="false">INDEX(Spec_Rack!$C$26:$G$26,F$6)</f>
        <v>8</v>
      </c>
      <c r="G16" s="88" t="n">
        <f aca="false">INDEX(Spec_Rack!$C$26:$G$26,G$6)</f>
        <v>8</v>
      </c>
      <c r="H16" s="88" t="n">
        <f aca="false">INDEX(Spec_Rack!$C$26:$G$26,H$6)</f>
        <v>8</v>
      </c>
      <c r="I16" s="88" t="n">
        <f aca="false">INDEX(Spec_Rack!$C$26:$G$26,I$6)</f>
        <v>8</v>
      </c>
      <c r="J16" s="88" t="n">
        <f aca="false">INDEX(Spec_Rack!$C$26:$G$26,J$6)</f>
        <v>8</v>
      </c>
      <c r="K16" s="88" t="n">
        <f aca="false">INDEX(Spec_Rack!$C$26:$G$26,K$6)</f>
        <v>8</v>
      </c>
      <c r="L16" s="88" t="n">
        <f aca="false">INDEX(Spec_Rack!$C$26:$G$26,L$6)</f>
        <v>22</v>
      </c>
      <c r="M16" s="88" t="n">
        <f aca="false">INDEX(Spec_Rack!$C$26:$G$26,M$6)</f>
        <v>22</v>
      </c>
      <c r="N16" s="88" t="n">
        <f aca="false">INDEX(Spec_Rack!$C$26:$G$26,N$6)</f>
        <v>22</v>
      </c>
      <c r="O16" s="88" t="n">
        <f aca="false">INDEX(Spec_Rack!$C$26:$G$26,O$6)</f>
        <v>32</v>
      </c>
      <c r="P16" s="88" t="n">
        <f aca="false">INDEX(Spec_Rack!$C$26:$G$26,P$6)</f>
        <v>32</v>
      </c>
      <c r="Q16" s="88" t="n">
        <f aca="false">INDEX(Spec_Rack!$C$26:$G$26,Q$6)</f>
        <v>32</v>
      </c>
      <c r="R16" s="88" t="n">
        <f aca="false">INDEX(Spec_Rack!$C$26:$G$26,R$6)</f>
        <v>22</v>
      </c>
      <c r="S16" s="88" t="n">
        <f aca="false">INDEX(Spec_Rack!$C$26:$G$26,S$6)</f>
        <v>22</v>
      </c>
    </row>
    <row r="17" customFormat="false" ht="15" hidden="false" customHeight="false" outlineLevel="0" collapsed="false">
      <c r="A17" s="54" t="s">
        <v>681</v>
      </c>
      <c r="B17" s="54" t="s">
        <v>319</v>
      </c>
      <c r="C17" s="88" t="n">
        <f aca="false">INDEX(Spec_Rack!$C$27:$G$27,C$6)</f>
        <v>0.05</v>
      </c>
      <c r="D17" s="88" t="n">
        <f aca="false">INDEX(Spec_Rack!$C$27:$G$27,D$6)</f>
        <v>0.05</v>
      </c>
      <c r="E17" s="88" t="n">
        <f aca="false">INDEX(Spec_Rack!$C$27:$G$27,E$6)</f>
        <v>0.05</v>
      </c>
      <c r="F17" s="88" t="n">
        <f aca="false">INDEX(Spec_Rack!$C$27:$G$27,F$6)</f>
        <v>0.9</v>
      </c>
      <c r="G17" s="88" t="n">
        <f aca="false">INDEX(Spec_Rack!$C$27:$G$27,G$6)</f>
        <v>0.9</v>
      </c>
      <c r="H17" s="88" t="n">
        <f aca="false">INDEX(Spec_Rack!$C$27:$G$27,H$6)</f>
        <v>0.9</v>
      </c>
      <c r="I17" s="88" t="n">
        <f aca="false">INDEX(Spec_Rack!$C$27:$G$27,I$6)</f>
        <v>0.9</v>
      </c>
      <c r="J17" s="88" t="n">
        <f aca="false">INDEX(Spec_Rack!$C$27:$G$27,J$6)</f>
        <v>0.9</v>
      </c>
      <c r="K17" s="88" t="n">
        <f aca="false">INDEX(Spec_Rack!$C$27:$G$27,K$6)</f>
        <v>0.9</v>
      </c>
      <c r="L17" s="88" t="n">
        <f aca="false">INDEX(Spec_Rack!$C$27:$G$27,L$6)</f>
        <v>1.8</v>
      </c>
      <c r="M17" s="88" t="n">
        <f aca="false">INDEX(Spec_Rack!$C$27:$G$27,M$6)</f>
        <v>1.8</v>
      </c>
      <c r="N17" s="88" t="n">
        <f aca="false">INDEX(Spec_Rack!$C$27:$G$27,N$6)</f>
        <v>1.8</v>
      </c>
      <c r="O17" s="88" t="n">
        <f aca="false">INDEX(Spec_Rack!$C$27:$G$27,O$6)</f>
        <v>1.8</v>
      </c>
      <c r="P17" s="88" t="n">
        <f aca="false">INDEX(Spec_Rack!$C$27:$G$27,P$6)</f>
        <v>1.8</v>
      </c>
      <c r="Q17" s="88" t="n">
        <f aca="false">INDEX(Spec_Rack!$C$27:$G$27,Q$6)</f>
        <v>1.8</v>
      </c>
      <c r="R17" s="88" t="n">
        <f aca="false">INDEX(Spec_Rack!$C$27:$G$27,R$6)</f>
        <v>1.8</v>
      </c>
      <c r="S17" s="88" t="n">
        <f aca="false">INDEX(Spec_Rack!$C$27:$G$27,S$6)</f>
        <v>1.8</v>
      </c>
    </row>
    <row r="18" customFormat="false" ht="15" hidden="false" customHeight="false" outlineLevel="0" collapsed="false">
      <c r="A18" s="54" t="s">
        <v>196</v>
      </c>
      <c r="B18" s="54" t="s">
        <v>682</v>
      </c>
      <c r="C18" s="55" t="n">
        <f aca="false">INDEX(Spec_Rack!$C$29:$G$29,C$6)</f>
        <v>64</v>
      </c>
      <c r="D18" s="55" t="n">
        <f aca="false">INDEX(Spec_Rack!$C$29:$G$29,D$6)</f>
        <v>64</v>
      </c>
      <c r="E18" s="55" t="n">
        <f aca="false">INDEX(Spec_Rack!$C$29:$G$29,E$6)</f>
        <v>64</v>
      </c>
      <c r="F18" s="55" t="n">
        <f aca="false">INDEX(Spec_Rack!$C$29:$G$29,F$6)</f>
        <v>32</v>
      </c>
      <c r="G18" s="55" t="n">
        <f aca="false">INDEX(Spec_Rack!$C$29:$G$29,G$6)</f>
        <v>32</v>
      </c>
      <c r="H18" s="55" t="n">
        <f aca="false">INDEX(Spec_Rack!$C$29:$G$29,H$6)</f>
        <v>32</v>
      </c>
      <c r="I18" s="55" t="n">
        <f aca="false">INDEX(Spec_Rack!$C$29:$G$29,I$6)</f>
        <v>32</v>
      </c>
      <c r="J18" s="55" t="n">
        <f aca="false">INDEX(Spec_Rack!$C$29:$G$29,J$6)</f>
        <v>32</v>
      </c>
      <c r="K18" s="55" t="n">
        <f aca="false">INDEX(Spec_Rack!$C$29:$G$29,K$6)</f>
        <v>32</v>
      </c>
      <c r="L18" s="55" t="n">
        <f aca="false">INDEX(Spec_Rack!$C$29:$G$29,L$6)</f>
        <v>32</v>
      </c>
      <c r="M18" s="55" t="n">
        <f aca="false">INDEX(Spec_Rack!$C$29:$G$29,M$6)</f>
        <v>32</v>
      </c>
      <c r="N18" s="55" t="n">
        <f aca="false">INDEX(Spec_Rack!$C$29:$G$29,N$6)</f>
        <v>32</v>
      </c>
      <c r="O18" s="55" t="n">
        <f aca="false">INDEX(Spec_Rack!$C$29:$G$29,O$6)</f>
        <v>64</v>
      </c>
      <c r="P18" s="55" t="n">
        <f aca="false">INDEX(Spec_Rack!$C$29:$G$29,P$6)</f>
        <v>64</v>
      </c>
      <c r="Q18" s="55" t="n">
        <f aca="false">INDEX(Spec_Rack!$C$29:$G$29,Q$6)</f>
        <v>64</v>
      </c>
      <c r="R18" s="55" t="n">
        <f aca="false">INDEX(Spec_Rack!$C$29:$G$29,R$6)</f>
        <v>32</v>
      </c>
      <c r="S18" s="55" t="n">
        <f aca="false">INDEX(Spec_Rack!$C$29:$G$29,S$6)</f>
        <v>32</v>
      </c>
    </row>
    <row r="19" customFormat="false" ht="15" hidden="false" customHeight="false" outlineLevel="0" collapsed="false">
      <c r="A19" s="53" t="s">
        <v>683</v>
      </c>
      <c r="B19" s="54" t="s">
        <v>228</v>
      </c>
      <c r="C19" s="89" t="n">
        <f aca="false">INDEX(Spec_Rack!$C$30:$G$30,C$6)*C12</f>
        <v>1</v>
      </c>
      <c r="D19" s="89" t="n">
        <f aca="false">INDEX(Spec_Rack!$C$30:$G$30,D$6)*D12</f>
        <v>1</v>
      </c>
      <c r="E19" s="89" t="n">
        <f aca="false">INDEX(Spec_Rack!$C$30:$G$30,E$6)*E12</f>
        <v>1</v>
      </c>
      <c r="F19" s="89" t="n">
        <f aca="false">INDEX(Spec_Rack!$C$30:$G$30,F$6)*F12</f>
        <v>0.5625</v>
      </c>
      <c r="G19" s="89" t="n">
        <f aca="false">INDEX(Spec_Rack!$C$30:$G$30,G$6)*G12</f>
        <v>0.5625</v>
      </c>
      <c r="H19" s="89" t="n">
        <f aca="false">INDEX(Spec_Rack!$C$30:$G$30,H$6)*H12</f>
        <v>0.5625</v>
      </c>
      <c r="I19" s="89" t="n">
        <f aca="false">INDEX(Spec_Rack!$C$30:$G$30,I$6)*I12</f>
        <v>0.5625</v>
      </c>
      <c r="J19" s="89" t="n">
        <f aca="false">INDEX(Spec_Rack!$C$30:$G$30,J$6)*J12</f>
        <v>0.5625</v>
      </c>
      <c r="K19" s="89" t="n">
        <f aca="false">INDEX(Spec_Rack!$C$30:$G$30,K$6)*K12</f>
        <v>0.5625</v>
      </c>
      <c r="L19" s="89" t="n">
        <f aca="false">INDEX(Spec_Rack!$C$30:$G$30,L$6)*L12</f>
        <v>0.5625</v>
      </c>
      <c r="M19" s="89" t="n">
        <f aca="false">INDEX(Spec_Rack!$C$30:$G$30,M$6)*M12</f>
        <v>0.5625</v>
      </c>
      <c r="N19" s="89" t="n">
        <f aca="false">INDEX(Spec_Rack!$C$30:$G$30,N$6)*N12</f>
        <v>0.5625</v>
      </c>
      <c r="O19" s="89" t="n">
        <f aca="false">INDEX(Spec_Rack!$C$30:$G$30,O$6)*O12</f>
        <v>0.5625</v>
      </c>
      <c r="P19" s="89" t="n">
        <f aca="false">INDEX(Spec_Rack!$C$30:$G$30,P$6)*P12</f>
        <v>0.5625</v>
      </c>
      <c r="Q19" s="89" t="n">
        <f aca="false">INDEX(Spec_Rack!$C$30:$G$30,Q$6)*Q12</f>
        <v>0.5625</v>
      </c>
      <c r="R19" s="135" t="n">
        <v>1</v>
      </c>
      <c r="S19" s="135" t="n">
        <v>1</v>
      </c>
    </row>
    <row r="20" customFormat="false" ht="15" hidden="false" customHeight="false" outlineLevel="0" collapsed="false">
      <c r="A20" s="53" t="s">
        <v>684</v>
      </c>
      <c r="B20" s="54" t="s">
        <v>228</v>
      </c>
      <c r="C20" s="90" t="n">
        <f aca="false">INDEX(Spec_Rack!$C$31:$G$31,C$6)*C12</f>
        <v>1</v>
      </c>
      <c r="D20" s="90" t="n">
        <f aca="false">INDEX(Spec_Rack!$C$31:$G$31,D$6)*D12</f>
        <v>1</v>
      </c>
      <c r="E20" s="90" t="n">
        <f aca="false">INDEX(Spec_Rack!$C$31:$G$31,E$6)*E12</f>
        <v>1</v>
      </c>
      <c r="F20" s="90" t="n">
        <f aca="false">INDEX(Spec_Rack!$C$31:$G$31,F$6)*F12</f>
        <v>1</v>
      </c>
      <c r="G20" s="90" t="n">
        <f aca="false">INDEX(Spec_Rack!$C$31:$G$31,G$6)*G12</f>
        <v>1</v>
      </c>
      <c r="H20" s="90" t="n">
        <f aca="false">INDEX(Spec_Rack!$C$31:$G$31,H$6)*H12</f>
        <v>1</v>
      </c>
      <c r="I20" s="90" t="n">
        <f aca="false">INDEX(Spec_Rack!$C$31:$G$31,I$6)*I12</f>
        <v>1</v>
      </c>
      <c r="J20" s="90" t="n">
        <f aca="false">INDEX(Spec_Rack!$C$31:$G$31,J$6)*J12</f>
        <v>1</v>
      </c>
      <c r="K20" s="90" t="n">
        <f aca="false">INDEX(Spec_Rack!$C$31:$G$31,K$6)*K12</f>
        <v>1</v>
      </c>
      <c r="L20" s="90" t="n">
        <f aca="false">INDEX(Spec_Rack!$C$31:$G$31,L$6)*L12</f>
        <v>1</v>
      </c>
      <c r="M20" s="90" t="n">
        <f aca="false">INDEX(Spec_Rack!$C$31:$G$31,M$6)*M12</f>
        <v>1</v>
      </c>
      <c r="N20" s="90" t="n">
        <f aca="false">INDEX(Spec_Rack!$C$31:$G$31,N$6)*N12</f>
        <v>1</v>
      </c>
      <c r="O20" s="90" t="n">
        <f aca="false">INDEX(Spec_Rack!$C$31:$G$31,O$6)*O12</f>
        <v>1</v>
      </c>
      <c r="P20" s="90" t="n">
        <f aca="false">INDEX(Spec_Rack!$C$31:$G$31,P$6)*P12</f>
        <v>1</v>
      </c>
      <c r="Q20" s="90" t="n">
        <f aca="false">INDEX(Spec_Rack!$C$31:$G$31,Q$6)*Q12</f>
        <v>1</v>
      </c>
      <c r="R20" s="73" t="n">
        <v>1</v>
      </c>
      <c r="S20" s="73" t="n">
        <v>1</v>
      </c>
    </row>
    <row r="21" customFormat="false" ht="15" hidden="false" customHeight="false" outlineLevel="0" collapsed="false">
      <c r="A21" s="53" t="s">
        <v>685</v>
      </c>
      <c r="B21" s="54" t="s">
        <v>682</v>
      </c>
      <c r="C21" s="55" t="n">
        <f aca="false">INDEX(Spec_Rack!$C$32:$G$32,C$6)</f>
        <v>8</v>
      </c>
      <c r="D21" s="55" t="n">
        <f aca="false">INDEX(Spec_Rack!$C$32:$G$32,D$6)</f>
        <v>8</v>
      </c>
      <c r="E21" s="55" t="n">
        <f aca="false">INDEX(Spec_Rack!$C$32:$G$32,E$6)</f>
        <v>8</v>
      </c>
      <c r="F21" s="55" t="n">
        <f aca="false">INDEX(Spec_Rack!$C$32:$G$32,F$6)</f>
        <v>4</v>
      </c>
      <c r="G21" s="55" t="n">
        <f aca="false">INDEX(Spec_Rack!$C$32:$G$32,G$6)</f>
        <v>4</v>
      </c>
      <c r="H21" s="55" t="n">
        <f aca="false">INDEX(Spec_Rack!$C$32:$G$32,H$6)</f>
        <v>4</v>
      </c>
      <c r="I21" s="55" t="n">
        <f aca="false">INDEX(Spec_Rack!$C$32:$G$32,I$6)</f>
        <v>4</v>
      </c>
      <c r="J21" s="55" t="n">
        <f aca="false">INDEX(Spec_Rack!$C$32:$G$32,J$6)</f>
        <v>4</v>
      </c>
      <c r="K21" s="55" t="n">
        <f aca="false">INDEX(Spec_Rack!$C$32:$G$32,K$6)</f>
        <v>4</v>
      </c>
      <c r="L21" s="55" t="n">
        <f aca="false">INDEX(Spec_Rack!$C$32:$G$32,L$6)</f>
        <v>4</v>
      </c>
      <c r="M21" s="55" t="n">
        <f aca="false">INDEX(Spec_Rack!$C$32:$G$32,M$6)</f>
        <v>4</v>
      </c>
      <c r="N21" s="55" t="n">
        <f aca="false">INDEX(Spec_Rack!$C$32:$G$32,N$6)</f>
        <v>4</v>
      </c>
      <c r="O21" s="55" t="n">
        <f aca="false">INDEX(Spec_Rack!$C$32:$G$32,O$6)</f>
        <v>8</v>
      </c>
      <c r="P21" s="55" t="n">
        <f aca="false">INDEX(Spec_Rack!$C$32:$G$32,P$6)</f>
        <v>8</v>
      </c>
      <c r="Q21" s="55" t="n">
        <f aca="false">INDEX(Spec_Rack!$C$32:$G$32,Q$6)</f>
        <v>8</v>
      </c>
      <c r="R21" s="55" t="n">
        <f aca="false">INDEX(Spec_Rack!$C$32:$G$32,R$6)</f>
        <v>4</v>
      </c>
      <c r="S21" s="55" t="n">
        <f aca="false">INDEX(Spec_Rack!$C$32:$G$32,S$6)</f>
        <v>4</v>
      </c>
    </row>
    <row r="22" customFormat="false" ht="15" hidden="false" customHeight="false" outlineLevel="0" collapsed="false">
      <c r="A22" s="54" t="s">
        <v>149</v>
      </c>
      <c r="B22" s="53" t="s">
        <v>686</v>
      </c>
      <c r="C22" s="55" t="n">
        <f aca="false">INDEX(Spec_Rack!$C$6:$G$6,C$6)</f>
        <v>32</v>
      </c>
      <c r="D22" s="55" t="n">
        <f aca="false">INDEX(Spec_Rack!$C$6:$G$6,D$6)</f>
        <v>32</v>
      </c>
      <c r="E22" s="55" t="n">
        <f aca="false">INDEX(Spec_Rack!$C$6:$G$6,E$6)</f>
        <v>32</v>
      </c>
      <c r="F22" s="55" t="n">
        <f aca="false">INDEX(Spec_Rack!$C$6:$G$6,F$6)</f>
        <v>72</v>
      </c>
      <c r="G22" s="55" t="n">
        <f aca="false">INDEX(Spec_Rack!$C$6:$G$6,G$6)</f>
        <v>72</v>
      </c>
      <c r="H22" s="55" t="n">
        <f aca="false">INDEX(Spec_Rack!$C$6:$G$6,H$6)</f>
        <v>72</v>
      </c>
      <c r="I22" s="55" t="n">
        <f aca="false">INDEX(Spec_Rack!$C$6:$G$6,I$6)</f>
        <v>72</v>
      </c>
      <c r="J22" s="55" t="n">
        <f aca="false">INDEX(Spec_Rack!$C$6:$G$6,J$6)</f>
        <v>72</v>
      </c>
      <c r="K22" s="55" t="n">
        <f aca="false">INDEX(Spec_Rack!$C$6:$G$6,K$6)</f>
        <v>72</v>
      </c>
      <c r="L22" s="55" t="n">
        <f aca="false">INDEX(Spec_Rack!$C$6:$G$6,L$6)</f>
        <v>72</v>
      </c>
      <c r="M22" s="55" t="n">
        <f aca="false">INDEX(Spec_Rack!$C$6:$G$6,M$6)</f>
        <v>72</v>
      </c>
      <c r="N22" s="55" t="n">
        <f aca="false">INDEX(Spec_Rack!$C$6:$G$6,N$6)</f>
        <v>72</v>
      </c>
      <c r="O22" s="55" t="n">
        <f aca="false">INDEX(Spec_Rack!$C$6:$G$6,O$6)</f>
        <v>72</v>
      </c>
      <c r="P22" s="55" t="n">
        <f aca="false">INDEX(Spec_Rack!$C$6:$G$6,P$6)</f>
        <v>72</v>
      </c>
      <c r="Q22" s="55" t="n">
        <f aca="false">INDEX(Spec_Rack!$C$6:$G$6,Q$6)</f>
        <v>72</v>
      </c>
      <c r="R22" s="55" t="n">
        <f aca="false">INDEX(Spec_Rack!$C$6:$G$6,R$6)</f>
        <v>72</v>
      </c>
      <c r="S22" s="55" t="n">
        <f aca="false">INDEX(Spec_Rack!$C$6:$G$6,S$6)</f>
        <v>72</v>
      </c>
    </row>
    <row r="23" customFormat="false" ht="15" hidden="false" customHeight="false" outlineLevel="0" collapsed="false">
      <c r="A23" s="54" t="s">
        <v>687</v>
      </c>
      <c r="B23" s="54" t="s">
        <v>688</v>
      </c>
      <c r="C23" s="55" t="n">
        <f aca="false">INDEX(Spec_Rack!$C$33:$G$33,C$6)</f>
        <v>700</v>
      </c>
      <c r="D23" s="55" t="n">
        <f aca="false">INDEX(Spec_Rack!$C$33:$G$33,D$6)</f>
        <v>700</v>
      </c>
      <c r="E23" s="55" t="n">
        <f aca="false">INDEX(Spec_Rack!$C$33:$G$33,E$6)</f>
        <v>700</v>
      </c>
      <c r="F23" s="55" t="n">
        <f aca="false">INDEX(Spec_Rack!$C$33:$G$33,F$6)</f>
        <v>1200</v>
      </c>
      <c r="G23" s="55" t="n">
        <f aca="false">INDEX(Spec_Rack!$C$33:$G$33,G$6)</f>
        <v>1200</v>
      </c>
      <c r="H23" s="55" t="n">
        <f aca="false">INDEX(Spec_Rack!$C$33:$G$33,H$6)</f>
        <v>1200</v>
      </c>
      <c r="I23" s="55" t="n">
        <f aca="false">INDEX(Spec_Rack!$C$33:$G$33,I$6)</f>
        <v>1400</v>
      </c>
      <c r="J23" s="55" t="n">
        <f aca="false">INDEX(Spec_Rack!$C$33:$G$33,J$6)</f>
        <v>1400</v>
      </c>
      <c r="K23" s="55" t="n">
        <f aca="false">INDEX(Spec_Rack!$C$33:$G$33,K$6)</f>
        <v>1400</v>
      </c>
      <c r="L23" s="55" t="n">
        <f aca="false">INDEX(Spec_Rack!$C$33:$G$33,L$6)</f>
        <v>1800</v>
      </c>
      <c r="M23" s="55" t="n">
        <f aca="false">INDEX(Spec_Rack!$C$33:$G$33,M$6)</f>
        <v>1800</v>
      </c>
      <c r="N23" s="55" t="n">
        <f aca="false">INDEX(Spec_Rack!$C$33:$G$33,N$6)</f>
        <v>1800</v>
      </c>
      <c r="O23" s="55" t="n">
        <f aca="false">INDEX(Spec_Rack!$C$33:$G$33,O$6)</f>
        <v>3600</v>
      </c>
      <c r="P23" s="55" t="n">
        <f aca="false">INDEX(Spec_Rack!$C$33:$G$33,P$6)</f>
        <v>3600</v>
      </c>
      <c r="Q23" s="55" t="n">
        <f aca="false">INDEX(Spec_Rack!$C$33:$G$33,Q$6)</f>
        <v>3600</v>
      </c>
      <c r="R23" s="55" t="n">
        <f aca="false">INDEX(Spec_Rack!$C$33:$G$33,R$6)</f>
        <v>1800</v>
      </c>
      <c r="S23" s="55" t="n">
        <f aca="false">INDEX(Spec_Rack!$C$33:$G$33,S$6)</f>
        <v>1800</v>
      </c>
    </row>
    <row r="24" customFormat="false" ht="15" hidden="false" customHeight="false" outlineLevel="0" collapsed="false">
      <c r="A24" s="54" t="s">
        <v>689</v>
      </c>
      <c r="B24" s="54" t="s">
        <v>690</v>
      </c>
      <c r="C24" s="55" t="n">
        <f aca="false">INDEX(Spec_Rack!$C$34:$G$34,C$6)</f>
        <v>31</v>
      </c>
      <c r="D24" s="55" t="n">
        <f aca="false">INDEX(Spec_Rack!$C$34:$G$34,D$6)</f>
        <v>31</v>
      </c>
      <c r="E24" s="55" t="n">
        <f aca="false">INDEX(Spec_Rack!$C$34:$G$34,E$6)</f>
        <v>31</v>
      </c>
      <c r="F24" s="55" t="n">
        <f aca="false">INDEX(Spec_Rack!$C$34:$G$34,F$6)</f>
        <v>25</v>
      </c>
      <c r="G24" s="55" t="n">
        <f aca="false">INDEX(Spec_Rack!$C$34:$G$34,G$6)</f>
        <v>25</v>
      </c>
      <c r="H24" s="55" t="n">
        <f aca="false">INDEX(Spec_Rack!$C$34:$G$34,H$6)</f>
        <v>25</v>
      </c>
      <c r="I24" s="55" t="n">
        <f aca="false">INDEX(Spec_Rack!$C$34:$G$34,I$6)</f>
        <v>25</v>
      </c>
      <c r="J24" s="55" t="n">
        <f aca="false">INDEX(Spec_Rack!$C$34:$G$34,J$6)</f>
        <v>25</v>
      </c>
      <c r="K24" s="55" t="n">
        <f aca="false">INDEX(Spec_Rack!$C$34:$G$34,K$6)</f>
        <v>25</v>
      </c>
      <c r="L24" s="55" t="n">
        <f aca="false">INDEX(Spec_Rack!$C$34:$G$34,L$6)</f>
        <v>20</v>
      </c>
      <c r="M24" s="55" t="n">
        <f aca="false">INDEX(Spec_Rack!$C$34:$G$34,M$6)</f>
        <v>20</v>
      </c>
      <c r="N24" s="55" t="n">
        <f aca="false">INDEX(Spec_Rack!$C$34:$G$34,N$6)</f>
        <v>20</v>
      </c>
      <c r="O24" s="55" t="n">
        <f aca="false">INDEX(Spec_Rack!$C$34:$G$34,O$6)</f>
        <v>18</v>
      </c>
      <c r="P24" s="55" t="n">
        <f aca="false">INDEX(Spec_Rack!$C$34:$G$34,P$6)</f>
        <v>18</v>
      </c>
      <c r="Q24" s="55" t="n">
        <f aca="false">INDEX(Spec_Rack!$C$34:$G$34,Q$6)</f>
        <v>18</v>
      </c>
      <c r="R24" s="55" t="n">
        <f aca="false">INDEX(Spec_Rack!$C$34:$G$34,R$6)</f>
        <v>20</v>
      </c>
      <c r="S24" s="55" t="n">
        <f aca="false">INDEX(Spec_Rack!$C$34:$G$34,S$6)</f>
        <v>20</v>
      </c>
    </row>
    <row r="25" customFormat="false" ht="15" hidden="false" customHeight="false" outlineLevel="0" collapsed="false">
      <c r="A25" s="53" t="s">
        <v>691</v>
      </c>
      <c r="B25" s="53" t="s">
        <v>692</v>
      </c>
      <c r="C25" s="55" t="n">
        <f aca="false">INDEX(DC_Cost!$C$12:$Q$12,3*(C$6-1)+2)/CTL_GW</f>
        <v>22439</v>
      </c>
      <c r="D25" s="55" t="n">
        <f aca="false">INDEX(DC_Cost!$C$12:$Q$12,3*(D$6-1)+2)/CTL_GW</f>
        <v>22439</v>
      </c>
      <c r="E25" s="55" t="n">
        <f aca="false">INDEX(DC_Cost!$C$12:$Q$12,3*(E$6-1)+2)/CTL_GW</f>
        <v>22439</v>
      </c>
      <c r="F25" s="55" t="n">
        <f aca="false">INDEX(DC_Cost!$C$12:$Q$12,3*(F$6-1)+2)/CTL_GW</f>
        <v>6969</v>
      </c>
      <c r="G25" s="55" t="n">
        <f aca="false">INDEX(DC_Cost!$C$12:$Q$12,3*(G$6-1)+2)/CTL_GW</f>
        <v>6969</v>
      </c>
      <c r="H25" s="55" t="n">
        <f aca="false">INDEX(DC_Cost!$C$12:$Q$12,3*(H$6-1)+2)/CTL_GW</f>
        <v>6969</v>
      </c>
      <c r="I25" s="55" t="n">
        <f aca="false">INDEX(DC_Cost!$C$12:$Q$12,3*(I$6-1)+2)/CTL_GW</f>
        <v>6764</v>
      </c>
      <c r="J25" s="55" t="n">
        <f aca="false">INDEX(DC_Cost!$C$12:$Q$12,3*(J$6-1)+2)/CTL_GW</f>
        <v>6764</v>
      </c>
      <c r="K25" s="55" t="n">
        <f aca="false">INDEX(DC_Cost!$C$12:$Q$12,3*(K$6-1)+2)/CTL_GW</f>
        <v>6764</v>
      </c>
      <c r="L25" s="55" t="n">
        <f aca="false">INDEX(DC_Cost!$C$12:$Q$12,3*(L$6-1)+2)/CTL_GW</f>
        <v>4052</v>
      </c>
      <c r="M25" s="55" t="n">
        <f aca="false">INDEX(DC_Cost!$C$12:$Q$12,3*(M$6-1)+2)/CTL_GW</f>
        <v>4052</v>
      </c>
      <c r="N25" s="55" t="n">
        <f aca="false">INDEX(DC_Cost!$C$12:$Q$12,3*(N$6-1)+2)/CTL_GW</f>
        <v>4052</v>
      </c>
      <c r="O25" s="55" t="n">
        <f aca="false">INDEX(DC_Cost!$C$12:$Q$12,3*(O$6-1)+2)/CTL_GW</f>
        <v>2705</v>
      </c>
      <c r="P25" s="55" t="n">
        <f aca="false">INDEX(DC_Cost!$C$12:$Q$12,3*(P$6-1)+2)/CTL_GW</f>
        <v>2705</v>
      </c>
      <c r="Q25" s="55" t="n">
        <f aca="false">INDEX(DC_Cost!$C$12:$Q$12,3*(Q$6-1)+2)/CTL_GW</f>
        <v>2705</v>
      </c>
      <c r="R25" s="55" t="n">
        <f aca="false">INDEX(DC_Cost!$C$12:$Q$12,3*(R$6-1)+2)/CTL_GW</f>
        <v>4052</v>
      </c>
      <c r="S25" s="55" t="n">
        <f aca="false">INDEX(DC_Cost!$C$12:$Q$12,3*(S$6-1)+2)/CTL_GW</f>
        <v>4052</v>
      </c>
    </row>
    <row r="26" customFormat="false" ht="15" hidden="false" customHeight="false" outlineLevel="0" collapsed="false">
      <c r="A26" s="53" t="s">
        <v>693</v>
      </c>
      <c r="B26" s="54" t="s">
        <v>694</v>
      </c>
      <c r="C26" s="55" t="n">
        <f aca="false">INDEX(DC_Cost!$C$11:$Q$11,3*(C$6-1)+2)</f>
        <v>41</v>
      </c>
      <c r="D26" s="55" t="n">
        <f aca="false">INDEX(DC_Cost!$C$11:$Q$11,3*(D$6-1)+2)</f>
        <v>41</v>
      </c>
      <c r="E26" s="55" t="n">
        <f aca="false">INDEX(DC_Cost!$C$11:$Q$11,3*(E$6-1)+2)</f>
        <v>41</v>
      </c>
      <c r="F26" s="55" t="n">
        <f aca="false">INDEX(DC_Cost!$C$11:$Q$11,3*(F$6-1)+2)</f>
        <v>132</v>
      </c>
      <c r="G26" s="55" t="n">
        <f aca="false">INDEX(DC_Cost!$C$11:$Q$11,3*(G$6-1)+2)</f>
        <v>132</v>
      </c>
      <c r="H26" s="55" t="n">
        <f aca="false">INDEX(DC_Cost!$C$11:$Q$11,3*(H$6-1)+2)</f>
        <v>132</v>
      </c>
      <c r="I26" s="55" t="n">
        <f aca="false">INDEX(DC_Cost!$C$11:$Q$11,3*(I$6-1)+2)</f>
        <v>136</v>
      </c>
      <c r="J26" s="55" t="n">
        <f aca="false">INDEX(DC_Cost!$C$11:$Q$11,3*(J$6-1)+2)</f>
        <v>136</v>
      </c>
      <c r="K26" s="55" t="n">
        <f aca="false">INDEX(DC_Cost!$C$11:$Q$11,3*(K$6-1)+2)</f>
        <v>136</v>
      </c>
      <c r="L26" s="55" t="n">
        <f aca="false">INDEX(DC_Cost!$C$11:$Q$11,3*(L$6-1)+2)</f>
        <v>227</v>
      </c>
      <c r="M26" s="55" t="n">
        <f aca="false">INDEX(DC_Cost!$C$11:$Q$11,3*(M$6-1)+2)</f>
        <v>227</v>
      </c>
      <c r="N26" s="55" t="n">
        <f aca="false">INDEX(DC_Cost!$C$11:$Q$11,3*(N$6-1)+2)</f>
        <v>227</v>
      </c>
      <c r="O26" s="55" t="n">
        <f aca="false">INDEX(DC_Cost!$C$11:$Q$11,3*(O$6-1)+2)</f>
        <v>340</v>
      </c>
      <c r="P26" s="55" t="n">
        <f aca="false">INDEX(DC_Cost!$C$11:$Q$11,3*(P$6-1)+2)</f>
        <v>340</v>
      </c>
      <c r="Q26" s="55" t="n">
        <f aca="false">INDEX(DC_Cost!$C$11:$Q$11,3*(Q$6-1)+2)</f>
        <v>340</v>
      </c>
      <c r="R26" s="55" t="n">
        <f aca="false">INDEX(DC_Cost!$C$11:$Q$11,3*(R$6-1)+2)</f>
        <v>227</v>
      </c>
      <c r="S26" s="55" t="n">
        <f aca="false">INDEX(DC_Cost!$C$11:$Q$11,3*(S$6-1)+2)</f>
        <v>227</v>
      </c>
    </row>
    <row r="27" customFormat="false" ht="15" hidden="false" customHeight="false" outlineLevel="0" collapsed="false">
      <c r="A27" s="68" t="s">
        <v>695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53" t="s">
        <v>231</v>
      </c>
      <c r="B28" s="54" t="s">
        <v>228</v>
      </c>
      <c r="C28" s="55" t="n">
        <f aca="false">INDEX(Arch!$C$7:$E$7,C$7)</f>
        <v>13</v>
      </c>
      <c r="D28" s="55" t="n">
        <f aca="false">INDEX(Arch!$C$7:$E$7,D$7)</f>
        <v>49</v>
      </c>
      <c r="E28" s="55" t="n">
        <f aca="false">INDEX(Arch!$C$7:$E$7,E$7)</f>
        <v>180</v>
      </c>
      <c r="F28" s="55" t="n">
        <f aca="false">INDEX(Arch!$C$7:$E$7,F$7)</f>
        <v>13</v>
      </c>
      <c r="G28" s="55" t="n">
        <f aca="false">INDEX(Arch!$C$7:$E$7,G$7)</f>
        <v>49</v>
      </c>
      <c r="H28" s="55" t="n">
        <f aca="false">INDEX(Arch!$C$7:$E$7,H$7)</f>
        <v>180</v>
      </c>
      <c r="I28" s="55" t="n">
        <f aca="false">INDEX(Arch!$C$7:$E$7,I$7)</f>
        <v>13</v>
      </c>
      <c r="J28" s="55" t="n">
        <f aca="false">INDEX(Arch!$C$7:$E$7,J$7)</f>
        <v>49</v>
      </c>
      <c r="K28" s="55" t="n">
        <f aca="false">INDEX(Arch!$C$7:$E$7,K$7)</f>
        <v>180</v>
      </c>
      <c r="L28" s="55" t="n">
        <f aca="false">INDEX(Arch!$C$7:$E$7,L$7)</f>
        <v>13</v>
      </c>
      <c r="M28" s="55" t="n">
        <f aca="false">INDEX(Arch!$C$7:$E$7,M$7)</f>
        <v>49</v>
      </c>
      <c r="N28" s="55" t="n">
        <f aca="false">INDEX(Arch!$C$7:$E$7,N$7)</f>
        <v>180</v>
      </c>
      <c r="O28" s="55" t="n">
        <f aca="false">INDEX(Arch!$C$7:$E$7,O$7)</f>
        <v>13</v>
      </c>
      <c r="P28" s="55" t="n">
        <f aca="false">INDEX(Arch!$C$7:$E$7,P$7)</f>
        <v>49</v>
      </c>
      <c r="Q28" s="55" t="n">
        <f aca="false">INDEX(Arch!$C$7:$E$7,Q$7)</f>
        <v>180</v>
      </c>
      <c r="R28" s="55" t="n">
        <f aca="false">INDEX(Arch!$C$7:$E$7,R$7)</f>
        <v>49</v>
      </c>
      <c r="S28" s="55" t="n">
        <f aca="false">INDEX(Arch!$C$7:$E$7,S$7)</f>
        <v>180</v>
      </c>
    </row>
    <row r="29" customFormat="false" ht="15" hidden="false" customHeight="false" outlineLevel="0" collapsed="false">
      <c r="A29" s="53" t="s">
        <v>233</v>
      </c>
      <c r="B29" s="53" t="s">
        <v>234</v>
      </c>
      <c r="C29" s="55" t="n">
        <f aca="false">INDEX(Arch!$C$8:$E$8,C$7)</f>
        <v>43</v>
      </c>
      <c r="D29" s="55" t="n">
        <f aca="false">INDEX(Arch!$C$8:$E$8,D$7)</f>
        <v>61</v>
      </c>
      <c r="E29" s="55" t="n">
        <f aca="false">INDEX(Arch!$C$8:$E$8,E$7)</f>
        <v>100</v>
      </c>
      <c r="F29" s="55" t="n">
        <f aca="false">INDEX(Arch!$C$8:$E$8,F$7)</f>
        <v>43</v>
      </c>
      <c r="G29" s="55" t="n">
        <f aca="false">INDEX(Arch!$C$8:$E$8,G$7)</f>
        <v>61</v>
      </c>
      <c r="H29" s="55" t="n">
        <f aca="false">INDEX(Arch!$C$8:$E$8,H$7)</f>
        <v>100</v>
      </c>
      <c r="I29" s="55" t="n">
        <f aca="false">INDEX(Arch!$C$8:$E$8,I$7)</f>
        <v>43</v>
      </c>
      <c r="J29" s="55" t="n">
        <f aca="false">INDEX(Arch!$C$8:$E$8,J$7)</f>
        <v>61</v>
      </c>
      <c r="K29" s="55" t="n">
        <f aca="false">INDEX(Arch!$C$8:$E$8,K$7)</f>
        <v>100</v>
      </c>
      <c r="L29" s="55" t="n">
        <f aca="false">INDEX(Arch!$C$8:$E$8,L$7)</f>
        <v>43</v>
      </c>
      <c r="M29" s="55" t="n">
        <f aca="false">INDEX(Arch!$C$8:$E$8,M$7)</f>
        <v>61</v>
      </c>
      <c r="N29" s="55" t="n">
        <f aca="false">INDEX(Arch!$C$8:$E$8,N$7)</f>
        <v>100</v>
      </c>
      <c r="O29" s="55" t="n">
        <f aca="false">INDEX(Arch!$C$8:$E$8,O$7)</f>
        <v>43</v>
      </c>
      <c r="P29" s="55" t="n">
        <f aca="false">INDEX(Arch!$C$8:$E$8,P$7)</f>
        <v>61</v>
      </c>
      <c r="Q29" s="55" t="n">
        <f aca="false">INDEX(Arch!$C$8:$E$8,Q$7)</f>
        <v>100</v>
      </c>
      <c r="R29" s="55" t="n">
        <f aca="false">INDEX(Arch!$C$8:$E$8,R$7)</f>
        <v>61</v>
      </c>
      <c r="S29" s="55" t="n">
        <f aca="false">INDEX(Arch!$C$8:$E$8,S$7)</f>
        <v>100</v>
      </c>
    </row>
    <row r="30" customFormat="false" ht="15" hidden="false" customHeight="false" outlineLevel="0" collapsed="false">
      <c r="A30" s="54" t="s">
        <v>236</v>
      </c>
      <c r="B30" s="53"/>
      <c r="C30" s="55" t="n">
        <f aca="false">INDEX(Arch!$C$9:$E$9,C$7)</f>
        <v>4096</v>
      </c>
      <c r="D30" s="55" t="n">
        <f aca="false">INDEX(Arch!$C$9:$E$9,D$7)</f>
        <v>7168</v>
      </c>
      <c r="E30" s="55" t="n">
        <f aca="false">INDEX(Arch!$C$9:$E$9,E$7)</f>
        <v>12288</v>
      </c>
      <c r="F30" s="55" t="n">
        <f aca="false">INDEX(Arch!$C$9:$E$9,F$7)</f>
        <v>4096</v>
      </c>
      <c r="G30" s="55" t="n">
        <f aca="false">INDEX(Arch!$C$9:$E$9,G$7)</f>
        <v>7168</v>
      </c>
      <c r="H30" s="55" t="n">
        <f aca="false">INDEX(Arch!$C$9:$E$9,H$7)</f>
        <v>12288</v>
      </c>
      <c r="I30" s="55" t="n">
        <f aca="false">INDEX(Arch!$C$9:$E$9,I$7)</f>
        <v>4096</v>
      </c>
      <c r="J30" s="55" t="n">
        <f aca="false">INDEX(Arch!$C$9:$E$9,J$7)</f>
        <v>7168</v>
      </c>
      <c r="K30" s="55" t="n">
        <f aca="false">INDEX(Arch!$C$9:$E$9,K$7)</f>
        <v>12288</v>
      </c>
      <c r="L30" s="55" t="n">
        <f aca="false">INDEX(Arch!$C$9:$E$9,L$7)</f>
        <v>4096</v>
      </c>
      <c r="M30" s="55" t="n">
        <f aca="false">INDEX(Arch!$C$9:$E$9,M$7)</f>
        <v>7168</v>
      </c>
      <c r="N30" s="55" t="n">
        <f aca="false">INDEX(Arch!$C$9:$E$9,N$7)</f>
        <v>12288</v>
      </c>
      <c r="O30" s="55" t="n">
        <f aca="false">INDEX(Arch!$C$9:$E$9,O$7)</f>
        <v>4096</v>
      </c>
      <c r="P30" s="55" t="n">
        <f aca="false">INDEX(Arch!$C$9:$E$9,P$7)</f>
        <v>7168</v>
      </c>
      <c r="Q30" s="55" t="n">
        <f aca="false">INDEX(Arch!$C$9:$E$9,Q$7)</f>
        <v>12288</v>
      </c>
      <c r="R30" s="55" t="n">
        <f aca="false">INDEX(Arch!$C$9:$E$9,R$7)</f>
        <v>7168</v>
      </c>
      <c r="S30" s="55" t="n">
        <f aca="false">INDEX(Arch!$C$9:$E$9,S$7)</f>
        <v>12288</v>
      </c>
    </row>
    <row r="31" customFormat="false" ht="15" hidden="false" customHeight="false" outlineLevel="0" collapsed="false">
      <c r="A31" s="53" t="s">
        <v>696</v>
      </c>
      <c r="B31" s="53"/>
      <c r="C31" s="55" t="n">
        <f aca="false">INDEX(Arch!$C$13:$E$13,C$7)</f>
        <v>6</v>
      </c>
      <c r="D31" s="55" t="n">
        <f aca="false">INDEX(Arch!$C$13:$E$13,D$7)</f>
        <v>6</v>
      </c>
      <c r="E31" s="55" t="n">
        <f aca="false">INDEX(Arch!$C$13:$E$13,E$7)</f>
        <v>16</v>
      </c>
      <c r="F31" s="55" t="n">
        <f aca="false">INDEX(Arch!$C$13:$E$13,F$7)</f>
        <v>6</v>
      </c>
      <c r="G31" s="55" t="n">
        <f aca="false">INDEX(Arch!$C$13:$E$13,G$7)</f>
        <v>6</v>
      </c>
      <c r="H31" s="55" t="n">
        <f aca="false">INDEX(Arch!$C$13:$E$13,H$7)</f>
        <v>16</v>
      </c>
      <c r="I31" s="55" t="n">
        <f aca="false">INDEX(Arch!$C$13:$E$13,I$7)</f>
        <v>6</v>
      </c>
      <c r="J31" s="55" t="n">
        <f aca="false">INDEX(Arch!$C$13:$E$13,J$7)</f>
        <v>6</v>
      </c>
      <c r="K31" s="55" t="n">
        <f aca="false">INDEX(Arch!$C$13:$E$13,K$7)</f>
        <v>16</v>
      </c>
      <c r="L31" s="55" t="n">
        <f aca="false">INDEX(Arch!$C$13:$E$13,L$7)</f>
        <v>6</v>
      </c>
      <c r="M31" s="55" t="n">
        <f aca="false">INDEX(Arch!$C$13:$E$13,M$7)</f>
        <v>6</v>
      </c>
      <c r="N31" s="55" t="n">
        <f aca="false">INDEX(Arch!$C$13:$E$13,N$7)</f>
        <v>16</v>
      </c>
      <c r="O31" s="55" t="n">
        <f aca="false">INDEX(Arch!$C$13:$E$13,O$7)</f>
        <v>6</v>
      </c>
      <c r="P31" s="55" t="n">
        <f aca="false">INDEX(Arch!$C$13:$E$13,P$7)</f>
        <v>6</v>
      </c>
      <c r="Q31" s="55" t="n">
        <f aca="false">INDEX(Arch!$C$13:$E$13,Q$7)</f>
        <v>16</v>
      </c>
      <c r="R31" s="55" t="n">
        <f aca="false">INDEX(Arch!$C$13:$E$13,R$7)</f>
        <v>6</v>
      </c>
      <c r="S31" s="55" t="n">
        <f aca="false">INDEX(Arch!$C$13:$E$13,S$7)</f>
        <v>16</v>
      </c>
    </row>
    <row r="32" customFormat="false" ht="15" hidden="false" customHeight="false" outlineLevel="0" collapsed="false">
      <c r="A32" s="53" t="s">
        <v>440</v>
      </c>
      <c r="B32" s="54" t="s">
        <v>228</v>
      </c>
      <c r="C32" s="91" t="n">
        <f aca="false">INDEX(Arch!$C$28:$E$28,C$7)</f>
        <v>5.412</v>
      </c>
      <c r="D32" s="91" t="n">
        <f aca="false">INDEX(Arch!$C$28:$E$28,D$7)</f>
        <v>20.2777777777778</v>
      </c>
      <c r="E32" s="91" t="n">
        <f aca="false">INDEX(Arch!$C$28:$E$28,E$7)</f>
        <v>49.0725806451613</v>
      </c>
      <c r="F32" s="91" t="n">
        <f aca="false">INDEX(Arch!$C$28:$E$28,F$7)</f>
        <v>5.412</v>
      </c>
      <c r="G32" s="91" t="n">
        <f aca="false">INDEX(Arch!$C$28:$E$28,G$7)</f>
        <v>20.2777777777778</v>
      </c>
      <c r="H32" s="91" t="n">
        <f aca="false">INDEX(Arch!$C$28:$E$28,H$7)</f>
        <v>49.0725806451613</v>
      </c>
      <c r="I32" s="91" t="n">
        <f aca="false">INDEX(Arch!$C$28:$E$28,I$7)</f>
        <v>5.412</v>
      </c>
      <c r="J32" s="91" t="n">
        <f aca="false">INDEX(Arch!$C$28:$E$28,J$7)</f>
        <v>20.2777777777778</v>
      </c>
      <c r="K32" s="91" t="n">
        <f aca="false">INDEX(Arch!$C$28:$E$28,K$7)</f>
        <v>49.0725806451613</v>
      </c>
      <c r="L32" s="91" t="n">
        <f aca="false">INDEX(Arch!$C$28:$E$28,L$7)</f>
        <v>5.412</v>
      </c>
      <c r="M32" s="91" t="n">
        <f aca="false">INDEX(Arch!$C$28:$E$28,M$7)</f>
        <v>20.2777777777778</v>
      </c>
      <c r="N32" s="91" t="n">
        <f aca="false">INDEX(Arch!$C$28:$E$28,N$7)</f>
        <v>49.0725806451613</v>
      </c>
      <c r="O32" s="91" t="n">
        <f aca="false">INDEX(Arch!$C$28:$E$28,O$7)</f>
        <v>5.412</v>
      </c>
      <c r="P32" s="91" t="n">
        <f aca="false">INDEX(Arch!$C$28:$E$28,P$7)</f>
        <v>20.2777777777778</v>
      </c>
      <c r="Q32" s="91" t="n">
        <f aca="false">INDEX(Arch!$C$28:$E$28,Q$7)</f>
        <v>49.0725806451613</v>
      </c>
      <c r="R32" s="91" t="n">
        <f aca="false">INDEX(Arch!$C$28:$E$28,R$7)</f>
        <v>20.2777777777778</v>
      </c>
      <c r="S32" s="91" t="n">
        <f aca="false">INDEX(Arch!$C$28:$E$28,S$7)</f>
        <v>49.0725806451613</v>
      </c>
    </row>
    <row r="33" customFormat="false" ht="15" hidden="false" customHeight="false" outlineLevel="0" collapsed="false">
      <c r="A33" s="53" t="s">
        <v>270</v>
      </c>
      <c r="B33" s="54" t="s">
        <v>228</v>
      </c>
      <c r="C33" s="55" t="n">
        <f aca="false">INDEX(Arch!$C$29:$E$29,C$7)</f>
        <v>278.588</v>
      </c>
      <c r="D33" s="55" t="n">
        <f aca="false">INDEX(Arch!$C$29:$E$29,D$7)</f>
        <v>1579.72222222222</v>
      </c>
      <c r="E33" s="55" t="n">
        <f aca="false">INDEX(Arch!$C$29:$E$29,E$7)</f>
        <v>3950.92741935484</v>
      </c>
      <c r="F33" s="55" t="n">
        <f aca="false">INDEX(Arch!$C$29:$E$29,F$7)</f>
        <v>278.588</v>
      </c>
      <c r="G33" s="55" t="n">
        <f aca="false">INDEX(Arch!$C$29:$E$29,G$7)</f>
        <v>1579.72222222222</v>
      </c>
      <c r="H33" s="55" t="n">
        <f aca="false">INDEX(Arch!$C$29:$E$29,H$7)</f>
        <v>3950.92741935484</v>
      </c>
      <c r="I33" s="55" t="n">
        <f aca="false">INDEX(Arch!$C$29:$E$29,I$7)</f>
        <v>278.588</v>
      </c>
      <c r="J33" s="55" t="n">
        <f aca="false">INDEX(Arch!$C$29:$E$29,J$7)</f>
        <v>1579.72222222222</v>
      </c>
      <c r="K33" s="55" t="n">
        <f aca="false">INDEX(Arch!$C$29:$E$29,K$7)</f>
        <v>3950.92741935484</v>
      </c>
      <c r="L33" s="55" t="n">
        <f aca="false">INDEX(Arch!$C$29:$E$29,L$7)</f>
        <v>278.588</v>
      </c>
      <c r="M33" s="55" t="n">
        <f aca="false">INDEX(Arch!$C$29:$E$29,M$7)</f>
        <v>1579.72222222222</v>
      </c>
      <c r="N33" s="55" t="n">
        <f aca="false">INDEX(Arch!$C$29:$E$29,N$7)</f>
        <v>3950.92741935484</v>
      </c>
      <c r="O33" s="55" t="n">
        <f aca="false">INDEX(Arch!$C$29:$E$29,O$7)</f>
        <v>278.588</v>
      </c>
      <c r="P33" s="55" t="n">
        <f aca="false">INDEX(Arch!$C$29:$E$29,P$7)</f>
        <v>1579.72222222222</v>
      </c>
      <c r="Q33" s="55" t="n">
        <f aca="false">INDEX(Arch!$C$29:$E$29,Q$7)</f>
        <v>3950.92741935484</v>
      </c>
      <c r="R33" s="55" t="n">
        <f aca="false">INDEX(Arch!$C$29:$E$29,R$7)</f>
        <v>1579.72222222222</v>
      </c>
      <c r="S33" s="55" t="n">
        <f aca="false">INDEX(Arch!$C$29:$E$29,S$7)</f>
        <v>3950.92741935484</v>
      </c>
    </row>
    <row r="34" customFormat="false" ht="15" hidden="false" customHeight="false" outlineLevel="0" collapsed="false">
      <c r="A34" s="54" t="s">
        <v>697</v>
      </c>
      <c r="B34" s="54" t="s">
        <v>228</v>
      </c>
      <c r="C34" s="55" t="n">
        <f aca="false">INDEX(Arch!$C$25:$E$25,C$7)*C11</f>
        <v>2795</v>
      </c>
      <c r="D34" s="55" t="n">
        <f aca="false">INDEX(Arch!$C$25:$E$25,D$7)*D11</f>
        <v>3965</v>
      </c>
      <c r="E34" s="55" t="n">
        <f aca="false">INDEX(Arch!$C$25:$E$25,E$7)*E11</f>
        <v>57600</v>
      </c>
      <c r="F34" s="55" t="n">
        <f aca="false">INDEX(Arch!$C$25:$E$25,F$7)*F11</f>
        <v>2795</v>
      </c>
      <c r="G34" s="55" t="n">
        <f aca="false">INDEX(Arch!$C$25:$E$25,G$7)*G11</f>
        <v>3965</v>
      </c>
      <c r="H34" s="55" t="n">
        <f aca="false">INDEX(Arch!$C$25:$E$25,H$7)*H11</f>
        <v>57600</v>
      </c>
      <c r="I34" s="55" t="n">
        <f aca="false">INDEX(Arch!$C$25:$E$25,I$7)*I11</f>
        <v>2795</v>
      </c>
      <c r="J34" s="55" t="n">
        <f aca="false">INDEX(Arch!$C$25:$E$25,J$7)*J11</f>
        <v>3965</v>
      </c>
      <c r="K34" s="55" t="n">
        <f aca="false">INDEX(Arch!$C$25:$E$25,K$7)*K11</f>
        <v>57600</v>
      </c>
      <c r="L34" s="55" t="n">
        <f aca="false">INDEX(Arch!$C$25:$E$25,L$7)*L11</f>
        <v>2795</v>
      </c>
      <c r="M34" s="55" t="n">
        <f aca="false">INDEX(Arch!$C$25:$E$25,M$7)*M11</f>
        <v>3965</v>
      </c>
      <c r="N34" s="55" t="n">
        <f aca="false">INDEX(Arch!$C$25:$E$25,N$7)*N11</f>
        <v>57600</v>
      </c>
      <c r="O34" s="55" t="n">
        <f aca="false">INDEX(Arch!$C$25:$E$25,O$7)*O11</f>
        <v>2795</v>
      </c>
      <c r="P34" s="55" t="n">
        <f aca="false">INDEX(Arch!$C$25:$E$25,P$7)*P11</f>
        <v>3965</v>
      </c>
      <c r="Q34" s="55" t="n">
        <f aca="false">INDEX(Arch!$C$25:$E$25,Q$7)*Q11</f>
        <v>57600</v>
      </c>
      <c r="R34" s="55" t="n">
        <f aca="false">INDEX(Arch!$C$25:$E$25,R$7)*R11</f>
        <v>3965</v>
      </c>
      <c r="S34" s="55" t="n">
        <f aca="false">INDEX(Arch!$C$25:$E$25,S$7)*S11</f>
        <v>57600</v>
      </c>
    </row>
    <row r="35" customFormat="false" ht="15" hidden="false" customHeight="false" outlineLevel="0" collapsed="false">
      <c r="A35" s="53" t="s">
        <v>442</v>
      </c>
      <c r="B35" s="54" t="s">
        <v>272</v>
      </c>
      <c r="C35" s="55" t="n">
        <f aca="false">INDEX(Arch!$C$30:$E$30,C$7)</f>
        <v>5636096</v>
      </c>
      <c r="D35" s="55" t="n">
        <f aca="false">INDEX(Arch!$C$30:$E$30,D$7)</f>
        <v>15990784</v>
      </c>
      <c r="E35" s="55" t="n">
        <f aca="false">INDEX(Arch!$C$30:$E$30,E$7)</f>
        <v>4915200</v>
      </c>
      <c r="F35" s="55" t="n">
        <f aca="false">INDEX(Arch!$C$30:$E$30,F$7)</f>
        <v>5636096</v>
      </c>
      <c r="G35" s="55" t="n">
        <f aca="false">INDEX(Arch!$C$30:$E$30,G$7)</f>
        <v>15990784</v>
      </c>
      <c r="H35" s="55" t="n">
        <f aca="false">INDEX(Arch!$C$30:$E$30,H$7)</f>
        <v>4915200</v>
      </c>
      <c r="I35" s="55" t="n">
        <f aca="false">INDEX(Arch!$C$30:$E$30,I$7)</f>
        <v>5636096</v>
      </c>
      <c r="J35" s="55" t="n">
        <f aca="false">INDEX(Arch!$C$30:$E$30,J$7)</f>
        <v>15990784</v>
      </c>
      <c r="K35" s="55" t="n">
        <f aca="false">INDEX(Arch!$C$30:$E$30,K$7)</f>
        <v>4915200</v>
      </c>
      <c r="L35" s="55" t="n">
        <f aca="false">INDEX(Arch!$C$30:$E$30,L$7)</f>
        <v>5636096</v>
      </c>
      <c r="M35" s="55" t="n">
        <f aca="false">INDEX(Arch!$C$30:$E$30,M$7)</f>
        <v>15990784</v>
      </c>
      <c r="N35" s="55" t="n">
        <f aca="false">INDEX(Arch!$C$30:$E$30,N$7)</f>
        <v>4915200</v>
      </c>
      <c r="O35" s="55" t="n">
        <f aca="false">INDEX(Arch!$C$30:$E$30,O$7)</f>
        <v>5636096</v>
      </c>
      <c r="P35" s="55" t="n">
        <f aca="false">INDEX(Arch!$C$30:$E$30,P$7)</f>
        <v>15990784</v>
      </c>
      <c r="Q35" s="55" t="n">
        <f aca="false">INDEX(Arch!$C$30:$E$30,Q$7)</f>
        <v>4915200</v>
      </c>
      <c r="R35" s="55" t="n">
        <f aca="false">INDEX(Arch!$C$30:$E$30,R$7)</f>
        <v>15990784</v>
      </c>
      <c r="S35" s="55" t="n">
        <f aca="false">INDEX(Arch!$C$30:$E$30,S$7)</f>
        <v>4915200</v>
      </c>
    </row>
    <row r="36" customFormat="false" ht="15" hidden="false" customHeight="false" outlineLevel="0" collapsed="false">
      <c r="A36" s="53" t="s">
        <v>246</v>
      </c>
      <c r="B36" s="54" t="s">
        <v>71</v>
      </c>
      <c r="C36" s="57" t="n">
        <f aca="false">INDEX(Arch!$C$16:$E$16,C$7)</f>
        <v>0.512</v>
      </c>
      <c r="D36" s="57" t="n">
        <f aca="false">INDEX(Arch!$C$16:$E$16,D$7)</f>
        <v>0.492</v>
      </c>
      <c r="E36" s="57" t="n">
        <f aca="false">INDEX(Arch!$C$16:$E$16,E$7)</f>
        <v>1</v>
      </c>
      <c r="F36" s="57" t="n">
        <f aca="false">INDEX(Arch!$C$16:$E$16,F$7)</f>
        <v>0.512</v>
      </c>
      <c r="G36" s="57" t="n">
        <f aca="false">INDEX(Arch!$C$16:$E$16,G$7)</f>
        <v>0.492</v>
      </c>
      <c r="H36" s="57" t="n">
        <f aca="false">INDEX(Arch!$C$16:$E$16,H$7)</f>
        <v>1</v>
      </c>
      <c r="I36" s="57" t="n">
        <f aca="false">INDEX(Arch!$C$16:$E$16,I$7)</f>
        <v>0.512</v>
      </c>
      <c r="J36" s="57" t="n">
        <f aca="false">INDEX(Arch!$C$16:$E$16,J$7)</f>
        <v>0.492</v>
      </c>
      <c r="K36" s="57" t="n">
        <f aca="false">INDEX(Arch!$C$16:$E$16,K$7)</f>
        <v>1</v>
      </c>
      <c r="L36" s="57" t="n">
        <f aca="false">INDEX(Arch!$C$16:$E$16,L$7)</f>
        <v>0.512</v>
      </c>
      <c r="M36" s="57" t="n">
        <f aca="false">INDEX(Arch!$C$16:$E$16,M$7)</f>
        <v>0.492</v>
      </c>
      <c r="N36" s="57" t="n">
        <f aca="false">INDEX(Arch!$C$16:$E$16,N$7)</f>
        <v>1</v>
      </c>
      <c r="O36" s="57" t="n">
        <f aca="false">INDEX(Arch!$C$16:$E$16,O$7)</f>
        <v>0.512</v>
      </c>
      <c r="P36" s="57" t="n">
        <f aca="false">INDEX(Arch!$C$16:$E$16,P$7)</f>
        <v>0.492</v>
      </c>
      <c r="Q36" s="57" t="n">
        <f aca="false">INDEX(Arch!$C$16:$E$16,Q$7)</f>
        <v>1</v>
      </c>
      <c r="R36" s="57" t="n">
        <f aca="false">INDEX(Arch!$C$16:$E$16,R$7)</f>
        <v>0.492</v>
      </c>
      <c r="S36" s="57" t="n">
        <f aca="false">INDEX(Arch!$C$16:$E$16,S$7)</f>
        <v>1</v>
      </c>
    </row>
    <row r="37" customFormat="false" ht="15" hidden="false" customHeight="false" outlineLevel="0" collapsed="false">
      <c r="A37" s="53" t="s">
        <v>698</v>
      </c>
      <c r="B37" s="54" t="s">
        <v>249</v>
      </c>
      <c r="C37" s="55" t="n">
        <f aca="false">INDEX(Arch!$C$17:$E$17,C$7)</f>
        <v>4224</v>
      </c>
      <c r="D37" s="55" t="n">
        <f aca="false">INDEX(Arch!$C$17:$E$17,D$7)</f>
        <v>4224</v>
      </c>
      <c r="E37" s="55" t="n">
        <f aca="false">INDEX(Arch!$C$17:$E$17,E$7)</f>
        <v>0</v>
      </c>
      <c r="F37" s="55" t="n">
        <f aca="false">INDEX(Arch!$C$17:$E$17,F$7)</f>
        <v>4224</v>
      </c>
      <c r="G37" s="55" t="n">
        <f aca="false">INDEX(Arch!$C$17:$E$17,G$7)</f>
        <v>4224</v>
      </c>
      <c r="H37" s="55" t="n">
        <f aca="false">INDEX(Arch!$C$17:$E$17,H$7)</f>
        <v>0</v>
      </c>
      <c r="I37" s="55" t="n">
        <f aca="false">INDEX(Arch!$C$17:$E$17,I$7)</f>
        <v>4224</v>
      </c>
      <c r="J37" s="55" t="n">
        <f aca="false">INDEX(Arch!$C$17:$E$17,J$7)</f>
        <v>4224</v>
      </c>
      <c r="K37" s="55" t="n">
        <f aca="false">INDEX(Arch!$C$17:$E$17,K$7)</f>
        <v>0</v>
      </c>
      <c r="L37" s="55" t="n">
        <f aca="false">INDEX(Arch!$C$17:$E$17,L$7)</f>
        <v>4224</v>
      </c>
      <c r="M37" s="55" t="n">
        <f aca="false">INDEX(Arch!$C$17:$E$17,M$7)</f>
        <v>4224</v>
      </c>
      <c r="N37" s="55" t="n">
        <f aca="false">INDEX(Arch!$C$17:$E$17,N$7)</f>
        <v>0</v>
      </c>
      <c r="O37" s="55" t="n">
        <f aca="false">INDEX(Arch!$C$17:$E$17,O$7)</f>
        <v>4224</v>
      </c>
      <c r="P37" s="55" t="n">
        <f aca="false">INDEX(Arch!$C$17:$E$17,P$7)</f>
        <v>4224</v>
      </c>
      <c r="Q37" s="55" t="n">
        <f aca="false">INDEX(Arch!$C$17:$E$17,Q$7)</f>
        <v>0</v>
      </c>
      <c r="R37" s="55" t="n">
        <f aca="false">INDEX(Arch!$C$17:$E$17,R$7)</f>
        <v>4224</v>
      </c>
      <c r="S37" s="55" t="n">
        <f aca="false">INDEX(Arch!$C$17:$E$17,S$7)</f>
        <v>0</v>
      </c>
    </row>
    <row r="38" customFormat="false" ht="15" hidden="false" customHeight="false" outlineLevel="0" collapsed="false">
      <c r="A38" s="53" t="s">
        <v>252</v>
      </c>
      <c r="B38" s="54" t="s">
        <v>75</v>
      </c>
      <c r="C38" s="55" t="n">
        <f aca="false">INDEX(Arch!$C$18:$E$18,C$7)</f>
        <v>128</v>
      </c>
      <c r="D38" s="55" t="n">
        <f aca="false">INDEX(Arch!$C$18:$E$18,D$7)</f>
        <v>128</v>
      </c>
      <c r="E38" s="55" t="n">
        <f aca="false">INDEX(Arch!$C$18:$E$18,E$7)</f>
        <v>1</v>
      </c>
      <c r="F38" s="55" t="n">
        <f aca="false">INDEX(Arch!$C$18:$E$18,F$7)</f>
        <v>128</v>
      </c>
      <c r="G38" s="55" t="n">
        <f aca="false">INDEX(Arch!$C$18:$E$18,G$7)</f>
        <v>128</v>
      </c>
      <c r="H38" s="55" t="n">
        <f aca="false">INDEX(Arch!$C$18:$E$18,H$7)</f>
        <v>1</v>
      </c>
      <c r="I38" s="55" t="n">
        <f aca="false">INDEX(Arch!$C$18:$E$18,I$7)</f>
        <v>128</v>
      </c>
      <c r="J38" s="55" t="n">
        <f aca="false">INDEX(Arch!$C$18:$E$18,J$7)</f>
        <v>128</v>
      </c>
      <c r="K38" s="55" t="n">
        <f aca="false">INDEX(Arch!$C$18:$E$18,K$7)</f>
        <v>1</v>
      </c>
      <c r="L38" s="55" t="n">
        <f aca="false">INDEX(Arch!$C$18:$E$18,L$7)</f>
        <v>128</v>
      </c>
      <c r="M38" s="55" t="n">
        <f aca="false">INDEX(Arch!$C$18:$E$18,M$7)</f>
        <v>128</v>
      </c>
      <c r="N38" s="55" t="n">
        <f aca="false">INDEX(Arch!$C$18:$E$18,N$7)</f>
        <v>1</v>
      </c>
      <c r="O38" s="55" t="n">
        <f aca="false">INDEX(Arch!$C$18:$E$18,O$7)</f>
        <v>128</v>
      </c>
      <c r="P38" s="55" t="n">
        <f aca="false">INDEX(Arch!$C$18:$E$18,P$7)</f>
        <v>128</v>
      </c>
      <c r="Q38" s="55" t="n">
        <f aca="false">INDEX(Arch!$C$18:$E$18,Q$7)</f>
        <v>1</v>
      </c>
      <c r="R38" s="55" t="n">
        <f aca="false">INDEX(Arch!$C$18:$E$18,R$7)</f>
        <v>128</v>
      </c>
      <c r="S38" s="55" t="n">
        <f aca="false">INDEX(Arch!$C$18:$E$18,S$7)</f>
        <v>1</v>
      </c>
    </row>
    <row r="39" customFormat="false" ht="15" hidden="false" customHeight="false" outlineLevel="0" collapsed="false">
      <c r="A39" s="53" t="s">
        <v>254</v>
      </c>
      <c r="B39" s="54" t="s">
        <v>249</v>
      </c>
      <c r="C39" s="55" t="n">
        <f aca="false">INDEX(Arch!$C$19:$E$19,C$7)</f>
        <v>128</v>
      </c>
      <c r="D39" s="55" t="n">
        <f aca="false">INDEX(Arch!$C$19:$E$19,D$7)</f>
        <v>128</v>
      </c>
      <c r="E39" s="55" t="n">
        <f aca="false">INDEX(Arch!$C$19:$E$19,E$7)</f>
        <v>0</v>
      </c>
      <c r="F39" s="55" t="n">
        <f aca="false">INDEX(Arch!$C$19:$E$19,F$7)</f>
        <v>128</v>
      </c>
      <c r="G39" s="55" t="n">
        <f aca="false">INDEX(Arch!$C$19:$E$19,G$7)</f>
        <v>128</v>
      </c>
      <c r="H39" s="55" t="n">
        <f aca="false">INDEX(Arch!$C$19:$E$19,H$7)</f>
        <v>0</v>
      </c>
      <c r="I39" s="55" t="n">
        <f aca="false">INDEX(Arch!$C$19:$E$19,I$7)</f>
        <v>128</v>
      </c>
      <c r="J39" s="55" t="n">
        <f aca="false">INDEX(Arch!$C$19:$E$19,J$7)</f>
        <v>128</v>
      </c>
      <c r="K39" s="55" t="n">
        <f aca="false">INDEX(Arch!$C$19:$E$19,K$7)</f>
        <v>0</v>
      </c>
      <c r="L39" s="55" t="n">
        <f aca="false">INDEX(Arch!$C$19:$E$19,L$7)</f>
        <v>128</v>
      </c>
      <c r="M39" s="55" t="n">
        <f aca="false">INDEX(Arch!$C$19:$E$19,M$7)</f>
        <v>128</v>
      </c>
      <c r="N39" s="55" t="n">
        <f aca="false">INDEX(Arch!$C$19:$E$19,N$7)</f>
        <v>0</v>
      </c>
      <c r="O39" s="55" t="n">
        <f aca="false">INDEX(Arch!$C$19:$E$19,O$7)</f>
        <v>128</v>
      </c>
      <c r="P39" s="55" t="n">
        <f aca="false">INDEX(Arch!$C$19:$E$19,P$7)</f>
        <v>128</v>
      </c>
      <c r="Q39" s="55" t="n">
        <f aca="false">INDEX(Arch!$C$19:$E$19,Q$7)</f>
        <v>0</v>
      </c>
      <c r="R39" s="55" t="n">
        <f aca="false">INDEX(Arch!$C$19:$E$19,R$7)</f>
        <v>128</v>
      </c>
      <c r="S39" s="55" t="n">
        <f aca="false">INDEX(Arch!$C$19:$E$19,S$7)</f>
        <v>0</v>
      </c>
    </row>
    <row r="40" customFormat="false" ht="15" hidden="false" customHeight="false" outlineLevel="0" collapsed="false">
      <c r="A40" s="68" t="s">
        <v>699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</row>
    <row r="41" customFormat="false" ht="15" hidden="false" customHeight="false" outlineLevel="0" collapsed="false">
      <c r="A41" s="54" t="s">
        <v>329</v>
      </c>
      <c r="B41" s="54" t="s">
        <v>330</v>
      </c>
      <c r="C41" s="55" t="n">
        <f aca="false">INDEX(Train_In!$C$31:$E$31,C$7)</f>
        <v>20</v>
      </c>
      <c r="D41" s="55" t="n">
        <f aca="false">INDEX(Train_In!$C$31:$E$31,D$7)</f>
        <v>20</v>
      </c>
      <c r="E41" s="55" t="n">
        <f aca="false">INDEX(Train_In!$C$31:$E$31,E$7)</f>
        <v>20</v>
      </c>
      <c r="F41" s="55" t="n">
        <f aca="false">INDEX(Train_In!$C$31:$E$31,F$7)</f>
        <v>20</v>
      </c>
      <c r="G41" s="55" t="n">
        <f aca="false">INDEX(Train_In!$C$31:$E$31,G$7)</f>
        <v>20</v>
      </c>
      <c r="H41" s="55" t="n">
        <f aca="false">INDEX(Train_In!$C$31:$E$31,H$7)</f>
        <v>20</v>
      </c>
      <c r="I41" s="55" t="n">
        <f aca="false">INDEX(Train_In!$C$31:$E$31,I$7)</f>
        <v>20</v>
      </c>
      <c r="J41" s="55" t="n">
        <f aca="false">INDEX(Train_In!$C$31:$E$31,J$7)</f>
        <v>20</v>
      </c>
      <c r="K41" s="55" t="n">
        <f aca="false">INDEX(Train_In!$C$31:$E$31,K$7)</f>
        <v>20</v>
      </c>
      <c r="L41" s="55" t="n">
        <f aca="false">INDEX(Train_In!$C$31:$E$31,L$7)</f>
        <v>20</v>
      </c>
      <c r="M41" s="55" t="n">
        <f aca="false">INDEX(Train_In!$C$31:$E$31,M$7)</f>
        <v>20</v>
      </c>
      <c r="N41" s="55" t="n">
        <f aca="false">INDEX(Train_In!$C$31:$E$31,N$7)</f>
        <v>20</v>
      </c>
      <c r="O41" s="55" t="n">
        <f aca="false">INDEX(Train_In!$C$31:$E$31,O$7)</f>
        <v>20</v>
      </c>
      <c r="P41" s="55" t="n">
        <f aca="false">INDEX(Train_In!$C$31:$E$31,P$7)</f>
        <v>20</v>
      </c>
      <c r="Q41" s="55" t="n">
        <f aca="false">INDEX(Train_In!$C$31:$E$31,Q$7)</f>
        <v>20</v>
      </c>
      <c r="R41" s="55" t="n">
        <f aca="false">INDEX(Train_In!$C$31:$E$31,R$7)</f>
        <v>20</v>
      </c>
      <c r="S41" s="55" t="n">
        <f aca="false">INDEX(Train_In!$C$31:$E$31,S$7)</f>
        <v>20</v>
      </c>
    </row>
    <row r="42" customFormat="false" ht="15" hidden="false" customHeight="false" outlineLevel="0" collapsed="false">
      <c r="A42" s="54" t="s">
        <v>700</v>
      </c>
      <c r="B42" s="54" t="s">
        <v>333</v>
      </c>
      <c r="C42" s="101" t="n">
        <f aca="false">INDEX(Serving!$C$22:$E$22,C$7)</f>
        <v>2</v>
      </c>
      <c r="D42" s="101" t="n">
        <f aca="false">INDEX(Serving!$C$22:$E$22,D$7)</f>
        <v>3</v>
      </c>
      <c r="E42" s="101" t="n">
        <f aca="false">INDEX(Serving!$C$22:$E$22,E$7)</f>
        <v>5</v>
      </c>
      <c r="F42" s="101" t="n">
        <f aca="false">INDEX(Serving!$C$22:$E$22,F$7)</f>
        <v>2</v>
      </c>
      <c r="G42" s="101" t="n">
        <f aca="false">INDEX(Serving!$C$22:$E$22,G$7)</f>
        <v>3</v>
      </c>
      <c r="H42" s="101" t="n">
        <f aca="false">INDEX(Serving!$C$22:$E$22,H$7)</f>
        <v>5</v>
      </c>
      <c r="I42" s="101" t="n">
        <f aca="false">INDEX(Serving!$C$22:$E$22,I$7)</f>
        <v>2</v>
      </c>
      <c r="J42" s="101" t="n">
        <f aca="false">INDEX(Serving!$C$22:$E$22,J$7)</f>
        <v>3</v>
      </c>
      <c r="K42" s="101" t="n">
        <f aca="false">INDEX(Serving!$C$22:$E$22,K$7)</f>
        <v>5</v>
      </c>
      <c r="L42" s="101" t="n">
        <f aca="false">INDEX(Serving!$C$22:$E$22,L$7)</f>
        <v>2</v>
      </c>
      <c r="M42" s="101" t="n">
        <f aca="false">INDEX(Serving!$C$22:$E$22,M$7)</f>
        <v>3</v>
      </c>
      <c r="N42" s="101" t="n">
        <f aca="false">INDEX(Serving!$C$22:$E$22,N$7)</f>
        <v>5</v>
      </c>
      <c r="O42" s="101" t="n">
        <f aca="false">INDEX(Serving!$C$22:$E$22,O$7)</f>
        <v>2</v>
      </c>
      <c r="P42" s="101" t="n">
        <f aca="false">INDEX(Serving!$C$22:$E$22,P$7)</f>
        <v>3</v>
      </c>
      <c r="Q42" s="101" t="n">
        <f aca="false">INDEX(Serving!$C$22:$E$22,Q$7)</f>
        <v>5</v>
      </c>
      <c r="R42" s="101" t="n">
        <f aca="false">INDEX(Serving!$C$22:$E$22,R$7)</f>
        <v>3</v>
      </c>
      <c r="S42" s="101" t="n">
        <f aca="false">INDEX(Serving!$C$22:$E$22,S$7)</f>
        <v>5</v>
      </c>
    </row>
    <row r="43" customFormat="false" ht="15" hidden="false" customHeight="false" outlineLevel="0" collapsed="false">
      <c r="A43" s="53" t="s">
        <v>701</v>
      </c>
      <c r="B43" s="54" t="s">
        <v>249</v>
      </c>
      <c r="C43" s="55" t="n">
        <f aca="false">INDEX(Train_In!$C$32:$E$32,C$7)</f>
        <v>4096</v>
      </c>
      <c r="D43" s="55" t="n">
        <f aca="false">INDEX(Train_In!$C$32:$E$32,D$7)</f>
        <v>8192</v>
      </c>
      <c r="E43" s="55" t="n">
        <f aca="false">INDEX(Train_In!$C$32:$E$32,E$7)</f>
        <v>16384</v>
      </c>
      <c r="F43" s="55" t="n">
        <f aca="false">INDEX(Train_In!$C$32:$E$32,F$7)</f>
        <v>4096</v>
      </c>
      <c r="G43" s="55" t="n">
        <f aca="false">INDEX(Train_In!$C$32:$E$32,G$7)</f>
        <v>8192</v>
      </c>
      <c r="H43" s="55" t="n">
        <f aca="false">INDEX(Train_In!$C$32:$E$32,H$7)</f>
        <v>16384</v>
      </c>
      <c r="I43" s="55" t="n">
        <f aca="false">INDEX(Train_In!$C$32:$E$32,I$7)</f>
        <v>4096</v>
      </c>
      <c r="J43" s="55" t="n">
        <f aca="false">INDEX(Train_In!$C$32:$E$32,J$7)</f>
        <v>8192</v>
      </c>
      <c r="K43" s="55" t="n">
        <f aca="false">INDEX(Train_In!$C$32:$E$32,K$7)</f>
        <v>16384</v>
      </c>
      <c r="L43" s="55" t="n">
        <f aca="false">INDEX(Train_In!$C$32:$E$32,L$7)</f>
        <v>4096</v>
      </c>
      <c r="M43" s="55" t="n">
        <f aca="false">INDEX(Train_In!$C$32:$E$32,M$7)</f>
        <v>8192</v>
      </c>
      <c r="N43" s="55" t="n">
        <f aca="false">INDEX(Train_In!$C$32:$E$32,N$7)</f>
        <v>16384</v>
      </c>
      <c r="O43" s="55" t="n">
        <f aca="false">INDEX(Train_In!$C$32:$E$32,O$7)</f>
        <v>4096</v>
      </c>
      <c r="P43" s="55" t="n">
        <f aca="false">INDEX(Train_In!$C$32:$E$32,P$7)</f>
        <v>8192</v>
      </c>
      <c r="Q43" s="55" t="n">
        <f aca="false">INDEX(Train_In!$C$32:$E$32,Q$7)</f>
        <v>16384</v>
      </c>
      <c r="R43" s="55" t="n">
        <f aca="false">INDEX(Train_In!$C$32:$E$32,R$7)</f>
        <v>8192</v>
      </c>
      <c r="S43" s="55" t="n">
        <f aca="false">INDEX(Train_In!$C$32:$E$32,S$7)</f>
        <v>16384</v>
      </c>
    </row>
    <row r="44" customFormat="false" ht="15" hidden="false" customHeight="false" outlineLevel="0" collapsed="false">
      <c r="A44" s="53" t="s">
        <v>336</v>
      </c>
      <c r="B44" s="54" t="s">
        <v>249</v>
      </c>
      <c r="C44" s="55" t="n">
        <f aca="false">INDEX(Train_In!$C$33:$E$33,C$7)</f>
        <v>8192</v>
      </c>
      <c r="D44" s="55" t="n">
        <f aca="false">INDEX(Train_In!$C$33:$E$33,D$7)</f>
        <v>16384</v>
      </c>
      <c r="E44" s="55" t="n">
        <f aca="false">INDEX(Train_In!$C$33:$E$33,E$7)</f>
        <v>32768</v>
      </c>
      <c r="F44" s="55" t="n">
        <f aca="false">INDEX(Train_In!$C$33:$E$33,F$7)</f>
        <v>8192</v>
      </c>
      <c r="G44" s="55" t="n">
        <f aca="false">INDEX(Train_In!$C$33:$E$33,G$7)</f>
        <v>16384</v>
      </c>
      <c r="H44" s="55" t="n">
        <f aca="false">INDEX(Train_In!$C$33:$E$33,H$7)</f>
        <v>32768</v>
      </c>
      <c r="I44" s="55" t="n">
        <f aca="false">INDEX(Train_In!$C$33:$E$33,I$7)</f>
        <v>8192</v>
      </c>
      <c r="J44" s="55" t="n">
        <f aca="false">INDEX(Train_In!$C$33:$E$33,J$7)</f>
        <v>16384</v>
      </c>
      <c r="K44" s="55" t="n">
        <f aca="false">INDEX(Train_In!$C$33:$E$33,K$7)</f>
        <v>32768</v>
      </c>
      <c r="L44" s="55" t="n">
        <f aca="false">INDEX(Train_In!$C$33:$E$33,L$7)</f>
        <v>8192</v>
      </c>
      <c r="M44" s="55" t="n">
        <f aca="false">INDEX(Train_In!$C$33:$E$33,M$7)</f>
        <v>16384</v>
      </c>
      <c r="N44" s="55" t="n">
        <f aca="false">INDEX(Train_In!$C$33:$E$33,N$7)</f>
        <v>32768</v>
      </c>
      <c r="O44" s="55" t="n">
        <f aca="false">INDEX(Train_In!$C$33:$E$33,O$7)</f>
        <v>8192</v>
      </c>
      <c r="P44" s="55" t="n">
        <f aca="false">INDEX(Train_In!$C$33:$E$33,P$7)</f>
        <v>16384</v>
      </c>
      <c r="Q44" s="55" t="n">
        <f aca="false">INDEX(Train_In!$C$33:$E$33,Q$7)</f>
        <v>32768</v>
      </c>
      <c r="R44" s="55" t="n">
        <f aca="false">INDEX(Train_In!$C$33:$E$33,R$7)</f>
        <v>16384</v>
      </c>
      <c r="S44" s="55" t="n">
        <f aca="false">INDEX(Train_In!$C$33:$E$33,S$7)</f>
        <v>32768</v>
      </c>
    </row>
    <row r="45" customFormat="false" ht="15" hidden="false" customHeight="false" outlineLevel="0" collapsed="false">
      <c r="A45" s="54" t="s">
        <v>337</v>
      </c>
      <c r="B45" s="54" t="s">
        <v>249</v>
      </c>
      <c r="C45" s="60" t="n">
        <f aca="false">C43+C44/2</f>
        <v>8192</v>
      </c>
      <c r="D45" s="60" t="n">
        <f aca="false">D43+D44/2</f>
        <v>16384</v>
      </c>
      <c r="E45" s="60" t="n">
        <f aca="false">E43+E44/2</f>
        <v>32768</v>
      </c>
      <c r="F45" s="60" t="n">
        <f aca="false">F43+F44/2</f>
        <v>8192</v>
      </c>
      <c r="G45" s="60" t="n">
        <f aca="false">G43+G44/2</f>
        <v>16384</v>
      </c>
      <c r="H45" s="60" t="n">
        <f aca="false">H43+H44/2</f>
        <v>32768</v>
      </c>
      <c r="I45" s="60" t="n">
        <f aca="false">I43+I44/2</f>
        <v>8192</v>
      </c>
      <c r="J45" s="60" t="n">
        <f aca="false">J43+J44/2</f>
        <v>16384</v>
      </c>
      <c r="K45" s="60" t="n">
        <f aca="false">K43+K44/2</f>
        <v>32768</v>
      </c>
      <c r="L45" s="60" t="n">
        <f aca="false">L43+L44/2</f>
        <v>8192</v>
      </c>
      <c r="M45" s="60" t="n">
        <f aca="false">M43+M44/2</f>
        <v>16384</v>
      </c>
      <c r="N45" s="60" t="n">
        <f aca="false">N43+N44/2</f>
        <v>32768</v>
      </c>
      <c r="O45" s="60" t="n">
        <f aca="false">O43+O44/2</f>
        <v>8192</v>
      </c>
      <c r="P45" s="60" t="n">
        <f aca="false">P43+P44/2</f>
        <v>16384</v>
      </c>
      <c r="Q45" s="60" t="n">
        <f aca="false">Q43+Q44/2</f>
        <v>32768</v>
      </c>
      <c r="R45" s="60" t="n">
        <f aca="false">R43+R44/2</f>
        <v>16384</v>
      </c>
      <c r="S45" s="60" t="n">
        <f aca="false">S43+S44/2</f>
        <v>32768</v>
      </c>
    </row>
    <row r="46" customFormat="false" ht="15" hidden="false" customHeight="false" outlineLevel="0" collapsed="false">
      <c r="A46" s="54" t="s">
        <v>338</v>
      </c>
      <c r="B46" s="54" t="s">
        <v>249</v>
      </c>
      <c r="C46" s="60" t="n">
        <f aca="false">C43/2</f>
        <v>2048</v>
      </c>
      <c r="D46" s="60" t="n">
        <f aca="false">D43/2</f>
        <v>4096</v>
      </c>
      <c r="E46" s="60" t="n">
        <f aca="false">E43/2</f>
        <v>8192</v>
      </c>
      <c r="F46" s="60" t="n">
        <f aca="false">F43/2</f>
        <v>2048</v>
      </c>
      <c r="G46" s="60" t="n">
        <f aca="false">G43/2</f>
        <v>4096</v>
      </c>
      <c r="H46" s="60" t="n">
        <f aca="false">H43/2</f>
        <v>8192</v>
      </c>
      <c r="I46" s="60" t="n">
        <f aca="false">I43/2</f>
        <v>2048</v>
      </c>
      <c r="J46" s="60" t="n">
        <f aca="false">J43/2</f>
        <v>4096</v>
      </c>
      <c r="K46" s="60" t="n">
        <f aca="false">K43/2</f>
        <v>8192</v>
      </c>
      <c r="L46" s="60" t="n">
        <f aca="false">L43/2</f>
        <v>2048</v>
      </c>
      <c r="M46" s="60" t="n">
        <f aca="false">M43/2</f>
        <v>4096</v>
      </c>
      <c r="N46" s="60" t="n">
        <f aca="false">N43/2</f>
        <v>8192</v>
      </c>
      <c r="O46" s="60" t="n">
        <f aca="false">O43/2</f>
        <v>2048</v>
      </c>
      <c r="P46" s="60" t="n">
        <f aca="false">P43/2</f>
        <v>4096</v>
      </c>
      <c r="Q46" s="60" t="n">
        <f aca="false">Q43/2</f>
        <v>8192</v>
      </c>
      <c r="R46" s="60" t="n">
        <f aca="false">R43/2</f>
        <v>4096</v>
      </c>
      <c r="S46" s="60" t="n">
        <f aca="false">S43/2</f>
        <v>8192</v>
      </c>
    </row>
    <row r="47" customFormat="false" ht="15" hidden="false" customHeight="false" outlineLevel="0" collapsed="false">
      <c r="A47" s="54" t="s">
        <v>702</v>
      </c>
      <c r="B47" s="54" t="s">
        <v>249</v>
      </c>
      <c r="C47" s="82" t="n">
        <f aca="false">Serving!$C$6</f>
        <v>3</v>
      </c>
      <c r="D47" s="82" t="n">
        <f aca="false">Serving!$C$6</f>
        <v>3</v>
      </c>
      <c r="E47" s="82" t="n">
        <f aca="false">Serving!$C$6</f>
        <v>3</v>
      </c>
      <c r="F47" s="82" t="n">
        <f aca="false">Serving!$C$6</f>
        <v>3</v>
      </c>
      <c r="G47" s="82" t="n">
        <f aca="false">Serving!$C$6</f>
        <v>3</v>
      </c>
      <c r="H47" s="82" t="n">
        <f aca="false">Serving!$C$6</f>
        <v>3</v>
      </c>
      <c r="I47" s="82" t="n">
        <f aca="false">Serving!$C$6</f>
        <v>3</v>
      </c>
      <c r="J47" s="82" t="n">
        <f aca="false">Serving!$C$6</f>
        <v>3</v>
      </c>
      <c r="K47" s="82" t="n">
        <f aca="false">Serving!$C$6</f>
        <v>3</v>
      </c>
      <c r="L47" s="82" t="n">
        <f aca="false">Serving!$C$6</f>
        <v>3</v>
      </c>
      <c r="M47" s="82" t="n">
        <f aca="false">Serving!$C$6</f>
        <v>3</v>
      </c>
      <c r="N47" s="82" t="n">
        <f aca="false">Serving!$C$6</f>
        <v>3</v>
      </c>
      <c r="O47" s="82" t="n">
        <f aca="false">Serving!$C$6</f>
        <v>3</v>
      </c>
      <c r="P47" s="82" t="n">
        <f aca="false">Serving!$C$6</f>
        <v>3</v>
      </c>
      <c r="Q47" s="82" t="n">
        <f aca="false">Serving!$C$6</f>
        <v>3</v>
      </c>
      <c r="R47" s="82" t="n">
        <f aca="false">Serving!$C$6</f>
        <v>3</v>
      </c>
      <c r="S47" s="82" t="n">
        <f aca="false">Serving!$C$6</f>
        <v>3</v>
      </c>
    </row>
    <row r="48" customFormat="false" ht="15" hidden="false" customHeight="false" outlineLevel="0" collapsed="false">
      <c r="A48" s="53" t="s">
        <v>703</v>
      </c>
      <c r="B48" s="54" t="s">
        <v>71</v>
      </c>
      <c r="C48" s="57" t="n">
        <f aca="false">Serving!$C$7</f>
        <v>0.7</v>
      </c>
      <c r="D48" s="57" t="n">
        <f aca="false">Serving!$C$7</f>
        <v>0.7</v>
      </c>
      <c r="E48" s="57" t="n">
        <f aca="false">Serving!$C$7</f>
        <v>0.7</v>
      </c>
      <c r="F48" s="57" t="n">
        <f aca="false">Serving!$C$7</f>
        <v>0.7</v>
      </c>
      <c r="G48" s="57" t="n">
        <f aca="false">Serving!$C$7</f>
        <v>0.7</v>
      </c>
      <c r="H48" s="57" t="n">
        <f aca="false">Serving!$C$7</f>
        <v>0.7</v>
      </c>
      <c r="I48" s="57" t="n">
        <f aca="false">Serving!$C$7</f>
        <v>0.7</v>
      </c>
      <c r="J48" s="57" t="n">
        <f aca="false">Serving!$C$7</f>
        <v>0.7</v>
      </c>
      <c r="K48" s="57" t="n">
        <f aca="false">Serving!$C$7</f>
        <v>0.7</v>
      </c>
      <c r="L48" s="57" t="n">
        <f aca="false">Serving!$C$7</f>
        <v>0.7</v>
      </c>
      <c r="M48" s="57" t="n">
        <f aca="false">Serving!$C$7</f>
        <v>0.7</v>
      </c>
      <c r="N48" s="57" t="n">
        <f aca="false">Serving!$C$7</f>
        <v>0.7</v>
      </c>
      <c r="O48" s="57" t="n">
        <f aca="false">Serving!$C$7</f>
        <v>0.7</v>
      </c>
      <c r="P48" s="57" t="n">
        <f aca="false">Serving!$C$7</f>
        <v>0.7</v>
      </c>
      <c r="Q48" s="57" t="n">
        <f aca="false">Serving!$C$7</f>
        <v>0.7</v>
      </c>
      <c r="R48" s="57" t="n">
        <f aca="false">Serving!$C$7</f>
        <v>0.7</v>
      </c>
      <c r="S48" s="57" t="n">
        <f aca="false">Serving!$C$7</f>
        <v>0.7</v>
      </c>
    </row>
    <row r="49" customFormat="false" ht="15" hidden="false" customHeight="false" outlineLevel="0" collapsed="false">
      <c r="A49" s="53" t="s">
        <v>704</v>
      </c>
      <c r="B49" s="54" t="s">
        <v>249</v>
      </c>
      <c r="C49" s="69" t="n">
        <f aca="false">(1-C48^(C47+1))/(1-C48)</f>
        <v>2.533</v>
      </c>
      <c r="D49" s="69" t="n">
        <f aca="false">(1-D48^(D47+1))/(1-D48)</f>
        <v>2.533</v>
      </c>
      <c r="E49" s="69" t="n">
        <f aca="false">(1-E48^(E47+1))/(1-E48)</f>
        <v>2.533</v>
      </c>
      <c r="F49" s="69" t="n">
        <f aca="false">(1-F48^(F47+1))/(1-F48)</f>
        <v>2.533</v>
      </c>
      <c r="G49" s="69" t="n">
        <f aca="false">(1-G48^(G47+1))/(1-G48)</f>
        <v>2.533</v>
      </c>
      <c r="H49" s="69" t="n">
        <f aca="false">(1-H48^(H47+1))/(1-H48)</f>
        <v>2.533</v>
      </c>
      <c r="I49" s="69" t="n">
        <f aca="false">(1-I48^(I47+1))/(1-I48)</f>
        <v>2.533</v>
      </c>
      <c r="J49" s="69" t="n">
        <f aca="false">(1-J48^(J47+1))/(1-J48)</f>
        <v>2.533</v>
      </c>
      <c r="K49" s="69" t="n">
        <f aca="false">(1-K48^(K47+1))/(1-K48)</f>
        <v>2.533</v>
      </c>
      <c r="L49" s="69" t="n">
        <f aca="false">(1-L48^(L47+1))/(1-L48)</f>
        <v>2.533</v>
      </c>
      <c r="M49" s="69" t="n">
        <f aca="false">(1-M48^(M47+1))/(1-M48)</f>
        <v>2.533</v>
      </c>
      <c r="N49" s="69" t="n">
        <f aca="false">(1-N48^(N47+1))/(1-N48)</f>
        <v>2.533</v>
      </c>
      <c r="O49" s="69" t="n">
        <f aca="false">(1-O48^(O47+1))/(1-O48)</f>
        <v>2.533</v>
      </c>
      <c r="P49" s="69" t="n">
        <f aca="false">(1-P48^(P47+1))/(1-P48)</f>
        <v>2.533</v>
      </c>
      <c r="Q49" s="69" t="n">
        <f aca="false">(1-Q48^(Q47+1))/(1-Q48)</f>
        <v>2.533</v>
      </c>
      <c r="R49" s="69" t="n">
        <f aca="false">(1-R48^(R47+1))/(1-R48)</f>
        <v>2.533</v>
      </c>
      <c r="S49" s="69" t="n">
        <f aca="false">(1-S48^(S47+1))/(1-S48)</f>
        <v>2.533</v>
      </c>
    </row>
    <row r="50" customFormat="false" ht="15" hidden="false" customHeight="false" outlineLevel="0" collapsed="false">
      <c r="A50" s="53" t="s">
        <v>325</v>
      </c>
      <c r="B50" s="54" t="s">
        <v>75</v>
      </c>
      <c r="C50" s="90" t="n">
        <f aca="false">Serving!$C$18</f>
        <v>1</v>
      </c>
      <c r="D50" s="90" t="n">
        <f aca="false">Serving!$C$18</f>
        <v>1</v>
      </c>
      <c r="E50" s="90" t="n">
        <f aca="false">Serving!$C$18</f>
        <v>1</v>
      </c>
      <c r="F50" s="90" t="n">
        <f aca="false">Serving!$C$18</f>
        <v>1</v>
      </c>
      <c r="G50" s="90" t="n">
        <f aca="false">Serving!$C$18</f>
        <v>1</v>
      </c>
      <c r="H50" s="90" t="n">
        <f aca="false">Serving!$C$18</f>
        <v>1</v>
      </c>
      <c r="I50" s="90" t="n">
        <f aca="false">Serving!$C$18</f>
        <v>1</v>
      </c>
      <c r="J50" s="90" t="n">
        <f aca="false">Serving!$C$18</f>
        <v>1</v>
      </c>
      <c r="K50" s="90" t="n">
        <f aca="false">Serving!$C$18</f>
        <v>1</v>
      </c>
      <c r="L50" s="90" t="n">
        <f aca="false">Serving!$C$18</f>
        <v>1</v>
      </c>
      <c r="M50" s="90" t="n">
        <f aca="false">Serving!$C$18</f>
        <v>1</v>
      </c>
      <c r="N50" s="90" t="n">
        <f aca="false">Serving!$C$18</f>
        <v>1</v>
      </c>
      <c r="O50" s="90" t="n">
        <f aca="false">Serving!$C$18</f>
        <v>1</v>
      </c>
      <c r="P50" s="90" t="n">
        <f aca="false">Serving!$C$18</f>
        <v>1</v>
      </c>
      <c r="Q50" s="90" t="n">
        <f aca="false">Serving!$C$18</f>
        <v>1</v>
      </c>
      <c r="R50" s="90" t="n">
        <f aca="false">Serving!$C$18</f>
        <v>1</v>
      </c>
      <c r="S50" s="90" t="n">
        <f aca="false">Serving!$C$18</f>
        <v>1</v>
      </c>
    </row>
    <row r="51" customFormat="false" ht="15" hidden="false" customHeight="false" outlineLevel="0" collapsed="false">
      <c r="A51" s="54" t="s">
        <v>705</v>
      </c>
      <c r="B51" s="54" t="s">
        <v>71</v>
      </c>
      <c r="C51" s="102" t="n">
        <f aca="false">INDEX(Calib!$C$72:$G$72,C$6)*C50</f>
        <v>0.149924204143507</v>
      </c>
      <c r="D51" s="102" t="n">
        <f aca="false">INDEX(Calib!$C$72:$G$72,D$6)*D50</f>
        <v>0.149924204143507</v>
      </c>
      <c r="E51" s="102" t="n">
        <f aca="false">INDEX(Calib!$C$72:$G$72,E$6)*E50</f>
        <v>0.149924204143507</v>
      </c>
      <c r="F51" s="102" t="n">
        <f aca="false">INDEX(Calib!$C$72:$G$72,F$6)*F50</f>
        <v>0.3</v>
      </c>
      <c r="G51" s="102" t="n">
        <f aca="false">INDEX(Calib!$C$72:$G$72,G$6)*G50</f>
        <v>0.3</v>
      </c>
      <c r="H51" s="102" t="n">
        <f aca="false">INDEX(Calib!$C$72:$G$72,H$6)*H50</f>
        <v>0.3</v>
      </c>
      <c r="I51" s="102" t="n">
        <f aca="false">INDEX(Calib!$C$72:$G$72,I$6)*I50</f>
        <v>0.3</v>
      </c>
      <c r="J51" s="102" t="n">
        <f aca="false">INDEX(Calib!$C$72:$G$72,J$6)*J50</f>
        <v>0.3</v>
      </c>
      <c r="K51" s="102" t="n">
        <f aca="false">INDEX(Calib!$C$72:$G$72,K$6)*K50</f>
        <v>0.3</v>
      </c>
      <c r="L51" s="102" t="n">
        <f aca="false">INDEX(Calib!$C$72:$G$72,L$6)*L50</f>
        <v>0.3</v>
      </c>
      <c r="M51" s="102" t="n">
        <f aca="false">INDEX(Calib!$C$72:$G$72,M$6)*M50</f>
        <v>0.3</v>
      </c>
      <c r="N51" s="102" t="n">
        <f aca="false">INDEX(Calib!$C$72:$G$72,N$6)*N50</f>
        <v>0.3</v>
      </c>
      <c r="O51" s="102" t="n">
        <f aca="false">INDEX(Calib!$C$72:$G$72,O$6)*O50</f>
        <v>0.3</v>
      </c>
      <c r="P51" s="102" t="n">
        <f aca="false">INDEX(Calib!$C$72:$G$72,P$6)*P50</f>
        <v>0.3</v>
      </c>
      <c r="Q51" s="102" t="n">
        <f aca="false">INDEX(Calib!$C$72:$G$72,Q$6)*Q50</f>
        <v>0.3</v>
      </c>
      <c r="R51" s="102" t="n">
        <f aca="false">INDEX(Calib!$C$72:$G$72,R$6)*R50</f>
        <v>0.3</v>
      </c>
      <c r="S51" s="102" t="n">
        <f aca="false">INDEX(Calib!$C$72:$G$72,S$6)*S50</f>
        <v>0.3</v>
      </c>
    </row>
    <row r="52" customFormat="false" ht="15" hidden="false" customHeight="false" outlineLevel="0" collapsed="false">
      <c r="A52" s="54" t="s">
        <v>706</v>
      </c>
      <c r="B52" s="54" t="s">
        <v>75</v>
      </c>
      <c r="C52" s="90" t="n">
        <f aca="false">Tech_Registry!$E$20</f>
        <v>1</v>
      </c>
      <c r="D52" s="90" t="n">
        <f aca="false">Tech_Registry!$E$20</f>
        <v>1</v>
      </c>
      <c r="E52" s="90" t="n">
        <f aca="false">Tech_Registry!$E$20</f>
        <v>1</v>
      </c>
      <c r="F52" s="90" t="n">
        <f aca="false">Tech_Registry!$E$20</f>
        <v>1</v>
      </c>
      <c r="G52" s="90" t="n">
        <f aca="false">Tech_Registry!$E$20</f>
        <v>1</v>
      </c>
      <c r="H52" s="90" t="n">
        <f aca="false">Tech_Registry!$E$20</f>
        <v>1</v>
      </c>
      <c r="I52" s="90" t="n">
        <f aca="false">Tech_Registry!$E$20</f>
        <v>1</v>
      </c>
      <c r="J52" s="90" t="n">
        <f aca="false">Tech_Registry!$E$20</f>
        <v>1</v>
      </c>
      <c r="K52" s="90" t="n">
        <f aca="false">Tech_Registry!$E$20</f>
        <v>1</v>
      </c>
      <c r="L52" s="90" t="n">
        <f aca="false">Tech_Registry!$E$20</f>
        <v>1</v>
      </c>
      <c r="M52" s="90" t="n">
        <f aca="false">Tech_Registry!$E$20</f>
        <v>1</v>
      </c>
      <c r="N52" s="90" t="n">
        <f aca="false">Tech_Registry!$E$20</f>
        <v>1</v>
      </c>
      <c r="O52" s="90" t="n">
        <f aca="false">Tech_Registry!$E$20</f>
        <v>1</v>
      </c>
      <c r="P52" s="90" t="n">
        <f aca="false">Tech_Registry!$E$20</f>
        <v>1</v>
      </c>
      <c r="Q52" s="90" t="n">
        <f aca="false">Tech_Registry!$E$20</f>
        <v>1</v>
      </c>
      <c r="R52" s="90" t="n">
        <f aca="false">Tech_Registry!$E$20</f>
        <v>1</v>
      </c>
      <c r="S52" s="90" t="n">
        <f aca="false">Tech_Registry!$E$20</f>
        <v>1</v>
      </c>
    </row>
    <row r="53" customFormat="false" ht="15" hidden="false" customHeight="false" outlineLevel="0" collapsed="false">
      <c r="A53" s="54" t="s">
        <v>707</v>
      </c>
      <c r="B53" s="54" t="s">
        <v>71</v>
      </c>
      <c r="C53" s="103" t="n">
        <f aca="false">INDEX(Calib!$C$70:$G$70,C$6)*C52*C50</f>
        <v>0.0536325502498254</v>
      </c>
      <c r="D53" s="103" t="n">
        <f aca="false">INDEX(Calib!$C$70:$G$70,D$6)*D52*D50</f>
        <v>0.0536325502498254</v>
      </c>
      <c r="E53" s="103" t="n">
        <f aca="false">INDEX(Calib!$C$70:$G$70,E$6)*E52*E50</f>
        <v>0.0536325502498254</v>
      </c>
      <c r="F53" s="103" t="n">
        <f aca="false">INDEX(Calib!$C$70:$G$70,F$6)*F52*F50</f>
        <v>0.0357550334998836</v>
      </c>
      <c r="G53" s="103" t="n">
        <f aca="false">INDEX(Calib!$C$70:$G$70,G$6)*G52*G50</f>
        <v>0.0357550334998836</v>
      </c>
      <c r="H53" s="103" t="n">
        <f aca="false">INDEX(Calib!$C$70:$G$70,H$6)*H52*H50</f>
        <v>0.0357550334998836</v>
      </c>
      <c r="I53" s="103" t="n">
        <f aca="false">INDEX(Calib!$C$70:$G$70,I$6)*I52*I50</f>
        <v>0.0357550334998836</v>
      </c>
      <c r="J53" s="103" t="n">
        <f aca="false">INDEX(Calib!$C$70:$G$70,J$6)*J52*J50</f>
        <v>0.0357550334998836</v>
      </c>
      <c r="K53" s="103" t="n">
        <f aca="false">INDEX(Calib!$C$70:$G$70,K$6)*K52*K50</f>
        <v>0.0357550334998836</v>
      </c>
      <c r="L53" s="103" t="n">
        <f aca="false">INDEX(Calib!$C$70:$G$70,L$6)*L52*L50</f>
        <v>0.0357550334998836</v>
      </c>
      <c r="M53" s="103" t="n">
        <f aca="false">INDEX(Calib!$C$70:$G$70,M$6)*M52*M50</f>
        <v>0.0357550334998836</v>
      </c>
      <c r="N53" s="103" t="n">
        <f aca="false">INDEX(Calib!$C$70:$G$70,N$6)*N52*N50</f>
        <v>0.0357550334998836</v>
      </c>
      <c r="O53" s="103" t="n">
        <f aca="false">INDEX(Calib!$C$70:$G$70,O$6)*O52*O50</f>
        <v>0.0357550334998836</v>
      </c>
      <c r="P53" s="103" t="n">
        <f aca="false">INDEX(Calib!$C$70:$G$70,P$6)*P52*P50</f>
        <v>0.0357550334998836</v>
      </c>
      <c r="Q53" s="103" t="n">
        <f aca="false">INDEX(Calib!$C$70:$G$70,Q$6)*Q52*Q50</f>
        <v>0.0357550334998836</v>
      </c>
      <c r="R53" s="103" t="n">
        <f aca="false">INDEX(Calib!$C$70:$G$70,R$6)*R52*R50</f>
        <v>0.0357550334998836</v>
      </c>
      <c r="S53" s="103" t="n">
        <f aca="false">INDEX(Calib!$C$70:$G$70,S$6)*S52*S50</f>
        <v>0.0357550334998836</v>
      </c>
    </row>
    <row r="54" customFormat="false" ht="15" hidden="false" customHeight="false" outlineLevel="0" collapsed="false">
      <c r="A54" s="53" t="s">
        <v>708</v>
      </c>
      <c r="B54" s="54" t="s">
        <v>75</v>
      </c>
      <c r="C54" s="90" t="n">
        <f aca="false">Tech_Registry!$E$21</f>
        <v>1</v>
      </c>
      <c r="D54" s="90" t="n">
        <f aca="false">Tech_Registry!$E$21</f>
        <v>1</v>
      </c>
      <c r="E54" s="90" t="n">
        <f aca="false">Tech_Registry!$E$21</f>
        <v>1</v>
      </c>
      <c r="F54" s="90" t="n">
        <f aca="false">Tech_Registry!$E$21</f>
        <v>1</v>
      </c>
      <c r="G54" s="90" t="n">
        <f aca="false">Tech_Registry!$E$21</f>
        <v>1</v>
      </c>
      <c r="H54" s="90" t="n">
        <f aca="false">Tech_Registry!$E$21</f>
        <v>1</v>
      </c>
      <c r="I54" s="90" t="n">
        <f aca="false">Tech_Registry!$E$21</f>
        <v>1</v>
      </c>
      <c r="J54" s="90" t="n">
        <f aca="false">Tech_Registry!$E$21</f>
        <v>1</v>
      </c>
      <c r="K54" s="90" t="n">
        <f aca="false">Tech_Registry!$E$21</f>
        <v>1</v>
      </c>
      <c r="L54" s="90" t="n">
        <f aca="false">Tech_Registry!$E$21</f>
        <v>1</v>
      </c>
      <c r="M54" s="90" t="n">
        <f aca="false">Tech_Registry!$E$21</f>
        <v>1</v>
      </c>
      <c r="N54" s="90" t="n">
        <f aca="false">Tech_Registry!$E$21</f>
        <v>1</v>
      </c>
      <c r="O54" s="90" t="n">
        <f aca="false">Tech_Registry!$E$21</f>
        <v>1</v>
      </c>
      <c r="P54" s="90" t="n">
        <f aca="false">Tech_Registry!$E$21</f>
        <v>1</v>
      </c>
      <c r="Q54" s="90" t="n">
        <f aca="false">Tech_Registry!$E$21</f>
        <v>1</v>
      </c>
      <c r="R54" s="90" t="n">
        <f aca="false">Tech_Registry!$E$21</f>
        <v>1</v>
      </c>
      <c r="S54" s="90" t="n">
        <f aca="false">Tech_Registry!$E$21</f>
        <v>1</v>
      </c>
    </row>
    <row r="55" customFormat="false" ht="15" hidden="false" customHeight="false" outlineLevel="0" collapsed="false">
      <c r="A55" s="53" t="s">
        <v>709</v>
      </c>
      <c r="B55" s="54" t="s">
        <v>469</v>
      </c>
      <c r="C55" s="55" t="n">
        <f aca="false">INDEX(Calib!$C$71:$G$71,C$6)*C54/C50</f>
        <v>241.778007200547</v>
      </c>
      <c r="D55" s="55" t="n">
        <f aca="false">INDEX(Calib!$C$71:$G$71,D$6)*D54/D50</f>
        <v>241.778007200547</v>
      </c>
      <c r="E55" s="55" t="n">
        <f aca="false">INDEX(Calib!$C$71:$G$71,E$6)*E54/E50</f>
        <v>241.778007200547</v>
      </c>
      <c r="F55" s="55" t="n">
        <f aca="false">INDEX(Calib!$C$71:$G$71,F$6)*F54/F50</f>
        <v>161.185338133698</v>
      </c>
      <c r="G55" s="55" t="n">
        <f aca="false">INDEX(Calib!$C$71:$G$71,G$6)*G54/G50</f>
        <v>161.185338133698</v>
      </c>
      <c r="H55" s="55" t="n">
        <f aca="false">INDEX(Calib!$C$71:$G$71,H$6)*H54/H50</f>
        <v>161.185338133698</v>
      </c>
      <c r="I55" s="55" t="n">
        <f aca="false">INDEX(Calib!$C$71:$G$71,I$6)*I54/I50</f>
        <v>161.185338133698</v>
      </c>
      <c r="J55" s="55" t="n">
        <f aca="false">INDEX(Calib!$C$71:$G$71,J$6)*J54/J50</f>
        <v>161.185338133698</v>
      </c>
      <c r="K55" s="55" t="n">
        <f aca="false">INDEX(Calib!$C$71:$G$71,K$6)*K54/K50</f>
        <v>161.185338133698</v>
      </c>
      <c r="L55" s="55" t="n">
        <f aca="false">INDEX(Calib!$C$71:$G$71,L$6)*L54/L50</f>
        <v>161.185338133698</v>
      </c>
      <c r="M55" s="55" t="n">
        <f aca="false">INDEX(Calib!$C$71:$G$71,M$6)*M54/M50</f>
        <v>161.185338133698</v>
      </c>
      <c r="N55" s="55" t="n">
        <f aca="false">INDEX(Calib!$C$71:$G$71,N$6)*N54/N50</f>
        <v>161.185338133698</v>
      </c>
      <c r="O55" s="55" t="n">
        <f aca="false">INDEX(Calib!$C$71:$G$71,O$6)*O54/O50</f>
        <v>161.185338133698</v>
      </c>
      <c r="P55" s="55" t="n">
        <f aca="false">INDEX(Calib!$C$71:$G$71,P$6)*P54/P50</f>
        <v>161.185338133698</v>
      </c>
      <c r="Q55" s="55" t="n">
        <f aca="false">INDEX(Calib!$C$71:$G$71,Q$6)*Q54/Q50</f>
        <v>161.185338133698</v>
      </c>
      <c r="R55" s="55" t="n">
        <f aca="false">INDEX(Calib!$C$71:$G$71,R$6)*R54/R50</f>
        <v>161.185338133698</v>
      </c>
      <c r="S55" s="55" t="n">
        <f aca="false">INDEX(Calib!$C$71:$G$71,S$6)*S54/S50</f>
        <v>161.185338133698</v>
      </c>
    </row>
    <row r="56" customFormat="false" ht="15" hidden="false" customHeight="false" outlineLevel="0" collapsed="false">
      <c r="A56" s="54" t="s">
        <v>710</v>
      </c>
      <c r="B56" s="54" t="s">
        <v>71</v>
      </c>
      <c r="C56" s="57" t="n">
        <f aca="false">Serving!$C$9</f>
        <v>0.1</v>
      </c>
      <c r="D56" s="57" t="n">
        <f aca="false">Serving!$C$9</f>
        <v>0.1</v>
      </c>
      <c r="E56" s="57" t="n">
        <f aca="false">Serving!$C$9</f>
        <v>0.1</v>
      </c>
      <c r="F56" s="57" t="n">
        <f aca="false">Serving!$C$9</f>
        <v>0.1</v>
      </c>
      <c r="G56" s="57" t="n">
        <f aca="false">Serving!$C$9</f>
        <v>0.1</v>
      </c>
      <c r="H56" s="57" t="n">
        <f aca="false">Serving!$C$9</f>
        <v>0.1</v>
      </c>
      <c r="I56" s="57" t="n">
        <f aca="false">Serving!$C$9</f>
        <v>0.1</v>
      </c>
      <c r="J56" s="57" t="n">
        <f aca="false">Serving!$C$9</f>
        <v>0.1</v>
      </c>
      <c r="K56" s="57" t="n">
        <f aca="false">Serving!$C$9</f>
        <v>0.1</v>
      </c>
      <c r="L56" s="57" t="n">
        <f aca="false">Serving!$C$9</f>
        <v>0.1</v>
      </c>
      <c r="M56" s="57" t="n">
        <f aca="false">Serving!$C$9</f>
        <v>0.1</v>
      </c>
      <c r="N56" s="57" t="n">
        <f aca="false">Serving!$C$9</f>
        <v>0.1</v>
      </c>
      <c r="O56" s="57" t="n">
        <f aca="false">Serving!$C$9</f>
        <v>0.1</v>
      </c>
      <c r="P56" s="57" t="n">
        <f aca="false">Serving!$C$9</f>
        <v>0.1</v>
      </c>
      <c r="Q56" s="57" t="n">
        <f aca="false">Serving!$C$9</f>
        <v>0.1</v>
      </c>
      <c r="R56" s="57" t="n">
        <f aca="false">Serving!$C$9</f>
        <v>0.1</v>
      </c>
      <c r="S56" s="57" t="n">
        <f aca="false">Serving!$C$9</f>
        <v>0.1</v>
      </c>
    </row>
    <row r="57" customFormat="false" ht="15" hidden="false" customHeight="false" outlineLevel="0" collapsed="false">
      <c r="A57" s="53" t="s">
        <v>711</v>
      </c>
      <c r="B57" s="54" t="s">
        <v>71</v>
      </c>
      <c r="C57" s="57" t="n">
        <f aca="false">Serving!$C$10</f>
        <v>0.2</v>
      </c>
      <c r="D57" s="57" t="n">
        <f aca="false">Serving!$C$10</f>
        <v>0.2</v>
      </c>
      <c r="E57" s="57" t="n">
        <f aca="false">Serving!$C$10</f>
        <v>0.2</v>
      </c>
      <c r="F57" s="57" t="n">
        <f aca="false">Serving!$C$10</f>
        <v>0.2</v>
      </c>
      <c r="G57" s="57" t="n">
        <f aca="false">Serving!$C$10</f>
        <v>0.2</v>
      </c>
      <c r="H57" s="57" t="n">
        <f aca="false">Serving!$C$10</f>
        <v>0.2</v>
      </c>
      <c r="I57" s="57" t="n">
        <f aca="false">Serving!$C$10</f>
        <v>0.2</v>
      </c>
      <c r="J57" s="57" t="n">
        <f aca="false">Serving!$C$10</f>
        <v>0.2</v>
      </c>
      <c r="K57" s="57" t="n">
        <f aca="false">Serving!$C$10</f>
        <v>0.2</v>
      </c>
      <c r="L57" s="57" t="n">
        <f aca="false">Serving!$C$10</f>
        <v>0.2</v>
      </c>
      <c r="M57" s="57" t="n">
        <f aca="false">Serving!$C$10</f>
        <v>0.2</v>
      </c>
      <c r="N57" s="57" t="n">
        <f aca="false">Serving!$C$10</f>
        <v>0.2</v>
      </c>
      <c r="O57" s="57" t="n">
        <f aca="false">Serving!$C$10</f>
        <v>0.2</v>
      </c>
      <c r="P57" s="57" t="n">
        <f aca="false">Serving!$C$10</f>
        <v>0.2</v>
      </c>
      <c r="Q57" s="57" t="n">
        <f aca="false">Serving!$C$10</f>
        <v>0.2</v>
      </c>
      <c r="R57" s="57" t="n">
        <f aca="false">Serving!$C$10</f>
        <v>0.2</v>
      </c>
      <c r="S57" s="57" t="n">
        <f aca="false">Serving!$C$10</f>
        <v>0.2</v>
      </c>
    </row>
    <row r="58" customFormat="false" ht="15" hidden="false" customHeight="false" outlineLevel="0" collapsed="false">
      <c r="A58" s="53" t="s">
        <v>712</v>
      </c>
      <c r="B58" s="54" t="s">
        <v>71</v>
      </c>
      <c r="C58" s="57" t="n">
        <f aca="false">Serving!$C$11</f>
        <v>0.4</v>
      </c>
      <c r="D58" s="57" t="n">
        <f aca="false">Serving!$C$11</f>
        <v>0.4</v>
      </c>
      <c r="E58" s="57" t="n">
        <f aca="false">Serving!$C$11</f>
        <v>0.4</v>
      </c>
      <c r="F58" s="57" t="n">
        <f aca="false">Serving!$C$11</f>
        <v>0.4</v>
      </c>
      <c r="G58" s="57" t="n">
        <f aca="false">Serving!$C$11</f>
        <v>0.4</v>
      </c>
      <c r="H58" s="57" t="n">
        <f aca="false">Serving!$C$11</f>
        <v>0.4</v>
      </c>
      <c r="I58" s="57" t="n">
        <f aca="false">Serving!$C$11</f>
        <v>0.4</v>
      </c>
      <c r="J58" s="57" t="n">
        <f aca="false">Serving!$C$11</f>
        <v>0.4</v>
      </c>
      <c r="K58" s="57" t="n">
        <f aca="false">Serving!$C$11</f>
        <v>0.4</v>
      </c>
      <c r="L58" s="57" t="n">
        <f aca="false">Serving!$C$11</f>
        <v>0.4</v>
      </c>
      <c r="M58" s="57" t="n">
        <f aca="false">Serving!$C$11</f>
        <v>0.4</v>
      </c>
      <c r="N58" s="57" t="n">
        <f aca="false">Serving!$C$11</f>
        <v>0.4</v>
      </c>
      <c r="O58" s="57" t="n">
        <f aca="false">Serving!$C$11</f>
        <v>0.4</v>
      </c>
      <c r="P58" s="57" t="n">
        <f aca="false">Serving!$C$11</f>
        <v>0.4</v>
      </c>
      <c r="Q58" s="57" t="n">
        <f aca="false">Serving!$C$11</f>
        <v>0.4</v>
      </c>
      <c r="R58" s="57" t="n">
        <f aca="false">Serving!$C$11</f>
        <v>0.4</v>
      </c>
      <c r="S58" s="57" t="n">
        <f aca="false">Serving!$C$11</f>
        <v>0.4</v>
      </c>
    </row>
    <row r="59" customFormat="false" ht="15" hidden="false" customHeight="false" outlineLevel="0" collapsed="false">
      <c r="A59" s="54" t="s">
        <v>713</v>
      </c>
      <c r="B59" s="54" t="s">
        <v>228</v>
      </c>
      <c r="C59" s="101" t="n">
        <f aca="false">Serving!$C$12</f>
        <v>3</v>
      </c>
      <c r="D59" s="101" t="n">
        <f aca="false">Serving!$C$12</f>
        <v>3</v>
      </c>
      <c r="E59" s="101" t="n">
        <f aca="false">Serving!$C$12</f>
        <v>3</v>
      </c>
      <c r="F59" s="101" t="n">
        <f aca="false">Serving!$C$12</f>
        <v>3</v>
      </c>
      <c r="G59" s="101" t="n">
        <f aca="false">Serving!$C$12</f>
        <v>3</v>
      </c>
      <c r="H59" s="101" t="n">
        <f aca="false">Serving!$C$12</f>
        <v>3</v>
      </c>
      <c r="I59" s="101" t="n">
        <f aca="false">Serving!$C$12</f>
        <v>3</v>
      </c>
      <c r="J59" s="101" t="n">
        <f aca="false">Serving!$C$12</f>
        <v>3</v>
      </c>
      <c r="K59" s="101" t="n">
        <f aca="false">Serving!$C$12</f>
        <v>3</v>
      </c>
      <c r="L59" s="101" t="n">
        <f aca="false">Serving!$C$12</f>
        <v>3</v>
      </c>
      <c r="M59" s="101" t="n">
        <f aca="false">Serving!$C$12</f>
        <v>3</v>
      </c>
      <c r="N59" s="101" t="n">
        <f aca="false">Serving!$C$12</f>
        <v>3</v>
      </c>
      <c r="O59" s="101" t="n">
        <f aca="false">Serving!$C$12</f>
        <v>3</v>
      </c>
      <c r="P59" s="101" t="n">
        <f aca="false">Serving!$C$12</f>
        <v>3</v>
      </c>
      <c r="Q59" s="101" t="n">
        <f aca="false">Serving!$C$12</f>
        <v>3</v>
      </c>
      <c r="R59" s="101" t="n">
        <f aca="false">Serving!$C$12</f>
        <v>3</v>
      </c>
      <c r="S59" s="101" t="n">
        <f aca="false">Serving!$C$12</f>
        <v>3</v>
      </c>
    </row>
    <row r="60" customFormat="false" ht="15" hidden="false" customHeight="false" outlineLevel="0" collapsed="false">
      <c r="A60" s="54" t="s">
        <v>714</v>
      </c>
      <c r="B60" s="54" t="s">
        <v>71</v>
      </c>
      <c r="C60" s="57" t="n">
        <f aca="false">Serving!$C$13</f>
        <v>0.7</v>
      </c>
      <c r="D60" s="57" t="n">
        <f aca="false">Serving!$C$13</f>
        <v>0.7</v>
      </c>
      <c r="E60" s="57" t="n">
        <f aca="false">Serving!$C$13</f>
        <v>0.7</v>
      </c>
      <c r="F60" s="57" t="n">
        <f aca="false">Serving!$C$13</f>
        <v>0.7</v>
      </c>
      <c r="G60" s="57" t="n">
        <f aca="false">Serving!$C$13</f>
        <v>0.7</v>
      </c>
      <c r="H60" s="57" t="n">
        <f aca="false">Serving!$C$13</f>
        <v>0.7</v>
      </c>
      <c r="I60" s="57" t="n">
        <f aca="false">Serving!$C$13</f>
        <v>0.7</v>
      </c>
      <c r="J60" s="57" t="n">
        <f aca="false">Serving!$C$13</f>
        <v>0.7</v>
      </c>
      <c r="K60" s="57" t="n">
        <f aca="false">Serving!$C$13</f>
        <v>0.7</v>
      </c>
      <c r="L60" s="57" t="n">
        <f aca="false">Serving!$C$13</f>
        <v>0.7</v>
      </c>
      <c r="M60" s="57" t="n">
        <f aca="false">Serving!$C$13</f>
        <v>0.7</v>
      </c>
      <c r="N60" s="57" t="n">
        <f aca="false">Serving!$C$13</f>
        <v>0.7</v>
      </c>
      <c r="O60" s="57" t="n">
        <f aca="false">Serving!$C$13</f>
        <v>0.7</v>
      </c>
      <c r="P60" s="57" t="n">
        <f aca="false">Serving!$C$13</f>
        <v>0.7</v>
      </c>
      <c r="Q60" s="57" t="n">
        <f aca="false">Serving!$C$13</f>
        <v>0.7</v>
      </c>
      <c r="R60" s="57" t="n">
        <f aca="false">Serving!$C$13</f>
        <v>0.7</v>
      </c>
      <c r="S60" s="57" t="n">
        <f aca="false">Serving!$C$13</f>
        <v>0.7</v>
      </c>
    </row>
    <row r="61" customFormat="false" ht="15" hidden="false" customHeight="false" outlineLevel="0" collapsed="false">
      <c r="A61" s="54" t="s">
        <v>715</v>
      </c>
      <c r="B61" s="54" t="s">
        <v>71</v>
      </c>
      <c r="C61" s="57" t="n">
        <f aca="false">Serving!$C$14</f>
        <v>0.7</v>
      </c>
      <c r="D61" s="57" t="n">
        <f aca="false">Serving!$C$14</f>
        <v>0.7</v>
      </c>
      <c r="E61" s="57" t="n">
        <f aca="false">Serving!$C$14</f>
        <v>0.7</v>
      </c>
      <c r="F61" s="57" t="n">
        <f aca="false">Serving!$C$14</f>
        <v>0.7</v>
      </c>
      <c r="G61" s="57" t="n">
        <f aca="false">Serving!$C$14</f>
        <v>0.7</v>
      </c>
      <c r="H61" s="57" t="n">
        <f aca="false">Serving!$C$14</f>
        <v>0.7</v>
      </c>
      <c r="I61" s="57" t="n">
        <f aca="false">Serving!$C$14</f>
        <v>0.7</v>
      </c>
      <c r="J61" s="57" t="n">
        <f aca="false">Serving!$C$14</f>
        <v>0.7</v>
      </c>
      <c r="K61" s="57" t="n">
        <f aca="false">Serving!$C$14</f>
        <v>0.7</v>
      </c>
      <c r="L61" s="57" t="n">
        <f aca="false">Serving!$C$14</f>
        <v>0.7</v>
      </c>
      <c r="M61" s="57" t="n">
        <f aca="false">Serving!$C$14</f>
        <v>0.7</v>
      </c>
      <c r="N61" s="57" t="n">
        <f aca="false">Serving!$C$14</f>
        <v>0.7</v>
      </c>
      <c r="O61" s="57" t="n">
        <f aca="false">Serving!$C$14</f>
        <v>0.7</v>
      </c>
      <c r="P61" s="57" t="n">
        <f aca="false">Serving!$C$14</f>
        <v>0.7</v>
      </c>
      <c r="Q61" s="57" t="n">
        <f aca="false">Serving!$C$14</f>
        <v>0.7</v>
      </c>
      <c r="R61" s="57" t="n">
        <f aca="false">Serving!$C$14</f>
        <v>0.7</v>
      </c>
      <c r="S61" s="57" t="n">
        <f aca="false">Serving!$C$14</f>
        <v>0.7</v>
      </c>
    </row>
    <row r="62" customFormat="false" ht="15" hidden="false" customHeight="false" outlineLevel="0" collapsed="false">
      <c r="A62" s="53" t="s">
        <v>716</v>
      </c>
      <c r="B62" s="54" t="s">
        <v>434</v>
      </c>
      <c r="C62" s="90" t="n">
        <f aca="false">Serving!$C$15</f>
        <v>0.1</v>
      </c>
      <c r="D62" s="90" t="n">
        <f aca="false">Serving!$C$15</f>
        <v>0.1</v>
      </c>
      <c r="E62" s="90" t="n">
        <f aca="false">Serving!$C$15</f>
        <v>0.1</v>
      </c>
      <c r="F62" s="90" t="n">
        <f aca="false">Serving!$C$15</f>
        <v>0.1</v>
      </c>
      <c r="G62" s="90" t="n">
        <f aca="false">Serving!$C$15</f>
        <v>0.1</v>
      </c>
      <c r="H62" s="90" t="n">
        <f aca="false">Serving!$C$15</f>
        <v>0.1</v>
      </c>
      <c r="I62" s="90" t="n">
        <f aca="false">Serving!$C$15</f>
        <v>0.1</v>
      </c>
      <c r="J62" s="90" t="n">
        <f aca="false">Serving!$C$15</f>
        <v>0.1</v>
      </c>
      <c r="K62" s="90" t="n">
        <f aca="false">Serving!$C$15</f>
        <v>0.1</v>
      </c>
      <c r="L62" s="90" t="n">
        <f aca="false">Serving!$C$15</f>
        <v>0.1</v>
      </c>
      <c r="M62" s="90" t="n">
        <f aca="false">Serving!$C$15</f>
        <v>0.1</v>
      </c>
      <c r="N62" s="90" t="n">
        <f aca="false">Serving!$C$15</f>
        <v>0.1</v>
      </c>
      <c r="O62" s="90" t="n">
        <f aca="false">Serving!$C$15</f>
        <v>0.1</v>
      </c>
      <c r="P62" s="90" t="n">
        <f aca="false">Serving!$C$15</f>
        <v>0.1</v>
      </c>
      <c r="Q62" s="90" t="n">
        <f aca="false">Serving!$C$15</f>
        <v>0.1</v>
      </c>
      <c r="R62" s="90" t="n">
        <f aca="false">Serving!$C$15</f>
        <v>0.1</v>
      </c>
      <c r="S62" s="90" t="n">
        <f aca="false">Serving!$C$15</f>
        <v>0.1</v>
      </c>
    </row>
    <row r="63" customFormat="false" ht="15" hidden="false" customHeight="false" outlineLevel="0" collapsed="false">
      <c r="A63" s="68" t="s">
        <v>717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</row>
    <row r="64" customFormat="false" ht="15" hidden="false" customHeight="false" outlineLevel="0" collapsed="false">
      <c r="A64" s="54" t="s">
        <v>718</v>
      </c>
      <c r="B64" s="54" t="s">
        <v>249</v>
      </c>
      <c r="C64" s="60" t="n">
        <f aca="false">C36*IF(C37=0,C45,MIN(C45,C37))+(1-C36)*(C45/C38+C39)</f>
        <v>2256.384</v>
      </c>
      <c r="D64" s="60" t="n">
        <f aca="false">D36*IF(D37=0,D45,MIN(D45,D37))+(1-D36)*(D45/D38+D39)</f>
        <v>2208.256</v>
      </c>
      <c r="E64" s="60" t="n">
        <f aca="false">E36*IF(E37=0,E45,MIN(E45,E37))+(1-E36)*(E45/E38+E39)</f>
        <v>32768</v>
      </c>
      <c r="F64" s="60" t="n">
        <f aca="false">F36*IF(F37=0,F45,MIN(F45,F37))+(1-F36)*(F45/F38+F39)</f>
        <v>2256.384</v>
      </c>
      <c r="G64" s="60" t="n">
        <f aca="false">G36*IF(G37=0,G45,MIN(G45,G37))+(1-G36)*(G45/G38+G39)</f>
        <v>2208.256</v>
      </c>
      <c r="H64" s="60" t="n">
        <f aca="false">H36*IF(H37=0,H45,MIN(H45,H37))+(1-H36)*(H45/H38+H39)</f>
        <v>32768</v>
      </c>
      <c r="I64" s="60" t="n">
        <f aca="false">I36*IF(I37=0,I45,MIN(I45,I37))+(1-I36)*(I45/I38+I39)</f>
        <v>2256.384</v>
      </c>
      <c r="J64" s="60" t="n">
        <f aca="false">J36*IF(J37=0,J45,MIN(J45,J37))+(1-J36)*(J45/J38+J39)</f>
        <v>2208.256</v>
      </c>
      <c r="K64" s="60" t="n">
        <f aca="false">K36*IF(K37=0,K45,MIN(K45,K37))+(1-K36)*(K45/K38+K39)</f>
        <v>32768</v>
      </c>
      <c r="L64" s="60" t="n">
        <f aca="false">L36*IF(L37=0,L45,MIN(L45,L37))+(1-L36)*(L45/L38+L39)</f>
        <v>2256.384</v>
      </c>
      <c r="M64" s="60" t="n">
        <f aca="false">M36*IF(M37=0,M45,MIN(M45,M37))+(1-M36)*(M45/M38+M39)</f>
        <v>2208.256</v>
      </c>
      <c r="N64" s="60" t="n">
        <f aca="false">N36*IF(N37=0,N45,MIN(N45,N37))+(1-N36)*(N45/N38+N39)</f>
        <v>32768</v>
      </c>
      <c r="O64" s="60" t="n">
        <f aca="false">O36*IF(O37=0,O45,MIN(O45,O37))+(1-O36)*(O45/O38+O39)</f>
        <v>2256.384</v>
      </c>
      <c r="P64" s="60" t="n">
        <f aca="false">P36*IF(P37=0,P45,MIN(P45,P37))+(1-P36)*(P45/P38+P39)</f>
        <v>2208.256</v>
      </c>
      <c r="Q64" s="60" t="n">
        <f aca="false">Q36*IF(Q37=0,Q45,MIN(Q45,Q37))+(1-Q36)*(Q45/Q38+Q39)</f>
        <v>32768</v>
      </c>
      <c r="R64" s="60" t="n">
        <f aca="false">R36*IF(R37=0,R45,MIN(R45,R37))+(1-R36)*(R45/R38+R39)</f>
        <v>2208.256</v>
      </c>
      <c r="S64" s="60" t="n">
        <f aca="false">S36*IF(S37=0,S45,MIN(S45,S37))+(1-S36)*(S45/S38+S39)</f>
        <v>32768</v>
      </c>
    </row>
    <row r="65" customFormat="false" ht="15" hidden="false" customHeight="false" outlineLevel="0" collapsed="false">
      <c r="A65" s="54" t="s">
        <v>447</v>
      </c>
      <c r="B65" s="54" t="s">
        <v>448</v>
      </c>
      <c r="C65" s="67" t="n">
        <f aca="false">(2*C28*1000000000+C35*C64)*C10/1000000000</f>
        <v>38.717196836864</v>
      </c>
      <c r="D65" s="67" t="n">
        <f aca="false">(2*D28*1000000000+D35*D64)*D10/1000000000</f>
        <v>133.311744712704</v>
      </c>
      <c r="E65" s="67" t="n">
        <f aca="false">(2*E28*1000000000+E35*E64)*E10/1000000000</f>
        <v>521.0612736</v>
      </c>
      <c r="F65" s="67" t="n">
        <f aca="false">(2*F28*1000000000+F35*F64)*F10/1000000000</f>
        <v>38.717196836864</v>
      </c>
      <c r="G65" s="67" t="n">
        <f aca="false">(2*G28*1000000000+G35*G64)*G10/1000000000</f>
        <v>133.311744712704</v>
      </c>
      <c r="H65" s="67" t="n">
        <f aca="false">(2*H28*1000000000+H35*H64)*H10/1000000000</f>
        <v>521.0612736</v>
      </c>
      <c r="I65" s="67" t="n">
        <f aca="false">(2*I28*1000000000+I35*I64)*I10/1000000000</f>
        <v>38.717196836864</v>
      </c>
      <c r="J65" s="67" t="n">
        <f aca="false">(2*J28*1000000000+J35*J64)*J10/1000000000</f>
        <v>133.311744712704</v>
      </c>
      <c r="K65" s="67" t="n">
        <f aca="false">(2*K28*1000000000+K35*K64)*K10/1000000000</f>
        <v>521.0612736</v>
      </c>
      <c r="L65" s="67" t="n">
        <f aca="false">(2*L28*1000000000+L35*L64)*L10/1000000000</f>
        <v>38.717196836864</v>
      </c>
      <c r="M65" s="67" t="n">
        <f aca="false">(2*M28*1000000000+M35*M64)*M10/1000000000</f>
        <v>133.311744712704</v>
      </c>
      <c r="N65" s="67" t="n">
        <f aca="false">(2*N28*1000000000+N35*N64)*N10/1000000000</f>
        <v>521.0612736</v>
      </c>
      <c r="O65" s="67" t="n">
        <f aca="false">(2*O28*1000000000+O35*O64)*O10/1000000000</f>
        <v>38.717196836864</v>
      </c>
      <c r="P65" s="67" t="n">
        <f aca="false">(2*P28*1000000000+P35*P64)*P10/1000000000</f>
        <v>133.311744712704</v>
      </c>
      <c r="Q65" s="67" t="n">
        <f aca="false">(2*Q28*1000000000+Q35*Q64)*Q10/1000000000</f>
        <v>521.0612736</v>
      </c>
      <c r="R65" s="67" t="n">
        <f aca="false">(2*R28*1000000000+R35*R64)*R10/1000000000</f>
        <v>133.311744712704</v>
      </c>
      <c r="S65" s="67" t="n">
        <f aca="false">(2*S28*1000000000+S35*S64)*S10/1000000000</f>
        <v>521.0612736</v>
      </c>
    </row>
    <row r="66" customFormat="false" ht="15" hidden="false" customHeight="false" outlineLevel="0" collapsed="false">
      <c r="A66" s="54" t="s">
        <v>719</v>
      </c>
      <c r="B66" s="54" t="s">
        <v>249</v>
      </c>
      <c r="C66" s="60" t="n">
        <f aca="false">C36*IF(C37=0,C46,MIN(C46,C37))+(1-C36)*(C46/C38+C39)</f>
        <v>1118.848</v>
      </c>
      <c r="D66" s="60" t="n">
        <f aca="false">D36*IF(D37=0,D46,MIN(D46,D37))+(1-D36)*(D46/D38+D39)</f>
        <v>2096.512</v>
      </c>
      <c r="E66" s="60" t="n">
        <f aca="false">E36*IF(E37=0,E46,MIN(E46,E37))+(1-E36)*(E46/E38+E39)</f>
        <v>8192</v>
      </c>
      <c r="F66" s="60" t="n">
        <f aca="false">F36*IF(F37=0,F46,MIN(F46,F37))+(1-F36)*(F46/F38+F39)</f>
        <v>1118.848</v>
      </c>
      <c r="G66" s="60" t="n">
        <f aca="false">G36*IF(G37=0,G46,MIN(G46,G37))+(1-G36)*(G46/G38+G39)</f>
        <v>2096.512</v>
      </c>
      <c r="H66" s="60" t="n">
        <f aca="false">H36*IF(H37=0,H46,MIN(H46,H37))+(1-H36)*(H46/H38+H39)</f>
        <v>8192</v>
      </c>
      <c r="I66" s="60" t="n">
        <f aca="false">I36*IF(I37=0,I46,MIN(I46,I37))+(1-I36)*(I46/I38+I39)</f>
        <v>1118.848</v>
      </c>
      <c r="J66" s="60" t="n">
        <f aca="false">J36*IF(J37=0,J46,MIN(J46,J37))+(1-J36)*(J46/J38+J39)</f>
        <v>2096.512</v>
      </c>
      <c r="K66" s="60" t="n">
        <f aca="false">K36*IF(K37=0,K46,MIN(K46,K37))+(1-K36)*(K46/K38+K39)</f>
        <v>8192</v>
      </c>
      <c r="L66" s="60" t="n">
        <f aca="false">L36*IF(L37=0,L46,MIN(L46,L37))+(1-L36)*(L46/L38+L39)</f>
        <v>1118.848</v>
      </c>
      <c r="M66" s="60" t="n">
        <f aca="false">M36*IF(M37=0,M46,MIN(M46,M37))+(1-M36)*(M46/M38+M39)</f>
        <v>2096.512</v>
      </c>
      <c r="N66" s="60" t="n">
        <f aca="false">N36*IF(N37=0,N46,MIN(N46,N37))+(1-N36)*(N46/N38+N39)</f>
        <v>8192</v>
      </c>
      <c r="O66" s="60" t="n">
        <f aca="false">O36*IF(O37=0,O46,MIN(O46,O37))+(1-O36)*(O46/O38+O39)</f>
        <v>1118.848</v>
      </c>
      <c r="P66" s="60" t="n">
        <f aca="false">P36*IF(P37=0,P46,MIN(P46,P37))+(1-P36)*(P46/P38+P39)</f>
        <v>2096.512</v>
      </c>
      <c r="Q66" s="60" t="n">
        <f aca="false">Q36*IF(Q37=0,Q46,MIN(Q46,Q37))+(1-Q36)*(Q46/Q38+Q39)</f>
        <v>8192</v>
      </c>
      <c r="R66" s="60" t="n">
        <f aca="false">R36*IF(R37=0,R46,MIN(R46,R37))+(1-R36)*(R46/R38+R39)</f>
        <v>2096.512</v>
      </c>
      <c r="S66" s="60" t="n">
        <f aca="false">S36*IF(S37=0,S46,MIN(S46,S37))+(1-S36)*(S46/S38+S39)</f>
        <v>8192</v>
      </c>
    </row>
    <row r="67" customFormat="false" ht="15" hidden="false" customHeight="false" outlineLevel="0" collapsed="false">
      <c r="A67" s="54" t="s">
        <v>450</v>
      </c>
      <c r="B67" s="54" t="s">
        <v>448</v>
      </c>
      <c r="C67" s="67" t="n">
        <f aca="false">(2*C28*1000000000+C35*C66)*C10/1000000000</f>
        <v>32.305934737408</v>
      </c>
      <c r="D67" s="67" t="n">
        <f aca="false">(2*D28*1000000000+D35*D66)*D10/1000000000</f>
        <v>131.524870545408</v>
      </c>
      <c r="E67" s="67" t="n">
        <f aca="false">(2*E28*1000000000+E35*E66)*E10/1000000000</f>
        <v>400.2653184</v>
      </c>
      <c r="F67" s="67" t="n">
        <f aca="false">(2*F28*1000000000+F35*F66)*F10/1000000000</f>
        <v>32.305934737408</v>
      </c>
      <c r="G67" s="67" t="n">
        <f aca="false">(2*G28*1000000000+G35*G66)*G10/1000000000</f>
        <v>131.524870545408</v>
      </c>
      <c r="H67" s="67" t="n">
        <f aca="false">(2*H28*1000000000+H35*H66)*H10/1000000000</f>
        <v>400.2653184</v>
      </c>
      <c r="I67" s="67" t="n">
        <f aca="false">(2*I28*1000000000+I35*I66)*I10/1000000000</f>
        <v>32.305934737408</v>
      </c>
      <c r="J67" s="67" t="n">
        <f aca="false">(2*J28*1000000000+J35*J66)*J10/1000000000</f>
        <v>131.524870545408</v>
      </c>
      <c r="K67" s="67" t="n">
        <f aca="false">(2*K28*1000000000+K35*K66)*K10/1000000000</f>
        <v>400.2653184</v>
      </c>
      <c r="L67" s="67" t="n">
        <f aca="false">(2*L28*1000000000+L35*L66)*L10/1000000000</f>
        <v>32.305934737408</v>
      </c>
      <c r="M67" s="67" t="n">
        <f aca="false">(2*M28*1000000000+M35*M66)*M10/1000000000</f>
        <v>131.524870545408</v>
      </c>
      <c r="N67" s="67" t="n">
        <f aca="false">(2*N28*1000000000+N35*N66)*N10/1000000000</f>
        <v>400.2653184</v>
      </c>
      <c r="O67" s="67" t="n">
        <f aca="false">(2*O28*1000000000+O35*O66)*O10/1000000000</f>
        <v>32.305934737408</v>
      </c>
      <c r="P67" s="67" t="n">
        <f aca="false">(2*P28*1000000000+P35*P66)*P10/1000000000</f>
        <v>131.524870545408</v>
      </c>
      <c r="Q67" s="67" t="n">
        <f aca="false">(2*Q28*1000000000+Q35*Q66)*Q10/1000000000</f>
        <v>400.2653184</v>
      </c>
      <c r="R67" s="67" t="n">
        <f aca="false">(2*R28*1000000000+R35*R66)*R10/1000000000</f>
        <v>131.524870545408</v>
      </c>
      <c r="S67" s="67" t="n">
        <f aca="false">(2*S28*1000000000+S35*S66)*S10/1000000000</f>
        <v>400.2653184</v>
      </c>
    </row>
    <row r="68" customFormat="false" ht="15" hidden="false" customHeight="false" outlineLevel="0" collapsed="false">
      <c r="A68" s="68" t="s">
        <v>720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</row>
    <row r="69" customFormat="false" ht="15" hidden="false" customHeight="false" outlineLevel="0" collapsed="false">
      <c r="A69" s="53" t="s">
        <v>451</v>
      </c>
      <c r="B69" s="54" t="s">
        <v>274</v>
      </c>
      <c r="C69" s="60" t="n">
        <f aca="false">C15*(1-C56)</f>
        <v>72</v>
      </c>
      <c r="D69" s="60" t="n">
        <f aca="false">D15*(1-D56)</f>
        <v>72</v>
      </c>
      <c r="E69" s="60" t="n">
        <f aca="false">E15*(1-E56)</f>
        <v>72</v>
      </c>
      <c r="F69" s="60" t="n">
        <f aca="false">F15*(1-F56)</f>
        <v>167.4</v>
      </c>
      <c r="G69" s="60" t="n">
        <f aca="false">G15*(1-G56)</f>
        <v>167.4</v>
      </c>
      <c r="H69" s="60" t="n">
        <f aca="false">H15*(1-H56)</f>
        <v>167.4</v>
      </c>
      <c r="I69" s="60" t="n">
        <f aca="false">I15*(1-I56)</f>
        <v>259.2</v>
      </c>
      <c r="J69" s="60" t="n">
        <f aca="false">J15*(1-J56)</f>
        <v>259.2</v>
      </c>
      <c r="K69" s="60" t="n">
        <f aca="false">K15*(1-K56)</f>
        <v>259.2</v>
      </c>
      <c r="L69" s="60" t="n">
        <f aca="false">L15*(1-L56)</f>
        <v>259.2</v>
      </c>
      <c r="M69" s="60" t="n">
        <f aca="false">M15*(1-M56)</f>
        <v>259.2</v>
      </c>
      <c r="N69" s="60" t="n">
        <f aca="false">N15*(1-N56)</f>
        <v>259.2</v>
      </c>
      <c r="O69" s="60" t="n">
        <f aca="false">O15*(1-O56)</f>
        <v>921.6</v>
      </c>
      <c r="P69" s="60" t="n">
        <f aca="false">P15*(1-P56)</f>
        <v>921.6</v>
      </c>
      <c r="Q69" s="60" t="n">
        <f aca="false">Q15*(1-Q56)</f>
        <v>921.6</v>
      </c>
      <c r="R69" s="60" t="n">
        <f aca="false">R15*(1-R56)</f>
        <v>259.2</v>
      </c>
      <c r="S69" s="60" t="n">
        <f aca="false">S15*(1-S56)</f>
        <v>259.2</v>
      </c>
    </row>
    <row r="70" customFormat="false" ht="15" hidden="false" customHeight="false" outlineLevel="0" collapsed="false">
      <c r="A70" s="53" t="s">
        <v>721</v>
      </c>
      <c r="B70" s="53"/>
      <c r="C70" s="104" t="n">
        <f aca="false">MAX(1,CEILING(C32*C20/(C57*C69),1))</f>
        <v>1</v>
      </c>
      <c r="D70" s="104" t="n">
        <f aca="false">MAX(1,CEILING(D32*D20/(D57*D69),1))</f>
        <v>2</v>
      </c>
      <c r="E70" s="104" t="n">
        <f aca="false">MAX(1,CEILING(E32*E20/(E57*E69),1))</f>
        <v>4</v>
      </c>
      <c r="F70" s="104" t="n">
        <f aca="false">MAX(1,CEILING(F32*F20/(F57*F69),1))</f>
        <v>1</v>
      </c>
      <c r="G70" s="104" t="n">
        <f aca="false">MAX(1,CEILING(G32*G20/(G57*G69),1))</f>
        <v>1</v>
      </c>
      <c r="H70" s="104" t="n">
        <f aca="false">MAX(1,CEILING(H32*H20/(H57*H69),1))</f>
        <v>2</v>
      </c>
      <c r="I70" s="104" t="n">
        <f aca="false">MAX(1,CEILING(I32*I20/(I57*I69),1))</f>
        <v>1</v>
      </c>
      <c r="J70" s="104" t="n">
        <f aca="false">MAX(1,CEILING(J32*J20/(J57*J69),1))</f>
        <v>1</v>
      </c>
      <c r="K70" s="104" t="n">
        <f aca="false">MAX(1,CEILING(K32*K20/(K57*K69),1))</f>
        <v>1</v>
      </c>
      <c r="L70" s="104" t="n">
        <f aca="false">MAX(1,CEILING(L32*L20/(L57*L69),1))</f>
        <v>1</v>
      </c>
      <c r="M70" s="104" t="n">
        <f aca="false">MAX(1,CEILING(M32*M20/(M57*M69),1))</f>
        <v>1</v>
      </c>
      <c r="N70" s="104" t="n">
        <f aca="false">MAX(1,CEILING(N32*N20/(N57*N69),1))</f>
        <v>1</v>
      </c>
      <c r="O70" s="104" t="n">
        <f aca="false">MAX(1,CEILING(O32*O20/(O57*O69),1))</f>
        <v>1</v>
      </c>
      <c r="P70" s="104" t="n">
        <f aca="false">MAX(1,CEILING(P32*P20/(P57*P69),1))</f>
        <v>1</v>
      </c>
      <c r="Q70" s="104" t="n">
        <f aca="false">MAX(1,CEILING(Q32*Q20/(Q57*Q69),1))</f>
        <v>1</v>
      </c>
      <c r="R70" s="104" t="n">
        <f aca="false">MAX(1,CEILING(R32*R20/(R57*R69),1))</f>
        <v>1</v>
      </c>
      <c r="S70" s="104" t="n">
        <f aca="false">MAX(1,CEILING(S32*S20/(S57*S69),1))</f>
        <v>1</v>
      </c>
    </row>
    <row r="71" customFormat="false" ht="15" hidden="false" customHeight="false" outlineLevel="0" collapsed="false">
      <c r="A71" s="54" t="s">
        <v>722</v>
      </c>
      <c r="B71" s="54" t="s">
        <v>682</v>
      </c>
      <c r="C71" s="60" t="n">
        <f aca="false">MAX(C18,CEILING(C33*C19/(C58*C69),1))</f>
        <v>64</v>
      </c>
      <c r="D71" s="60" t="n">
        <f aca="false">MAX(D18,CEILING(D33*D19/(D58*D69),1))</f>
        <v>64</v>
      </c>
      <c r="E71" s="60" t="n">
        <f aca="false">MAX(E18,CEILING(E33*E19/(E58*E69),1))</f>
        <v>138</v>
      </c>
      <c r="F71" s="60" t="n">
        <f aca="false">MAX(F18,CEILING(F33*F19/(F58*F69),1))</f>
        <v>32</v>
      </c>
      <c r="G71" s="60" t="n">
        <f aca="false">MAX(G18,CEILING(G33*G19/(G58*G69),1))</f>
        <v>32</v>
      </c>
      <c r="H71" s="60" t="n">
        <f aca="false">MAX(H18,CEILING(H33*H19/(H58*H69),1))</f>
        <v>34</v>
      </c>
      <c r="I71" s="60" t="n">
        <f aca="false">MAX(I18,CEILING(I33*I19/(I58*I69),1))</f>
        <v>32</v>
      </c>
      <c r="J71" s="60" t="n">
        <f aca="false">MAX(J18,CEILING(J33*J19/(J58*J69),1))</f>
        <v>32</v>
      </c>
      <c r="K71" s="60" t="n">
        <f aca="false">MAX(K18,CEILING(K33*K19/(K58*K69),1))</f>
        <v>32</v>
      </c>
      <c r="L71" s="60" t="n">
        <f aca="false">MAX(L18,CEILING(L33*L19/(L58*L69),1))</f>
        <v>32</v>
      </c>
      <c r="M71" s="60" t="n">
        <f aca="false">MAX(M18,CEILING(M33*M19/(M58*M69),1))</f>
        <v>32</v>
      </c>
      <c r="N71" s="60" t="n">
        <f aca="false">MAX(N18,CEILING(N33*N19/(N58*N69),1))</f>
        <v>32</v>
      </c>
      <c r="O71" s="60" t="n">
        <f aca="false">MAX(O18,CEILING(O33*O19/(O58*O69),1))</f>
        <v>64</v>
      </c>
      <c r="P71" s="60" t="n">
        <f aca="false">MAX(P18,CEILING(P33*P19/(P58*P69),1))</f>
        <v>64</v>
      </c>
      <c r="Q71" s="60" t="n">
        <f aca="false">MAX(Q18,CEILING(Q33*Q19/(Q58*Q69),1))</f>
        <v>64</v>
      </c>
      <c r="R71" s="60" t="n">
        <f aca="false">MAX(R18,CEILING(R33*R19/(R58*R69),1))</f>
        <v>32</v>
      </c>
      <c r="S71" s="60" t="n">
        <f aca="false">MAX(S18,CEILING(S33*S19/(S58*S69),1))</f>
        <v>39</v>
      </c>
    </row>
    <row r="72" customFormat="false" ht="15" hidden="false" customHeight="false" outlineLevel="0" collapsed="false">
      <c r="A72" s="53" t="s">
        <v>454</v>
      </c>
      <c r="B72" s="54" t="s">
        <v>274</v>
      </c>
      <c r="C72" s="67" t="n">
        <f aca="false">C32*C20/C70+C33*C19/C71</f>
        <v>9.7649375</v>
      </c>
      <c r="D72" s="67" t="n">
        <f aca="false">D32*D20/D70+D33*D19/D71</f>
        <v>34.8220486111111</v>
      </c>
      <c r="E72" s="67" t="n">
        <f aca="false">E32*E20/E70+E33*E19/E71</f>
        <v>40.898053997195</v>
      </c>
      <c r="F72" s="67" t="n">
        <f aca="false">F32*F20/F70+F33*F19/F71</f>
        <v>10.3090546875</v>
      </c>
      <c r="G72" s="67" t="n">
        <f aca="false">G32*G20/G70+G33*G19/G71</f>
        <v>48.0463324652778</v>
      </c>
      <c r="H72" s="67" t="n">
        <f aca="false">H32*H20/H70+H33*H19/H71</f>
        <v>89.9008983633776</v>
      </c>
      <c r="I72" s="67" t="n">
        <f aca="false">I32*I20/I70+I33*I19/I71</f>
        <v>10.3090546875</v>
      </c>
      <c r="J72" s="67" t="n">
        <f aca="false">J32*J20/J70+J33*J19/J71</f>
        <v>48.0463324652778</v>
      </c>
      <c r="K72" s="67" t="n">
        <f aca="false">K32*K20/K70+K33*K19/K71</f>
        <v>118.522476688508</v>
      </c>
      <c r="L72" s="67" t="n">
        <f aca="false">L32*L20/L70+L33*L19/L71</f>
        <v>10.3090546875</v>
      </c>
      <c r="M72" s="67" t="n">
        <f aca="false">M32*M20/M70+M33*M19/M71</f>
        <v>48.0463324652778</v>
      </c>
      <c r="N72" s="67" t="n">
        <f aca="false">N32*N20/N70+N33*N19/N71</f>
        <v>118.522476688508</v>
      </c>
      <c r="O72" s="67" t="n">
        <f aca="false">O32*O20/O70+O33*O19/O71</f>
        <v>7.86052734375</v>
      </c>
      <c r="P72" s="67" t="n">
        <f aca="false">P32*P20/P70+P33*P19/P71</f>
        <v>34.1620551215278</v>
      </c>
      <c r="Q72" s="67" t="n">
        <f aca="false">Q32*Q20/Q70+Q33*Q19/Q71</f>
        <v>83.7975286668347</v>
      </c>
      <c r="R72" s="67" t="n">
        <f aca="false">R32*R20/R70+R33*R19/R71</f>
        <v>69.6440972222222</v>
      </c>
      <c r="S72" s="67" t="n">
        <f aca="false">S32*S20/S70+S33*S19/S71</f>
        <v>150.37841191067</v>
      </c>
    </row>
    <row r="73" customFormat="false" ht="15" hidden="false" customHeight="false" outlineLevel="0" collapsed="false">
      <c r="A73" s="53" t="s">
        <v>723</v>
      </c>
      <c r="B73" s="54" t="s">
        <v>71</v>
      </c>
      <c r="C73" s="78" t="n">
        <f aca="false">C72/C69</f>
        <v>0.135624131944444</v>
      </c>
      <c r="D73" s="78" t="n">
        <f aca="false">D72/D69</f>
        <v>0.48363956404321</v>
      </c>
      <c r="E73" s="78" t="n">
        <f aca="false">E72/E69</f>
        <v>0.568028527738819</v>
      </c>
      <c r="F73" s="78" t="n">
        <f aca="false">F72/F69</f>
        <v>0.0615833613351255</v>
      </c>
      <c r="G73" s="78" t="n">
        <f aca="false">G72/G69</f>
        <v>0.287015128227466</v>
      </c>
      <c r="H73" s="78" t="n">
        <f aca="false">H72/H69</f>
        <v>0.537042403604406</v>
      </c>
      <c r="I73" s="78" t="n">
        <f aca="false">I72/I69</f>
        <v>0.0397725875289352</v>
      </c>
      <c r="J73" s="78" t="n">
        <f aca="false">J72/J69</f>
        <v>0.185363936980238</v>
      </c>
      <c r="K73" s="78" t="n">
        <f aca="false">K72/K69</f>
        <v>0.45726264154517</v>
      </c>
      <c r="L73" s="78" t="n">
        <f aca="false">L72/L69</f>
        <v>0.0397725875289352</v>
      </c>
      <c r="M73" s="78" t="n">
        <f aca="false">M72/M69</f>
        <v>0.185363936980238</v>
      </c>
      <c r="N73" s="78" t="n">
        <f aca="false">N72/N69</f>
        <v>0.45726264154517</v>
      </c>
      <c r="O73" s="78" t="n">
        <f aca="false">O72/O69</f>
        <v>0.00852921803792318</v>
      </c>
      <c r="P73" s="78" t="n">
        <f aca="false">P72/P69</f>
        <v>0.0370682021717966</v>
      </c>
      <c r="Q73" s="78" t="n">
        <f aca="false">Q72/Q69</f>
        <v>0.0909261378763397</v>
      </c>
      <c r="R73" s="78" t="n">
        <f aca="false">R72/R69</f>
        <v>0.268688646690672</v>
      </c>
      <c r="S73" s="78" t="n">
        <f aca="false">S72/S69</f>
        <v>0.580163626198573</v>
      </c>
    </row>
    <row r="74" customFormat="false" ht="15" hidden="false" customHeight="false" outlineLevel="0" collapsed="false">
      <c r="A74" s="68" t="s">
        <v>724</v>
      </c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</row>
    <row r="75" customFormat="false" ht="15" hidden="false" customHeight="false" outlineLevel="0" collapsed="false">
      <c r="A75" s="54" t="s">
        <v>725</v>
      </c>
      <c r="B75" s="54" t="s">
        <v>330</v>
      </c>
      <c r="C75" s="60" t="n">
        <f aca="false">C51*C14*1000000000000000/(C67*1000000000)</f>
        <v>9184.07105108283</v>
      </c>
      <c r="D75" s="60" t="n">
        <f aca="false">D51*D14*1000000000000000/(D67*1000000000)</f>
        <v>2255.8471167441</v>
      </c>
      <c r="E75" s="60" t="n">
        <f aca="false">E51*E14*1000000000000000/(E67*1000000000)</f>
        <v>741.258326317187</v>
      </c>
      <c r="F75" s="60" t="n">
        <f aca="false">F51*F14*1000000000000000/(F67*1000000000)</f>
        <v>92862.1946520003</v>
      </c>
      <c r="G75" s="60" t="n">
        <f aca="false">G51*G14*1000000000000000/(G67*1000000000)</f>
        <v>22809.3742845713</v>
      </c>
      <c r="H75" s="60" t="n">
        <f aca="false">H51*H14*1000000000000000/(H67*1000000000)</f>
        <v>7495.02857752464</v>
      </c>
      <c r="I75" s="60" t="n">
        <f aca="false">I51*I14*1000000000000000/(I67*1000000000)</f>
        <v>139293.291978</v>
      </c>
      <c r="J75" s="60" t="n">
        <f aca="false">J51*J14*1000000000000000/(J67*1000000000)</f>
        <v>34214.061426857</v>
      </c>
      <c r="K75" s="60" t="n">
        <f aca="false">K51*K14*1000000000000000/(K67*1000000000)</f>
        <v>11242.542866287</v>
      </c>
      <c r="L75" s="60" t="n">
        <f aca="false">L51*L14*1000000000000000/(L67*1000000000)</f>
        <v>325017.681282001</v>
      </c>
      <c r="M75" s="60" t="n">
        <f aca="false">M51*M14*1000000000000000/(M67*1000000000)</f>
        <v>79832.8099959996</v>
      </c>
      <c r="N75" s="60" t="n">
        <f aca="false">N51*N14*1000000000000000/(N67*1000000000)</f>
        <v>26232.6000213363</v>
      </c>
      <c r="O75" s="60" t="n">
        <f aca="false">O51*O14*1000000000000000/(O67*1000000000)</f>
        <v>650035.362564002</v>
      </c>
      <c r="P75" s="60" t="n">
        <f aca="false">P51*P14*1000000000000000/(P67*1000000000)</f>
        <v>159665.619991999</v>
      </c>
      <c r="Q75" s="60" t="n">
        <f aca="false">Q51*Q14*1000000000000000/(Q67*1000000000)</f>
        <v>52465.2000426725</v>
      </c>
      <c r="R75" s="60" t="n">
        <f aca="false">R51*R14*1000000000000000/(R67*1000000000)</f>
        <v>39916.4049979998</v>
      </c>
      <c r="S75" s="60" t="n">
        <f aca="false">S51*S14*1000000000000000/(S67*1000000000)</f>
        <v>13116.3000106681</v>
      </c>
    </row>
    <row r="76" customFormat="false" ht="15" hidden="false" customHeight="false" outlineLevel="0" collapsed="false">
      <c r="A76" s="54" t="s">
        <v>726</v>
      </c>
      <c r="B76" s="54" t="s">
        <v>333</v>
      </c>
      <c r="C76" s="69" t="n">
        <f aca="false">C43*C67*1000000000/(C51*C14*1000000000000000*C21)</f>
        <v>0.055748697625726</v>
      </c>
      <c r="D76" s="69" t="n">
        <f aca="false">D43*D67*1000000000/(D51*D14*1000000000000000*D21)</f>
        <v>0.453931470975726</v>
      </c>
      <c r="E76" s="69" t="n">
        <f aca="false">E43*E67*1000000000/(E51*E14*1000000000000000*E21)</f>
        <v>2.76286947112639</v>
      </c>
      <c r="F76" s="69" t="n">
        <f aca="false">F43*F67*1000000000/(F51*F14*1000000000000000*F21)</f>
        <v>0.0110270923903686</v>
      </c>
      <c r="G76" s="69" t="n">
        <f aca="false">G43*G67*1000000000/(G51*G14*1000000000000000*G21)</f>
        <v>0.0897876449589985</v>
      </c>
      <c r="H76" s="69" t="n">
        <f aca="false">H43*H67*1000000000/(H51*H14*1000000000000000*H21)</f>
        <v>0.5464955813888</v>
      </c>
      <c r="I76" s="69" t="n">
        <f aca="false">I43*I67*1000000000/(I51*I14*1000000000000000*I21)</f>
        <v>0.0073513949269124</v>
      </c>
      <c r="J76" s="69" t="n">
        <f aca="false">J43*J67*1000000000/(J51*J14*1000000000000000*J21)</f>
        <v>0.0598584299726657</v>
      </c>
      <c r="K76" s="69" t="n">
        <f aca="false">K43*K67*1000000000/(K51*K14*1000000000000000*K21)</f>
        <v>0.364330387592533</v>
      </c>
      <c r="L76" s="69" t="n">
        <f aca="false">L43*L67*1000000000/(L51*L14*1000000000000000*L21)</f>
        <v>0.0031505978258196</v>
      </c>
      <c r="M76" s="69" t="n">
        <f aca="false">M43*M67*1000000000/(M51*M14*1000000000000000*M21)</f>
        <v>0.0256536128454282</v>
      </c>
      <c r="N76" s="69" t="n">
        <f aca="false">N43*N67*1000000000/(N51*N14*1000000000000000*N21)</f>
        <v>0.156141594682514</v>
      </c>
      <c r="O76" s="69" t="n">
        <f aca="false">O43*O67*1000000000/(O51*O14*1000000000000000*O21)</f>
        <v>0.0007876494564549</v>
      </c>
      <c r="P76" s="69" t="n">
        <f aca="false">P43*P67*1000000000/(P51*P14*1000000000000000*P21)</f>
        <v>0.00641340321135704</v>
      </c>
      <c r="Q76" s="69" t="n">
        <f aca="false">Q43*Q67*1000000000/(Q51*Q14*1000000000000000*Q21)</f>
        <v>0.0390353986706286</v>
      </c>
      <c r="R76" s="69" t="n">
        <f aca="false">R43*R67*1000000000/(R51*R14*1000000000000000*R21)</f>
        <v>0.0513072256908563</v>
      </c>
      <c r="S76" s="69" t="n">
        <f aca="false">S43*S67*1000000000/(S51*S14*1000000000000000*S21)</f>
        <v>0.312283189365029</v>
      </c>
    </row>
    <row r="77" customFormat="false" ht="15" hidden="false" customHeight="false" outlineLevel="0" collapsed="false">
      <c r="A77" s="54" t="s">
        <v>727</v>
      </c>
      <c r="B77" s="53"/>
      <c r="C77" s="53" t="str">
        <f aca="false">IF(C76&lt;=C42,"是","否")</f>
        <v>是</v>
      </c>
      <c r="D77" s="53" t="str">
        <f aca="false">IF(D76&lt;=D42,"是","否")</f>
        <v>是</v>
      </c>
      <c r="E77" s="53" t="str">
        <f aca="false">IF(E76&lt;=E42,"是","否")</f>
        <v>是</v>
      </c>
      <c r="F77" s="53" t="str">
        <f aca="false">IF(F76&lt;=F42,"是","否")</f>
        <v>是</v>
      </c>
      <c r="G77" s="53" t="str">
        <f aca="false">IF(G76&lt;=G42,"是","否")</f>
        <v>是</v>
      </c>
      <c r="H77" s="53" t="str">
        <f aca="false">IF(H76&lt;=H42,"是","否")</f>
        <v>是</v>
      </c>
      <c r="I77" s="53" t="str">
        <f aca="false">IF(I76&lt;=I42,"是","否")</f>
        <v>是</v>
      </c>
      <c r="J77" s="53" t="str">
        <f aca="false">IF(J76&lt;=J42,"是","否")</f>
        <v>是</v>
      </c>
      <c r="K77" s="53" t="str">
        <f aca="false">IF(K76&lt;=K42,"是","否")</f>
        <v>是</v>
      </c>
      <c r="L77" s="53" t="str">
        <f aca="false">IF(L76&lt;=L42,"是","否")</f>
        <v>是</v>
      </c>
      <c r="M77" s="53" t="str">
        <f aca="false">IF(M76&lt;=M42,"是","否")</f>
        <v>是</v>
      </c>
      <c r="N77" s="53" t="str">
        <f aca="false">IF(N76&lt;=N42,"是","否")</f>
        <v>是</v>
      </c>
      <c r="O77" s="53" t="str">
        <f aca="false">IF(O76&lt;=O42,"是","否")</f>
        <v>是</v>
      </c>
      <c r="P77" s="53" t="str">
        <f aca="false">IF(P76&lt;=P42,"是","否")</f>
        <v>是</v>
      </c>
      <c r="Q77" s="53" t="str">
        <f aca="false">IF(Q76&lt;=Q42,"是","否")</f>
        <v>是</v>
      </c>
      <c r="R77" s="53" t="str">
        <f aca="false">IF(R76&lt;=R42,"是","否")</f>
        <v>是</v>
      </c>
      <c r="S77" s="53" t="str">
        <f aca="false">IF(S76&lt;=S42,"是","否")</f>
        <v>是</v>
      </c>
    </row>
    <row r="78" customFormat="false" ht="15" hidden="false" customHeight="false" outlineLevel="0" collapsed="false">
      <c r="A78" s="68" t="s">
        <v>728</v>
      </c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</row>
    <row r="79" customFormat="false" ht="15" hidden="false" customHeight="false" outlineLevel="0" collapsed="false">
      <c r="A79" s="53" t="s">
        <v>729</v>
      </c>
      <c r="B79" s="54" t="s">
        <v>459</v>
      </c>
      <c r="C79" s="64" t="n">
        <f aca="false">C72/C16+(C29+C47)*C55/1000</f>
        <v>14.0366950476431</v>
      </c>
      <c r="D79" s="64" t="n">
        <f aca="false">D72/D16+(D29+D47)*D55/1000</f>
        <v>25.8684338372861</v>
      </c>
      <c r="E79" s="64" t="n">
        <f aca="false">E72/E16+(E29+E47)*E55/1000</f>
        <v>37.1115090691772</v>
      </c>
      <c r="F79" s="64" t="n">
        <f aca="false">F72/F16+(F29+F47)*F55/1000</f>
        <v>8.70315739008759</v>
      </c>
      <c r="G79" s="64" t="n">
        <f aca="false">G72/G16+(G29+G47)*G55/1000</f>
        <v>16.3216531987164</v>
      </c>
      <c r="H79" s="64" t="n">
        <f aca="false">H72/H16+(H29+H47)*H55/1000</f>
        <v>27.8397021231931</v>
      </c>
      <c r="I79" s="64" t="n">
        <f aca="false">I72/I16+(I29+I47)*I55/1000</f>
        <v>8.70315739008759</v>
      </c>
      <c r="J79" s="64" t="n">
        <f aca="false">J72/J16+(J29+J47)*J55/1000</f>
        <v>16.3216531987164</v>
      </c>
      <c r="K79" s="64" t="n">
        <f aca="false">K72/K16+(K29+K47)*K55/1000</f>
        <v>31.4173994138344</v>
      </c>
      <c r="L79" s="64" t="n">
        <f aca="false">L72/L16+(L29+L47)*L55/1000</f>
        <v>7.88311894903646</v>
      </c>
      <c r="M79" s="64" t="n">
        <f aca="false">M72/M16+(M29+M47)*M55/1000</f>
        <v>12.4997858435238</v>
      </c>
      <c r="N79" s="64" t="n">
        <f aca="false">N72/N16+(N29+N47)*N55/1000</f>
        <v>21.989475131794</v>
      </c>
      <c r="O79" s="64" t="n">
        <f aca="false">O72/O16+(O29+O47)*O55/1000</f>
        <v>7.66016703364228</v>
      </c>
      <c r="P79" s="64" t="n">
        <f aca="false">P72/P16+(P29+P47)*P55/1000</f>
        <v>11.3834258631044</v>
      </c>
      <c r="Q79" s="64" t="n">
        <f aca="false">Q72/Q16+(Q29+Q47)*Q55/1000</f>
        <v>19.2207625986094</v>
      </c>
      <c r="R79" s="64" t="n">
        <f aca="false">R72/R16+(R29+R47)*R55/1000</f>
        <v>13.4815024233849</v>
      </c>
      <c r="S79" s="64" t="n">
        <f aca="false">S72/S16+(S29+S47)*S55/1000</f>
        <v>23.4374721873468</v>
      </c>
    </row>
    <row r="80" customFormat="false" ht="15" hidden="false" customHeight="false" outlineLevel="0" collapsed="false">
      <c r="A80" s="53" t="s">
        <v>730</v>
      </c>
      <c r="B80" s="54" t="s">
        <v>459</v>
      </c>
      <c r="C80" s="65" t="n">
        <f aca="false">(C47+1)*C65/(C14*C53)/1000</f>
        <v>1.45911544716554</v>
      </c>
      <c r="D80" s="65" t="n">
        <f aca="false">(D47+1)*D65/(D14*D53)/1000</f>
        <v>5.02405240799066</v>
      </c>
      <c r="E80" s="65" t="n">
        <f aca="false">(E47+1)*E65/(E14*E53)/1000</f>
        <v>19.6369731112768</v>
      </c>
      <c r="F80" s="65" t="n">
        <f aca="false">(F47+1)*F65/(F14*F53)/1000</f>
        <v>0.43313842049109</v>
      </c>
      <c r="G80" s="65" t="n">
        <f aca="false">(G47+1)*G65/(G14*G53)/1000</f>
        <v>1.49138995731203</v>
      </c>
      <c r="H80" s="65" t="n">
        <f aca="false">(H47+1)*H65/(H14*H53)/1000</f>
        <v>5.82923546808251</v>
      </c>
      <c r="I80" s="65" t="n">
        <f aca="false">(I47+1)*I65/(I14*I53)/1000</f>
        <v>0.28875894699406</v>
      </c>
      <c r="J80" s="65" t="n">
        <f aca="false">(J47+1)*J65/(J14*J53)/1000</f>
        <v>0.994259971541353</v>
      </c>
      <c r="K80" s="65" t="n">
        <f aca="false">(K47+1)*K65/(K14*K53)/1000</f>
        <v>3.88615697872167</v>
      </c>
      <c r="L80" s="65" t="n">
        <f aca="false">(L47+1)*L65/(L14*L53)/1000</f>
        <v>0.123753834426026</v>
      </c>
      <c r="M80" s="65" t="n">
        <f aca="false">(M47+1)*M65/(M14*M53)/1000</f>
        <v>0.426111416374865</v>
      </c>
      <c r="N80" s="65" t="n">
        <f aca="false">(N47+1)*N65/(N14*N53)/1000</f>
        <v>1.66549584802358</v>
      </c>
      <c r="O80" s="65" t="n">
        <f aca="false">(O47+1)*O65/(O14*O53)/1000</f>
        <v>0.0618769172130129</v>
      </c>
      <c r="P80" s="65" t="n">
        <f aca="false">(P47+1)*P65/(P14*P53)/1000</f>
        <v>0.213055708187433</v>
      </c>
      <c r="Q80" s="65" t="n">
        <f aca="false">(Q47+1)*Q65/(Q14*Q53)/1000</f>
        <v>0.832747924011788</v>
      </c>
      <c r="R80" s="65" t="n">
        <f aca="false">(R47+1)*R65/(R14*R53)/1000</f>
        <v>0.852222832749731</v>
      </c>
      <c r="S80" s="65" t="n">
        <f aca="false">(S47+1)*S65/(S14*S53)/1000</f>
        <v>3.33099169604715</v>
      </c>
    </row>
    <row r="81" customFormat="false" ht="15" hidden="false" customHeight="false" outlineLevel="0" collapsed="false">
      <c r="A81" s="53" t="s">
        <v>731</v>
      </c>
      <c r="B81" s="54" t="s">
        <v>459</v>
      </c>
      <c r="C81" s="65" t="n">
        <f aca="false">C34*C45/(C16*C60)/1000000000</f>
        <v>0.00976402558635395</v>
      </c>
      <c r="D81" s="65" t="n">
        <f aca="false">D34*D45/(D16*D60)/1000000000</f>
        <v>0.0277025842217484</v>
      </c>
      <c r="E81" s="65" t="n">
        <f aca="false">E34*E45/(E16*E60)/1000000000</f>
        <v>0.80487710021322</v>
      </c>
      <c r="F81" s="65" t="n">
        <f aca="false">F34*F45/(F16*F60)/1000000000</f>
        <v>0.00408868571428572</v>
      </c>
      <c r="G81" s="65" t="n">
        <f aca="false">G34*G45/(G16*G60)/1000000000</f>
        <v>0.0116004571428571</v>
      </c>
      <c r="H81" s="65" t="n">
        <f aca="false">H34*H45/(H16*H60)/1000000000</f>
        <v>0.337042285714286</v>
      </c>
      <c r="I81" s="65" t="n">
        <f aca="false">I34*I45/(I16*I60)/1000000000</f>
        <v>0.00408868571428572</v>
      </c>
      <c r="J81" s="65" t="n">
        <f aca="false">J34*J45/(J16*J60)/1000000000</f>
        <v>0.0116004571428571</v>
      </c>
      <c r="K81" s="65" t="n">
        <f aca="false">K34*K45/(K16*K60)/1000000000</f>
        <v>0.337042285714286</v>
      </c>
      <c r="L81" s="65" t="n">
        <f aca="false">L34*L45/(L16*L60)/1000000000</f>
        <v>0.00148679480519481</v>
      </c>
      <c r="M81" s="65" t="n">
        <f aca="false">M34*M45/(M16*M60)/1000000000</f>
        <v>0.00421834805194805</v>
      </c>
      <c r="N81" s="65" t="n">
        <f aca="false">N34*N45/(N16*N60)/1000000000</f>
        <v>0.122560831168831</v>
      </c>
      <c r="O81" s="65" t="n">
        <f aca="false">O34*O45/(O16*O60)/1000000000</f>
        <v>0.00102217142857143</v>
      </c>
      <c r="P81" s="65" t="n">
        <f aca="false">P34*P45/(P16*P60)/1000000000</f>
        <v>0.00290011428571429</v>
      </c>
      <c r="Q81" s="65" t="n">
        <f aca="false">Q34*Q45/(Q16*Q60)/1000000000</f>
        <v>0.0842605714285714</v>
      </c>
      <c r="R81" s="65" t="n">
        <f aca="false">R34*R45/(R16*R60)/1000000000</f>
        <v>0.00421834805194805</v>
      </c>
      <c r="S81" s="65" t="n">
        <f aca="false">S34*S45/(S16*S60)/1000000000</f>
        <v>0.122560831168831</v>
      </c>
    </row>
    <row r="82" customFormat="false" ht="15" hidden="false" customHeight="false" outlineLevel="0" collapsed="false">
      <c r="A82" s="53" t="s">
        <v>732</v>
      </c>
      <c r="B82" s="54" t="s">
        <v>459</v>
      </c>
      <c r="C82" s="65" t="n">
        <f aca="false">(C47+1)*C29*C31*C30*C59*(C71-1)/C71/(C17*C61)/1000000000</f>
        <v>0.3566592</v>
      </c>
      <c r="D82" s="65" t="n">
        <f aca="false">(D47+1)*D29*D31*D30*D59*(D71-1)/D71/(D17*D61)/1000000000</f>
        <v>0.8854272</v>
      </c>
      <c r="E82" s="65" t="n">
        <f aca="false">(E47+1)*E29*E31*E30*E59*(E71-1)/E71/(E17*E61)/1000000000</f>
        <v>6.69199900621118</v>
      </c>
      <c r="F82" s="65" t="n">
        <f aca="false">(F47+1)*F29*F31*F30*F59*(F71-1)/F71/(F17*F61)/1000000000</f>
        <v>0.0194998857142857</v>
      </c>
      <c r="G82" s="65" t="n">
        <f aca="false">(G47+1)*G29*G31*G30*G59*(G71-1)/G71/(G17*G61)/1000000000</f>
        <v>0.0484096</v>
      </c>
      <c r="H82" s="65" t="n">
        <f aca="false">(H47+1)*H29*H31*H30*H59*(H71-1)/H71/(H17*H61)/1000000000</f>
        <v>0.363476974789916</v>
      </c>
      <c r="I82" s="65" t="n">
        <f aca="false">(I47+1)*I29*I31*I30*I59*(I71-1)/I71/(I17*I61)/1000000000</f>
        <v>0.0194998857142857</v>
      </c>
      <c r="J82" s="65" t="n">
        <f aca="false">(J47+1)*J29*J31*J30*J59*(J71-1)/J71/(J17*J61)/1000000000</f>
        <v>0.0484096</v>
      </c>
      <c r="K82" s="65" t="n">
        <f aca="false">(K47+1)*K29*K31*K30*K59*(K71-1)/K71/(K17*K61)/1000000000</f>
        <v>0.362788571428571</v>
      </c>
      <c r="L82" s="65" t="n">
        <f aca="false">(L47+1)*L29*L31*L30*L59*(L71-1)/L71/(L17*L61)/1000000000</f>
        <v>0.00974994285714286</v>
      </c>
      <c r="M82" s="65" t="n">
        <f aca="false">(M47+1)*M29*M31*M30*M59*(M71-1)/M71/(M17*M61)/1000000000</f>
        <v>0.0242048</v>
      </c>
      <c r="N82" s="65" t="n">
        <f aca="false">(N47+1)*N29*N31*N30*N59*(N71-1)/N71/(N17*N61)/1000000000</f>
        <v>0.181394285714286</v>
      </c>
      <c r="O82" s="65" t="n">
        <f aca="false">(O47+1)*O29*O31*O30*O59*(O71-1)/O71/(O17*O61)/1000000000</f>
        <v>0.0099072</v>
      </c>
      <c r="P82" s="65" t="n">
        <f aca="false">(P47+1)*P29*P31*P30*P59*(P71-1)/P71/(P17*P61)/1000000000</f>
        <v>0.0245952</v>
      </c>
      <c r="Q82" s="65" t="n">
        <f aca="false">(Q47+1)*Q29*Q31*Q30*Q59*(Q71-1)/Q71/(Q17*Q61)/1000000000</f>
        <v>0.18432</v>
      </c>
      <c r="R82" s="65" t="n">
        <f aca="false">(R47+1)*R29*R31*R30*R59*(R71-1)/R71/(R17*R61)/1000000000</f>
        <v>0.0242048</v>
      </c>
      <c r="S82" s="65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53" t="s">
        <v>733</v>
      </c>
      <c r="B83" s="54" t="s">
        <v>459</v>
      </c>
      <c r="C83" s="65" t="n">
        <f aca="false">MAX(C80,C81,C82)</f>
        <v>1.45911544716554</v>
      </c>
      <c r="D83" s="65" t="n">
        <f aca="false">MAX(D80,D81,D82)</f>
        <v>5.02405240799066</v>
      </c>
      <c r="E83" s="65" t="n">
        <f aca="false">MAX(E80,E81,E82)</f>
        <v>19.6369731112768</v>
      </c>
      <c r="F83" s="65" t="n">
        <f aca="false">MAX(F80,F81,F82)</f>
        <v>0.43313842049109</v>
      </c>
      <c r="G83" s="65" t="n">
        <f aca="false">MAX(G80,G81,G82)</f>
        <v>1.49138995731203</v>
      </c>
      <c r="H83" s="65" t="n">
        <f aca="false">MAX(H80,H81,H82)</f>
        <v>5.82923546808251</v>
      </c>
      <c r="I83" s="65" t="n">
        <f aca="false">MAX(I80,I81,I82)</f>
        <v>0.28875894699406</v>
      </c>
      <c r="J83" s="65" t="n">
        <f aca="false">MAX(J80,J81,J82)</f>
        <v>0.994259971541353</v>
      </c>
      <c r="K83" s="65" t="n">
        <f aca="false">MAX(K80,K81,K82)</f>
        <v>3.88615697872167</v>
      </c>
      <c r="L83" s="65" t="n">
        <f aca="false">MAX(L80,L81,L82)</f>
        <v>0.123753834426026</v>
      </c>
      <c r="M83" s="65" t="n">
        <f aca="false">MAX(M80,M81,M82)</f>
        <v>0.426111416374865</v>
      </c>
      <c r="N83" s="65" t="n">
        <f aca="false">MAX(N80,N81,N82)</f>
        <v>1.66549584802358</v>
      </c>
      <c r="O83" s="65" t="n">
        <f aca="false">MAX(O80,O81,O82)</f>
        <v>0.0618769172130129</v>
      </c>
      <c r="P83" s="65" t="n">
        <f aca="false">MAX(P80,P81,P82)</f>
        <v>0.213055708187433</v>
      </c>
      <c r="Q83" s="65" t="n">
        <f aca="false">MAX(Q80,Q81,Q82)</f>
        <v>0.832747924011788</v>
      </c>
      <c r="R83" s="65" t="n">
        <f aca="false">MAX(R80,R81,R82)</f>
        <v>0.852222832749731</v>
      </c>
      <c r="S83" s="65" t="n">
        <f aca="false">MAX(S80,S81,S82)</f>
        <v>3.33099169604715</v>
      </c>
    </row>
    <row r="84" customFormat="false" ht="15" hidden="false" customHeight="false" outlineLevel="0" collapsed="false">
      <c r="A84" s="53" t="s">
        <v>734</v>
      </c>
      <c r="B84" s="53"/>
      <c r="C84" s="53" t="str">
        <f aca="false">IF(C83=C80,"算力",IF(C83=C81,"KV 頻寬","EP 通訊"))</f>
        <v>算力</v>
      </c>
      <c r="D84" s="53" t="str">
        <f aca="false">IF(D83=D80,"算力",IF(D83=D81,"KV 頻寬","EP 通訊"))</f>
        <v>算力</v>
      </c>
      <c r="E84" s="53" t="str">
        <f aca="false">IF(E83=E80,"算力",IF(E83=E81,"KV 頻寬","EP 通訊"))</f>
        <v>算力</v>
      </c>
      <c r="F84" s="53" t="str">
        <f aca="false">IF(F83=F80,"算力",IF(F83=F81,"KV 頻寬","EP 通訊"))</f>
        <v>算力</v>
      </c>
      <c r="G84" s="53" t="str">
        <f aca="false">IF(G83=G80,"算力",IF(G83=G81,"KV 頻寬","EP 通訊"))</f>
        <v>算力</v>
      </c>
      <c r="H84" s="53" t="str">
        <f aca="false">IF(H83=H80,"算力",IF(H83=H81,"KV 頻寬","EP 通訊"))</f>
        <v>算力</v>
      </c>
      <c r="I84" s="53" t="str">
        <f aca="false">IF(I83=I80,"算力",IF(I83=I81,"KV 頻寬","EP 通訊"))</f>
        <v>算力</v>
      </c>
      <c r="J84" s="53" t="str">
        <f aca="false">IF(J83=J80,"算力",IF(J83=J81,"KV 頻寬","EP 通訊"))</f>
        <v>算力</v>
      </c>
      <c r="K84" s="53" t="str">
        <f aca="false">IF(K83=K80,"算力",IF(K83=K81,"KV 頻寬","EP 通訊"))</f>
        <v>算力</v>
      </c>
      <c r="L84" s="53" t="str">
        <f aca="false">IF(L83=L80,"算力",IF(L83=L81,"KV 頻寬","EP 通訊"))</f>
        <v>算力</v>
      </c>
      <c r="M84" s="53" t="str">
        <f aca="false">IF(M83=M80,"算力",IF(M83=M81,"KV 頻寬","EP 通訊"))</f>
        <v>算力</v>
      </c>
      <c r="N84" s="53" t="str">
        <f aca="false">IF(N83=N80,"算力",IF(N83=N81,"KV 頻寬","EP 通訊"))</f>
        <v>算力</v>
      </c>
      <c r="O84" s="53" t="str">
        <f aca="false">IF(O83=O80,"算力",IF(O83=O81,"KV 頻寬","EP 通訊"))</f>
        <v>算力</v>
      </c>
      <c r="P84" s="53" t="str">
        <f aca="false">IF(P83=P80,"算力",IF(P83=P81,"KV 頻寬","EP 通訊"))</f>
        <v>算力</v>
      </c>
      <c r="Q84" s="53" t="str">
        <f aca="false">IF(Q83=Q80,"算力",IF(Q83=Q81,"KV 頻寬","EP 通訊"))</f>
        <v>算力</v>
      </c>
      <c r="R84" s="53" t="str">
        <f aca="false">IF(R83=R80,"算力",IF(R83=R81,"KV 頻寬","EP 通訊"))</f>
        <v>算力</v>
      </c>
      <c r="S84" s="53" t="str">
        <f aca="false">IF(S83=S80,"算力",IF(S83=S81,"KV 頻寬","EP 通訊"))</f>
        <v>算力</v>
      </c>
    </row>
    <row r="85" customFormat="false" ht="15" hidden="false" customHeight="false" outlineLevel="0" collapsed="false">
      <c r="A85" s="54" t="s">
        <v>735</v>
      </c>
      <c r="B85" s="53" t="s">
        <v>463</v>
      </c>
      <c r="C85" s="67" t="n">
        <f aca="false">(1000*C49/C41-C79)/C83</f>
        <v>77.1791602721487</v>
      </c>
      <c r="D85" s="67" t="n">
        <f aca="false">(1000*D49/D41-D79)/D83</f>
        <v>20.0598158574984</v>
      </c>
      <c r="E85" s="67" t="n">
        <f aca="false">(1000*E49/E41-E79)/E83</f>
        <v>4.55968903269538</v>
      </c>
      <c r="F85" s="67" t="n">
        <f aca="false">(1000*F49/F41-F79)/F83</f>
        <v>272.307505014644</v>
      </c>
      <c r="G85" s="67" t="n">
        <f aca="false">(1000*G49/G41-G79)/G83</f>
        <v>73.9768604853229</v>
      </c>
      <c r="H85" s="67" t="n">
        <f aca="false">(1000*H49/H41-H79)/H83</f>
        <v>16.9508160062901</v>
      </c>
      <c r="I85" s="67" t="n">
        <f aca="false">(1000*I49/I41-I79)/I83</f>
        <v>408.461257521966</v>
      </c>
      <c r="J85" s="67" t="n">
        <f aca="false">(1000*J49/J41-J79)/J83</f>
        <v>110.965290727984</v>
      </c>
      <c r="K85" s="67" t="n">
        <f aca="false">(1000*K49/K41-K79)/K83</f>
        <v>24.5055979744523</v>
      </c>
      <c r="L85" s="67" t="n">
        <f aca="false">(1000*L49/L41-L79)/L83</f>
        <v>959.702635492534</v>
      </c>
      <c r="M85" s="67" t="n">
        <f aca="false">(1000*M49/M41-M79)/M83</f>
        <v>267.88818550699</v>
      </c>
      <c r="N85" s="67" t="n">
        <f aca="false">(1000*N49/N41-N79)/N83</f>
        <v>62.8404597900412</v>
      </c>
      <c r="O85" s="67" t="n">
        <f aca="false">(1000*O49/O41-O79)/O83</f>
        <v>1923.00842261957</v>
      </c>
      <c r="P85" s="67" t="n">
        <f aca="false">(1000*P49/P41-P79)/P83</f>
        <v>541.016127272645</v>
      </c>
      <c r="Q85" s="67" t="n">
        <f aca="false">(1000*Q49/Q41-Q79)/Q83</f>
        <v>129.005710256048</v>
      </c>
      <c r="R85" s="67" t="n">
        <f aca="false">(1000*R49/R41-R79)/R83</f>
        <v>132.79214452806</v>
      </c>
      <c r="S85" s="67" t="n">
        <f aca="false">(1000*S49/S41-S79)/S83</f>
        <v>30.9855254022802</v>
      </c>
    </row>
    <row r="86" customFormat="false" ht="15" hidden="false" customHeight="false" outlineLevel="0" collapsed="false">
      <c r="A86" s="54" t="s">
        <v>736</v>
      </c>
      <c r="B86" s="53" t="s">
        <v>463</v>
      </c>
      <c r="C86" s="60" t="n">
        <f aca="false">(C69-C72)*1000000000/(C34*C45)</f>
        <v>2718.08712981468</v>
      </c>
      <c r="D86" s="60" t="n">
        <f aca="false">(D69-D72)*1000000000/(D34*D45)</f>
        <v>572.29812662692</v>
      </c>
      <c r="E86" s="60" t="n">
        <f aca="false">(E69-E72)*1000000000/(E34*E45)</f>
        <v>16.4784039406273</v>
      </c>
      <c r="F86" s="60" t="n">
        <f aca="false">(F69-F72)*1000000000/(F34*F45)</f>
        <v>6860.87326841406</v>
      </c>
      <c r="G86" s="60" t="n">
        <f aca="false">(G69-G72)*1000000000/(G34*G45)</f>
        <v>1837.26853644195</v>
      </c>
      <c r="H86" s="60" t="n">
        <f aca="false">(H69-H72)*1000000000/(H34*H45)</f>
        <v>41.0605015418913</v>
      </c>
      <c r="I86" s="60" t="n">
        <f aca="false">(I69-I72)*1000000000/(I34*I45)</f>
        <v>10870.1951601851</v>
      </c>
      <c r="J86" s="60" t="n">
        <f aca="false">(J69-J72)*1000000000/(J34*J45)</f>
        <v>3250.39018682026</v>
      </c>
      <c r="K86" s="60" t="n">
        <f aca="false">(K69-K72)*1000000000/(K34*K45)</f>
        <v>74.5336338210063</v>
      </c>
      <c r="L86" s="60" t="n">
        <f aca="false">(L69-L72)*1000000000/(L34*L45)</f>
        <v>10870.1951601851</v>
      </c>
      <c r="M86" s="60" t="n">
        <f aca="false">(M69-M72)*1000000000/(M34*M45)</f>
        <v>3250.39018682026</v>
      </c>
      <c r="N86" s="60" t="n">
        <f aca="false">(N69-N72)*1000000000/(N34*N45)</f>
        <v>74.5336338210063</v>
      </c>
      <c r="O86" s="60" t="n">
        <f aca="false">(O69-O72)*1000000000/(O34*O45)</f>
        <v>39907.1423866668</v>
      </c>
      <c r="P86" s="60" t="n">
        <f aca="false">(P69-P72)*1000000000/(P34*P45)</f>
        <v>13660.7600574619</v>
      </c>
      <c r="Q86" s="60" t="n">
        <f aca="false">(Q69-Q72)*1000000000/(Q34*Q45)</f>
        <v>443.883721740069</v>
      </c>
      <c r="R86" s="60" t="n">
        <f aca="false">(R69-R72)*1000000000/(R34*R45)</f>
        <v>2917.92538314035</v>
      </c>
      <c r="S86" s="60" t="n">
        <f aca="false">(S69-S72)*1000000000/(S34*S45)</f>
        <v>57.6557520174079</v>
      </c>
    </row>
    <row r="87" customFormat="false" ht="15" hidden="false" customHeight="false" outlineLevel="0" collapsed="false">
      <c r="A87" s="53" t="s">
        <v>737</v>
      </c>
      <c r="B87" s="53" t="s">
        <v>463</v>
      </c>
      <c r="C87" s="105" t="n">
        <f aca="false">MAX(0,MIN(C85,C86))</f>
        <v>77.1791602721487</v>
      </c>
      <c r="D87" s="105" t="n">
        <f aca="false">MAX(0,MIN(D85,D86))</f>
        <v>20.0598158574984</v>
      </c>
      <c r="E87" s="105" t="n">
        <f aca="false">MAX(0,MIN(E85,E86))</f>
        <v>4.55968903269538</v>
      </c>
      <c r="F87" s="105" t="n">
        <f aca="false">MAX(0,MIN(F85,F86))</f>
        <v>272.307505014644</v>
      </c>
      <c r="G87" s="105" t="n">
        <f aca="false">MAX(0,MIN(G85,G86))</f>
        <v>73.9768604853229</v>
      </c>
      <c r="H87" s="105" t="n">
        <f aca="false">MAX(0,MIN(H85,H86))</f>
        <v>16.9508160062901</v>
      </c>
      <c r="I87" s="105" t="n">
        <f aca="false">MAX(0,MIN(I85,I86))</f>
        <v>408.461257521966</v>
      </c>
      <c r="J87" s="105" t="n">
        <f aca="false">MAX(0,MIN(J85,J86))</f>
        <v>110.965290727984</v>
      </c>
      <c r="K87" s="105" t="n">
        <f aca="false">MAX(0,MIN(K85,K86))</f>
        <v>24.5055979744523</v>
      </c>
      <c r="L87" s="105" t="n">
        <f aca="false">MAX(0,MIN(L85,L86))</f>
        <v>959.702635492534</v>
      </c>
      <c r="M87" s="105" t="n">
        <f aca="false">MAX(0,MIN(M85,M86))</f>
        <v>267.88818550699</v>
      </c>
      <c r="N87" s="105" t="n">
        <f aca="false">MAX(0,MIN(N85,N86))</f>
        <v>62.8404597900412</v>
      </c>
      <c r="O87" s="105" t="n">
        <f aca="false">MAX(0,MIN(O85,O86))</f>
        <v>1923.00842261957</v>
      </c>
      <c r="P87" s="105" t="n">
        <f aca="false">MAX(0,MIN(P85,P86))</f>
        <v>541.016127272645</v>
      </c>
      <c r="Q87" s="105" t="n">
        <f aca="false">MAX(0,MIN(Q85,Q86))</f>
        <v>129.005710256048</v>
      </c>
      <c r="R87" s="67" t="n">
        <f aca="false">MAX(0,MIN(R85,R86))</f>
        <v>132.79214452806</v>
      </c>
      <c r="S87" s="67" t="n">
        <f aca="false">MAX(0,MIN(S85,S86))</f>
        <v>30.9855254022802</v>
      </c>
    </row>
    <row r="88" customFormat="false" ht="15" hidden="false" customHeight="false" outlineLevel="0" collapsed="false">
      <c r="A88" s="54" t="s">
        <v>738</v>
      </c>
      <c r="B88" s="54" t="s">
        <v>330</v>
      </c>
      <c r="C88" s="63" t="n">
        <f aca="false">IF(C87&gt;0,C87*C49/((C79+C87*C83)/1000),0)</f>
        <v>1543.58320544297</v>
      </c>
      <c r="D88" s="63" t="n">
        <f aca="false">IF(D87&gt;0,D87*D49/((D79+D87*D83)/1000),0)</f>
        <v>401.196317149967</v>
      </c>
      <c r="E88" s="63" t="n">
        <f aca="false">IF(E87&gt;0,E87*E49/((E79+E87*E83)/1000),0)</f>
        <v>91.1937806539076</v>
      </c>
      <c r="F88" s="63" t="n">
        <f aca="false">IF(F87&gt;0,F87*F49/((F79+F87*F83)/1000),0)</f>
        <v>5446.15010029288</v>
      </c>
      <c r="G88" s="63" t="n">
        <f aca="false">IF(G87&gt;0,G87*G49/((G79+G87*G83)/1000),0)</f>
        <v>1479.53720970646</v>
      </c>
      <c r="H88" s="63" t="n">
        <f aca="false">IF(H87&gt;0,H87*H49/((H79+H87*H83)/1000),0)</f>
        <v>339.016320125802</v>
      </c>
      <c r="I88" s="63" t="n">
        <f aca="false">IF(I87&gt;0,I87*I49/((I79+I87*I83)/1000),0)</f>
        <v>8169.22515043932</v>
      </c>
      <c r="J88" s="63" t="n">
        <f aca="false">IF(J87&gt;0,J87*J49/((J79+J87*J83)/1000),0)</f>
        <v>2219.30581455969</v>
      </c>
      <c r="K88" s="63" t="n">
        <f aca="false">IF(K87&gt;0,K87*K49/((K79+K87*K83)/1000),0)</f>
        <v>490.111959489046</v>
      </c>
      <c r="L88" s="63" t="n">
        <f aca="false">IF(L87&gt;0,L87*L49/((L79+L87*L83)/1000),0)</f>
        <v>19194.0527098507</v>
      </c>
      <c r="M88" s="63" t="n">
        <f aca="false">IF(M87&gt;0,M87*M49/((M79+M87*M83)/1000),0)</f>
        <v>5357.7637101398</v>
      </c>
      <c r="N88" s="63" t="n">
        <f aca="false">IF(N87&gt;0,N87*N49/((N79+N87*N83)/1000),0)</f>
        <v>1256.80919580082</v>
      </c>
      <c r="O88" s="63" t="n">
        <f aca="false">IF(O87&gt;0,O87*O49/((O79+O87*O83)/1000),0)</f>
        <v>38460.1684523914</v>
      </c>
      <c r="P88" s="63" t="n">
        <f aca="false">IF(P87&gt;0,P87*P49/((P79+P87*P83)/1000),0)</f>
        <v>10820.3225454529</v>
      </c>
      <c r="Q88" s="63" t="n">
        <f aca="false">IF(Q87&gt;0,Q87*Q49/((Q79+Q87*Q83)/1000),0)</f>
        <v>2580.11420512097</v>
      </c>
      <c r="R88" s="60" t="n">
        <f aca="false">IF(R87&gt;0,R87*R49/((R79+R87*R83)/1000),0)</f>
        <v>2655.8428905612</v>
      </c>
      <c r="S88" s="60" t="n">
        <f aca="false">IF(S87&gt;0,S87*S49/((S79+S87*S83)/1000),0)</f>
        <v>619.710508045603</v>
      </c>
    </row>
    <row r="89" customFormat="false" ht="15" hidden="false" customHeight="false" outlineLevel="0" collapsed="false">
      <c r="A89" s="53" t="s">
        <v>739</v>
      </c>
      <c r="B89" s="54" t="s">
        <v>330</v>
      </c>
      <c r="C89" s="60" t="n">
        <f aca="false">IF(C87&gt;0,C49/((C79+C87*C83)/1000),0)</f>
        <v>20</v>
      </c>
      <c r="D89" s="60" t="n">
        <f aca="false">IF(D87&gt;0,D49/((D79+D87*D83)/1000),0)</f>
        <v>20</v>
      </c>
      <c r="E89" s="60" t="n">
        <f aca="false">IF(E87&gt;0,E49/((E79+E87*E83)/1000),0)</f>
        <v>20</v>
      </c>
      <c r="F89" s="60" t="n">
        <f aca="false">IF(F87&gt;0,F49/((F79+F87*F83)/1000),0)</f>
        <v>20</v>
      </c>
      <c r="G89" s="60" t="n">
        <f aca="false">IF(G87&gt;0,G49/((G79+G87*G83)/1000),0)</f>
        <v>20</v>
      </c>
      <c r="H89" s="60" t="n">
        <f aca="false">IF(H87&gt;0,H49/((H79+H87*H83)/1000),0)</f>
        <v>20</v>
      </c>
      <c r="I89" s="60" t="n">
        <f aca="false">IF(I87&gt;0,I49/((I79+I87*I83)/1000),0)</f>
        <v>20</v>
      </c>
      <c r="J89" s="60" t="n">
        <f aca="false">IF(J87&gt;0,J49/((J79+J87*J83)/1000),0)</f>
        <v>20</v>
      </c>
      <c r="K89" s="60" t="n">
        <f aca="false">IF(K87&gt;0,K49/((K79+K87*K83)/1000),0)</f>
        <v>20</v>
      </c>
      <c r="L89" s="60" t="n">
        <f aca="false">IF(L87&gt;0,L49/((L79+L87*L83)/1000),0)</f>
        <v>20</v>
      </c>
      <c r="M89" s="60" t="n">
        <f aca="false">IF(M87&gt;0,M49/((M79+M87*M83)/1000),0)</f>
        <v>20</v>
      </c>
      <c r="N89" s="60" t="n">
        <f aca="false">IF(N87&gt;0,N49/((N79+N87*N83)/1000),0)</f>
        <v>20</v>
      </c>
      <c r="O89" s="60" t="n">
        <f aca="false">IF(O87&gt;0,O49/((O79+O87*O83)/1000),0)</f>
        <v>20</v>
      </c>
      <c r="P89" s="60" t="n">
        <f aca="false">IF(P87&gt;0,P49/((P79+P87*P83)/1000),0)</f>
        <v>20</v>
      </c>
      <c r="Q89" s="60" t="n">
        <f aca="false">IF(Q87&gt;0,Q49/((Q79+Q87*Q83)/1000),0)</f>
        <v>20</v>
      </c>
      <c r="R89" s="60" t="n">
        <f aca="false">IF(R87&gt;0,R49/((R79+R87*R83)/1000),0)</f>
        <v>20</v>
      </c>
      <c r="S89" s="60" t="n">
        <f aca="false">IF(S87&gt;0,S49/((S79+S87*S83)/1000),0)</f>
        <v>20</v>
      </c>
    </row>
    <row r="90" customFormat="false" ht="15" hidden="false" customHeight="false" outlineLevel="0" collapsed="false">
      <c r="A90" s="53" t="s">
        <v>740</v>
      </c>
      <c r="B90" s="53"/>
      <c r="C90" s="106" t="str">
        <f aca="false">IF(C87&lt;=0,"SLO 不可達",IF(C85&lt;=C86,"SLO（"&amp;C84&amp;"）","HBM 容量"))</f>
        <v>SLO（算力）</v>
      </c>
      <c r="D90" s="106" t="str">
        <f aca="false">IF(D87&lt;=0,"SLO 不可達",IF(D85&lt;=D86,"SLO（"&amp;D84&amp;"）","HBM 容量"))</f>
        <v>SLO（算力）</v>
      </c>
      <c r="E90" s="106" t="str">
        <f aca="false">IF(E87&lt;=0,"SLO 不可達",IF(E85&lt;=E86,"SLO（"&amp;E84&amp;"）","HBM 容量"))</f>
        <v>SLO（算力）</v>
      </c>
      <c r="F90" s="106" t="str">
        <f aca="false">IF(F87&lt;=0,"SLO 不可達",IF(F85&lt;=F86,"SLO（"&amp;F84&amp;"）","HBM 容量"))</f>
        <v>SLO（算力）</v>
      </c>
      <c r="G90" s="106" t="str">
        <f aca="false">IF(G87&lt;=0,"SLO 不可達",IF(G85&lt;=G86,"SLO（"&amp;G84&amp;"）","HBM 容量"))</f>
        <v>SLO（算力）</v>
      </c>
      <c r="H90" s="106" t="str">
        <f aca="false">IF(H87&lt;=0,"SLO 不可達",IF(H85&lt;=H86,"SLO（"&amp;H84&amp;"）","HBM 容量"))</f>
        <v>SLO（算力）</v>
      </c>
      <c r="I90" s="106" t="str">
        <f aca="false">IF(I87&lt;=0,"SLO 不可達",IF(I85&lt;=I86,"SLO（"&amp;I84&amp;"）","HBM 容量"))</f>
        <v>SLO（算力）</v>
      </c>
      <c r="J90" s="106" t="str">
        <f aca="false">IF(J87&lt;=0,"SLO 不可達",IF(J85&lt;=J86,"SLO（"&amp;J84&amp;"）","HBM 容量"))</f>
        <v>SLO（算力）</v>
      </c>
      <c r="K90" s="106" t="str">
        <f aca="false">IF(K87&lt;=0,"SLO 不可達",IF(K85&lt;=K86,"SLO（"&amp;K84&amp;"）","HBM 容量"))</f>
        <v>SLO（算力）</v>
      </c>
      <c r="L90" s="106" t="str">
        <f aca="false">IF(L87&lt;=0,"SLO 不可達",IF(L85&lt;=L86,"SLO（"&amp;L84&amp;"）","HBM 容量"))</f>
        <v>SLO（算力）</v>
      </c>
      <c r="M90" s="106" t="str">
        <f aca="false">IF(M87&lt;=0,"SLO 不可達",IF(M85&lt;=M86,"SLO（"&amp;M84&amp;"）","HBM 容量"))</f>
        <v>SLO（算力）</v>
      </c>
      <c r="N90" s="106" t="str">
        <f aca="false">IF(N87&lt;=0,"SLO 不可達",IF(N85&lt;=N86,"SLO（"&amp;N84&amp;"）","HBM 容量"))</f>
        <v>SLO（算力）</v>
      </c>
      <c r="O90" s="106" t="str">
        <f aca="false">IF(O87&lt;=0,"SLO 不可達",IF(O85&lt;=O86,"SLO（"&amp;O84&amp;"）","HBM 容量"))</f>
        <v>SLO（算力）</v>
      </c>
      <c r="P90" s="106" t="str">
        <f aca="false">IF(P87&lt;=0,"SLO 不可達",IF(P85&lt;=P86,"SLO（"&amp;P84&amp;"）","HBM 容量"))</f>
        <v>SLO（算力）</v>
      </c>
      <c r="Q90" s="106" t="str">
        <f aca="false">IF(Q87&lt;=0,"SLO 不可達",IF(Q85&lt;=Q86,"SLO（"&amp;Q84&amp;"）","HBM 容量"))</f>
        <v>SLO（算力）</v>
      </c>
      <c r="R90" s="53" t="str">
        <f aca="false">IF(R87&lt;=0,"SLO 不可達",IF(R85&lt;=R86,"SLO（"&amp;R84&amp;"）","HBM 容量"))</f>
        <v>SLO（算力）</v>
      </c>
      <c r="S90" s="53" t="str">
        <f aca="false">IF(S87&lt;=0,"SLO 不可達",IF(S85&lt;=S86,"SLO（"&amp;S84&amp;"）","HBM 容量"))</f>
        <v>SLO（算力）</v>
      </c>
    </row>
    <row r="91" customFormat="false" ht="15" hidden="false" customHeight="false" outlineLevel="0" collapsed="false">
      <c r="A91" s="54" t="s">
        <v>741</v>
      </c>
      <c r="B91" s="54" t="s">
        <v>71</v>
      </c>
      <c r="C91" s="78" t="n">
        <f aca="false">C87*C34*C45/1000000000/C69</f>
        <v>0.0245436590035235</v>
      </c>
      <c r="D91" s="78" t="n">
        <f aca="false">D87*D34*D45/1000000000/D69</f>
        <v>0.0180991248782179</v>
      </c>
      <c r="E91" s="78" t="n">
        <f aca="false">E87*E34*E45/1000000000/E69</f>
        <v>0.11952951217869</v>
      </c>
      <c r="F91" s="78" t="n">
        <f aca="false">F87*F34*F45/1000000000/F69</f>
        <v>0.0372456804756182</v>
      </c>
      <c r="G91" s="78" t="n">
        <f aca="false">G87*G34*G45/1000000000/G69</f>
        <v>0.0287080420423502</v>
      </c>
      <c r="H91" s="78" t="n">
        <f aca="false">H87*H34*H45/1000000000/H69</f>
        <v>0.191120632737759</v>
      </c>
      <c r="I91" s="78" t="n">
        <f aca="false">I87*I34*I45/1000000000/I69</f>
        <v>0.0360817529607552</v>
      </c>
      <c r="J91" s="78" t="n">
        <f aca="false">J87*J34*J45/1000000000/J69</f>
        <v>0.0278109157285267</v>
      </c>
      <c r="K91" s="78" t="n">
        <f aca="false">K87*K34*K45/1000000000/K69</f>
        <v>0.178444318761523</v>
      </c>
      <c r="L91" s="78" t="n">
        <f aca="false">L87*L34*L45/1000000000/L69</f>
        <v>0.0847761024379775</v>
      </c>
      <c r="M91" s="78" t="n">
        <f aca="false">M87*M34*M45/1000000000/M69</f>
        <v>0.0671400552634605</v>
      </c>
      <c r="N91" s="78" t="n">
        <f aca="false">N87*N34*N45/1000000000/N69</f>
        <v>0.45759026364446</v>
      </c>
      <c r="O91" s="78" t="n">
        <f aca="false">O87*O34*O45/1000000000/O69</f>
        <v>0.0477760759219707</v>
      </c>
      <c r="P91" s="78" t="n">
        <f aca="false">P87*P34*P45/1000000000/P69</f>
        <v>0.0381356256824184</v>
      </c>
      <c r="Q91" s="78" t="n">
        <f aca="false">Q87*Q34*Q45/1000000000/Q69</f>
        <v>0.264203694604387</v>
      </c>
      <c r="R91" s="78" t="n">
        <f aca="false">R87*R34*R45/1000000000/R69</f>
        <v>0.0332813181189536</v>
      </c>
      <c r="S91" s="78" t="n">
        <f aca="false">S87*S34*S45/1000000000/S69</f>
        <v>0.225629710307092</v>
      </c>
    </row>
    <row r="92" customFormat="false" ht="15" hidden="false" customHeight="false" outlineLevel="0" collapsed="false">
      <c r="A92" s="68" t="s">
        <v>742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</row>
    <row r="93" customFormat="false" ht="15" hidden="false" customHeight="false" outlineLevel="0" collapsed="false">
      <c r="A93" s="53" t="s">
        <v>743</v>
      </c>
      <c r="B93" s="54" t="s">
        <v>744</v>
      </c>
      <c r="C93" s="107" t="n">
        <f aca="false">IF(C88&gt;0,C43/C75+C44/C88,0)</f>
        <v>5.75312169485197</v>
      </c>
      <c r="D93" s="107" t="n">
        <f aca="false">IF(D88&gt;0,D43/D75+D44/D88,0)</f>
        <v>44.4693141798769</v>
      </c>
      <c r="E93" s="107" t="n">
        <f aca="false">IF(E88&gt;0,E43/E75+E44/E88,0)</f>
        <v>381.425705248593</v>
      </c>
      <c r="F93" s="107" t="n">
        <f aca="false">IF(F88&gt;0,F43/F75+F44/F88,0)</f>
        <v>1.54829019509718</v>
      </c>
      <c r="G93" s="107" t="n">
        <f aca="false">IF(G88&gt;0,G43/G75+G44/G88,0)</f>
        <v>11.4328835637132</v>
      </c>
      <c r="H93" s="107" t="n">
        <f aca="false">IF(H88&gt;0,H43/H75+H44/H88,0)</f>
        <v>98.8420960720572</v>
      </c>
      <c r="I93" s="107" t="n">
        <f aca="false">IF(I88&gt;0,I43/I75+I44/I88,0)</f>
        <v>1.03219346339812</v>
      </c>
      <c r="J93" s="107" t="n">
        <f aca="false">IF(J88&gt;0,J43/J75+J44/J88,0)</f>
        <v>7.62192237580878</v>
      </c>
      <c r="K93" s="107" t="n">
        <f aca="false">IF(K88&gt;0,K43/K75+K44/K88,0)</f>
        <v>68.3155145929587</v>
      </c>
      <c r="L93" s="107" t="n">
        <f aca="false">IF(L88&gt;0,L43/L75+L44/L88,0)</f>
        <v>0.439401260923749</v>
      </c>
      <c r="M93" s="107" t="n">
        <f aca="false">IF(M88&gt;0,M43/M75+M44/M88,0)</f>
        <v>3.16060671949771</v>
      </c>
      <c r="N93" s="107" t="n">
        <f aca="false">IF(N88&gt;0,N43/N75+N44/N88,0)</f>
        <v>26.6969408564809</v>
      </c>
      <c r="O93" s="107" t="n">
        <f aca="false">IF(O88&gt;0,O43/O75+O44/O88,0)</f>
        <v>0.219300782747588</v>
      </c>
      <c r="P93" s="107" t="n">
        <f aca="false">IF(P88&gt;0,P43/P75+P44/P88,0)</f>
        <v>1.56549498961155</v>
      </c>
      <c r="Q93" s="107" t="n">
        <f aca="false">IF(Q88&gt;0,Q43/Q75+Q44/Q88,0)</f>
        <v>13.0124962012397</v>
      </c>
      <c r="R93" s="107" t="n">
        <f aca="false">IF(R88&gt;0,R43/R75+R44/R88,0)</f>
        <v>6.37426851660065</v>
      </c>
      <c r="S93" s="107" t="n">
        <f aca="false">IF(S88&gt;0,S43/S75+S44/S88,0)</f>
        <v>54.1254347961996</v>
      </c>
    </row>
    <row r="94" customFormat="false" ht="15" hidden="false" customHeight="false" outlineLevel="0" collapsed="false">
      <c r="A94" s="54" t="s">
        <v>745</v>
      </c>
      <c r="B94" s="54" t="s">
        <v>71</v>
      </c>
      <c r="C94" s="78" t="n">
        <f aca="false">IF(C93&gt;0,(C43/C75)/C93,0)</f>
        <v>0.0775213188006939</v>
      </c>
      <c r="D94" s="78" t="n">
        <f aca="false">IF(D93&gt;0,(D43/D75)/D93,0)</f>
        <v>0.0816619692652938</v>
      </c>
      <c r="E94" s="78" t="n">
        <f aca="false">IF(E93&gt;0,(E43/E75)/E93,0)</f>
        <v>0.0579482595558304</v>
      </c>
      <c r="F94" s="78" t="n">
        <f aca="false">IF(F93&gt;0,(F43/F75)/F93,0)</f>
        <v>0.0284884382147146</v>
      </c>
      <c r="G94" s="78" t="n">
        <f aca="false">IF(G93&gt;0,(G43/G75)/G93,0)</f>
        <v>0.0314138229287931</v>
      </c>
      <c r="H94" s="78" t="n">
        <f aca="false">IF(H93&gt;0,(H43/H75)/H93,0)</f>
        <v>0.0221159041787377</v>
      </c>
      <c r="I94" s="78" t="n">
        <f aca="false">IF(I93&gt;0,(I43/I75)/I93,0)</f>
        <v>0.0284884382147146</v>
      </c>
      <c r="J94" s="78" t="n">
        <f aca="false">IF(J93&gt;0,(J43/J75)/J93,0)</f>
        <v>0.0314138229287931</v>
      </c>
      <c r="K94" s="78" t="n">
        <f aca="false">IF(K93&gt;0,(K43/K75)/K93,0)</f>
        <v>0.0213322194680554</v>
      </c>
      <c r="L94" s="78" t="n">
        <f aca="false">IF(L93&gt;0,(L43/L75)/L93,0)</f>
        <v>0.0286808264427474</v>
      </c>
      <c r="M94" s="78" t="n">
        <f aca="false">IF(M93&gt;0,(M43/M75)/M93,0)</f>
        <v>0.0324666940523433</v>
      </c>
      <c r="N94" s="78" t="n">
        <f aca="false">IF(N93&gt;0,(N43/N75)/N93,0)</f>
        <v>0.0233946796409236</v>
      </c>
      <c r="O94" s="78" t="n">
        <f aca="false">IF(O93&gt;0,(O43/O75)/O93,0)</f>
        <v>0.0287331197485592</v>
      </c>
      <c r="P94" s="78" t="n">
        <f aca="false">IF(P93&gt;0,(P43/P75)/P93,0)</f>
        <v>0.0327738038328614</v>
      </c>
      <c r="Q94" s="78" t="n">
        <f aca="false">IF(Q93&gt;0,(Q43/Q75)/Q93,0)</f>
        <v>0.0239987151224127</v>
      </c>
      <c r="R94" s="78" t="n">
        <f aca="false">IF(R93&gt;0,(R43/R75)/R93,0)</f>
        <v>0.0321964633634343</v>
      </c>
      <c r="S94" s="78" t="n">
        <f aca="false">IF(S93&gt;0,(S43/S75)/S93,0)</f>
        <v>0.0230784798711275</v>
      </c>
    </row>
    <row r="95" customFormat="false" ht="15" hidden="false" customHeight="false" outlineLevel="0" collapsed="false">
      <c r="A95" s="53" t="s">
        <v>746</v>
      </c>
      <c r="B95" s="54" t="s">
        <v>330</v>
      </c>
      <c r="C95" s="63" t="n">
        <f aca="false">IF(C93&gt;0,C22*(C43+C44)/C93,0)</f>
        <v>68348.2847845647</v>
      </c>
      <c r="D95" s="63" t="n">
        <f aca="false">IF(D93&gt;0,D22*(D43+D44)/D93,0)</f>
        <v>17684.8241198168</v>
      </c>
      <c r="E95" s="63" t="n">
        <f aca="false">IF(E93&gt;0,E22*(E43+E44)/E93,0)</f>
        <v>4123.64446956948</v>
      </c>
      <c r="F95" s="63" t="n">
        <f aca="false">IF(F93&gt;0,F22*(F43+F44)/F93,0)</f>
        <v>571427.761282483</v>
      </c>
      <c r="G95" s="63" t="n">
        <f aca="false">IF(G93&gt;0,G22*(G43+G44)/G93,0)</f>
        <v>154770.403296691</v>
      </c>
      <c r="H95" s="63" t="n">
        <f aca="false">IF(H93&gt;0,H22*(H43+H44)/H93,0)</f>
        <v>35804.0161088861</v>
      </c>
      <c r="I95" s="63" t="n">
        <f aca="false">IF(I93&gt;0,I22*(I43+I44)/I93,0)</f>
        <v>857141.641923725</v>
      </c>
      <c r="J95" s="63" t="n">
        <f aca="false">IF(J93&gt;0,J22*(J43+J44)/J93,0)</f>
        <v>232155.604945037</v>
      </c>
      <c r="K95" s="63" t="n">
        <f aca="false">IF(K93&gt;0,K22*(K43+K44)/K93,0)</f>
        <v>51802.9326293732</v>
      </c>
      <c r="L95" s="63" t="n">
        <f aca="false">IF(L93&gt;0,L22*(L43+L44)/L93,0)</f>
        <v>2013503.55285742</v>
      </c>
      <c r="M95" s="63" t="n">
        <f aca="false">IF(M93&gt;0,M22*(M43+M44)/M93,0)</f>
        <v>559852.002175458</v>
      </c>
      <c r="N95" s="63" t="n">
        <f aca="false">IF(N93&gt;0,N22*(N43+N44)/N93,0)</f>
        <v>132559.907107892</v>
      </c>
      <c r="O95" s="63" t="n">
        <f aca="false">IF(O93&gt;0,O22*(O43+O44)/O93,0)</f>
        <v>4034349.4852835</v>
      </c>
      <c r="P95" s="63" t="n">
        <f aca="false">IF(P93&gt;0,P22*(P43+P44)/P93,0)</f>
        <v>1130295.53702951</v>
      </c>
      <c r="Q95" s="63" t="n">
        <f aca="false">IF(Q93&gt;0,Q22*(Q43+Q44)/Q93,0)</f>
        <v>271965.03616753</v>
      </c>
      <c r="R95" s="60" t="n">
        <f aca="false">IF(R93&gt;0,R22*(R43+R44)/R93,0)</f>
        <v>277596.087361511</v>
      </c>
      <c r="S95" s="60" t="n">
        <f aca="false">IF(S93&gt;0,S22*(S43+S44)/S93,0)</f>
        <v>65384.1214084526</v>
      </c>
    </row>
    <row r="96" customFormat="false" ht="15" hidden="false" customHeight="false" outlineLevel="0" collapsed="false">
      <c r="A96" s="53" t="s">
        <v>747</v>
      </c>
      <c r="B96" s="54" t="s">
        <v>330</v>
      </c>
      <c r="C96" s="60" t="n">
        <f aca="false">C95*C44/(C43+C44)</f>
        <v>45565.5231897098</v>
      </c>
      <c r="D96" s="60" t="n">
        <f aca="false">D95*D44/(D43+D44)</f>
        <v>11789.8827465446</v>
      </c>
      <c r="E96" s="60" t="n">
        <f aca="false">E95*E44/(E43+E44)</f>
        <v>2749.09631304632</v>
      </c>
      <c r="F96" s="60" t="n">
        <f aca="false">F95*F44/(F43+F44)</f>
        <v>380951.840854989</v>
      </c>
      <c r="G96" s="60" t="n">
        <f aca="false">G95*G44/(G43+G44)</f>
        <v>103180.268864461</v>
      </c>
      <c r="H96" s="60" t="n">
        <f aca="false">H95*H44/(H43+H44)</f>
        <v>23869.3440725907</v>
      </c>
      <c r="I96" s="60" t="n">
        <f aca="false">I95*I44/(I43+I44)</f>
        <v>571427.761282483</v>
      </c>
      <c r="J96" s="60" t="n">
        <f aca="false">J95*J44/(J43+J44)</f>
        <v>154770.403296691</v>
      </c>
      <c r="K96" s="60" t="n">
        <f aca="false">K95*K44/(K43+K44)</f>
        <v>34535.2884195821</v>
      </c>
      <c r="L96" s="60" t="n">
        <f aca="false">L95*L44/(L43+L44)</f>
        <v>1342335.70190495</v>
      </c>
      <c r="M96" s="60" t="n">
        <f aca="false">M95*M44/(M43+M44)</f>
        <v>373234.668116972</v>
      </c>
      <c r="N96" s="60" t="n">
        <f aca="false">N95*N44/(N43+N44)</f>
        <v>88373.2714052614</v>
      </c>
      <c r="O96" s="60" t="n">
        <f aca="false">O95*O44/(O43+O44)</f>
        <v>2689566.32352234</v>
      </c>
      <c r="P96" s="60" t="n">
        <f aca="false">P95*P44/(P43+P44)</f>
        <v>753530.358019676</v>
      </c>
      <c r="Q96" s="60" t="n">
        <f aca="false">Q95*Q44/(Q43+Q44)</f>
        <v>181310.024111687</v>
      </c>
      <c r="R96" s="60" t="n">
        <f aca="false">R95*R44/(R43+R44)</f>
        <v>185064.058241007</v>
      </c>
      <c r="S96" s="60" t="n">
        <f aca="false">S95*S44/(S43+S44)</f>
        <v>43589.4142723017</v>
      </c>
    </row>
    <row r="97" customFormat="false" ht="15" hidden="false" customHeight="false" outlineLevel="0" collapsed="false">
      <c r="A97" s="53" t="s">
        <v>748</v>
      </c>
      <c r="B97" s="54" t="s">
        <v>330</v>
      </c>
      <c r="C97" s="60" t="n">
        <f aca="false">C95-C96</f>
        <v>22782.7615948549</v>
      </c>
      <c r="D97" s="60" t="n">
        <f aca="false">D95-D96</f>
        <v>5894.94137327228</v>
      </c>
      <c r="E97" s="60" t="n">
        <f aca="false">E95-E96</f>
        <v>1374.54815652316</v>
      </c>
      <c r="F97" s="60" t="n">
        <f aca="false">F95-F96</f>
        <v>190475.920427494</v>
      </c>
      <c r="G97" s="60" t="n">
        <f aca="false">G95-G96</f>
        <v>51590.1344322304</v>
      </c>
      <c r="H97" s="60" t="n">
        <f aca="false">H95-H96</f>
        <v>11934.6720362954</v>
      </c>
      <c r="I97" s="60" t="n">
        <f aca="false">I95-I96</f>
        <v>285713.880641242</v>
      </c>
      <c r="J97" s="60" t="n">
        <f aca="false">J95-J96</f>
        <v>77385.2016483456</v>
      </c>
      <c r="K97" s="60" t="n">
        <f aca="false">K95-K96</f>
        <v>17267.6442097911</v>
      </c>
      <c r="L97" s="60" t="n">
        <f aca="false">L95-L96</f>
        <v>671167.850952474</v>
      </c>
      <c r="M97" s="60" t="n">
        <f aca="false">M95-M96</f>
        <v>186617.334058486</v>
      </c>
      <c r="N97" s="60" t="n">
        <f aca="false">N95-N96</f>
        <v>44186.6357026307</v>
      </c>
      <c r="O97" s="60" t="n">
        <f aca="false">O95-O96</f>
        <v>1344783.16176117</v>
      </c>
      <c r="P97" s="60" t="n">
        <f aca="false">P95-P96</f>
        <v>376765.179009838</v>
      </c>
      <c r="Q97" s="60" t="n">
        <f aca="false">Q95-Q96</f>
        <v>90655.0120558433</v>
      </c>
      <c r="R97" s="60" t="n">
        <f aca="false">R95-R96</f>
        <v>92532.0291205036</v>
      </c>
      <c r="S97" s="60" t="n">
        <f aca="false">S95-S96</f>
        <v>21794.7071361509</v>
      </c>
    </row>
    <row r="98" customFormat="false" ht="15" hidden="false" customHeight="false" outlineLevel="0" collapsed="false">
      <c r="A98" s="53" t="s">
        <v>749</v>
      </c>
      <c r="B98" s="54" t="s">
        <v>750</v>
      </c>
      <c r="C98" s="63" t="n">
        <f aca="false">C95*C25*8760*3600/1000000</f>
        <v>48365727629.6888</v>
      </c>
      <c r="D98" s="63" t="n">
        <f aca="false">D95*D25*8760*3600/1000000</f>
        <v>12514423577.0372</v>
      </c>
      <c r="E98" s="63" t="n">
        <f aca="false">E95*E25*8760*3600/1000000</f>
        <v>2918040531.45619</v>
      </c>
      <c r="F98" s="63" t="n">
        <f aca="false">F95*F25*8760*3600/1000000</f>
        <v>125585184236.357</v>
      </c>
      <c r="G98" s="63" t="n">
        <f aca="false">G95*G25*8760*3600/1000000</f>
        <v>34014570045.9619</v>
      </c>
      <c r="H98" s="63" t="n">
        <f aca="false">H95*H25*8760*3600/1000000</f>
        <v>7868805585.05652</v>
      </c>
      <c r="I98" s="63" t="n">
        <f aca="false">I95*I25*8760*3600/1000000</f>
        <v>182836458496.495</v>
      </c>
      <c r="J98" s="63" t="n">
        <f aca="false">J95*J25*8760*3600/1000000</f>
        <v>49520996941.6458</v>
      </c>
      <c r="K98" s="63" t="n">
        <f aca="false">K95*K25*8760*3600/1000000</f>
        <v>11050057864.917</v>
      </c>
      <c r="L98" s="63" t="n">
        <f aca="false">L95*L25*8760*3600/1000000</f>
        <v>257293280269.878</v>
      </c>
      <c r="M98" s="63" t="n">
        <f aca="false">M95*M25*8760*3600/1000000</f>
        <v>71540056584.9324</v>
      </c>
      <c r="N98" s="63" t="n">
        <f aca="false">N95*N25*8760*3600/1000000</f>
        <v>16939018202.2068</v>
      </c>
      <c r="O98" s="63" t="n">
        <f aca="false">O95*O25*8760*3600/1000000</f>
        <v>344149698720.171</v>
      </c>
      <c r="P98" s="63" t="n">
        <f aca="false">P95*P25*8760*3600/1000000</f>
        <v>96419725150.8382</v>
      </c>
      <c r="Q98" s="63" t="n">
        <f aca="false">Q95*Q25*8760*3600/1000000</f>
        <v>23199944774.4668</v>
      </c>
      <c r="R98" s="60" t="n">
        <f aca="false">R95*R25*8760*3600/1000000</f>
        <v>35472302895.1041</v>
      </c>
      <c r="S98" s="60" t="n">
        <f aca="false">S95*S25*8760*3600/1000000</f>
        <v>8355036200.89017</v>
      </c>
    </row>
    <row r="99" customFormat="false" ht="15" hidden="false" customHeight="false" outlineLevel="0" collapsed="false">
      <c r="A99" s="53" t="s">
        <v>751</v>
      </c>
      <c r="B99" s="54" t="s">
        <v>750</v>
      </c>
      <c r="C99" s="60" t="n">
        <f aca="false">C96*C25*8760*3600/1000000</f>
        <v>32243818419.7925</v>
      </c>
      <c r="D99" s="60" t="n">
        <f aca="false">D96*D25*8760*3600/1000000</f>
        <v>8342949051.35816</v>
      </c>
      <c r="E99" s="60" t="n">
        <f aca="false">E96*E25*8760*3600/1000000</f>
        <v>1945360354.30413</v>
      </c>
      <c r="F99" s="60" t="n">
        <f aca="false">F96*F25*8760*3600/1000000</f>
        <v>83723456157.5712</v>
      </c>
      <c r="G99" s="60" t="n">
        <f aca="false">G96*G25*8760*3600/1000000</f>
        <v>22676380030.6413</v>
      </c>
      <c r="H99" s="60" t="n">
        <f aca="false">H96*H25*8760*3600/1000000</f>
        <v>5245870390.03768</v>
      </c>
      <c r="I99" s="60" t="n">
        <f aca="false">I96*I25*8760*3600/1000000</f>
        <v>121890972330.997</v>
      </c>
      <c r="J99" s="60" t="n">
        <f aca="false">J96*J25*8760*3600/1000000</f>
        <v>33013997961.0972</v>
      </c>
      <c r="K99" s="60" t="n">
        <f aca="false">K96*K25*8760*3600/1000000</f>
        <v>7366705243.27801</v>
      </c>
      <c r="L99" s="60" t="n">
        <f aca="false">L96*L25*8760*3600/1000000</f>
        <v>171528853513.252</v>
      </c>
      <c r="M99" s="60" t="n">
        <f aca="false">M96*M25*8760*3600/1000000</f>
        <v>47693371056.6216</v>
      </c>
      <c r="N99" s="60" t="n">
        <f aca="false">N96*N25*8760*3600/1000000</f>
        <v>11292678801.4712</v>
      </c>
      <c r="O99" s="60" t="n">
        <f aca="false">O96*O25*8760*3600/1000000</f>
        <v>229433132480.114</v>
      </c>
      <c r="P99" s="60" t="n">
        <f aca="false">P96*P25*8760*3600/1000000</f>
        <v>64279816767.2255</v>
      </c>
      <c r="Q99" s="60" t="n">
        <f aca="false">Q96*Q25*8760*3600/1000000</f>
        <v>15466629849.6445</v>
      </c>
      <c r="R99" s="60" t="n">
        <f aca="false">R96*R25*8760*3600/1000000</f>
        <v>23648201930.0694</v>
      </c>
      <c r="S99" s="60" t="n">
        <f aca="false">S96*S25*8760*3600/1000000</f>
        <v>5570024133.92678</v>
      </c>
    </row>
    <row r="100" customFormat="false" ht="15" hidden="false" customHeight="false" outlineLevel="0" collapsed="false">
      <c r="A100" s="68" t="s">
        <v>752</v>
      </c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</row>
    <row r="101" customFormat="false" ht="15" hidden="false" customHeight="false" outlineLevel="0" collapsed="false">
      <c r="A101" s="53" t="s">
        <v>753</v>
      </c>
      <c r="B101" s="54" t="s">
        <v>754</v>
      </c>
      <c r="C101" s="67" t="n">
        <f aca="false">1000000/C75</f>
        <v>108.884175050246</v>
      </c>
      <c r="D101" s="67" t="n">
        <f aca="false">1000000/D75</f>
        <v>443.292452124732</v>
      </c>
      <c r="E101" s="67" t="n">
        <f aca="false">1000000/E75</f>
        <v>1349.05735894843</v>
      </c>
      <c r="F101" s="67" t="n">
        <f aca="false">1000000/F75</f>
        <v>10.7686449124693</v>
      </c>
      <c r="G101" s="67" t="n">
        <f aca="false">1000000/G75</f>
        <v>43.841623515136</v>
      </c>
      <c r="H101" s="67" t="n">
        <f aca="false">1000000/H75</f>
        <v>133.4217728</v>
      </c>
      <c r="I101" s="67" t="n">
        <f aca="false">1000000/I75</f>
        <v>7.17909660831289</v>
      </c>
      <c r="J101" s="67" t="n">
        <f aca="false">1000000/J75</f>
        <v>29.2277490100907</v>
      </c>
      <c r="K101" s="67" t="n">
        <f aca="false">1000000/K75</f>
        <v>88.9478485333333</v>
      </c>
      <c r="L101" s="67" t="n">
        <f aca="false">1000000/L75</f>
        <v>3.07675568927695</v>
      </c>
      <c r="M101" s="67" t="n">
        <f aca="false">1000000/M75</f>
        <v>12.5261781471817</v>
      </c>
      <c r="N101" s="67" t="n">
        <f aca="false">1000000/N75</f>
        <v>38.1205065142857</v>
      </c>
      <c r="O101" s="67" t="n">
        <f aca="false">1000000/O75</f>
        <v>1.53837784463848</v>
      </c>
      <c r="P101" s="67" t="n">
        <f aca="false">1000000/P75</f>
        <v>6.26308907359086</v>
      </c>
      <c r="Q101" s="67" t="n">
        <f aca="false">1000000/Q75</f>
        <v>19.0602532571429</v>
      </c>
      <c r="R101" s="67" t="n">
        <f aca="false">1000000/R75</f>
        <v>25.0523562943634</v>
      </c>
      <c r="S101" s="67" t="n">
        <f aca="false">1000000/S75</f>
        <v>76.2410130285714</v>
      </c>
    </row>
    <row r="102" customFormat="false" ht="15" hidden="false" customHeight="false" outlineLevel="0" collapsed="false">
      <c r="A102" s="53" t="s">
        <v>755</v>
      </c>
      <c r="B102" s="54" t="s">
        <v>754</v>
      </c>
      <c r="C102" s="108" t="n">
        <f aca="false">1000000*C34/(C62*1000000000000)</f>
        <v>0.02795</v>
      </c>
      <c r="D102" s="108" t="n">
        <f aca="false">1000000*D34/(D62*1000000000000)</f>
        <v>0.03965</v>
      </c>
      <c r="E102" s="108" t="n">
        <f aca="false">1000000*E34/(E62*1000000000000)</f>
        <v>0.576</v>
      </c>
      <c r="F102" s="108" t="n">
        <f aca="false">1000000*F34/(F62*1000000000000)</f>
        <v>0.02795</v>
      </c>
      <c r="G102" s="108" t="n">
        <f aca="false">1000000*G34/(G62*1000000000000)</f>
        <v>0.03965</v>
      </c>
      <c r="H102" s="108" t="n">
        <f aca="false">1000000*H34/(H62*1000000000000)</f>
        <v>0.576</v>
      </c>
      <c r="I102" s="108" t="n">
        <f aca="false">1000000*I34/(I62*1000000000000)</f>
        <v>0.02795</v>
      </c>
      <c r="J102" s="108" t="n">
        <f aca="false">1000000*J34/(J62*1000000000000)</f>
        <v>0.03965</v>
      </c>
      <c r="K102" s="108" t="n">
        <f aca="false">1000000*K34/(K62*1000000000000)</f>
        <v>0.576</v>
      </c>
      <c r="L102" s="108" t="n">
        <f aca="false">1000000*L34/(L62*1000000000000)</f>
        <v>0.02795</v>
      </c>
      <c r="M102" s="108" t="n">
        <f aca="false">1000000*M34/(M62*1000000000000)</f>
        <v>0.03965</v>
      </c>
      <c r="N102" s="108" t="n">
        <f aca="false">1000000*N34/(N62*1000000000000)</f>
        <v>0.576</v>
      </c>
      <c r="O102" s="108" t="n">
        <f aca="false">1000000*O34/(O62*1000000000000)</f>
        <v>0.02795</v>
      </c>
      <c r="P102" s="108" t="n">
        <f aca="false">1000000*P34/(P62*1000000000000)</f>
        <v>0.03965</v>
      </c>
      <c r="Q102" s="108" t="n">
        <f aca="false">1000000*Q34/(Q62*1000000000000)</f>
        <v>0.576</v>
      </c>
      <c r="R102" s="108" t="n">
        <f aca="false">1000000*R34/(R62*1000000000000)</f>
        <v>0.03965</v>
      </c>
      <c r="S102" s="108" t="n">
        <f aca="false">1000000*S34/(S62*1000000000000)</f>
        <v>0.576</v>
      </c>
    </row>
    <row r="103" customFormat="false" ht="15" hidden="false" customHeight="false" outlineLevel="0" collapsed="false">
      <c r="A103" s="54" t="s">
        <v>756</v>
      </c>
      <c r="B103" s="54" t="s">
        <v>754</v>
      </c>
      <c r="C103" s="67" t="n">
        <f aca="false">IF(C88&gt;0,1000000/C88,0)</f>
        <v>647.843275615986</v>
      </c>
      <c r="D103" s="67" t="n">
        <f aca="false">IF(D88&gt;0,1000000/D88,0)</f>
        <v>2492.54531323676</v>
      </c>
      <c r="E103" s="67" t="n">
        <f aca="false">IF(E88&gt;0,1000000/E88,0)</f>
        <v>10965.660079333</v>
      </c>
      <c r="F103" s="67" t="n">
        <f aca="false">IF(F88&gt;0,1000000/F88,0)</f>
        <v>183.615945499964</v>
      </c>
      <c r="G103" s="67" t="n">
        <f aca="false">IF(G88&gt;0,1000000/G88,0)</f>
        <v>675.887022941722</v>
      </c>
      <c r="H103" s="67" t="n">
        <f aca="false">IF(H88&gt;0,1000000/H88,0)</f>
        <v>2949.71050251776</v>
      </c>
      <c r="I103" s="67" t="n">
        <f aca="false">IF(I88&gt;0,1000000/I88,0)</f>
        <v>122.410630333309</v>
      </c>
      <c r="J103" s="67" t="n">
        <f aca="false">IF(J88&gt;0,1000000/J88,0)</f>
        <v>450.591348627815</v>
      </c>
      <c r="K103" s="67" t="n">
        <f aca="false">IF(K88&gt;0,1000000/K88,0)</f>
        <v>2040.35012947353</v>
      </c>
      <c r="L103" s="67" t="n">
        <f aca="false">IF(L88&gt;0,1000000/L88,0)</f>
        <v>52.0994713892176</v>
      </c>
      <c r="M103" s="67" t="n">
        <f aca="false">IF(M88&gt;0,1000000/M88,0)</f>
        <v>186.645035895752</v>
      </c>
      <c r="N103" s="67" t="n">
        <f aca="false">IF(N88&gt;0,1000000/N88,0)</f>
        <v>795.665725029018</v>
      </c>
      <c r="O103" s="67" t="n">
        <f aca="false">IF(O88&gt;0,1000000/O88,0)</f>
        <v>26.0009261591734</v>
      </c>
      <c r="P103" s="67" t="n">
        <f aca="false">IF(P88&gt;0,1000000/P88,0)</f>
        <v>92.4186867627377</v>
      </c>
      <c r="Q103" s="67" t="n">
        <f aca="false">IF(Q88&gt;0,1000000/Q88,0)</f>
        <v>387.579742794027</v>
      </c>
      <c r="R103" s="67" t="n">
        <f aca="false">IF(R88&gt;0,1000000/R88,0)</f>
        <v>376.528296742994</v>
      </c>
      <c r="S103" s="67" t="n">
        <f aca="false">IF(S88&gt;0,1000000/S88,0)</f>
        <v>1613.65667842833</v>
      </c>
    </row>
    <row r="104" customFormat="false" ht="15" hidden="false" customHeight="false" outlineLevel="0" collapsed="false">
      <c r="A104" s="53" t="s">
        <v>757</v>
      </c>
      <c r="B104" s="54" t="s">
        <v>758</v>
      </c>
      <c r="C104" s="109" t="n">
        <f aca="false">INDEX(DC_Cost!$C$58:$Q$58,3*(C$6-1)+2)/3600*C101</f>
        <v>0.048545079586538</v>
      </c>
      <c r="D104" s="109" t="n">
        <f aca="false">INDEX(DC_Cost!$C$58:$Q$58,3*(D$6-1)+2)/3600*D101</f>
        <v>0.197638154108034</v>
      </c>
      <c r="E104" s="109" t="n">
        <f aca="false">INDEX(DC_Cost!$C$58:$Q$58,3*(E$6-1)+2)/3600*E101</f>
        <v>0.601465702676585</v>
      </c>
      <c r="F104" s="109" t="n">
        <f aca="false">INDEX(DC_Cost!$C$58:$Q$58,3*(F$6-1)+2)/3600*F101</f>
        <v>0.006241188878449</v>
      </c>
      <c r="G104" s="109" t="n">
        <f aca="false">INDEX(DC_Cost!$C$58:$Q$58,3*(G$6-1)+2)/3600*G101</f>
        <v>0.0254093115076139</v>
      </c>
      <c r="H104" s="109" t="n">
        <f aca="false">INDEX(DC_Cost!$C$58:$Q$58,3*(H$6-1)+2)/3600*H101</f>
        <v>0.0773273231043294</v>
      </c>
      <c r="I104" s="109" t="n">
        <f aca="false">INDEX(DC_Cost!$C$58:$Q$58,3*(I$6-1)+2)/3600*I101</f>
        <v>0.00594807217347165</v>
      </c>
      <c r="J104" s="109" t="n">
        <f aca="false">INDEX(DC_Cost!$C$58:$Q$58,3*(J$6-1)+2)/3600*J101</f>
        <v>0.0242159661675021</v>
      </c>
      <c r="K104" s="109" t="n">
        <f aca="false">INDEX(DC_Cost!$C$58:$Q$58,3*(K$6-1)+2)/3600*K101</f>
        <v>0.0736956544279774</v>
      </c>
      <c r="L104" s="109" t="n">
        <f aca="false">INDEX(DC_Cost!$C$58:$Q$58,3*(L$6-1)+2)/3600*L101</f>
        <v>0.0042677969570936</v>
      </c>
      <c r="M104" s="109" t="n">
        <f aca="false">INDEX(DC_Cost!$C$58:$Q$58,3*(M$6-1)+2)/3600*M101</f>
        <v>0.0173751803456054</v>
      </c>
      <c r="N104" s="109" t="n">
        <f aca="false">INDEX(DC_Cost!$C$58:$Q$58,3*(N$6-1)+2)/3600*N101</f>
        <v>0.0528773156320281</v>
      </c>
      <c r="O104" s="109" t="n">
        <f aca="false">INDEX(DC_Cost!$C$58:$Q$58,3*(O$6-1)+2)/3600*O101</f>
        <v>0.00402492541471141</v>
      </c>
      <c r="P104" s="109" t="n">
        <f aca="false">INDEX(DC_Cost!$C$58:$Q$58,3*(P$6-1)+2)/3600*P101</f>
        <v>0.0163863945874892</v>
      </c>
      <c r="Q104" s="109" t="n">
        <f aca="false">INDEX(DC_Cost!$C$58:$Q$58,3*(Q$6-1)+2)/3600*Q101</f>
        <v>0.0498681764124982</v>
      </c>
      <c r="R104" s="87" t="n">
        <f aca="false">INDEX(DC_Cost!$C$58:$Q$58,3*(R$6-1)+2)/3600*R101</f>
        <v>0.0347503606912108</v>
      </c>
      <c r="S104" s="87" t="n">
        <f aca="false">INDEX(DC_Cost!$C$58:$Q$58,3*(S$6-1)+2)/3600*S101</f>
        <v>0.105754631264056</v>
      </c>
    </row>
    <row r="105" customFormat="false" ht="15" hidden="false" customHeight="false" outlineLevel="0" collapsed="false">
      <c r="A105" s="53" t="s">
        <v>759</v>
      </c>
      <c r="B105" s="54" t="s">
        <v>758</v>
      </c>
      <c r="C105" s="109" t="n">
        <f aca="false">IF(C103&gt;0,INDEX(DC_Cost!$C$58:$Q$58,3*(C$6-1)+2)/3600*C103,0)</f>
        <v>0.288835391918694</v>
      </c>
      <c r="D105" s="109" t="n">
        <f aca="false">IF(D103&gt;0,INDEX(DC_Cost!$C$58:$Q$58,3*(D$6-1)+2)/3600*D103,0)</f>
        <v>1.11128004182696</v>
      </c>
      <c r="E105" s="109" t="n">
        <f aca="false">IF(E103&gt;0,INDEX(DC_Cost!$C$58:$Q$58,3*(E$6-1)+2)/3600*E103,0)</f>
        <v>4.88894590076557</v>
      </c>
      <c r="F105" s="109" t="n">
        <f aca="false">IF(F103&gt;0,INDEX(DC_Cost!$C$58:$Q$58,3*(F$6-1)+2)/3600*F103,0)</f>
        <v>0.106418384696974</v>
      </c>
      <c r="G105" s="109" t="n">
        <f aca="false">IF(G103&gt;0,INDEX(DC_Cost!$C$58:$Q$58,3*(G$6-1)+2)/3600*G103,0)</f>
        <v>0.391724177457773</v>
      </c>
      <c r="H105" s="109" t="n">
        <f aca="false">IF(H103&gt;0,INDEX(DC_Cost!$C$58:$Q$58,3*(H$6-1)+2)/3600*H103,0)</f>
        <v>1.70956518044726</v>
      </c>
      <c r="I105" s="109" t="n">
        <f aca="false">IF(I103&gt;0,INDEX(DC_Cost!$C$58:$Q$58,3*(I$6-1)+2)/3600*I103,0)</f>
        <v>0.101420457718814</v>
      </c>
      <c r="J105" s="109" t="n">
        <f aca="false">IF(J103&gt;0,INDEX(DC_Cost!$C$58:$Q$58,3*(J$6-1)+2)/3600*J103,0)</f>
        <v>0.373326897325319</v>
      </c>
      <c r="K105" s="109" t="n">
        <f aca="false">IF(K103&gt;0,INDEX(DC_Cost!$C$58:$Q$58,3*(K$6-1)+2)/3600*K103,0)</f>
        <v>1.69048426165598</v>
      </c>
      <c r="L105" s="109" t="n">
        <f aca="false">IF(L103&gt;0,INDEX(DC_Cost!$C$58:$Q$58,3*(L$6-1)+2)/3600*L103,0)</f>
        <v>0.0722676702072959</v>
      </c>
      <c r="M105" s="109" t="n">
        <f aca="false">IF(M103&gt;0,INDEX(DC_Cost!$C$58:$Q$58,3*(M$6-1)+2)/3600*M103,0)</f>
        <v>0.258897097039158</v>
      </c>
      <c r="N105" s="109" t="n">
        <f aca="false">IF(N103&gt;0,INDEX(DC_Cost!$C$58:$Q$58,3*(N$6-1)+2)/3600*N103,0)</f>
        <v>1.10367546307862</v>
      </c>
      <c r="O105" s="109" t="n">
        <f aca="false">IF(O103&gt;0,INDEX(DC_Cost!$C$58:$Q$58,3*(O$6-1)+2)/3600*O103,0)</f>
        <v>0.0680273632832286</v>
      </c>
      <c r="P105" s="109" t="n">
        <f aca="false">IF(P103&gt;0,INDEX(DC_Cost!$C$58:$Q$58,3*(P$6-1)+2)/3600*P103,0)</f>
        <v>0.241799062851826</v>
      </c>
      <c r="Q105" s="109" t="n">
        <f aca="false">IF(Q103&gt;0,INDEX(DC_Cost!$C$58:$Q$58,3*(Q$6-1)+2)/3600*Q103,0)</f>
        <v>1.01404187692627</v>
      </c>
      <c r="R105" s="87" t="n">
        <f aca="false">IF(R103&gt;0,INDEX(DC_Cost!$C$58:$Q$58,3*(R$6-1)+2)/3600*R103,0)</f>
        <v>0.52228596657833</v>
      </c>
      <c r="S105" s="87" t="n">
        <f aca="false">IF(S103&gt;0,INDEX(DC_Cost!$C$58:$Q$58,3*(S$6-1)+2)/3600*S103,0)</f>
        <v>2.23831846187586</v>
      </c>
    </row>
    <row r="106" customFormat="false" ht="15" hidden="false" customHeight="false" outlineLevel="0" collapsed="false">
      <c r="A106" s="68" t="s">
        <v>760</v>
      </c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</row>
    <row r="107" customFormat="false" ht="15" hidden="false" customHeight="false" outlineLevel="0" collapsed="false">
      <c r="A107" s="53" t="s">
        <v>761</v>
      </c>
      <c r="B107" s="54" t="s">
        <v>762</v>
      </c>
      <c r="C107" s="110" t="n">
        <f aca="false">C23*Energy!$C$5/(C14*1000000000000000)*1000000000000</f>
        <v>0.212228398180899</v>
      </c>
      <c r="D107" s="110" t="n">
        <f aca="false">D23*Energy!$C$5/(D14*1000000000000000)*1000000000000</f>
        <v>0.212228398180899</v>
      </c>
      <c r="E107" s="110" t="n">
        <f aca="false">E23*Energy!$C$5/(E14*1000000000000000)*1000000000000</f>
        <v>0.212228398180899</v>
      </c>
      <c r="F107" s="110" t="n">
        <f aca="false">F23*Energy!$C$5/(F14*1000000000000000)*1000000000000</f>
        <v>0.072</v>
      </c>
      <c r="G107" s="110" t="n">
        <f aca="false">G23*Energy!$C$5/(G14*1000000000000000)*1000000000000</f>
        <v>0.072</v>
      </c>
      <c r="H107" s="110" t="n">
        <f aca="false">H23*Energy!$C$5/(H14*1000000000000000)*1000000000000</f>
        <v>0.072</v>
      </c>
      <c r="I107" s="110" t="n">
        <f aca="false">I23*Energy!$C$5/(I14*1000000000000000)*1000000000000</f>
        <v>0.056</v>
      </c>
      <c r="J107" s="110" t="n">
        <f aca="false">J23*Energy!$C$5/(J14*1000000000000000)*1000000000000</f>
        <v>0.056</v>
      </c>
      <c r="K107" s="110" t="n">
        <f aca="false">K23*Energy!$C$5/(K14*1000000000000000)*1000000000000</f>
        <v>0.056</v>
      </c>
      <c r="L107" s="110" t="n">
        <f aca="false">L23*Energy!$C$5/(L14*1000000000000000)*1000000000000</f>
        <v>0.0308571428571429</v>
      </c>
      <c r="M107" s="110" t="n">
        <f aca="false">M23*Energy!$C$5/(M14*1000000000000000)*1000000000000</f>
        <v>0.0308571428571429</v>
      </c>
      <c r="N107" s="110" t="n">
        <f aca="false">N23*Energy!$C$5/(N14*1000000000000000)*1000000000000</f>
        <v>0.0308571428571429</v>
      </c>
      <c r="O107" s="110" t="n">
        <f aca="false">O23*Energy!$C$5/(O14*1000000000000000)*1000000000000</f>
        <v>0.0308571428571429</v>
      </c>
      <c r="P107" s="110" t="n">
        <f aca="false">P23*Energy!$C$5/(P14*1000000000000000)*1000000000000</f>
        <v>0.0308571428571429</v>
      </c>
      <c r="Q107" s="110" t="n">
        <f aca="false">Q23*Energy!$C$5/(Q14*1000000000000000)*1000000000000</f>
        <v>0.0308571428571429</v>
      </c>
      <c r="R107" s="110" t="n">
        <f aca="false">R23*Energy!$C$5/(R14*1000000000000000)*1000000000000</f>
        <v>0.0617142857142857</v>
      </c>
      <c r="S107" s="110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54" t="s">
        <v>763</v>
      </c>
      <c r="B108" s="54" t="s">
        <v>690</v>
      </c>
      <c r="C108" s="82" t="n">
        <f aca="false">IF(C$6=1,Energy!$C$7,Energy!$C$6)</f>
        <v>40</v>
      </c>
      <c r="D108" s="82" t="n">
        <f aca="false">IF(D$6=1,Energy!$C$7,Energy!$C$6)</f>
        <v>40</v>
      </c>
      <c r="E108" s="82" t="n">
        <f aca="false">IF(E$6=1,Energy!$C$7,Energy!$C$6)</f>
        <v>40</v>
      </c>
      <c r="F108" s="82" t="n">
        <f aca="false">IF(F$6=1,Energy!$C$7,Energy!$C$6)</f>
        <v>10</v>
      </c>
      <c r="G108" s="82" t="n">
        <f aca="false">IF(G$6=1,Energy!$C$7,Energy!$C$6)</f>
        <v>10</v>
      </c>
      <c r="H108" s="82" t="n">
        <f aca="false">IF(H$6=1,Energy!$C$7,Energy!$C$6)</f>
        <v>10</v>
      </c>
      <c r="I108" s="82" t="n">
        <f aca="false">IF(I$6=1,Energy!$C$7,Energy!$C$6)</f>
        <v>10</v>
      </c>
      <c r="J108" s="82" t="n">
        <f aca="false">IF(J$6=1,Energy!$C$7,Energy!$C$6)</f>
        <v>10</v>
      </c>
      <c r="K108" s="82" t="n">
        <f aca="false">IF(K$6=1,Energy!$C$7,Energy!$C$6)</f>
        <v>10</v>
      </c>
      <c r="L108" s="82" t="n">
        <f aca="false">IF(L$6=1,Energy!$C$7,Energy!$C$6)</f>
        <v>10</v>
      </c>
      <c r="M108" s="82" t="n">
        <f aca="false">IF(M$6=1,Energy!$C$7,Energy!$C$6)</f>
        <v>10</v>
      </c>
      <c r="N108" s="82" t="n">
        <f aca="false">IF(N$6=1,Energy!$C$7,Energy!$C$6)</f>
        <v>10</v>
      </c>
      <c r="O108" s="82" t="n">
        <f aca="false">IF(O$6=1,Energy!$C$7,Energy!$C$6)</f>
        <v>10</v>
      </c>
      <c r="P108" s="82" t="n">
        <f aca="false">IF(P$6=1,Energy!$C$7,Energy!$C$6)</f>
        <v>10</v>
      </c>
      <c r="Q108" s="82" t="n">
        <f aca="false">IF(Q$6=1,Energy!$C$7,Energy!$C$6)</f>
        <v>10</v>
      </c>
      <c r="R108" s="82" t="n">
        <f aca="false">IF(R$6=1,Energy!$C$7,Energy!$C$6)</f>
        <v>10</v>
      </c>
      <c r="S108" s="82" t="n">
        <f aca="false">IF(S$6=1,Energy!$C$7,Energy!$C$6)</f>
        <v>10</v>
      </c>
    </row>
    <row r="109" customFormat="false" ht="15" hidden="false" customHeight="false" outlineLevel="0" collapsed="false">
      <c r="A109" s="54" t="s">
        <v>764</v>
      </c>
      <c r="B109" s="54" t="s">
        <v>448</v>
      </c>
      <c r="C109" s="67" t="n">
        <f aca="false">(C47+1)*C65/C49</f>
        <v>61.1404608556873</v>
      </c>
      <c r="D109" s="67" t="n">
        <f aca="false">(D47+1)*D65/D49</f>
        <v>210.519928484333</v>
      </c>
      <c r="E109" s="67" t="n">
        <f aca="false">(E47+1)*E65/E49</f>
        <v>822.836594709831</v>
      </c>
      <c r="F109" s="67" t="n">
        <f aca="false">(F47+1)*F65/F49</f>
        <v>61.1404608556873</v>
      </c>
      <c r="G109" s="67" t="n">
        <f aca="false">(G47+1)*G65/G49</f>
        <v>210.519928484333</v>
      </c>
      <c r="H109" s="67" t="n">
        <f aca="false">(H47+1)*H65/H49</f>
        <v>822.836594709831</v>
      </c>
      <c r="I109" s="67" t="n">
        <f aca="false">(I47+1)*I65/I49</f>
        <v>61.1404608556873</v>
      </c>
      <c r="J109" s="67" t="n">
        <f aca="false">(J47+1)*J65/J49</f>
        <v>210.519928484333</v>
      </c>
      <c r="K109" s="67" t="n">
        <f aca="false">(K47+1)*K65/K49</f>
        <v>822.836594709831</v>
      </c>
      <c r="L109" s="67" t="n">
        <f aca="false">(L47+1)*L65/L49</f>
        <v>61.1404608556873</v>
      </c>
      <c r="M109" s="67" t="n">
        <f aca="false">(M47+1)*M65/M49</f>
        <v>210.519928484333</v>
      </c>
      <c r="N109" s="67" t="n">
        <f aca="false">(N47+1)*N65/N49</f>
        <v>822.836594709831</v>
      </c>
      <c r="O109" s="67" t="n">
        <f aca="false">(O47+1)*O65/O49</f>
        <v>61.1404608556873</v>
      </c>
      <c r="P109" s="67" t="n">
        <f aca="false">(P47+1)*P65/P49</f>
        <v>210.519928484333</v>
      </c>
      <c r="Q109" s="67" t="n">
        <f aca="false">(Q47+1)*Q65/Q49</f>
        <v>822.836594709831</v>
      </c>
      <c r="R109" s="67" t="n">
        <f aca="false">(R47+1)*R65/R49</f>
        <v>210.519928484333</v>
      </c>
      <c r="S109" s="67" t="n">
        <f aca="false">(S47+1)*S65/S49</f>
        <v>822.836594709831</v>
      </c>
    </row>
    <row r="110" customFormat="false" ht="15" hidden="false" customHeight="false" outlineLevel="0" collapsed="false">
      <c r="A110" s="54" t="s">
        <v>765</v>
      </c>
      <c r="B110" s="54" t="s">
        <v>274</v>
      </c>
      <c r="C110" s="107" t="n">
        <f aca="false">IF(C87&gt;0,(C72+C87*C34*C45/1000000000)/(C87*C49),0)</f>
        <v>0.0589891914424428</v>
      </c>
      <c r="D110" s="107" t="n">
        <f aca="false">IF(D87&gt;0,(D72+D87*D34*D45/1000000000)/(D87*D49),0)</f>
        <v>0.710964564255253</v>
      </c>
      <c r="E110" s="107" t="n">
        <f aca="false">IF(E87&gt;0,(E72+E87*E34*E45/1000000000)/(E87*E49),0)</f>
        <v>4.28619027271571</v>
      </c>
      <c r="F110" s="107" t="n">
        <f aca="false">IF(F87&gt;0,(F72+F87*F34*F45/1000000000)/(F87*F49),0)</f>
        <v>0.0239853045689392</v>
      </c>
      <c r="G110" s="107" t="n">
        <f aca="false">IF(G87&gt;0,(G72+G87*G34*G45/1000000000)/(G87*G49),0)</f>
        <v>0.282053064454993</v>
      </c>
      <c r="H110" s="107" t="n">
        <f aca="false">IF(H87&gt;0,(H72+H87*H34*H45/1000000000)/(H87*H49),0)</f>
        <v>2.83895352616057</v>
      </c>
      <c r="I110" s="107" t="n">
        <f aca="false">IF(I87&gt;0,(I72+I87*I34*I45/1000000000)/(I87*I49),0)</f>
        <v>0.0190033152975715</v>
      </c>
      <c r="J110" s="107" t="n">
        <f aca="false">IF(J87&gt;0,(J72+J87*J34*J45/1000000000)/(J87*J49),0)</f>
        <v>0.196584206412553</v>
      </c>
      <c r="K110" s="107" t="n">
        <f aca="false">IF(K87&gt;0,(K72+K87*K34*K45/1000000000)/(K87*K49),0)</f>
        <v>2.65455342010991</v>
      </c>
      <c r="L110" s="107" t="n">
        <f aca="false">IF(L87&gt;0,(L72+L87*L34*L45/1000000000)/(L87*L49),0)</f>
        <v>0.0132801286991021</v>
      </c>
      <c r="M110" s="107" t="n">
        <f aca="false">IF(M87&gt;0,(M72+M87*M34*M45/1000000000)/(M87*M49),0)</f>
        <v>0.0964527236292223</v>
      </c>
      <c r="N110" s="107" t="n">
        <f aca="false">IF(N87&gt;0,(N72+N87*N34*N45/1000000000)/(N87*N49),0)</f>
        <v>1.48974427435134</v>
      </c>
      <c r="O110" s="107" t="n">
        <f aca="false">IF(O87&gt;0,(O72+O87*O34*O45/1000000000)/(O87*O49),0)</f>
        <v>0.0106530832296645</v>
      </c>
      <c r="P110" s="107" t="n">
        <f aca="false">IF(P87&gt;0,(P72+P87*P34*P45/1000000000)/(P87*P49),0)</f>
        <v>0.0505751304496475</v>
      </c>
      <c r="Q110" s="107" t="n">
        <f aca="false">IF(Q87&gt;0,(Q72+Q87*Q34*Q45/1000000000)/(Q87*Q49),0)</f>
        <v>1.00157966527806</v>
      </c>
      <c r="R110" s="107" t="n">
        <f aca="false">IF(R87&gt;0,(R72+R87*R34*R45/1000000000)/(R87*R49),0)</f>
        <v>0.232697207305857</v>
      </c>
      <c r="S110" s="107" t="n">
        <f aca="false">IF(S87&gt;0,(S72+S87*S34*S45/1000000000)/(S87*S49),0)</f>
        <v>2.66112095279194</v>
      </c>
    </row>
    <row r="111" customFormat="false" ht="15" hidden="false" customHeight="false" outlineLevel="0" collapsed="false">
      <c r="A111" s="54" t="s">
        <v>766</v>
      </c>
      <c r="B111" s="54" t="s">
        <v>274</v>
      </c>
      <c r="C111" s="65" t="n">
        <f aca="false">(C47+1)*C29*C31*C30*C59/C49/1000000000</f>
        <v>0.00500640189498618</v>
      </c>
      <c r="D111" s="65" t="n">
        <f aca="false">(D47+1)*D29*D31*D30*D59/D49/1000000000</f>
        <v>0.0124286837741808</v>
      </c>
      <c r="E111" s="65" t="n">
        <f aca="false">(E47+1)*E29*E31*E30*E59/E49/1000000000</f>
        <v>0.0931423608369523</v>
      </c>
      <c r="F111" s="65" t="n">
        <f aca="false">(F47+1)*F29*F31*F30*F59/F49/1000000000</f>
        <v>0.00500640189498618</v>
      </c>
      <c r="G111" s="65" t="n">
        <f aca="false">(G47+1)*G29*G31*G30*G59/G49/1000000000</f>
        <v>0.0124286837741808</v>
      </c>
      <c r="H111" s="65" t="n">
        <f aca="false">(H47+1)*H29*H31*H30*H59/H49/1000000000</f>
        <v>0.0931423608369523</v>
      </c>
      <c r="I111" s="65" t="n">
        <f aca="false">(I47+1)*I29*I31*I30*I59/I49/1000000000</f>
        <v>0.00500640189498618</v>
      </c>
      <c r="J111" s="65" t="n">
        <f aca="false">(J47+1)*J29*J31*J30*J59/J49/1000000000</f>
        <v>0.0124286837741808</v>
      </c>
      <c r="K111" s="65" t="n">
        <f aca="false">(K47+1)*K29*K31*K30*K59/K49/1000000000</f>
        <v>0.0931423608369523</v>
      </c>
      <c r="L111" s="65" t="n">
        <f aca="false">(L47+1)*L29*L31*L30*L59/L49/1000000000</f>
        <v>0.00500640189498618</v>
      </c>
      <c r="M111" s="65" t="n">
        <f aca="false">(M47+1)*M29*M31*M30*M59/M49/1000000000</f>
        <v>0.0124286837741808</v>
      </c>
      <c r="N111" s="65" t="n">
        <f aca="false">(N47+1)*N29*N31*N30*N59/N49/1000000000</f>
        <v>0.0931423608369523</v>
      </c>
      <c r="O111" s="65" t="n">
        <f aca="false">(O47+1)*O29*O31*O30*O59/O49/1000000000</f>
        <v>0.00500640189498618</v>
      </c>
      <c r="P111" s="65" t="n">
        <f aca="false">(P47+1)*P29*P31*P30*P59/P49/1000000000</f>
        <v>0.0124286837741808</v>
      </c>
      <c r="Q111" s="65" t="n">
        <f aca="false">(Q47+1)*Q29*Q31*Q30*Q59/Q49/1000000000</f>
        <v>0.0931423608369523</v>
      </c>
      <c r="R111" s="65" t="n">
        <f aca="false">(R47+1)*R29*R31*R30*R59/R49/1000000000</f>
        <v>0.0124286837741808</v>
      </c>
      <c r="S111" s="65" t="n">
        <f aca="false">(S47+1)*S29*S31*S30*S59/S49/1000000000</f>
        <v>0.0931423608369523</v>
      </c>
    </row>
    <row r="112" customFormat="false" ht="15" hidden="false" customHeight="false" outlineLevel="0" collapsed="false">
      <c r="A112" s="54" t="s">
        <v>767</v>
      </c>
      <c r="B112" s="54" t="s">
        <v>768</v>
      </c>
      <c r="C112" s="65" t="n">
        <f aca="false">(C109*C107+C110*C24+C111*C108)/1000</f>
        <v>0.0150046630819597</v>
      </c>
      <c r="D112" s="65" t="n">
        <f aca="false">(D109*D107+D110*D24+D111*D108)/1000</f>
        <v>0.0672153560502676</v>
      </c>
      <c r="E112" s="65" t="n">
        <f aca="false">(E109*E107+E110*E24+E111*E108)/1000</f>
        <v>0.311226885347558</v>
      </c>
      <c r="F112" s="65" t="n">
        <f aca="false">(F109*F107+F110*F24+F111*F108)/1000</f>
        <v>0.00505180981478283</v>
      </c>
      <c r="G112" s="65" t="n">
        <f aca="false">(G109*G107+G110*G24+G111*G108)/1000</f>
        <v>0.0223330482999886</v>
      </c>
      <c r="H112" s="65" t="n">
        <f aca="false">(H109*H107+H110*H24+H111*H108)/1000</f>
        <v>0.131149496581492</v>
      </c>
      <c r="I112" s="65" t="n">
        <f aca="false">(I109*I107+I110*I24+I111*I108)/1000</f>
        <v>0.00394901270930764</v>
      </c>
      <c r="J112" s="65" t="n">
        <f aca="false">(J109*J107+J110*J24+J111*J108)/1000</f>
        <v>0.0168280079931783</v>
      </c>
      <c r="K112" s="65" t="n">
        <f aca="false">(K109*K107+K110*K24+K111*K108)/1000</f>
        <v>0.113374108414868</v>
      </c>
      <c r="L112" s="65" t="n">
        <f aca="false">(L109*L107+L110*L24+L111*L108)/1000</f>
        <v>0.0022022865279074</v>
      </c>
      <c r="M112" s="65" t="n">
        <f aca="false">(M109*M107+M110*M24+M111*M108)/1000</f>
        <v>0.00854938481784283</v>
      </c>
      <c r="N112" s="65" t="n">
        <f aca="false">(N109*N107+N110*N24+N111*N108)/1000</f>
        <v>0.0561166954464425</v>
      </c>
      <c r="O112" s="65" t="n">
        <f aca="false">(O109*O107+O110*O24+O111*O108)/1000</f>
        <v>0.00212843945205932</v>
      </c>
      <c r="P112" s="65" t="n">
        <f aca="false">(P109*P107+P110*P24+P111*P108)/1000</f>
        <v>0.00753068269335203</v>
      </c>
      <c r="Q112" s="65" t="n">
        <f aca="false">(Q109*Q107+Q110*Q24+Q111*Q108)/1000</f>
        <v>0.0443502439344209</v>
      </c>
      <c r="R112" s="65" t="n">
        <f aca="false">(R109*R107+R110*R24+R111*R108)/1000</f>
        <v>0.0177703179988921</v>
      </c>
      <c r="S112" s="65" t="n">
        <f aca="false">(S109*S107+S110*S24+S111*S108)/1000</f>
        <v>0.104934615366301</v>
      </c>
    </row>
    <row r="113" customFormat="false" ht="15" hidden="false" customHeight="false" outlineLevel="0" collapsed="false">
      <c r="A113" s="54" t="s">
        <v>769</v>
      </c>
      <c r="B113" s="54" t="s">
        <v>768</v>
      </c>
      <c r="C113" s="65" t="n">
        <f aca="false">C67*C107/1000</f>
        <v>0.00685623678105678</v>
      </c>
      <c r="D113" s="65" t="n">
        <f aca="false">D67*D107/1000</f>
        <v>0.0279133125968021</v>
      </c>
      <c r="E113" s="65" t="n">
        <f aca="false">E67*E107/1000</f>
        <v>0.0849476673713997</v>
      </c>
      <c r="F113" s="65" t="n">
        <f aca="false">F67*F107/1000</f>
        <v>0.00232602730109338</v>
      </c>
      <c r="G113" s="65" t="n">
        <f aca="false">G67*G107/1000</f>
        <v>0.00946979067926937</v>
      </c>
      <c r="H113" s="65" t="n">
        <f aca="false">H67*H107/1000</f>
        <v>0.0288191029248</v>
      </c>
      <c r="I113" s="65" t="n">
        <f aca="false">I67*I107/1000</f>
        <v>0.00180913234529485</v>
      </c>
      <c r="J113" s="65" t="n">
        <f aca="false">J67*J107/1000</f>
        <v>0.00736539275054285</v>
      </c>
      <c r="K113" s="65" t="n">
        <f aca="false">K67*K107/1000</f>
        <v>0.0224148578304</v>
      </c>
      <c r="L113" s="65" t="n">
        <f aca="false">L67*L107/1000</f>
        <v>0.000996868843325733</v>
      </c>
      <c r="M113" s="65" t="n">
        <f aca="false">M67*M107/1000</f>
        <v>0.00405848171968688</v>
      </c>
      <c r="N113" s="65" t="n">
        <f aca="false">N67*N107/1000</f>
        <v>0.0123510441106286</v>
      </c>
      <c r="O113" s="65" t="n">
        <f aca="false">O67*O107/1000</f>
        <v>0.000996868843325733</v>
      </c>
      <c r="P113" s="65" t="n">
        <f aca="false">P67*P107/1000</f>
        <v>0.00405848171968688</v>
      </c>
      <c r="Q113" s="65" t="n">
        <f aca="false">Q67*Q107/1000</f>
        <v>0.0123510441106286</v>
      </c>
      <c r="R113" s="65" t="n">
        <f aca="false">R67*R107/1000</f>
        <v>0.00811696343937375</v>
      </c>
      <c r="S113" s="65" t="n">
        <f aca="false">S67*S107/1000</f>
        <v>0.0247020882212571</v>
      </c>
    </row>
    <row r="114" customFormat="false" ht="15" hidden="false" customHeight="false" outlineLevel="0" collapsed="false">
      <c r="A114" s="53" t="s">
        <v>770</v>
      </c>
      <c r="B114" s="54" t="s">
        <v>694</v>
      </c>
      <c r="C114" s="67" t="n">
        <f aca="false">(C97*C113+C96*C112)/1000</f>
        <v>0.839899331635509</v>
      </c>
      <c r="D114" s="67" t="n">
        <f aca="false">(D97*D113+D96*D112)/1000</f>
        <v>0.95700850789187</v>
      </c>
      <c r="E114" s="67" t="n">
        <f aca="false">(E97*E113+E96*E112)/1000</f>
        <v>0.972357342616162</v>
      </c>
      <c r="F114" s="67" t="n">
        <f aca="false">(F97*F113+F96*F112)/1000</f>
        <v>2.36754843970606</v>
      </c>
      <c r="G114" s="67" t="n">
        <f aca="false">(G97*G113+G96*G112)/1000</f>
        <v>2.79287770234441</v>
      </c>
      <c r="H114" s="67" t="n">
        <f aca="false">(H97*H113+H96*H112)/1000</f>
        <v>3.47439900063841</v>
      </c>
      <c r="I114" s="67" t="n">
        <f aca="false">(I97*I113+I96*I112)/1000</f>
        <v>2.77346971472352</v>
      </c>
      <c r="J114" s="67" t="n">
        <f aca="false">(J97*J113+J96*J112)/1000</f>
        <v>3.17444998700417</v>
      </c>
      <c r="K114" s="67" t="n">
        <f aca="false">(K97*K113+K96*K112)/1000</f>
        <v>4.30245932344883</v>
      </c>
      <c r="L114" s="67" t="n">
        <f aca="false">(L97*L113+L96*L112)/1000</f>
        <v>3.6252741514908</v>
      </c>
      <c r="M114" s="67" t="n">
        <f aca="false">(M97*M113+M96*M112)/1000</f>
        <v>3.94830984394491</v>
      </c>
      <c r="N114" s="67" t="n">
        <f aca="false">(N97*N113+N96*N112)/1000</f>
        <v>5.50496704371832</v>
      </c>
      <c r="O114" s="67" t="n">
        <f aca="false">(O97*O113+O96*O112)/1000</f>
        <v>7.06515150690385</v>
      </c>
      <c r="P114" s="67" t="n">
        <f aca="false">(P97*P113+P96*P112)/1000</f>
        <v>7.20369261768011</v>
      </c>
      <c r="Q114" s="67" t="n">
        <f aca="false">(Q97*Q113+Q96*Q112)/1000</f>
        <v>9.16082784986032</v>
      </c>
      <c r="R114" s="67" t="n">
        <f aca="false">(R97*R113+R96*R112)/1000</f>
        <v>4.03972626245038</v>
      </c>
      <c r="S114" s="67" t="n">
        <f aca="false">(S97*S113+S96*S112)/1000</f>
        <v>5.11241319913998</v>
      </c>
    </row>
    <row r="115" customFormat="false" ht="15" hidden="false" customHeight="false" outlineLevel="0" collapsed="false">
      <c r="A115" s="53" t="s">
        <v>771</v>
      </c>
      <c r="B115" s="54" t="s">
        <v>694</v>
      </c>
      <c r="C115" s="91" t="n">
        <f aca="false">C26*Inputs!$E$10</f>
        <v>32.8</v>
      </c>
      <c r="D115" s="91" t="n">
        <f aca="false">D26*Inputs!$E$10</f>
        <v>32.8</v>
      </c>
      <c r="E115" s="91" t="n">
        <f aca="false">E26*Inputs!$E$10</f>
        <v>32.8</v>
      </c>
      <c r="F115" s="91" t="n">
        <f aca="false">F26*Inputs!$E$10</f>
        <v>105.6</v>
      </c>
      <c r="G115" s="91" t="n">
        <f aca="false">G26*Inputs!$E$10</f>
        <v>105.6</v>
      </c>
      <c r="H115" s="91" t="n">
        <f aca="false">H26*Inputs!$E$10</f>
        <v>105.6</v>
      </c>
      <c r="I115" s="91" t="n">
        <f aca="false">I26*Inputs!$E$10</f>
        <v>108.8</v>
      </c>
      <c r="J115" s="91" t="n">
        <f aca="false">J26*Inputs!$E$10</f>
        <v>108.8</v>
      </c>
      <c r="K115" s="91" t="n">
        <f aca="false">K26*Inputs!$E$10</f>
        <v>108.8</v>
      </c>
      <c r="L115" s="91" t="n">
        <f aca="false">L26*Inputs!$E$10</f>
        <v>181.6</v>
      </c>
      <c r="M115" s="91" t="n">
        <f aca="false">M26*Inputs!$E$10</f>
        <v>181.6</v>
      </c>
      <c r="N115" s="91" t="n">
        <f aca="false">N26*Inputs!$E$10</f>
        <v>181.6</v>
      </c>
      <c r="O115" s="91" t="n">
        <f aca="false">O26*Inputs!$E$10</f>
        <v>272</v>
      </c>
      <c r="P115" s="91" t="n">
        <f aca="false">P26*Inputs!$E$10</f>
        <v>272</v>
      </c>
      <c r="Q115" s="91" t="n">
        <f aca="false">Q26*Inputs!$E$10</f>
        <v>272</v>
      </c>
      <c r="R115" s="91" t="n">
        <f aca="false">R26*Inputs!$E$10</f>
        <v>181.6</v>
      </c>
      <c r="S115" s="91" t="n">
        <f aca="false">S26*Inputs!$E$10</f>
        <v>181.6</v>
      </c>
    </row>
    <row r="116" customFormat="false" ht="15" hidden="false" customHeight="false" outlineLevel="0" collapsed="false">
      <c r="A116" s="53" t="s">
        <v>772</v>
      </c>
      <c r="B116" s="54" t="s">
        <v>71</v>
      </c>
      <c r="C116" s="111" t="n">
        <f aca="false">IF(C115&gt;0,C114/C115,0)</f>
        <v>0.025606686940107</v>
      </c>
      <c r="D116" s="111" t="n">
        <f aca="false">IF(D115&gt;0,D114/D115,0)</f>
        <v>0.0291770886552399</v>
      </c>
      <c r="E116" s="111" t="n">
        <f aca="false">IF(E115&gt;0,E114/E115,0)</f>
        <v>0.0296450409334196</v>
      </c>
      <c r="F116" s="111" t="n">
        <f aca="false">IF(F115&gt;0,F114/F115,0)</f>
        <v>0.0224199662850953</v>
      </c>
      <c r="G116" s="111" t="n">
        <f aca="false">IF(G115&gt;0,G114/G115,0)</f>
        <v>0.0264477055146251</v>
      </c>
      <c r="H116" s="111" t="n">
        <f aca="false">IF(H115&gt;0,H114/H115,0)</f>
        <v>0.0329015056878638</v>
      </c>
      <c r="I116" s="111" t="n">
        <f aca="false">IF(I115&gt;0,I114/I115,0)</f>
        <v>0.0254914495838559</v>
      </c>
      <c r="J116" s="111" t="n">
        <f aca="false">IF(J115&gt;0,J114/J115,0)</f>
        <v>0.0291769300276119</v>
      </c>
      <c r="K116" s="111" t="n">
        <f aca="false">IF(K115&gt;0,K114/K115,0)</f>
        <v>0.0395446628993459</v>
      </c>
      <c r="L116" s="111" t="n">
        <f aca="false">IF(L115&gt;0,L114/L115,0)</f>
        <v>0.0199629633892665</v>
      </c>
      <c r="M116" s="111" t="n">
        <f aca="false">IF(M115&gt;0,M114/M115,0)</f>
        <v>0.0217417942948508</v>
      </c>
      <c r="N116" s="111" t="n">
        <f aca="false">IF(N115&gt;0,N114/N115,0)</f>
        <v>0.0303136951746603</v>
      </c>
      <c r="O116" s="111" t="n">
        <f aca="false">IF(O115&gt;0,O114/O115,0)</f>
        <v>0.0259748217165583</v>
      </c>
      <c r="P116" s="111" t="n">
        <f aca="false">IF(P115&gt;0,P114/P115,0)</f>
        <v>0.0264841640355886</v>
      </c>
      <c r="Q116" s="111" t="n">
        <f aca="false">IF(Q115&gt;0,Q114/Q115,0)</f>
        <v>0.0336795141538982</v>
      </c>
      <c r="R116" s="78" t="n">
        <f aca="false">IF(R115&gt;0,R114/R115,0)</f>
        <v>0.022245188669881</v>
      </c>
      <c r="S116" s="78" t="n">
        <f aca="false">IF(S115&gt;0,S114/S115,0)</f>
        <v>0.0281520550613435</v>
      </c>
    </row>
    <row r="117" customFormat="false" ht="15" hidden="false" customHeight="false" outlineLevel="0" collapsed="false">
      <c r="A117" s="54" t="s">
        <v>773</v>
      </c>
      <c r="B117" s="54" t="s">
        <v>774</v>
      </c>
      <c r="C117" s="112" t="n">
        <f aca="false">C95/(C115*1000)</f>
        <v>2.08378917026112</v>
      </c>
      <c r="D117" s="112" t="n">
        <f aca="false">D95/(D115*1000)</f>
        <v>0.539171467067586</v>
      </c>
      <c r="E117" s="112" t="n">
        <f aca="false">E95/(E115*1000)</f>
        <v>0.125720867974679</v>
      </c>
      <c r="F117" s="112" t="n">
        <f aca="false">F95/(F115*1000)</f>
        <v>5.41124773941745</v>
      </c>
      <c r="G117" s="112" t="n">
        <f aca="false">G95/(G115*1000)</f>
        <v>1.46562881909746</v>
      </c>
      <c r="H117" s="112" t="n">
        <f aca="false">H95/(H115*1000)</f>
        <v>0.3390531828493</v>
      </c>
      <c r="I117" s="112" t="n">
        <f aca="false">I95/(I115*1000)</f>
        <v>7.87814009121071</v>
      </c>
      <c r="J117" s="112" t="n">
        <f aca="false">J95/(J115*1000)</f>
        <v>2.133783133686</v>
      </c>
      <c r="K117" s="112" t="n">
        <f aca="false">K95/(K115*1000)</f>
        <v>0.476129895490562</v>
      </c>
      <c r="L117" s="112" t="n">
        <f aca="false">L95/(L115*1000)</f>
        <v>11.0875746302722</v>
      </c>
      <c r="M117" s="112" t="n">
        <f aca="false">M95/(M115*1000)</f>
        <v>3.08288547453446</v>
      </c>
      <c r="N117" s="112" t="n">
        <f aca="false">N95/(N115*1000)</f>
        <v>0.729955435616146</v>
      </c>
      <c r="O117" s="112" t="n">
        <f aca="false">O95/(O115*1000)</f>
        <v>14.832167225307</v>
      </c>
      <c r="P117" s="112" t="n">
        <f aca="false">P95/(P115*1000)</f>
        <v>4.15549829790262</v>
      </c>
      <c r="Q117" s="112" t="n">
        <f aca="false">Q95/(Q115*1000)</f>
        <v>0.999871456498272</v>
      </c>
      <c r="R117" s="64" t="n">
        <f aca="false">R95/(R115*1000)</f>
        <v>1.52861281586735</v>
      </c>
      <c r="S117" s="64" t="n">
        <f aca="false">S95/(S115*1000)</f>
        <v>0.360044721412184</v>
      </c>
    </row>
    <row r="118" customFormat="false" ht="15" hidden="false" customHeight="false" outlineLevel="0" collapsed="false">
      <c r="A118" s="53" t="s">
        <v>775</v>
      </c>
      <c r="B118" s="54" t="s">
        <v>768</v>
      </c>
      <c r="C118" s="107" t="n">
        <f aca="false">IF(C96&gt;0,C115*1000*(1-C94)/C96,0)</f>
        <v>0.664039357506386</v>
      </c>
      <c r="D118" s="107" t="n">
        <f aca="false">IF(D96&gt;0,D115*1000*(1-D94)/D96,0)</f>
        <v>2.55485894606768</v>
      </c>
      <c r="E118" s="107" t="n">
        <f aca="false">IF(E96&gt;0,E115*1000*(1-E94)/E96,0)</f>
        <v>11.2398015813163</v>
      </c>
      <c r="F118" s="107" t="n">
        <f aca="false">IF(F96&gt;0,F115*1000*(1-F94)/F96,0)</f>
        <v>0.26930338673328</v>
      </c>
      <c r="G118" s="107" t="n">
        <f aca="false">IF(G96&gt;0,G115*1000*(1-G94)/G96,0)</f>
        <v>0.991300966981193</v>
      </c>
      <c r="H118" s="107" t="n">
        <f aca="false">IF(H96&gt;0,H115*1000*(1-H94)/H96,0)</f>
        <v>4.32624207035938</v>
      </c>
      <c r="I118" s="107" t="n">
        <f aca="false">IF(I96&gt;0,I115*1000*(1-I94)/I96,0)</f>
        <v>0.184976063614778</v>
      </c>
      <c r="J118" s="107" t="n">
        <f aca="false">IF(J96&gt;0,J115*1000*(1-J94)/J96,0)</f>
        <v>0.680893593482031</v>
      </c>
      <c r="K118" s="107" t="n">
        <f aca="false">IF(K96&gt;0,K115*1000*(1-K94)/K96,0)</f>
        <v>3.08319575120444</v>
      </c>
      <c r="L118" s="107" t="n">
        <f aca="false">IF(L96&gt;0,L115*1000*(1-L94)/L96,0)</f>
        <v>0.131406444503916</v>
      </c>
      <c r="M118" s="107" t="n">
        <f aca="false">IF(M96&gt;0,M115*1000*(1-M94)/M96,0)</f>
        <v>0.47076025720373</v>
      </c>
      <c r="N118" s="107" t="n">
        <f aca="false">IF(N96&gt;0,N115*1000*(1-N94)/N96,0)</f>
        <v>2.00684577312875</v>
      </c>
      <c r="O118" s="107" t="n">
        <f aca="false">IF(O96&gt;0,O115*1000*(1-O94)/O96,0)</f>
        <v>0.0982257210457662</v>
      </c>
      <c r="P118" s="107" t="n">
        <f aca="false">IF(P96&gt;0,P115*1000*(1-P94)/P96,0)</f>
        <v>0.349137261103676</v>
      </c>
      <c r="Q118" s="107" t="n">
        <f aca="false">IF(Q96&gt;0,Q115*1000*(1-Q94)/Q96,0)</f>
        <v>1.4641901394441</v>
      </c>
      <c r="R118" s="107" t="n">
        <f aca="false">IF(R96&gt;0,R115*1000*(1-R94)/R96,0)</f>
        <v>0.949688037340664</v>
      </c>
      <c r="S118" s="107" t="n">
        <f aca="false">IF(S96&gt;0,S115*1000*(1-S94)/S96,0)</f>
        <v>4.07000073336923</v>
      </c>
    </row>
    <row r="119" customFormat="false" ht="15" hidden="false" customHeight="false" outlineLevel="0" collapsed="false">
      <c r="A119" s="68" t="s">
        <v>948</v>
      </c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</row>
    <row r="120" customFormat="false" ht="15" hidden="false" customHeight="false" outlineLevel="0" collapsed="false">
      <c r="A120" s="54" t="s">
        <v>949</v>
      </c>
      <c r="B120" s="54" t="s">
        <v>71</v>
      </c>
      <c r="C120" s="96" t="n">
        <f aca="false">IF(C88&gt;0,C88*C65*1000000000/(C14*1000000000000000),0)</f>
        <v>0.030198693683281</v>
      </c>
      <c r="D120" s="96" t="n">
        <f aca="false">IF(D88&gt;0,D88*D65*1000000000/(D14*1000000000000000),0)</f>
        <v>0.0270258620573893</v>
      </c>
      <c r="E120" s="96" t="n">
        <f aca="false">IF(E88&gt;0,E88*E65*1000000000/(E14*1000000000000000),0)</f>
        <v>0.0240108880707045</v>
      </c>
      <c r="F120" s="96" t="n">
        <f aca="false">IF(F88&gt;0,F88*F65*1000000000/(F14*1000000000000000),0)</f>
        <v>0.0210859665436146</v>
      </c>
      <c r="G120" s="96" t="n">
        <f aca="false">IF(G88&gt;0,G88*G65*1000000000/(G14*1000000000000000),0)</f>
        <v>0.0197239686793334</v>
      </c>
      <c r="H120" s="96" t="n">
        <f aca="false">IF(H88&gt;0,H88*H65*1000000000/(H14*1000000000000000),0)</f>
        <v>0.0176648275535936</v>
      </c>
      <c r="I120" s="96" t="n">
        <f aca="false">IF(I88&gt;0,I88*I65*1000000000/(I14*1000000000000000),0)</f>
        <v>0.0210859665436146</v>
      </c>
      <c r="J120" s="96" t="n">
        <f aca="false">IF(J88&gt;0,J88*J65*1000000000/(J14*1000000000000000),0)</f>
        <v>0.0197239686793334</v>
      </c>
      <c r="K120" s="96" t="n">
        <f aca="false">IF(K88&gt;0,K88*K65*1000000000/(K14*1000000000000000),0)</f>
        <v>0.0170252241211969</v>
      </c>
      <c r="L120" s="96" t="n">
        <f aca="false">IF(L88&gt;0,L88*L65*1000000000/(L14*1000000000000000),0)</f>
        <v>0.0212325690532695</v>
      </c>
      <c r="M120" s="96" t="n">
        <f aca="false">IF(M88&gt;0,M88*M65*1000000000/(M14*1000000000000000),0)</f>
        <v>0.0204072236559185</v>
      </c>
      <c r="N120" s="96" t="n">
        <f aca="false">IF(N88&gt;0,N88*N65*1000000000/(N14*1000000000000000),0)</f>
        <v>0.0187107028638905</v>
      </c>
      <c r="O120" s="96" t="n">
        <f aca="false">IF(O88&gt;0,O88*O65*1000000000/(O14*1000000000000000),0)</f>
        <v>0.0212724273192884</v>
      </c>
      <c r="P120" s="96" t="n">
        <f aca="false">IF(P88&gt;0,P88*P65*1000000000/(P14*1000000000000000),0)</f>
        <v>0.0206068010984076</v>
      </c>
      <c r="Q120" s="96" t="n">
        <f aca="false">IF(Q88&gt;0,Q88*Q65*1000000000/(Q14*1000000000000000),0)</f>
        <v>0.0192056799107683</v>
      </c>
      <c r="R120" s="96" t="n">
        <f aca="false">IF(R88&gt;0,R88*R65*1000000000/(R14*1000000000000000),0)</f>
        <v>0.0202317171099168</v>
      </c>
      <c r="S120" s="96" t="n">
        <f aca="false">IF(S88&gt;0,S88*S65*1000000000/(S14*1000000000000000),0)</f>
        <v>0.0184518369477454</v>
      </c>
    </row>
    <row r="121" customFormat="false" ht="15" hidden="false" customHeight="false" outlineLevel="0" collapsed="false">
      <c r="A121" s="54" t="s">
        <v>950</v>
      </c>
      <c r="B121" s="54" t="s">
        <v>71</v>
      </c>
      <c r="C121" s="136" t="n">
        <f aca="false">IF(C88&gt;0,C88*C65*1000000000/(INDEX(Spec_Rack!$C$40:$G$40,C$6)*1000000000000000),0)</f>
        <v>0.030198693683281</v>
      </c>
      <c r="D121" s="136" t="n">
        <f aca="false">IF(D88&gt;0,D88*D65*1000000000/(INDEX(Spec_Rack!$C$40:$G$40,D$6)*1000000000000000),0)</f>
        <v>0.0270258620573893</v>
      </c>
      <c r="E121" s="136" t="n">
        <f aca="false">IF(E88&gt;0,E88*E65*1000000000/(INDEX(Spec_Rack!$C$40:$G$40,E$6)*1000000000000000),0)</f>
        <v>0.0240108880707045</v>
      </c>
      <c r="F121" s="136" t="n">
        <f aca="false">IF(F88&gt;0,F88*F65*1000000000/(INDEX(Spec_Rack!$C$40:$G$40,F$6)*1000000000000000),0)</f>
        <v>0.0421719330872292</v>
      </c>
      <c r="G121" s="136" t="n">
        <f aca="false">IF(G88&gt;0,G88*G65*1000000000/(INDEX(Spec_Rack!$C$40:$G$40,G$6)*1000000000000000),0)</f>
        <v>0.0394479373586667</v>
      </c>
      <c r="H121" s="136" t="n">
        <f aca="false">IF(H88&gt;0,H88*H65*1000000000/(INDEX(Spec_Rack!$C$40:$G$40,H$6)*1000000000000000),0)</f>
        <v>0.0353296551071871</v>
      </c>
      <c r="I121" s="136" t="n">
        <f aca="false">IF(I88&gt;0,I88*I65*1000000000/(INDEX(Spec_Rack!$C$40:$G$40,I$6)*1000000000000000),0)</f>
        <v>0.0632578996308438</v>
      </c>
      <c r="J121" s="136" t="n">
        <f aca="false">IF(J88&gt;0,J88*J65*1000000000/(INDEX(Spec_Rack!$C$40:$G$40,J$6)*1000000000000000),0)</f>
        <v>0.0591719060380001</v>
      </c>
      <c r="K121" s="136" t="n">
        <f aca="false">IF(K88&gt;0,K88*K65*1000000000/(INDEX(Spec_Rack!$C$40:$G$40,K$6)*1000000000000000),0)</f>
        <v>0.0510756723635908</v>
      </c>
      <c r="L121" s="136" t="n">
        <f aca="false">IF(L88&gt;0,L88*L65*1000000000/(INDEX(Spec_Rack!$C$40:$G$40,L$6)*1000000000000000),0)</f>
        <v>0.0424651381065389</v>
      </c>
      <c r="M121" s="136" t="n">
        <f aca="false">IF(M88&gt;0,M88*M65*1000000000/(INDEX(Spec_Rack!$C$40:$G$40,M$6)*1000000000000000),0)</f>
        <v>0.040814447311837</v>
      </c>
      <c r="N121" s="136" t="n">
        <f aca="false">IF(N88&gt;0,N88*N65*1000000000/(INDEX(Spec_Rack!$C$40:$G$40,N$6)*1000000000000000),0)</f>
        <v>0.0374214057277811</v>
      </c>
      <c r="O121" s="136" t="n">
        <f aca="false">IF(O88&gt;0,O88*O65*1000000000/(INDEX(Spec_Rack!$C$40:$G$40,O$6)*1000000000000000),0)</f>
        <v>0.0425448546385768</v>
      </c>
      <c r="P121" s="136" t="n">
        <f aca="false">IF(P88&gt;0,P88*P65*1000000000/(INDEX(Spec_Rack!$C$40:$G$40,P$6)*1000000000000000),0)</f>
        <v>0.0412136021968152</v>
      </c>
      <c r="Q121" s="136" t="n">
        <f aca="false">IF(Q88&gt;0,Q88*Q65*1000000000/(INDEX(Spec_Rack!$C$40:$G$40,Q$6)*1000000000000000),0)</f>
        <v>0.0384113598215367</v>
      </c>
      <c r="R121" s="136" t="n">
        <f aca="false">IF(R88&gt;0,R88*R65*1000000000/(INDEX(Spec_Rack!$C$40:$G$40,R$6)*1000000000000000),0)</f>
        <v>0.0202317171099168</v>
      </c>
      <c r="S121" s="136" t="n">
        <f aca="false">IF(S88&gt;0,S88*S65*1000000000/(INDEX(Spec_Rack!$C$40:$G$40,S$6)*1000000000000000),0)</f>
        <v>0.0184518369477454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17.15" hidden="false" customHeight="false" outlineLevel="0" collapsed="false">
      <c r="A1" s="49" t="s">
        <v>951</v>
      </c>
    </row>
    <row r="2" customFormat="false" ht="15" hidden="false" customHeight="false" outlineLevel="0" collapsed="false">
      <c r="A2" s="66" t="s">
        <v>952</v>
      </c>
    </row>
    <row r="4" customFormat="false" ht="15" hidden="false" customHeight="false" outlineLevel="0" collapsed="false">
      <c r="A4" s="51" t="s">
        <v>136</v>
      </c>
      <c r="C4" s="74" t="str">
        <f aca="false">INDEX(Spec_Rack!$C$4:$G$4,C6)</f>
        <v>Hopper H100</v>
      </c>
      <c r="D4" s="74" t="str">
        <f aca="false">INDEX(Spec_Rack!$C$4:$G$4,D6)</f>
        <v>Hopper H100</v>
      </c>
      <c r="E4" s="74" t="str">
        <f aca="false">INDEX(Spec_Rack!$C$4:$G$4,E6)</f>
        <v>Hopper H100</v>
      </c>
      <c r="F4" s="74" t="str">
        <f aca="false">INDEX(Spec_Rack!$C$4:$G$4,F6)</f>
        <v>GB200 NVL72</v>
      </c>
      <c r="G4" s="74" t="str">
        <f aca="false">INDEX(Spec_Rack!$C$4:$G$4,G6)</f>
        <v>GB200 NVL72</v>
      </c>
      <c r="H4" s="74" t="str">
        <f aca="false">INDEX(Spec_Rack!$C$4:$G$4,H6)</f>
        <v>GB200 NVL72</v>
      </c>
      <c r="I4" s="74" t="str">
        <f aca="false">INDEX(Spec_Rack!$C$4:$G$4,I6)</f>
        <v>GB300 NVL72</v>
      </c>
      <c r="J4" s="74" t="str">
        <f aca="false">INDEX(Spec_Rack!$C$4:$G$4,J6)</f>
        <v>GB300 NVL72</v>
      </c>
      <c r="K4" s="74" t="str">
        <f aca="false">INDEX(Spec_Rack!$C$4:$G$4,K6)</f>
        <v>GB300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Rubin Ultra（MGX NVL 單架，72 GPU）</v>
      </c>
      <c r="P4" s="74" t="str">
        <f aca="false">INDEX(Spec_Rack!$C$4:$G$4,P6)</f>
        <v>Rubin Ultra（MGX NVL 單架，72 GPU）</v>
      </c>
      <c r="Q4" s="74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51" t="s">
        <v>673</v>
      </c>
      <c r="C5" s="74" t="str">
        <f aca="false">INDEX(Arch!$C$4:$E$4,C7)</f>
        <v>Luna（低層）</v>
      </c>
      <c r="D5" s="74" t="str">
        <f aca="false">INDEX(Arch!$C$4:$E$4,D7)</f>
        <v>Sol（中層）</v>
      </c>
      <c r="E5" s="74" t="str">
        <f aca="false">INDEX(Arch!$C$4:$E$4,E7)</f>
        <v>Astra（頂層）</v>
      </c>
      <c r="F5" s="74" t="str">
        <f aca="false">INDEX(Arch!$C$4:$E$4,F7)</f>
        <v>Luna（低層）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Luna（低層）</v>
      </c>
      <c r="J5" s="74" t="str">
        <f aca="false">INDEX(Arch!$C$4:$E$4,J7)</f>
        <v>Sol（中層）</v>
      </c>
      <c r="K5" s="74" t="str">
        <f aca="false">INDEX(Arch!$C$4:$E$4,K7)</f>
        <v>Astra（頂層）</v>
      </c>
      <c r="L5" s="74" t="str">
        <f aca="false">INDEX(Arch!$C$4:$E$4,L7)</f>
        <v>Luna（低層）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Luna（低層）</v>
      </c>
      <c r="P5" s="74" t="str">
        <f aca="false">INDEX(Arch!$C$4:$E$4,P7)</f>
        <v>Sol（中層）</v>
      </c>
      <c r="Q5" s="74" t="str">
        <f aca="false">INDEX(Arch!$C$4:$E$4,Q7)</f>
        <v>Astra（頂層）</v>
      </c>
    </row>
    <row r="6" customFormat="false" ht="15" hidden="false" customHeight="false" outlineLevel="0" collapsed="false">
      <c r="A6" s="51" t="s">
        <v>407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</row>
    <row r="7" customFormat="false" ht="15" hidden="false" customHeight="false" outlineLevel="0" collapsed="false">
      <c r="A7" s="51" t="s">
        <v>674</v>
      </c>
      <c r="C7" s="59" t="n">
        <v>1</v>
      </c>
      <c r="D7" s="59" t="n">
        <v>2</v>
      </c>
      <c r="E7" s="59" t="n">
        <v>3</v>
      </c>
      <c r="F7" s="59" t="n">
        <v>1</v>
      </c>
      <c r="G7" s="59" t="n">
        <v>2</v>
      </c>
      <c r="H7" s="59" t="n">
        <v>3</v>
      </c>
      <c r="I7" s="59" t="n">
        <v>1</v>
      </c>
      <c r="J7" s="59" t="n">
        <v>2</v>
      </c>
      <c r="K7" s="59" t="n">
        <v>3</v>
      </c>
      <c r="L7" s="59" t="n">
        <v>1</v>
      </c>
      <c r="M7" s="59" t="n">
        <v>2</v>
      </c>
      <c r="N7" s="59" t="n">
        <v>3</v>
      </c>
      <c r="O7" s="59" t="n">
        <v>1</v>
      </c>
      <c r="P7" s="59" t="n">
        <v>2</v>
      </c>
      <c r="Q7" s="59" t="n">
        <v>3</v>
      </c>
    </row>
    <row r="9" customFormat="false" ht="15" hidden="false" customHeight="false" outlineLevel="0" collapsed="false">
      <c r="A9" s="68" t="s">
        <v>953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4" t="s">
        <v>954</v>
      </c>
      <c r="B10" s="54" t="s">
        <v>431</v>
      </c>
      <c r="C10" s="87" t="n">
        <f aca="false">INDEX(Spec_Rack!$C$40:$G$40,C$6)</f>
        <v>1.979</v>
      </c>
      <c r="D10" s="87" t="n">
        <f aca="false">INDEX(Spec_Rack!$C$40:$G$40,D$6)</f>
        <v>1.979</v>
      </c>
      <c r="E10" s="87" t="n">
        <f aca="false">INDEX(Spec_Rack!$C$40:$G$40,E$6)</f>
        <v>1.979</v>
      </c>
      <c r="F10" s="87" t="n">
        <f aca="false">INDEX(Spec_Rack!$C$40:$G$40,F$6)</f>
        <v>5</v>
      </c>
      <c r="G10" s="87" t="n">
        <f aca="false">INDEX(Spec_Rack!$C$40:$G$40,G$6)</f>
        <v>5</v>
      </c>
      <c r="H10" s="87" t="n">
        <f aca="false">INDEX(Spec_Rack!$C$40:$G$40,H$6)</f>
        <v>5</v>
      </c>
      <c r="I10" s="87" t="n">
        <f aca="false">INDEX(Spec_Rack!$C$40:$G$40,I$6)</f>
        <v>5</v>
      </c>
      <c r="J10" s="87" t="n">
        <f aca="false">INDEX(Spec_Rack!$C$40:$G$40,J$6)</f>
        <v>5</v>
      </c>
      <c r="K10" s="87" t="n">
        <f aca="false">INDEX(Spec_Rack!$C$40:$G$40,K$6)</f>
        <v>5</v>
      </c>
      <c r="L10" s="87" t="n">
        <f aca="false">INDEX(Spec_Rack!$C$40:$G$40,L$6)</f>
        <v>17.5</v>
      </c>
      <c r="M10" s="87" t="n">
        <f aca="false">INDEX(Spec_Rack!$C$40:$G$40,M$6)</f>
        <v>17.5</v>
      </c>
      <c r="N10" s="87" t="n">
        <f aca="false">INDEX(Spec_Rack!$C$40:$G$40,N$6)</f>
        <v>17.5</v>
      </c>
      <c r="O10" s="87" t="n">
        <f aca="false">INDEX(Spec_Rack!$C$40:$G$40,O$6)</f>
        <v>35</v>
      </c>
      <c r="P10" s="87" t="n">
        <f aca="false">INDEX(Spec_Rack!$C$40:$G$40,P$6)</f>
        <v>35</v>
      </c>
      <c r="Q10" s="87" t="n">
        <f aca="false">INDEX(Spec_Rack!$C$40:$G$40,Q$6)</f>
        <v>35</v>
      </c>
    </row>
    <row r="11" customFormat="false" ht="15" hidden="false" customHeight="false" outlineLevel="0" collapsed="false">
      <c r="A11" s="53" t="s">
        <v>955</v>
      </c>
      <c r="B11" s="54" t="s">
        <v>75</v>
      </c>
      <c r="C11" s="90" t="n">
        <f aca="false">Tech_Registry!$E$25</f>
        <v>1</v>
      </c>
      <c r="D11" s="90" t="n">
        <f aca="false">Tech_Registry!$E$25</f>
        <v>1</v>
      </c>
      <c r="E11" s="90" t="n">
        <f aca="false">Tech_Registry!$E$25</f>
        <v>1</v>
      </c>
      <c r="F11" s="90" t="n">
        <f aca="false">Tech_Registry!$E$25</f>
        <v>1</v>
      </c>
      <c r="G11" s="90" t="n">
        <f aca="false">Tech_Registry!$E$25</f>
        <v>1</v>
      </c>
      <c r="H11" s="90" t="n">
        <f aca="false">Tech_Registry!$E$25</f>
        <v>1</v>
      </c>
      <c r="I11" s="90" t="n">
        <f aca="false">Tech_Registry!$E$25</f>
        <v>1</v>
      </c>
      <c r="J11" s="90" t="n">
        <f aca="false">Tech_Registry!$E$25</f>
        <v>1</v>
      </c>
      <c r="K11" s="90" t="n">
        <f aca="false">Tech_Registry!$E$25</f>
        <v>1</v>
      </c>
      <c r="L11" s="90" t="n">
        <f aca="false">Tech_Registry!$E$25</f>
        <v>1</v>
      </c>
      <c r="M11" s="90" t="n">
        <f aca="false">Tech_Registry!$E$25</f>
        <v>1</v>
      </c>
      <c r="N11" s="90" t="n">
        <f aca="false">Tech_Registry!$E$25</f>
        <v>1</v>
      </c>
      <c r="O11" s="90" t="n">
        <f aca="false">Tech_Registry!$E$25</f>
        <v>1</v>
      </c>
      <c r="P11" s="90" t="n">
        <f aca="false">Tech_Registry!$E$25</f>
        <v>1</v>
      </c>
      <c r="Q11" s="90" t="n">
        <f aca="false">Tech_Registry!$E$25</f>
        <v>1</v>
      </c>
    </row>
    <row r="12" customFormat="false" ht="15" hidden="false" customHeight="false" outlineLevel="0" collapsed="false">
      <c r="A12" s="53" t="s">
        <v>956</v>
      </c>
      <c r="B12" s="54" t="s">
        <v>431</v>
      </c>
      <c r="C12" s="108" t="n">
        <f aca="false">C10*C11</f>
        <v>1.979</v>
      </c>
      <c r="D12" s="108" t="n">
        <f aca="false">D10*D11</f>
        <v>1.979</v>
      </c>
      <c r="E12" s="108" t="n">
        <f aca="false">E10*E11</f>
        <v>1.979</v>
      </c>
      <c r="F12" s="108" t="n">
        <f aca="false">F10*F11</f>
        <v>5</v>
      </c>
      <c r="G12" s="108" t="n">
        <f aca="false">G10*G11</f>
        <v>5</v>
      </c>
      <c r="H12" s="108" t="n">
        <f aca="false">H10*H11</f>
        <v>5</v>
      </c>
      <c r="I12" s="108" t="n">
        <f aca="false">I10*I11</f>
        <v>5</v>
      </c>
      <c r="J12" s="108" t="n">
        <f aca="false">J10*J11</f>
        <v>5</v>
      </c>
      <c r="K12" s="108" t="n">
        <f aca="false">K10*K11</f>
        <v>5</v>
      </c>
      <c r="L12" s="108" t="n">
        <f aca="false">L10*L11</f>
        <v>17.5</v>
      </c>
      <c r="M12" s="108" t="n">
        <f aca="false">M10*M11</f>
        <v>17.5</v>
      </c>
      <c r="N12" s="108" t="n">
        <f aca="false">N10*N11</f>
        <v>17.5</v>
      </c>
      <c r="O12" s="108" t="n">
        <f aca="false">O10*O11</f>
        <v>35</v>
      </c>
      <c r="P12" s="108" t="n">
        <f aca="false">P10*P11</f>
        <v>35</v>
      </c>
      <c r="Q12" s="108" t="n">
        <f aca="false">Q10*Q11</f>
        <v>35</v>
      </c>
    </row>
    <row r="13" customFormat="false" ht="15" hidden="false" customHeight="false" outlineLevel="0" collapsed="false">
      <c r="A13" s="53" t="s">
        <v>957</v>
      </c>
      <c r="B13" s="54" t="s">
        <v>71</v>
      </c>
      <c r="C13" s="57" t="n">
        <f aca="false">Train_In!$C$6</f>
        <v>0.25</v>
      </c>
      <c r="D13" s="57" t="n">
        <f aca="false">Train_In!$C$6</f>
        <v>0.25</v>
      </c>
      <c r="E13" s="57" t="n">
        <f aca="false">Train_In!$C$6</f>
        <v>0.25</v>
      </c>
      <c r="F13" s="57" t="n">
        <f aca="false">Train_In!$C$6</f>
        <v>0.25</v>
      </c>
      <c r="G13" s="57" t="n">
        <f aca="false">Train_In!$C$6</f>
        <v>0.25</v>
      </c>
      <c r="H13" s="57" t="n">
        <f aca="false">Train_In!$C$6</f>
        <v>0.25</v>
      </c>
      <c r="I13" s="57" t="n">
        <f aca="false">Train_In!$C$6</f>
        <v>0.25</v>
      </c>
      <c r="J13" s="57" t="n">
        <f aca="false">Train_In!$C$6</f>
        <v>0.25</v>
      </c>
      <c r="K13" s="57" t="n">
        <f aca="false">Train_In!$C$6</f>
        <v>0.25</v>
      </c>
      <c r="L13" s="57" t="n">
        <f aca="false">Train_In!$C$6</f>
        <v>0.25</v>
      </c>
      <c r="M13" s="57" t="n">
        <f aca="false">Train_In!$C$6</f>
        <v>0.25</v>
      </c>
      <c r="N13" s="57" t="n">
        <f aca="false">Train_In!$C$6</f>
        <v>0.25</v>
      </c>
      <c r="O13" s="57" t="n">
        <f aca="false">Train_In!$C$6</f>
        <v>0.25</v>
      </c>
      <c r="P13" s="57" t="n">
        <f aca="false">Train_In!$C$6</f>
        <v>0.25</v>
      </c>
      <c r="Q13" s="57" t="n">
        <f aca="false">Train_In!$C$6</f>
        <v>0.25</v>
      </c>
    </row>
    <row r="14" customFormat="false" ht="15" hidden="false" customHeight="false" outlineLevel="0" collapsed="false">
      <c r="A14" s="54" t="s">
        <v>958</v>
      </c>
      <c r="B14" s="54" t="s">
        <v>75</v>
      </c>
      <c r="C14" s="90" t="n">
        <f aca="false">INDEX(Train_In!$C$21:$G$21,C$6)</f>
        <v>1</v>
      </c>
      <c r="D14" s="90" t="n">
        <f aca="false">INDEX(Train_In!$C$21:$G$21,D$6)</f>
        <v>1</v>
      </c>
      <c r="E14" s="90" t="n">
        <f aca="false">INDEX(Train_In!$C$21:$G$21,E$6)</f>
        <v>1</v>
      </c>
      <c r="F14" s="90" t="n">
        <f aca="false">INDEX(Train_In!$C$21:$G$21,F$6)</f>
        <v>1</v>
      </c>
      <c r="G14" s="90" t="n">
        <f aca="false">INDEX(Train_In!$C$21:$G$21,G$6)</f>
        <v>1</v>
      </c>
      <c r="H14" s="90" t="n">
        <f aca="false">INDEX(Train_In!$C$21:$G$21,H$6)</f>
        <v>1</v>
      </c>
      <c r="I14" s="90" t="n">
        <f aca="false">INDEX(Train_In!$C$21:$G$21,I$6)</f>
        <v>1</v>
      </c>
      <c r="J14" s="90" t="n">
        <f aca="false">INDEX(Train_In!$C$21:$G$21,J$6)</f>
        <v>1</v>
      </c>
      <c r="K14" s="90" t="n">
        <f aca="false">INDEX(Train_In!$C$21:$G$21,K$6)</f>
        <v>1</v>
      </c>
      <c r="L14" s="90" t="n">
        <f aca="false">INDEX(Train_In!$C$21:$G$21,L$6)</f>
        <v>0.9</v>
      </c>
      <c r="M14" s="90" t="n">
        <f aca="false">INDEX(Train_In!$C$21:$G$21,M$6)</f>
        <v>0.9</v>
      </c>
      <c r="N14" s="90" t="n">
        <f aca="false">INDEX(Train_In!$C$21:$G$21,N$6)</f>
        <v>0.9</v>
      </c>
      <c r="O14" s="90" t="n">
        <f aca="false">INDEX(Train_In!$C$21:$G$21,O$6)</f>
        <v>0.9</v>
      </c>
      <c r="P14" s="90" t="n">
        <f aca="false">INDEX(Train_In!$C$21:$G$21,P$6)</f>
        <v>0.9</v>
      </c>
      <c r="Q14" s="90" t="n">
        <f aca="false">INDEX(Train_In!$C$21:$G$21,Q$6)</f>
        <v>0.9</v>
      </c>
    </row>
    <row r="15" customFormat="false" ht="15" hidden="false" customHeight="false" outlineLevel="0" collapsed="false">
      <c r="A15" s="53" t="s">
        <v>959</v>
      </c>
      <c r="B15" s="54" t="s">
        <v>75</v>
      </c>
      <c r="C15" s="90" t="n">
        <f aca="false">Tech_Registry!$E$26</f>
        <v>1</v>
      </c>
      <c r="D15" s="90" t="n">
        <f aca="false">Tech_Registry!$E$26</f>
        <v>1</v>
      </c>
      <c r="E15" s="90" t="n">
        <f aca="false">Tech_Registry!$E$26</f>
        <v>1</v>
      </c>
      <c r="F15" s="90" t="n">
        <f aca="false">Tech_Registry!$E$26</f>
        <v>1</v>
      </c>
      <c r="G15" s="90" t="n">
        <f aca="false">Tech_Registry!$E$26</f>
        <v>1</v>
      </c>
      <c r="H15" s="90" t="n">
        <f aca="false">Tech_Registry!$E$26</f>
        <v>1</v>
      </c>
      <c r="I15" s="90" t="n">
        <f aca="false">Tech_Registry!$E$26</f>
        <v>1</v>
      </c>
      <c r="J15" s="90" t="n">
        <f aca="false">Tech_Registry!$E$26</f>
        <v>1</v>
      </c>
      <c r="K15" s="90" t="n">
        <f aca="false">Tech_Registry!$E$26</f>
        <v>1</v>
      </c>
      <c r="L15" s="90" t="n">
        <f aca="false">Tech_Registry!$E$26</f>
        <v>1</v>
      </c>
      <c r="M15" s="90" t="n">
        <f aca="false">Tech_Registry!$E$26</f>
        <v>1</v>
      </c>
      <c r="N15" s="90" t="n">
        <f aca="false">Tech_Registry!$E$26</f>
        <v>1</v>
      </c>
      <c r="O15" s="90" t="n">
        <f aca="false">Tech_Registry!$E$26</f>
        <v>1</v>
      </c>
      <c r="P15" s="90" t="n">
        <f aca="false">Tech_Registry!$E$26</f>
        <v>1</v>
      </c>
      <c r="Q15" s="90" t="n">
        <f aca="false">Tech_Registry!$E$26</f>
        <v>1</v>
      </c>
    </row>
    <row r="16" customFormat="false" ht="15" hidden="false" customHeight="false" outlineLevel="0" collapsed="false">
      <c r="A16" s="53" t="s">
        <v>960</v>
      </c>
      <c r="B16" s="54" t="s">
        <v>71</v>
      </c>
      <c r="C16" s="96" t="n">
        <f aca="false">C13*C14*C15</f>
        <v>0.25</v>
      </c>
      <c r="D16" s="96" t="n">
        <f aca="false">D13*D14*D15</f>
        <v>0.25</v>
      </c>
      <c r="E16" s="96" t="n">
        <f aca="false">E13*E14*E15</f>
        <v>0.25</v>
      </c>
      <c r="F16" s="96" t="n">
        <f aca="false">F13*F14*F15</f>
        <v>0.25</v>
      </c>
      <c r="G16" s="96" t="n">
        <f aca="false">G13*G14*G15</f>
        <v>0.25</v>
      </c>
      <c r="H16" s="96" t="n">
        <f aca="false">H13*H14*H15</f>
        <v>0.25</v>
      </c>
      <c r="I16" s="96" t="n">
        <f aca="false">I13*I14*I15</f>
        <v>0.25</v>
      </c>
      <c r="J16" s="96" t="n">
        <f aca="false">J13*J14*J15</f>
        <v>0.25</v>
      </c>
      <c r="K16" s="96" t="n">
        <f aca="false">K13*K14*K15</f>
        <v>0.25</v>
      </c>
      <c r="L16" s="96" t="n">
        <f aca="false">L13*L14*L15</f>
        <v>0.225</v>
      </c>
      <c r="M16" s="96" t="n">
        <f aca="false">M13*M14*M15</f>
        <v>0.225</v>
      </c>
      <c r="N16" s="96" t="n">
        <f aca="false">N13*N14*N15</f>
        <v>0.225</v>
      </c>
      <c r="O16" s="96" t="n">
        <f aca="false">O13*O14*O15</f>
        <v>0.225</v>
      </c>
      <c r="P16" s="96" t="n">
        <f aca="false">P13*P14*P15</f>
        <v>0.225</v>
      </c>
      <c r="Q16" s="96" t="n">
        <f aca="false">Q13*Q14*Q15</f>
        <v>0.225</v>
      </c>
    </row>
    <row r="17" customFormat="false" ht="15" hidden="false" customHeight="false" outlineLevel="0" collapsed="false">
      <c r="A17" s="54" t="s">
        <v>961</v>
      </c>
      <c r="B17" s="54" t="s">
        <v>71</v>
      </c>
      <c r="C17" s="57" t="n">
        <f aca="false">Train_In!$C$7</f>
        <v>0.9</v>
      </c>
      <c r="D17" s="57" t="n">
        <f aca="false">Train_In!$C$7</f>
        <v>0.9</v>
      </c>
      <c r="E17" s="57" t="n">
        <f aca="false">Train_In!$C$7</f>
        <v>0.9</v>
      </c>
      <c r="F17" s="57" t="n">
        <f aca="false">Train_In!$C$7</f>
        <v>0.9</v>
      </c>
      <c r="G17" s="57" t="n">
        <f aca="false">Train_In!$C$7</f>
        <v>0.9</v>
      </c>
      <c r="H17" s="57" t="n">
        <f aca="false">Train_In!$C$7</f>
        <v>0.9</v>
      </c>
      <c r="I17" s="57" t="n">
        <f aca="false">Train_In!$C$7</f>
        <v>0.9</v>
      </c>
      <c r="J17" s="57" t="n">
        <f aca="false">Train_In!$C$7</f>
        <v>0.9</v>
      </c>
      <c r="K17" s="57" t="n">
        <f aca="false">Train_In!$C$7</f>
        <v>0.9</v>
      </c>
      <c r="L17" s="57" t="n">
        <f aca="false">Train_In!$C$7</f>
        <v>0.9</v>
      </c>
      <c r="M17" s="57" t="n">
        <f aca="false">Train_In!$C$7</f>
        <v>0.9</v>
      </c>
      <c r="N17" s="57" t="n">
        <f aca="false">Train_In!$C$7</f>
        <v>0.9</v>
      </c>
      <c r="O17" s="57" t="n">
        <f aca="false">Train_In!$C$7</f>
        <v>0.9</v>
      </c>
      <c r="P17" s="57" t="n">
        <f aca="false">Train_In!$C$7</f>
        <v>0.9</v>
      </c>
      <c r="Q17" s="57" t="n">
        <f aca="false">Train_In!$C$7</f>
        <v>0.9</v>
      </c>
    </row>
    <row r="18" customFormat="false" ht="15" hidden="false" customHeight="false" outlineLevel="0" collapsed="false">
      <c r="A18" s="53" t="s">
        <v>962</v>
      </c>
      <c r="B18" s="53" t="s">
        <v>686</v>
      </c>
      <c r="C18" s="55" t="n">
        <f aca="false">INDEX(DC_Cost!$C$14:$Q$14,3*(C$6-1)+2)/CTL_GW</f>
        <v>718048</v>
      </c>
      <c r="D18" s="55" t="n">
        <f aca="false">INDEX(DC_Cost!$C$14:$Q$14,3*(D$6-1)+2)/CTL_GW</f>
        <v>718048</v>
      </c>
      <c r="E18" s="55" t="n">
        <f aca="false">INDEX(DC_Cost!$C$14:$Q$14,3*(E$6-1)+2)/CTL_GW</f>
        <v>718048</v>
      </c>
      <c r="F18" s="55" t="n">
        <f aca="false">INDEX(DC_Cost!$C$14:$Q$14,3*(F$6-1)+2)/CTL_GW</f>
        <v>501768</v>
      </c>
      <c r="G18" s="55" t="n">
        <f aca="false">INDEX(DC_Cost!$C$14:$Q$14,3*(G$6-1)+2)/CTL_GW</f>
        <v>501768</v>
      </c>
      <c r="H18" s="55" t="n">
        <f aca="false">INDEX(DC_Cost!$C$14:$Q$14,3*(H$6-1)+2)/CTL_GW</f>
        <v>501768</v>
      </c>
      <c r="I18" s="55" t="n">
        <f aca="false">INDEX(DC_Cost!$C$14:$Q$14,3*(I$6-1)+2)/CTL_GW</f>
        <v>487008</v>
      </c>
      <c r="J18" s="55" t="n">
        <f aca="false">INDEX(DC_Cost!$C$14:$Q$14,3*(J$6-1)+2)/CTL_GW</f>
        <v>487008</v>
      </c>
      <c r="K18" s="55" t="n">
        <f aca="false">INDEX(DC_Cost!$C$14:$Q$14,3*(K$6-1)+2)/CTL_GW</f>
        <v>487008</v>
      </c>
      <c r="L18" s="55" t="n">
        <f aca="false">INDEX(DC_Cost!$C$14:$Q$14,3*(L$6-1)+2)/CTL_GW</f>
        <v>291744</v>
      </c>
      <c r="M18" s="55" t="n">
        <f aca="false">INDEX(DC_Cost!$C$14:$Q$14,3*(M$6-1)+2)/CTL_GW</f>
        <v>291744</v>
      </c>
      <c r="N18" s="55" t="n">
        <f aca="false">INDEX(DC_Cost!$C$14:$Q$14,3*(N$6-1)+2)/CTL_GW</f>
        <v>291744</v>
      </c>
      <c r="O18" s="55" t="n">
        <f aca="false">INDEX(DC_Cost!$C$14:$Q$14,3*(O$6-1)+2)/CTL_GW</f>
        <v>194760</v>
      </c>
      <c r="P18" s="55" t="n">
        <f aca="false">INDEX(DC_Cost!$C$14:$Q$14,3*(P$6-1)+2)/CTL_GW</f>
        <v>194760</v>
      </c>
      <c r="Q18" s="55" t="n">
        <f aca="false">INDEX(DC_Cost!$C$14:$Q$14,3*(Q$6-1)+2)/CTL_GW</f>
        <v>194760</v>
      </c>
    </row>
    <row r="19" customFormat="false" ht="15" hidden="false" customHeight="false" outlineLevel="0" collapsed="false">
      <c r="A19" s="53" t="s">
        <v>963</v>
      </c>
      <c r="B19" s="54" t="s">
        <v>803</v>
      </c>
      <c r="C19" s="88" t="n">
        <f aca="false">INDEX(DC_Cost!$C$58:$Q$58,3*(C$6-1)+2)</f>
        <v>1.60502925637165</v>
      </c>
      <c r="D19" s="88" t="n">
        <f aca="false">INDEX(DC_Cost!$C$58:$Q$58,3*(D$6-1)+2)</f>
        <v>1.60502925637165</v>
      </c>
      <c r="E19" s="88" t="n">
        <f aca="false">INDEX(DC_Cost!$C$58:$Q$58,3*(E$6-1)+2)</f>
        <v>1.60502925637165</v>
      </c>
      <c r="F19" s="88" t="n">
        <f aca="false">INDEX(DC_Cost!$C$58:$Q$58,3*(F$6-1)+2)</f>
        <v>2.08645378736555</v>
      </c>
      <c r="G19" s="88" t="n">
        <f aca="false">INDEX(DC_Cost!$C$58:$Q$58,3*(G$6-1)+2)</f>
        <v>2.08645378736555</v>
      </c>
      <c r="H19" s="88" t="n">
        <f aca="false">INDEX(DC_Cost!$C$58:$Q$58,3*(H$6-1)+2)</f>
        <v>2.08645378736555</v>
      </c>
      <c r="I19" s="88" t="n">
        <f aca="false">INDEX(DC_Cost!$C$58:$Q$58,3*(I$6-1)+2)</f>
        <v>2.98269559427618</v>
      </c>
      <c r="J19" s="88" t="n">
        <f aca="false">INDEX(DC_Cost!$C$58:$Q$58,3*(J$6-1)+2)</f>
        <v>2.98269559427618</v>
      </c>
      <c r="K19" s="88" t="n">
        <f aca="false">INDEX(DC_Cost!$C$58:$Q$58,3*(K$6-1)+2)</f>
        <v>2.98269559427618</v>
      </c>
      <c r="L19" s="88" t="n">
        <f aca="false">INDEX(DC_Cost!$C$58:$Q$58,3*(L$6-1)+2)</f>
        <v>4.99359409623699</v>
      </c>
      <c r="M19" s="88" t="n">
        <f aca="false">INDEX(DC_Cost!$C$58:$Q$58,3*(M$6-1)+2)</f>
        <v>4.99359409623699</v>
      </c>
      <c r="N19" s="88" t="n">
        <f aca="false">INDEX(DC_Cost!$C$58:$Q$58,3*(N$6-1)+2)</f>
        <v>4.99359409623699</v>
      </c>
      <c r="O19" s="88" t="n">
        <f aca="false">INDEX(DC_Cost!$C$58:$Q$58,3*(O$6-1)+2)</f>
        <v>9.41883786448199</v>
      </c>
      <c r="P19" s="88" t="n">
        <f aca="false">INDEX(DC_Cost!$C$58:$Q$58,3*(P$6-1)+2)</f>
        <v>9.41883786448199</v>
      </c>
      <c r="Q19" s="88" t="n">
        <f aca="false">INDEX(DC_Cost!$C$58:$Q$58,3*(Q$6-1)+2)</f>
        <v>9.41883786448199</v>
      </c>
    </row>
    <row r="20" customFormat="false" ht="15" hidden="false" customHeight="false" outlineLevel="0" collapsed="false">
      <c r="A20" s="53" t="s">
        <v>964</v>
      </c>
      <c r="B20" s="54" t="s">
        <v>803</v>
      </c>
      <c r="C20" s="88" t="n">
        <f aca="false">INDEX(DC_Cost!$C$57:$Q$57,3*(C$6-1)+2)</f>
        <v>1.19184547960247</v>
      </c>
      <c r="D20" s="88" t="n">
        <f aca="false">INDEX(DC_Cost!$C$57:$Q$57,3*(D$6-1)+2)</f>
        <v>1.19184547960247</v>
      </c>
      <c r="E20" s="88" t="n">
        <f aca="false">INDEX(DC_Cost!$C$57:$Q$57,3*(E$6-1)+2)</f>
        <v>1.19184547960247</v>
      </c>
      <c r="F20" s="88" t="n">
        <f aca="false">INDEX(DC_Cost!$C$57:$Q$57,3*(F$6-1)+2)</f>
        <v>1.54521983705496</v>
      </c>
      <c r="G20" s="88" t="n">
        <f aca="false">INDEX(DC_Cost!$C$57:$Q$57,3*(G$6-1)+2)</f>
        <v>1.54521983705496</v>
      </c>
      <c r="H20" s="88" t="n">
        <f aca="false">INDEX(DC_Cost!$C$57:$Q$57,3*(H$6-1)+2)</f>
        <v>1.54521983705496</v>
      </c>
      <c r="I20" s="88" t="n">
        <f aca="false">INDEX(DC_Cost!$C$57:$Q$57,3*(I$6-1)+2)</f>
        <v>2.22691545895677</v>
      </c>
      <c r="J20" s="88" t="n">
        <f aca="false">INDEX(DC_Cost!$C$57:$Q$57,3*(J$6-1)+2)</f>
        <v>2.22691545895677</v>
      </c>
      <c r="K20" s="88" t="n">
        <f aca="false">INDEX(DC_Cost!$C$57:$Q$57,3*(K$6-1)+2)</f>
        <v>2.22691545895677</v>
      </c>
      <c r="L20" s="88" t="n">
        <f aca="false">INDEX(DC_Cost!$C$57:$Q$57,3*(L$6-1)+2)</f>
        <v>3.72850221140062</v>
      </c>
      <c r="M20" s="88" t="n">
        <f aca="false">INDEX(DC_Cost!$C$57:$Q$57,3*(M$6-1)+2)</f>
        <v>3.72850221140062</v>
      </c>
      <c r="N20" s="88" t="n">
        <f aca="false">INDEX(DC_Cost!$C$57:$Q$57,3*(N$6-1)+2)</f>
        <v>3.72850221140062</v>
      </c>
      <c r="O20" s="88" t="n">
        <f aca="false">INDEX(DC_Cost!$C$57:$Q$57,3*(O$6-1)+2)</f>
        <v>7.06264809625585</v>
      </c>
      <c r="P20" s="88" t="n">
        <f aca="false">INDEX(DC_Cost!$C$57:$Q$57,3*(P$6-1)+2)</f>
        <v>7.06264809625585</v>
      </c>
      <c r="Q20" s="88" t="n">
        <f aca="false">INDEX(DC_Cost!$C$57:$Q$57,3*(Q$6-1)+2)</f>
        <v>7.06264809625585</v>
      </c>
    </row>
    <row r="21" customFormat="false" ht="15" hidden="false" customHeight="false" outlineLevel="0" collapsed="false">
      <c r="A21" s="68" t="s">
        <v>695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</row>
    <row r="22" customFormat="false" ht="15" hidden="false" customHeight="false" outlineLevel="0" collapsed="false">
      <c r="A22" s="53" t="s">
        <v>231</v>
      </c>
      <c r="B22" s="54" t="s">
        <v>228</v>
      </c>
      <c r="C22" s="55" t="n">
        <f aca="false">INDEX(Arch!$C$7:$E$7,C$7)</f>
        <v>13</v>
      </c>
      <c r="D22" s="55" t="n">
        <f aca="false">INDEX(Arch!$C$7:$E$7,D$7)</f>
        <v>49</v>
      </c>
      <c r="E22" s="55" t="n">
        <f aca="false">INDEX(Arch!$C$7:$E$7,E$7)</f>
        <v>180</v>
      </c>
      <c r="F22" s="55" t="n">
        <f aca="false">INDEX(Arch!$C$7:$E$7,F$7)</f>
        <v>13</v>
      </c>
      <c r="G22" s="55" t="n">
        <f aca="false">INDEX(Arch!$C$7:$E$7,G$7)</f>
        <v>49</v>
      </c>
      <c r="H22" s="55" t="n">
        <f aca="false">INDEX(Arch!$C$7:$E$7,H$7)</f>
        <v>180</v>
      </c>
      <c r="I22" s="55" t="n">
        <f aca="false">INDEX(Arch!$C$7:$E$7,I$7)</f>
        <v>13</v>
      </c>
      <c r="J22" s="55" t="n">
        <f aca="false">INDEX(Arch!$C$7:$E$7,J$7)</f>
        <v>49</v>
      </c>
      <c r="K22" s="55" t="n">
        <f aca="false">INDEX(Arch!$C$7:$E$7,K$7)</f>
        <v>180</v>
      </c>
      <c r="L22" s="55" t="n">
        <f aca="false">INDEX(Arch!$C$7:$E$7,L$7)</f>
        <v>13</v>
      </c>
      <c r="M22" s="55" t="n">
        <f aca="false">INDEX(Arch!$C$7:$E$7,M$7)</f>
        <v>49</v>
      </c>
      <c r="N22" s="55" t="n">
        <f aca="false">INDEX(Arch!$C$7:$E$7,N$7)</f>
        <v>180</v>
      </c>
      <c r="O22" s="55" t="n">
        <f aca="false">INDEX(Arch!$C$7:$E$7,O$7)</f>
        <v>13</v>
      </c>
      <c r="P22" s="55" t="n">
        <f aca="false">INDEX(Arch!$C$7:$E$7,P$7)</f>
        <v>49</v>
      </c>
      <c r="Q22" s="55" t="n">
        <f aca="false">INDEX(Arch!$C$7:$E$7,Q$7)</f>
        <v>180</v>
      </c>
    </row>
    <row r="23" customFormat="false" ht="15" hidden="false" customHeight="false" outlineLevel="0" collapsed="false">
      <c r="A23" s="53" t="s">
        <v>442</v>
      </c>
      <c r="B23" s="54" t="s">
        <v>272</v>
      </c>
      <c r="C23" s="55" t="n">
        <f aca="false">INDEX(Arch!$C$30:$E$30,C$7)</f>
        <v>5636096</v>
      </c>
      <c r="D23" s="55" t="n">
        <f aca="false">INDEX(Arch!$C$30:$E$30,D$7)</f>
        <v>15990784</v>
      </c>
      <c r="E23" s="55" t="n">
        <f aca="false">INDEX(Arch!$C$30:$E$30,E$7)</f>
        <v>4915200</v>
      </c>
      <c r="F23" s="55" t="n">
        <f aca="false">INDEX(Arch!$C$30:$E$30,F$7)</f>
        <v>5636096</v>
      </c>
      <c r="G23" s="55" t="n">
        <f aca="false">INDEX(Arch!$C$30:$E$30,G$7)</f>
        <v>15990784</v>
      </c>
      <c r="H23" s="55" t="n">
        <f aca="false">INDEX(Arch!$C$30:$E$30,H$7)</f>
        <v>4915200</v>
      </c>
      <c r="I23" s="55" t="n">
        <f aca="false">INDEX(Arch!$C$30:$E$30,I$7)</f>
        <v>5636096</v>
      </c>
      <c r="J23" s="55" t="n">
        <f aca="false">INDEX(Arch!$C$30:$E$30,J$7)</f>
        <v>15990784</v>
      </c>
      <c r="K23" s="55" t="n">
        <f aca="false">INDEX(Arch!$C$30:$E$30,K$7)</f>
        <v>4915200</v>
      </c>
      <c r="L23" s="55" t="n">
        <f aca="false">INDEX(Arch!$C$30:$E$30,L$7)</f>
        <v>5636096</v>
      </c>
      <c r="M23" s="55" t="n">
        <f aca="false">INDEX(Arch!$C$30:$E$30,M$7)</f>
        <v>15990784</v>
      </c>
      <c r="N23" s="55" t="n">
        <f aca="false">INDEX(Arch!$C$30:$E$30,N$7)</f>
        <v>4915200</v>
      </c>
      <c r="O23" s="55" t="n">
        <f aca="false">INDEX(Arch!$C$30:$E$30,O$7)</f>
        <v>5636096</v>
      </c>
      <c r="P23" s="55" t="n">
        <f aca="false">INDEX(Arch!$C$30:$E$30,P$7)</f>
        <v>15990784</v>
      </c>
      <c r="Q23" s="55" t="n">
        <f aca="false">INDEX(Arch!$C$30:$E$30,Q$7)</f>
        <v>4915200</v>
      </c>
    </row>
    <row r="24" customFormat="false" ht="15" hidden="false" customHeight="false" outlineLevel="0" collapsed="false">
      <c r="A24" s="53" t="s">
        <v>246</v>
      </c>
      <c r="B24" s="54" t="s">
        <v>71</v>
      </c>
      <c r="C24" s="57" t="n">
        <f aca="false">INDEX(Arch!$C$16:$E$16,C$7)</f>
        <v>0.512</v>
      </c>
      <c r="D24" s="57" t="n">
        <f aca="false">INDEX(Arch!$C$16:$E$16,D$7)</f>
        <v>0.492</v>
      </c>
      <c r="E24" s="57" t="n">
        <f aca="false">INDEX(Arch!$C$16:$E$16,E$7)</f>
        <v>1</v>
      </c>
      <c r="F24" s="57" t="n">
        <f aca="false">INDEX(Arch!$C$16:$E$16,F$7)</f>
        <v>0.512</v>
      </c>
      <c r="G24" s="57" t="n">
        <f aca="false">INDEX(Arch!$C$16:$E$16,G$7)</f>
        <v>0.492</v>
      </c>
      <c r="H24" s="57" t="n">
        <f aca="false">INDEX(Arch!$C$16:$E$16,H$7)</f>
        <v>1</v>
      </c>
      <c r="I24" s="57" t="n">
        <f aca="false">INDEX(Arch!$C$16:$E$16,I$7)</f>
        <v>0.512</v>
      </c>
      <c r="J24" s="57" t="n">
        <f aca="false">INDEX(Arch!$C$16:$E$16,J$7)</f>
        <v>0.492</v>
      </c>
      <c r="K24" s="57" t="n">
        <f aca="false">INDEX(Arch!$C$16:$E$16,K$7)</f>
        <v>1</v>
      </c>
      <c r="L24" s="57" t="n">
        <f aca="false">INDEX(Arch!$C$16:$E$16,L$7)</f>
        <v>0.512</v>
      </c>
      <c r="M24" s="57" t="n">
        <f aca="false">INDEX(Arch!$C$16:$E$16,M$7)</f>
        <v>0.492</v>
      </c>
      <c r="N24" s="57" t="n">
        <f aca="false">INDEX(Arch!$C$16:$E$16,N$7)</f>
        <v>1</v>
      </c>
      <c r="O24" s="57" t="n">
        <f aca="false">INDEX(Arch!$C$16:$E$16,O$7)</f>
        <v>0.512</v>
      </c>
      <c r="P24" s="57" t="n">
        <f aca="false">INDEX(Arch!$C$16:$E$16,P$7)</f>
        <v>0.492</v>
      </c>
      <c r="Q24" s="57" t="n">
        <f aca="false">INDEX(Arch!$C$16:$E$16,Q$7)</f>
        <v>1</v>
      </c>
    </row>
    <row r="25" customFormat="false" ht="15" hidden="false" customHeight="false" outlineLevel="0" collapsed="false">
      <c r="A25" s="53" t="s">
        <v>698</v>
      </c>
      <c r="B25" s="54" t="s">
        <v>249</v>
      </c>
      <c r="C25" s="55" t="n">
        <f aca="false">INDEX(Arch!$C$17:$E$17,C$7)</f>
        <v>4224</v>
      </c>
      <c r="D25" s="55" t="n">
        <f aca="false">INDEX(Arch!$C$17:$E$17,D$7)</f>
        <v>4224</v>
      </c>
      <c r="E25" s="55" t="n">
        <f aca="false">INDEX(Arch!$C$17:$E$17,E$7)</f>
        <v>0</v>
      </c>
      <c r="F25" s="55" t="n">
        <f aca="false">INDEX(Arch!$C$17:$E$17,F$7)</f>
        <v>4224</v>
      </c>
      <c r="G25" s="55" t="n">
        <f aca="false">INDEX(Arch!$C$17:$E$17,G$7)</f>
        <v>4224</v>
      </c>
      <c r="H25" s="55" t="n">
        <f aca="false">INDEX(Arch!$C$17:$E$17,H$7)</f>
        <v>0</v>
      </c>
      <c r="I25" s="55" t="n">
        <f aca="false">INDEX(Arch!$C$17:$E$17,I$7)</f>
        <v>4224</v>
      </c>
      <c r="J25" s="55" t="n">
        <f aca="false">INDEX(Arch!$C$17:$E$17,J$7)</f>
        <v>4224</v>
      </c>
      <c r="K25" s="55" t="n">
        <f aca="false">INDEX(Arch!$C$17:$E$17,K$7)</f>
        <v>0</v>
      </c>
      <c r="L25" s="55" t="n">
        <f aca="false">INDEX(Arch!$C$17:$E$17,L$7)</f>
        <v>4224</v>
      </c>
      <c r="M25" s="55" t="n">
        <f aca="false">INDEX(Arch!$C$17:$E$17,M$7)</f>
        <v>4224</v>
      </c>
      <c r="N25" s="55" t="n">
        <f aca="false">INDEX(Arch!$C$17:$E$17,N$7)</f>
        <v>0</v>
      </c>
      <c r="O25" s="55" t="n">
        <f aca="false">INDEX(Arch!$C$17:$E$17,O$7)</f>
        <v>4224</v>
      </c>
      <c r="P25" s="55" t="n">
        <f aca="false">INDEX(Arch!$C$17:$E$17,P$7)</f>
        <v>4224</v>
      </c>
      <c r="Q25" s="55" t="n">
        <f aca="false">INDEX(Arch!$C$17:$E$17,Q$7)</f>
        <v>0</v>
      </c>
    </row>
    <row r="26" customFormat="false" ht="15" hidden="false" customHeight="false" outlineLevel="0" collapsed="false">
      <c r="A26" s="53" t="s">
        <v>252</v>
      </c>
      <c r="B26" s="54" t="s">
        <v>75</v>
      </c>
      <c r="C26" s="55" t="n">
        <f aca="false">INDEX(Arch!$C$18:$E$18,C$7)</f>
        <v>128</v>
      </c>
      <c r="D26" s="55" t="n">
        <f aca="false">INDEX(Arch!$C$18:$E$18,D$7)</f>
        <v>128</v>
      </c>
      <c r="E26" s="55" t="n">
        <f aca="false">INDEX(Arch!$C$18:$E$18,E$7)</f>
        <v>1</v>
      </c>
      <c r="F26" s="55" t="n">
        <f aca="false">INDEX(Arch!$C$18:$E$18,F$7)</f>
        <v>128</v>
      </c>
      <c r="G26" s="55" t="n">
        <f aca="false">INDEX(Arch!$C$18:$E$18,G$7)</f>
        <v>128</v>
      </c>
      <c r="H26" s="55" t="n">
        <f aca="false">INDEX(Arch!$C$18:$E$18,H$7)</f>
        <v>1</v>
      </c>
      <c r="I26" s="55" t="n">
        <f aca="false">INDEX(Arch!$C$18:$E$18,I$7)</f>
        <v>128</v>
      </c>
      <c r="J26" s="55" t="n">
        <f aca="false">INDEX(Arch!$C$18:$E$18,J$7)</f>
        <v>128</v>
      </c>
      <c r="K26" s="55" t="n">
        <f aca="false">INDEX(Arch!$C$18:$E$18,K$7)</f>
        <v>1</v>
      </c>
      <c r="L26" s="55" t="n">
        <f aca="false">INDEX(Arch!$C$18:$E$18,L$7)</f>
        <v>128</v>
      </c>
      <c r="M26" s="55" t="n">
        <f aca="false">INDEX(Arch!$C$18:$E$18,M$7)</f>
        <v>128</v>
      </c>
      <c r="N26" s="55" t="n">
        <f aca="false">INDEX(Arch!$C$18:$E$18,N$7)</f>
        <v>1</v>
      </c>
      <c r="O26" s="55" t="n">
        <f aca="false">INDEX(Arch!$C$18:$E$18,O$7)</f>
        <v>128</v>
      </c>
      <c r="P26" s="55" t="n">
        <f aca="false">INDEX(Arch!$C$18:$E$18,P$7)</f>
        <v>128</v>
      </c>
      <c r="Q26" s="55" t="n">
        <f aca="false">INDEX(Arch!$C$18:$E$18,Q$7)</f>
        <v>1</v>
      </c>
    </row>
    <row r="27" customFormat="false" ht="15" hidden="false" customHeight="false" outlineLevel="0" collapsed="false">
      <c r="A27" s="53" t="s">
        <v>254</v>
      </c>
      <c r="B27" s="54" t="s">
        <v>249</v>
      </c>
      <c r="C27" s="55" t="n">
        <f aca="false">INDEX(Arch!$C$19:$E$19,C$7)</f>
        <v>128</v>
      </c>
      <c r="D27" s="55" t="n">
        <f aca="false">INDEX(Arch!$C$19:$E$19,D$7)</f>
        <v>128</v>
      </c>
      <c r="E27" s="55" t="n">
        <f aca="false">INDEX(Arch!$C$19:$E$19,E$7)</f>
        <v>0</v>
      </c>
      <c r="F27" s="55" t="n">
        <f aca="false">INDEX(Arch!$C$19:$E$19,F$7)</f>
        <v>128</v>
      </c>
      <c r="G27" s="55" t="n">
        <f aca="false">INDEX(Arch!$C$19:$E$19,G$7)</f>
        <v>128</v>
      </c>
      <c r="H27" s="55" t="n">
        <f aca="false">INDEX(Arch!$C$19:$E$19,H$7)</f>
        <v>0</v>
      </c>
      <c r="I27" s="55" t="n">
        <f aca="false">INDEX(Arch!$C$19:$E$19,I$7)</f>
        <v>128</v>
      </c>
      <c r="J27" s="55" t="n">
        <f aca="false">INDEX(Arch!$C$19:$E$19,J$7)</f>
        <v>128</v>
      </c>
      <c r="K27" s="55" t="n">
        <f aca="false">INDEX(Arch!$C$19:$E$19,K$7)</f>
        <v>0</v>
      </c>
      <c r="L27" s="55" t="n">
        <f aca="false">INDEX(Arch!$C$19:$E$19,L$7)</f>
        <v>128</v>
      </c>
      <c r="M27" s="55" t="n">
        <f aca="false">INDEX(Arch!$C$19:$E$19,M$7)</f>
        <v>128</v>
      </c>
      <c r="N27" s="55" t="n">
        <f aca="false">INDEX(Arch!$C$19:$E$19,N$7)</f>
        <v>0</v>
      </c>
      <c r="O27" s="55" t="n">
        <f aca="false">INDEX(Arch!$C$19:$E$19,O$7)</f>
        <v>128</v>
      </c>
      <c r="P27" s="55" t="n">
        <f aca="false">INDEX(Arch!$C$19:$E$19,P$7)</f>
        <v>128</v>
      </c>
      <c r="Q27" s="55" t="n">
        <f aca="false">INDEX(Arch!$C$19:$E$19,Q$7)</f>
        <v>0</v>
      </c>
    </row>
    <row r="28" customFormat="false" ht="15" hidden="false" customHeight="false" outlineLevel="0" collapsed="false">
      <c r="A28" s="54" t="s">
        <v>676</v>
      </c>
      <c r="B28" s="54" t="s">
        <v>75</v>
      </c>
      <c r="C28" s="90" t="n">
        <f aca="false">Tech_Registry!$E$22</f>
        <v>1</v>
      </c>
      <c r="D28" s="90" t="n">
        <f aca="false">Tech_Registry!$E$22</f>
        <v>1</v>
      </c>
      <c r="E28" s="90" t="n">
        <f aca="false">Tech_Registry!$E$22</f>
        <v>1</v>
      </c>
      <c r="F28" s="90" t="n">
        <f aca="false">Tech_Registry!$E$22</f>
        <v>1</v>
      </c>
      <c r="G28" s="90" t="n">
        <f aca="false">Tech_Registry!$E$22</f>
        <v>1</v>
      </c>
      <c r="H28" s="90" t="n">
        <f aca="false">Tech_Registry!$E$22</f>
        <v>1</v>
      </c>
      <c r="I28" s="90" t="n">
        <f aca="false">Tech_Registry!$E$22</f>
        <v>1</v>
      </c>
      <c r="J28" s="90" t="n">
        <f aca="false">Tech_Registry!$E$22</f>
        <v>1</v>
      </c>
      <c r="K28" s="90" t="n">
        <f aca="false">Tech_Registry!$E$22</f>
        <v>1</v>
      </c>
      <c r="L28" s="90" t="n">
        <f aca="false">Tech_Registry!$E$22</f>
        <v>1</v>
      </c>
      <c r="M28" s="90" t="n">
        <f aca="false">Tech_Registry!$E$22</f>
        <v>1</v>
      </c>
      <c r="N28" s="90" t="n">
        <f aca="false">Tech_Registry!$E$22</f>
        <v>1</v>
      </c>
      <c r="O28" s="90" t="n">
        <f aca="false">Tech_Registry!$E$22</f>
        <v>1</v>
      </c>
      <c r="P28" s="90" t="n">
        <f aca="false">Tech_Registry!$E$22</f>
        <v>1</v>
      </c>
      <c r="Q28" s="90" t="n">
        <f aca="false">Tech_Registry!$E$22</f>
        <v>1</v>
      </c>
    </row>
    <row r="29" customFormat="false" ht="15" hidden="false" customHeight="false" outlineLevel="0" collapsed="false">
      <c r="A29" s="68" t="s">
        <v>965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</row>
    <row r="30" customFormat="false" ht="15" hidden="false" customHeight="false" outlineLevel="0" collapsed="false">
      <c r="A30" s="53" t="s">
        <v>966</v>
      </c>
      <c r="B30" s="54" t="s">
        <v>75</v>
      </c>
      <c r="C30" s="90" t="n">
        <f aca="false">Tech_Registry!$E$27</f>
        <v>1</v>
      </c>
      <c r="D30" s="90" t="n">
        <f aca="false">Tech_Registry!$E$27</f>
        <v>1</v>
      </c>
      <c r="E30" s="90" t="n">
        <f aca="false">Tech_Registry!$E$27</f>
        <v>1</v>
      </c>
      <c r="F30" s="90" t="n">
        <f aca="false">Tech_Registry!$E$27</f>
        <v>1</v>
      </c>
      <c r="G30" s="90" t="n">
        <f aca="false">Tech_Registry!$E$27</f>
        <v>1</v>
      </c>
      <c r="H30" s="90" t="n">
        <f aca="false">Tech_Registry!$E$27</f>
        <v>1</v>
      </c>
      <c r="I30" s="90" t="n">
        <f aca="false">Tech_Registry!$E$27</f>
        <v>1</v>
      </c>
      <c r="J30" s="90" t="n">
        <f aca="false">Tech_Registry!$E$27</f>
        <v>1</v>
      </c>
      <c r="K30" s="90" t="n">
        <f aca="false">Tech_Registry!$E$27</f>
        <v>1</v>
      </c>
      <c r="L30" s="90" t="n">
        <f aca="false">Tech_Registry!$E$27</f>
        <v>1</v>
      </c>
      <c r="M30" s="90" t="n">
        <f aca="false">Tech_Registry!$E$27</f>
        <v>1</v>
      </c>
      <c r="N30" s="90" t="n">
        <f aca="false">Tech_Registry!$E$27</f>
        <v>1</v>
      </c>
      <c r="O30" s="90" t="n">
        <f aca="false">Tech_Registry!$E$27</f>
        <v>1</v>
      </c>
      <c r="P30" s="90" t="n">
        <f aca="false">Tech_Registry!$E$27</f>
        <v>1</v>
      </c>
      <c r="Q30" s="90" t="n">
        <f aca="false">Tech_Registry!$E$27</f>
        <v>1</v>
      </c>
    </row>
    <row r="31" customFormat="false" ht="15" hidden="false" customHeight="false" outlineLevel="0" collapsed="false">
      <c r="A31" s="53" t="s">
        <v>903</v>
      </c>
      <c r="B31" s="54" t="s">
        <v>904</v>
      </c>
      <c r="C31" s="91" t="n">
        <f aca="false">INDEX(Train_In!$C$25:$E$25,C$7)*C30</f>
        <v>32</v>
      </c>
      <c r="D31" s="91" t="n">
        <f aca="false">INDEX(Train_In!$C$25:$E$25,D$7)*D30</f>
        <v>33</v>
      </c>
      <c r="E31" s="91" t="n">
        <f aca="false">INDEX(Train_In!$C$25:$E$25,E$7)*E30</f>
        <v>60</v>
      </c>
      <c r="F31" s="91" t="n">
        <f aca="false">INDEX(Train_In!$C$25:$E$25,F$7)*F30</f>
        <v>32</v>
      </c>
      <c r="G31" s="91" t="n">
        <f aca="false">INDEX(Train_In!$C$25:$E$25,G$7)*G30</f>
        <v>33</v>
      </c>
      <c r="H31" s="91" t="n">
        <f aca="false">INDEX(Train_In!$C$25:$E$25,H$7)*H30</f>
        <v>60</v>
      </c>
      <c r="I31" s="91" t="n">
        <f aca="false">INDEX(Train_In!$C$25:$E$25,I$7)*I30</f>
        <v>32</v>
      </c>
      <c r="J31" s="91" t="n">
        <f aca="false">INDEX(Train_In!$C$25:$E$25,J$7)*J30</f>
        <v>33</v>
      </c>
      <c r="K31" s="91" t="n">
        <f aca="false">INDEX(Train_In!$C$25:$E$25,K$7)*K30</f>
        <v>60</v>
      </c>
      <c r="L31" s="91" t="n">
        <f aca="false">INDEX(Train_In!$C$25:$E$25,L$7)*L30</f>
        <v>32</v>
      </c>
      <c r="M31" s="91" t="n">
        <f aca="false">INDEX(Train_In!$C$25:$E$25,M$7)*M30</f>
        <v>33</v>
      </c>
      <c r="N31" s="91" t="n">
        <f aca="false">INDEX(Train_In!$C$25:$E$25,N$7)*N30</f>
        <v>60</v>
      </c>
      <c r="O31" s="91" t="n">
        <f aca="false">INDEX(Train_In!$C$25:$E$25,O$7)*O30</f>
        <v>32</v>
      </c>
      <c r="P31" s="91" t="n">
        <f aca="false">INDEX(Train_In!$C$25:$E$25,P$7)*P30</f>
        <v>33</v>
      </c>
      <c r="Q31" s="91" t="n">
        <f aca="false">INDEX(Train_In!$C$25:$E$25,Q$7)*Q30</f>
        <v>60</v>
      </c>
    </row>
    <row r="32" customFormat="false" ht="15" hidden="false" customHeight="false" outlineLevel="0" collapsed="false">
      <c r="A32" s="53" t="s">
        <v>967</v>
      </c>
      <c r="B32" s="54" t="s">
        <v>249</v>
      </c>
      <c r="C32" s="55" t="n">
        <f aca="false">INDEX(Train_In!$C$26:$E$26,C$7)</f>
        <v>4096</v>
      </c>
      <c r="D32" s="55" t="n">
        <f aca="false">INDEX(Train_In!$C$26:$E$26,D$7)</f>
        <v>4096</v>
      </c>
      <c r="E32" s="55" t="n">
        <f aca="false">INDEX(Train_In!$C$26:$E$26,E$7)</f>
        <v>8192</v>
      </c>
      <c r="F32" s="55" t="n">
        <f aca="false">INDEX(Train_In!$C$26:$E$26,F$7)</f>
        <v>4096</v>
      </c>
      <c r="G32" s="55" t="n">
        <f aca="false">INDEX(Train_In!$C$26:$E$26,G$7)</f>
        <v>4096</v>
      </c>
      <c r="H32" s="55" t="n">
        <f aca="false">INDEX(Train_In!$C$26:$E$26,H$7)</f>
        <v>8192</v>
      </c>
      <c r="I32" s="55" t="n">
        <f aca="false">INDEX(Train_In!$C$26:$E$26,I$7)</f>
        <v>4096</v>
      </c>
      <c r="J32" s="55" t="n">
        <f aca="false">INDEX(Train_In!$C$26:$E$26,J$7)</f>
        <v>4096</v>
      </c>
      <c r="K32" s="55" t="n">
        <f aca="false">INDEX(Train_In!$C$26:$E$26,K$7)</f>
        <v>8192</v>
      </c>
      <c r="L32" s="55" t="n">
        <f aca="false">INDEX(Train_In!$C$26:$E$26,L$7)</f>
        <v>4096</v>
      </c>
      <c r="M32" s="55" t="n">
        <f aca="false">INDEX(Train_In!$C$26:$E$26,M$7)</f>
        <v>4096</v>
      </c>
      <c r="N32" s="55" t="n">
        <f aca="false">INDEX(Train_In!$C$26:$E$26,N$7)</f>
        <v>8192</v>
      </c>
      <c r="O32" s="55" t="n">
        <f aca="false">INDEX(Train_In!$C$26:$E$26,O$7)</f>
        <v>4096</v>
      </c>
      <c r="P32" s="55" t="n">
        <f aca="false">INDEX(Train_In!$C$26:$E$26,P$7)</f>
        <v>4096</v>
      </c>
      <c r="Q32" s="55" t="n">
        <f aca="false">INDEX(Train_In!$C$26:$E$26,Q$7)</f>
        <v>8192</v>
      </c>
    </row>
    <row r="33" customFormat="false" ht="15" hidden="false" customHeight="false" outlineLevel="0" collapsed="false">
      <c r="A33" s="53" t="s">
        <v>968</v>
      </c>
      <c r="B33" s="54" t="s">
        <v>249</v>
      </c>
      <c r="C33" s="60" t="n">
        <f aca="false">C32/2</f>
        <v>2048</v>
      </c>
      <c r="D33" s="60" t="n">
        <f aca="false">D32/2</f>
        <v>2048</v>
      </c>
      <c r="E33" s="60" t="n">
        <f aca="false">E32/2</f>
        <v>4096</v>
      </c>
      <c r="F33" s="60" t="n">
        <f aca="false">F32/2</f>
        <v>2048</v>
      </c>
      <c r="G33" s="60" t="n">
        <f aca="false">G32/2</f>
        <v>2048</v>
      </c>
      <c r="H33" s="60" t="n">
        <f aca="false">H32/2</f>
        <v>4096</v>
      </c>
      <c r="I33" s="60" t="n">
        <f aca="false">I32/2</f>
        <v>2048</v>
      </c>
      <c r="J33" s="60" t="n">
        <f aca="false">J32/2</f>
        <v>2048</v>
      </c>
      <c r="K33" s="60" t="n">
        <f aca="false">K32/2</f>
        <v>4096</v>
      </c>
      <c r="L33" s="60" t="n">
        <f aca="false">L32/2</f>
        <v>2048</v>
      </c>
      <c r="M33" s="60" t="n">
        <f aca="false">M32/2</f>
        <v>2048</v>
      </c>
      <c r="N33" s="60" t="n">
        <f aca="false">N32/2</f>
        <v>4096</v>
      </c>
      <c r="O33" s="60" t="n">
        <f aca="false">O32/2</f>
        <v>2048</v>
      </c>
      <c r="P33" s="60" t="n">
        <f aca="false">P32/2</f>
        <v>2048</v>
      </c>
      <c r="Q33" s="60" t="n">
        <f aca="false">Q32/2</f>
        <v>4096</v>
      </c>
    </row>
    <row r="34" customFormat="false" ht="15" hidden="false" customHeight="false" outlineLevel="0" collapsed="false">
      <c r="A34" s="53" t="s">
        <v>969</v>
      </c>
      <c r="B34" s="54" t="s">
        <v>448</v>
      </c>
      <c r="C34" s="67" t="n">
        <f aca="false">3*(2*C22*1000000000+C23*C33)*C28/1000000000</f>
        <v>112.628173824</v>
      </c>
      <c r="D34" s="67" t="n">
        <f aca="false">3*(2*D22*1000000000+D23*D33)*D28/1000000000</f>
        <v>392.247376896</v>
      </c>
      <c r="E34" s="67" t="n">
        <f aca="false">3*(2*E22*1000000000+E23*E33)*E28/1000000000</f>
        <v>1140.3979776</v>
      </c>
      <c r="F34" s="67" t="n">
        <f aca="false">3*(2*F22*1000000000+F23*F33)*F28/1000000000</f>
        <v>112.628173824</v>
      </c>
      <c r="G34" s="67" t="n">
        <f aca="false">3*(2*G22*1000000000+G23*G33)*G28/1000000000</f>
        <v>392.247376896</v>
      </c>
      <c r="H34" s="67" t="n">
        <f aca="false">3*(2*H22*1000000000+H23*H33)*H28/1000000000</f>
        <v>1140.3979776</v>
      </c>
      <c r="I34" s="67" t="n">
        <f aca="false">3*(2*I22*1000000000+I23*I33)*I28/1000000000</f>
        <v>112.628173824</v>
      </c>
      <c r="J34" s="67" t="n">
        <f aca="false">3*(2*J22*1000000000+J23*J33)*J28/1000000000</f>
        <v>392.247376896</v>
      </c>
      <c r="K34" s="67" t="n">
        <f aca="false">3*(2*K22*1000000000+K23*K33)*K28/1000000000</f>
        <v>1140.3979776</v>
      </c>
      <c r="L34" s="67" t="n">
        <f aca="false">3*(2*L22*1000000000+L23*L33)*L28/1000000000</f>
        <v>112.628173824</v>
      </c>
      <c r="M34" s="67" t="n">
        <f aca="false">3*(2*M22*1000000000+M23*M33)*M28/1000000000</f>
        <v>392.247376896</v>
      </c>
      <c r="N34" s="67" t="n">
        <f aca="false">3*(2*N22*1000000000+N23*N33)*N28/1000000000</f>
        <v>1140.3979776</v>
      </c>
      <c r="O34" s="67" t="n">
        <f aca="false">3*(2*O22*1000000000+O23*O33)*O28/1000000000</f>
        <v>112.628173824</v>
      </c>
      <c r="P34" s="67" t="n">
        <f aca="false">3*(2*P22*1000000000+P23*P33)*P28/1000000000</f>
        <v>392.247376896</v>
      </c>
      <c r="Q34" s="67" t="n">
        <f aca="false">3*(2*Q22*1000000000+Q23*Q33)*Q28/1000000000</f>
        <v>1140.3979776</v>
      </c>
    </row>
    <row r="35" customFormat="false" ht="15" hidden="false" customHeight="false" outlineLevel="0" collapsed="false">
      <c r="A35" s="53" t="s">
        <v>970</v>
      </c>
      <c r="B35" s="54" t="s">
        <v>272</v>
      </c>
      <c r="C35" s="137" t="n">
        <f aca="false">C34*1000000000*C31*1000000000000</f>
        <v>3.604101562368E+024</v>
      </c>
      <c r="D35" s="137" t="n">
        <f aca="false">D34*1000000000*D31*1000000000000</f>
        <v>1.2944163437568E+025</v>
      </c>
      <c r="E35" s="137" t="n">
        <f aca="false">E34*1000000000*E31*1000000000000</f>
        <v>6.8423878656E+025</v>
      </c>
      <c r="F35" s="137" t="n">
        <f aca="false">F34*1000000000*F31*1000000000000</f>
        <v>3.604101562368E+024</v>
      </c>
      <c r="G35" s="137" t="n">
        <f aca="false">G34*1000000000*G31*1000000000000</f>
        <v>1.2944163437568E+025</v>
      </c>
      <c r="H35" s="137" t="n">
        <f aca="false">H34*1000000000*H31*1000000000000</f>
        <v>6.8423878656E+025</v>
      </c>
      <c r="I35" s="137" t="n">
        <f aca="false">I34*1000000000*I31*1000000000000</f>
        <v>3.604101562368E+024</v>
      </c>
      <c r="J35" s="137" t="n">
        <f aca="false">J34*1000000000*J31*1000000000000</f>
        <v>1.2944163437568E+025</v>
      </c>
      <c r="K35" s="137" t="n">
        <f aca="false">K34*1000000000*K31*1000000000000</f>
        <v>6.8423878656E+025</v>
      </c>
      <c r="L35" s="137" t="n">
        <f aca="false">L34*1000000000*L31*1000000000000</f>
        <v>3.604101562368E+024</v>
      </c>
      <c r="M35" s="137" t="n">
        <f aca="false">M34*1000000000*M31*1000000000000</f>
        <v>1.2944163437568E+025</v>
      </c>
      <c r="N35" s="137" t="n">
        <f aca="false">N34*1000000000*N31*1000000000000</f>
        <v>6.8423878656E+025</v>
      </c>
      <c r="O35" s="137" t="n">
        <f aca="false">O34*1000000000*O31*1000000000000</f>
        <v>3.604101562368E+024</v>
      </c>
      <c r="P35" s="137" t="n">
        <f aca="false">P34*1000000000*P31*1000000000000</f>
        <v>1.2944163437568E+025</v>
      </c>
      <c r="Q35" s="137" t="n">
        <f aca="false">Q34*1000000000*Q31*1000000000000</f>
        <v>6.8423878656E+025</v>
      </c>
    </row>
    <row r="36" customFormat="false" ht="15" hidden="false" customHeight="false" outlineLevel="0" collapsed="false">
      <c r="A36" s="53" t="s">
        <v>971</v>
      </c>
      <c r="B36" s="54" t="s">
        <v>972</v>
      </c>
      <c r="C36" s="63" t="n">
        <f aca="false">C35/(C12*1000000000000000*C16*1*C17)/3600</f>
        <v>2248361.8502723</v>
      </c>
      <c r="D36" s="63" t="n">
        <f aca="false">D35/(D12*1000000000000000*D16*1*D17)/3600</f>
        <v>8075011.96986132</v>
      </c>
      <c r="E36" s="63" t="n">
        <f aca="false">E35/(E12*1000000000000000*E16*1*E17)/3600</f>
        <v>42685156.2742126</v>
      </c>
      <c r="F36" s="63" t="n">
        <f aca="false">F35/(F12*1000000000000000*F16*1*F17)/3600</f>
        <v>889901.620337778</v>
      </c>
      <c r="G36" s="63" t="n">
        <f aca="false">G35/(G12*1000000000000000*G16*1*G17)/3600</f>
        <v>3196089.73767111</v>
      </c>
      <c r="H36" s="63" t="n">
        <f aca="false">H35/(H12*1000000000000000*H16*1*H17)/3600</f>
        <v>16894784.8533333</v>
      </c>
      <c r="I36" s="63" t="n">
        <f aca="false">I35/(I12*1000000000000000*I16*1*I17)/3600</f>
        <v>889901.620337778</v>
      </c>
      <c r="J36" s="63" t="n">
        <f aca="false">J35/(J12*1000000000000000*J16*1*J17)/3600</f>
        <v>3196089.73767111</v>
      </c>
      <c r="K36" s="63" t="n">
        <f aca="false">K35/(K12*1000000000000000*K16*1*K17)/3600</f>
        <v>16894784.8533333</v>
      </c>
      <c r="L36" s="63" t="n">
        <f aca="false">L35/(L12*1000000000000000*L16*1*L17)/3600</f>
        <v>282508.450900882</v>
      </c>
      <c r="M36" s="63" t="n">
        <f aca="false">M35/(M12*1000000000000000*M16*1*M17)/3600</f>
        <v>1014631.66275273</v>
      </c>
      <c r="N36" s="63" t="n">
        <f aca="false">N35/(N12*1000000000000000*N16*1*N17)/3600</f>
        <v>5363423.76296296</v>
      </c>
      <c r="O36" s="63" t="n">
        <f aca="false">O35/(O12*1000000000000000*O16*1*O17)/3600</f>
        <v>141254.225450441</v>
      </c>
      <c r="P36" s="63" t="n">
        <f aca="false">P35/(P12*1000000000000000*P16*1*P17)/3600</f>
        <v>507315.831376367</v>
      </c>
      <c r="Q36" s="63" t="n">
        <f aca="false">Q35/(Q12*1000000000000000*Q16*1*Q17)/3600</f>
        <v>2681711.88148148</v>
      </c>
    </row>
    <row r="37" customFormat="false" ht="15" hidden="false" customHeight="false" outlineLevel="0" collapsed="false">
      <c r="A37" s="68" t="s">
        <v>973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</row>
    <row r="38" customFormat="false" ht="15" hidden="false" customHeight="false" outlineLevel="0" collapsed="false">
      <c r="A38" s="53" t="s">
        <v>974</v>
      </c>
      <c r="B38" s="54" t="s">
        <v>904</v>
      </c>
      <c r="C38" s="91" t="n">
        <f aca="false">INDEX(Train_In!$C$27:$E$27,C$7)</f>
        <v>1</v>
      </c>
      <c r="D38" s="91" t="n">
        <f aca="false">INDEX(Train_In!$C$27:$E$27,D$7)</f>
        <v>1</v>
      </c>
      <c r="E38" s="91" t="n">
        <f aca="false">INDEX(Train_In!$C$27:$E$27,E$7)</f>
        <v>2</v>
      </c>
      <c r="F38" s="91" t="n">
        <f aca="false">INDEX(Train_In!$C$27:$E$27,F$7)</f>
        <v>1</v>
      </c>
      <c r="G38" s="91" t="n">
        <f aca="false">INDEX(Train_In!$C$27:$E$27,G$7)</f>
        <v>1</v>
      </c>
      <c r="H38" s="91" t="n">
        <f aca="false">INDEX(Train_In!$C$27:$E$27,H$7)</f>
        <v>2</v>
      </c>
      <c r="I38" s="91" t="n">
        <f aca="false">INDEX(Train_In!$C$27:$E$27,I$7)</f>
        <v>1</v>
      </c>
      <c r="J38" s="91" t="n">
        <f aca="false">INDEX(Train_In!$C$27:$E$27,J$7)</f>
        <v>1</v>
      </c>
      <c r="K38" s="91" t="n">
        <f aca="false">INDEX(Train_In!$C$27:$E$27,K$7)</f>
        <v>2</v>
      </c>
      <c r="L38" s="91" t="n">
        <f aca="false">INDEX(Train_In!$C$27:$E$27,L$7)</f>
        <v>1</v>
      </c>
      <c r="M38" s="91" t="n">
        <f aca="false">INDEX(Train_In!$C$27:$E$27,M$7)</f>
        <v>1</v>
      </c>
      <c r="N38" s="91" t="n">
        <f aca="false">INDEX(Train_In!$C$27:$E$27,N$7)</f>
        <v>2</v>
      </c>
      <c r="O38" s="91" t="n">
        <f aca="false">INDEX(Train_In!$C$27:$E$27,O$7)</f>
        <v>1</v>
      </c>
      <c r="P38" s="91" t="n">
        <f aca="false">INDEX(Train_In!$C$27:$E$27,P$7)</f>
        <v>1</v>
      </c>
      <c r="Q38" s="91" t="n">
        <f aca="false">INDEX(Train_In!$C$27:$E$27,Q$7)</f>
        <v>2</v>
      </c>
    </row>
    <row r="39" customFormat="false" ht="15" hidden="false" customHeight="false" outlineLevel="0" collapsed="false">
      <c r="A39" s="53" t="s">
        <v>967</v>
      </c>
      <c r="B39" s="54" t="s">
        <v>249</v>
      </c>
      <c r="C39" s="55" t="n">
        <f aca="false">INDEX(Train_In!$C$28:$E$28,C$7)</f>
        <v>131072</v>
      </c>
      <c r="D39" s="55" t="n">
        <f aca="false">INDEX(Train_In!$C$28:$E$28,D$7)</f>
        <v>131072</v>
      </c>
      <c r="E39" s="55" t="n">
        <f aca="false">INDEX(Train_In!$C$28:$E$28,E$7)</f>
        <v>131072</v>
      </c>
      <c r="F39" s="55" t="n">
        <f aca="false">INDEX(Train_In!$C$28:$E$28,F$7)</f>
        <v>131072</v>
      </c>
      <c r="G39" s="55" t="n">
        <f aca="false">INDEX(Train_In!$C$28:$E$28,G$7)</f>
        <v>131072</v>
      </c>
      <c r="H39" s="55" t="n">
        <f aca="false">INDEX(Train_In!$C$28:$E$28,H$7)</f>
        <v>131072</v>
      </c>
      <c r="I39" s="55" t="n">
        <f aca="false">INDEX(Train_In!$C$28:$E$28,I$7)</f>
        <v>131072</v>
      </c>
      <c r="J39" s="55" t="n">
        <f aca="false">INDEX(Train_In!$C$28:$E$28,J$7)</f>
        <v>131072</v>
      </c>
      <c r="K39" s="55" t="n">
        <f aca="false">INDEX(Train_In!$C$28:$E$28,K$7)</f>
        <v>131072</v>
      </c>
      <c r="L39" s="55" t="n">
        <f aca="false">INDEX(Train_In!$C$28:$E$28,L$7)</f>
        <v>131072</v>
      </c>
      <c r="M39" s="55" t="n">
        <f aca="false">INDEX(Train_In!$C$28:$E$28,M$7)</f>
        <v>131072</v>
      </c>
      <c r="N39" s="55" t="n">
        <f aca="false">INDEX(Train_In!$C$28:$E$28,N$7)</f>
        <v>131072</v>
      </c>
      <c r="O39" s="55" t="n">
        <f aca="false">INDEX(Train_In!$C$28:$E$28,O$7)</f>
        <v>131072</v>
      </c>
      <c r="P39" s="55" t="n">
        <f aca="false">INDEX(Train_In!$C$28:$E$28,P$7)</f>
        <v>131072</v>
      </c>
      <c r="Q39" s="55" t="n">
        <f aca="false">INDEX(Train_In!$C$28:$E$28,Q$7)</f>
        <v>131072</v>
      </c>
    </row>
    <row r="40" customFormat="false" ht="15" hidden="false" customHeight="false" outlineLevel="0" collapsed="false">
      <c r="A40" s="53" t="s">
        <v>975</v>
      </c>
      <c r="B40" s="54" t="s">
        <v>249</v>
      </c>
      <c r="C40" s="60" t="n">
        <f aca="false">C24*IF(C25=0,C39/2,MIN(C39/2,C25))+(1-C24)*(C39/2/C26+C27)</f>
        <v>2475.008</v>
      </c>
      <c r="D40" s="60" t="n">
        <f aca="false">D24*IF(D25=0,D39/2,MIN(D39/2,D25))+(1-D24)*(D39/2/D26+D27)</f>
        <v>2403.328</v>
      </c>
      <c r="E40" s="60" t="n">
        <f aca="false">E24*IF(E25=0,E39/2,MIN(E39/2,E25))+(1-E24)*(E39/2/E26+E27)</f>
        <v>65536</v>
      </c>
      <c r="F40" s="60" t="n">
        <f aca="false">F24*IF(F25=0,F39/2,MIN(F39/2,F25))+(1-F24)*(F39/2/F26+F27)</f>
        <v>2475.008</v>
      </c>
      <c r="G40" s="60" t="n">
        <f aca="false">G24*IF(G25=0,G39/2,MIN(G39/2,G25))+(1-G24)*(G39/2/G26+G27)</f>
        <v>2403.328</v>
      </c>
      <c r="H40" s="60" t="n">
        <f aca="false">H24*IF(H25=0,H39/2,MIN(H39/2,H25))+(1-H24)*(H39/2/H26+H27)</f>
        <v>65536</v>
      </c>
      <c r="I40" s="60" t="n">
        <f aca="false">I24*IF(I25=0,I39/2,MIN(I39/2,I25))+(1-I24)*(I39/2/I26+I27)</f>
        <v>2475.008</v>
      </c>
      <c r="J40" s="60" t="n">
        <f aca="false">J24*IF(J25=0,J39/2,MIN(J39/2,J25))+(1-J24)*(J39/2/J26+J27)</f>
        <v>2403.328</v>
      </c>
      <c r="K40" s="60" t="n">
        <f aca="false">K24*IF(K25=0,K39/2,MIN(K39/2,K25))+(1-K24)*(K39/2/K26+K27)</f>
        <v>65536</v>
      </c>
      <c r="L40" s="60" t="n">
        <f aca="false">L24*IF(L25=0,L39/2,MIN(L39/2,L25))+(1-L24)*(L39/2/L26+L27)</f>
        <v>2475.008</v>
      </c>
      <c r="M40" s="60" t="n">
        <f aca="false">M24*IF(M25=0,M39/2,MIN(M39/2,M25))+(1-M24)*(M39/2/M26+M27)</f>
        <v>2403.328</v>
      </c>
      <c r="N40" s="60" t="n">
        <f aca="false">N24*IF(N25=0,N39/2,MIN(N39/2,N25))+(1-N24)*(N39/2/N26+N27)</f>
        <v>65536</v>
      </c>
      <c r="O40" s="60" t="n">
        <f aca="false">O24*IF(O25=0,O39/2,MIN(O39/2,O25))+(1-O24)*(O39/2/O26+O27)</f>
        <v>2475.008</v>
      </c>
      <c r="P40" s="60" t="n">
        <f aca="false">P24*IF(P25=0,P39/2,MIN(P39/2,P25))+(1-P24)*(P39/2/P26+P27)</f>
        <v>2403.328</v>
      </c>
      <c r="Q40" s="60" t="n">
        <f aca="false">Q24*IF(Q25=0,Q39/2,MIN(Q39/2,Q25))+(1-Q24)*(Q39/2/Q26+Q27)</f>
        <v>65536</v>
      </c>
    </row>
    <row r="41" customFormat="false" ht="15" hidden="false" customHeight="false" outlineLevel="0" collapsed="false">
      <c r="A41" s="53" t="s">
        <v>969</v>
      </c>
      <c r="B41" s="54" t="s">
        <v>448</v>
      </c>
      <c r="C41" s="67" t="n">
        <f aca="false">3*(2*C22*1000000000+C23*C40)*C28/1000000000</f>
        <v>119.848148066304</v>
      </c>
      <c r="D41" s="67" t="n">
        <f aca="false">3*(2*D22*1000000000+D23*D40)*D28/1000000000</f>
        <v>409.293296787456</v>
      </c>
      <c r="E41" s="67" t="n">
        <f aca="false">3*(2*E22*1000000000+E23*E40)*E28/1000000000</f>
        <v>2046.3676416</v>
      </c>
      <c r="F41" s="67" t="n">
        <f aca="false">3*(2*F22*1000000000+F23*F40)*F28/1000000000</f>
        <v>119.848148066304</v>
      </c>
      <c r="G41" s="67" t="n">
        <f aca="false">3*(2*G22*1000000000+G23*G40)*G28/1000000000</f>
        <v>409.293296787456</v>
      </c>
      <c r="H41" s="67" t="n">
        <f aca="false">3*(2*H22*1000000000+H23*H40)*H28/1000000000</f>
        <v>2046.3676416</v>
      </c>
      <c r="I41" s="67" t="n">
        <f aca="false">3*(2*I22*1000000000+I23*I40)*I28/1000000000</f>
        <v>119.848148066304</v>
      </c>
      <c r="J41" s="67" t="n">
        <f aca="false">3*(2*J22*1000000000+J23*J40)*J28/1000000000</f>
        <v>409.293296787456</v>
      </c>
      <c r="K41" s="67" t="n">
        <f aca="false">3*(2*K22*1000000000+K23*K40)*K28/1000000000</f>
        <v>2046.3676416</v>
      </c>
      <c r="L41" s="67" t="n">
        <f aca="false">3*(2*L22*1000000000+L23*L40)*L28/1000000000</f>
        <v>119.848148066304</v>
      </c>
      <c r="M41" s="67" t="n">
        <f aca="false">3*(2*M22*1000000000+M23*M40)*M28/1000000000</f>
        <v>409.293296787456</v>
      </c>
      <c r="N41" s="67" t="n">
        <f aca="false">3*(2*N22*1000000000+N23*N40)*N28/1000000000</f>
        <v>2046.3676416</v>
      </c>
      <c r="O41" s="67" t="n">
        <f aca="false">3*(2*O22*1000000000+O23*O40)*O28/1000000000</f>
        <v>119.848148066304</v>
      </c>
      <c r="P41" s="67" t="n">
        <f aca="false">3*(2*P22*1000000000+P23*P40)*P28/1000000000</f>
        <v>409.293296787456</v>
      </c>
      <c r="Q41" s="67" t="n">
        <f aca="false">3*(2*Q22*1000000000+Q23*Q40)*Q28/1000000000</f>
        <v>2046.3676416</v>
      </c>
    </row>
    <row r="42" customFormat="false" ht="15" hidden="false" customHeight="false" outlineLevel="0" collapsed="false">
      <c r="A42" s="53" t="s">
        <v>976</v>
      </c>
      <c r="B42" s="54" t="s">
        <v>272</v>
      </c>
      <c r="C42" s="137" t="n">
        <f aca="false">C41*1000000000*C38*1000000000000</f>
        <v>1.19848148066304E+023</v>
      </c>
      <c r="D42" s="137" t="n">
        <f aca="false">D41*1000000000*D38*1000000000000</f>
        <v>4.09293296787456E+023</v>
      </c>
      <c r="E42" s="137" t="n">
        <f aca="false">E41*1000000000*E38*1000000000000</f>
        <v>4.0927352832E+024</v>
      </c>
      <c r="F42" s="137" t="n">
        <f aca="false">F41*1000000000*F38*1000000000000</f>
        <v>1.19848148066304E+023</v>
      </c>
      <c r="G42" s="137" t="n">
        <f aca="false">G41*1000000000*G38*1000000000000</f>
        <v>4.09293296787456E+023</v>
      </c>
      <c r="H42" s="137" t="n">
        <f aca="false">H41*1000000000*H38*1000000000000</f>
        <v>4.0927352832E+024</v>
      </c>
      <c r="I42" s="137" t="n">
        <f aca="false">I41*1000000000*I38*1000000000000</f>
        <v>1.19848148066304E+023</v>
      </c>
      <c r="J42" s="137" t="n">
        <f aca="false">J41*1000000000*J38*1000000000000</f>
        <v>4.09293296787456E+023</v>
      </c>
      <c r="K42" s="137" t="n">
        <f aca="false">K41*1000000000*K38*1000000000000</f>
        <v>4.0927352832E+024</v>
      </c>
      <c r="L42" s="137" t="n">
        <f aca="false">L41*1000000000*L38*1000000000000</f>
        <v>1.19848148066304E+023</v>
      </c>
      <c r="M42" s="137" t="n">
        <f aca="false">M41*1000000000*M38*1000000000000</f>
        <v>4.09293296787456E+023</v>
      </c>
      <c r="N42" s="137" t="n">
        <f aca="false">N41*1000000000*N38*1000000000000</f>
        <v>4.0927352832E+024</v>
      </c>
      <c r="O42" s="137" t="n">
        <f aca="false">O41*1000000000*O38*1000000000000</f>
        <v>1.19848148066304E+023</v>
      </c>
      <c r="P42" s="137" t="n">
        <f aca="false">P41*1000000000*P38*1000000000000</f>
        <v>4.09293296787456E+023</v>
      </c>
      <c r="Q42" s="137" t="n">
        <f aca="false">Q41*1000000000*Q38*1000000000000</f>
        <v>4.0927352832E+024</v>
      </c>
    </row>
    <row r="43" customFormat="false" ht="15" hidden="false" customHeight="false" outlineLevel="0" collapsed="false">
      <c r="A43" s="53" t="s">
        <v>977</v>
      </c>
      <c r="B43" s="54" t="s">
        <v>972</v>
      </c>
      <c r="C43" s="60" t="n">
        <f aca="false">C42/(C12*1000000000000000*C16*1*C17)/3600</f>
        <v>74765.3747473809</v>
      </c>
      <c r="D43" s="60" t="n">
        <f aca="false">D42/(D12*1000000000000000*D16*1*D17)/3600</f>
        <v>255331.160386188</v>
      </c>
      <c r="E43" s="60" t="n">
        <f aca="false">E42/(E12*1000000000000000*E16*1*E17)/3600</f>
        <v>2553188.28139914</v>
      </c>
      <c r="F43" s="60" t="n">
        <f aca="false">F42/(F12*1000000000000000*F16*1*F17)/3600</f>
        <v>29592.1353250133</v>
      </c>
      <c r="G43" s="60" t="n">
        <f aca="false">G42/(G12*1000000000000000*G16*1*G17)/3600</f>
        <v>101060.073280853</v>
      </c>
      <c r="H43" s="60" t="n">
        <f aca="false">H42/(H12*1000000000000000*H16*1*H17)/3600</f>
        <v>1010551.92177778</v>
      </c>
      <c r="I43" s="60" t="n">
        <f aca="false">I42/(I12*1000000000000000*I16*1*I17)/3600</f>
        <v>29592.1353250133</v>
      </c>
      <c r="J43" s="60" t="n">
        <f aca="false">J42/(J12*1000000000000000*J16*1*J17)/3600</f>
        <v>101060.073280853</v>
      </c>
      <c r="K43" s="60" t="n">
        <f aca="false">K42/(K12*1000000000000000*K16*1*K17)/3600</f>
        <v>1010551.92177778</v>
      </c>
      <c r="L43" s="60" t="n">
        <f aca="false">L42/(L12*1000000000000000*L16*1*L17)/3600</f>
        <v>9394.32867460741</v>
      </c>
      <c r="M43" s="60" t="n">
        <f aca="false">M42/(M12*1000000000000000*M16*1*M17)/3600</f>
        <v>32082.5629463027</v>
      </c>
      <c r="N43" s="60" t="n">
        <f aca="false">N42/(N12*1000000000000000*N16*1*N17)/3600</f>
        <v>320810.133897707</v>
      </c>
      <c r="O43" s="60" t="n">
        <f aca="false">O42/(O12*1000000000000000*O16*1*O17)/3600</f>
        <v>4697.16433730371</v>
      </c>
      <c r="P43" s="60" t="n">
        <f aca="false">P42/(P12*1000000000000000*P16*1*P17)/3600</f>
        <v>16041.2814731513</v>
      </c>
      <c r="Q43" s="60" t="n">
        <f aca="false">Q42/(Q12*1000000000000000*Q16*1*Q17)/3600</f>
        <v>160405.066948854</v>
      </c>
    </row>
    <row r="44" customFormat="false" ht="15" hidden="false" customHeight="false" outlineLevel="0" collapsed="false">
      <c r="A44" s="68" t="s">
        <v>978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</row>
    <row r="45" customFormat="false" ht="15" hidden="false" customHeight="false" outlineLevel="0" collapsed="false">
      <c r="A45" s="54" t="s">
        <v>911</v>
      </c>
      <c r="B45" s="54" t="s">
        <v>904</v>
      </c>
      <c r="C45" s="88" t="n">
        <f aca="false">INDEX(Train_In!$C$29:$E$29,C$7)</f>
        <v>0.05</v>
      </c>
      <c r="D45" s="88" t="n">
        <f aca="false">INDEX(Train_In!$C$29:$E$29,D$7)</f>
        <v>0.05</v>
      </c>
      <c r="E45" s="88" t="n">
        <f aca="false">INDEX(Train_In!$C$29:$E$29,E$7)</f>
        <v>0.1</v>
      </c>
      <c r="F45" s="88" t="n">
        <f aca="false">INDEX(Train_In!$C$29:$E$29,F$7)</f>
        <v>0.05</v>
      </c>
      <c r="G45" s="88" t="n">
        <f aca="false">INDEX(Train_In!$C$29:$E$29,G$7)</f>
        <v>0.05</v>
      </c>
      <c r="H45" s="88" t="n">
        <f aca="false">INDEX(Train_In!$C$29:$E$29,H$7)</f>
        <v>0.1</v>
      </c>
      <c r="I45" s="88" t="n">
        <f aca="false">INDEX(Train_In!$C$29:$E$29,I$7)</f>
        <v>0.05</v>
      </c>
      <c r="J45" s="88" t="n">
        <f aca="false">INDEX(Train_In!$C$29:$E$29,J$7)</f>
        <v>0.05</v>
      </c>
      <c r="K45" s="88" t="n">
        <f aca="false">INDEX(Train_In!$C$29:$E$29,K$7)</f>
        <v>0.1</v>
      </c>
      <c r="L45" s="88" t="n">
        <f aca="false">INDEX(Train_In!$C$29:$E$29,L$7)</f>
        <v>0.05</v>
      </c>
      <c r="M45" s="88" t="n">
        <f aca="false">INDEX(Train_In!$C$29:$E$29,M$7)</f>
        <v>0.05</v>
      </c>
      <c r="N45" s="88" t="n">
        <f aca="false">INDEX(Train_In!$C$29:$E$29,N$7)</f>
        <v>0.1</v>
      </c>
      <c r="O45" s="88" t="n">
        <f aca="false">INDEX(Train_In!$C$29:$E$29,O$7)</f>
        <v>0.05</v>
      </c>
      <c r="P45" s="88" t="n">
        <f aca="false">INDEX(Train_In!$C$29:$E$29,P$7)</f>
        <v>0.05</v>
      </c>
      <c r="Q45" s="88" t="n">
        <f aca="false">INDEX(Train_In!$C$29:$E$29,Q$7)</f>
        <v>0.1</v>
      </c>
    </row>
    <row r="46" customFormat="false" ht="15" hidden="false" customHeight="false" outlineLevel="0" collapsed="false">
      <c r="A46" s="53" t="s">
        <v>967</v>
      </c>
      <c r="B46" s="54" t="s">
        <v>249</v>
      </c>
      <c r="C46" s="55" t="n">
        <f aca="false">INDEX(Train_In!$C$30:$E$30,C$7)</f>
        <v>16384</v>
      </c>
      <c r="D46" s="55" t="n">
        <f aca="false">INDEX(Train_In!$C$30:$E$30,D$7)</f>
        <v>16384</v>
      </c>
      <c r="E46" s="55" t="n">
        <f aca="false">INDEX(Train_In!$C$30:$E$30,E$7)</f>
        <v>16384</v>
      </c>
      <c r="F46" s="55" t="n">
        <f aca="false">INDEX(Train_In!$C$30:$E$30,F$7)</f>
        <v>16384</v>
      </c>
      <c r="G46" s="55" t="n">
        <f aca="false">INDEX(Train_In!$C$30:$E$30,G$7)</f>
        <v>16384</v>
      </c>
      <c r="H46" s="55" t="n">
        <f aca="false">INDEX(Train_In!$C$30:$E$30,H$7)</f>
        <v>16384</v>
      </c>
      <c r="I46" s="55" t="n">
        <f aca="false">INDEX(Train_In!$C$30:$E$30,I$7)</f>
        <v>16384</v>
      </c>
      <c r="J46" s="55" t="n">
        <f aca="false">INDEX(Train_In!$C$30:$E$30,J$7)</f>
        <v>16384</v>
      </c>
      <c r="K46" s="55" t="n">
        <f aca="false">INDEX(Train_In!$C$30:$E$30,K$7)</f>
        <v>16384</v>
      </c>
      <c r="L46" s="55" t="n">
        <f aca="false">INDEX(Train_In!$C$30:$E$30,L$7)</f>
        <v>16384</v>
      </c>
      <c r="M46" s="55" t="n">
        <f aca="false">INDEX(Train_In!$C$30:$E$30,M$7)</f>
        <v>16384</v>
      </c>
      <c r="N46" s="55" t="n">
        <f aca="false">INDEX(Train_In!$C$30:$E$30,N$7)</f>
        <v>16384</v>
      </c>
      <c r="O46" s="55" t="n">
        <f aca="false">INDEX(Train_In!$C$30:$E$30,O$7)</f>
        <v>16384</v>
      </c>
      <c r="P46" s="55" t="n">
        <f aca="false">INDEX(Train_In!$C$30:$E$30,P$7)</f>
        <v>16384</v>
      </c>
      <c r="Q46" s="55" t="n">
        <f aca="false">INDEX(Train_In!$C$30:$E$30,Q$7)</f>
        <v>16384</v>
      </c>
    </row>
    <row r="47" customFormat="false" ht="15" hidden="false" customHeight="false" outlineLevel="0" collapsed="false">
      <c r="A47" s="53" t="s">
        <v>975</v>
      </c>
      <c r="B47" s="54" t="s">
        <v>249</v>
      </c>
      <c r="C47" s="60" t="n">
        <f aca="false">C24*IF(C25=0,C46/2,MIN(C46/2,C25))+(1-C24)*(C46/2/C26+C27)</f>
        <v>2256.384</v>
      </c>
      <c r="D47" s="60" t="n">
        <f aca="false">D24*IF(D25=0,D46/2,MIN(D46/2,D25))+(1-D24)*(D46/2/D26+D27)</f>
        <v>2175.744</v>
      </c>
      <c r="E47" s="60" t="n">
        <f aca="false">E24*IF(E25=0,E46/2,MIN(E46/2,E25))+(1-E24)*(E46/2/E26+E27)</f>
        <v>8192</v>
      </c>
      <c r="F47" s="60" t="n">
        <f aca="false">F24*IF(F25=0,F46/2,MIN(F46/2,F25))+(1-F24)*(F46/2/F26+F27)</f>
        <v>2256.384</v>
      </c>
      <c r="G47" s="60" t="n">
        <f aca="false">G24*IF(G25=0,G46/2,MIN(G46/2,G25))+(1-G24)*(G46/2/G26+G27)</f>
        <v>2175.744</v>
      </c>
      <c r="H47" s="60" t="n">
        <f aca="false">H24*IF(H25=0,H46/2,MIN(H46/2,H25))+(1-H24)*(H46/2/H26+H27)</f>
        <v>8192</v>
      </c>
      <c r="I47" s="60" t="n">
        <f aca="false">I24*IF(I25=0,I46/2,MIN(I46/2,I25))+(1-I24)*(I46/2/I26+I27)</f>
        <v>2256.384</v>
      </c>
      <c r="J47" s="60" t="n">
        <f aca="false">J24*IF(J25=0,J46/2,MIN(J46/2,J25))+(1-J24)*(J46/2/J26+J27)</f>
        <v>2175.744</v>
      </c>
      <c r="K47" s="60" t="n">
        <f aca="false">K24*IF(K25=0,K46/2,MIN(K46/2,K25))+(1-K24)*(K46/2/K26+K27)</f>
        <v>8192</v>
      </c>
      <c r="L47" s="60" t="n">
        <f aca="false">L24*IF(L25=0,L46/2,MIN(L46/2,L25))+(1-L24)*(L46/2/L26+L27)</f>
        <v>2256.384</v>
      </c>
      <c r="M47" s="60" t="n">
        <f aca="false">M24*IF(M25=0,M46/2,MIN(M46/2,M25))+(1-M24)*(M46/2/M26+M27)</f>
        <v>2175.744</v>
      </c>
      <c r="N47" s="60" t="n">
        <f aca="false">N24*IF(N25=0,N46/2,MIN(N46/2,N25))+(1-N24)*(N46/2/N26+N27)</f>
        <v>8192</v>
      </c>
      <c r="O47" s="60" t="n">
        <f aca="false">O24*IF(O25=0,O46/2,MIN(O46/2,O25))+(1-O24)*(O46/2/O26+O27)</f>
        <v>2256.384</v>
      </c>
      <c r="P47" s="60" t="n">
        <f aca="false">P24*IF(P25=0,P46/2,MIN(P46/2,P25))+(1-P24)*(P46/2/P26+P27)</f>
        <v>2175.744</v>
      </c>
      <c r="Q47" s="60" t="n">
        <f aca="false">Q24*IF(Q25=0,Q46/2,MIN(Q46/2,Q25))+(1-Q24)*(Q46/2/Q26+Q27)</f>
        <v>8192</v>
      </c>
    </row>
    <row r="48" customFormat="false" ht="15" hidden="false" customHeight="false" outlineLevel="0" collapsed="false">
      <c r="A48" s="53" t="s">
        <v>969</v>
      </c>
      <c r="B48" s="54" t="s">
        <v>448</v>
      </c>
      <c r="C48" s="67" t="n">
        <f aca="false">3*(2*C22*1000000000+C23*C47)*C28/1000000000</f>
        <v>116.151590510592</v>
      </c>
      <c r="D48" s="67" t="n">
        <f aca="false">3*(2*D22*1000000000+D23*D47)*D28/1000000000</f>
        <v>398.375557029888</v>
      </c>
      <c r="E48" s="67" t="n">
        <f aca="false">3*(2*E22*1000000000+E23*E47)*E28/1000000000</f>
        <v>1200.7959552</v>
      </c>
      <c r="F48" s="67" t="n">
        <f aca="false">3*(2*F22*1000000000+F23*F47)*F28/1000000000</f>
        <v>116.151590510592</v>
      </c>
      <c r="G48" s="67" t="n">
        <f aca="false">3*(2*G22*1000000000+G23*G47)*G28/1000000000</f>
        <v>398.375557029888</v>
      </c>
      <c r="H48" s="67" t="n">
        <f aca="false">3*(2*H22*1000000000+H23*H47)*H28/1000000000</f>
        <v>1200.7959552</v>
      </c>
      <c r="I48" s="67" t="n">
        <f aca="false">3*(2*I22*1000000000+I23*I47)*I28/1000000000</f>
        <v>116.151590510592</v>
      </c>
      <c r="J48" s="67" t="n">
        <f aca="false">3*(2*J22*1000000000+J23*J47)*J28/1000000000</f>
        <v>398.375557029888</v>
      </c>
      <c r="K48" s="67" t="n">
        <f aca="false">3*(2*K22*1000000000+K23*K47)*K28/1000000000</f>
        <v>1200.7959552</v>
      </c>
      <c r="L48" s="67" t="n">
        <f aca="false">3*(2*L22*1000000000+L23*L47)*L28/1000000000</f>
        <v>116.151590510592</v>
      </c>
      <c r="M48" s="67" t="n">
        <f aca="false">3*(2*M22*1000000000+M23*M47)*M28/1000000000</f>
        <v>398.375557029888</v>
      </c>
      <c r="N48" s="67" t="n">
        <f aca="false">3*(2*N22*1000000000+N23*N47)*N28/1000000000</f>
        <v>1200.7959552</v>
      </c>
      <c r="O48" s="67" t="n">
        <f aca="false">3*(2*O22*1000000000+O23*O47)*O28/1000000000</f>
        <v>116.151590510592</v>
      </c>
      <c r="P48" s="67" t="n">
        <f aca="false">3*(2*P22*1000000000+P23*P47)*P28/1000000000</f>
        <v>398.375557029888</v>
      </c>
      <c r="Q48" s="67" t="n">
        <f aca="false">3*(2*Q22*1000000000+Q23*Q47)*Q28/1000000000</f>
        <v>1200.7959552</v>
      </c>
    </row>
    <row r="49" customFormat="false" ht="15" hidden="false" customHeight="false" outlineLevel="0" collapsed="false">
      <c r="A49" s="54" t="s">
        <v>979</v>
      </c>
      <c r="B49" s="54" t="s">
        <v>272</v>
      </c>
      <c r="C49" s="137" t="n">
        <f aca="false">C48*1000000000*C45*1000000000000</f>
        <v>5.8075795255296E+021</v>
      </c>
      <c r="D49" s="137" t="n">
        <f aca="false">D48*1000000000*D45*1000000000000</f>
        <v>1.99187778514944E+022</v>
      </c>
      <c r="E49" s="137" t="n">
        <f aca="false">E48*1000000000*E45*1000000000000</f>
        <v>1.2007959552E+023</v>
      </c>
      <c r="F49" s="137" t="n">
        <f aca="false">F48*1000000000*F45*1000000000000</f>
        <v>5.8075795255296E+021</v>
      </c>
      <c r="G49" s="137" t="n">
        <f aca="false">G48*1000000000*G45*1000000000000</f>
        <v>1.99187778514944E+022</v>
      </c>
      <c r="H49" s="137" t="n">
        <f aca="false">H48*1000000000*H45*1000000000000</f>
        <v>1.2007959552E+023</v>
      </c>
      <c r="I49" s="137" t="n">
        <f aca="false">I48*1000000000*I45*1000000000000</f>
        <v>5.8075795255296E+021</v>
      </c>
      <c r="J49" s="137" t="n">
        <f aca="false">J48*1000000000*J45*1000000000000</f>
        <v>1.99187778514944E+022</v>
      </c>
      <c r="K49" s="137" t="n">
        <f aca="false">K48*1000000000*K45*1000000000000</f>
        <v>1.2007959552E+023</v>
      </c>
      <c r="L49" s="137" t="n">
        <f aca="false">L48*1000000000*L45*1000000000000</f>
        <v>5.8075795255296E+021</v>
      </c>
      <c r="M49" s="137" t="n">
        <f aca="false">M48*1000000000*M45*1000000000000</f>
        <v>1.99187778514944E+022</v>
      </c>
      <c r="N49" s="137" t="n">
        <f aca="false">N48*1000000000*N45*1000000000000</f>
        <v>1.2007959552E+023</v>
      </c>
      <c r="O49" s="137" t="n">
        <f aca="false">O48*1000000000*O45*1000000000000</f>
        <v>5.8075795255296E+021</v>
      </c>
      <c r="P49" s="137" t="n">
        <f aca="false">P48*1000000000*P45*1000000000000</f>
        <v>1.99187778514944E+022</v>
      </c>
      <c r="Q49" s="137" t="n">
        <f aca="false">Q48*1000000000*Q45*1000000000000</f>
        <v>1.2007959552E+023</v>
      </c>
    </row>
    <row r="50" customFormat="false" ht="15" hidden="false" customHeight="false" outlineLevel="0" collapsed="false">
      <c r="A50" s="54" t="s">
        <v>980</v>
      </c>
      <c r="B50" s="54" t="s">
        <v>75</v>
      </c>
      <c r="C50" s="90" t="n">
        <f aca="false">Train_In!$C$8</f>
        <v>0.8</v>
      </c>
      <c r="D50" s="90" t="n">
        <f aca="false">Train_In!$C$8</f>
        <v>0.8</v>
      </c>
      <c r="E50" s="90" t="n">
        <f aca="false">Train_In!$C$8</f>
        <v>0.8</v>
      </c>
      <c r="F50" s="90" t="n">
        <f aca="false">Train_In!$C$8</f>
        <v>0.8</v>
      </c>
      <c r="G50" s="90" t="n">
        <f aca="false">Train_In!$C$8</f>
        <v>0.8</v>
      </c>
      <c r="H50" s="90" t="n">
        <f aca="false">Train_In!$C$8</f>
        <v>0.8</v>
      </c>
      <c r="I50" s="90" t="n">
        <f aca="false">Train_In!$C$8</f>
        <v>0.8</v>
      </c>
      <c r="J50" s="90" t="n">
        <f aca="false">Train_In!$C$8</f>
        <v>0.8</v>
      </c>
      <c r="K50" s="90" t="n">
        <f aca="false">Train_In!$C$8</f>
        <v>0.8</v>
      </c>
      <c r="L50" s="90" t="n">
        <f aca="false">Train_In!$C$8</f>
        <v>0.8</v>
      </c>
      <c r="M50" s="90" t="n">
        <f aca="false">Train_In!$C$8</f>
        <v>0.8</v>
      </c>
      <c r="N50" s="90" t="n">
        <f aca="false">Train_In!$C$8</f>
        <v>0.8</v>
      </c>
      <c r="O50" s="90" t="n">
        <f aca="false">Train_In!$C$8</f>
        <v>0.8</v>
      </c>
      <c r="P50" s="90" t="n">
        <f aca="false">Train_In!$C$8</f>
        <v>0.8</v>
      </c>
      <c r="Q50" s="90" t="n">
        <f aca="false">Train_In!$C$8</f>
        <v>0.8</v>
      </c>
    </row>
    <row r="51" customFormat="false" ht="15" hidden="false" customHeight="false" outlineLevel="0" collapsed="false">
      <c r="A51" s="54" t="s">
        <v>981</v>
      </c>
      <c r="B51" s="54" t="s">
        <v>972</v>
      </c>
      <c r="C51" s="60" t="n">
        <f aca="false">C49/(C12*1000000000000000*C16*C50*C17)/3600</f>
        <v>4528.70848034735</v>
      </c>
      <c r="D51" s="60" t="n">
        <f aca="false">D49/(D12*1000000000000000*D16*D50*D17)/3600</f>
        <v>15532.5188019688</v>
      </c>
      <c r="E51" s="60" t="n">
        <f aca="false">E49/(E12*1000000000000000*E16*E50*E17)/3600</f>
        <v>93637.1994834653</v>
      </c>
      <c r="F51" s="60" t="n">
        <f aca="false">F49/(F12*1000000000000000*F16*F50*F17)/3600</f>
        <v>1792.46281652148</v>
      </c>
      <c r="G51" s="60" t="n">
        <f aca="false">G49/(G12*1000000000000000*G16*G50*G17)/3600</f>
        <v>6147.77094181926</v>
      </c>
      <c r="H51" s="60" t="n">
        <f aca="false">H49/(H12*1000000000000000*H16*H50*H17)/3600</f>
        <v>37061.6035555556</v>
      </c>
      <c r="I51" s="60" t="n">
        <f aca="false">I49/(I12*1000000000000000*I16*I50*I17)/3600</f>
        <v>1792.46281652148</v>
      </c>
      <c r="J51" s="60" t="n">
        <f aca="false">J49/(J12*1000000000000000*J16*J50*J17)/3600</f>
        <v>6147.77094181926</v>
      </c>
      <c r="K51" s="60" t="n">
        <f aca="false">K49/(K12*1000000000000000*K16*K50*K17)/3600</f>
        <v>37061.6035555556</v>
      </c>
      <c r="L51" s="60" t="n">
        <f aca="false">L49/(L12*1000000000000000*L16*L50*L17)/3600</f>
        <v>569.035814768724</v>
      </c>
      <c r="M51" s="60" t="n">
        <f aca="false">M49/(M12*1000000000000000*M16*M50*M17)/3600</f>
        <v>1951.67331486326</v>
      </c>
      <c r="N51" s="60" t="n">
        <f aca="false">N49/(N12*1000000000000000*N16*N50*N17)/3600</f>
        <v>11765.5884303351</v>
      </c>
      <c r="O51" s="60" t="n">
        <f aca="false">O49/(O12*1000000000000000*O16*O50*O17)/3600</f>
        <v>284.517907384362</v>
      </c>
      <c r="P51" s="60" t="n">
        <f aca="false">P49/(P12*1000000000000000*P16*P50*P17)/3600</f>
        <v>975.836657431629</v>
      </c>
      <c r="Q51" s="60" t="n">
        <f aca="false">Q49/(Q12*1000000000000000*Q16*Q50*Q17)/3600</f>
        <v>5882.79421516755</v>
      </c>
    </row>
    <row r="52" customFormat="false" ht="15" hidden="false" customHeight="false" outlineLevel="0" collapsed="false">
      <c r="A52" s="68" t="s">
        <v>982</v>
      </c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</row>
    <row r="53" customFormat="false" ht="15" hidden="false" customHeight="false" outlineLevel="0" collapsed="false">
      <c r="A53" s="54" t="s">
        <v>983</v>
      </c>
      <c r="B53" s="54" t="s">
        <v>904</v>
      </c>
      <c r="C53" s="91" t="n">
        <f aca="false">INDEX(Train_In!$C$34:$E$34,C$7)</f>
        <v>2.36</v>
      </c>
      <c r="D53" s="91" t="n">
        <f aca="false">INDEX(Train_In!$C$34:$E$34,D$7)</f>
        <v>2.36</v>
      </c>
      <c r="E53" s="91" t="n">
        <f aca="false">INDEX(Train_In!$C$34:$E$34,E$7)</f>
        <v>9.6</v>
      </c>
      <c r="F53" s="91" t="n">
        <f aca="false">INDEX(Train_In!$C$34:$E$34,F$7)</f>
        <v>2.36</v>
      </c>
      <c r="G53" s="91" t="n">
        <f aca="false">INDEX(Train_In!$C$34:$E$34,G$7)</f>
        <v>2.36</v>
      </c>
      <c r="H53" s="91" t="n">
        <f aca="false">INDEX(Train_In!$C$34:$E$34,H$7)</f>
        <v>9.6</v>
      </c>
      <c r="I53" s="91" t="n">
        <f aca="false">INDEX(Train_In!$C$34:$E$34,I$7)</f>
        <v>2.36</v>
      </c>
      <c r="J53" s="91" t="n">
        <f aca="false">INDEX(Train_In!$C$34:$E$34,J$7)</f>
        <v>2.36</v>
      </c>
      <c r="K53" s="91" t="n">
        <f aca="false">INDEX(Train_In!$C$34:$E$34,K$7)</f>
        <v>9.6</v>
      </c>
      <c r="L53" s="91" t="n">
        <f aca="false">INDEX(Train_In!$C$34:$E$34,L$7)</f>
        <v>2.36</v>
      </c>
      <c r="M53" s="91" t="n">
        <f aca="false">INDEX(Train_In!$C$34:$E$34,M$7)</f>
        <v>2.36</v>
      </c>
      <c r="N53" s="91" t="n">
        <f aca="false">INDEX(Train_In!$C$34:$E$34,N$7)</f>
        <v>9.6</v>
      </c>
      <c r="O53" s="91" t="n">
        <f aca="false">INDEX(Train_In!$C$34:$E$34,O$7)</f>
        <v>2.36</v>
      </c>
      <c r="P53" s="91" t="n">
        <f aca="false">INDEX(Train_In!$C$34:$E$34,P$7)</f>
        <v>2.36</v>
      </c>
      <c r="Q53" s="91" t="n">
        <f aca="false">INDEX(Train_In!$C$34:$E$34,Q$7)</f>
        <v>9.6</v>
      </c>
    </row>
    <row r="54" customFormat="false" ht="15" hidden="false" customHeight="false" outlineLevel="0" collapsed="false">
      <c r="A54" s="53" t="s">
        <v>984</v>
      </c>
      <c r="B54" s="54" t="s">
        <v>249</v>
      </c>
      <c r="C54" s="55" t="n">
        <f aca="false">INDEX(Perf_Batch!$C$43:$Q$43,3*(C$6-1)+C$7)</f>
        <v>4096</v>
      </c>
      <c r="D54" s="55" t="n">
        <f aca="false">INDEX(Perf_Batch!$C$43:$Q$43,3*(D$6-1)+D$7)</f>
        <v>8192</v>
      </c>
      <c r="E54" s="55" t="n">
        <f aca="false">INDEX(Perf_Batch!$C$43:$Q$43,3*(E$6-1)+E$7)</f>
        <v>16384</v>
      </c>
      <c r="F54" s="55" t="n">
        <f aca="false">INDEX(Perf_Batch!$C$43:$Q$43,3*(F$6-1)+F$7)</f>
        <v>4096</v>
      </c>
      <c r="G54" s="55" t="n">
        <f aca="false">INDEX(Perf_Batch!$C$43:$Q$43,3*(G$6-1)+G$7)</f>
        <v>8192</v>
      </c>
      <c r="H54" s="55" t="n">
        <f aca="false">INDEX(Perf_Batch!$C$43:$Q$43,3*(H$6-1)+H$7)</f>
        <v>16384</v>
      </c>
      <c r="I54" s="55" t="n">
        <f aca="false">INDEX(Perf_Batch!$C$43:$Q$43,3*(I$6-1)+I$7)</f>
        <v>4096</v>
      </c>
      <c r="J54" s="55" t="n">
        <f aca="false">INDEX(Perf_Batch!$C$43:$Q$43,3*(J$6-1)+J$7)</f>
        <v>8192</v>
      </c>
      <c r="K54" s="55" t="n">
        <f aca="false">INDEX(Perf_Batch!$C$43:$Q$43,3*(K$6-1)+K$7)</f>
        <v>16384</v>
      </c>
      <c r="L54" s="55" t="n">
        <f aca="false">INDEX(Perf_Batch!$C$43:$Q$43,3*(L$6-1)+L$7)</f>
        <v>4096</v>
      </c>
      <c r="M54" s="55" t="n">
        <f aca="false">INDEX(Perf_Batch!$C$43:$Q$43,3*(M$6-1)+M$7)</f>
        <v>8192</v>
      </c>
      <c r="N54" s="55" t="n">
        <f aca="false">INDEX(Perf_Batch!$C$43:$Q$43,3*(N$6-1)+N$7)</f>
        <v>16384</v>
      </c>
      <c r="O54" s="55" t="n">
        <f aca="false">INDEX(Perf_Batch!$C$43:$Q$43,3*(O$6-1)+O$7)</f>
        <v>4096</v>
      </c>
      <c r="P54" s="55" t="n">
        <f aca="false">INDEX(Perf_Batch!$C$43:$Q$43,3*(P$6-1)+P$7)</f>
        <v>8192</v>
      </c>
      <c r="Q54" s="55" t="n">
        <f aca="false">INDEX(Perf_Batch!$C$43:$Q$43,3*(Q$6-1)+Q$7)</f>
        <v>16384</v>
      </c>
    </row>
    <row r="55" customFormat="false" ht="15" hidden="false" customHeight="false" outlineLevel="0" collapsed="false">
      <c r="A55" s="53" t="s">
        <v>985</v>
      </c>
      <c r="B55" s="54" t="s">
        <v>249</v>
      </c>
      <c r="C55" s="55" t="n">
        <f aca="false">INDEX(Perf_Batch!$C$44:$Q$44,3*(C$6-1)+C$7)</f>
        <v>8192</v>
      </c>
      <c r="D55" s="55" t="n">
        <f aca="false">INDEX(Perf_Batch!$C$44:$Q$44,3*(D$6-1)+D$7)</f>
        <v>16384</v>
      </c>
      <c r="E55" s="55" t="n">
        <f aca="false">INDEX(Perf_Batch!$C$44:$Q$44,3*(E$6-1)+E$7)</f>
        <v>32768</v>
      </c>
      <c r="F55" s="55" t="n">
        <f aca="false">INDEX(Perf_Batch!$C$44:$Q$44,3*(F$6-1)+F$7)</f>
        <v>8192</v>
      </c>
      <c r="G55" s="55" t="n">
        <f aca="false">INDEX(Perf_Batch!$C$44:$Q$44,3*(G$6-1)+G$7)</f>
        <v>16384</v>
      </c>
      <c r="H55" s="55" t="n">
        <f aca="false">INDEX(Perf_Batch!$C$44:$Q$44,3*(H$6-1)+H$7)</f>
        <v>32768</v>
      </c>
      <c r="I55" s="55" t="n">
        <f aca="false">INDEX(Perf_Batch!$C$44:$Q$44,3*(I$6-1)+I$7)</f>
        <v>8192</v>
      </c>
      <c r="J55" s="55" t="n">
        <f aca="false">INDEX(Perf_Batch!$C$44:$Q$44,3*(J$6-1)+J$7)</f>
        <v>16384</v>
      </c>
      <c r="K55" s="55" t="n">
        <f aca="false">INDEX(Perf_Batch!$C$44:$Q$44,3*(K$6-1)+K$7)</f>
        <v>32768</v>
      </c>
      <c r="L55" s="55" t="n">
        <f aca="false">INDEX(Perf_Batch!$C$44:$Q$44,3*(L$6-1)+L$7)</f>
        <v>8192</v>
      </c>
      <c r="M55" s="55" t="n">
        <f aca="false">INDEX(Perf_Batch!$C$44:$Q$44,3*(M$6-1)+M$7)</f>
        <v>16384</v>
      </c>
      <c r="N55" s="55" t="n">
        <f aca="false">INDEX(Perf_Batch!$C$44:$Q$44,3*(N$6-1)+N$7)</f>
        <v>32768</v>
      </c>
      <c r="O55" s="55" t="n">
        <f aca="false">INDEX(Perf_Batch!$C$44:$Q$44,3*(O$6-1)+O$7)</f>
        <v>8192</v>
      </c>
      <c r="P55" s="55" t="n">
        <f aca="false">INDEX(Perf_Batch!$C$44:$Q$44,3*(P$6-1)+P$7)</f>
        <v>16384</v>
      </c>
      <c r="Q55" s="55" t="n">
        <f aca="false">INDEX(Perf_Batch!$C$44:$Q$44,3*(Q$6-1)+Q$7)</f>
        <v>32768</v>
      </c>
    </row>
    <row r="56" customFormat="false" ht="15" hidden="false" customHeight="false" outlineLevel="0" collapsed="false">
      <c r="A56" s="53" t="s">
        <v>986</v>
      </c>
      <c r="B56" s="53" t="s">
        <v>287</v>
      </c>
      <c r="C56" s="60" t="n">
        <f aca="false">C53*1000000000000/C55</f>
        <v>288085937.5</v>
      </c>
      <c r="D56" s="60" t="n">
        <f aca="false">D53*1000000000000/D55</f>
        <v>144042968.75</v>
      </c>
      <c r="E56" s="60" t="n">
        <f aca="false">E53*1000000000000/E55</f>
        <v>292968750</v>
      </c>
      <c r="F56" s="60" t="n">
        <f aca="false">F53*1000000000000/F55</f>
        <v>288085937.5</v>
      </c>
      <c r="G56" s="60" t="n">
        <f aca="false">G53*1000000000000/G55</f>
        <v>144042968.75</v>
      </c>
      <c r="H56" s="60" t="n">
        <f aca="false">H53*1000000000000/H55</f>
        <v>292968750</v>
      </c>
      <c r="I56" s="60" t="n">
        <f aca="false">I53*1000000000000/I55</f>
        <v>288085937.5</v>
      </c>
      <c r="J56" s="60" t="n">
        <f aca="false">J53*1000000000000/J55</f>
        <v>144042968.75</v>
      </c>
      <c r="K56" s="60" t="n">
        <f aca="false">K53*1000000000000/K55</f>
        <v>292968750</v>
      </c>
      <c r="L56" s="60" t="n">
        <f aca="false">L53*1000000000000/L55</f>
        <v>288085937.5</v>
      </c>
      <c r="M56" s="60" t="n">
        <f aca="false">M53*1000000000000/M55</f>
        <v>144042968.75</v>
      </c>
      <c r="N56" s="60" t="n">
        <f aca="false">N53*1000000000000/N55</f>
        <v>292968750</v>
      </c>
      <c r="O56" s="60" t="n">
        <f aca="false">O53*1000000000000/O55</f>
        <v>288085937.5</v>
      </c>
      <c r="P56" s="60" t="n">
        <f aca="false">P53*1000000000000/P55</f>
        <v>144042968.75</v>
      </c>
      <c r="Q56" s="60" t="n">
        <f aca="false">Q53*1000000000000/Q55</f>
        <v>292968750</v>
      </c>
    </row>
    <row r="57" customFormat="false" ht="15" hidden="false" customHeight="false" outlineLevel="0" collapsed="false">
      <c r="A57" s="54" t="s">
        <v>987</v>
      </c>
      <c r="B57" s="53" t="s">
        <v>287</v>
      </c>
      <c r="C57" s="82" t="n">
        <f aca="false">Train_In!$C$12</f>
        <v>16</v>
      </c>
      <c r="D57" s="82" t="n">
        <f aca="false">Train_In!$C$12</f>
        <v>16</v>
      </c>
      <c r="E57" s="82" t="n">
        <f aca="false">Train_In!$C$12</f>
        <v>16</v>
      </c>
      <c r="F57" s="82" t="n">
        <f aca="false">Train_In!$C$12</f>
        <v>16</v>
      </c>
      <c r="G57" s="82" t="n">
        <f aca="false">Train_In!$C$12</f>
        <v>16</v>
      </c>
      <c r="H57" s="82" t="n">
        <f aca="false">Train_In!$C$12</f>
        <v>16</v>
      </c>
      <c r="I57" s="82" t="n">
        <f aca="false">Train_In!$C$12</f>
        <v>16</v>
      </c>
      <c r="J57" s="82" t="n">
        <f aca="false">Train_In!$C$12</f>
        <v>16</v>
      </c>
      <c r="K57" s="82" t="n">
        <f aca="false">Train_In!$C$12</f>
        <v>16</v>
      </c>
      <c r="L57" s="82" t="n">
        <f aca="false">Train_In!$C$12</f>
        <v>16</v>
      </c>
      <c r="M57" s="82" t="n">
        <f aca="false">Train_In!$C$12</f>
        <v>16</v>
      </c>
      <c r="N57" s="82" t="n">
        <f aca="false">Train_In!$C$12</f>
        <v>16</v>
      </c>
      <c r="O57" s="82" t="n">
        <f aca="false">Train_In!$C$12</f>
        <v>16</v>
      </c>
      <c r="P57" s="82" t="n">
        <f aca="false">Train_In!$C$12</f>
        <v>16</v>
      </c>
      <c r="Q57" s="82" t="n">
        <f aca="false">Train_In!$C$12</f>
        <v>16</v>
      </c>
    </row>
    <row r="58" customFormat="false" ht="15" hidden="false" customHeight="false" outlineLevel="0" collapsed="false">
      <c r="A58" s="53" t="s">
        <v>988</v>
      </c>
      <c r="B58" s="54" t="s">
        <v>904</v>
      </c>
      <c r="C58" s="64" t="n">
        <f aca="false">C56*C54/C57/1000000000000</f>
        <v>0.07375</v>
      </c>
      <c r="D58" s="64" t="n">
        <f aca="false">D56*D54/D57/1000000000000</f>
        <v>0.07375</v>
      </c>
      <c r="E58" s="64" t="n">
        <f aca="false">E56*E54/E57/1000000000000</f>
        <v>0.3</v>
      </c>
      <c r="F58" s="64" t="n">
        <f aca="false">F56*F54/F57/1000000000000</f>
        <v>0.07375</v>
      </c>
      <c r="G58" s="64" t="n">
        <f aca="false">G56*G54/G57/1000000000000</f>
        <v>0.07375</v>
      </c>
      <c r="H58" s="64" t="n">
        <f aca="false">H56*H54/H57/1000000000000</f>
        <v>0.3</v>
      </c>
      <c r="I58" s="64" t="n">
        <f aca="false">I56*I54/I57/1000000000000</f>
        <v>0.07375</v>
      </c>
      <c r="J58" s="64" t="n">
        <f aca="false">J56*J54/J57/1000000000000</f>
        <v>0.07375</v>
      </c>
      <c r="K58" s="64" t="n">
        <f aca="false">K56*K54/K57/1000000000000</f>
        <v>0.3</v>
      </c>
      <c r="L58" s="64" t="n">
        <f aca="false">L56*L54/L57/1000000000000</f>
        <v>0.07375</v>
      </c>
      <c r="M58" s="64" t="n">
        <f aca="false">M56*M54/M57/1000000000000</f>
        <v>0.07375</v>
      </c>
      <c r="N58" s="64" t="n">
        <f aca="false">N56*N54/N57/1000000000000</f>
        <v>0.3</v>
      </c>
      <c r="O58" s="64" t="n">
        <f aca="false">O56*O54/O57/1000000000000</f>
        <v>0.07375</v>
      </c>
      <c r="P58" s="64" t="n">
        <f aca="false">P56*P54/P57/1000000000000</f>
        <v>0.07375</v>
      </c>
      <c r="Q58" s="64" t="n">
        <f aca="false">Q56*Q54/Q57/1000000000000</f>
        <v>0.3</v>
      </c>
    </row>
    <row r="59" customFormat="false" ht="15" hidden="false" customHeight="false" outlineLevel="0" collapsed="false">
      <c r="A59" s="54" t="s">
        <v>989</v>
      </c>
      <c r="B59" s="54" t="s">
        <v>754</v>
      </c>
      <c r="C59" s="91" t="n">
        <f aca="false">INDEX(Perf_Batch!$C$103:$Q$103,3*(C$6-1)+C$7)</f>
        <v>647.843275615986</v>
      </c>
      <c r="D59" s="91" t="n">
        <f aca="false">INDEX(Perf_Batch!$C$103:$Q$103,3*(D$6-1)+D$7)</f>
        <v>2492.54531323676</v>
      </c>
      <c r="E59" s="91" t="n">
        <f aca="false">INDEX(Perf_Batch!$C$103:$Q$103,3*(E$6-1)+E$7)</f>
        <v>10965.660079333</v>
      </c>
      <c r="F59" s="91" t="n">
        <f aca="false">INDEX(Perf_Batch!$C$103:$Q$103,3*(F$6-1)+F$7)</f>
        <v>183.615945499964</v>
      </c>
      <c r="G59" s="91" t="n">
        <f aca="false">INDEX(Perf_Batch!$C$103:$Q$103,3*(G$6-1)+G$7)</f>
        <v>675.887022941722</v>
      </c>
      <c r="H59" s="91" t="n">
        <f aca="false">INDEX(Perf_Batch!$C$103:$Q$103,3*(H$6-1)+H$7)</f>
        <v>2949.71050251776</v>
      </c>
      <c r="I59" s="91" t="n">
        <f aca="false">INDEX(Perf_Batch!$C$103:$Q$103,3*(I$6-1)+I$7)</f>
        <v>122.410630333309</v>
      </c>
      <c r="J59" s="91" t="n">
        <f aca="false">INDEX(Perf_Batch!$C$103:$Q$103,3*(J$6-1)+J$7)</f>
        <v>450.591348627815</v>
      </c>
      <c r="K59" s="91" t="n">
        <f aca="false">INDEX(Perf_Batch!$C$103:$Q$103,3*(K$6-1)+K$7)</f>
        <v>2040.35012947353</v>
      </c>
      <c r="L59" s="91" t="n">
        <f aca="false">INDEX(Perf_Batch!$C$103:$Q$103,3*(L$6-1)+L$7)</f>
        <v>52.0994713892176</v>
      </c>
      <c r="M59" s="91" t="n">
        <f aca="false">INDEX(Perf_Batch!$C$103:$Q$103,3*(M$6-1)+M$7)</f>
        <v>186.645035895752</v>
      </c>
      <c r="N59" s="91" t="n">
        <f aca="false">INDEX(Perf_Batch!$C$103:$Q$103,3*(N$6-1)+N$7)</f>
        <v>795.665725029018</v>
      </c>
      <c r="O59" s="91" t="n">
        <f aca="false">INDEX(Perf_Batch!$C$103:$Q$103,3*(O$6-1)+O$7)</f>
        <v>26.0009261591734</v>
      </c>
      <c r="P59" s="91" t="n">
        <f aca="false">INDEX(Perf_Batch!$C$103:$Q$103,3*(P$6-1)+P$7)</f>
        <v>92.4186867627377</v>
      </c>
      <c r="Q59" s="91" t="n">
        <f aca="false">INDEX(Perf_Batch!$C$103:$Q$103,3*(Q$6-1)+Q$7)</f>
        <v>387.579742794027</v>
      </c>
    </row>
    <row r="60" customFormat="false" ht="15" hidden="false" customHeight="false" outlineLevel="0" collapsed="false">
      <c r="A60" s="54" t="s">
        <v>990</v>
      </c>
      <c r="B60" s="54" t="s">
        <v>754</v>
      </c>
      <c r="C60" s="91" t="n">
        <f aca="false">INDEX(Perf_Batch!$C$101:$Q$101,3*(C$6-1)+C$7)</f>
        <v>108.884175050246</v>
      </c>
      <c r="D60" s="91" t="n">
        <f aca="false">INDEX(Perf_Batch!$C$101:$Q$101,3*(D$6-1)+D$7)</f>
        <v>443.292452124732</v>
      </c>
      <c r="E60" s="91" t="n">
        <f aca="false">INDEX(Perf_Batch!$C$101:$Q$101,3*(E$6-1)+E$7)</f>
        <v>1349.05735894843</v>
      </c>
      <c r="F60" s="91" t="n">
        <f aca="false">INDEX(Perf_Batch!$C$101:$Q$101,3*(F$6-1)+F$7)</f>
        <v>10.7686449124693</v>
      </c>
      <c r="G60" s="91" t="n">
        <f aca="false">INDEX(Perf_Batch!$C$101:$Q$101,3*(G$6-1)+G$7)</f>
        <v>43.841623515136</v>
      </c>
      <c r="H60" s="91" t="n">
        <f aca="false">INDEX(Perf_Batch!$C$101:$Q$101,3*(H$6-1)+H$7)</f>
        <v>133.4217728</v>
      </c>
      <c r="I60" s="91" t="n">
        <f aca="false">INDEX(Perf_Batch!$C$101:$Q$101,3*(I$6-1)+I$7)</f>
        <v>7.17909660831289</v>
      </c>
      <c r="J60" s="91" t="n">
        <f aca="false">INDEX(Perf_Batch!$C$101:$Q$101,3*(J$6-1)+J$7)</f>
        <v>29.2277490100907</v>
      </c>
      <c r="K60" s="91" t="n">
        <f aca="false">INDEX(Perf_Batch!$C$101:$Q$101,3*(K$6-1)+K$7)</f>
        <v>88.9478485333333</v>
      </c>
      <c r="L60" s="91" t="n">
        <f aca="false">INDEX(Perf_Batch!$C$101:$Q$101,3*(L$6-1)+L$7)</f>
        <v>3.07675568927695</v>
      </c>
      <c r="M60" s="91" t="n">
        <f aca="false">INDEX(Perf_Batch!$C$101:$Q$101,3*(M$6-1)+M$7)</f>
        <v>12.5261781471817</v>
      </c>
      <c r="N60" s="91" t="n">
        <f aca="false">INDEX(Perf_Batch!$C$101:$Q$101,3*(N$6-1)+N$7)</f>
        <v>38.1205065142857</v>
      </c>
      <c r="O60" s="91" t="n">
        <f aca="false">INDEX(Perf_Batch!$C$101:$Q$101,3*(O$6-1)+O$7)</f>
        <v>1.53837784463848</v>
      </c>
      <c r="P60" s="91" t="n">
        <f aca="false">INDEX(Perf_Batch!$C$101:$Q$101,3*(P$6-1)+P$7)</f>
        <v>6.26308907359086</v>
      </c>
      <c r="Q60" s="91" t="n">
        <f aca="false">INDEX(Perf_Batch!$C$101:$Q$101,3*(Q$6-1)+Q$7)</f>
        <v>19.0602532571429</v>
      </c>
    </row>
    <row r="61" customFormat="false" ht="15" hidden="false" customHeight="false" outlineLevel="0" collapsed="false">
      <c r="A61" s="54" t="s">
        <v>991</v>
      </c>
      <c r="B61" s="54" t="s">
        <v>448</v>
      </c>
      <c r="C61" s="91" t="n">
        <f aca="false">INDEX(Perf_Batch!$C$65:$Q$65,3*(C$6-1)+C$7)</f>
        <v>38.717196836864</v>
      </c>
      <c r="D61" s="91" t="n">
        <f aca="false">INDEX(Perf_Batch!$C$65:$Q$65,3*(D$6-1)+D$7)</f>
        <v>133.311744712704</v>
      </c>
      <c r="E61" s="91" t="n">
        <f aca="false">INDEX(Perf_Batch!$C$65:$Q$65,3*(E$6-1)+E$7)</f>
        <v>521.0612736</v>
      </c>
      <c r="F61" s="91" t="n">
        <f aca="false">INDEX(Perf_Batch!$C$65:$Q$65,3*(F$6-1)+F$7)</f>
        <v>38.717196836864</v>
      </c>
      <c r="G61" s="91" t="n">
        <f aca="false">INDEX(Perf_Batch!$C$65:$Q$65,3*(G$6-1)+G$7)</f>
        <v>133.311744712704</v>
      </c>
      <c r="H61" s="91" t="n">
        <f aca="false">INDEX(Perf_Batch!$C$65:$Q$65,3*(H$6-1)+H$7)</f>
        <v>521.0612736</v>
      </c>
      <c r="I61" s="91" t="n">
        <f aca="false">INDEX(Perf_Batch!$C$65:$Q$65,3*(I$6-1)+I$7)</f>
        <v>38.717196836864</v>
      </c>
      <c r="J61" s="91" t="n">
        <f aca="false">INDEX(Perf_Batch!$C$65:$Q$65,3*(J$6-1)+J$7)</f>
        <v>133.311744712704</v>
      </c>
      <c r="K61" s="91" t="n">
        <f aca="false">INDEX(Perf_Batch!$C$65:$Q$65,3*(K$6-1)+K$7)</f>
        <v>521.0612736</v>
      </c>
      <c r="L61" s="91" t="n">
        <f aca="false">INDEX(Perf_Batch!$C$65:$Q$65,3*(L$6-1)+L$7)</f>
        <v>38.717196836864</v>
      </c>
      <c r="M61" s="91" t="n">
        <f aca="false">INDEX(Perf_Batch!$C$65:$Q$65,3*(M$6-1)+M$7)</f>
        <v>133.311744712704</v>
      </c>
      <c r="N61" s="91" t="n">
        <f aca="false">INDEX(Perf_Batch!$C$65:$Q$65,3*(N$6-1)+N$7)</f>
        <v>521.0612736</v>
      </c>
      <c r="O61" s="91" t="n">
        <f aca="false">INDEX(Perf_Batch!$C$65:$Q$65,3*(O$6-1)+O$7)</f>
        <v>38.717196836864</v>
      </c>
      <c r="P61" s="91" t="n">
        <f aca="false">INDEX(Perf_Batch!$C$65:$Q$65,3*(P$6-1)+P$7)</f>
        <v>133.311744712704</v>
      </c>
      <c r="Q61" s="91" t="n">
        <f aca="false">INDEX(Perf_Batch!$C$65:$Q$65,3*(Q$6-1)+Q$7)</f>
        <v>521.0612736</v>
      </c>
    </row>
    <row r="62" customFormat="false" ht="15" hidden="false" customHeight="false" outlineLevel="0" collapsed="false">
      <c r="A62" s="54" t="s">
        <v>992</v>
      </c>
      <c r="B62" s="54" t="s">
        <v>448</v>
      </c>
      <c r="C62" s="91" t="n">
        <f aca="false">INDEX(Perf_Batch!$C$67:$Q$67,3*(C$6-1)+C$7)</f>
        <v>32.305934737408</v>
      </c>
      <c r="D62" s="91" t="n">
        <f aca="false">INDEX(Perf_Batch!$C$67:$Q$67,3*(D$6-1)+D$7)</f>
        <v>131.524870545408</v>
      </c>
      <c r="E62" s="91" t="n">
        <f aca="false">INDEX(Perf_Batch!$C$67:$Q$67,3*(E$6-1)+E$7)</f>
        <v>400.2653184</v>
      </c>
      <c r="F62" s="91" t="n">
        <f aca="false">INDEX(Perf_Batch!$C$67:$Q$67,3*(F$6-1)+F$7)</f>
        <v>32.305934737408</v>
      </c>
      <c r="G62" s="91" t="n">
        <f aca="false">INDEX(Perf_Batch!$C$67:$Q$67,3*(G$6-1)+G$7)</f>
        <v>131.524870545408</v>
      </c>
      <c r="H62" s="91" t="n">
        <f aca="false">INDEX(Perf_Batch!$C$67:$Q$67,3*(H$6-1)+H$7)</f>
        <v>400.2653184</v>
      </c>
      <c r="I62" s="91" t="n">
        <f aca="false">INDEX(Perf_Batch!$C$67:$Q$67,3*(I$6-1)+I$7)</f>
        <v>32.305934737408</v>
      </c>
      <c r="J62" s="91" t="n">
        <f aca="false">INDEX(Perf_Batch!$C$67:$Q$67,3*(J$6-1)+J$7)</f>
        <v>131.524870545408</v>
      </c>
      <c r="K62" s="91" t="n">
        <f aca="false">INDEX(Perf_Batch!$C$67:$Q$67,3*(K$6-1)+K$7)</f>
        <v>400.2653184</v>
      </c>
      <c r="L62" s="91" t="n">
        <f aca="false">INDEX(Perf_Batch!$C$67:$Q$67,3*(L$6-1)+L$7)</f>
        <v>32.305934737408</v>
      </c>
      <c r="M62" s="91" t="n">
        <f aca="false">INDEX(Perf_Batch!$C$67:$Q$67,3*(M$6-1)+M$7)</f>
        <v>131.524870545408</v>
      </c>
      <c r="N62" s="91" t="n">
        <f aca="false">INDEX(Perf_Batch!$C$67:$Q$67,3*(N$6-1)+N$7)</f>
        <v>400.2653184</v>
      </c>
      <c r="O62" s="91" t="n">
        <f aca="false">INDEX(Perf_Batch!$C$67:$Q$67,3*(O$6-1)+O$7)</f>
        <v>32.305934737408</v>
      </c>
      <c r="P62" s="91" t="n">
        <f aca="false">INDEX(Perf_Batch!$C$67:$Q$67,3*(P$6-1)+P$7)</f>
        <v>131.524870545408</v>
      </c>
      <c r="Q62" s="91" t="n">
        <f aca="false">INDEX(Perf_Batch!$C$67:$Q$67,3*(Q$6-1)+Q$7)</f>
        <v>400.2653184</v>
      </c>
    </row>
    <row r="63" customFormat="false" ht="15" hidden="false" customHeight="false" outlineLevel="0" collapsed="false">
      <c r="A63" s="54" t="s">
        <v>993</v>
      </c>
      <c r="B63" s="54" t="s">
        <v>75</v>
      </c>
      <c r="C63" s="90" t="n">
        <f aca="false">Tech_Registry!$E$28</f>
        <v>1</v>
      </c>
      <c r="D63" s="90" t="n">
        <f aca="false">Tech_Registry!$E$28</f>
        <v>1</v>
      </c>
      <c r="E63" s="90" t="n">
        <f aca="false">Tech_Registry!$E$28</f>
        <v>1</v>
      </c>
      <c r="F63" s="90" t="n">
        <f aca="false">Tech_Registry!$E$28</f>
        <v>1</v>
      </c>
      <c r="G63" s="90" t="n">
        <f aca="false">Tech_Registry!$E$28</f>
        <v>1</v>
      </c>
      <c r="H63" s="90" t="n">
        <f aca="false">Tech_Registry!$E$28</f>
        <v>1</v>
      </c>
      <c r="I63" s="90" t="n">
        <f aca="false">Tech_Registry!$E$28</f>
        <v>1</v>
      </c>
      <c r="J63" s="90" t="n">
        <f aca="false">Tech_Registry!$E$28</f>
        <v>1</v>
      </c>
      <c r="K63" s="90" t="n">
        <f aca="false">Tech_Registry!$E$28</f>
        <v>1</v>
      </c>
      <c r="L63" s="90" t="n">
        <f aca="false">Tech_Registry!$E$28</f>
        <v>1</v>
      </c>
      <c r="M63" s="90" t="n">
        <f aca="false">Tech_Registry!$E$28</f>
        <v>1</v>
      </c>
      <c r="N63" s="90" t="n">
        <f aca="false">Tech_Registry!$E$28</f>
        <v>1</v>
      </c>
      <c r="O63" s="90" t="n">
        <f aca="false">Tech_Registry!$E$28</f>
        <v>1</v>
      </c>
      <c r="P63" s="90" t="n">
        <f aca="false">Tech_Registry!$E$28</f>
        <v>1</v>
      </c>
      <c r="Q63" s="90" t="n">
        <f aca="false">Tech_Registry!$E$28</f>
        <v>1</v>
      </c>
    </row>
    <row r="64" customFormat="false" ht="15" hidden="false" customHeight="false" outlineLevel="0" collapsed="false">
      <c r="A64" s="54" t="s">
        <v>994</v>
      </c>
      <c r="B64" s="54" t="s">
        <v>71</v>
      </c>
      <c r="C64" s="57" t="n">
        <f aca="false">Train_In!$C$11*C63</f>
        <v>0.85</v>
      </c>
      <c r="D64" s="57" t="n">
        <f aca="false">Train_In!$C$11*D63</f>
        <v>0.85</v>
      </c>
      <c r="E64" s="57" t="n">
        <f aca="false">Train_In!$C$11*E63</f>
        <v>0.85</v>
      </c>
      <c r="F64" s="57" t="n">
        <f aca="false">Train_In!$C$11*F63</f>
        <v>0.85</v>
      </c>
      <c r="G64" s="57" t="n">
        <f aca="false">Train_In!$C$11*G63</f>
        <v>0.85</v>
      </c>
      <c r="H64" s="57" t="n">
        <f aca="false">Train_In!$C$11*H63</f>
        <v>0.85</v>
      </c>
      <c r="I64" s="57" t="n">
        <f aca="false">Train_In!$C$11*I63</f>
        <v>0.85</v>
      </c>
      <c r="J64" s="57" t="n">
        <f aca="false">Train_In!$C$11*J63</f>
        <v>0.85</v>
      </c>
      <c r="K64" s="57" t="n">
        <f aca="false">Train_In!$C$11*K63</f>
        <v>0.85</v>
      </c>
      <c r="L64" s="57" t="n">
        <f aca="false">Train_In!$C$11*L63</f>
        <v>0.85</v>
      </c>
      <c r="M64" s="57" t="n">
        <f aca="false">Train_In!$C$11*M63</f>
        <v>0.85</v>
      </c>
      <c r="N64" s="57" t="n">
        <f aca="false">Train_In!$C$11*N63</f>
        <v>0.85</v>
      </c>
      <c r="O64" s="57" t="n">
        <f aca="false">Train_In!$C$11*O63</f>
        <v>0.85</v>
      </c>
      <c r="P64" s="57" t="n">
        <f aca="false">Train_In!$C$11*P63</f>
        <v>0.85</v>
      </c>
      <c r="Q64" s="57" t="n">
        <f aca="false">Train_In!$C$11*Q63</f>
        <v>0.85</v>
      </c>
    </row>
    <row r="65" customFormat="false" ht="15" hidden="false" customHeight="false" outlineLevel="0" collapsed="false">
      <c r="A65" s="54" t="s">
        <v>995</v>
      </c>
      <c r="B65" s="54" t="s">
        <v>972</v>
      </c>
      <c r="C65" s="60" t="n">
        <f aca="false">(C53*1000000*C59+C58*1000000*C60)/3600/C64</f>
        <v>502268.084432576</v>
      </c>
      <c r="D65" s="60" t="n">
        <f aca="false">(D53*1000000*D59+D58*1000000*D60)/3600/D64</f>
        <v>1933039.13646502</v>
      </c>
      <c r="E65" s="60" t="n">
        <f aca="false">(E53*1000000*E59+E58*1000000*E60)/3600/E64</f>
        <v>34534331.3625101</v>
      </c>
      <c r="F65" s="60" t="n">
        <f aca="false">(F53*1000000*F59+F58*1000000*F60)/3600/F64</f>
        <v>141871.836255624</v>
      </c>
      <c r="G65" s="60" t="n">
        <f aca="false">(G53*1000000*G59+G58*1000000*G60)/3600/G64</f>
        <v>522328.984927028</v>
      </c>
      <c r="H65" s="60" t="n">
        <f aca="false">(H53*1000000*H59+H58*1000000*H60)/3600/H64</f>
        <v>9267074.29934984</v>
      </c>
      <c r="I65" s="60" t="n">
        <f aca="false">(I53*1000000*I59+I58*1000000*I60)/3600/I64</f>
        <v>94581.224170416</v>
      </c>
      <c r="J65" s="60" t="n">
        <f aca="false">(J53*1000000*J59+J58*1000000*J60)/3600/J64</f>
        <v>348219.323284685</v>
      </c>
      <c r="K65" s="60" t="n">
        <f aca="false">(K53*1000000*K59+K58*1000000*K60)/3600/K64</f>
        <v>6409818.82271434</v>
      </c>
      <c r="L65" s="60" t="n">
        <f aca="false">(L53*1000000*L59+L58*1000000*L60)/3600/L64</f>
        <v>40255.4454936725</v>
      </c>
      <c r="M65" s="60" t="n">
        <f aca="false">(M53*1000000*M59+M58*1000000*M60)/3600/M64</f>
        <v>144250.356324291</v>
      </c>
      <c r="N65" s="60" t="n">
        <f aca="false">(N53*1000000*N59+N58*1000000*N60)/3600/N64</f>
        <v>2499943.50072969</v>
      </c>
      <c r="O65" s="60" t="n">
        <f aca="false">(O53*1000000*O59+O58*1000000*O60)/3600/O64</f>
        <v>20090.0787914024</v>
      </c>
      <c r="P65" s="60" t="n">
        <f aca="false">(P53*1000000*P59+P58*1000000*P60)/3600/P64</f>
        <v>71428.1057448491</v>
      </c>
      <c r="Q65" s="60" t="n">
        <f aca="false">(Q53*1000000*Q59+Q58*1000000*Q60)/3600/Q64</f>
        <v>1217805.10026137</v>
      </c>
    </row>
    <row r="66" customFormat="false" ht="15" hidden="false" customHeight="false" outlineLevel="0" collapsed="false">
      <c r="A66" s="54" t="s">
        <v>996</v>
      </c>
      <c r="B66" s="54" t="s">
        <v>272</v>
      </c>
      <c r="C66" s="137" t="n">
        <f aca="false">C53*1000000000000*C61*1000000000+C58*1000000000000*C62*1000000000</f>
        <v>9.37551472218829E+022</v>
      </c>
      <c r="D66" s="137" t="n">
        <f aca="false">D53*1000000000000*D61*1000000000+D58*1000000000000*D62*1000000000</f>
        <v>3.24315676724705E+023</v>
      </c>
      <c r="E66" s="137" t="n">
        <f aca="false">E53*1000000000000*E61*1000000000+E58*1000000000000*E62*1000000000</f>
        <v>5.12226782208E+024</v>
      </c>
      <c r="F66" s="137" t="n">
        <f aca="false">F53*1000000000000*F61*1000000000+F58*1000000000000*F62*1000000000</f>
        <v>9.37551472218829E+022</v>
      </c>
      <c r="G66" s="137" t="n">
        <f aca="false">G53*1000000000000*G61*1000000000+G58*1000000000000*G62*1000000000</f>
        <v>3.24315676724705E+023</v>
      </c>
      <c r="H66" s="137" t="n">
        <f aca="false">H53*1000000000000*H61*1000000000+H58*1000000000000*H62*1000000000</f>
        <v>5.12226782208E+024</v>
      </c>
      <c r="I66" s="137" t="n">
        <f aca="false">I53*1000000000000*I61*1000000000+I58*1000000000000*I62*1000000000</f>
        <v>9.37551472218829E+022</v>
      </c>
      <c r="J66" s="137" t="n">
        <f aca="false">J53*1000000000000*J61*1000000000+J58*1000000000000*J62*1000000000</f>
        <v>3.24315676724705E+023</v>
      </c>
      <c r="K66" s="137" t="n">
        <f aca="false">K53*1000000000000*K61*1000000000+K58*1000000000000*K62*1000000000</f>
        <v>5.12226782208E+024</v>
      </c>
      <c r="L66" s="137" t="n">
        <f aca="false">L53*1000000000000*L61*1000000000+L58*1000000000000*L62*1000000000</f>
        <v>9.37551472218829E+022</v>
      </c>
      <c r="M66" s="137" t="n">
        <f aca="false">M53*1000000000000*M61*1000000000+M58*1000000000000*M62*1000000000</f>
        <v>3.24315676724705E+023</v>
      </c>
      <c r="N66" s="137" t="n">
        <f aca="false">N53*1000000000000*N61*1000000000+N58*1000000000000*N62*1000000000</f>
        <v>5.12226782208E+024</v>
      </c>
      <c r="O66" s="137" t="n">
        <f aca="false">O53*1000000000000*O61*1000000000+O58*1000000000000*O62*1000000000</f>
        <v>9.37551472218829E+022</v>
      </c>
      <c r="P66" s="137" t="n">
        <f aca="false">P53*1000000000000*P61*1000000000+P58*1000000000000*P62*1000000000</f>
        <v>3.24315676724705E+023</v>
      </c>
      <c r="Q66" s="137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54" t="s">
        <v>997</v>
      </c>
      <c r="B67" s="54" t="s">
        <v>904</v>
      </c>
      <c r="C67" s="67" t="n">
        <f aca="false">C56*(C54+C55)/1000000000000</f>
        <v>3.54</v>
      </c>
      <c r="D67" s="67" t="n">
        <f aca="false">D56*(D54+D55)/1000000000000</f>
        <v>3.54</v>
      </c>
      <c r="E67" s="67" t="n">
        <f aca="false">E56*(E54+E55)/1000000000000</f>
        <v>14.4</v>
      </c>
      <c r="F67" s="67" t="n">
        <f aca="false">F56*(F54+F55)/1000000000000</f>
        <v>3.54</v>
      </c>
      <c r="G67" s="67" t="n">
        <f aca="false">G56*(G54+G55)/1000000000000</f>
        <v>3.54</v>
      </c>
      <c r="H67" s="67" t="n">
        <f aca="false">H56*(H54+H55)/1000000000000</f>
        <v>14.4</v>
      </c>
      <c r="I67" s="67" t="n">
        <f aca="false">I56*(I54+I55)/1000000000000</f>
        <v>3.54</v>
      </c>
      <c r="J67" s="67" t="n">
        <f aca="false">J56*(J54+J55)/1000000000000</f>
        <v>3.54</v>
      </c>
      <c r="K67" s="67" t="n">
        <f aca="false">K56*(K54+K55)/1000000000000</f>
        <v>14.4</v>
      </c>
      <c r="L67" s="67" t="n">
        <f aca="false">L56*(L54+L55)/1000000000000</f>
        <v>3.54</v>
      </c>
      <c r="M67" s="67" t="n">
        <f aca="false">M56*(M54+M55)/1000000000000</f>
        <v>3.54</v>
      </c>
      <c r="N67" s="67" t="n">
        <f aca="false">N56*(N54+N55)/1000000000000</f>
        <v>14.4</v>
      </c>
      <c r="O67" s="67" t="n">
        <f aca="false">O56*(O54+O55)/1000000000000</f>
        <v>3.54</v>
      </c>
      <c r="P67" s="67" t="n">
        <f aca="false">P56*(P54+P55)/1000000000000</f>
        <v>3.54</v>
      </c>
      <c r="Q67" s="67" t="n">
        <f aca="false">Q56*(Q54+Q55)/1000000000000</f>
        <v>14.4</v>
      </c>
    </row>
    <row r="68" customFormat="false" ht="15" hidden="false" customHeight="false" outlineLevel="0" collapsed="false">
      <c r="A68" s="54" t="s">
        <v>998</v>
      </c>
      <c r="B68" s="54" t="s">
        <v>249</v>
      </c>
      <c r="C68" s="60" t="n">
        <f aca="false">C24*IF(C25=0,(C54+C55)/2,MIN((C54+C55)/2,C25))+(1-C24)*((C54+C55)/2/C26+C27)</f>
        <v>2248.576</v>
      </c>
      <c r="D68" s="60" t="n">
        <f aca="false">D24*IF(D25=0,(D54+D55)/2,MIN((D54+D55)/2,D25))+(1-D24)*((D54+D55)/2/D26+D27)</f>
        <v>2192</v>
      </c>
      <c r="E68" s="60" t="n">
        <f aca="false">E24*IF(E25=0,(E54+E55)/2,MIN((E54+E55)/2,E25))+(1-E24)*((E54+E55)/2/E26+E27)</f>
        <v>24576</v>
      </c>
      <c r="F68" s="60" t="n">
        <f aca="false">F24*IF(F25=0,(F54+F55)/2,MIN((F54+F55)/2,F25))+(1-F24)*((F54+F55)/2/F26+F27)</f>
        <v>2248.576</v>
      </c>
      <c r="G68" s="60" t="n">
        <f aca="false">G24*IF(G25=0,(G54+G55)/2,MIN((G54+G55)/2,G25))+(1-G24)*((G54+G55)/2/G26+G27)</f>
        <v>2192</v>
      </c>
      <c r="H68" s="60" t="n">
        <f aca="false">H24*IF(H25=0,(H54+H55)/2,MIN((H54+H55)/2,H25))+(1-H24)*((H54+H55)/2/H26+H27)</f>
        <v>24576</v>
      </c>
      <c r="I68" s="60" t="n">
        <f aca="false">I24*IF(I25=0,(I54+I55)/2,MIN((I54+I55)/2,I25))+(1-I24)*((I54+I55)/2/I26+I27)</f>
        <v>2248.576</v>
      </c>
      <c r="J68" s="60" t="n">
        <f aca="false">J24*IF(J25=0,(J54+J55)/2,MIN((J54+J55)/2,J25))+(1-J24)*((J54+J55)/2/J26+J27)</f>
        <v>2192</v>
      </c>
      <c r="K68" s="60" t="n">
        <f aca="false">K24*IF(K25=0,(K54+K55)/2,MIN((K54+K55)/2,K25))+(1-K24)*((K54+K55)/2/K26+K27)</f>
        <v>24576</v>
      </c>
      <c r="L68" s="60" t="n">
        <f aca="false">L24*IF(L25=0,(L54+L55)/2,MIN((L54+L55)/2,L25))+(1-L24)*((L54+L55)/2/L26+L27)</f>
        <v>2248.576</v>
      </c>
      <c r="M68" s="60" t="n">
        <f aca="false">M24*IF(M25=0,(M54+M55)/2,MIN((M54+M55)/2,M25))+(1-M24)*((M54+M55)/2/M26+M27)</f>
        <v>2192</v>
      </c>
      <c r="N68" s="60" t="n">
        <f aca="false">N24*IF(N25=0,(N54+N55)/2,MIN((N54+N55)/2,N25))+(1-N24)*((N54+N55)/2/N26+N27)</f>
        <v>24576</v>
      </c>
      <c r="O68" s="60" t="n">
        <f aca="false">O24*IF(O25=0,(O54+O55)/2,MIN((O54+O55)/2,O25))+(1-O24)*((O54+O55)/2/O26+O27)</f>
        <v>2248.576</v>
      </c>
      <c r="P68" s="60" t="n">
        <f aca="false">P24*IF(P25=0,(P54+P55)/2,MIN((P54+P55)/2,P25))+(1-P24)*((P54+P55)/2/P26+P27)</f>
        <v>2192</v>
      </c>
      <c r="Q68" s="60" t="n">
        <f aca="false">Q24*IF(Q25=0,(Q54+Q55)/2,MIN((Q54+Q55)/2,Q25))+(1-Q24)*((Q54+Q55)/2/Q26+Q27)</f>
        <v>24576</v>
      </c>
    </row>
    <row r="69" customFormat="false" ht="15" hidden="false" customHeight="false" outlineLevel="0" collapsed="false">
      <c r="A69" s="54" t="s">
        <v>999</v>
      </c>
      <c r="B69" s="54" t="s">
        <v>448</v>
      </c>
      <c r="C69" s="67" t="n">
        <f aca="false">3*(2*C22*1000000000+C23*C68)*C28/1000000000</f>
        <v>116.019570597888</v>
      </c>
      <c r="D69" s="67" t="n">
        <f aca="false">3*(2*D22*1000000000+D23*D68)*D28/1000000000</f>
        <v>399.155395584</v>
      </c>
      <c r="E69" s="67" t="n">
        <f aca="false">3*(2*E22*1000000000+E23*E68)*E28/1000000000</f>
        <v>1442.3878656</v>
      </c>
      <c r="F69" s="67" t="n">
        <f aca="false">3*(2*F22*1000000000+F23*F68)*F28/1000000000</f>
        <v>116.019570597888</v>
      </c>
      <c r="G69" s="67" t="n">
        <f aca="false">3*(2*G22*1000000000+G23*G68)*G28/1000000000</f>
        <v>399.155395584</v>
      </c>
      <c r="H69" s="67" t="n">
        <f aca="false">3*(2*H22*1000000000+H23*H68)*H28/1000000000</f>
        <v>1442.3878656</v>
      </c>
      <c r="I69" s="67" t="n">
        <f aca="false">3*(2*I22*1000000000+I23*I68)*I28/1000000000</f>
        <v>116.019570597888</v>
      </c>
      <c r="J69" s="67" t="n">
        <f aca="false">3*(2*J22*1000000000+J23*J68)*J28/1000000000</f>
        <v>399.155395584</v>
      </c>
      <c r="K69" s="67" t="n">
        <f aca="false">3*(2*K22*1000000000+K23*K68)*K28/1000000000</f>
        <v>1442.3878656</v>
      </c>
      <c r="L69" s="67" t="n">
        <f aca="false">3*(2*L22*1000000000+L23*L68)*L28/1000000000</f>
        <v>116.019570597888</v>
      </c>
      <c r="M69" s="67" t="n">
        <f aca="false">3*(2*M22*1000000000+M23*M68)*M28/1000000000</f>
        <v>399.155395584</v>
      </c>
      <c r="N69" s="67" t="n">
        <f aca="false">3*(2*N22*1000000000+N23*N68)*N28/1000000000</f>
        <v>1442.3878656</v>
      </c>
      <c r="O69" s="67" t="n">
        <f aca="false">3*(2*O22*1000000000+O23*O68)*O28/1000000000</f>
        <v>116.019570597888</v>
      </c>
      <c r="P69" s="67" t="n">
        <f aca="false">3*(2*P22*1000000000+P23*P68)*P28/1000000000</f>
        <v>399.155395584</v>
      </c>
      <c r="Q69" s="67" t="n">
        <f aca="false">3*(2*Q22*1000000000+Q23*Q68)*Q28/1000000000</f>
        <v>1442.3878656</v>
      </c>
    </row>
    <row r="70" customFormat="false" ht="15" hidden="false" customHeight="false" outlineLevel="0" collapsed="false">
      <c r="A70" s="54" t="s">
        <v>1000</v>
      </c>
      <c r="B70" s="54" t="s">
        <v>272</v>
      </c>
      <c r="C70" s="137" t="n">
        <f aca="false">C69*1000000000*C67*1000000000000</f>
        <v>4.10709279916524E+023</v>
      </c>
      <c r="D70" s="137" t="n">
        <f aca="false">D69*1000000000*D67*1000000000000</f>
        <v>1.41301010036736E+024</v>
      </c>
      <c r="E70" s="137" t="n">
        <f aca="false">E69*1000000000*E67*1000000000000</f>
        <v>2.077038526464E+025</v>
      </c>
      <c r="F70" s="137" t="n">
        <f aca="false">F69*1000000000*F67*1000000000000</f>
        <v>4.10709279916524E+023</v>
      </c>
      <c r="G70" s="137" t="n">
        <f aca="false">G69*1000000000*G67*1000000000000</f>
        <v>1.41301010036736E+024</v>
      </c>
      <c r="H70" s="137" t="n">
        <f aca="false">H69*1000000000*H67*1000000000000</f>
        <v>2.077038526464E+025</v>
      </c>
      <c r="I70" s="137" t="n">
        <f aca="false">I69*1000000000*I67*1000000000000</f>
        <v>4.10709279916524E+023</v>
      </c>
      <c r="J70" s="137" t="n">
        <f aca="false">J69*1000000000*J67*1000000000000</f>
        <v>1.41301010036736E+024</v>
      </c>
      <c r="K70" s="137" t="n">
        <f aca="false">K69*1000000000*K67*1000000000000</f>
        <v>2.077038526464E+025</v>
      </c>
      <c r="L70" s="137" t="n">
        <f aca="false">L69*1000000000*L67*1000000000000</f>
        <v>4.10709279916524E+023</v>
      </c>
      <c r="M70" s="137" t="n">
        <f aca="false">M69*1000000000*M67*1000000000000</f>
        <v>1.41301010036736E+024</v>
      </c>
      <c r="N70" s="137" t="n">
        <f aca="false">N69*1000000000*N67*1000000000000</f>
        <v>2.077038526464E+025</v>
      </c>
      <c r="O70" s="137" t="n">
        <f aca="false">O69*1000000000*O67*1000000000000</f>
        <v>4.10709279916524E+023</v>
      </c>
      <c r="P70" s="137" t="n">
        <f aca="false">P69*1000000000*P67*1000000000000</f>
        <v>1.41301010036736E+024</v>
      </c>
      <c r="Q70" s="137" t="n">
        <f aca="false">Q69*1000000000*Q67*1000000000000</f>
        <v>2.077038526464E+025</v>
      </c>
    </row>
    <row r="71" customFormat="false" ht="15" hidden="false" customHeight="false" outlineLevel="0" collapsed="false">
      <c r="A71" s="54" t="s">
        <v>1001</v>
      </c>
      <c r="B71" s="54" t="s">
        <v>75</v>
      </c>
      <c r="C71" s="90" t="n">
        <f aca="false">Train_In!$C$9</f>
        <v>0.6</v>
      </c>
      <c r="D71" s="90" t="n">
        <f aca="false">Train_In!$C$9</f>
        <v>0.6</v>
      </c>
      <c r="E71" s="90" t="n">
        <f aca="false">Train_In!$C$9</f>
        <v>0.6</v>
      </c>
      <c r="F71" s="90" t="n">
        <f aca="false">Train_In!$C$9</f>
        <v>0.6</v>
      </c>
      <c r="G71" s="90" t="n">
        <f aca="false">Train_In!$C$9</f>
        <v>0.6</v>
      </c>
      <c r="H71" s="90" t="n">
        <f aca="false">Train_In!$C$9</f>
        <v>0.6</v>
      </c>
      <c r="I71" s="90" t="n">
        <f aca="false">Train_In!$C$9</f>
        <v>0.6</v>
      </c>
      <c r="J71" s="90" t="n">
        <f aca="false">Train_In!$C$9</f>
        <v>0.6</v>
      </c>
      <c r="K71" s="90" t="n">
        <f aca="false">Train_In!$C$9</f>
        <v>0.6</v>
      </c>
      <c r="L71" s="90" t="n">
        <f aca="false">Train_In!$C$9</f>
        <v>0.6</v>
      </c>
      <c r="M71" s="90" t="n">
        <f aca="false">Train_In!$C$9</f>
        <v>0.6</v>
      </c>
      <c r="N71" s="90" t="n">
        <f aca="false">Train_In!$C$9</f>
        <v>0.6</v>
      </c>
      <c r="O71" s="90" t="n">
        <f aca="false">Train_In!$C$9</f>
        <v>0.6</v>
      </c>
      <c r="P71" s="90" t="n">
        <f aca="false">Train_In!$C$9</f>
        <v>0.6</v>
      </c>
      <c r="Q71" s="90" t="n">
        <f aca="false">Train_In!$C$9</f>
        <v>0.6</v>
      </c>
    </row>
    <row r="72" customFormat="false" ht="15" hidden="false" customHeight="false" outlineLevel="0" collapsed="false">
      <c r="A72" s="54" t="s">
        <v>1002</v>
      </c>
      <c r="B72" s="54" t="s">
        <v>972</v>
      </c>
      <c r="C72" s="60" t="n">
        <f aca="false">C70/(C12*1000000000000000*C16*C71*C17)/3600</f>
        <v>427024.165171049</v>
      </c>
      <c r="D72" s="60" t="n">
        <f aca="false">D70/(D12*1000000000000000*D16*D71*D17)/3600</f>
        <v>1469140.06571819</v>
      </c>
      <c r="E72" s="60" t="n">
        <f aca="false">E70/(E12*1000000000000000*E16*E71*E17)/3600</f>
        <v>21595461.4653866</v>
      </c>
      <c r="F72" s="60" t="n">
        <f aca="false">F70/(F12*1000000000000000*F16*F71*F17)/3600</f>
        <v>169016.164574701</v>
      </c>
      <c r="G72" s="60" t="n">
        <f aca="false">G70/(G12*1000000000000000*G16*G71*G17)/3600</f>
        <v>581485.638011259</v>
      </c>
      <c r="H72" s="60" t="n">
        <f aca="false">H70/(H12*1000000000000000*H16*H71*H17)/3600</f>
        <v>8547483.648</v>
      </c>
      <c r="I72" s="60" t="n">
        <f aca="false">I70/(I12*1000000000000000*I16*I71*I17)/3600</f>
        <v>169016.164574701</v>
      </c>
      <c r="J72" s="60" t="n">
        <f aca="false">J70/(J12*1000000000000000*J16*J71*J17)/3600</f>
        <v>581485.638011259</v>
      </c>
      <c r="K72" s="60" t="n">
        <f aca="false">K70/(K12*1000000000000000*K16*K71*K17)/3600</f>
        <v>8547483.648</v>
      </c>
      <c r="L72" s="60" t="n">
        <f aca="false">L70/(L12*1000000000000000*L16*L71*L17)/3600</f>
        <v>53655.9252618099</v>
      </c>
      <c r="M72" s="60" t="n">
        <f aca="false">M70/(M12*1000000000000000*M16*M71*M17)/3600</f>
        <v>184598.61524167</v>
      </c>
      <c r="N72" s="60" t="n">
        <f aca="false">N70/(N12*1000000000000000*N16*N71*N17)/3600</f>
        <v>2713486.87238095</v>
      </c>
      <c r="O72" s="60" t="n">
        <f aca="false">O70/(O12*1000000000000000*O16*O71*O17)/3600</f>
        <v>26827.9626309049</v>
      </c>
      <c r="P72" s="60" t="n">
        <f aca="false">P70/(P12*1000000000000000*P16*P71*P17)/3600</f>
        <v>92299.3076208348</v>
      </c>
      <c r="Q72" s="60" t="n">
        <f aca="false">Q70/(Q12*1000000000000000*Q16*Q71*Q17)/3600</f>
        <v>1356743.43619048</v>
      </c>
    </row>
    <row r="73" customFormat="false" ht="15" hidden="false" customHeight="false" outlineLevel="0" collapsed="false">
      <c r="A73" s="53" t="s">
        <v>1003</v>
      </c>
      <c r="B73" s="53"/>
      <c r="C73" s="82" t="n">
        <f aca="false">Train_In!$C$10</f>
        <v>0</v>
      </c>
      <c r="D73" s="82" t="n">
        <f aca="false">Train_In!$C$10</f>
        <v>0</v>
      </c>
      <c r="E73" s="82" t="n">
        <f aca="false">Train_In!$C$10</f>
        <v>0</v>
      </c>
      <c r="F73" s="82" t="n">
        <f aca="false">Train_In!$C$10</f>
        <v>0</v>
      </c>
      <c r="G73" s="82" t="n">
        <f aca="false">Train_In!$C$10</f>
        <v>0</v>
      </c>
      <c r="H73" s="82" t="n">
        <f aca="false">Train_In!$C$10</f>
        <v>0</v>
      </c>
      <c r="I73" s="82" t="n">
        <f aca="false">Train_In!$C$10</f>
        <v>0</v>
      </c>
      <c r="J73" s="82" t="n">
        <f aca="false">Train_In!$C$10</f>
        <v>0</v>
      </c>
      <c r="K73" s="82" t="n">
        <f aca="false">Train_In!$C$10</f>
        <v>0</v>
      </c>
      <c r="L73" s="82" t="n">
        <f aca="false">Train_In!$C$10</f>
        <v>0</v>
      </c>
      <c r="M73" s="82" t="n">
        <f aca="false">Train_In!$C$10</f>
        <v>0</v>
      </c>
      <c r="N73" s="82" t="n">
        <f aca="false">Train_In!$C$10</f>
        <v>0</v>
      </c>
      <c r="O73" s="82" t="n">
        <f aca="false">Train_In!$C$10</f>
        <v>0</v>
      </c>
      <c r="P73" s="82" t="n">
        <f aca="false">Train_In!$C$10</f>
        <v>0</v>
      </c>
      <c r="Q73" s="82" t="n">
        <f aca="false">Train_In!$C$10</f>
        <v>0</v>
      </c>
    </row>
    <row r="74" customFormat="false" ht="15" hidden="false" customHeight="false" outlineLevel="0" collapsed="false">
      <c r="A74" s="53" t="s">
        <v>1004</v>
      </c>
      <c r="B74" s="54" t="s">
        <v>972</v>
      </c>
      <c r="C74" s="60" t="n">
        <f aca="false">C73*C72/3</f>
        <v>0</v>
      </c>
      <c r="D74" s="60" t="n">
        <f aca="false">D73*D72/3</f>
        <v>0</v>
      </c>
      <c r="E74" s="60" t="n">
        <f aca="false">E73*E72/3</f>
        <v>0</v>
      </c>
      <c r="F74" s="60" t="n">
        <f aca="false">F73*F72/3</f>
        <v>0</v>
      </c>
      <c r="G74" s="60" t="n">
        <f aca="false">G73*G72/3</f>
        <v>0</v>
      </c>
      <c r="H74" s="60" t="n">
        <f aca="false">H73*H72/3</f>
        <v>0</v>
      </c>
      <c r="I74" s="60" t="n">
        <f aca="false">I73*I72/3</f>
        <v>0</v>
      </c>
      <c r="J74" s="60" t="n">
        <f aca="false">J73*J72/3</f>
        <v>0</v>
      </c>
      <c r="K74" s="60" t="n">
        <f aca="false">K73*K72/3</f>
        <v>0</v>
      </c>
      <c r="L74" s="60" t="n">
        <f aca="false">L73*L72/3</f>
        <v>0</v>
      </c>
      <c r="M74" s="60" t="n">
        <f aca="false">M73*M72/3</f>
        <v>0</v>
      </c>
      <c r="N74" s="60" t="n">
        <f aca="false">N73*N72/3</f>
        <v>0</v>
      </c>
      <c r="O74" s="60" t="n">
        <f aca="false">O73*O72/3</f>
        <v>0</v>
      </c>
      <c r="P74" s="60" t="n">
        <f aca="false">P73*P72/3</f>
        <v>0</v>
      </c>
      <c r="Q74" s="60" t="n">
        <f aca="false">Q73*Q72/3</f>
        <v>0</v>
      </c>
    </row>
    <row r="75" customFormat="false" ht="15" hidden="false" customHeight="false" outlineLevel="0" collapsed="false">
      <c r="A75" s="54" t="s">
        <v>1005</v>
      </c>
      <c r="B75" s="54" t="s">
        <v>972</v>
      </c>
      <c r="C75" s="63" t="n">
        <f aca="false">C65+C72+C74</f>
        <v>929292.249603625</v>
      </c>
      <c r="D75" s="63" t="n">
        <f aca="false">D65+D72+D74</f>
        <v>3402179.20218321</v>
      </c>
      <c r="E75" s="63" t="n">
        <f aca="false">E65+E72+E74</f>
        <v>56129792.8278966</v>
      </c>
      <c r="F75" s="63" t="n">
        <f aca="false">F65+F72+F74</f>
        <v>310888.000830325</v>
      </c>
      <c r="G75" s="63" t="n">
        <f aca="false">G65+G72+G74</f>
        <v>1103814.62293829</v>
      </c>
      <c r="H75" s="63" t="n">
        <f aca="false">H65+H72+H74</f>
        <v>17814557.9473498</v>
      </c>
      <c r="I75" s="63" t="n">
        <f aca="false">I65+I72+I74</f>
        <v>263597.388745117</v>
      </c>
      <c r="J75" s="63" t="n">
        <f aca="false">J65+J72+J74</f>
        <v>929704.961295945</v>
      </c>
      <c r="K75" s="63" t="n">
        <f aca="false">K65+K72+K74</f>
        <v>14957302.4707143</v>
      </c>
      <c r="L75" s="63" t="n">
        <f aca="false">L65+L72+L74</f>
        <v>93911.3707554823</v>
      </c>
      <c r="M75" s="63" t="n">
        <f aca="false">M65+M72+M74</f>
        <v>328848.97156596</v>
      </c>
      <c r="N75" s="63" t="n">
        <f aca="false">N65+N72+N74</f>
        <v>5213430.37311065</v>
      </c>
      <c r="O75" s="63" t="n">
        <f aca="false">O65+O72+O74</f>
        <v>46918.0414223073</v>
      </c>
      <c r="P75" s="63" t="n">
        <f aca="false">P65+P72+P74</f>
        <v>163727.413365684</v>
      </c>
      <c r="Q75" s="63" t="n">
        <f aca="false">Q65+Q72+Q74</f>
        <v>2574548.53645185</v>
      </c>
    </row>
    <row r="76" customFormat="false" ht="15" hidden="false" customHeight="false" outlineLevel="0" collapsed="false">
      <c r="A76" s="54" t="s">
        <v>1006</v>
      </c>
      <c r="B76" s="54" t="s">
        <v>272</v>
      </c>
      <c r="C76" s="137" t="n">
        <f aca="false">C66+C70*(1+C73/3)</f>
        <v>5.04464427138406E+023</v>
      </c>
      <c r="D76" s="137" t="n">
        <f aca="false">D66+D70*(1+D73/3)</f>
        <v>1.73732577709207E+024</v>
      </c>
      <c r="E76" s="137" t="n">
        <f aca="false">E66+E70*(1+E73/3)</f>
        <v>2.589265308672E+025</v>
      </c>
      <c r="F76" s="137" t="n">
        <f aca="false">F66+F70*(1+F73/3)</f>
        <v>5.04464427138406E+023</v>
      </c>
      <c r="G76" s="137" t="n">
        <f aca="false">G66+G70*(1+G73/3)</f>
        <v>1.73732577709207E+024</v>
      </c>
      <c r="H76" s="137" t="n">
        <f aca="false">H66+H70*(1+H73/3)</f>
        <v>2.589265308672E+025</v>
      </c>
      <c r="I76" s="137" t="n">
        <f aca="false">I66+I70*(1+I73/3)</f>
        <v>5.04464427138406E+023</v>
      </c>
      <c r="J76" s="137" t="n">
        <f aca="false">J66+J70*(1+J73/3)</f>
        <v>1.73732577709207E+024</v>
      </c>
      <c r="K76" s="137" t="n">
        <f aca="false">K66+K70*(1+K73/3)</f>
        <v>2.589265308672E+025</v>
      </c>
      <c r="L76" s="137" t="n">
        <f aca="false">L66+L70*(1+L73/3)</f>
        <v>5.04464427138406E+023</v>
      </c>
      <c r="M76" s="137" t="n">
        <f aca="false">M66+M70*(1+M73/3)</f>
        <v>1.73732577709207E+024</v>
      </c>
      <c r="N76" s="137" t="n">
        <f aca="false">N66+N70*(1+N73/3)</f>
        <v>2.589265308672E+025</v>
      </c>
      <c r="O76" s="137" t="n">
        <f aca="false">O66+O70*(1+O73/3)</f>
        <v>5.04464427138406E+023</v>
      </c>
      <c r="P76" s="137" t="n">
        <f aca="false">P66+P70*(1+P73/3)</f>
        <v>1.73732577709207E+024</v>
      </c>
      <c r="Q76" s="137" t="n">
        <f aca="false">Q66+Q70*(1+Q73/3)</f>
        <v>2.589265308672E+025</v>
      </c>
    </row>
    <row r="77" customFormat="false" ht="15" hidden="false" customHeight="false" outlineLevel="0" collapsed="false">
      <c r="A77" s="54" t="s">
        <v>1007</v>
      </c>
      <c r="B77" s="54" t="s">
        <v>71</v>
      </c>
      <c r="C77" s="94" t="n">
        <f aca="false">C76/(C75*3600*C12*1000000000000000)</f>
        <v>0.0761956076461837</v>
      </c>
      <c r="D77" s="94" t="n">
        <f aca="false">D76/(D75*3600*D12*1000000000000000)</f>
        <v>0.0716763337592282</v>
      </c>
      <c r="E77" s="94" t="n">
        <f aca="false">E76/(E75*3600*E12*1000000000000000)</f>
        <v>0.0647492613469604</v>
      </c>
      <c r="F77" s="94" t="n">
        <f aca="false">F76/(F75*3600*F12*1000000000000000)</f>
        <v>0.0901475818714053</v>
      </c>
      <c r="G77" s="94" t="n">
        <f aca="false">G76/(G75*3600*G12*1000000000000000)</f>
        <v>0.0874404965486068</v>
      </c>
      <c r="H77" s="94" t="n">
        <f aca="false">H76/(H75*3600*H12*1000000000000000)</f>
        <v>0.0807474836755068</v>
      </c>
      <c r="I77" s="94" t="n">
        <f aca="false">I76/(I75*3600*I12*1000000000000000)</f>
        <v>0.106320482312473</v>
      </c>
      <c r="J77" s="94" t="n">
        <f aca="false">J76/(J75*3600*J12*1000000000000000)</f>
        <v>0.103815837007901</v>
      </c>
      <c r="K77" s="94" t="n">
        <f aca="false">K76/(K75*3600*K12*1000000000000000)</f>
        <v>0.0961724702603611</v>
      </c>
      <c r="L77" s="94" t="n">
        <f aca="false">L76/(L75*3600*L12*1000000000000000)</f>
        <v>0.0852652005281516</v>
      </c>
      <c r="M77" s="94" t="n">
        <f aca="false">M76/(M75*3600*M12*1000000000000000)</f>
        <v>0.0838579470237166</v>
      </c>
      <c r="N77" s="94" t="n">
        <f aca="false">N76/(N75*3600*N12*1000000000000000)</f>
        <v>0.0788337934960808</v>
      </c>
      <c r="O77" s="94" t="n">
        <f aca="false">O76/(O75*3600*O12*1000000000000000)</f>
        <v>0.0853336117258793</v>
      </c>
      <c r="P77" s="94" t="n">
        <f aca="false">P76/(P75*3600*P12*1000000000000000)</f>
        <v>0.0842149737466073</v>
      </c>
      <c r="Q77" s="94" t="n">
        <f aca="false">Q76/(Q75*3600*Q12*1000000000000000)</f>
        <v>0.0798187502820238</v>
      </c>
    </row>
    <row r="78" customFormat="false" ht="15" hidden="false" customHeight="false" outlineLevel="0" collapsed="false">
      <c r="A78" s="54" t="s">
        <v>1008</v>
      </c>
      <c r="B78" s="54" t="s">
        <v>75</v>
      </c>
      <c r="C78" s="97" t="n">
        <f aca="false">C75/C36</f>
        <v>0.413319701849183</v>
      </c>
      <c r="D78" s="97" t="n">
        <f aca="false">D75/D36</f>
        <v>0.421321877277866</v>
      </c>
      <c r="E78" s="97" t="n">
        <f aca="false">E75/E36</f>
        <v>1.31497217597881</v>
      </c>
      <c r="F78" s="97" t="n">
        <f aca="false">F75/F36</f>
        <v>0.349350977372445</v>
      </c>
      <c r="G78" s="97" t="n">
        <f aca="false">G75/G36</f>
        <v>0.345364089727531</v>
      </c>
      <c r="H78" s="97" t="n">
        <f aca="false">H75/H36</f>
        <v>1.05444124337784</v>
      </c>
      <c r="I78" s="97" t="n">
        <f aca="false">I75/I36</f>
        <v>0.296209583981951</v>
      </c>
      <c r="J78" s="97" t="n">
        <f aca="false">J75/J36</f>
        <v>0.2908882533359</v>
      </c>
      <c r="K78" s="97" t="n">
        <f aca="false">K75/K36</f>
        <v>0.885320683309161</v>
      </c>
      <c r="L78" s="97" t="n">
        <f aca="false">L75/L36</f>
        <v>0.332419686759852</v>
      </c>
      <c r="M78" s="97" t="n">
        <f aca="false">M75/M36</f>
        <v>0.324106750891038</v>
      </c>
      <c r="N78" s="97" t="n">
        <f aca="false">N75/N36</f>
        <v>0.972034022206469</v>
      </c>
      <c r="O78" s="97" t="n">
        <f aca="false">O75/O36</f>
        <v>0.332153188852878</v>
      </c>
      <c r="P78" s="97" t="n">
        <f aca="false">P75/P36</f>
        <v>0.322732710551306</v>
      </c>
      <c r="Q78" s="97" t="n">
        <f aca="false">Q75/Q36</f>
        <v>0.960039202656464</v>
      </c>
    </row>
    <row r="79" customFormat="false" ht="15" hidden="false" customHeight="false" outlineLevel="0" collapsed="false">
      <c r="A79" s="54" t="s">
        <v>1009</v>
      </c>
      <c r="B79" s="54" t="s">
        <v>75</v>
      </c>
      <c r="C79" s="69" t="n">
        <f aca="false">C76/C35</f>
        <v>0.139969537042391</v>
      </c>
      <c r="D79" s="69" t="n">
        <f aca="false">D76/D35</f>
        <v>0.134216922203702</v>
      </c>
      <c r="E79" s="69" t="n">
        <f aca="false">E76/E35</f>
        <v>0.37841545371748</v>
      </c>
      <c r="F79" s="69" t="n">
        <f aca="false">F76/F35</f>
        <v>0.139969537042391</v>
      </c>
      <c r="G79" s="69" t="n">
        <f aca="false">G76/G35</f>
        <v>0.134216922203702</v>
      </c>
      <c r="H79" s="69" t="n">
        <f aca="false">H76/H35</f>
        <v>0.37841545371748</v>
      </c>
      <c r="I79" s="69" t="n">
        <f aca="false">I76/I35</f>
        <v>0.139969537042391</v>
      </c>
      <c r="J79" s="69" t="n">
        <f aca="false">J76/J35</f>
        <v>0.134216922203702</v>
      </c>
      <c r="K79" s="69" t="n">
        <f aca="false">K76/K35</f>
        <v>0.37841545371748</v>
      </c>
      <c r="L79" s="69" t="n">
        <f aca="false">L76/L35</f>
        <v>0.139969537042391</v>
      </c>
      <c r="M79" s="69" t="n">
        <f aca="false">M76/M35</f>
        <v>0.134216922203702</v>
      </c>
      <c r="N79" s="69" t="n">
        <f aca="false">N76/N35</f>
        <v>0.37841545371748</v>
      </c>
      <c r="O79" s="69" t="n">
        <f aca="false">O76/O35</f>
        <v>0.139969537042391</v>
      </c>
      <c r="P79" s="69" t="n">
        <f aca="false">P76/P35</f>
        <v>0.134216922203702</v>
      </c>
      <c r="Q79" s="69" t="n">
        <f aca="false">Q76/Q35</f>
        <v>0.37841545371748</v>
      </c>
    </row>
    <row r="80" customFormat="false" ht="15" hidden="false" customHeight="false" outlineLevel="0" collapsed="false">
      <c r="A80" s="68" t="s">
        <v>1010</v>
      </c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</row>
    <row r="81" customFormat="false" ht="15" hidden="false" customHeight="false" outlineLevel="0" collapsed="false">
      <c r="A81" s="53" t="s">
        <v>1011</v>
      </c>
      <c r="B81" s="54" t="s">
        <v>904</v>
      </c>
      <c r="C81" s="88" t="n">
        <f aca="false">INDEX(Train_In!$C$35:$E$35,C$7)</f>
        <v>0.2</v>
      </c>
      <c r="D81" s="88" t="n">
        <f aca="false">INDEX(Train_In!$C$35:$E$35,D$7)</f>
        <v>0.2</v>
      </c>
      <c r="E81" s="88" t="n">
        <f aca="false">INDEX(Train_In!$C$35:$E$35,E$7)</f>
        <v>0.2</v>
      </c>
      <c r="F81" s="88" t="n">
        <f aca="false">INDEX(Train_In!$C$35:$E$35,F$7)</f>
        <v>0.2</v>
      </c>
      <c r="G81" s="88" t="n">
        <f aca="false">INDEX(Train_In!$C$35:$E$35,G$7)</f>
        <v>0.2</v>
      </c>
      <c r="H81" s="88" t="n">
        <f aca="false">INDEX(Train_In!$C$35:$E$35,H$7)</f>
        <v>0.2</v>
      </c>
      <c r="I81" s="88" t="n">
        <f aca="false">INDEX(Train_In!$C$35:$E$35,I$7)</f>
        <v>0.2</v>
      </c>
      <c r="J81" s="88" t="n">
        <f aca="false">INDEX(Train_In!$C$35:$E$35,J$7)</f>
        <v>0.2</v>
      </c>
      <c r="K81" s="88" t="n">
        <f aca="false">INDEX(Train_In!$C$35:$E$35,K$7)</f>
        <v>0.2</v>
      </c>
      <c r="L81" s="88" t="n">
        <f aca="false">INDEX(Train_In!$C$35:$E$35,L$7)</f>
        <v>0.2</v>
      </c>
      <c r="M81" s="88" t="n">
        <f aca="false">INDEX(Train_In!$C$35:$E$35,M$7)</f>
        <v>0.2</v>
      </c>
      <c r="N81" s="88" t="n">
        <f aca="false">INDEX(Train_In!$C$35:$E$35,N$7)</f>
        <v>0.2</v>
      </c>
      <c r="O81" s="88" t="n">
        <f aca="false">INDEX(Train_In!$C$35:$E$35,O$7)</f>
        <v>0.2</v>
      </c>
      <c r="P81" s="88" t="n">
        <f aca="false">INDEX(Train_In!$C$35:$E$35,P$7)</f>
        <v>0.2</v>
      </c>
      <c r="Q81" s="88" t="n">
        <f aca="false">INDEX(Train_In!$C$35:$E$35,Q$7)</f>
        <v>0.2</v>
      </c>
    </row>
    <row r="82" customFormat="false" ht="15" hidden="false" customHeight="false" outlineLevel="0" collapsed="false">
      <c r="A82" s="53" t="s">
        <v>1012</v>
      </c>
      <c r="B82" s="53"/>
      <c r="C82" s="82" t="n">
        <f aca="false">INDEX(Train_In!$C$36:$E$36,C$7)</f>
        <v>1</v>
      </c>
      <c r="D82" s="82" t="n">
        <f aca="false">INDEX(Train_In!$C$36:$E$36,D$7)</f>
        <v>2</v>
      </c>
      <c r="E82" s="82" t="n">
        <f aca="false">INDEX(Train_In!$C$36:$E$36,E$7)</f>
        <v>3</v>
      </c>
      <c r="F82" s="82" t="n">
        <f aca="false">INDEX(Train_In!$C$36:$E$36,F$7)</f>
        <v>1</v>
      </c>
      <c r="G82" s="82" t="n">
        <f aca="false">INDEX(Train_In!$C$36:$E$36,G$7)</f>
        <v>2</v>
      </c>
      <c r="H82" s="82" t="n">
        <f aca="false">INDEX(Train_In!$C$36:$E$36,H$7)</f>
        <v>3</v>
      </c>
      <c r="I82" s="82" t="n">
        <f aca="false">INDEX(Train_In!$C$36:$E$36,I$7)</f>
        <v>1</v>
      </c>
      <c r="J82" s="82" t="n">
        <f aca="false">INDEX(Train_In!$C$36:$E$36,J$7)</f>
        <v>2</v>
      </c>
      <c r="K82" s="82" t="n">
        <f aca="false">INDEX(Train_In!$C$36:$E$36,K$7)</f>
        <v>3</v>
      </c>
      <c r="L82" s="82" t="n">
        <f aca="false">INDEX(Train_In!$C$36:$E$36,L$7)</f>
        <v>1</v>
      </c>
      <c r="M82" s="82" t="n">
        <f aca="false">INDEX(Train_In!$C$36:$E$36,M$7)</f>
        <v>2</v>
      </c>
      <c r="N82" s="82" t="n">
        <f aca="false">INDEX(Train_In!$C$36:$E$36,N$7)</f>
        <v>3</v>
      </c>
      <c r="O82" s="82" t="n">
        <f aca="false">INDEX(Train_In!$C$36:$E$36,O$7)</f>
        <v>1</v>
      </c>
      <c r="P82" s="82" t="n">
        <f aca="false">INDEX(Train_In!$C$36:$E$36,P$7)</f>
        <v>2</v>
      </c>
      <c r="Q82" s="82" t="n">
        <f aca="false">INDEX(Train_In!$C$36:$E$36,Q$7)</f>
        <v>3</v>
      </c>
    </row>
    <row r="83" customFormat="false" ht="15" hidden="false" customHeight="false" outlineLevel="0" collapsed="false">
      <c r="A83" s="53" t="s">
        <v>1013</v>
      </c>
      <c r="B83" s="54" t="s">
        <v>904</v>
      </c>
      <c r="C83" s="64" t="n">
        <f aca="false">C81*1000000000000/C55*(C54+C55)/1000000000000</f>
        <v>0.3</v>
      </c>
      <c r="D83" s="64" t="n">
        <f aca="false">D81*1000000000000/D55*(D54+D55)/1000000000000</f>
        <v>0.3</v>
      </c>
      <c r="E83" s="64" t="n">
        <f aca="false">E81*1000000000000/E55*(E54+E55)/1000000000000</f>
        <v>0.3</v>
      </c>
      <c r="F83" s="64" t="n">
        <f aca="false">F81*1000000000000/F55*(F54+F55)/1000000000000</f>
        <v>0.3</v>
      </c>
      <c r="G83" s="64" t="n">
        <f aca="false">G81*1000000000000/G55*(G54+G55)/1000000000000</f>
        <v>0.3</v>
      </c>
      <c r="H83" s="64" t="n">
        <f aca="false">H81*1000000000000/H55*(H54+H55)/1000000000000</f>
        <v>0.3</v>
      </c>
      <c r="I83" s="64" t="n">
        <f aca="false">I81*1000000000000/I55*(I54+I55)/1000000000000</f>
        <v>0.3</v>
      </c>
      <c r="J83" s="64" t="n">
        <f aca="false">J81*1000000000000/J55*(J54+J55)/1000000000000</f>
        <v>0.3</v>
      </c>
      <c r="K83" s="64" t="n">
        <f aca="false">K81*1000000000000/K55*(K54+K55)/1000000000000</f>
        <v>0.3</v>
      </c>
      <c r="L83" s="64" t="n">
        <f aca="false">L81*1000000000000/L55*(L54+L55)/1000000000000</f>
        <v>0.3</v>
      </c>
      <c r="M83" s="64" t="n">
        <f aca="false">M81*1000000000000/M55*(M54+M55)/1000000000000</f>
        <v>0.3</v>
      </c>
      <c r="N83" s="64" t="n">
        <f aca="false">N81*1000000000000/N55*(N54+N55)/1000000000000</f>
        <v>0.3</v>
      </c>
      <c r="O83" s="64" t="n">
        <f aca="false">O81*1000000000000/O55*(O54+O55)/1000000000000</f>
        <v>0.3</v>
      </c>
      <c r="P83" s="64" t="n">
        <f aca="false">P81*1000000000000/P55*(P54+P55)/1000000000000</f>
        <v>0.3</v>
      </c>
      <c r="Q83" s="64" t="n">
        <f aca="false">Q81*1000000000000/Q55*(Q54+Q55)/1000000000000</f>
        <v>0.3</v>
      </c>
    </row>
    <row r="84" customFormat="false" ht="15" hidden="false" customHeight="false" outlineLevel="0" collapsed="false">
      <c r="A84" s="53" t="s">
        <v>1014</v>
      </c>
      <c r="B84" s="54" t="s">
        <v>754</v>
      </c>
      <c r="C84" s="91" t="n">
        <f aca="false">INDEX(Perf_Batch!$C$101:$Q$101,3*(C$6-1)+C82)</f>
        <v>108.884175050246</v>
      </c>
      <c r="D84" s="91" t="n">
        <f aca="false">INDEX(Perf_Batch!$C$101:$Q$101,3*(D$6-1)+D82)</f>
        <v>443.292452124732</v>
      </c>
      <c r="E84" s="91" t="n">
        <f aca="false">INDEX(Perf_Batch!$C$101:$Q$101,3*(E$6-1)+E82)</f>
        <v>1349.05735894843</v>
      </c>
      <c r="F84" s="91" t="n">
        <f aca="false">INDEX(Perf_Batch!$C$101:$Q$101,3*(F$6-1)+F82)</f>
        <v>10.7686449124693</v>
      </c>
      <c r="G84" s="91" t="n">
        <f aca="false">INDEX(Perf_Batch!$C$101:$Q$101,3*(G$6-1)+G82)</f>
        <v>43.841623515136</v>
      </c>
      <c r="H84" s="91" t="n">
        <f aca="false">INDEX(Perf_Batch!$C$101:$Q$101,3*(H$6-1)+H82)</f>
        <v>133.4217728</v>
      </c>
      <c r="I84" s="91" t="n">
        <f aca="false">INDEX(Perf_Batch!$C$101:$Q$101,3*(I$6-1)+I82)</f>
        <v>7.17909660831289</v>
      </c>
      <c r="J84" s="91" t="n">
        <f aca="false">INDEX(Perf_Batch!$C$101:$Q$101,3*(J$6-1)+J82)</f>
        <v>29.2277490100907</v>
      </c>
      <c r="K84" s="91" t="n">
        <f aca="false">INDEX(Perf_Batch!$C$101:$Q$101,3*(K$6-1)+K82)</f>
        <v>88.9478485333333</v>
      </c>
      <c r="L84" s="91" t="n">
        <f aca="false">INDEX(Perf_Batch!$C$101:$Q$101,3*(L$6-1)+L82)</f>
        <v>3.07675568927695</v>
      </c>
      <c r="M84" s="91" t="n">
        <f aca="false">INDEX(Perf_Batch!$C$101:$Q$101,3*(M$6-1)+M82)</f>
        <v>12.5261781471817</v>
      </c>
      <c r="N84" s="91" t="n">
        <f aca="false">INDEX(Perf_Batch!$C$101:$Q$101,3*(N$6-1)+N82)</f>
        <v>38.1205065142857</v>
      </c>
      <c r="O84" s="91" t="n">
        <f aca="false">INDEX(Perf_Batch!$C$101:$Q$101,3*(O$6-1)+O82)</f>
        <v>1.53837784463848</v>
      </c>
      <c r="P84" s="91" t="n">
        <f aca="false">INDEX(Perf_Batch!$C$101:$Q$101,3*(P$6-1)+P82)</f>
        <v>6.26308907359086</v>
      </c>
      <c r="Q84" s="91" t="n">
        <f aca="false">INDEX(Perf_Batch!$C$101:$Q$101,3*(Q$6-1)+Q82)</f>
        <v>19.0602532571429</v>
      </c>
    </row>
    <row r="85" customFormat="false" ht="15" hidden="false" customHeight="false" outlineLevel="0" collapsed="false">
      <c r="A85" s="53" t="s">
        <v>1015</v>
      </c>
      <c r="B85" s="54" t="s">
        <v>448</v>
      </c>
      <c r="C85" s="91" t="n">
        <f aca="false">INDEX(Perf_Batch!$C$67:$Q$67,3*(C$6-1)+C82)</f>
        <v>32.305934737408</v>
      </c>
      <c r="D85" s="91" t="n">
        <f aca="false">INDEX(Perf_Batch!$C$67:$Q$67,3*(D$6-1)+D82)</f>
        <v>131.524870545408</v>
      </c>
      <c r="E85" s="91" t="n">
        <f aca="false">INDEX(Perf_Batch!$C$67:$Q$67,3*(E$6-1)+E82)</f>
        <v>400.2653184</v>
      </c>
      <c r="F85" s="91" t="n">
        <f aca="false">INDEX(Perf_Batch!$C$67:$Q$67,3*(F$6-1)+F82)</f>
        <v>32.305934737408</v>
      </c>
      <c r="G85" s="91" t="n">
        <f aca="false">INDEX(Perf_Batch!$C$67:$Q$67,3*(G$6-1)+G82)</f>
        <v>131.524870545408</v>
      </c>
      <c r="H85" s="91" t="n">
        <f aca="false">INDEX(Perf_Batch!$C$67:$Q$67,3*(H$6-1)+H82)</f>
        <v>400.2653184</v>
      </c>
      <c r="I85" s="91" t="n">
        <f aca="false">INDEX(Perf_Batch!$C$67:$Q$67,3*(I$6-1)+I82)</f>
        <v>32.305934737408</v>
      </c>
      <c r="J85" s="91" t="n">
        <f aca="false">INDEX(Perf_Batch!$C$67:$Q$67,3*(J$6-1)+J82)</f>
        <v>131.524870545408</v>
      </c>
      <c r="K85" s="91" t="n">
        <f aca="false">INDEX(Perf_Batch!$C$67:$Q$67,3*(K$6-1)+K82)</f>
        <v>400.2653184</v>
      </c>
      <c r="L85" s="91" t="n">
        <f aca="false">INDEX(Perf_Batch!$C$67:$Q$67,3*(L$6-1)+L82)</f>
        <v>32.305934737408</v>
      </c>
      <c r="M85" s="91" t="n">
        <f aca="false">INDEX(Perf_Batch!$C$67:$Q$67,3*(M$6-1)+M82)</f>
        <v>131.524870545408</v>
      </c>
      <c r="N85" s="91" t="n">
        <f aca="false">INDEX(Perf_Batch!$C$67:$Q$67,3*(N$6-1)+N82)</f>
        <v>400.2653184</v>
      </c>
      <c r="O85" s="91" t="n">
        <f aca="false">INDEX(Perf_Batch!$C$67:$Q$67,3*(O$6-1)+O82)</f>
        <v>32.305934737408</v>
      </c>
      <c r="P85" s="91" t="n">
        <f aca="false">INDEX(Perf_Batch!$C$67:$Q$67,3*(P$6-1)+P82)</f>
        <v>131.524870545408</v>
      </c>
      <c r="Q85" s="91" t="n">
        <f aca="false">INDEX(Perf_Batch!$C$67:$Q$67,3*(Q$6-1)+Q82)</f>
        <v>400.2653184</v>
      </c>
    </row>
    <row r="86" customFormat="false" ht="15" hidden="false" customHeight="false" outlineLevel="0" collapsed="false">
      <c r="A86" s="53" t="s">
        <v>1016</v>
      </c>
      <c r="B86" s="54" t="s">
        <v>972</v>
      </c>
      <c r="C86" s="60" t="n">
        <f aca="false">C81*1000000*C59/3600/C64</f>
        <v>42342.6977526788</v>
      </c>
      <c r="D86" s="60" t="n">
        <f aca="false">D81*1000000*D59/3600/D64</f>
        <v>162911.458381488</v>
      </c>
      <c r="E86" s="60" t="n">
        <f aca="false">E81*1000000*E59/3600/E64</f>
        <v>716709.809106729</v>
      </c>
      <c r="F86" s="60" t="n">
        <f aca="false">F81*1000000*F59/3600/F64</f>
        <v>12001.0421895401</v>
      </c>
      <c r="G86" s="60" t="n">
        <f aca="false">G81*1000000*G59/3600/G64</f>
        <v>44175.6224144917</v>
      </c>
      <c r="H86" s="60" t="n">
        <f aca="false">H81*1000000*H59/3600/H64</f>
        <v>192791.536112272</v>
      </c>
      <c r="I86" s="60" t="n">
        <f aca="false">I81*1000000*I59/3600/I64</f>
        <v>8000.69479302675</v>
      </c>
      <c r="J86" s="60" t="n">
        <f aca="false">J81*1000000*J59/3600/J64</f>
        <v>29450.4149429944</v>
      </c>
      <c r="K86" s="60" t="n">
        <f aca="false">K81*1000000*K59/3600/K64</f>
        <v>133356.217612649</v>
      </c>
      <c r="L86" s="60" t="n">
        <f aca="false">L81*1000000*L59/3600/L64</f>
        <v>3405.1942084456</v>
      </c>
      <c r="M86" s="60" t="n">
        <f aca="false">M81*1000000*M59/3600/M64</f>
        <v>12199.0219539707</v>
      </c>
      <c r="N86" s="60" t="n">
        <f aca="false">N81*1000000*N59/3600/N64</f>
        <v>52004.2957535306</v>
      </c>
      <c r="O86" s="60" t="n">
        <f aca="false">O81*1000000*O59/3600/O64</f>
        <v>1699.40693850807</v>
      </c>
      <c r="P86" s="60" t="n">
        <f aca="false">P81*1000000*P59/3600/P64</f>
        <v>6040.43704331619</v>
      </c>
      <c r="Q86" s="60" t="n">
        <f aca="false">Q81*1000000*Q59/3600/Q64</f>
        <v>25332.0093329429</v>
      </c>
    </row>
    <row r="87" customFormat="false" ht="15" hidden="false" customHeight="false" outlineLevel="0" collapsed="false">
      <c r="A87" s="53" t="s">
        <v>1017</v>
      </c>
      <c r="B87" s="54" t="s">
        <v>972</v>
      </c>
      <c r="C87" s="60" t="n">
        <f aca="false">C83*1000000*C84/3600</f>
        <v>9073.68125418717</v>
      </c>
      <c r="D87" s="60" t="n">
        <f aca="false">D83*1000000*D84/3600</f>
        <v>36941.037677061</v>
      </c>
      <c r="E87" s="60" t="n">
        <f aca="false">E83*1000000*E84/3600</f>
        <v>112421.446579036</v>
      </c>
      <c r="F87" s="60" t="n">
        <f aca="false">F83*1000000*F84/3600</f>
        <v>897.387076039111</v>
      </c>
      <c r="G87" s="60" t="n">
        <f aca="false">G83*1000000*G84/3600</f>
        <v>3653.46862626133</v>
      </c>
      <c r="H87" s="60" t="n">
        <f aca="false">H83*1000000*H84/3600</f>
        <v>11118.4810666667</v>
      </c>
      <c r="I87" s="60" t="n">
        <f aca="false">I83*1000000*I84/3600</f>
        <v>598.258050692741</v>
      </c>
      <c r="J87" s="60" t="n">
        <f aca="false">J83*1000000*J84/3600</f>
        <v>2435.64575084089</v>
      </c>
      <c r="K87" s="60" t="n">
        <f aca="false">K83*1000000*K84/3600</f>
        <v>7412.32071111111</v>
      </c>
      <c r="L87" s="60" t="n">
        <f aca="false">L83*1000000*L84/3600</f>
        <v>256.396307439746</v>
      </c>
      <c r="M87" s="60" t="n">
        <f aca="false">M83*1000000*M84/3600</f>
        <v>1043.84817893181</v>
      </c>
      <c r="N87" s="60" t="n">
        <f aca="false">N83*1000000*N84/3600</f>
        <v>3176.70887619048</v>
      </c>
      <c r="O87" s="60" t="n">
        <f aca="false">O83*1000000*O84/3600</f>
        <v>128.198153719873</v>
      </c>
      <c r="P87" s="60" t="n">
        <f aca="false">P83*1000000*P84/3600</f>
        <v>521.924089465905</v>
      </c>
      <c r="Q87" s="60" t="n">
        <f aca="false">Q83*1000000*Q84/3600</f>
        <v>1588.35443809524</v>
      </c>
    </row>
    <row r="88" customFormat="false" ht="15" hidden="false" customHeight="false" outlineLevel="0" collapsed="false">
      <c r="A88" s="53" t="s">
        <v>1018</v>
      </c>
      <c r="B88" s="54" t="s">
        <v>272</v>
      </c>
      <c r="C88" s="137" t="n">
        <f aca="false">C69*1000000000*C83*1000000000000</f>
        <v>3.48058711793664E+022</v>
      </c>
      <c r="D88" s="137" t="n">
        <f aca="false">D69*1000000000*D83*1000000000000</f>
        <v>1.197466186752E+023</v>
      </c>
      <c r="E88" s="137" t="n">
        <f aca="false">E69*1000000000*E83*1000000000000</f>
        <v>4.3271635968E+023</v>
      </c>
      <c r="F88" s="137" t="n">
        <f aca="false">F69*1000000000*F83*1000000000000</f>
        <v>3.48058711793664E+022</v>
      </c>
      <c r="G88" s="137" t="n">
        <f aca="false">G69*1000000000*G83*1000000000000</f>
        <v>1.197466186752E+023</v>
      </c>
      <c r="H88" s="137" t="n">
        <f aca="false">H69*1000000000*H83*1000000000000</f>
        <v>4.3271635968E+023</v>
      </c>
      <c r="I88" s="137" t="n">
        <f aca="false">I69*1000000000*I83*1000000000000</f>
        <v>3.48058711793664E+022</v>
      </c>
      <c r="J88" s="137" t="n">
        <f aca="false">J69*1000000000*J83*1000000000000</f>
        <v>1.197466186752E+023</v>
      </c>
      <c r="K88" s="137" t="n">
        <f aca="false">K69*1000000000*K83*1000000000000</f>
        <v>4.3271635968E+023</v>
      </c>
      <c r="L88" s="137" t="n">
        <f aca="false">L69*1000000000*L83*1000000000000</f>
        <v>3.48058711793664E+022</v>
      </c>
      <c r="M88" s="137" t="n">
        <f aca="false">M69*1000000000*M83*1000000000000</f>
        <v>1.197466186752E+023</v>
      </c>
      <c r="N88" s="137" t="n">
        <f aca="false">N69*1000000000*N83*1000000000000</f>
        <v>4.3271635968E+023</v>
      </c>
      <c r="O88" s="137" t="n">
        <f aca="false">O69*1000000000*O83*1000000000000</f>
        <v>3.48058711793664E+022</v>
      </c>
      <c r="P88" s="137" t="n">
        <f aca="false">P69*1000000000*P83*1000000000000</f>
        <v>1.197466186752E+023</v>
      </c>
      <c r="Q88" s="137" t="n">
        <f aca="false">Q69*1000000000*Q83*1000000000000</f>
        <v>4.3271635968E+023</v>
      </c>
    </row>
    <row r="89" customFormat="false" ht="15" hidden="false" customHeight="false" outlineLevel="0" collapsed="false">
      <c r="A89" s="53" t="s">
        <v>1019</v>
      </c>
      <c r="B89" s="54" t="s">
        <v>972</v>
      </c>
      <c r="C89" s="60" t="n">
        <f aca="false">C88/(C12*1000000000000000*C16*C71*C17)/3600</f>
        <v>36188.4885738177</v>
      </c>
      <c r="D89" s="60" t="n">
        <f aca="false">D88/(D12*1000000000000000*D16*D71*D17)/3600</f>
        <v>124503.395399847</v>
      </c>
      <c r="E89" s="60" t="n">
        <f aca="false">E88/(E12*1000000000000000*E16*E71*E17)/3600</f>
        <v>449905.447195553</v>
      </c>
      <c r="F89" s="60" t="n">
        <f aca="false">F88/(F12*1000000000000000*F16*F71*F17)/3600</f>
        <v>14323.403777517</v>
      </c>
      <c r="G89" s="60" t="n">
        <f aca="false">G88/(G12*1000000000000000*G16*G71*G17)/3600</f>
        <v>49278.4438992593</v>
      </c>
      <c r="H89" s="60" t="n">
        <f aca="false">H88/(H12*1000000000000000*H16*H71*H17)/3600</f>
        <v>178072.576</v>
      </c>
      <c r="I89" s="60" t="n">
        <f aca="false">I88/(I12*1000000000000000*I16*I71*I17)/3600</f>
        <v>14323.403777517</v>
      </c>
      <c r="J89" s="60" t="n">
        <f aca="false">J88/(J12*1000000000000000*J16*J71*J17)/3600</f>
        <v>49278.4438992593</v>
      </c>
      <c r="K89" s="60" t="n">
        <f aca="false">K88/(K12*1000000000000000*K16*K71*K17)/3600</f>
        <v>178072.576</v>
      </c>
      <c r="L89" s="60" t="n">
        <f aca="false">L88/(L12*1000000000000000*L16*L71*L17)/3600</f>
        <v>4547.11231032287</v>
      </c>
      <c r="M89" s="60" t="n">
        <f aca="false">M88/(M12*1000000000000000*M16*M71*M17)/3600</f>
        <v>15643.9504442093</v>
      </c>
      <c r="N89" s="60" t="n">
        <f aca="false">N88/(N12*1000000000000000*N16*N71*N17)/3600</f>
        <v>56530.9765079365</v>
      </c>
      <c r="O89" s="60" t="n">
        <f aca="false">O88/(O12*1000000000000000*O16*O71*O17)/3600</f>
        <v>2273.55615516143</v>
      </c>
      <c r="P89" s="60" t="n">
        <f aca="false">P88/(P12*1000000000000000*P16*P71*P17)/3600</f>
        <v>7821.97522210464</v>
      </c>
      <c r="Q89" s="60" t="n">
        <f aca="false">Q88/(Q12*1000000000000000*Q16*Q71*Q17)/3600</f>
        <v>28265.4882539683</v>
      </c>
    </row>
    <row r="90" customFormat="false" ht="15" hidden="false" customHeight="false" outlineLevel="0" collapsed="false">
      <c r="A90" s="53" t="s">
        <v>1020</v>
      </c>
      <c r="B90" s="54" t="s">
        <v>972</v>
      </c>
      <c r="C90" s="60" t="n">
        <f aca="false">C86+C87+C89</f>
        <v>87604.8675806837</v>
      </c>
      <c r="D90" s="60" t="n">
        <f aca="false">D86+D87+D89</f>
        <v>324355.891458395</v>
      </c>
      <c r="E90" s="60" t="n">
        <f aca="false">E86+E87+E89</f>
        <v>1279036.70288132</v>
      </c>
      <c r="F90" s="60" t="n">
        <f aca="false">F86+F87+F89</f>
        <v>27221.8330430963</v>
      </c>
      <c r="G90" s="60" t="n">
        <f aca="false">G86+G87+G89</f>
        <v>97107.5349400122</v>
      </c>
      <c r="H90" s="60" t="n">
        <f aca="false">H86+H87+H89</f>
        <v>381982.593178939</v>
      </c>
      <c r="I90" s="60" t="n">
        <f aca="false">I86+I87+I89</f>
        <v>22922.3566212365</v>
      </c>
      <c r="J90" s="60" t="n">
        <f aca="false">J86+J87+J89</f>
        <v>81164.5045930946</v>
      </c>
      <c r="K90" s="60" t="n">
        <f aca="false">K86+K87+K89</f>
        <v>318841.11432376</v>
      </c>
      <c r="L90" s="60" t="n">
        <f aca="false">L86+L87+L89</f>
        <v>8208.70282620821</v>
      </c>
      <c r="M90" s="60" t="n">
        <f aca="false">M86+M87+M89</f>
        <v>28886.8205771118</v>
      </c>
      <c r="N90" s="60" t="n">
        <f aca="false">N86+N87+N89</f>
        <v>111711.981137658</v>
      </c>
      <c r="O90" s="60" t="n">
        <f aca="false">O86+O87+O89</f>
        <v>4101.16124738937</v>
      </c>
      <c r="P90" s="60" t="n">
        <f aca="false">P86+P87+P89</f>
        <v>14384.3363548867</v>
      </c>
      <c r="Q90" s="60" t="n">
        <f aca="false">Q86+Q87+Q89</f>
        <v>55185.8520250064</v>
      </c>
    </row>
    <row r="91" customFormat="false" ht="15" hidden="false" customHeight="false" outlineLevel="0" collapsed="false">
      <c r="A91" s="53" t="s">
        <v>1021</v>
      </c>
      <c r="B91" s="54" t="s">
        <v>272</v>
      </c>
      <c r="C91" s="137" t="n">
        <f aca="false">C81*1000000000000*C61*1000000000+C83*1000000000000*C85*1000000000+C88</f>
        <v>5.22410909679616E+022</v>
      </c>
      <c r="D91" s="137" t="n">
        <f aca="false">D81*1000000000000*D61*1000000000+D83*1000000000000*D85*1000000000+D88</f>
        <v>1.85866428781363E+023</v>
      </c>
      <c r="E91" s="137" t="n">
        <f aca="false">E81*1000000000000*E61*1000000000+E83*1000000000000*E85*1000000000+E88</f>
        <v>6.5700820992E+023</v>
      </c>
      <c r="F91" s="137" t="n">
        <f aca="false">F81*1000000000000*F61*1000000000+F83*1000000000000*F85*1000000000+F88</f>
        <v>5.22410909679616E+022</v>
      </c>
      <c r="G91" s="137" t="n">
        <f aca="false">G81*1000000000000*G61*1000000000+G83*1000000000000*G85*1000000000+G88</f>
        <v>1.85866428781363E+023</v>
      </c>
      <c r="H91" s="137" t="n">
        <f aca="false">H81*1000000000000*H61*1000000000+H83*1000000000000*H85*1000000000+H88</f>
        <v>6.5700820992E+023</v>
      </c>
      <c r="I91" s="137" t="n">
        <f aca="false">I81*1000000000000*I61*1000000000+I83*1000000000000*I85*1000000000+I88</f>
        <v>5.22410909679616E+022</v>
      </c>
      <c r="J91" s="137" t="n">
        <f aca="false">J81*1000000000000*J61*1000000000+J83*1000000000000*J85*1000000000+J88</f>
        <v>1.85866428781363E+023</v>
      </c>
      <c r="K91" s="137" t="n">
        <f aca="false">K81*1000000000000*K61*1000000000+K83*1000000000000*K85*1000000000+K88</f>
        <v>6.5700820992E+023</v>
      </c>
      <c r="L91" s="137" t="n">
        <f aca="false">L81*1000000000000*L61*1000000000+L83*1000000000000*L85*1000000000+L88</f>
        <v>5.22410909679616E+022</v>
      </c>
      <c r="M91" s="137" t="n">
        <f aca="false">M81*1000000000000*M61*1000000000+M83*1000000000000*M85*1000000000+M88</f>
        <v>1.85866428781363E+023</v>
      </c>
      <c r="N91" s="137" t="n">
        <f aca="false">N81*1000000000000*N61*1000000000+N83*1000000000000*N85*1000000000+N88</f>
        <v>6.5700820992E+023</v>
      </c>
      <c r="O91" s="137" t="n">
        <f aca="false">O81*1000000000000*O61*1000000000+O83*1000000000000*O85*1000000000+O88</f>
        <v>5.22410909679616E+022</v>
      </c>
      <c r="P91" s="137" t="n">
        <f aca="false">P81*1000000000000*P61*1000000000+P83*1000000000000*P85*1000000000+P88</f>
        <v>1.85866428781363E+023</v>
      </c>
      <c r="Q91" s="137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68" t="s">
        <v>1022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</row>
    <row r="93" customFormat="false" ht="15" hidden="false" customHeight="false" outlineLevel="0" collapsed="false">
      <c r="A93" s="53" t="s">
        <v>1023</v>
      </c>
      <c r="B93" s="54" t="s">
        <v>904</v>
      </c>
      <c r="C93" s="91" t="n">
        <f aca="false">INDEX(Train_In!$C$37:$E$37,C$7)</f>
        <v>1</v>
      </c>
      <c r="D93" s="91" t="n">
        <f aca="false">INDEX(Train_In!$C$37:$E$37,D$7)</f>
        <v>2</v>
      </c>
      <c r="E93" s="91" t="n">
        <f aca="false">INDEX(Train_In!$C$37:$E$37,E$7)</f>
        <v>3</v>
      </c>
      <c r="F93" s="91" t="n">
        <f aca="false">INDEX(Train_In!$C$37:$E$37,F$7)</f>
        <v>1</v>
      </c>
      <c r="G93" s="91" t="n">
        <f aca="false">INDEX(Train_In!$C$37:$E$37,G$7)</f>
        <v>2</v>
      </c>
      <c r="H93" s="91" t="n">
        <f aca="false">INDEX(Train_In!$C$37:$E$37,H$7)</f>
        <v>3</v>
      </c>
      <c r="I93" s="91" t="n">
        <f aca="false">INDEX(Train_In!$C$37:$E$37,I$7)</f>
        <v>1</v>
      </c>
      <c r="J93" s="91" t="n">
        <f aca="false">INDEX(Train_In!$C$37:$E$37,J$7)</f>
        <v>2</v>
      </c>
      <c r="K93" s="91" t="n">
        <f aca="false">INDEX(Train_In!$C$37:$E$37,K$7)</f>
        <v>3</v>
      </c>
      <c r="L93" s="91" t="n">
        <f aca="false">INDEX(Train_In!$C$37:$E$37,L$7)</f>
        <v>1</v>
      </c>
      <c r="M93" s="91" t="n">
        <f aca="false">INDEX(Train_In!$C$37:$E$37,M$7)</f>
        <v>2</v>
      </c>
      <c r="N93" s="91" t="n">
        <f aca="false">INDEX(Train_In!$C$37:$E$37,N$7)</f>
        <v>3</v>
      </c>
      <c r="O93" s="91" t="n">
        <f aca="false">INDEX(Train_In!$C$37:$E$37,O$7)</f>
        <v>1</v>
      </c>
      <c r="P93" s="91" t="n">
        <f aca="false">INDEX(Train_In!$C$37:$E$37,P$7)</f>
        <v>2</v>
      </c>
      <c r="Q93" s="91" t="n">
        <f aca="false">INDEX(Train_In!$C$37:$E$37,Q$7)</f>
        <v>3</v>
      </c>
    </row>
    <row r="94" customFormat="false" ht="15" hidden="false" customHeight="false" outlineLevel="0" collapsed="false">
      <c r="A94" s="53" t="s">
        <v>1024</v>
      </c>
      <c r="B94" s="53"/>
      <c r="C94" s="82" t="n">
        <f aca="false">Train_In!$C$15</f>
        <v>3</v>
      </c>
      <c r="D94" s="82" t="n">
        <f aca="false">Train_In!$C$15</f>
        <v>3</v>
      </c>
      <c r="E94" s="82" t="n">
        <f aca="false">Train_In!$C$15</f>
        <v>3</v>
      </c>
      <c r="F94" s="82" t="n">
        <f aca="false">Train_In!$C$15</f>
        <v>3</v>
      </c>
      <c r="G94" s="82" t="n">
        <f aca="false">Train_In!$C$15</f>
        <v>3</v>
      </c>
      <c r="H94" s="82" t="n">
        <f aca="false">Train_In!$C$15</f>
        <v>3</v>
      </c>
      <c r="I94" s="82" t="n">
        <f aca="false">Train_In!$C$15</f>
        <v>3</v>
      </c>
      <c r="J94" s="82" t="n">
        <f aca="false">Train_In!$C$15</f>
        <v>3</v>
      </c>
      <c r="K94" s="82" t="n">
        <f aca="false">Train_In!$C$15</f>
        <v>3</v>
      </c>
      <c r="L94" s="82" t="n">
        <f aca="false">Train_In!$C$15</f>
        <v>3</v>
      </c>
      <c r="M94" s="82" t="n">
        <f aca="false">Train_In!$C$15</f>
        <v>3</v>
      </c>
      <c r="N94" s="82" t="n">
        <f aca="false">Train_In!$C$15</f>
        <v>3</v>
      </c>
      <c r="O94" s="82" t="n">
        <f aca="false">Train_In!$C$15</f>
        <v>3</v>
      </c>
      <c r="P94" s="82" t="n">
        <f aca="false">Train_In!$C$15</f>
        <v>3</v>
      </c>
      <c r="Q94" s="82" t="n">
        <f aca="false">Train_In!$C$15</f>
        <v>3</v>
      </c>
    </row>
    <row r="95" customFormat="false" ht="15" hidden="false" customHeight="false" outlineLevel="0" collapsed="false">
      <c r="A95" s="53" t="s">
        <v>1025</v>
      </c>
      <c r="B95" s="54" t="s">
        <v>754</v>
      </c>
      <c r="C95" s="91" t="n">
        <f aca="false">INDEX(Perf_Batch!$C$103:$Q$103,3*(C$6-1)+C94)</f>
        <v>10965.660079333</v>
      </c>
      <c r="D95" s="91" t="n">
        <f aca="false">INDEX(Perf_Batch!$C$103:$Q$103,3*(D$6-1)+D94)</f>
        <v>10965.660079333</v>
      </c>
      <c r="E95" s="91" t="n">
        <f aca="false">INDEX(Perf_Batch!$C$103:$Q$103,3*(E$6-1)+E94)</f>
        <v>10965.660079333</v>
      </c>
      <c r="F95" s="91" t="n">
        <f aca="false">INDEX(Perf_Batch!$C$103:$Q$103,3*(F$6-1)+F94)</f>
        <v>2949.71050251776</v>
      </c>
      <c r="G95" s="91" t="n">
        <f aca="false">INDEX(Perf_Batch!$C$103:$Q$103,3*(G$6-1)+G94)</f>
        <v>2949.71050251776</v>
      </c>
      <c r="H95" s="91" t="n">
        <f aca="false">INDEX(Perf_Batch!$C$103:$Q$103,3*(H$6-1)+H94)</f>
        <v>2949.71050251776</v>
      </c>
      <c r="I95" s="91" t="n">
        <f aca="false">INDEX(Perf_Batch!$C$103:$Q$103,3*(I$6-1)+I94)</f>
        <v>2040.35012947353</v>
      </c>
      <c r="J95" s="91" t="n">
        <f aca="false">INDEX(Perf_Batch!$C$103:$Q$103,3*(J$6-1)+J94)</f>
        <v>2040.35012947353</v>
      </c>
      <c r="K95" s="91" t="n">
        <f aca="false">INDEX(Perf_Batch!$C$103:$Q$103,3*(K$6-1)+K94)</f>
        <v>2040.35012947353</v>
      </c>
      <c r="L95" s="91" t="n">
        <f aca="false">INDEX(Perf_Batch!$C$103:$Q$103,3*(L$6-1)+L94)</f>
        <v>795.665725029018</v>
      </c>
      <c r="M95" s="91" t="n">
        <f aca="false">INDEX(Perf_Batch!$C$103:$Q$103,3*(M$6-1)+M94)</f>
        <v>795.665725029018</v>
      </c>
      <c r="N95" s="91" t="n">
        <f aca="false">INDEX(Perf_Batch!$C$103:$Q$103,3*(N$6-1)+N94)</f>
        <v>795.665725029018</v>
      </c>
      <c r="O95" s="91" t="n">
        <f aca="false">INDEX(Perf_Batch!$C$103:$Q$103,3*(O$6-1)+O94)</f>
        <v>387.579742794027</v>
      </c>
      <c r="P95" s="91" t="n">
        <f aca="false">INDEX(Perf_Batch!$C$103:$Q$103,3*(P$6-1)+P94)</f>
        <v>387.579742794027</v>
      </c>
      <c r="Q95" s="91" t="n">
        <f aca="false">INDEX(Perf_Batch!$C$103:$Q$103,3*(Q$6-1)+Q94)</f>
        <v>387.579742794027</v>
      </c>
    </row>
    <row r="96" customFormat="false" ht="15" hidden="false" customHeight="false" outlineLevel="0" collapsed="false">
      <c r="A96" s="53" t="s">
        <v>1026</v>
      </c>
      <c r="B96" s="54" t="s">
        <v>448</v>
      </c>
      <c r="C96" s="91" t="n">
        <f aca="false">INDEX(Perf_Batch!$C$65:$Q$65,3*(C$6-1)+C94)</f>
        <v>521.0612736</v>
      </c>
      <c r="D96" s="91" t="n">
        <f aca="false">INDEX(Perf_Batch!$C$65:$Q$65,3*(D$6-1)+D94)</f>
        <v>521.0612736</v>
      </c>
      <c r="E96" s="91" t="n">
        <f aca="false">INDEX(Perf_Batch!$C$65:$Q$65,3*(E$6-1)+E94)</f>
        <v>521.0612736</v>
      </c>
      <c r="F96" s="91" t="n">
        <f aca="false">INDEX(Perf_Batch!$C$65:$Q$65,3*(F$6-1)+F94)</f>
        <v>521.0612736</v>
      </c>
      <c r="G96" s="91" t="n">
        <f aca="false">INDEX(Perf_Batch!$C$65:$Q$65,3*(G$6-1)+G94)</f>
        <v>521.0612736</v>
      </c>
      <c r="H96" s="91" t="n">
        <f aca="false">INDEX(Perf_Batch!$C$65:$Q$65,3*(H$6-1)+H94)</f>
        <v>521.0612736</v>
      </c>
      <c r="I96" s="91" t="n">
        <f aca="false">INDEX(Perf_Batch!$C$65:$Q$65,3*(I$6-1)+I94)</f>
        <v>521.0612736</v>
      </c>
      <c r="J96" s="91" t="n">
        <f aca="false">INDEX(Perf_Batch!$C$65:$Q$65,3*(J$6-1)+J94)</f>
        <v>521.0612736</v>
      </c>
      <c r="K96" s="91" t="n">
        <f aca="false">INDEX(Perf_Batch!$C$65:$Q$65,3*(K$6-1)+K94)</f>
        <v>521.0612736</v>
      </c>
      <c r="L96" s="91" t="n">
        <f aca="false">INDEX(Perf_Batch!$C$65:$Q$65,3*(L$6-1)+L94)</f>
        <v>521.0612736</v>
      </c>
      <c r="M96" s="91" t="n">
        <f aca="false">INDEX(Perf_Batch!$C$65:$Q$65,3*(M$6-1)+M94)</f>
        <v>521.0612736</v>
      </c>
      <c r="N96" s="91" t="n">
        <f aca="false">INDEX(Perf_Batch!$C$65:$Q$65,3*(N$6-1)+N94)</f>
        <v>521.0612736</v>
      </c>
      <c r="O96" s="91" t="n">
        <f aca="false">INDEX(Perf_Batch!$C$65:$Q$65,3*(O$6-1)+O94)</f>
        <v>521.0612736</v>
      </c>
      <c r="P96" s="91" t="n">
        <f aca="false">INDEX(Perf_Batch!$C$65:$Q$65,3*(P$6-1)+P94)</f>
        <v>521.0612736</v>
      </c>
      <c r="Q96" s="91" t="n">
        <f aca="false">INDEX(Perf_Batch!$C$65:$Q$65,3*(Q$6-1)+Q94)</f>
        <v>521.0612736</v>
      </c>
    </row>
    <row r="97" customFormat="false" ht="15" hidden="false" customHeight="false" outlineLevel="0" collapsed="false">
      <c r="A97" s="53" t="s">
        <v>1027</v>
      </c>
      <c r="B97" s="54" t="s">
        <v>972</v>
      </c>
      <c r="C97" s="60" t="n">
        <f aca="false">C93*1000000*C95/3600</f>
        <v>3046016.6887036</v>
      </c>
      <c r="D97" s="60" t="n">
        <f aca="false">D93*1000000*D95/3600</f>
        <v>6092033.3774072</v>
      </c>
      <c r="E97" s="60" t="n">
        <f aca="false">E93*1000000*E95/3600</f>
        <v>9138050.06611079</v>
      </c>
      <c r="F97" s="60" t="n">
        <f aca="false">F93*1000000*F95/3600</f>
        <v>819364.028477156</v>
      </c>
      <c r="G97" s="60" t="n">
        <f aca="false">G93*1000000*G95/3600</f>
        <v>1638728.05695431</v>
      </c>
      <c r="H97" s="60" t="n">
        <f aca="false">H93*1000000*H95/3600</f>
        <v>2458092.08543147</v>
      </c>
      <c r="I97" s="60" t="n">
        <f aca="false">I93*1000000*I95/3600</f>
        <v>566763.924853758</v>
      </c>
      <c r="J97" s="60" t="n">
        <f aca="false">J93*1000000*J95/3600</f>
        <v>1133527.84970752</v>
      </c>
      <c r="K97" s="60" t="n">
        <f aca="false">K93*1000000*K95/3600</f>
        <v>1700291.77456127</v>
      </c>
      <c r="L97" s="60" t="n">
        <f aca="false">L93*1000000*L95/3600</f>
        <v>221018.256952505</v>
      </c>
      <c r="M97" s="60" t="n">
        <f aca="false">M93*1000000*M95/3600</f>
        <v>442036.51390501</v>
      </c>
      <c r="N97" s="60" t="n">
        <f aca="false">N93*1000000*N95/3600</f>
        <v>663054.770857515</v>
      </c>
      <c r="O97" s="60" t="n">
        <f aca="false">O93*1000000*O95/3600</f>
        <v>107661.039665007</v>
      </c>
      <c r="P97" s="60" t="n">
        <f aca="false">P93*1000000*P95/3600</f>
        <v>215322.079330015</v>
      </c>
      <c r="Q97" s="60" t="n">
        <f aca="false">Q93*1000000*Q95/3600</f>
        <v>322983.118995022</v>
      </c>
    </row>
    <row r="98" customFormat="false" ht="15" hidden="false" customHeight="false" outlineLevel="0" collapsed="false">
      <c r="A98" s="53" t="s">
        <v>1028</v>
      </c>
      <c r="B98" s="54" t="s">
        <v>272</v>
      </c>
      <c r="C98" s="137" t="n">
        <f aca="false">C93*1000000000000*C96*1000000000</f>
        <v>5.210612736E+023</v>
      </c>
      <c r="D98" s="137" t="n">
        <f aca="false">D93*1000000000000*D96*1000000000</f>
        <v>1.0421225472E+024</v>
      </c>
      <c r="E98" s="137" t="n">
        <f aca="false">E93*1000000000000*E96*1000000000</f>
        <v>1.5631838208E+024</v>
      </c>
      <c r="F98" s="137" t="n">
        <f aca="false">F93*1000000000000*F96*1000000000</f>
        <v>5.210612736E+023</v>
      </c>
      <c r="G98" s="137" t="n">
        <f aca="false">G93*1000000000000*G96*1000000000</f>
        <v>1.0421225472E+024</v>
      </c>
      <c r="H98" s="137" t="n">
        <f aca="false">H93*1000000000000*H96*1000000000</f>
        <v>1.5631838208E+024</v>
      </c>
      <c r="I98" s="137" t="n">
        <f aca="false">I93*1000000000000*I96*1000000000</f>
        <v>5.210612736E+023</v>
      </c>
      <c r="J98" s="137" t="n">
        <f aca="false">J93*1000000000000*J96*1000000000</f>
        <v>1.0421225472E+024</v>
      </c>
      <c r="K98" s="137" t="n">
        <f aca="false">K93*1000000000000*K96*1000000000</f>
        <v>1.5631838208E+024</v>
      </c>
      <c r="L98" s="137" t="n">
        <f aca="false">L93*1000000000000*L96*1000000000</f>
        <v>5.210612736E+023</v>
      </c>
      <c r="M98" s="137" t="n">
        <f aca="false">M93*1000000000000*M96*1000000000</f>
        <v>1.0421225472E+024</v>
      </c>
      <c r="N98" s="137" t="n">
        <f aca="false">N93*1000000000000*N96*1000000000</f>
        <v>1.5631838208E+024</v>
      </c>
      <c r="O98" s="137" t="n">
        <f aca="false">O93*1000000000000*O96*1000000000</f>
        <v>5.210612736E+023</v>
      </c>
      <c r="P98" s="137" t="n">
        <f aca="false">P93*1000000000000*P96*1000000000</f>
        <v>1.0421225472E+024</v>
      </c>
      <c r="Q98" s="137" t="n">
        <f aca="false">Q93*1000000000000*Q96*1000000000</f>
        <v>1.5631838208E+024</v>
      </c>
    </row>
    <row r="99" customFormat="false" ht="15" hidden="false" customHeight="false" outlineLevel="0" collapsed="false">
      <c r="A99" s="53" t="s">
        <v>927</v>
      </c>
      <c r="B99" s="54" t="s">
        <v>904</v>
      </c>
      <c r="C99" s="88" t="n">
        <f aca="false">INDEX(Train_In!$C$38:$E$38,C$7)</f>
        <v>0.02</v>
      </c>
      <c r="D99" s="88" t="n">
        <f aca="false">INDEX(Train_In!$C$38:$E$38,D$7)</f>
        <v>0.05</v>
      </c>
      <c r="E99" s="88" t="n">
        <f aca="false">INDEX(Train_In!$C$38:$E$38,E$7)</f>
        <v>0.1</v>
      </c>
      <c r="F99" s="88" t="n">
        <f aca="false">INDEX(Train_In!$C$38:$E$38,F$7)</f>
        <v>0.02</v>
      </c>
      <c r="G99" s="88" t="n">
        <f aca="false">INDEX(Train_In!$C$38:$E$38,G$7)</f>
        <v>0.05</v>
      </c>
      <c r="H99" s="88" t="n">
        <f aca="false">INDEX(Train_In!$C$38:$E$38,H$7)</f>
        <v>0.1</v>
      </c>
      <c r="I99" s="88" t="n">
        <f aca="false">INDEX(Train_In!$C$38:$E$38,I$7)</f>
        <v>0.02</v>
      </c>
      <c r="J99" s="88" t="n">
        <f aca="false">INDEX(Train_In!$C$38:$E$38,J$7)</f>
        <v>0.05</v>
      </c>
      <c r="K99" s="88" t="n">
        <f aca="false">INDEX(Train_In!$C$38:$E$38,K$7)</f>
        <v>0.1</v>
      </c>
      <c r="L99" s="88" t="n">
        <f aca="false">INDEX(Train_In!$C$38:$E$38,L$7)</f>
        <v>0.02</v>
      </c>
      <c r="M99" s="88" t="n">
        <f aca="false">INDEX(Train_In!$C$38:$E$38,M$7)</f>
        <v>0.05</v>
      </c>
      <c r="N99" s="88" t="n">
        <f aca="false">INDEX(Train_In!$C$38:$E$38,N$7)</f>
        <v>0.1</v>
      </c>
      <c r="O99" s="88" t="n">
        <f aca="false">INDEX(Train_In!$C$38:$E$38,O$7)</f>
        <v>0.02</v>
      </c>
      <c r="P99" s="88" t="n">
        <f aca="false">INDEX(Train_In!$C$38:$E$38,P$7)</f>
        <v>0.05</v>
      </c>
      <c r="Q99" s="88" t="n">
        <f aca="false">INDEX(Train_In!$C$38:$E$38,Q$7)</f>
        <v>0.1</v>
      </c>
    </row>
    <row r="100" customFormat="false" ht="15" hidden="false" customHeight="false" outlineLevel="0" collapsed="false">
      <c r="A100" s="53" t="s">
        <v>1029</v>
      </c>
      <c r="B100" s="54" t="s">
        <v>972</v>
      </c>
      <c r="C100" s="60" t="n">
        <f aca="false">C99*1000000*C59/3600</f>
        <v>3599.1293089777</v>
      </c>
      <c r="D100" s="60" t="n">
        <f aca="false">D99*1000000*D59/3600</f>
        <v>34618.6849060661</v>
      </c>
      <c r="E100" s="60" t="n">
        <f aca="false">E99*1000000*E59/3600</f>
        <v>304601.66887036</v>
      </c>
      <c r="F100" s="60" t="n">
        <f aca="false">F99*1000000*F59/3600</f>
        <v>1020.08858611091</v>
      </c>
      <c r="G100" s="60" t="n">
        <f aca="false">G99*1000000*G59/3600</f>
        <v>9387.31976307948</v>
      </c>
      <c r="H100" s="60" t="n">
        <f aca="false">H99*1000000*H59/3600</f>
        <v>81936.4028477156</v>
      </c>
      <c r="I100" s="60" t="n">
        <f aca="false">I99*1000000*I59/3600</f>
        <v>680.059057407274</v>
      </c>
      <c r="J100" s="60" t="n">
        <f aca="false">J99*1000000*J59/3600</f>
        <v>6258.21317538632</v>
      </c>
      <c r="K100" s="60" t="n">
        <f aca="false">K99*1000000*K59/3600</f>
        <v>56676.3924853758</v>
      </c>
      <c r="L100" s="60" t="n">
        <f aca="false">L99*1000000*L59/3600</f>
        <v>289.441507717876</v>
      </c>
      <c r="M100" s="60" t="n">
        <f aca="false">M99*1000000*M59/3600</f>
        <v>2592.29216521878</v>
      </c>
      <c r="N100" s="60" t="n">
        <f aca="false">N99*1000000*N59/3600</f>
        <v>22101.8256952505</v>
      </c>
      <c r="O100" s="60" t="n">
        <f aca="false">O99*1000000*O59/3600</f>
        <v>144.449589773186</v>
      </c>
      <c r="P100" s="60" t="n">
        <f aca="false">P99*1000000*P59/3600</f>
        <v>1283.59287170469</v>
      </c>
      <c r="Q100" s="60" t="n">
        <f aca="false">Q99*1000000*Q59/3600</f>
        <v>10766.1039665007</v>
      </c>
    </row>
    <row r="101" customFormat="false" ht="15" hidden="false" customHeight="false" outlineLevel="0" collapsed="false">
      <c r="A101" s="53" t="s">
        <v>1030</v>
      </c>
      <c r="B101" s="54" t="s">
        <v>272</v>
      </c>
      <c r="C101" s="137" t="n">
        <f aca="false">C99*1000000000000*C61*1000000000</f>
        <v>7.7434393673728E+020</v>
      </c>
      <c r="D101" s="137" t="n">
        <f aca="false">D99*1000000000000*D61*1000000000</f>
        <v>6.6655872356352E+021</v>
      </c>
      <c r="E101" s="137" t="n">
        <f aca="false">E99*1000000000000*E61*1000000000</f>
        <v>5.210612736E+022</v>
      </c>
      <c r="F101" s="137" t="n">
        <f aca="false">F99*1000000000000*F61*1000000000</f>
        <v>7.7434393673728E+020</v>
      </c>
      <c r="G101" s="137" t="n">
        <f aca="false">G99*1000000000000*G61*1000000000</f>
        <v>6.6655872356352E+021</v>
      </c>
      <c r="H101" s="137" t="n">
        <f aca="false">H99*1000000000000*H61*1000000000</f>
        <v>5.210612736E+022</v>
      </c>
      <c r="I101" s="137" t="n">
        <f aca="false">I99*1000000000000*I61*1000000000</f>
        <v>7.7434393673728E+020</v>
      </c>
      <c r="J101" s="137" t="n">
        <f aca="false">J99*1000000000000*J61*1000000000</f>
        <v>6.6655872356352E+021</v>
      </c>
      <c r="K101" s="137" t="n">
        <f aca="false">K99*1000000000000*K61*1000000000</f>
        <v>5.210612736E+022</v>
      </c>
      <c r="L101" s="137" t="n">
        <f aca="false">L99*1000000000000*L61*1000000000</f>
        <v>7.7434393673728E+020</v>
      </c>
      <c r="M101" s="137" t="n">
        <f aca="false">M99*1000000000000*M61*1000000000</f>
        <v>6.6655872356352E+021</v>
      </c>
      <c r="N101" s="137" t="n">
        <f aca="false">N99*1000000000000*N61*1000000000</f>
        <v>5.210612736E+022</v>
      </c>
      <c r="O101" s="137" t="n">
        <f aca="false">O99*1000000000000*O61*1000000000</f>
        <v>7.7434393673728E+020</v>
      </c>
      <c r="P101" s="137" t="n">
        <f aca="false">P99*1000000000000*P61*1000000000</f>
        <v>6.6655872356352E+021</v>
      </c>
      <c r="Q101" s="137" t="n">
        <f aca="false">Q99*1000000000000*Q61*1000000000</f>
        <v>5.210612736E+022</v>
      </c>
    </row>
    <row r="102" customFormat="false" ht="15" hidden="false" customHeight="false" outlineLevel="0" collapsed="false">
      <c r="A102" s="68" t="s">
        <v>1031</v>
      </c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</row>
    <row r="103" customFormat="false" ht="15" hidden="false" customHeight="false" outlineLevel="0" collapsed="false">
      <c r="A103" s="53" t="s">
        <v>1032</v>
      </c>
      <c r="B103" s="54" t="s">
        <v>972</v>
      </c>
      <c r="C103" s="60" t="n">
        <f aca="false">C36+C43</f>
        <v>2323127.22501969</v>
      </c>
      <c r="D103" s="60" t="n">
        <f aca="false">D36+D43</f>
        <v>8330343.13024751</v>
      </c>
      <c r="E103" s="60" t="n">
        <f aca="false">E36+E43</f>
        <v>45238344.5556117</v>
      </c>
      <c r="F103" s="60" t="n">
        <f aca="false">F36+F43</f>
        <v>919493.755662791</v>
      </c>
      <c r="G103" s="60" t="n">
        <f aca="false">G36+G43</f>
        <v>3297149.81095196</v>
      </c>
      <c r="H103" s="60" t="n">
        <f aca="false">H36+H43</f>
        <v>17905336.7751111</v>
      </c>
      <c r="I103" s="60" t="n">
        <f aca="false">I36+I43</f>
        <v>919493.755662791</v>
      </c>
      <c r="J103" s="60" t="n">
        <f aca="false">J36+J43</f>
        <v>3297149.81095196</v>
      </c>
      <c r="K103" s="60" t="n">
        <f aca="false">K36+K43</f>
        <v>17905336.7751111</v>
      </c>
      <c r="L103" s="60" t="n">
        <f aca="false">L36+L43</f>
        <v>291902.779575489</v>
      </c>
      <c r="M103" s="60" t="n">
        <f aca="false">M36+M43</f>
        <v>1046714.22569904</v>
      </c>
      <c r="N103" s="60" t="n">
        <f aca="false">N36+N43</f>
        <v>5684233.89686067</v>
      </c>
      <c r="O103" s="60" t="n">
        <f aca="false">O36+O43</f>
        <v>145951.389787745</v>
      </c>
      <c r="P103" s="60" t="n">
        <f aca="false">P36+P43</f>
        <v>523357.112849518</v>
      </c>
      <c r="Q103" s="60" t="n">
        <f aca="false">Q36+Q43</f>
        <v>2842116.94843034</v>
      </c>
    </row>
    <row r="104" customFormat="false" ht="15" hidden="false" customHeight="false" outlineLevel="0" collapsed="false">
      <c r="A104" s="53" t="s">
        <v>1033</v>
      </c>
      <c r="B104" s="54" t="s">
        <v>972</v>
      </c>
      <c r="C104" s="60" t="n">
        <f aca="false">C51+C75+C90</f>
        <v>1021425.82566466</v>
      </c>
      <c r="D104" s="60" t="n">
        <f aca="false">D51+D75+D90</f>
        <v>3742067.61244357</v>
      </c>
      <c r="E104" s="60" t="n">
        <f aca="false">E51+E75+E90</f>
        <v>57502466.7302614</v>
      </c>
      <c r="F104" s="60" t="n">
        <f aca="false">F51+F75+F90</f>
        <v>339902.296689943</v>
      </c>
      <c r="G104" s="60" t="n">
        <f aca="false">G51+G75+G90</f>
        <v>1207069.92882012</v>
      </c>
      <c r="H104" s="60" t="n">
        <f aca="false">H51+H75+H90</f>
        <v>18233602.1440843</v>
      </c>
      <c r="I104" s="60" t="n">
        <f aca="false">I51+I75+I90</f>
        <v>288312.208182875</v>
      </c>
      <c r="J104" s="60" t="n">
        <f aca="false">J51+J75+J90</f>
        <v>1017017.23683086</v>
      </c>
      <c r="K104" s="60" t="n">
        <f aca="false">K51+K75+K90</f>
        <v>15313205.1885937</v>
      </c>
      <c r="L104" s="60" t="n">
        <f aca="false">L51+L75+L90</f>
        <v>102689.109396459</v>
      </c>
      <c r="M104" s="60" t="n">
        <f aca="false">M51+M75+M90</f>
        <v>359687.465457935</v>
      </c>
      <c r="N104" s="60" t="n">
        <f aca="false">N51+N75+N90</f>
        <v>5336907.94267864</v>
      </c>
      <c r="O104" s="60" t="n">
        <f aca="false">O51+O75+O90</f>
        <v>51303.720577081</v>
      </c>
      <c r="P104" s="60" t="n">
        <f aca="false">P51+P75+P90</f>
        <v>179087.586378002</v>
      </c>
      <c r="Q104" s="60" t="n">
        <f aca="false">Q51+Q75+Q90</f>
        <v>2635617.18269202</v>
      </c>
    </row>
    <row r="105" customFormat="false" ht="15" hidden="false" customHeight="false" outlineLevel="0" collapsed="false">
      <c r="A105" s="53" t="s">
        <v>1034</v>
      </c>
      <c r="B105" s="54" t="s">
        <v>972</v>
      </c>
      <c r="C105" s="60" t="n">
        <f aca="false">C97+C100</f>
        <v>3049615.81801258</v>
      </c>
      <c r="D105" s="60" t="n">
        <f aca="false">D97+D100</f>
        <v>6126652.06231326</v>
      </c>
      <c r="E105" s="60" t="n">
        <f aca="false">E97+E100</f>
        <v>9442651.73498115</v>
      </c>
      <c r="F105" s="60" t="n">
        <f aca="false">F97+F100</f>
        <v>820384.117063266</v>
      </c>
      <c r="G105" s="60" t="n">
        <f aca="false">G97+G100</f>
        <v>1648115.37671739</v>
      </c>
      <c r="H105" s="60" t="n">
        <f aca="false">H97+H100</f>
        <v>2540028.48827918</v>
      </c>
      <c r="I105" s="60" t="n">
        <f aca="false">I97+I100</f>
        <v>567443.983911165</v>
      </c>
      <c r="J105" s="60" t="n">
        <f aca="false">J97+J100</f>
        <v>1139786.0628829</v>
      </c>
      <c r="K105" s="60" t="n">
        <f aca="false">K97+K100</f>
        <v>1756968.16704665</v>
      </c>
      <c r="L105" s="60" t="n">
        <f aca="false">L97+L100</f>
        <v>221307.698460223</v>
      </c>
      <c r="M105" s="60" t="n">
        <f aca="false">M97+M100</f>
        <v>444628.806070229</v>
      </c>
      <c r="N105" s="60" t="n">
        <f aca="false">N97+N100</f>
        <v>685156.596552766</v>
      </c>
      <c r="O105" s="60" t="n">
        <f aca="false">O97+O100</f>
        <v>107805.489254781</v>
      </c>
      <c r="P105" s="60" t="n">
        <f aca="false">P97+P100</f>
        <v>216605.67220172</v>
      </c>
      <c r="Q105" s="60" t="n">
        <f aca="false">Q97+Q100</f>
        <v>333749.222961523</v>
      </c>
    </row>
    <row r="106" customFormat="false" ht="15" hidden="false" customHeight="false" outlineLevel="0" collapsed="false">
      <c r="A106" s="53" t="s">
        <v>1035</v>
      </c>
      <c r="B106" s="54" t="s">
        <v>972</v>
      </c>
      <c r="C106" s="63" t="n">
        <f aca="false">C103+C104+C105</f>
        <v>6394168.86869692</v>
      </c>
      <c r="D106" s="63" t="n">
        <f aca="false">D103+D104+D105</f>
        <v>18199062.8050043</v>
      </c>
      <c r="E106" s="63" t="n">
        <f aca="false">E103+E104+E105</f>
        <v>112183463.020854</v>
      </c>
      <c r="F106" s="63" t="n">
        <f aca="false">F103+F104+F105</f>
        <v>2079780.169416</v>
      </c>
      <c r="G106" s="63" t="n">
        <f aca="false">G103+G104+G105</f>
        <v>6152335.11648947</v>
      </c>
      <c r="H106" s="63" t="n">
        <f aca="false">H103+H104+H105</f>
        <v>38678967.4074746</v>
      </c>
      <c r="I106" s="63" t="n">
        <f aca="false">I103+I104+I105</f>
        <v>1775249.94775683</v>
      </c>
      <c r="J106" s="63" t="n">
        <f aca="false">J103+J104+J105</f>
        <v>5453953.11066573</v>
      </c>
      <c r="K106" s="63" t="n">
        <f aca="false">K103+K104+K105</f>
        <v>34975510.1307514</v>
      </c>
      <c r="L106" s="63" t="n">
        <f aca="false">L103+L104+L105</f>
        <v>615899.587432172</v>
      </c>
      <c r="M106" s="63" t="n">
        <f aca="false">M103+M104+M105</f>
        <v>1851030.4972272</v>
      </c>
      <c r="N106" s="63" t="n">
        <f aca="false">N103+N104+N105</f>
        <v>11706298.4360921</v>
      </c>
      <c r="O106" s="63" t="n">
        <f aca="false">O103+O104+O105</f>
        <v>305060.599619606</v>
      </c>
      <c r="P106" s="63" t="n">
        <f aca="false">P103+P104+P105</f>
        <v>919050.37142924</v>
      </c>
      <c r="Q106" s="63" t="n">
        <f aca="false">Q103+Q104+Q105</f>
        <v>5811483.35408388</v>
      </c>
    </row>
    <row r="107" customFormat="false" ht="15" hidden="false" customHeight="false" outlineLevel="0" collapsed="false">
      <c r="A107" s="53" t="s">
        <v>1036</v>
      </c>
      <c r="B107" s="54" t="s">
        <v>272</v>
      </c>
      <c r="C107" s="137" t="n">
        <f aca="false">C35+C42</f>
        <v>3.7239497104343E+024</v>
      </c>
      <c r="D107" s="137" t="n">
        <f aca="false">D35+D42</f>
        <v>1.33534567343555E+025</v>
      </c>
      <c r="E107" s="137" t="n">
        <f aca="false">E35+E42</f>
        <v>7.25166139392E+025</v>
      </c>
      <c r="F107" s="137" t="n">
        <f aca="false">F35+F42</f>
        <v>3.7239497104343E+024</v>
      </c>
      <c r="G107" s="137" t="n">
        <f aca="false">G35+G42</f>
        <v>1.33534567343555E+025</v>
      </c>
      <c r="H107" s="137" t="n">
        <f aca="false">H35+H42</f>
        <v>7.25166139392E+025</v>
      </c>
      <c r="I107" s="137" t="n">
        <f aca="false">I35+I42</f>
        <v>3.7239497104343E+024</v>
      </c>
      <c r="J107" s="137" t="n">
        <f aca="false">J35+J42</f>
        <v>1.33534567343555E+025</v>
      </c>
      <c r="K107" s="137" t="n">
        <f aca="false">K35+K42</f>
        <v>7.25166139392E+025</v>
      </c>
      <c r="L107" s="137" t="n">
        <f aca="false">L35+L42</f>
        <v>3.7239497104343E+024</v>
      </c>
      <c r="M107" s="137" t="n">
        <f aca="false">M35+M42</f>
        <v>1.33534567343555E+025</v>
      </c>
      <c r="N107" s="137" t="n">
        <f aca="false">N35+N42</f>
        <v>7.25166139392E+025</v>
      </c>
      <c r="O107" s="137" t="n">
        <f aca="false">O35+O42</f>
        <v>3.7239497104343E+024</v>
      </c>
      <c r="P107" s="137" t="n">
        <f aca="false">P35+P42</f>
        <v>1.33534567343555E+025</v>
      </c>
      <c r="Q107" s="137" t="n">
        <f aca="false">Q35+Q42</f>
        <v>7.25166139392E+025</v>
      </c>
    </row>
    <row r="108" customFormat="false" ht="15" hidden="false" customHeight="false" outlineLevel="0" collapsed="false">
      <c r="A108" s="53" t="s">
        <v>1037</v>
      </c>
      <c r="B108" s="54" t="s">
        <v>272</v>
      </c>
      <c r="C108" s="137" t="n">
        <f aca="false">C49+C76+C91</f>
        <v>5.62513097631898E+023</v>
      </c>
      <c r="D108" s="137" t="n">
        <f aca="false">D49+D76+D91</f>
        <v>1.94311098372492E+024</v>
      </c>
      <c r="E108" s="137" t="n">
        <f aca="false">E49+E76+E91</f>
        <v>2.666974089216E+025</v>
      </c>
      <c r="F108" s="137" t="n">
        <f aca="false">F49+F76+F91</f>
        <v>5.62513097631898E+023</v>
      </c>
      <c r="G108" s="137" t="n">
        <f aca="false">G49+G76+G91</f>
        <v>1.94311098372492E+024</v>
      </c>
      <c r="H108" s="137" t="n">
        <f aca="false">H49+H76+H91</f>
        <v>2.666974089216E+025</v>
      </c>
      <c r="I108" s="137" t="n">
        <f aca="false">I49+I76+I91</f>
        <v>5.62513097631898E+023</v>
      </c>
      <c r="J108" s="137" t="n">
        <f aca="false">J49+J76+J91</f>
        <v>1.94311098372492E+024</v>
      </c>
      <c r="K108" s="137" t="n">
        <f aca="false">K49+K76+K91</f>
        <v>2.666974089216E+025</v>
      </c>
      <c r="L108" s="137" t="n">
        <f aca="false">L49+L76+L91</f>
        <v>5.62513097631898E+023</v>
      </c>
      <c r="M108" s="137" t="n">
        <f aca="false">M49+M76+M91</f>
        <v>1.94311098372492E+024</v>
      </c>
      <c r="N108" s="137" t="n">
        <f aca="false">N49+N76+N91</f>
        <v>2.666974089216E+025</v>
      </c>
      <c r="O108" s="137" t="n">
        <f aca="false">O49+O76+O91</f>
        <v>5.62513097631898E+023</v>
      </c>
      <c r="P108" s="137" t="n">
        <f aca="false">P49+P76+P91</f>
        <v>1.94311098372492E+024</v>
      </c>
      <c r="Q108" s="137" t="n">
        <f aca="false">Q49+Q76+Q91</f>
        <v>2.666974089216E+025</v>
      </c>
    </row>
    <row r="109" customFormat="false" ht="15" hidden="false" customHeight="false" outlineLevel="0" collapsed="false">
      <c r="A109" s="53" t="s">
        <v>1038</v>
      </c>
      <c r="B109" s="54" t="s">
        <v>272</v>
      </c>
      <c r="C109" s="137" t="n">
        <f aca="false">C107+C108+C98+C101</f>
        <v>4.80829842560294E+024</v>
      </c>
      <c r="D109" s="137" t="n">
        <f aca="false">D107+D108+D98+D101</f>
        <v>1.6345355852516E+025</v>
      </c>
      <c r="E109" s="137" t="n">
        <f aca="false">E107+E108+E98+E101</f>
        <v>1.0080164477952E+026</v>
      </c>
      <c r="F109" s="137" t="n">
        <f aca="false">F107+F108+F98+F101</f>
        <v>4.80829842560294E+024</v>
      </c>
      <c r="G109" s="137" t="n">
        <f aca="false">G107+G108+G98+G101</f>
        <v>1.6345355852516E+025</v>
      </c>
      <c r="H109" s="137" t="n">
        <f aca="false">H107+H108+H98+H101</f>
        <v>1.0080164477952E+026</v>
      </c>
      <c r="I109" s="137" t="n">
        <f aca="false">I107+I108+I98+I101</f>
        <v>4.80829842560294E+024</v>
      </c>
      <c r="J109" s="137" t="n">
        <f aca="false">J107+J108+J98+J101</f>
        <v>1.6345355852516E+025</v>
      </c>
      <c r="K109" s="137" t="n">
        <f aca="false">K107+K108+K98+K101</f>
        <v>1.0080164477952E+026</v>
      </c>
      <c r="L109" s="137" t="n">
        <f aca="false">L107+L108+L98+L101</f>
        <v>4.80829842560294E+024</v>
      </c>
      <c r="M109" s="137" t="n">
        <f aca="false">M107+M108+M98+M101</f>
        <v>1.6345355852516E+025</v>
      </c>
      <c r="N109" s="137" t="n">
        <f aca="false">N107+N108+N98+N101</f>
        <v>1.0080164477952E+026</v>
      </c>
      <c r="O109" s="137" t="n">
        <f aca="false">O107+O108+O98+O101</f>
        <v>4.80829842560294E+024</v>
      </c>
      <c r="P109" s="137" t="n">
        <f aca="false">P107+P108+P98+P101</f>
        <v>1.6345355852516E+025</v>
      </c>
      <c r="Q109" s="137" t="n">
        <f aca="false">Q107+Q108+Q98+Q101</f>
        <v>1.0080164477952E+026</v>
      </c>
    </row>
    <row r="110" customFormat="false" ht="15" hidden="false" customHeight="false" outlineLevel="0" collapsed="false">
      <c r="A110" s="53" t="s">
        <v>1039</v>
      </c>
      <c r="B110" s="54" t="s">
        <v>71</v>
      </c>
      <c r="C110" s="94" t="n">
        <f aca="false">C108/(C107+C108)</f>
        <v>0.131230136086418</v>
      </c>
      <c r="D110" s="94" t="n">
        <f aca="false">D108/(D107+D108)</f>
        <v>0.127029214627552</v>
      </c>
      <c r="E110" s="94" t="n">
        <f aca="false">E108/(E107+E108)</f>
        <v>0.268885180199482</v>
      </c>
      <c r="F110" s="94" t="n">
        <f aca="false">F108/(F107+F108)</f>
        <v>0.131230136086418</v>
      </c>
      <c r="G110" s="94" t="n">
        <f aca="false">G108/(G107+G108)</f>
        <v>0.127029214627552</v>
      </c>
      <c r="H110" s="94" t="n">
        <f aca="false">H108/(H107+H108)</f>
        <v>0.268885180199482</v>
      </c>
      <c r="I110" s="94" t="n">
        <f aca="false">I108/(I107+I108)</f>
        <v>0.131230136086418</v>
      </c>
      <c r="J110" s="94" t="n">
        <f aca="false">J108/(J107+J108)</f>
        <v>0.127029214627552</v>
      </c>
      <c r="K110" s="94" t="n">
        <f aca="false">K108/(K107+K108)</f>
        <v>0.268885180199482</v>
      </c>
      <c r="L110" s="94" t="n">
        <f aca="false">L108/(L107+L108)</f>
        <v>0.131230136086418</v>
      </c>
      <c r="M110" s="94" t="n">
        <f aca="false">M108/(M107+M108)</f>
        <v>0.127029214627552</v>
      </c>
      <c r="N110" s="94" t="n">
        <f aca="false">N108/(N107+N108)</f>
        <v>0.268885180199482</v>
      </c>
      <c r="O110" s="94" t="n">
        <f aca="false">O108/(O107+O108)</f>
        <v>0.131230136086418</v>
      </c>
      <c r="P110" s="94" t="n">
        <f aca="false">P108/(P107+P108)</f>
        <v>0.127029214627552</v>
      </c>
      <c r="Q110" s="94" t="n">
        <f aca="false">Q108/(Q107+Q108)</f>
        <v>0.268885180199482</v>
      </c>
    </row>
    <row r="111" customFormat="false" ht="15" hidden="false" customHeight="false" outlineLevel="0" collapsed="false">
      <c r="A111" s="53" t="s">
        <v>1040</v>
      </c>
      <c r="B111" s="54" t="s">
        <v>71</v>
      </c>
      <c r="C111" s="94" t="n">
        <f aca="false">C104/(C103+C104)</f>
        <v>0.30539979787603</v>
      </c>
      <c r="D111" s="94" t="n">
        <f aca="false">D104/(D103+D104)</f>
        <v>0.309968546647496</v>
      </c>
      <c r="E111" s="94" t="n">
        <f aca="false">E104/(E103+E104)</f>
        <v>0.55968476412224</v>
      </c>
      <c r="F111" s="94" t="n">
        <f aca="false">F104/(F103+F104)</f>
        <v>0.269893093641953</v>
      </c>
      <c r="G111" s="94" t="n">
        <f aca="false">G104/(G103+G104)</f>
        <v>0.267986465704979</v>
      </c>
      <c r="H111" s="94" t="n">
        <f aca="false">H104/(H103+H104)</f>
        <v>0.504541712883535</v>
      </c>
      <c r="I111" s="94" t="n">
        <f aca="false">I104/(I103+I104)</f>
        <v>0.238707389111481</v>
      </c>
      <c r="J111" s="94" t="n">
        <f aca="false">J104/(J103+J104)</f>
        <v>0.235738956226448</v>
      </c>
      <c r="K111" s="94" t="n">
        <f aca="false">K104/(K103+K104)</f>
        <v>0.460983664042966</v>
      </c>
      <c r="L111" s="94" t="n">
        <f aca="false">L104/(L103+L104)</f>
        <v>0.260241308213407</v>
      </c>
      <c r="M111" s="94" t="n">
        <f aca="false">M104/(M103+M104)</f>
        <v>0.255750165631584</v>
      </c>
      <c r="N111" s="94" t="n">
        <f aca="false">N104/(N103+N104)</f>
        <v>0.484242741848401</v>
      </c>
      <c r="O111" s="94" t="n">
        <f aca="false">O104/(O103+O104)</f>
        <v>0.26008816948871</v>
      </c>
      <c r="P111" s="94" t="n">
        <f aca="false">P104/(P103+P104)</f>
        <v>0.254949018157508</v>
      </c>
      <c r="Q111" s="94" t="n">
        <f aca="false">Q104/(Q103+Q104)</f>
        <v>0.481150986813593</v>
      </c>
    </row>
    <row r="112" customFormat="false" ht="15" hidden="false" customHeight="false" outlineLevel="0" collapsed="false">
      <c r="A112" s="53" t="s">
        <v>1041</v>
      </c>
      <c r="B112" s="54" t="s">
        <v>972</v>
      </c>
      <c r="C112" s="60" t="n">
        <f aca="false">C65+C74+C86+C87+C97+C100</f>
        <v>3603300.28145202</v>
      </c>
      <c r="D112" s="60" t="n">
        <f aca="false">D65+D74+D86+D87+D97+D100</f>
        <v>8259543.69483683</v>
      </c>
      <c r="E112" s="60" t="n">
        <f aca="false">E65+E74+E86+E87+E97+E100</f>
        <v>44806114.353177</v>
      </c>
      <c r="F112" s="60" t="n">
        <f aca="false">F65+F74+F86+F87+F97+F100</f>
        <v>975154.38258447</v>
      </c>
      <c r="G112" s="60" t="n">
        <f aca="false">G65+G74+G86+G87+G97+G100</f>
        <v>2218273.45268517</v>
      </c>
      <c r="H112" s="60" t="n">
        <f aca="false">H65+H74+H86+H87+H97+H100</f>
        <v>12011012.804808</v>
      </c>
      <c r="I112" s="60" t="n">
        <f aca="false">I65+I74+I86+I87+I97+I100</f>
        <v>670624.160925301</v>
      </c>
      <c r="J112" s="60" t="n">
        <f aca="false">J65+J74+J86+J87+J97+J100</f>
        <v>1519891.44686142</v>
      </c>
      <c r="K112" s="60" t="n">
        <f aca="false">K65+K74+K86+K87+K97+K100</f>
        <v>8307555.52808475</v>
      </c>
      <c r="L112" s="60" t="n">
        <f aca="false">L65+L74+L86+L87+L97+L100</f>
        <v>265224.734469781</v>
      </c>
      <c r="M112" s="60" t="n">
        <f aca="false">M65+M74+M86+M87+M97+M100</f>
        <v>602122.032527422</v>
      </c>
      <c r="N112" s="60" t="n">
        <f aca="false">N65+N74+N86+N87+N97+N100</f>
        <v>3240281.10191218</v>
      </c>
      <c r="O112" s="60" t="n">
        <f aca="false">O65+O74+O86+O87+O97+O100</f>
        <v>129723.173138411</v>
      </c>
      <c r="P112" s="60" t="n">
        <f aca="false">P65+P74+P86+P87+P97+P100</f>
        <v>294596.139079351</v>
      </c>
      <c r="Q112" s="60" t="n">
        <f aca="false">Q65+Q74+Q86+Q87+Q97+Q100</f>
        <v>1578474.68699393</v>
      </c>
    </row>
    <row r="113" customFormat="false" ht="15" hidden="false" customHeight="false" outlineLevel="0" collapsed="false">
      <c r="A113" s="53" t="s">
        <v>1042</v>
      </c>
      <c r="B113" s="54" t="s">
        <v>972</v>
      </c>
      <c r="C113" s="60" t="n">
        <f aca="false">C36+C43+C51+C72+C89</f>
        <v>2790868.5872449</v>
      </c>
      <c r="D113" s="60" t="n">
        <f aca="false">D36+D43+D51+D72+D89</f>
        <v>9939519.11016751</v>
      </c>
      <c r="E113" s="60" t="n">
        <f aca="false">E36+E43+E51+E72+E89</f>
        <v>67377348.6676773</v>
      </c>
      <c r="F113" s="60" t="n">
        <f aca="false">F36+F43+F51+F72+F89</f>
        <v>1104625.78683153</v>
      </c>
      <c r="G113" s="60" t="n">
        <f aca="false">G36+G43+G51+G72+G89</f>
        <v>3934061.6638043</v>
      </c>
      <c r="H113" s="60" t="n">
        <f aca="false">H36+H43+H51+H72+H89</f>
        <v>26667954.6026667</v>
      </c>
      <c r="I113" s="60" t="n">
        <f aca="false">I36+I43+I51+I72+I89</f>
        <v>1104625.78683153</v>
      </c>
      <c r="J113" s="60" t="n">
        <f aca="false">J36+J43+J51+J72+J89</f>
        <v>3934061.6638043</v>
      </c>
      <c r="K113" s="60" t="n">
        <f aca="false">K36+K43+K51+K72+K89</f>
        <v>26667954.6026667</v>
      </c>
      <c r="L113" s="60" t="n">
        <f aca="false">L36+L43+L51+L72+L89</f>
        <v>350674.852962391</v>
      </c>
      <c r="M113" s="60" t="n">
        <f aca="false">M36+M43+M51+M72+M89</f>
        <v>1248908.46469978</v>
      </c>
      <c r="N113" s="60" t="n">
        <f aca="false">N36+N43+N51+N72+N89</f>
        <v>8466017.33417989</v>
      </c>
      <c r="O113" s="60" t="n">
        <f aca="false">O36+O43+O51+O72+O89</f>
        <v>175337.426481195</v>
      </c>
      <c r="P113" s="60" t="n">
        <f aca="false">P36+P43+P51+P72+P89</f>
        <v>624454.232349889</v>
      </c>
      <c r="Q113" s="60" t="n">
        <f aca="false">Q36+Q43+Q51+Q72+Q89</f>
        <v>4233008.66708995</v>
      </c>
    </row>
    <row r="114" customFormat="false" ht="15" hidden="false" customHeight="false" outlineLevel="0" collapsed="false">
      <c r="A114" s="53" t="s">
        <v>1043</v>
      </c>
      <c r="B114" s="54" t="s">
        <v>71</v>
      </c>
      <c r="C114" s="96" t="n">
        <f aca="false">C112/C106</f>
        <v>0.563529108386896</v>
      </c>
      <c r="D114" s="96" t="n">
        <f aca="false">D112/D106</f>
        <v>0.453844452504754</v>
      </c>
      <c r="E114" s="96" t="n">
        <f aca="false">E112/E106</f>
        <v>0.399400349629498</v>
      </c>
      <c r="F114" s="96" t="n">
        <f aca="false">F112/F106</f>
        <v>0.468873776625292</v>
      </c>
      <c r="G114" s="96" t="n">
        <f aca="false">G112/G106</f>
        <v>0.360557968752346</v>
      </c>
      <c r="H114" s="96" t="n">
        <f aca="false">H112/H106</f>
        <v>0.310530854618597</v>
      </c>
      <c r="I114" s="96" t="n">
        <f aca="false">I112/I106</f>
        <v>0.377763233719673</v>
      </c>
      <c r="J114" s="96" t="n">
        <f aca="false">J112/J106</f>
        <v>0.278677028573849</v>
      </c>
      <c r="K114" s="96" t="n">
        <f aca="false">K112/K106</f>
        <v>0.2375249280719</v>
      </c>
      <c r="L114" s="96" t="n">
        <f aca="false">L112/L106</f>
        <v>0.430629829735013</v>
      </c>
      <c r="M114" s="96" t="n">
        <f aca="false">M112/M106</f>
        <v>0.325290174002744</v>
      </c>
      <c r="N114" s="96" t="n">
        <f aca="false">N112/N106</f>
        <v>0.276798094598542</v>
      </c>
      <c r="O114" s="96" t="n">
        <f aca="false">O112/O106</f>
        <v>0.425237389883087</v>
      </c>
      <c r="P114" s="96" t="n">
        <f aca="false">P112/P106</f>
        <v>0.320544061824616</v>
      </c>
      <c r="Q114" s="96" t="n">
        <f aca="false">Q112/Q106</f>
        <v>0.271613044522394</v>
      </c>
    </row>
    <row r="115" customFormat="false" ht="15" hidden="false" customHeight="false" outlineLevel="0" collapsed="false">
      <c r="A115" s="53" t="s">
        <v>1044</v>
      </c>
      <c r="B115" s="54" t="s">
        <v>828</v>
      </c>
      <c r="C115" s="105" t="n">
        <f aca="false">C106*C19/1000000</f>
        <v>10.2628281044394</v>
      </c>
      <c r="D115" s="105" t="n">
        <f aca="false">D106*D19/1000000</f>
        <v>29.2100282405771</v>
      </c>
      <c r="E115" s="105" t="n">
        <f aca="false">E106*E19/1000000</f>
        <v>180.057740229558</v>
      </c>
      <c r="F115" s="105" t="n">
        <f aca="false">F106*F19/1000000</f>
        <v>4.33936521136578</v>
      </c>
      <c r="G115" s="105" t="n">
        <f aca="false">G106*G19/1000000</f>
        <v>12.8365629049415</v>
      </c>
      <c r="H115" s="105" t="n">
        <f aca="false">H106*H19/1000000</f>
        <v>80.7018780387141</v>
      </c>
      <c r="I115" s="105" t="n">
        <f aca="false">I106*I19/1000000</f>
        <v>5.29503019791332</v>
      </c>
      <c r="J115" s="105" t="n">
        <f aca="false">J106*J19/1000000</f>
        <v>16.2674819145715</v>
      </c>
      <c r="K115" s="105" t="n">
        <f aca="false">K106*K19/1000000</f>
        <v>104.321299974554</v>
      </c>
      <c r="L115" s="105" t="n">
        <f aca="false">L106*L19/1000000</f>
        <v>3.07555254367609</v>
      </c>
      <c r="M115" s="105" t="n">
        <f aca="false">M106*M19/1000000</f>
        <v>9.24329496290838</v>
      </c>
      <c r="N115" s="105" t="n">
        <f aca="false">N106*N19/1000000</f>
        <v>58.4565027592577</v>
      </c>
      <c r="O115" s="105" t="n">
        <f aca="false">O106*O19/1000000</f>
        <v>2.87331632665873</v>
      </c>
      <c r="P115" s="105" t="n">
        <f aca="false">P106*P19/1000000</f>
        <v>8.65638643778396</v>
      </c>
      <c r="Q115" s="105" t="n">
        <f aca="false">Q106*Q19/1000000</f>
        <v>54.7374194642521</v>
      </c>
    </row>
    <row r="116" customFormat="false" ht="15" hidden="false" customHeight="false" outlineLevel="0" collapsed="false">
      <c r="A116" s="53" t="s">
        <v>1045</v>
      </c>
      <c r="B116" s="54" t="s">
        <v>828</v>
      </c>
      <c r="C116" s="67" t="n">
        <f aca="false">C106*C20/1000000</f>
        <v>7.62086126197127</v>
      </c>
      <c r="D116" s="67" t="n">
        <f aca="false">D106*D20/1000000</f>
        <v>21.6904707371459</v>
      </c>
      <c r="E116" s="67" t="n">
        <f aca="false">E106*E20/1000000</f>
        <v>133.705353287556</v>
      </c>
      <c r="F116" s="67" t="n">
        <f aca="false">F106*F20/1000000</f>
        <v>3.21371757449512</v>
      </c>
      <c r="G116" s="67" t="n">
        <f aca="false">G106*G20/1000000</f>
        <v>9.50671026620935</v>
      </c>
      <c r="H116" s="67" t="n">
        <f aca="false">H106*H20/1000000</f>
        <v>59.7675077148319</v>
      </c>
      <c r="I116" s="67" t="n">
        <f aca="false">I106*I20/1000000</f>
        <v>3.95333155217188</v>
      </c>
      <c r="J116" s="67" t="n">
        <f aca="false">J106*J20/1000000</f>
        <v>12.1454924945668</v>
      </c>
      <c r="K116" s="67" t="n">
        <f aca="false">K106*K20/1000000</f>
        <v>77.8875041950693</v>
      </c>
      <c r="L116" s="67" t="n">
        <f aca="false">L106*L20/1000000</f>
        <v>2.29638297374158</v>
      </c>
      <c r="M116" s="67" t="n">
        <f aca="false">M106*M20/1000000</f>
        <v>6.9015713022816</v>
      </c>
      <c r="N116" s="67" t="n">
        <f aca="false">N106*N20/1000000</f>
        <v>43.6469596062849</v>
      </c>
      <c r="O116" s="67" t="n">
        <f aca="false">O106*O20/1000000</f>
        <v>2.15453566314608</v>
      </c>
      <c r="P116" s="67" t="n">
        <f aca="false">P106*P20/1000000</f>
        <v>6.49092935613795</v>
      </c>
      <c r="Q116" s="67" t="n">
        <f aca="false">Q106*Q20/1000000</f>
        <v>41.0444618471431</v>
      </c>
    </row>
    <row r="117" customFormat="false" ht="15" hidden="false" customHeight="false" outlineLevel="0" collapsed="false">
      <c r="A117" s="53" t="s">
        <v>1046</v>
      </c>
      <c r="B117" s="54" t="s">
        <v>71</v>
      </c>
      <c r="C117" s="138" t="n">
        <f aca="false">C106/(C18*8760)</f>
        <v>0.00101654478955111</v>
      </c>
      <c r="D117" s="138" t="n">
        <f aca="false">D106/(D18*8760)</f>
        <v>0.00289328650040966</v>
      </c>
      <c r="E117" s="138" t="n">
        <f aca="false">E106/(E18*8760)</f>
        <v>0.0178349238422427</v>
      </c>
      <c r="F117" s="138" t="n">
        <f aca="false">F106/(F18*8760)</f>
        <v>0.00047316255233276</v>
      </c>
      <c r="G117" s="138" t="n">
        <f aca="false">G106/(G18*8760)</f>
        <v>0.00139969340478039</v>
      </c>
      <c r="H117" s="138" t="n">
        <f aca="false">H106/(H18*8760)</f>
        <v>0.00879969874184123</v>
      </c>
      <c r="I117" s="138" t="n">
        <f aca="false">I106/(I18*8760)</f>
        <v>0.000416120687186266</v>
      </c>
      <c r="J117" s="138" t="n">
        <f aca="false">J106/(J18*8760)</f>
        <v>0.00127841305905098</v>
      </c>
      <c r="K117" s="138" t="n">
        <f aca="false">K106/(K18*8760)</f>
        <v>0.00819830093710954</v>
      </c>
      <c r="L117" s="138" t="n">
        <f aca="false">L106/(L18*8760)</f>
        <v>0.000240992692501982</v>
      </c>
      <c r="M117" s="138" t="n">
        <f aca="false">M106/(M18*8760)</f>
        <v>0.000724281737693471</v>
      </c>
      <c r="N117" s="138" t="n">
        <f aca="false">N106/(N18*8760)</f>
        <v>0.00458050701268939</v>
      </c>
      <c r="O117" s="138" t="n">
        <f aca="false">O106/(O18*8760)</f>
        <v>0.000178806065737157</v>
      </c>
      <c r="P117" s="138" t="n">
        <f aca="false">P106/(P18*8760)</f>
        <v>0.000538685695020754</v>
      </c>
      <c r="Q117" s="138" t="n">
        <f aca="false">Q106/(Q18*8760)</f>
        <v>0.00340630181654548</v>
      </c>
    </row>
    <row r="118" customFormat="false" ht="15" hidden="false" customHeight="false" outlineLevel="0" collapsed="false">
      <c r="A118" s="68" t="s">
        <v>1047</v>
      </c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</row>
    <row r="119" customFormat="false" ht="15" hidden="false" customHeight="false" outlineLevel="0" collapsed="false">
      <c r="A119" s="53" t="s">
        <v>1048</v>
      </c>
      <c r="B119" s="54" t="s">
        <v>75</v>
      </c>
      <c r="C119" s="101" t="n">
        <f aca="false">Train_In!$C$13</f>
        <v>8</v>
      </c>
      <c r="D119" s="101" t="n">
        <f aca="false">Train_In!$C$13</f>
        <v>8</v>
      </c>
      <c r="E119" s="101" t="n">
        <f aca="false">Train_In!$C$13</f>
        <v>8</v>
      </c>
      <c r="F119" s="101" t="n">
        <f aca="false">Train_In!$C$13</f>
        <v>8</v>
      </c>
      <c r="G119" s="101" t="n">
        <f aca="false">Train_In!$C$13</f>
        <v>8</v>
      </c>
      <c r="H119" s="101" t="n">
        <f aca="false">Train_In!$C$13</f>
        <v>8</v>
      </c>
      <c r="I119" s="101" t="n">
        <f aca="false">Train_In!$C$13</f>
        <v>8</v>
      </c>
      <c r="J119" s="101" t="n">
        <f aca="false">Train_In!$C$13</f>
        <v>8</v>
      </c>
      <c r="K119" s="101" t="n">
        <f aca="false">Train_In!$C$13</f>
        <v>8</v>
      </c>
      <c r="L119" s="101" t="n">
        <f aca="false">Train_In!$C$13</f>
        <v>8</v>
      </c>
      <c r="M119" s="101" t="n">
        <f aca="false">Train_In!$C$13</f>
        <v>8</v>
      </c>
      <c r="N119" s="101" t="n">
        <f aca="false">Train_In!$C$13</f>
        <v>8</v>
      </c>
      <c r="O119" s="101" t="n">
        <f aca="false">Train_In!$C$13</f>
        <v>8</v>
      </c>
      <c r="P119" s="101" t="n">
        <f aca="false">Train_In!$C$13</f>
        <v>8</v>
      </c>
      <c r="Q119" s="101" t="n">
        <f aca="false">Train_In!$C$13</f>
        <v>8</v>
      </c>
    </row>
    <row r="120" customFormat="false" ht="15" hidden="false" customHeight="false" outlineLevel="0" collapsed="false">
      <c r="A120" s="53" t="s">
        <v>1049</v>
      </c>
      <c r="B120" s="54" t="s">
        <v>972</v>
      </c>
      <c r="C120" s="63" t="n">
        <f aca="false">C106*C119</f>
        <v>51153350.9495753</v>
      </c>
      <c r="D120" s="63" t="n">
        <f aca="false">D106*D119</f>
        <v>145592502.440035</v>
      </c>
      <c r="E120" s="63" t="n">
        <f aca="false">E106*E119</f>
        <v>897467704.166834</v>
      </c>
      <c r="F120" s="63" t="n">
        <f aca="false">F106*F119</f>
        <v>16638241.355328</v>
      </c>
      <c r="G120" s="63" t="n">
        <f aca="false">G106*G119</f>
        <v>49218680.9319158</v>
      </c>
      <c r="H120" s="63" t="n">
        <f aca="false">H106*H119</f>
        <v>309431739.259797</v>
      </c>
      <c r="I120" s="63" t="n">
        <f aca="false">I106*I119</f>
        <v>14201999.5820546</v>
      </c>
      <c r="J120" s="63" t="n">
        <f aca="false">J106*J119</f>
        <v>43631624.8853258</v>
      </c>
      <c r="K120" s="63" t="n">
        <f aca="false">K106*K119</f>
        <v>279804081.046011</v>
      </c>
      <c r="L120" s="63" t="n">
        <f aca="false">L106*L119</f>
        <v>4927196.69945737</v>
      </c>
      <c r="M120" s="63" t="n">
        <f aca="false">M106*M119</f>
        <v>14808243.9778176</v>
      </c>
      <c r="N120" s="63" t="n">
        <f aca="false">N106*N119</f>
        <v>93650387.4887366</v>
      </c>
      <c r="O120" s="63" t="n">
        <f aca="false">O106*O119</f>
        <v>2440484.79695685</v>
      </c>
      <c r="P120" s="63" t="n">
        <f aca="false">P106*P119</f>
        <v>7352402.97143392</v>
      </c>
      <c r="Q120" s="63" t="n">
        <f aca="false">Q106*Q119</f>
        <v>46491866.832671</v>
      </c>
    </row>
    <row r="121" customFormat="false" ht="15" hidden="false" customHeight="false" outlineLevel="0" collapsed="false">
      <c r="A121" s="53" t="s">
        <v>1050</v>
      </c>
      <c r="B121" s="54" t="s">
        <v>972</v>
      </c>
      <c r="C121" s="60" t="n">
        <f aca="false">C120-C106</f>
        <v>44759182.0808784</v>
      </c>
      <c r="D121" s="60" t="n">
        <f aca="false">D120-D106</f>
        <v>127393439.63503</v>
      </c>
      <c r="E121" s="60" t="n">
        <f aca="false">E120-E106</f>
        <v>785284241.14598</v>
      </c>
      <c r="F121" s="60" t="n">
        <f aca="false">F120-F106</f>
        <v>14558461.185912</v>
      </c>
      <c r="G121" s="60" t="n">
        <f aca="false">G120-G106</f>
        <v>43066345.8154263</v>
      </c>
      <c r="H121" s="60" t="n">
        <f aca="false">H120-H106</f>
        <v>270752771.852322</v>
      </c>
      <c r="I121" s="60" t="n">
        <f aca="false">I120-I106</f>
        <v>12426749.6342978</v>
      </c>
      <c r="J121" s="60" t="n">
        <f aca="false">J120-J106</f>
        <v>38177671.7746601</v>
      </c>
      <c r="K121" s="60" t="n">
        <f aca="false">K120-K106</f>
        <v>244828570.91526</v>
      </c>
      <c r="L121" s="60" t="n">
        <f aca="false">L120-L106</f>
        <v>4311297.1120252</v>
      </c>
      <c r="M121" s="60" t="n">
        <f aca="false">M120-M106</f>
        <v>12957213.4805904</v>
      </c>
      <c r="N121" s="60" t="n">
        <f aca="false">N120-N106</f>
        <v>81944089.0526445</v>
      </c>
      <c r="O121" s="60" t="n">
        <f aca="false">O120-O106</f>
        <v>2135424.19733724</v>
      </c>
      <c r="P121" s="60" t="n">
        <f aca="false">P120-P106</f>
        <v>6433352.60000468</v>
      </c>
      <c r="Q121" s="60" t="n">
        <f aca="false">Q120-Q106</f>
        <v>40680383.4785872</v>
      </c>
    </row>
    <row r="122" customFormat="false" ht="15" hidden="false" customHeight="false" outlineLevel="0" collapsed="false">
      <c r="A122" s="53" t="s">
        <v>1051</v>
      </c>
      <c r="B122" s="54" t="s">
        <v>828</v>
      </c>
      <c r="C122" s="63" t="n">
        <f aca="false">C120*C19/1000000</f>
        <v>82.1026248355149</v>
      </c>
      <c r="D122" s="63" t="n">
        <f aca="false">D120*D19/1000000</f>
        <v>233.680225924616</v>
      </c>
      <c r="E122" s="63" t="n">
        <f aca="false">E120*E19/1000000</f>
        <v>1440.46192183646</v>
      </c>
      <c r="F122" s="63" t="n">
        <f aca="false">F120*F19/1000000</f>
        <v>34.7149216909262</v>
      </c>
      <c r="G122" s="63" t="n">
        <f aca="false">G120*G19/1000000</f>
        <v>102.692503239532</v>
      </c>
      <c r="H122" s="63" t="n">
        <f aca="false">H120*H19/1000000</f>
        <v>645.615024309713</v>
      </c>
      <c r="I122" s="63" t="n">
        <f aca="false">I120*I19/1000000</f>
        <v>42.3602415833066</v>
      </c>
      <c r="J122" s="63" t="n">
        <f aca="false">J120*J19/1000000</f>
        <v>130.139855316572</v>
      </c>
      <c r="K122" s="63" t="n">
        <f aca="false">K120*K19/1000000</f>
        <v>834.570399796434</v>
      </c>
      <c r="L122" s="63" t="n">
        <f aca="false">L120*L19/1000000</f>
        <v>24.6044203494087</v>
      </c>
      <c r="M122" s="63" t="n">
        <f aca="false">M120*M19/1000000</f>
        <v>73.946359703267</v>
      </c>
      <c r="N122" s="63" t="n">
        <f aca="false">N120*N19/1000000</f>
        <v>467.652022074062</v>
      </c>
      <c r="O122" s="63" t="n">
        <f aca="false">O120*O19/1000000</f>
        <v>22.9865306132698</v>
      </c>
      <c r="P122" s="63" t="n">
        <f aca="false">P120*P19/1000000</f>
        <v>69.2510915022717</v>
      </c>
      <c r="Q122" s="63" t="n">
        <f aca="false">Q120*Q19/1000000</f>
        <v>437.899355714016</v>
      </c>
    </row>
    <row r="123" customFormat="false" ht="15" hidden="false" customHeight="false" outlineLevel="0" collapsed="false">
      <c r="A123" s="53" t="s">
        <v>1052</v>
      </c>
      <c r="B123" s="54" t="s">
        <v>71</v>
      </c>
      <c r="C123" s="93" t="n">
        <f aca="false">C120/(C18*8760)</f>
        <v>0.00813235831640886</v>
      </c>
      <c r="D123" s="93" t="n">
        <f aca="false">D120/(D18*8760)</f>
        <v>0.0231462920032773</v>
      </c>
      <c r="E123" s="93" t="n">
        <f aca="false">E120/(E18*8760)</f>
        <v>0.142679390737942</v>
      </c>
      <c r="F123" s="93" t="n">
        <f aca="false">F120/(F18*8760)</f>
        <v>0.00378530041866208</v>
      </c>
      <c r="G123" s="93" t="n">
        <f aca="false">G120/(G18*8760)</f>
        <v>0.0111975472382432</v>
      </c>
      <c r="H123" s="93" t="n">
        <f aca="false">H120/(H18*8760)</f>
        <v>0.0703975899347298</v>
      </c>
      <c r="I123" s="93" t="n">
        <f aca="false">I120/(I18*8760)</f>
        <v>0.00332896549749013</v>
      </c>
      <c r="J123" s="93" t="n">
        <f aca="false">J120/(J18*8760)</f>
        <v>0.0102273044724078</v>
      </c>
      <c r="K123" s="93" t="n">
        <f aca="false">K120/(K18*8760)</f>
        <v>0.0655864074968763</v>
      </c>
      <c r="L123" s="93" t="n">
        <f aca="false">L120/(L18*8760)</f>
        <v>0.00192794154001585</v>
      </c>
      <c r="M123" s="93" t="n">
        <f aca="false">M120/(M18*8760)</f>
        <v>0.00579425390154777</v>
      </c>
      <c r="N123" s="93" t="n">
        <f aca="false">N120/(N18*8760)</f>
        <v>0.0366440561015151</v>
      </c>
      <c r="O123" s="93" t="n">
        <f aca="false">O120/(O18*8760)</f>
        <v>0.00143044852589726</v>
      </c>
      <c r="P123" s="93" t="n">
        <f aca="false">P120/(P18*8760)</f>
        <v>0.00430948556016603</v>
      </c>
      <c r="Q123" s="93" t="n">
        <f aca="false">Q120/(Q18*8760)</f>
        <v>0.0272504145323638</v>
      </c>
    </row>
    <row r="124" customFormat="false" ht="15" hidden="false" customHeight="false" outlineLevel="0" collapsed="false">
      <c r="A124" s="68" t="s">
        <v>1053</v>
      </c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</row>
    <row r="125" customFormat="false" ht="15" hidden="false" customHeight="false" outlineLevel="0" collapsed="false">
      <c r="A125" s="53" t="s">
        <v>1054</v>
      </c>
      <c r="B125" s="54" t="s">
        <v>972</v>
      </c>
      <c r="C125" s="60" t="n">
        <f aca="false">C103</f>
        <v>2323127.22501969</v>
      </c>
      <c r="D125" s="60" t="n">
        <f aca="false">D103</f>
        <v>8330343.13024751</v>
      </c>
      <c r="E125" s="60" t="n">
        <f aca="false">E103</f>
        <v>45238344.5556117</v>
      </c>
      <c r="F125" s="60" t="n">
        <f aca="false">F103</f>
        <v>919493.755662791</v>
      </c>
      <c r="G125" s="60" t="n">
        <f aca="false">G103</f>
        <v>3297149.81095196</v>
      </c>
      <c r="H125" s="60" t="n">
        <f aca="false">H103</f>
        <v>17905336.7751111</v>
      </c>
      <c r="I125" s="60" t="n">
        <f aca="false">I103</f>
        <v>919493.755662791</v>
      </c>
      <c r="J125" s="60" t="n">
        <f aca="false">J103</f>
        <v>3297149.81095196</v>
      </c>
      <c r="K125" s="60" t="n">
        <f aca="false">K103</f>
        <v>17905336.7751111</v>
      </c>
      <c r="L125" s="60" t="n">
        <f aca="false">L103</f>
        <v>291902.779575489</v>
      </c>
      <c r="M125" s="60" t="n">
        <f aca="false">M103</f>
        <v>1046714.22569904</v>
      </c>
      <c r="N125" s="60" t="n">
        <f aca="false">N103</f>
        <v>5684233.89686067</v>
      </c>
      <c r="O125" s="60" t="n">
        <f aca="false">O103</f>
        <v>145951.389787745</v>
      </c>
      <c r="P125" s="60" t="n">
        <f aca="false">P103</f>
        <v>523357.112849518</v>
      </c>
      <c r="Q125" s="60" t="n">
        <f aca="false">Q103</f>
        <v>2842116.94843034</v>
      </c>
    </row>
    <row r="126" customFormat="false" ht="15" hidden="false" customHeight="false" outlineLevel="0" collapsed="false">
      <c r="A126" s="53" t="s">
        <v>1055</v>
      </c>
      <c r="B126" s="54" t="s">
        <v>972</v>
      </c>
      <c r="C126" s="60" t="n">
        <f aca="false">C65+C74+C86+C87</f>
        <v>553684.463439442</v>
      </c>
      <c r="D126" s="60" t="n">
        <f aca="false">D65+D74+D86+D87</f>
        <v>2132891.63252357</v>
      </c>
      <c r="E126" s="60" t="n">
        <f aca="false">E65+E74+E86+E87</f>
        <v>35363462.6181959</v>
      </c>
      <c r="F126" s="60" t="n">
        <f aca="false">F65+F74+F86+F87</f>
        <v>154770.265521203</v>
      </c>
      <c r="G126" s="60" t="n">
        <f aca="false">G65+G74+G86+G87</f>
        <v>570158.075967781</v>
      </c>
      <c r="H126" s="60" t="n">
        <f aca="false">H65+H74+H86+H87</f>
        <v>9470984.31652877</v>
      </c>
      <c r="I126" s="60" t="n">
        <f aca="false">I65+I74+I86+I87</f>
        <v>103180.177014136</v>
      </c>
      <c r="J126" s="60" t="n">
        <f aca="false">J65+J74+J86+J87</f>
        <v>380105.383978521</v>
      </c>
      <c r="K126" s="60" t="n">
        <f aca="false">K65+K74+K86+K87</f>
        <v>6550587.3610381</v>
      </c>
      <c r="L126" s="60" t="n">
        <f aca="false">L65+L74+L86+L87</f>
        <v>43917.0360095578</v>
      </c>
      <c r="M126" s="60" t="n">
        <f aca="false">M65+M74+M86+M87</f>
        <v>157493.226457193</v>
      </c>
      <c r="N126" s="60" t="n">
        <f aca="false">N65+N74+N86+N87</f>
        <v>2555124.50535942</v>
      </c>
      <c r="O126" s="60" t="n">
        <f aca="false">O65+O74+O86+O87</f>
        <v>21917.6838836303</v>
      </c>
      <c r="P126" s="60" t="n">
        <f aca="false">P65+P74+P86+P87</f>
        <v>77990.4668776312</v>
      </c>
      <c r="Q126" s="60" t="n">
        <f aca="false">Q65+Q74+Q86+Q87</f>
        <v>1244725.46403241</v>
      </c>
    </row>
    <row r="127" customFormat="false" ht="15" hidden="false" customHeight="false" outlineLevel="0" collapsed="false">
      <c r="A127" s="53" t="s">
        <v>1056</v>
      </c>
      <c r="B127" s="54" t="s">
        <v>972</v>
      </c>
      <c r="C127" s="60" t="n">
        <f aca="false">C51+C72+C89</f>
        <v>467741.362225214</v>
      </c>
      <c r="D127" s="60" t="n">
        <f aca="false">D51+D72+D89</f>
        <v>1609175.97992</v>
      </c>
      <c r="E127" s="60" t="n">
        <f aca="false">E51+E72+E89</f>
        <v>22139004.1120656</v>
      </c>
      <c r="F127" s="60" t="n">
        <f aca="false">F51+F72+F89</f>
        <v>185132.03116874</v>
      </c>
      <c r="G127" s="60" t="n">
        <f aca="false">G51+G72+G89</f>
        <v>636911.852852338</v>
      </c>
      <c r="H127" s="60" t="n">
        <f aca="false">H51+H72+H89</f>
        <v>8762617.82755555</v>
      </c>
      <c r="I127" s="60" t="n">
        <f aca="false">I51+I72+I89</f>
        <v>185132.03116874</v>
      </c>
      <c r="J127" s="60" t="n">
        <f aca="false">J51+J72+J89</f>
        <v>636911.852852338</v>
      </c>
      <c r="K127" s="60" t="n">
        <f aca="false">K51+K72+K89</f>
        <v>8762617.82755555</v>
      </c>
      <c r="L127" s="60" t="n">
        <f aca="false">L51+L72+L89</f>
        <v>58772.0733869014</v>
      </c>
      <c r="M127" s="60" t="n">
        <f aca="false">M51+M72+M89</f>
        <v>202194.239000742</v>
      </c>
      <c r="N127" s="60" t="n">
        <f aca="false">N51+N72+N89</f>
        <v>2781783.43731922</v>
      </c>
      <c r="O127" s="60" t="n">
        <f aca="false">O51+O72+O89</f>
        <v>29386.0366934507</v>
      </c>
      <c r="P127" s="60" t="n">
        <f aca="false">P51+P72+P89</f>
        <v>101097.119500371</v>
      </c>
      <c r="Q127" s="60" t="n">
        <f aca="false">Q51+Q72+Q89</f>
        <v>1390891.71865961</v>
      </c>
    </row>
    <row r="128" customFormat="false" ht="15" hidden="false" customHeight="false" outlineLevel="0" collapsed="false">
      <c r="A128" s="53" t="s">
        <v>1057</v>
      </c>
      <c r="B128" s="54" t="s">
        <v>972</v>
      </c>
      <c r="C128" s="60" t="n">
        <f aca="false">C105</f>
        <v>3049615.81801258</v>
      </c>
      <c r="D128" s="60" t="n">
        <f aca="false">D105</f>
        <v>6126652.06231326</v>
      </c>
      <c r="E128" s="60" t="n">
        <f aca="false">E105</f>
        <v>9442651.73498115</v>
      </c>
      <c r="F128" s="60" t="n">
        <f aca="false">F105</f>
        <v>820384.117063266</v>
      </c>
      <c r="G128" s="60" t="n">
        <f aca="false">G105</f>
        <v>1648115.37671739</v>
      </c>
      <c r="H128" s="60" t="n">
        <f aca="false">H105</f>
        <v>2540028.48827918</v>
      </c>
      <c r="I128" s="60" t="n">
        <f aca="false">I105</f>
        <v>567443.983911165</v>
      </c>
      <c r="J128" s="60" t="n">
        <f aca="false">J105</f>
        <v>1139786.0628829</v>
      </c>
      <c r="K128" s="60" t="n">
        <f aca="false">K105</f>
        <v>1756968.16704665</v>
      </c>
      <c r="L128" s="60" t="n">
        <f aca="false">L105</f>
        <v>221307.698460223</v>
      </c>
      <c r="M128" s="60" t="n">
        <f aca="false">M105</f>
        <v>444628.806070229</v>
      </c>
      <c r="N128" s="60" t="n">
        <f aca="false">N105</f>
        <v>685156.596552766</v>
      </c>
      <c r="O128" s="60" t="n">
        <f aca="false">O105</f>
        <v>107805.489254781</v>
      </c>
      <c r="P128" s="60" t="n">
        <f aca="false">P105</f>
        <v>216605.67220172</v>
      </c>
      <c r="Q128" s="60" t="n">
        <f aca="false">Q105</f>
        <v>333749.222961523</v>
      </c>
    </row>
    <row r="129" customFormat="false" ht="15" hidden="false" customHeight="false" outlineLevel="0" collapsed="false">
      <c r="A129" s="53" t="s">
        <v>1058</v>
      </c>
      <c r="B129" s="54" t="s">
        <v>972</v>
      </c>
      <c r="C129" s="60" t="n">
        <f aca="false">C121</f>
        <v>44759182.0808784</v>
      </c>
      <c r="D129" s="60" t="n">
        <f aca="false">D121</f>
        <v>127393439.63503</v>
      </c>
      <c r="E129" s="60" t="n">
        <f aca="false">E121</f>
        <v>785284241.14598</v>
      </c>
      <c r="F129" s="60" t="n">
        <f aca="false">F121</f>
        <v>14558461.185912</v>
      </c>
      <c r="G129" s="60" t="n">
        <f aca="false">G121</f>
        <v>43066345.8154263</v>
      </c>
      <c r="H129" s="60" t="n">
        <f aca="false">H121</f>
        <v>270752771.852322</v>
      </c>
      <c r="I129" s="60" t="n">
        <f aca="false">I121</f>
        <v>12426749.6342978</v>
      </c>
      <c r="J129" s="60" t="n">
        <f aca="false">J121</f>
        <v>38177671.7746601</v>
      </c>
      <c r="K129" s="60" t="n">
        <f aca="false">K121</f>
        <v>244828570.91526</v>
      </c>
      <c r="L129" s="60" t="n">
        <f aca="false">L121</f>
        <v>4311297.1120252</v>
      </c>
      <c r="M129" s="60" t="n">
        <f aca="false">M121</f>
        <v>12957213.4805904</v>
      </c>
      <c r="N129" s="60" t="n">
        <f aca="false">N121</f>
        <v>81944089.0526445</v>
      </c>
      <c r="O129" s="60" t="n">
        <f aca="false">O121</f>
        <v>2135424.19733724</v>
      </c>
      <c r="P129" s="60" t="n">
        <f aca="false">P121</f>
        <v>6433352.60000468</v>
      </c>
      <c r="Q129" s="60" t="n">
        <f aca="false">Q121</f>
        <v>40680383.4785872</v>
      </c>
    </row>
    <row r="130" customFormat="false" ht="15" hidden="false" customHeight="false" outlineLevel="0" collapsed="false">
      <c r="A130" s="68" t="s">
        <v>1059</v>
      </c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</row>
    <row r="131" customFormat="false" ht="15" hidden="false" customHeight="false" outlineLevel="0" collapsed="false">
      <c r="A131" s="53" t="s">
        <v>1060</v>
      </c>
      <c r="B131" s="54" t="s">
        <v>972</v>
      </c>
      <c r="C131" s="63" t="n">
        <f aca="false">SUMPRODUCT(($C$6:$Q$6=C$6)*$C$106:$Q$106)</f>
        <v>136776694.694556</v>
      </c>
      <c r="D131" s="63" t="n">
        <f aca="false">SUMPRODUCT(($C$6:$Q$6=D$6)*$C$106:$Q$106)</f>
        <v>136776694.694556</v>
      </c>
      <c r="E131" s="63" t="n">
        <f aca="false">SUMPRODUCT(($C$6:$Q$6=E$6)*$C$106:$Q$106)</f>
        <v>136776694.694556</v>
      </c>
      <c r="F131" s="63" t="n">
        <f aca="false">SUMPRODUCT(($C$6:$Q$6=F$6)*$C$106:$Q$106)</f>
        <v>46911082.6933801</v>
      </c>
      <c r="G131" s="63" t="n">
        <f aca="false">SUMPRODUCT(($C$6:$Q$6=G$6)*$C$106:$Q$106)</f>
        <v>46911082.6933801</v>
      </c>
      <c r="H131" s="63" t="n">
        <f aca="false">SUMPRODUCT(($C$6:$Q$6=H$6)*$C$106:$Q$106)</f>
        <v>46911082.6933801</v>
      </c>
      <c r="I131" s="63" t="n">
        <f aca="false">SUMPRODUCT(($C$6:$Q$6=I$6)*$C$106:$Q$106)</f>
        <v>42204713.189174</v>
      </c>
      <c r="J131" s="63" t="n">
        <f aca="false">SUMPRODUCT(($C$6:$Q$6=J$6)*$C$106:$Q$106)</f>
        <v>42204713.189174</v>
      </c>
      <c r="K131" s="63" t="n">
        <f aca="false">SUMPRODUCT(($C$6:$Q$6=K$6)*$C$106:$Q$106)</f>
        <v>42204713.189174</v>
      </c>
      <c r="L131" s="63" t="n">
        <f aca="false">SUMPRODUCT(($C$6:$Q$6=L$6)*$C$106:$Q$106)</f>
        <v>14173228.5207514</v>
      </c>
      <c r="M131" s="63" t="n">
        <f aca="false">SUMPRODUCT(($C$6:$Q$6=M$6)*$C$106:$Q$106)</f>
        <v>14173228.5207514</v>
      </c>
      <c r="N131" s="63" t="n">
        <f aca="false">SUMPRODUCT(($C$6:$Q$6=N$6)*$C$106:$Q$106)</f>
        <v>14173228.5207514</v>
      </c>
      <c r="O131" s="63" t="n">
        <f aca="false">SUMPRODUCT(($C$6:$Q$6=O$6)*$C$106:$Q$106)</f>
        <v>7035594.32513273</v>
      </c>
      <c r="P131" s="63" t="n">
        <f aca="false">SUMPRODUCT(($C$6:$Q$6=P$6)*$C$106:$Q$106)</f>
        <v>7035594.32513273</v>
      </c>
      <c r="Q131" s="63" t="n">
        <f aca="false">SUMPRODUCT(($C$6:$Q$6=Q$6)*$C$106:$Q$106)</f>
        <v>7035594.32513273</v>
      </c>
    </row>
    <row r="132" customFormat="false" ht="15" hidden="false" customHeight="false" outlineLevel="0" collapsed="false">
      <c r="A132" s="53" t="s">
        <v>1061</v>
      </c>
      <c r="B132" s="54" t="s">
        <v>972</v>
      </c>
      <c r="C132" s="63" t="n">
        <f aca="false">SUMPRODUCT(($C$6:$Q$6=C$6)*$C$120:$Q$120)</f>
        <v>1094213557.55644</v>
      </c>
      <c r="D132" s="63" t="n">
        <f aca="false">SUMPRODUCT(($C$6:$Q$6=D$6)*$C$120:$Q$120)</f>
        <v>1094213557.55644</v>
      </c>
      <c r="E132" s="63" t="n">
        <f aca="false">SUMPRODUCT(($C$6:$Q$6=E$6)*$C$120:$Q$120)</f>
        <v>1094213557.55644</v>
      </c>
      <c r="F132" s="63" t="n">
        <f aca="false">SUMPRODUCT(($C$6:$Q$6=F$6)*$C$120:$Q$120)</f>
        <v>375288661.547041</v>
      </c>
      <c r="G132" s="63" t="n">
        <f aca="false">SUMPRODUCT(($C$6:$Q$6=G$6)*$C$120:$Q$120)</f>
        <v>375288661.547041</v>
      </c>
      <c r="H132" s="63" t="n">
        <f aca="false">SUMPRODUCT(($C$6:$Q$6=H$6)*$C$120:$Q$120)</f>
        <v>375288661.547041</v>
      </c>
      <c r="I132" s="63" t="n">
        <f aca="false">SUMPRODUCT(($C$6:$Q$6=I$6)*$C$120:$Q$120)</f>
        <v>337637705.513392</v>
      </c>
      <c r="J132" s="63" t="n">
        <f aca="false">SUMPRODUCT(($C$6:$Q$6=J$6)*$C$120:$Q$120)</f>
        <v>337637705.513392</v>
      </c>
      <c r="K132" s="63" t="n">
        <f aca="false">SUMPRODUCT(($C$6:$Q$6=K$6)*$C$120:$Q$120)</f>
        <v>337637705.513392</v>
      </c>
      <c r="L132" s="63" t="n">
        <f aca="false">SUMPRODUCT(($C$6:$Q$6=L$6)*$C$120:$Q$120)</f>
        <v>113385828.166012</v>
      </c>
      <c r="M132" s="63" t="n">
        <f aca="false">SUMPRODUCT(($C$6:$Q$6=M$6)*$C$120:$Q$120)</f>
        <v>113385828.166012</v>
      </c>
      <c r="N132" s="63" t="n">
        <f aca="false">SUMPRODUCT(($C$6:$Q$6=N$6)*$C$120:$Q$120)</f>
        <v>113385828.166012</v>
      </c>
      <c r="O132" s="63" t="n">
        <f aca="false">SUMPRODUCT(($C$6:$Q$6=O$6)*$C$120:$Q$120)</f>
        <v>56284754.6010618</v>
      </c>
      <c r="P132" s="63" t="n">
        <f aca="false">SUMPRODUCT(($C$6:$Q$6=P$6)*$C$120:$Q$120)</f>
        <v>56284754.6010618</v>
      </c>
      <c r="Q132" s="63" t="n">
        <f aca="false">SUMPRODUCT(($C$6:$Q$6=Q$6)*$C$120:$Q$120)</f>
        <v>56284754.6010618</v>
      </c>
    </row>
    <row r="133" customFormat="false" ht="15" hidden="false" customHeight="false" outlineLevel="0" collapsed="false">
      <c r="A133" s="53" t="s">
        <v>1062</v>
      </c>
      <c r="B133" s="54" t="s">
        <v>828</v>
      </c>
      <c r="C133" s="63" t="n">
        <f aca="false">SUMPRODUCT(($C$6:$Q$6=C$6)*$C$122:$Q$122)</f>
        <v>1756.2447725966</v>
      </c>
      <c r="D133" s="63" t="n">
        <f aca="false">SUMPRODUCT(($C$6:$Q$6=D$6)*$C$122:$Q$122)</f>
        <v>1756.2447725966</v>
      </c>
      <c r="E133" s="63" t="n">
        <f aca="false">SUMPRODUCT(($C$6:$Q$6=E$6)*$C$122:$Q$122)</f>
        <v>1756.2447725966</v>
      </c>
      <c r="F133" s="63" t="n">
        <f aca="false">SUMPRODUCT(($C$6:$Q$6=F$6)*$C$122:$Q$122)</f>
        <v>783.022449240171</v>
      </c>
      <c r="G133" s="63" t="n">
        <f aca="false">SUMPRODUCT(($C$6:$Q$6=G$6)*$C$122:$Q$122)</f>
        <v>783.022449240171</v>
      </c>
      <c r="H133" s="63" t="n">
        <f aca="false">SUMPRODUCT(($C$6:$Q$6=H$6)*$C$122:$Q$122)</f>
        <v>783.022449240171</v>
      </c>
      <c r="I133" s="63" t="n">
        <f aca="false">SUMPRODUCT(($C$6:$Q$6=I$6)*$C$122:$Q$122)</f>
        <v>1007.07049669631</v>
      </c>
      <c r="J133" s="63" t="n">
        <f aca="false">SUMPRODUCT(($C$6:$Q$6=J$6)*$C$122:$Q$122)</f>
        <v>1007.07049669631</v>
      </c>
      <c r="K133" s="63" t="n">
        <f aca="false">SUMPRODUCT(($C$6:$Q$6=K$6)*$C$122:$Q$122)</f>
        <v>1007.07049669631</v>
      </c>
      <c r="L133" s="63" t="n">
        <f aca="false">SUMPRODUCT(($C$6:$Q$6=L$6)*$C$122:$Q$122)</f>
        <v>566.202802126738</v>
      </c>
      <c r="M133" s="63" t="n">
        <f aca="false">SUMPRODUCT(($C$6:$Q$6=M$6)*$C$122:$Q$122)</f>
        <v>566.202802126738</v>
      </c>
      <c r="N133" s="63" t="n">
        <f aca="false">SUMPRODUCT(($C$6:$Q$6=N$6)*$C$122:$Q$122)</f>
        <v>566.202802126738</v>
      </c>
      <c r="O133" s="63" t="n">
        <f aca="false">SUMPRODUCT(($C$6:$Q$6=O$6)*$C$122:$Q$122)</f>
        <v>530.136977829558</v>
      </c>
      <c r="P133" s="63" t="n">
        <f aca="false">SUMPRODUCT(($C$6:$Q$6=P$6)*$C$122:$Q$122)</f>
        <v>530.136977829558</v>
      </c>
      <c r="Q133" s="63" t="n">
        <f aca="false">SUMPRODUCT(($C$6:$Q$6=Q$6)*$C$122:$Q$122)</f>
        <v>530.136977829558</v>
      </c>
    </row>
    <row r="134" customFormat="false" ht="15" hidden="false" customHeight="false" outlineLevel="0" collapsed="false">
      <c r="A134" s="53" t="s">
        <v>1063</v>
      </c>
      <c r="B134" s="54" t="s">
        <v>71</v>
      </c>
      <c r="C134" s="93" t="n">
        <f aca="false">SUMPRODUCT(($C$6:$Q$6=C$6)*$C$123:$Q$123)</f>
        <v>0.173958041057628</v>
      </c>
      <c r="D134" s="93" t="n">
        <f aca="false">SUMPRODUCT(($C$6:$Q$6=D$6)*$C$123:$Q$123)</f>
        <v>0.173958041057628</v>
      </c>
      <c r="E134" s="93" t="n">
        <f aca="false">SUMPRODUCT(($C$6:$Q$6=E$6)*$C$123:$Q$123)</f>
        <v>0.173958041057628</v>
      </c>
      <c r="F134" s="93" t="n">
        <f aca="false">SUMPRODUCT(($C$6:$Q$6=F$6)*$C$123:$Q$123)</f>
        <v>0.0853804375916351</v>
      </c>
      <c r="G134" s="93" t="n">
        <f aca="false">SUMPRODUCT(($C$6:$Q$6=G$6)*$C$123:$Q$123)</f>
        <v>0.0853804375916351</v>
      </c>
      <c r="H134" s="93" t="n">
        <f aca="false">SUMPRODUCT(($C$6:$Q$6=H$6)*$C$123:$Q$123)</f>
        <v>0.0853804375916351</v>
      </c>
      <c r="I134" s="93" t="n">
        <f aca="false">SUMPRODUCT(($C$6:$Q$6=I$6)*$C$123:$Q$123)</f>
        <v>0.0791426774667742</v>
      </c>
      <c r="J134" s="93" t="n">
        <f aca="false">SUMPRODUCT(($C$6:$Q$6=J$6)*$C$123:$Q$123)</f>
        <v>0.0791426774667742</v>
      </c>
      <c r="K134" s="93" t="n">
        <f aca="false">SUMPRODUCT(($C$6:$Q$6=K$6)*$C$123:$Q$123)</f>
        <v>0.0791426774667742</v>
      </c>
      <c r="L134" s="93" t="n">
        <f aca="false">SUMPRODUCT(($C$6:$Q$6=L$6)*$C$123:$Q$123)</f>
        <v>0.0443662515430788</v>
      </c>
      <c r="M134" s="93" t="n">
        <f aca="false">SUMPRODUCT(($C$6:$Q$6=M$6)*$C$123:$Q$123)</f>
        <v>0.0443662515430788</v>
      </c>
      <c r="N134" s="93" t="n">
        <f aca="false">SUMPRODUCT(($C$6:$Q$6=N$6)*$C$123:$Q$123)</f>
        <v>0.0443662515430788</v>
      </c>
      <c r="O134" s="93" t="n">
        <f aca="false">SUMPRODUCT(($C$6:$Q$6=O$6)*$C$123:$Q$123)</f>
        <v>0.0329903486184271</v>
      </c>
      <c r="P134" s="93" t="n">
        <f aca="false">SUMPRODUCT(($C$6:$Q$6=P$6)*$C$123:$Q$123)</f>
        <v>0.0329903486184271</v>
      </c>
      <c r="Q134" s="93" t="n">
        <f aca="false">SUMPRODUCT(($C$6:$Q$6=Q$6)*$C$123:$Q$123)</f>
        <v>0.0329903486184271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17.15" hidden="false" customHeight="false" outlineLevel="0" collapsed="false">
      <c r="A1" s="49" t="s">
        <v>1064</v>
      </c>
    </row>
    <row r="2" customFormat="false" ht="15" hidden="false" customHeight="false" outlineLevel="0" collapsed="false">
      <c r="A2" s="66" t="s">
        <v>1065</v>
      </c>
    </row>
    <row r="3" customFormat="false" ht="43.5" hidden="false" customHeight="true" outlineLevel="0" collapsed="false">
      <c r="A3" s="51" t="s">
        <v>780</v>
      </c>
      <c r="C3" s="113" t="s">
        <v>57</v>
      </c>
      <c r="D3" s="113"/>
      <c r="E3" s="113" t="s">
        <v>1066</v>
      </c>
      <c r="F3" s="113"/>
      <c r="G3" s="113" t="s">
        <v>1067</v>
      </c>
      <c r="H3" s="113"/>
      <c r="I3" s="114" t="s">
        <v>1068</v>
      </c>
      <c r="J3" s="114"/>
      <c r="K3" s="113" t="s">
        <v>1069</v>
      </c>
      <c r="L3" s="113"/>
      <c r="M3" s="113" t="s">
        <v>1070</v>
      </c>
      <c r="N3" s="113"/>
      <c r="O3" s="114" t="s">
        <v>1071</v>
      </c>
      <c r="P3" s="114"/>
      <c r="Q3" s="114" t="s">
        <v>1072</v>
      </c>
      <c r="R3" s="114"/>
      <c r="S3" s="114" t="s">
        <v>1073</v>
      </c>
      <c r="T3" s="114"/>
      <c r="U3" s="114" t="s">
        <v>1074</v>
      </c>
      <c r="V3" s="114"/>
      <c r="W3" s="114" t="s">
        <v>1075</v>
      </c>
      <c r="X3" s="114"/>
      <c r="Y3" s="113" t="s">
        <v>1076</v>
      </c>
      <c r="Z3" s="113"/>
      <c r="AA3" s="113" t="s">
        <v>1077</v>
      </c>
      <c r="AB3" s="113"/>
      <c r="AC3" s="113" t="s">
        <v>1078</v>
      </c>
      <c r="AD3" s="113"/>
      <c r="AE3" s="113" t="s">
        <v>1079</v>
      </c>
      <c r="AF3" s="113"/>
      <c r="AG3" s="114" t="s">
        <v>1080</v>
      </c>
      <c r="AH3" s="114"/>
    </row>
    <row r="4" customFormat="false" ht="15" hidden="false" customHeight="false" outlineLevel="0" collapsed="false">
      <c r="A4" s="51" t="s">
        <v>136</v>
      </c>
      <c r="C4" s="74" t="str">
        <f aca="false">INDEX(Spec_Rack!$C$4:$G$4,C6)</f>
        <v>VR200 NVL72</v>
      </c>
      <c r="D4" s="74" t="str">
        <f aca="false">INDEX(Spec_Rack!$C$4:$G$4,D6)</f>
        <v>VR200 NVL72</v>
      </c>
      <c r="E4" s="74" t="str">
        <f aca="false">INDEX(Spec_Rack!$C$4:$G$4,E6)</f>
        <v>VR200 NVL72</v>
      </c>
      <c r="F4" s="74" t="str">
        <f aca="false">INDEX(Spec_Rack!$C$4:$G$4,F6)</f>
        <v>VR200 NVL72</v>
      </c>
      <c r="G4" s="74" t="str">
        <f aca="false">INDEX(Spec_Rack!$C$4:$G$4,G6)</f>
        <v>VR200 NVL72</v>
      </c>
      <c r="H4" s="74" t="str">
        <f aca="false">INDEX(Spec_Rack!$C$4:$G$4,H6)</f>
        <v>VR200 NVL72</v>
      </c>
      <c r="I4" s="74" t="str">
        <f aca="false">INDEX(Spec_Rack!$C$4:$G$4,I6)</f>
        <v>VR200 NVL72</v>
      </c>
      <c r="J4" s="74" t="str">
        <f aca="false">INDEX(Spec_Rack!$C$4:$G$4,J6)</f>
        <v>VR200 NVL72</v>
      </c>
      <c r="K4" s="74" t="str">
        <f aca="false">INDEX(Spec_Rack!$C$4:$G$4,K6)</f>
        <v>VR200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VR200 NVL72</v>
      </c>
      <c r="P4" s="74" t="str">
        <f aca="false">INDEX(Spec_Rack!$C$4:$G$4,P6)</f>
        <v>VR200 NVL72</v>
      </c>
      <c r="Q4" s="74" t="str">
        <f aca="false">INDEX(Spec_Rack!$C$4:$G$4,Q6)</f>
        <v>VR200 NVL72</v>
      </c>
      <c r="R4" s="74" t="str">
        <f aca="false">INDEX(Spec_Rack!$C$4:$G$4,R6)</f>
        <v>VR200 NVL72</v>
      </c>
      <c r="S4" s="74" t="str">
        <f aca="false">INDEX(Spec_Rack!$C$4:$G$4,S6)</f>
        <v>VR200 NVL72</v>
      </c>
      <c r="T4" s="74" t="str">
        <f aca="false">INDEX(Spec_Rack!$C$4:$G$4,T6)</f>
        <v>VR200 NVL72</v>
      </c>
      <c r="U4" s="74" t="str">
        <f aca="false">INDEX(Spec_Rack!$C$4:$G$4,U6)</f>
        <v>VR200 NVL72</v>
      </c>
      <c r="V4" s="74" t="str">
        <f aca="false">INDEX(Spec_Rack!$C$4:$G$4,V6)</f>
        <v>VR200 NVL72</v>
      </c>
      <c r="W4" s="74" t="str">
        <f aca="false">INDEX(Spec_Rack!$C$4:$G$4,W6)</f>
        <v>VR200 NVL72</v>
      </c>
      <c r="X4" s="74" t="str">
        <f aca="false">INDEX(Spec_Rack!$C$4:$G$4,X6)</f>
        <v>VR200 NVL72</v>
      </c>
      <c r="Y4" s="74" t="str">
        <f aca="false">INDEX(Spec_Rack!$C$4:$G$4,Y6)</f>
        <v>VR200 NVL72</v>
      </c>
      <c r="Z4" s="74" t="str">
        <f aca="false">INDEX(Spec_Rack!$C$4:$G$4,Z6)</f>
        <v>VR200 NVL72</v>
      </c>
      <c r="AA4" s="74" t="str">
        <f aca="false">INDEX(Spec_Rack!$C$4:$G$4,AA6)</f>
        <v>VR200 NVL72</v>
      </c>
      <c r="AB4" s="74" t="str">
        <f aca="false">INDEX(Spec_Rack!$C$4:$G$4,AB6)</f>
        <v>VR200 NVL72</v>
      </c>
      <c r="AC4" s="74" t="str">
        <f aca="false">INDEX(Spec_Rack!$C$4:$G$4,AC6)</f>
        <v>VR200 NVL72</v>
      </c>
      <c r="AD4" s="74" t="str">
        <f aca="false">INDEX(Spec_Rack!$C$4:$G$4,AD6)</f>
        <v>VR200 NVL72</v>
      </c>
      <c r="AE4" s="74" t="str">
        <f aca="false">INDEX(Spec_Rack!$C$4:$G$4,AE6)</f>
        <v>VR200 NVL72</v>
      </c>
      <c r="AF4" s="74" t="str">
        <f aca="false">INDEX(Spec_Rack!$C$4:$G$4,AF6)</f>
        <v>VR200 NVL72</v>
      </c>
      <c r="AG4" s="74" t="str">
        <f aca="false">INDEX(Spec_Rack!$C$4:$G$4,AG6)</f>
        <v>VR200 NVL72</v>
      </c>
      <c r="AH4" s="74" t="str">
        <f aca="false">INDEX(Spec_Rack!$C$4:$G$4,AH6)</f>
        <v>VR200 NVL72</v>
      </c>
    </row>
    <row r="5" customFormat="false" ht="15" hidden="false" customHeight="false" outlineLevel="0" collapsed="false">
      <c r="A5" s="51" t="s">
        <v>673</v>
      </c>
      <c r="C5" s="74" t="str">
        <f aca="false">INDEX(Arch!$C$4:$E$4,C7)</f>
        <v>Sol（中層）</v>
      </c>
      <c r="D5" s="74" t="str">
        <f aca="false">INDEX(Arch!$C$4:$E$4,D7)</f>
        <v>Astra（頂層）</v>
      </c>
      <c r="E5" s="74" t="str">
        <f aca="false">INDEX(Arch!$C$4:$E$4,E7)</f>
        <v>Sol（中層）</v>
      </c>
      <c r="F5" s="74" t="str">
        <f aca="false">INDEX(Arch!$C$4:$E$4,F7)</f>
        <v>Astra（頂層）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Sol（中層）</v>
      </c>
      <c r="J5" s="74" t="str">
        <f aca="false">INDEX(Arch!$C$4:$E$4,J7)</f>
        <v>Astra（頂層）</v>
      </c>
      <c r="K5" s="74" t="str">
        <f aca="false">INDEX(Arch!$C$4:$E$4,K7)</f>
        <v>Sol（中層）</v>
      </c>
      <c r="L5" s="74" t="str">
        <f aca="false">INDEX(Arch!$C$4:$E$4,L7)</f>
        <v>Astra（頂層）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Sol（中層）</v>
      </c>
      <c r="P5" s="74" t="str">
        <f aca="false">INDEX(Arch!$C$4:$E$4,P7)</f>
        <v>Astra（頂層）</v>
      </c>
      <c r="Q5" s="74" t="str">
        <f aca="false">INDEX(Arch!$C$4:$E$4,Q7)</f>
        <v>Sol（中層）</v>
      </c>
      <c r="R5" s="74" t="str">
        <f aca="false">INDEX(Arch!$C$4:$E$4,R7)</f>
        <v>Astra（頂層）</v>
      </c>
      <c r="S5" s="74" t="str">
        <f aca="false">INDEX(Arch!$C$4:$E$4,S7)</f>
        <v>Sol（中層）</v>
      </c>
      <c r="T5" s="74" t="str">
        <f aca="false">INDEX(Arch!$C$4:$E$4,T7)</f>
        <v>Astra（頂層）</v>
      </c>
      <c r="U5" s="74" t="str">
        <f aca="false">INDEX(Arch!$C$4:$E$4,U7)</f>
        <v>Sol（中層）</v>
      </c>
      <c r="V5" s="74" t="str">
        <f aca="false">INDEX(Arch!$C$4:$E$4,V7)</f>
        <v>Astra（頂層）</v>
      </c>
      <c r="W5" s="74" t="str">
        <f aca="false">INDEX(Arch!$C$4:$E$4,W7)</f>
        <v>Sol（中層）</v>
      </c>
      <c r="X5" s="74" t="str">
        <f aca="false">INDEX(Arch!$C$4:$E$4,X7)</f>
        <v>Astra（頂層）</v>
      </c>
      <c r="Y5" s="74" t="str">
        <f aca="false">INDEX(Arch!$C$4:$E$4,Y7)</f>
        <v>Sol（中層）</v>
      </c>
      <c r="Z5" s="74" t="str">
        <f aca="false">INDEX(Arch!$C$4:$E$4,Z7)</f>
        <v>Astra（頂層）</v>
      </c>
      <c r="AA5" s="74" t="str">
        <f aca="false">INDEX(Arch!$C$4:$E$4,AA7)</f>
        <v>Sol（中層）</v>
      </c>
      <c r="AB5" s="74" t="str">
        <f aca="false">INDEX(Arch!$C$4:$E$4,AB7)</f>
        <v>Astra（頂層）</v>
      </c>
      <c r="AC5" s="74" t="str">
        <f aca="false">INDEX(Arch!$C$4:$E$4,AC7)</f>
        <v>Sol（中層）</v>
      </c>
      <c r="AD5" s="74" t="str">
        <f aca="false">INDEX(Arch!$C$4:$E$4,AD7)</f>
        <v>Astra（頂層）</v>
      </c>
      <c r="AE5" s="74" t="str">
        <f aca="false">INDEX(Arch!$C$4:$E$4,AE7)</f>
        <v>Sol（中層）</v>
      </c>
      <c r="AF5" s="74" t="str">
        <f aca="false">INDEX(Arch!$C$4:$E$4,AF7)</f>
        <v>Astra（頂層）</v>
      </c>
      <c r="AG5" s="74" t="str">
        <f aca="false">INDEX(Arch!$C$4:$E$4,AG7)</f>
        <v>Sol（中層）</v>
      </c>
      <c r="AH5" s="74" t="str">
        <f aca="false">INDEX(Arch!$C$4:$E$4,AH7)</f>
        <v>Astra（頂層）</v>
      </c>
    </row>
    <row r="6" customFormat="false" ht="15" hidden="false" customHeight="false" outlineLevel="0" collapsed="false">
      <c r="A6" s="51" t="s">
        <v>407</v>
      </c>
      <c r="C6" s="59" t="n">
        <v>4</v>
      </c>
      <c r="D6" s="59" t="n">
        <v>4</v>
      </c>
      <c r="E6" s="59" t="n">
        <v>4</v>
      </c>
      <c r="F6" s="59" t="n">
        <v>4</v>
      </c>
      <c r="G6" s="59" t="n">
        <v>4</v>
      </c>
      <c r="H6" s="59" t="n">
        <v>4</v>
      </c>
      <c r="I6" s="59" t="n">
        <v>4</v>
      </c>
      <c r="J6" s="59" t="n">
        <v>4</v>
      </c>
      <c r="K6" s="59" t="n">
        <v>4</v>
      </c>
      <c r="L6" s="59" t="n">
        <v>4</v>
      </c>
      <c r="M6" s="59" t="n">
        <v>4</v>
      </c>
      <c r="N6" s="59" t="n">
        <v>4</v>
      </c>
      <c r="O6" s="59" t="n">
        <v>4</v>
      </c>
      <c r="P6" s="59" t="n">
        <v>4</v>
      </c>
      <c r="Q6" s="59" t="n">
        <v>4</v>
      </c>
      <c r="R6" s="59" t="n">
        <v>4</v>
      </c>
      <c r="S6" s="59" t="n">
        <v>4</v>
      </c>
      <c r="T6" s="59" t="n">
        <v>4</v>
      </c>
      <c r="U6" s="59" t="n">
        <v>4</v>
      </c>
      <c r="V6" s="59" t="n">
        <v>4</v>
      </c>
      <c r="W6" s="59" t="n">
        <v>4</v>
      </c>
      <c r="X6" s="59" t="n">
        <v>4</v>
      </c>
      <c r="Y6" s="59" t="n">
        <v>4</v>
      </c>
      <c r="Z6" s="59" t="n">
        <v>4</v>
      </c>
      <c r="AA6" s="59" t="n">
        <v>4</v>
      </c>
      <c r="AB6" s="59" t="n">
        <v>4</v>
      </c>
      <c r="AC6" s="59" t="n">
        <v>4</v>
      </c>
      <c r="AD6" s="59" t="n">
        <v>4</v>
      </c>
      <c r="AE6" s="59" t="n">
        <v>4</v>
      </c>
      <c r="AF6" s="59" t="n">
        <v>4</v>
      </c>
      <c r="AG6" s="59" t="n">
        <v>4</v>
      </c>
      <c r="AH6" s="59" t="n">
        <v>4</v>
      </c>
    </row>
    <row r="7" customFormat="false" ht="15" hidden="false" customHeight="false" outlineLevel="0" collapsed="false">
      <c r="A7" s="51" t="s">
        <v>674</v>
      </c>
      <c r="C7" s="59" t="n">
        <v>2</v>
      </c>
      <c r="D7" s="59" t="n">
        <v>3</v>
      </c>
      <c r="E7" s="59" t="n">
        <v>2</v>
      </c>
      <c r="F7" s="59" t="n">
        <v>3</v>
      </c>
      <c r="G7" s="59" t="n">
        <v>2</v>
      </c>
      <c r="H7" s="59" t="n">
        <v>3</v>
      </c>
      <c r="I7" s="59" t="n">
        <v>2</v>
      </c>
      <c r="J7" s="59" t="n">
        <v>3</v>
      </c>
      <c r="K7" s="59" t="n">
        <v>2</v>
      </c>
      <c r="L7" s="59" t="n">
        <v>3</v>
      </c>
      <c r="M7" s="59" t="n">
        <v>2</v>
      </c>
      <c r="N7" s="59" t="n">
        <v>3</v>
      </c>
      <c r="O7" s="59" t="n">
        <v>2</v>
      </c>
      <c r="P7" s="59" t="n">
        <v>3</v>
      </c>
      <c r="Q7" s="59" t="n">
        <v>2</v>
      </c>
      <c r="R7" s="59" t="n">
        <v>3</v>
      </c>
      <c r="S7" s="59" t="n">
        <v>2</v>
      </c>
      <c r="T7" s="59" t="n">
        <v>3</v>
      </c>
      <c r="U7" s="59" t="n">
        <v>2</v>
      </c>
      <c r="V7" s="59" t="n">
        <v>3</v>
      </c>
      <c r="W7" s="59" t="n">
        <v>2</v>
      </c>
      <c r="X7" s="59" t="n">
        <v>3</v>
      </c>
      <c r="Y7" s="59" t="n">
        <v>2</v>
      </c>
      <c r="Z7" s="59" t="n">
        <v>3</v>
      </c>
      <c r="AA7" s="59" t="n">
        <v>2</v>
      </c>
      <c r="AB7" s="59" t="n">
        <v>3</v>
      </c>
      <c r="AC7" s="59" t="n">
        <v>2</v>
      </c>
      <c r="AD7" s="59" t="n">
        <v>3</v>
      </c>
      <c r="AE7" s="59" t="n">
        <v>2</v>
      </c>
      <c r="AF7" s="59" t="n">
        <v>3</v>
      </c>
      <c r="AG7" s="59" t="n">
        <v>2</v>
      </c>
      <c r="AH7" s="59" t="n">
        <v>3</v>
      </c>
    </row>
    <row r="8" customFormat="false" ht="15" hidden="false" customHeight="false" outlineLevel="0" collapsed="false">
      <c r="A8" s="51" t="s">
        <v>1081</v>
      </c>
      <c r="B8" s="54" t="s">
        <v>75</v>
      </c>
      <c r="C8" s="50" t="s">
        <v>571</v>
      </c>
      <c r="D8" s="50" t="s">
        <v>571</v>
      </c>
      <c r="E8" s="50" t="s">
        <v>571</v>
      </c>
      <c r="F8" s="50" t="s">
        <v>571</v>
      </c>
      <c r="G8" s="50" t="s">
        <v>571</v>
      </c>
      <c r="H8" s="50" t="s">
        <v>571</v>
      </c>
      <c r="I8" s="50" t="s">
        <v>571</v>
      </c>
      <c r="J8" s="50" t="s">
        <v>571</v>
      </c>
      <c r="K8" s="50" t="s">
        <v>571</v>
      </c>
      <c r="L8" s="50" t="s">
        <v>571</v>
      </c>
      <c r="M8" s="50" t="s">
        <v>571</v>
      </c>
      <c r="N8" s="50" t="s">
        <v>571</v>
      </c>
      <c r="O8" s="73" t="n">
        <v>0.3</v>
      </c>
      <c r="P8" s="73" t="n">
        <v>0.3</v>
      </c>
      <c r="Q8" s="73" t="n">
        <v>3</v>
      </c>
      <c r="R8" s="73" t="n">
        <v>3</v>
      </c>
      <c r="S8" s="50" t="s">
        <v>571</v>
      </c>
      <c r="T8" s="50" t="s">
        <v>571</v>
      </c>
      <c r="U8" s="50" t="s">
        <v>571</v>
      </c>
      <c r="V8" s="50" t="s">
        <v>571</v>
      </c>
      <c r="W8" s="50" t="s">
        <v>571</v>
      </c>
      <c r="X8" s="50" t="s">
        <v>571</v>
      </c>
      <c r="Y8" s="73" t="n">
        <v>0</v>
      </c>
      <c r="Z8" s="73" t="n">
        <v>0</v>
      </c>
      <c r="AA8" s="73" t="n">
        <v>3</v>
      </c>
      <c r="AB8" s="73" t="n">
        <v>3</v>
      </c>
      <c r="AC8" s="50" t="s">
        <v>571</v>
      </c>
      <c r="AD8" s="50" t="s">
        <v>571</v>
      </c>
      <c r="AE8" s="50" t="s">
        <v>571</v>
      </c>
      <c r="AF8" s="50" t="s">
        <v>571</v>
      </c>
      <c r="AG8" s="50" t="s">
        <v>571</v>
      </c>
      <c r="AH8" s="50" t="s">
        <v>571</v>
      </c>
    </row>
    <row r="9" customFormat="false" ht="15" hidden="false" customHeight="false" outlineLevel="0" collapsed="false">
      <c r="A9" s="68" t="s">
        <v>953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</row>
    <row r="10" customFormat="false" ht="15" hidden="false" customHeight="false" outlineLevel="0" collapsed="false">
      <c r="A10" s="54" t="s">
        <v>954</v>
      </c>
      <c r="B10" s="54" t="s">
        <v>431</v>
      </c>
      <c r="C10" s="87" t="n">
        <f aca="false">INDEX(Spec_Rack!$C$40:$G$40,C$6)</f>
        <v>17.5</v>
      </c>
      <c r="D10" s="87" t="n">
        <f aca="false">INDEX(Spec_Rack!$C$40:$G$40,D$6)</f>
        <v>17.5</v>
      </c>
      <c r="E10" s="87" t="n">
        <f aca="false">INDEX(Spec_Rack!$C$40:$G$40,E$6)</f>
        <v>17.5</v>
      </c>
      <c r="F10" s="87" t="n">
        <f aca="false">INDEX(Spec_Rack!$C$40:$G$40,F$6)</f>
        <v>17.5</v>
      </c>
      <c r="G10" s="87" t="n">
        <f aca="false">INDEX(Spec_Rack!$C$40:$G$40,G$6)</f>
        <v>17.5</v>
      </c>
      <c r="H10" s="87" t="n">
        <f aca="false">INDEX(Spec_Rack!$C$40:$G$40,H$6)</f>
        <v>17.5</v>
      </c>
      <c r="I10" s="134" t="n">
        <f aca="false">INDEX(Spec_Rack!$C$41:$G$41,I$6)</f>
        <v>35</v>
      </c>
      <c r="J10" s="134" t="n">
        <f aca="false">INDEX(Spec_Rack!$C$41:$G$41,J$6)</f>
        <v>35</v>
      </c>
      <c r="K10" s="87" t="n">
        <f aca="false">INDEX(Spec_Rack!$C$40:$G$40,K$6)</f>
        <v>17.5</v>
      </c>
      <c r="L10" s="87" t="n">
        <f aca="false">INDEX(Spec_Rack!$C$40:$G$40,L$6)</f>
        <v>17.5</v>
      </c>
      <c r="M10" s="87" t="n">
        <f aca="false">INDEX(Spec_Rack!$C$40:$G$40,M$6)</f>
        <v>17.5</v>
      </c>
      <c r="N10" s="87" t="n">
        <f aca="false">INDEX(Spec_Rack!$C$40:$G$40,N$6)</f>
        <v>17.5</v>
      </c>
      <c r="O10" s="87" t="n">
        <f aca="false">INDEX(Spec_Rack!$C$40:$G$40,O$6)</f>
        <v>17.5</v>
      </c>
      <c r="P10" s="87" t="n">
        <f aca="false">INDEX(Spec_Rack!$C$40:$G$40,P$6)</f>
        <v>17.5</v>
      </c>
      <c r="Q10" s="87" t="n">
        <f aca="false">INDEX(Spec_Rack!$C$40:$G$40,Q$6)</f>
        <v>17.5</v>
      </c>
      <c r="R10" s="87" t="n">
        <f aca="false">INDEX(Spec_Rack!$C$40:$G$40,R$6)</f>
        <v>17.5</v>
      </c>
      <c r="S10" s="87" t="n">
        <f aca="false">INDEX(Spec_Rack!$C$40:$G$40,S$6)</f>
        <v>17.5</v>
      </c>
      <c r="T10" s="87" t="n">
        <f aca="false">INDEX(Spec_Rack!$C$40:$G$40,T$6)</f>
        <v>17.5</v>
      </c>
      <c r="U10" s="87" t="n">
        <f aca="false">INDEX(Spec_Rack!$C$40:$G$40,U$6)</f>
        <v>17.5</v>
      </c>
      <c r="V10" s="87" t="n">
        <f aca="false">INDEX(Spec_Rack!$C$40:$G$40,V$6)</f>
        <v>17.5</v>
      </c>
      <c r="W10" s="87" t="n">
        <f aca="false">INDEX(Spec_Rack!$C$40:$G$40,W$6)</f>
        <v>17.5</v>
      </c>
      <c r="X10" s="87" t="n">
        <f aca="false">INDEX(Spec_Rack!$C$40:$G$40,X$6)</f>
        <v>17.5</v>
      </c>
      <c r="Y10" s="87" t="n">
        <f aca="false">INDEX(Spec_Rack!$C$40:$G$40,Y$6)</f>
        <v>17.5</v>
      </c>
      <c r="Z10" s="87" t="n">
        <f aca="false">INDEX(Spec_Rack!$C$40:$G$40,Z$6)</f>
        <v>17.5</v>
      </c>
      <c r="AA10" s="87" t="n">
        <f aca="false">INDEX(Spec_Rack!$C$40:$G$40,AA$6)</f>
        <v>17.5</v>
      </c>
      <c r="AB10" s="87" t="n">
        <f aca="false">INDEX(Spec_Rack!$C$40:$G$40,AB$6)</f>
        <v>17.5</v>
      </c>
      <c r="AC10" s="87" t="n">
        <f aca="false">INDEX(Spec_Rack!$C$40:$G$40,AC$6)</f>
        <v>17.5</v>
      </c>
      <c r="AD10" s="87" t="n">
        <f aca="false">INDEX(Spec_Rack!$C$40:$G$40,AD$6)</f>
        <v>17.5</v>
      </c>
      <c r="AE10" s="87" t="n">
        <f aca="false">INDEX(Spec_Rack!$C$40:$G$40,AE$6)</f>
        <v>17.5</v>
      </c>
      <c r="AF10" s="87" t="n">
        <f aca="false">INDEX(Spec_Rack!$C$40:$G$40,AF$6)</f>
        <v>17.5</v>
      </c>
      <c r="AG10" s="87" t="n">
        <f aca="false">INDEX(Spec_Rack!$C$40:$G$40,AG$6)</f>
        <v>17.5</v>
      </c>
      <c r="AH10" s="87" t="n">
        <f aca="false">INDEX(Spec_Rack!$C$40:$G$40,AH$6)</f>
        <v>17.5</v>
      </c>
    </row>
    <row r="11" customFormat="false" ht="15" hidden="false" customHeight="false" outlineLevel="0" collapsed="false">
      <c r="A11" s="53" t="s">
        <v>955</v>
      </c>
      <c r="B11" s="54" t="s">
        <v>75</v>
      </c>
      <c r="C11" s="90" t="n">
        <f aca="false">Tech_Registry!$E$25</f>
        <v>1</v>
      </c>
      <c r="D11" s="90" t="n">
        <f aca="false">Tech_Registry!$E$25</f>
        <v>1</v>
      </c>
      <c r="E11" s="90" t="n">
        <f aca="false">Tech_Registry!$E$25</f>
        <v>1</v>
      </c>
      <c r="F11" s="90" t="n">
        <f aca="false">Tech_Registry!$E$25</f>
        <v>1</v>
      </c>
      <c r="G11" s="90" t="n">
        <f aca="false">Tech_Registry!$E$25</f>
        <v>1</v>
      </c>
      <c r="H11" s="90" t="n">
        <f aca="false">Tech_Registry!$E$25</f>
        <v>1</v>
      </c>
      <c r="I11" s="90" t="n">
        <f aca="false">Tech_Registry!$E$25</f>
        <v>1</v>
      </c>
      <c r="J11" s="90" t="n">
        <f aca="false">Tech_Registry!$E$25</f>
        <v>1</v>
      </c>
      <c r="K11" s="90" t="n">
        <f aca="false">Tech_Registry!$E$25</f>
        <v>1</v>
      </c>
      <c r="L11" s="90" t="n">
        <f aca="false">Tech_Registry!$E$25</f>
        <v>1</v>
      </c>
      <c r="M11" s="90" t="n">
        <f aca="false">Tech_Registry!$E$25</f>
        <v>1</v>
      </c>
      <c r="N11" s="90" t="n">
        <f aca="false">Tech_Registry!$E$25</f>
        <v>1</v>
      </c>
      <c r="O11" s="90" t="n">
        <f aca="false">Tech_Registry!$E$25</f>
        <v>1</v>
      </c>
      <c r="P11" s="90" t="n">
        <f aca="false">Tech_Registry!$E$25</f>
        <v>1</v>
      </c>
      <c r="Q11" s="90" t="n">
        <f aca="false">Tech_Registry!$E$25</f>
        <v>1</v>
      </c>
      <c r="R11" s="90" t="n">
        <f aca="false">Tech_Registry!$E$25</f>
        <v>1</v>
      </c>
      <c r="S11" s="90" t="n">
        <f aca="false">Tech_Registry!$E$25</f>
        <v>1</v>
      </c>
      <c r="T11" s="90" t="n">
        <f aca="false">Tech_Registry!$E$25</f>
        <v>1</v>
      </c>
      <c r="U11" s="90" t="n">
        <f aca="false">Tech_Registry!$E$25</f>
        <v>1</v>
      </c>
      <c r="V11" s="90" t="n">
        <f aca="false">Tech_Registry!$E$25</f>
        <v>1</v>
      </c>
      <c r="W11" s="90" t="n">
        <f aca="false">Tech_Registry!$E$25</f>
        <v>1</v>
      </c>
      <c r="X11" s="90" t="n">
        <f aca="false">Tech_Registry!$E$25</f>
        <v>1</v>
      </c>
      <c r="Y11" s="90" t="n">
        <f aca="false">Tech_Registry!$E$25</f>
        <v>1</v>
      </c>
      <c r="Z11" s="90" t="n">
        <f aca="false">Tech_Registry!$E$25</f>
        <v>1</v>
      </c>
      <c r="AA11" s="90" t="n">
        <f aca="false">Tech_Registry!$E$25</f>
        <v>1</v>
      </c>
      <c r="AB11" s="90" t="n">
        <f aca="false">Tech_Registry!$E$25</f>
        <v>1</v>
      </c>
      <c r="AC11" s="90" t="n">
        <f aca="false">Tech_Registry!$E$25</f>
        <v>1</v>
      </c>
      <c r="AD11" s="90" t="n">
        <f aca="false">Tech_Registry!$E$25</f>
        <v>1</v>
      </c>
      <c r="AE11" s="90" t="n">
        <f aca="false">Tech_Registry!$E$25</f>
        <v>1</v>
      </c>
      <c r="AF11" s="90" t="n">
        <f aca="false">Tech_Registry!$E$25</f>
        <v>1</v>
      </c>
      <c r="AG11" s="90" t="n">
        <f aca="false">Tech_Registry!$E$25</f>
        <v>1</v>
      </c>
      <c r="AH11" s="90" t="n">
        <f aca="false">Tech_Registry!$E$25</f>
        <v>1</v>
      </c>
    </row>
    <row r="12" customFormat="false" ht="15" hidden="false" customHeight="false" outlineLevel="0" collapsed="false">
      <c r="A12" s="53" t="s">
        <v>956</v>
      </c>
      <c r="B12" s="54" t="s">
        <v>431</v>
      </c>
      <c r="C12" s="108" t="n">
        <f aca="false">C10*C11</f>
        <v>17.5</v>
      </c>
      <c r="D12" s="108" t="n">
        <f aca="false">D10*D11</f>
        <v>17.5</v>
      </c>
      <c r="E12" s="108" t="n">
        <f aca="false">E10*E11</f>
        <v>17.5</v>
      </c>
      <c r="F12" s="108" t="n">
        <f aca="false">F10*F11</f>
        <v>17.5</v>
      </c>
      <c r="G12" s="108" t="n">
        <f aca="false">G10*G11</f>
        <v>17.5</v>
      </c>
      <c r="H12" s="108" t="n">
        <f aca="false">H10*H11</f>
        <v>17.5</v>
      </c>
      <c r="I12" s="108" t="n">
        <f aca="false">I10*I11</f>
        <v>35</v>
      </c>
      <c r="J12" s="108" t="n">
        <f aca="false">J10*J11</f>
        <v>35</v>
      </c>
      <c r="K12" s="108" t="n">
        <f aca="false">K10*K11</f>
        <v>17.5</v>
      </c>
      <c r="L12" s="108" t="n">
        <f aca="false">L10*L11</f>
        <v>17.5</v>
      </c>
      <c r="M12" s="108" t="n">
        <f aca="false">M10*M11</f>
        <v>17.5</v>
      </c>
      <c r="N12" s="108" t="n">
        <f aca="false">N10*N11</f>
        <v>17.5</v>
      </c>
      <c r="O12" s="108" t="n">
        <f aca="false">O10*O11</f>
        <v>17.5</v>
      </c>
      <c r="P12" s="108" t="n">
        <f aca="false">P10*P11</f>
        <v>17.5</v>
      </c>
      <c r="Q12" s="108" t="n">
        <f aca="false">Q10*Q11</f>
        <v>17.5</v>
      </c>
      <c r="R12" s="108" t="n">
        <f aca="false">R10*R11</f>
        <v>17.5</v>
      </c>
      <c r="S12" s="108" t="n">
        <f aca="false">S10*S11</f>
        <v>17.5</v>
      </c>
      <c r="T12" s="108" t="n">
        <f aca="false">T10*T11</f>
        <v>17.5</v>
      </c>
      <c r="U12" s="108" t="n">
        <f aca="false">U10*U11</f>
        <v>17.5</v>
      </c>
      <c r="V12" s="108" t="n">
        <f aca="false">V10*V11</f>
        <v>17.5</v>
      </c>
      <c r="W12" s="108" t="n">
        <f aca="false">W10*W11</f>
        <v>17.5</v>
      </c>
      <c r="X12" s="108" t="n">
        <f aca="false">X10*X11</f>
        <v>17.5</v>
      </c>
      <c r="Y12" s="108" t="n">
        <f aca="false">Y10*Y11</f>
        <v>17.5</v>
      </c>
      <c r="Z12" s="108" t="n">
        <f aca="false">Z10*Z11</f>
        <v>17.5</v>
      </c>
      <c r="AA12" s="108" t="n">
        <f aca="false">AA10*AA11</f>
        <v>17.5</v>
      </c>
      <c r="AB12" s="108" t="n">
        <f aca="false">AB10*AB11</f>
        <v>17.5</v>
      </c>
      <c r="AC12" s="108" t="n">
        <f aca="false">AC10*AC11</f>
        <v>17.5</v>
      </c>
      <c r="AD12" s="108" t="n">
        <f aca="false">AD10*AD11</f>
        <v>17.5</v>
      </c>
      <c r="AE12" s="108" t="n">
        <f aca="false">AE10*AE11</f>
        <v>17.5</v>
      </c>
      <c r="AF12" s="108" t="n">
        <f aca="false">AF10*AF11</f>
        <v>17.5</v>
      </c>
      <c r="AG12" s="108" t="n">
        <f aca="false">AG10*AG11</f>
        <v>17.5</v>
      </c>
      <c r="AH12" s="108" t="n">
        <f aca="false">AH10*AH11</f>
        <v>17.5</v>
      </c>
    </row>
    <row r="13" customFormat="false" ht="15" hidden="false" customHeight="false" outlineLevel="0" collapsed="false">
      <c r="A13" s="53" t="s">
        <v>957</v>
      </c>
      <c r="B13" s="54" t="s">
        <v>71</v>
      </c>
      <c r="C13" s="57" t="n">
        <f aca="false">Train_In!$C$6</f>
        <v>0.25</v>
      </c>
      <c r="D13" s="57" t="n">
        <f aca="false">Train_In!$C$6</f>
        <v>0.25</v>
      </c>
      <c r="E13" s="72" t="n">
        <v>0.15</v>
      </c>
      <c r="F13" s="72" t="n">
        <v>0.15</v>
      </c>
      <c r="G13" s="72" t="n">
        <v>0.4</v>
      </c>
      <c r="H13" s="72" t="n">
        <v>0.4</v>
      </c>
      <c r="I13" s="57" t="n">
        <f aca="false">Train_In!$C$6</f>
        <v>0.25</v>
      </c>
      <c r="J13" s="57" t="n">
        <f aca="false">Train_In!$C$6</f>
        <v>0.25</v>
      </c>
      <c r="K13" s="57" t="n">
        <f aca="false">Train_In!$C$6</f>
        <v>0.25</v>
      </c>
      <c r="L13" s="57" t="n">
        <f aca="false">Train_In!$C$6</f>
        <v>0.25</v>
      </c>
      <c r="M13" s="57" t="n">
        <f aca="false">Train_In!$C$6</f>
        <v>0.25</v>
      </c>
      <c r="N13" s="57" t="n">
        <f aca="false">Train_In!$C$6</f>
        <v>0.25</v>
      </c>
      <c r="O13" s="57" t="n">
        <f aca="false">Train_In!$C$6</f>
        <v>0.25</v>
      </c>
      <c r="P13" s="57" t="n">
        <f aca="false">Train_In!$C$6</f>
        <v>0.25</v>
      </c>
      <c r="Q13" s="57" t="n">
        <f aca="false">Train_In!$C$6</f>
        <v>0.25</v>
      </c>
      <c r="R13" s="57" t="n">
        <f aca="false">Train_In!$C$6</f>
        <v>0.25</v>
      </c>
      <c r="S13" s="57" t="n">
        <f aca="false">Train_In!$C$6</f>
        <v>0.25</v>
      </c>
      <c r="T13" s="57" t="n">
        <f aca="false">Train_In!$C$6</f>
        <v>0.25</v>
      </c>
      <c r="U13" s="57" t="n">
        <f aca="false">Train_In!$C$6</f>
        <v>0.25</v>
      </c>
      <c r="V13" s="57" t="n">
        <f aca="false">Train_In!$C$6</f>
        <v>0.25</v>
      </c>
      <c r="W13" s="57" t="n">
        <f aca="false">Train_In!$C$6</f>
        <v>0.25</v>
      </c>
      <c r="X13" s="57" t="n">
        <f aca="false">Train_In!$C$6</f>
        <v>0.25</v>
      </c>
      <c r="Y13" s="57" t="n">
        <f aca="false">Train_In!$C$6</f>
        <v>0.25</v>
      </c>
      <c r="Z13" s="57" t="n">
        <f aca="false">Train_In!$C$6</f>
        <v>0.25</v>
      </c>
      <c r="AA13" s="57" t="n">
        <f aca="false">Train_In!$C$6</f>
        <v>0.25</v>
      </c>
      <c r="AB13" s="57" t="n">
        <f aca="false">Train_In!$C$6</f>
        <v>0.25</v>
      </c>
      <c r="AC13" s="57" t="n">
        <f aca="false">Train_In!$C$6</f>
        <v>0.25</v>
      </c>
      <c r="AD13" s="57" t="n">
        <f aca="false">Train_In!$C$6</f>
        <v>0.25</v>
      </c>
      <c r="AE13" s="57" t="n">
        <f aca="false">Train_In!$C$6</f>
        <v>0.25</v>
      </c>
      <c r="AF13" s="57" t="n">
        <f aca="false">Train_In!$C$6</f>
        <v>0.25</v>
      </c>
      <c r="AG13" s="57" t="n">
        <f aca="false">Train_In!$C$6</f>
        <v>0.25</v>
      </c>
      <c r="AH13" s="57" t="n">
        <f aca="false">Train_In!$C$6</f>
        <v>0.25</v>
      </c>
    </row>
    <row r="14" customFormat="false" ht="15" hidden="false" customHeight="false" outlineLevel="0" collapsed="false">
      <c r="A14" s="54" t="s">
        <v>958</v>
      </c>
      <c r="B14" s="54" t="s">
        <v>75</v>
      </c>
      <c r="C14" s="90" t="n">
        <f aca="false">INDEX(Train_In!$C$21:$G$21,C$6)</f>
        <v>0.9</v>
      </c>
      <c r="D14" s="90" t="n">
        <f aca="false">INDEX(Train_In!$C$21:$G$21,D$6)</f>
        <v>0.9</v>
      </c>
      <c r="E14" s="90" t="n">
        <f aca="false">INDEX(Train_In!$C$21:$G$21,E$6)</f>
        <v>0.9</v>
      </c>
      <c r="F14" s="90" t="n">
        <f aca="false">INDEX(Train_In!$C$21:$G$21,F$6)</f>
        <v>0.9</v>
      </c>
      <c r="G14" s="90" t="n">
        <f aca="false">INDEX(Train_In!$C$21:$G$21,G$6)</f>
        <v>0.9</v>
      </c>
      <c r="H14" s="90" t="n">
        <f aca="false">INDEX(Train_In!$C$21:$G$21,H$6)</f>
        <v>0.9</v>
      </c>
      <c r="I14" s="90" t="n">
        <f aca="false">INDEX(Train_In!$C$21:$G$21,I$6)</f>
        <v>0.9</v>
      </c>
      <c r="J14" s="90" t="n">
        <f aca="false">INDEX(Train_In!$C$21:$G$21,J$6)</f>
        <v>0.9</v>
      </c>
      <c r="K14" s="90" t="n">
        <f aca="false">INDEX(Train_In!$C$21:$G$21,K$6)</f>
        <v>0.9</v>
      </c>
      <c r="L14" s="90" t="n">
        <f aca="false">INDEX(Train_In!$C$21:$G$21,L$6)</f>
        <v>0.9</v>
      </c>
      <c r="M14" s="90" t="n">
        <f aca="false">INDEX(Train_In!$C$21:$G$21,M$6)</f>
        <v>0.9</v>
      </c>
      <c r="N14" s="90" t="n">
        <f aca="false">INDEX(Train_In!$C$21:$G$21,N$6)</f>
        <v>0.9</v>
      </c>
      <c r="O14" s="90" t="n">
        <f aca="false">INDEX(Train_In!$C$21:$G$21,O$6)</f>
        <v>0.9</v>
      </c>
      <c r="P14" s="90" t="n">
        <f aca="false">INDEX(Train_In!$C$21:$G$21,P$6)</f>
        <v>0.9</v>
      </c>
      <c r="Q14" s="90" t="n">
        <f aca="false">INDEX(Train_In!$C$21:$G$21,Q$6)</f>
        <v>0.9</v>
      </c>
      <c r="R14" s="90" t="n">
        <f aca="false">INDEX(Train_In!$C$21:$G$21,R$6)</f>
        <v>0.9</v>
      </c>
      <c r="S14" s="90" t="n">
        <f aca="false">INDEX(Train_In!$C$21:$G$21,S$6)</f>
        <v>0.9</v>
      </c>
      <c r="T14" s="90" t="n">
        <f aca="false">INDEX(Train_In!$C$21:$G$21,T$6)</f>
        <v>0.9</v>
      </c>
      <c r="U14" s="90" t="n">
        <f aca="false">INDEX(Train_In!$C$21:$G$21,U$6)</f>
        <v>0.9</v>
      </c>
      <c r="V14" s="90" t="n">
        <f aca="false">INDEX(Train_In!$C$21:$G$21,V$6)</f>
        <v>0.9</v>
      </c>
      <c r="W14" s="90" t="n">
        <f aca="false">INDEX(Train_In!$C$21:$G$21,W$6)</f>
        <v>0.9</v>
      </c>
      <c r="X14" s="90" t="n">
        <f aca="false">INDEX(Train_In!$C$21:$G$21,X$6)</f>
        <v>0.9</v>
      </c>
      <c r="Y14" s="90" t="n">
        <f aca="false">INDEX(Train_In!$C$21:$G$21,Y$6)</f>
        <v>0.9</v>
      </c>
      <c r="Z14" s="90" t="n">
        <f aca="false">INDEX(Train_In!$C$21:$G$21,Z$6)</f>
        <v>0.9</v>
      </c>
      <c r="AA14" s="90" t="n">
        <f aca="false">INDEX(Train_In!$C$21:$G$21,AA$6)</f>
        <v>0.9</v>
      </c>
      <c r="AB14" s="90" t="n">
        <f aca="false">INDEX(Train_In!$C$21:$G$21,AB$6)</f>
        <v>0.9</v>
      </c>
      <c r="AC14" s="90" t="n">
        <f aca="false">INDEX(Train_In!$C$21:$G$21,AC$6)</f>
        <v>0.9</v>
      </c>
      <c r="AD14" s="90" t="n">
        <f aca="false">INDEX(Train_In!$C$21:$G$21,AD$6)</f>
        <v>0.9</v>
      </c>
      <c r="AE14" s="90" t="n">
        <f aca="false">INDEX(Train_In!$C$21:$G$21,AE$6)</f>
        <v>0.9</v>
      </c>
      <c r="AF14" s="90" t="n">
        <f aca="false">INDEX(Train_In!$C$21:$G$21,AF$6)</f>
        <v>0.9</v>
      </c>
      <c r="AG14" s="90" t="n">
        <f aca="false">INDEX(Train_In!$C$21:$G$21,AG$6)</f>
        <v>0.9</v>
      </c>
      <c r="AH14" s="90" t="n">
        <f aca="false">INDEX(Train_In!$C$21:$G$21,AH$6)</f>
        <v>0.9</v>
      </c>
    </row>
    <row r="15" customFormat="false" ht="15" hidden="false" customHeight="false" outlineLevel="0" collapsed="false">
      <c r="A15" s="53" t="s">
        <v>959</v>
      </c>
      <c r="B15" s="54" t="s">
        <v>75</v>
      </c>
      <c r="C15" s="90" t="n">
        <f aca="false">Tech_Registry!$E$26</f>
        <v>1</v>
      </c>
      <c r="D15" s="90" t="n">
        <f aca="false">Tech_Registry!$E$26</f>
        <v>1</v>
      </c>
      <c r="E15" s="90" t="n">
        <f aca="false">Tech_Registry!$E$26</f>
        <v>1</v>
      </c>
      <c r="F15" s="90" t="n">
        <f aca="false">Tech_Registry!$E$26</f>
        <v>1</v>
      </c>
      <c r="G15" s="90" t="n">
        <f aca="false">Tech_Registry!$E$26</f>
        <v>1</v>
      </c>
      <c r="H15" s="90" t="n">
        <f aca="false">Tech_Registry!$E$26</f>
        <v>1</v>
      </c>
      <c r="I15" s="90" t="n">
        <f aca="false">Tech_Registry!$E$26</f>
        <v>1</v>
      </c>
      <c r="J15" s="90" t="n">
        <f aca="false">Tech_Registry!$E$26</f>
        <v>1</v>
      </c>
      <c r="K15" s="90" t="n">
        <f aca="false">Tech_Registry!$E$26</f>
        <v>1</v>
      </c>
      <c r="L15" s="90" t="n">
        <f aca="false">Tech_Registry!$E$26</f>
        <v>1</v>
      </c>
      <c r="M15" s="90" t="n">
        <f aca="false">Tech_Registry!$E$26</f>
        <v>1</v>
      </c>
      <c r="N15" s="90" t="n">
        <f aca="false">Tech_Registry!$E$26</f>
        <v>1</v>
      </c>
      <c r="O15" s="90" t="n">
        <f aca="false">Tech_Registry!$E$26</f>
        <v>1</v>
      </c>
      <c r="P15" s="90" t="n">
        <f aca="false">Tech_Registry!$E$26</f>
        <v>1</v>
      </c>
      <c r="Q15" s="90" t="n">
        <f aca="false">Tech_Registry!$E$26</f>
        <v>1</v>
      </c>
      <c r="R15" s="90" t="n">
        <f aca="false">Tech_Registry!$E$26</f>
        <v>1</v>
      </c>
      <c r="S15" s="90" t="n">
        <f aca="false">Tech_Registry!$E$26</f>
        <v>1</v>
      </c>
      <c r="T15" s="90" t="n">
        <f aca="false">Tech_Registry!$E$26</f>
        <v>1</v>
      </c>
      <c r="U15" s="90" t="n">
        <f aca="false">Tech_Registry!$E$26</f>
        <v>1</v>
      </c>
      <c r="V15" s="90" t="n">
        <f aca="false">Tech_Registry!$E$26</f>
        <v>1</v>
      </c>
      <c r="W15" s="90" t="n">
        <f aca="false">Tech_Registry!$E$26</f>
        <v>1</v>
      </c>
      <c r="X15" s="90" t="n">
        <f aca="false">Tech_Registry!$E$26</f>
        <v>1</v>
      </c>
      <c r="Y15" s="90" t="n">
        <f aca="false">Tech_Registry!$E$26</f>
        <v>1</v>
      </c>
      <c r="Z15" s="90" t="n">
        <f aca="false">Tech_Registry!$E$26</f>
        <v>1</v>
      </c>
      <c r="AA15" s="90" t="n">
        <f aca="false">Tech_Registry!$E$26</f>
        <v>1</v>
      </c>
      <c r="AB15" s="90" t="n">
        <f aca="false">Tech_Registry!$E$26</f>
        <v>1</v>
      </c>
      <c r="AC15" s="90" t="n">
        <f aca="false">Tech_Registry!$E$26</f>
        <v>1</v>
      </c>
      <c r="AD15" s="90" t="n">
        <f aca="false">Tech_Registry!$E$26</f>
        <v>1</v>
      </c>
      <c r="AE15" s="90" t="n">
        <f aca="false">Tech_Registry!$E$26</f>
        <v>1</v>
      </c>
      <c r="AF15" s="90" t="n">
        <f aca="false">Tech_Registry!$E$26</f>
        <v>1</v>
      </c>
      <c r="AG15" s="90" t="n">
        <f aca="false">Tech_Registry!$E$26</f>
        <v>1</v>
      </c>
      <c r="AH15" s="90" t="n">
        <f aca="false">Tech_Registry!$E$26</f>
        <v>1</v>
      </c>
    </row>
    <row r="16" customFormat="false" ht="15" hidden="false" customHeight="false" outlineLevel="0" collapsed="false">
      <c r="A16" s="53" t="s">
        <v>960</v>
      </c>
      <c r="B16" s="54" t="s">
        <v>71</v>
      </c>
      <c r="C16" s="96" t="n">
        <f aca="false">C13*C14*C15</f>
        <v>0.225</v>
      </c>
      <c r="D16" s="96" t="n">
        <f aca="false">D13*D14*D15</f>
        <v>0.225</v>
      </c>
      <c r="E16" s="96" t="n">
        <f aca="false">E13*E14*E15</f>
        <v>0.135</v>
      </c>
      <c r="F16" s="96" t="n">
        <f aca="false">F13*F14*F15</f>
        <v>0.135</v>
      </c>
      <c r="G16" s="96" t="n">
        <f aca="false">G13*G14*G15</f>
        <v>0.36</v>
      </c>
      <c r="H16" s="96" t="n">
        <f aca="false">H13*H14*H15</f>
        <v>0.36</v>
      </c>
      <c r="I16" s="96" t="n">
        <f aca="false">I13*I14*I15</f>
        <v>0.225</v>
      </c>
      <c r="J16" s="96" t="n">
        <f aca="false">J13*J14*J15</f>
        <v>0.225</v>
      </c>
      <c r="K16" s="96" t="n">
        <f aca="false">K13*K14*K15</f>
        <v>0.225</v>
      </c>
      <c r="L16" s="96" t="n">
        <f aca="false">L13*L14*L15</f>
        <v>0.225</v>
      </c>
      <c r="M16" s="96" t="n">
        <f aca="false">M13*M14*M15</f>
        <v>0.225</v>
      </c>
      <c r="N16" s="96" t="n">
        <f aca="false">N13*N14*N15</f>
        <v>0.225</v>
      </c>
      <c r="O16" s="96" t="n">
        <f aca="false">O13*O14*O15</f>
        <v>0.225</v>
      </c>
      <c r="P16" s="96" t="n">
        <f aca="false">P13*P14*P15</f>
        <v>0.225</v>
      </c>
      <c r="Q16" s="96" t="n">
        <f aca="false">Q13*Q14*Q15</f>
        <v>0.225</v>
      </c>
      <c r="R16" s="96" t="n">
        <f aca="false">R13*R14*R15</f>
        <v>0.225</v>
      </c>
      <c r="S16" s="96" t="n">
        <f aca="false">S13*S14*S15</f>
        <v>0.225</v>
      </c>
      <c r="T16" s="96" t="n">
        <f aca="false">T13*T14*T15</f>
        <v>0.225</v>
      </c>
      <c r="U16" s="96" t="n">
        <f aca="false">U13*U14*U15</f>
        <v>0.225</v>
      </c>
      <c r="V16" s="96" t="n">
        <f aca="false">V13*V14*V15</f>
        <v>0.225</v>
      </c>
      <c r="W16" s="96" t="n">
        <f aca="false">W13*W14*W15</f>
        <v>0.225</v>
      </c>
      <c r="X16" s="96" t="n">
        <f aca="false">X13*X14*X15</f>
        <v>0.225</v>
      </c>
      <c r="Y16" s="96" t="n">
        <f aca="false">Y13*Y14*Y15</f>
        <v>0.225</v>
      </c>
      <c r="Z16" s="96" t="n">
        <f aca="false">Z13*Z14*Z15</f>
        <v>0.225</v>
      </c>
      <c r="AA16" s="96" t="n">
        <f aca="false">AA13*AA14*AA15</f>
        <v>0.225</v>
      </c>
      <c r="AB16" s="96" t="n">
        <f aca="false">AB13*AB14*AB15</f>
        <v>0.225</v>
      </c>
      <c r="AC16" s="96" t="n">
        <f aca="false">AC13*AC14*AC15</f>
        <v>0.225</v>
      </c>
      <c r="AD16" s="96" t="n">
        <f aca="false">AD13*AD14*AD15</f>
        <v>0.225</v>
      </c>
      <c r="AE16" s="96" t="n">
        <f aca="false">AE13*AE14*AE15</f>
        <v>0.225</v>
      </c>
      <c r="AF16" s="96" t="n">
        <f aca="false">AF13*AF14*AF15</f>
        <v>0.225</v>
      </c>
      <c r="AG16" s="96" t="n">
        <f aca="false">AG13*AG14*AG15</f>
        <v>0.225</v>
      </c>
      <c r="AH16" s="96" t="n">
        <f aca="false">AH13*AH14*AH15</f>
        <v>0.225</v>
      </c>
    </row>
    <row r="17" customFormat="false" ht="15" hidden="false" customHeight="false" outlineLevel="0" collapsed="false">
      <c r="A17" s="54" t="s">
        <v>961</v>
      </c>
      <c r="B17" s="54" t="s">
        <v>71</v>
      </c>
      <c r="C17" s="57" t="n">
        <f aca="false">Train_In!$C$7</f>
        <v>0.9</v>
      </c>
      <c r="D17" s="57" t="n">
        <f aca="false">Train_In!$C$7</f>
        <v>0.9</v>
      </c>
      <c r="E17" s="57" t="n">
        <f aca="false">Train_In!$C$7</f>
        <v>0.9</v>
      </c>
      <c r="F17" s="57" t="n">
        <f aca="false">Train_In!$C$7</f>
        <v>0.9</v>
      </c>
      <c r="G17" s="57" t="n">
        <f aca="false">Train_In!$C$7</f>
        <v>0.9</v>
      </c>
      <c r="H17" s="57" t="n">
        <f aca="false">Train_In!$C$7</f>
        <v>0.9</v>
      </c>
      <c r="I17" s="57" t="n">
        <f aca="false">Train_In!$C$7</f>
        <v>0.9</v>
      </c>
      <c r="J17" s="57" t="n">
        <f aca="false">Train_In!$C$7</f>
        <v>0.9</v>
      </c>
      <c r="K17" s="57" t="n">
        <f aca="false">Train_In!$C$7</f>
        <v>0.9</v>
      </c>
      <c r="L17" s="57" t="n">
        <f aca="false">Train_In!$C$7</f>
        <v>0.9</v>
      </c>
      <c r="M17" s="57" t="n">
        <f aca="false">Train_In!$C$7</f>
        <v>0.9</v>
      </c>
      <c r="N17" s="57" t="n">
        <f aca="false">Train_In!$C$7</f>
        <v>0.9</v>
      </c>
      <c r="O17" s="57" t="n">
        <f aca="false">Train_In!$C$7</f>
        <v>0.9</v>
      </c>
      <c r="P17" s="57" t="n">
        <f aca="false">Train_In!$C$7</f>
        <v>0.9</v>
      </c>
      <c r="Q17" s="57" t="n">
        <f aca="false">Train_In!$C$7</f>
        <v>0.9</v>
      </c>
      <c r="R17" s="57" t="n">
        <f aca="false">Train_In!$C$7</f>
        <v>0.9</v>
      </c>
      <c r="S17" s="57" t="n">
        <f aca="false">Train_In!$C$7</f>
        <v>0.9</v>
      </c>
      <c r="T17" s="57" t="n">
        <f aca="false">Train_In!$C$7</f>
        <v>0.9</v>
      </c>
      <c r="U17" s="57" t="n">
        <f aca="false">Train_In!$C$7</f>
        <v>0.9</v>
      </c>
      <c r="V17" s="57" t="n">
        <f aca="false">Train_In!$C$7</f>
        <v>0.9</v>
      </c>
      <c r="W17" s="57" t="n">
        <f aca="false">Train_In!$C$7</f>
        <v>0.9</v>
      </c>
      <c r="X17" s="57" t="n">
        <f aca="false">Train_In!$C$7</f>
        <v>0.9</v>
      </c>
      <c r="Y17" s="57" t="n">
        <f aca="false">Train_In!$C$7</f>
        <v>0.9</v>
      </c>
      <c r="Z17" s="57" t="n">
        <f aca="false">Train_In!$C$7</f>
        <v>0.9</v>
      </c>
      <c r="AA17" s="57" t="n">
        <f aca="false">Train_In!$C$7</f>
        <v>0.9</v>
      </c>
      <c r="AB17" s="57" t="n">
        <f aca="false">Train_In!$C$7</f>
        <v>0.9</v>
      </c>
      <c r="AC17" s="57" t="n">
        <f aca="false">Train_In!$C$7</f>
        <v>0.9</v>
      </c>
      <c r="AD17" s="57" t="n">
        <f aca="false">Train_In!$C$7</f>
        <v>0.9</v>
      </c>
      <c r="AE17" s="57" t="n">
        <f aca="false">Train_In!$C$7</f>
        <v>0.9</v>
      </c>
      <c r="AF17" s="57" t="n">
        <f aca="false">Train_In!$C$7</f>
        <v>0.9</v>
      </c>
      <c r="AG17" s="72" t="n">
        <v>0.8</v>
      </c>
      <c r="AH17" s="72" t="n">
        <v>0.8</v>
      </c>
    </row>
    <row r="18" customFormat="false" ht="15" hidden="false" customHeight="false" outlineLevel="0" collapsed="false">
      <c r="A18" s="53" t="s">
        <v>962</v>
      </c>
      <c r="B18" s="53" t="s">
        <v>686</v>
      </c>
      <c r="C18" s="55" t="n">
        <f aca="false">INDEX(DC_Cost!$C$14:$Q$14,3*(C$6-1)+2)/CTL_GW</f>
        <v>291744</v>
      </c>
      <c r="D18" s="55" t="n">
        <f aca="false">INDEX(DC_Cost!$C$14:$Q$14,3*(D$6-1)+2)/CTL_GW</f>
        <v>291744</v>
      </c>
      <c r="E18" s="55" t="n">
        <f aca="false">INDEX(DC_Cost!$C$14:$Q$14,3*(E$6-1)+2)/CTL_GW</f>
        <v>291744</v>
      </c>
      <c r="F18" s="55" t="n">
        <f aca="false">INDEX(DC_Cost!$C$14:$Q$14,3*(F$6-1)+2)/CTL_GW</f>
        <v>291744</v>
      </c>
      <c r="G18" s="55" t="n">
        <f aca="false">INDEX(DC_Cost!$C$14:$Q$14,3*(G$6-1)+2)/CTL_GW</f>
        <v>291744</v>
      </c>
      <c r="H18" s="55" t="n">
        <f aca="false">INDEX(DC_Cost!$C$14:$Q$14,3*(H$6-1)+2)/CTL_GW</f>
        <v>291744</v>
      </c>
      <c r="I18" s="55" t="n">
        <f aca="false">INDEX(DC_Cost!$C$14:$Q$14,3*(I$6-1)+2)/CTL_GW</f>
        <v>291744</v>
      </c>
      <c r="J18" s="55" t="n">
        <f aca="false">INDEX(DC_Cost!$C$14:$Q$14,3*(J$6-1)+2)/CTL_GW</f>
        <v>291744</v>
      </c>
      <c r="K18" s="55" t="n">
        <f aca="false">INDEX(DC_Cost!$C$14:$Q$14,3*(K$6-1)+2)/CTL_GW</f>
        <v>291744</v>
      </c>
      <c r="L18" s="55" t="n">
        <f aca="false">INDEX(DC_Cost!$C$14:$Q$14,3*(L$6-1)+2)/CTL_GW</f>
        <v>291744</v>
      </c>
      <c r="M18" s="55" t="n">
        <f aca="false">INDEX(DC_Cost!$C$14:$Q$14,3*(M$6-1)+2)/CTL_GW</f>
        <v>291744</v>
      </c>
      <c r="N18" s="55" t="n">
        <f aca="false">INDEX(DC_Cost!$C$14:$Q$14,3*(N$6-1)+2)/CTL_GW</f>
        <v>291744</v>
      </c>
      <c r="O18" s="55" t="n">
        <f aca="false">INDEX(DC_Cost!$C$14:$Q$14,3*(O$6-1)+2)/CTL_GW</f>
        <v>291744</v>
      </c>
      <c r="P18" s="55" t="n">
        <f aca="false">INDEX(DC_Cost!$C$14:$Q$14,3*(P$6-1)+2)/CTL_GW</f>
        <v>291744</v>
      </c>
      <c r="Q18" s="55" t="n">
        <f aca="false">INDEX(DC_Cost!$C$14:$Q$14,3*(Q$6-1)+2)/CTL_GW</f>
        <v>291744</v>
      </c>
      <c r="R18" s="55" t="n">
        <f aca="false">INDEX(DC_Cost!$C$14:$Q$14,3*(R$6-1)+2)/CTL_GW</f>
        <v>291744</v>
      </c>
      <c r="S18" s="55" t="n">
        <f aca="false">INDEX(DC_Cost!$C$14:$Q$14,3*(S$6-1)+2)/CTL_GW</f>
        <v>291744</v>
      </c>
      <c r="T18" s="55" t="n">
        <f aca="false">INDEX(DC_Cost!$C$14:$Q$14,3*(T$6-1)+2)/CTL_GW</f>
        <v>291744</v>
      </c>
      <c r="U18" s="55" t="n">
        <f aca="false">INDEX(DC_Cost!$C$14:$Q$14,3*(U$6-1)+2)/CTL_GW</f>
        <v>291744</v>
      </c>
      <c r="V18" s="55" t="n">
        <f aca="false">INDEX(DC_Cost!$C$14:$Q$14,3*(V$6-1)+2)/CTL_GW</f>
        <v>291744</v>
      </c>
      <c r="W18" s="55" t="n">
        <f aca="false">INDEX(DC_Cost!$C$14:$Q$14,3*(W$6-1)+2)/CTL_GW</f>
        <v>291744</v>
      </c>
      <c r="X18" s="55" t="n">
        <f aca="false">INDEX(DC_Cost!$C$14:$Q$14,3*(X$6-1)+2)/CTL_GW</f>
        <v>291744</v>
      </c>
      <c r="Y18" s="55" t="n">
        <f aca="false">INDEX(DC_Cost!$C$14:$Q$14,3*(Y$6-1)+2)/CTL_GW</f>
        <v>291744</v>
      </c>
      <c r="Z18" s="55" t="n">
        <f aca="false">INDEX(DC_Cost!$C$14:$Q$14,3*(Z$6-1)+2)/CTL_GW</f>
        <v>291744</v>
      </c>
      <c r="AA18" s="55" t="n">
        <f aca="false">INDEX(DC_Cost!$C$14:$Q$14,3*(AA$6-1)+2)/CTL_GW</f>
        <v>291744</v>
      </c>
      <c r="AB18" s="55" t="n">
        <f aca="false">INDEX(DC_Cost!$C$14:$Q$14,3*(AB$6-1)+2)/CTL_GW</f>
        <v>291744</v>
      </c>
      <c r="AC18" s="55" t="n">
        <f aca="false">INDEX(DC_Cost!$C$14:$Q$14,3*(AC$6-1)+2)/CTL_GW</f>
        <v>291744</v>
      </c>
      <c r="AD18" s="55" t="n">
        <f aca="false">INDEX(DC_Cost!$C$14:$Q$14,3*(AD$6-1)+2)/CTL_GW</f>
        <v>291744</v>
      </c>
      <c r="AE18" s="55" t="n">
        <f aca="false">INDEX(DC_Cost!$C$14:$Q$14,3*(AE$6-1)+2)/CTL_GW</f>
        <v>291744</v>
      </c>
      <c r="AF18" s="55" t="n">
        <f aca="false">INDEX(DC_Cost!$C$14:$Q$14,3*(AF$6-1)+2)/CTL_GW</f>
        <v>291744</v>
      </c>
      <c r="AG18" s="55" t="n">
        <f aca="false">INDEX(DC_Cost!$C$14:$Q$14,3*(AG$6-1)+2)/CTL_GW</f>
        <v>291744</v>
      </c>
      <c r="AH18" s="55" t="n">
        <f aca="false">INDEX(DC_Cost!$C$14:$Q$14,3*(AH$6-1)+2)/CTL_GW</f>
        <v>291744</v>
      </c>
    </row>
    <row r="19" customFormat="false" ht="15" hidden="false" customHeight="false" outlineLevel="0" collapsed="false">
      <c r="A19" s="53" t="s">
        <v>963</v>
      </c>
      <c r="B19" s="54" t="s">
        <v>803</v>
      </c>
      <c r="C19" s="88" t="n">
        <f aca="false">INDEX(DC_Cost!$C$58:$Q$58,3*(C$6-1)+2)</f>
        <v>4.99359409623699</v>
      </c>
      <c r="D19" s="88" t="n">
        <f aca="false">INDEX(DC_Cost!$C$58:$Q$58,3*(D$6-1)+2)</f>
        <v>4.99359409623699</v>
      </c>
      <c r="E19" s="88" t="n">
        <f aca="false">INDEX(DC_Cost!$C$58:$Q$58,3*(E$6-1)+2)</f>
        <v>4.99359409623699</v>
      </c>
      <c r="F19" s="88" t="n">
        <f aca="false">INDEX(DC_Cost!$C$58:$Q$58,3*(F$6-1)+2)</f>
        <v>4.99359409623699</v>
      </c>
      <c r="G19" s="88" t="n">
        <f aca="false">INDEX(DC_Cost!$C$58:$Q$58,3*(G$6-1)+2)</f>
        <v>4.99359409623699</v>
      </c>
      <c r="H19" s="88" t="n">
        <f aca="false">INDEX(DC_Cost!$C$58:$Q$58,3*(H$6-1)+2)</f>
        <v>4.99359409623699</v>
      </c>
      <c r="I19" s="88" t="n">
        <f aca="false">INDEX(DC_Cost!$C$58:$Q$58,3*(I$6-1)+2)</f>
        <v>4.99359409623699</v>
      </c>
      <c r="J19" s="88" t="n">
        <f aca="false">INDEX(DC_Cost!$C$58:$Q$58,3*(J$6-1)+2)</f>
        <v>4.99359409623699</v>
      </c>
      <c r="K19" s="88" t="n">
        <f aca="false">INDEX(DC_Cost!$C$58:$Q$58,3*(K$6-1)+2)</f>
        <v>4.99359409623699</v>
      </c>
      <c r="L19" s="88" t="n">
        <f aca="false">INDEX(DC_Cost!$C$58:$Q$58,3*(L$6-1)+2)</f>
        <v>4.99359409623699</v>
      </c>
      <c r="M19" s="88" t="n">
        <f aca="false">INDEX(DC_Cost!$C$58:$Q$58,3*(M$6-1)+2)</f>
        <v>4.99359409623699</v>
      </c>
      <c r="N19" s="88" t="n">
        <f aca="false">INDEX(DC_Cost!$C$58:$Q$58,3*(N$6-1)+2)</f>
        <v>4.99359409623699</v>
      </c>
      <c r="O19" s="88" t="n">
        <f aca="false">INDEX(DC_Cost!$C$58:$Q$58,3*(O$6-1)+2)</f>
        <v>4.99359409623699</v>
      </c>
      <c r="P19" s="88" t="n">
        <f aca="false">INDEX(DC_Cost!$C$58:$Q$58,3*(P$6-1)+2)</f>
        <v>4.99359409623699</v>
      </c>
      <c r="Q19" s="88" t="n">
        <f aca="false">INDEX(DC_Cost!$C$58:$Q$58,3*(Q$6-1)+2)</f>
        <v>4.99359409623699</v>
      </c>
      <c r="R19" s="88" t="n">
        <f aca="false">INDEX(DC_Cost!$C$58:$Q$58,3*(R$6-1)+2)</f>
        <v>4.99359409623699</v>
      </c>
      <c r="S19" s="88" t="n">
        <f aca="false">INDEX(DC_Cost!$C$58:$Q$58,3*(S$6-1)+2)</f>
        <v>4.99359409623699</v>
      </c>
      <c r="T19" s="88" t="n">
        <f aca="false">INDEX(DC_Cost!$C$58:$Q$58,3*(T$6-1)+2)</f>
        <v>4.99359409623699</v>
      </c>
      <c r="U19" s="88" t="n">
        <f aca="false">INDEX(DC_Cost!$C$58:$Q$58,3*(U$6-1)+2)</f>
        <v>4.99359409623699</v>
      </c>
      <c r="V19" s="88" t="n">
        <f aca="false">INDEX(DC_Cost!$C$58:$Q$58,3*(V$6-1)+2)</f>
        <v>4.99359409623699</v>
      </c>
      <c r="W19" s="88" t="n">
        <f aca="false">INDEX(DC_Cost!$C$58:$Q$58,3*(W$6-1)+2)</f>
        <v>4.99359409623699</v>
      </c>
      <c r="X19" s="88" t="n">
        <f aca="false">INDEX(DC_Cost!$C$58:$Q$58,3*(X$6-1)+2)</f>
        <v>4.99359409623699</v>
      </c>
      <c r="Y19" s="88" t="n">
        <f aca="false">INDEX(DC_Cost!$C$58:$Q$58,3*(Y$6-1)+2)</f>
        <v>4.99359409623699</v>
      </c>
      <c r="Z19" s="88" t="n">
        <f aca="false">INDEX(DC_Cost!$C$58:$Q$58,3*(Z$6-1)+2)</f>
        <v>4.99359409623699</v>
      </c>
      <c r="AA19" s="88" t="n">
        <f aca="false">INDEX(DC_Cost!$C$58:$Q$58,3*(AA$6-1)+2)</f>
        <v>4.99359409623699</v>
      </c>
      <c r="AB19" s="88" t="n">
        <f aca="false">INDEX(DC_Cost!$C$58:$Q$58,3*(AB$6-1)+2)</f>
        <v>4.99359409623699</v>
      </c>
      <c r="AC19" s="88" t="n">
        <f aca="false">INDEX(DC_Cost!$C$58:$Q$58,3*(AC$6-1)+2)</f>
        <v>4.99359409623699</v>
      </c>
      <c r="AD19" s="88" t="n">
        <f aca="false">INDEX(DC_Cost!$C$58:$Q$58,3*(AD$6-1)+2)</f>
        <v>4.99359409623699</v>
      </c>
      <c r="AE19" s="88" t="n">
        <f aca="false">INDEX(DC_Cost!$C$58:$Q$58,3*(AE$6-1)+2)</f>
        <v>4.99359409623699</v>
      </c>
      <c r="AF19" s="88" t="n">
        <f aca="false">INDEX(DC_Cost!$C$58:$Q$58,3*(AF$6-1)+2)</f>
        <v>4.99359409623699</v>
      </c>
      <c r="AG19" s="88" t="n">
        <f aca="false">INDEX(DC_Cost!$C$58:$Q$58,3*(AG$6-1)+2)</f>
        <v>4.99359409623699</v>
      </c>
      <c r="AH19" s="88" t="n">
        <f aca="false">INDEX(DC_Cost!$C$58:$Q$58,3*(AH$6-1)+2)</f>
        <v>4.99359409623699</v>
      </c>
    </row>
    <row r="20" customFormat="false" ht="15" hidden="false" customHeight="false" outlineLevel="0" collapsed="false">
      <c r="A20" s="53" t="s">
        <v>964</v>
      </c>
      <c r="B20" s="54" t="s">
        <v>803</v>
      </c>
      <c r="C20" s="88" t="n">
        <f aca="false">INDEX(DC_Cost!$C$57:$Q$57,3*(C$6-1)+2)</f>
        <v>3.72850221140062</v>
      </c>
      <c r="D20" s="88" t="n">
        <f aca="false">INDEX(DC_Cost!$C$57:$Q$57,3*(D$6-1)+2)</f>
        <v>3.72850221140062</v>
      </c>
      <c r="E20" s="88" t="n">
        <f aca="false">INDEX(DC_Cost!$C$57:$Q$57,3*(E$6-1)+2)</f>
        <v>3.72850221140062</v>
      </c>
      <c r="F20" s="88" t="n">
        <f aca="false">INDEX(DC_Cost!$C$57:$Q$57,3*(F$6-1)+2)</f>
        <v>3.72850221140062</v>
      </c>
      <c r="G20" s="88" t="n">
        <f aca="false">INDEX(DC_Cost!$C$57:$Q$57,3*(G$6-1)+2)</f>
        <v>3.72850221140062</v>
      </c>
      <c r="H20" s="88" t="n">
        <f aca="false">INDEX(DC_Cost!$C$57:$Q$57,3*(H$6-1)+2)</f>
        <v>3.72850221140062</v>
      </c>
      <c r="I20" s="88" t="n">
        <f aca="false">INDEX(DC_Cost!$C$57:$Q$57,3*(I$6-1)+2)</f>
        <v>3.72850221140062</v>
      </c>
      <c r="J20" s="88" t="n">
        <f aca="false">INDEX(DC_Cost!$C$57:$Q$57,3*(J$6-1)+2)</f>
        <v>3.72850221140062</v>
      </c>
      <c r="K20" s="88" t="n">
        <f aca="false">INDEX(DC_Cost!$C$57:$Q$57,3*(K$6-1)+2)</f>
        <v>3.72850221140062</v>
      </c>
      <c r="L20" s="88" t="n">
        <f aca="false">INDEX(DC_Cost!$C$57:$Q$57,3*(L$6-1)+2)</f>
        <v>3.72850221140062</v>
      </c>
      <c r="M20" s="88" t="n">
        <f aca="false">INDEX(DC_Cost!$C$57:$Q$57,3*(M$6-1)+2)</f>
        <v>3.72850221140062</v>
      </c>
      <c r="N20" s="88" t="n">
        <f aca="false">INDEX(DC_Cost!$C$57:$Q$57,3*(N$6-1)+2)</f>
        <v>3.72850221140062</v>
      </c>
      <c r="O20" s="88" t="n">
        <f aca="false">INDEX(DC_Cost!$C$57:$Q$57,3*(O$6-1)+2)</f>
        <v>3.72850221140062</v>
      </c>
      <c r="P20" s="88" t="n">
        <f aca="false">INDEX(DC_Cost!$C$57:$Q$57,3*(P$6-1)+2)</f>
        <v>3.72850221140062</v>
      </c>
      <c r="Q20" s="88" t="n">
        <f aca="false">INDEX(DC_Cost!$C$57:$Q$57,3*(Q$6-1)+2)</f>
        <v>3.72850221140062</v>
      </c>
      <c r="R20" s="88" t="n">
        <f aca="false">INDEX(DC_Cost!$C$57:$Q$57,3*(R$6-1)+2)</f>
        <v>3.72850221140062</v>
      </c>
      <c r="S20" s="88" t="n">
        <f aca="false">INDEX(DC_Cost!$C$57:$Q$57,3*(S$6-1)+2)</f>
        <v>3.72850221140062</v>
      </c>
      <c r="T20" s="88" t="n">
        <f aca="false">INDEX(DC_Cost!$C$57:$Q$57,3*(T$6-1)+2)</f>
        <v>3.72850221140062</v>
      </c>
      <c r="U20" s="88" t="n">
        <f aca="false">INDEX(DC_Cost!$C$57:$Q$57,3*(U$6-1)+2)</f>
        <v>3.72850221140062</v>
      </c>
      <c r="V20" s="88" t="n">
        <f aca="false">INDEX(DC_Cost!$C$57:$Q$57,3*(V$6-1)+2)</f>
        <v>3.72850221140062</v>
      </c>
      <c r="W20" s="88" t="n">
        <f aca="false">INDEX(DC_Cost!$C$57:$Q$57,3*(W$6-1)+2)</f>
        <v>3.72850221140062</v>
      </c>
      <c r="X20" s="88" t="n">
        <f aca="false">INDEX(DC_Cost!$C$57:$Q$57,3*(X$6-1)+2)</f>
        <v>3.72850221140062</v>
      </c>
      <c r="Y20" s="88" t="n">
        <f aca="false">INDEX(DC_Cost!$C$57:$Q$57,3*(Y$6-1)+2)</f>
        <v>3.72850221140062</v>
      </c>
      <c r="Z20" s="88" t="n">
        <f aca="false">INDEX(DC_Cost!$C$57:$Q$57,3*(Z$6-1)+2)</f>
        <v>3.72850221140062</v>
      </c>
      <c r="AA20" s="88" t="n">
        <f aca="false">INDEX(DC_Cost!$C$57:$Q$57,3*(AA$6-1)+2)</f>
        <v>3.72850221140062</v>
      </c>
      <c r="AB20" s="88" t="n">
        <f aca="false">INDEX(DC_Cost!$C$57:$Q$57,3*(AB$6-1)+2)</f>
        <v>3.72850221140062</v>
      </c>
      <c r="AC20" s="88" t="n">
        <f aca="false">INDEX(DC_Cost!$C$57:$Q$57,3*(AC$6-1)+2)</f>
        <v>3.72850221140062</v>
      </c>
      <c r="AD20" s="88" t="n">
        <f aca="false">INDEX(DC_Cost!$C$57:$Q$57,3*(AD$6-1)+2)</f>
        <v>3.72850221140062</v>
      </c>
      <c r="AE20" s="88" t="n">
        <f aca="false">INDEX(DC_Cost!$C$57:$Q$57,3*(AE$6-1)+2)</f>
        <v>3.72850221140062</v>
      </c>
      <c r="AF20" s="88" t="n">
        <f aca="false">INDEX(DC_Cost!$C$57:$Q$57,3*(AF$6-1)+2)</f>
        <v>3.72850221140062</v>
      </c>
      <c r="AG20" s="88" t="n">
        <f aca="false">INDEX(DC_Cost!$C$57:$Q$57,3*(AG$6-1)+2)</f>
        <v>3.72850221140062</v>
      </c>
      <c r="AH20" s="88" t="n">
        <f aca="false">INDEX(DC_Cost!$C$57:$Q$57,3*(AH$6-1)+2)</f>
        <v>3.72850221140062</v>
      </c>
    </row>
    <row r="21" customFormat="false" ht="15" hidden="false" customHeight="false" outlineLevel="0" collapsed="false">
      <c r="A21" s="68" t="s">
        <v>695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</row>
    <row r="22" customFormat="false" ht="15" hidden="false" customHeight="false" outlineLevel="0" collapsed="false">
      <c r="A22" s="53" t="s">
        <v>231</v>
      </c>
      <c r="B22" s="54" t="s">
        <v>228</v>
      </c>
      <c r="C22" s="55" t="n">
        <f aca="false">INDEX(Arch!$C$7:$E$7,C$7)</f>
        <v>49</v>
      </c>
      <c r="D22" s="55" t="n">
        <f aca="false">INDEX(Arch!$C$7:$E$7,D$7)</f>
        <v>180</v>
      </c>
      <c r="E22" s="55" t="n">
        <f aca="false">INDEX(Arch!$C$7:$E$7,E$7)</f>
        <v>49</v>
      </c>
      <c r="F22" s="55" t="n">
        <f aca="false">INDEX(Arch!$C$7:$E$7,F$7)</f>
        <v>180</v>
      </c>
      <c r="G22" s="55" t="n">
        <f aca="false">INDEX(Arch!$C$7:$E$7,G$7)</f>
        <v>49</v>
      </c>
      <c r="H22" s="55" t="n">
        <f aca="false">INDEX(Arch!$C$7:$E$7,H$7)</f>
        <v>180</v>
      </c>
      <c r="I22" s="55" t="n">
        <f aca="false">INDEX(Arch!$C$7:$E$7,I$7)</f>
        <v>49</v>
      </c>
      <c r="J22" s="55" t="n">
        <f aca="false">INDEX(Arch!$C$7:$E$7,J$7)</f>
        <v>180</v>
      </c>
      <c r="K22" s="55" t="n">
        <f aca="false">INDEX(Arch!$C$7:$E$7,K$7)</f>
        <v>49</v>
      </c>
      <c r="L22" s="55" t="n">
        <f aca="false">INDEX(Arch!$C$7:$E$7,L$7)</f>
        <v>180</v>
      </c>
      <c r="M22" s="55" t="n">
        <f aca="false">INDEX(Arch!$C$7:$E$7,M$7)</f>
        <v>49</v>
      </c>
      <c r="N22" s="55" t="n">
        <f aca="false">INDEX(Arch!$C$7:$E$7,N$7)</f>
        <v>180</v>
      </c>
      <c r="O22" s="55" t="n">
        <f aca="false">INDEX(Arch!$C$7:$E$7,O$7)</f>
        <v>49</v>
      </c>
      <c r="P22" s="55" t="n">
        <f aca="false">INDEX(Arch!$C$7:$E$7,P$7)</f>
        <v>180</v>
      </c>
      <c r="Q22" s="55" t="n">
        <f aca="false">INDEX(Arch!$C$7:$E$7,Q$7)</f>
        <v>49</v>
      </c>
      <c r="R22" s="55" t="n">
        <f aca="false">INDEX(Arch!$C$7:$E$7,R$7)</f>
        <v>180</v>
      </c>
      <c r="S22" s="55" t="n">
        <f aca="false">INDEX(Arch!$C$7:$E$7,S$7)</f>
        <v>49</v>
      </c>
      <c r="T22" s="55" t="n">
        <f aca="false">INDEX(Arch!$C$7:$E$7,T$7)</f>
        <v>180</v>
      </c>
      <c r="U22" s="55" t="n">
        <f aca="false">INDEX(Arch!$C$7:$E$7,U$7)</f>
        <v>49</v>
      </c>
      <c r="V22" s="55" t="n">
        <f aca="false">INDEX(Arch!$C$7:$E$7,V$7)</f>
        <v>180</v>
      </c>
      <c r="W22" s="55" t="n">
        <f aca="false">INDEX(Arch!$C$7:$E$7,W$7)</f>
        <v>49</v>
      </c>
      <c r="X22" s="55" t="n">
        <f aca="false">INDEX(Arch!$C$7:$E$7,X$7)</f>
        <v>180</v>
      </c>
      <c r="Y22" s="55" t="n">
        <f aca="false">INDEX(Arch!$C$7:$E$7,Y$7)</f>
        <v>49</v>
      </c>
      <c r="Z22" s="55" t="n">
        <f aca="false">INDEX(Arch!$C$7:$E$7,Z$7)</f>
        <v>180</v>
      </c>
      <c r="AA22" s="55" t="n">
        <f aca="false">INDEX(Arch!$C$7:$E$7,AA$7)</f>
        <v>49</v>
      </c>
      <c r="AB22" s="55" t="n">
        <f aca="false">INDEX(Arch!$C$7:$E$7,AB$7)</f>
        <v>180</v>
      </c>
      <c r="AC22" s="55" t="n">
        <f aca="false">INDEX(Arch!$C$7:$E$7,AC$7)</f>
        <v>49</v>
      </c>
      <c r="AD22" s="55" t="n">
        <f aca="false">INDEX(Arch!$C$7:$E$7,AD$7)</f>
        <v>180</v>
      </c>
      <c r="AE22" s="55" t="n">
        <f aca="false">INDEX(Arch!$C$7:$E$7,AE$7)</f>
        <v>49</v>
      </c>
      <c r="AF22" s="55" t="n">
        <f aca="false">INDEX(Arch!$C$7:$E$7,AF$7)</f>
        <v>180</v>
      </c>
      <c r="AG22" s="55" t="n">
        <f aca="false">INDEX(Arch!$C$7:$E$7,AG$7)</f>
        <v>49</v>
      </c>
      <c r="AH22" s="55" t="n">
        <f aca="false">INDEX(Arch!$C$7:$E$7,AH$7)</f>
        <v>180</v>
      </c>
    </row>
    <row r="23" customFormat="false" ht="15" hidden="false" customHeight="false" outlineLevel="0" collapsed="false">
      <c r="A23" s="53" t="s">
        <v>442</v>
      </c>
      <c r="B23" s="54" t="s">
        <v>272</v>
      </c>
      <c r="C23" s="55" t="n">
        <f aca="false">INDEX(Arch!$C$30:$E$30,C$7)</f>
        <v>15990784</v>
      </c>
      <c r="D23" s="55" t="n">
        <f aca="false">INDEX(Arch!$C$30:$E$30,D$7)</f>
        <v>4915200</v>
      </c>
      <c r="E23" s="55" t="n">
        <f aca="false">INDEX(Arch!$C$30:$E$30,E$7)</f>
        <v>15990784</v>
      </c>
      <c r="F23" s="55" t="n">
        <f aca="false">INDEX(Arch!$C$30:$E$30,F$7)</f>
        <v>4915200</v>
      </c>
      <c r="G23" s="55" t="n">
        <f aca="false">INDEX(Arch!$C$30:$E$30,G$7)</f>
        <v>15990784</v>
      </c>
      <c r="H23" s="55" t="n">
        <f aca="false">INDEX(Arch!$C$30:$E$30,H$7)</f>
        <v>4915200</v>
      </c>
      <c r="I23" s="55" t="n">
        <f aca="false">INDEX(Arch!$C$30:$E$30,I$7)</f>
        <v>15990784</v>
      </c>
      <c r="J23" s="55" t="n">
        <f aca="false">INDEX(Arch!$C$30:$E$30,J$7)</f>
        <v>4915200</v>
      </c>
      <c r="K23" s="55" t="n">
        <f aca="false">INDEX(Arch!$C$30:$E$30,K$7)</f>
        <v>15990784</v>
      </c>
      <c r="L23" s="55" t="n">
        <f aca="false">INDEX(Arch!$C$30:$E$30,L$7)</f>
        <v>4915200</v>
      </c>
      <c r="M23" s="55" t="n">
        <f aca="false">INDEX(Arch!$C$30:$E$30,M$7)</f>
        <v>15990784</v>
      </c>
      <c r="N23" s="55" t="n">
        <f aca="false">INDEX(Arch!$C$30:$E$30,N$7)</f>
        <v>4915200</v>
      </c>
      <c r="O23" s="55" t="n">
        <f aca="false">INDEX(Arch!$C$30:$E$30,O$7)</f>
        <v>15990784</v>
      </c>
      <c r="P23" s="55" t="n">
        <f aca="false">INDEX(Arch!$C$30:$E$30,P$7)</f>
        <v>4915200</v>
      </c>
      <c r="Q23" s="55" t="n">
        <f aca="false">INDEX(Arch!$C$30:$E$30,Q$7)</f>
        <v>15990784</v>
      </c>
      <c r="R23" s="55" t="n">
        <f aca="false">INDEX(Arch!$C$30:$E$30,R$7)</f>
        <v>4915200</v>
      </c>
      <c r="S23" s="55" t="n">
        <f aca="false">INDEX(Arch!$C$30:$E$30,S$7)</f>
        <v>15990784</v>
      </c>
      <c r="T23" s="55" t="n">
        <f aca="false">INDEX(Arch!$C$30:$E$30,T$7)</f>
        <v>4915200</v>
      </c>
      <c r="U23" s="55" t="n">
        <f aca="false">INDEX(Arch!$C$30:$E$30,U$7)</f>
        <v>15990784</v>
      </c>
      <c r="V23" s="55" t="n">
        <f aca="false">INDEX(Arch!$C$30:$E$30,V$7)</f>
        <v>4915200</v>
      </c>
      <c r="W23" s="55" t="n">
        <f aca="false">INDEX(Arch!$C$30:$E$30,W$7)</f>
        <v>15990784</v>
      </c>
      <c r="X23" s="55" t="n">
        <f aca="false">INDEX(Arch!$C$30:$E$30,X$7)</f>
        <v>4915200</v>
      </c>
      <c r="Y23" s="55" t="n">
        <f aca="false">INDEX(Arch!$C$30:$E$30,Y$7)</f>
        <v>15990784</v>
      </c>
      <c r="Z23" s="55" t="n">
        <f aca="false">INDEX(Arch!$C$30:$E$30,Z$7)</f>
        <v>4915200</v>
      </c>
      <c r="AA23" s="55" t="n">
        <f aca="false">INDEX(Arch!$C$30:$E$30,AA$7)</f>
        <v>15990784</v>
      </c>
      <c r="AB23" s="55" t="n">
        <f aca="false">INDEX(Arch!$C$30:$E$30,AB$7)</f>
        <v>4915200</v>
      </c>
      <c r="AC23" s="55" t="n">
        <f aca="false">INDEX(Arch!$C$30:$E$30,AC$7)</f>
        <v>15990784</v>
      </c>
      <c r="AD23" s="55" t="n">
        <f aca="false">INDEX(Arch!$C$30:$E$30,AD$7)</f>
        <v>4915200</v>
      </c>
      <c r="AE23" s="55" t="n">
        <f aca="false">INDEX(Arch!$C$30:$E$30,AE$7)</f>
        <v>15990784</v>
      </c>
      <c r="AF23" s="55" t="n">
        <f aca="false">INDEX(Arch!$C$30:$E$30,AF$7)</f>
        <v>4915200</v>
      </c>
      <c r="AG23" s="55" t="n">
        <f aca="false">INDEX(Arch!$C$30:$E$30,AG$7)</f>
        <v>15990784</v>
      </c>
      <c r="AH23" s="55" t="n">
        <f aca="false">INDEX(Arch!$C$30:$E$30,AH$7)</f>
        <v>4915200</v>
      </c>
    </row>
    <row r="24" customFormat="false" ht="15" hidden="false" customHeight="false" outlineLevel="0" collapsed="false">
      <c r="A24" s="53" t="s">
        <v>246</v>
      </c>
      <c r="B24" s="54" t="s">
        <v>71</v>
      </c>
      <c r="C24" s="57" t="n">
        <f aca="false">INDEX(Arch!$C$16:$E$16,C$7)</f>
        <v>0.492</v>
      </c>
      <c r="D24" s="57" t="n">
        <f aca="false">INDEX(Arch!$C$16:$E$16,D$7)</f>
        <v>1</v>
      </c>
      <c r="E24" s="57" t="n">
        <f aca="false">INDEX(Arch!$C$16:$E$16,E$7)</f>
        <v>0.492</v>
      </c>
      <c r="F24" s="57" t="n">
        <f aca="false">INDEX(Arch!$C$16:$E$16,F$7)</f>
        <v>1</v>
      </c>
      <c r="G24" s="57" t="n">
        <f aca="false">INDEX(Arch!$C$16:$E$16,G$7)</f>
        <v>0.492</v>
      </c>
      <c r="H24" s="57" t="n">
        <f aca="false">INDEX(Arch!$C$16:$E$16,H$7)</f>
        <v>1</v>
      </c>
      <c r="I24" s="57" t="n">
        <f aca="false">INDEX(Arch!$C$16:$E$16,I$7)</f>
        <v>0.492</v>
      </c>
      <c r="J24" s="57" t="n">
        <f aca="false">INDEX(Arch!$C$16:$E$16,J$7)</f>
        <v>1</v>
      </c>
      <c r="K24" s="57" t="n">
        <f aca="false">INDEX(Arch!$C$16:$E$16,K$7)</f>
        <v>0.492</v>
      </c>
      <c r="L24" s="57" t="n">
        <f aca="false">INDEX(Arch!$C$16:$E$16,L$7)</f>
        <v>1</v>
      </c>
      <c r="M24" s="57" t="n">
        <f aca="false">INDEX(Arch!$C$16:$E$16,M$7)</f>
        <v>0.492</v>
      </c>
      <c r="N24" s="57" t="n">
        <f aca="false">INDEX(Arch!$C$16:$E$16,N$7)</f>
        <v>1</v>
      </c>
      <c r="O24" s="57" t="n">
        <f aca="false">INDEX(Arch!$C$16:$E$16,O$7)</f>
        <v>0.492</v>
      </c>
      <c r="P24" s="57" t="n">
        <f aca="false">INDEX(Arch!$C$16:$E$16,P$7)</f>
        <v>1</v>
      </c>
      <c r="Q24" s="57" t="n">
        <f aca="false">INDEX(Arch!$C$16:$E$16,Q$7)</f>
        <v>0.492</v>
      </c>
      <c r="R24" s="57" t="n">
        <f aca="false">INDEX(Arch!$C$16:$E$16,R$7)</f>
        <v>1</v>
      </c>
      <c r="S24" s="57" t="n">
        <f aca="false">INDEX(Arch!$C$16:$E$16,S$7)</f>
        <v>0.492</v>
      </c>
      <c r="T24" s="57" t="n">
        <f aca="false">INDEX(Arch!$C$16:$E$16,T$7)</f>
        <v>1</v>
      </c>
      <c r="U24" s="57" t="n">
        <f aca="false">INDEX(Arch!$C$16:$E$16,U$7)</f>
        <v>0.492</v>
      </c>
      <c r="V24" s="57" t="n">
        <f aca="false">INDEX(Arch!$C$16:$E$16,V$7)</f>
        <v>1</v>
      </c>
      <c r="W24" s="57" t="n">
        <f aca="false">INDEX(Arch!$C$16:$E$16,W$7)</f>
        <v>0.492</v>
      </c>
      <c r="X24" s="57" t="n">
        <f aca="false">INDEX(Arch!$C$16:$E$16,X$7)</f>
        <v>1</v>
      </c>
      <c r="Y24" s="57" t="n">
        <f aca="false">INDEX(Arch!$C$16:$E$16,Y$7)</f>
        <v>0.492</v>
      </c>
      <c r="Z24" s="57" t="n">
        <f aca="false">INDEX(Arch!$C$16:$E$16,Z$7)</f>
        <v>1</v>
      </c>
      <c r="AA24" s="57" t="n">
        <f aca="false">INDEX(Arch!$C$16:$E$16,AA$7)</f>
        <v>0.492</v>
      </c>
      <c r="AB24" s="57" t="n">
        <f aca="false">INDEX(Arch!$C$16:$E$16,AB$7)</f>
        <v>1</v>
      </c>
      <c r="AC24" s="57" t="n">
        <f aca="false">INDEX(Arch!$C$16:$E$16,AC$7)</f>
        <v>0.492</v>
      </c>
      <c r="AD24" s="57" t="n">
        <f aca="false">INDEX(Arch!$C$16:$E$16,AD$7)</f>
        <v>1</v>
      </c>
      <c r="AE24" s="57" t="n">
        <f aca="false">INDEX(Arch!$C$16:$E$16,AE$7)</f>
        <v>0.492</v>
      </c>
      <c r="AF24" s="57" t="n">
        <f aca="false">INDEX(Arch!$C$16:$E$16,AF$7)</f>
        <v>1</v>
      </c>
      <c r="AG24" s="57" t="n">
        <f aca="false">INDEX(Arch!$C$16:$E$16,AG$7)</f>
        <v>0.492</v>
      </c>
      <c r="AH24" s="57" t="n">
        <f aca="false">INDEX(Arch!$C$16:$E$16,AH$7)</f>
        <v>1</v>
      </c>
    </row>
    <row r="25" customFormat="false" ht="15" hidden="false" customHeight="false" outlineLevel="0" collapsed="false">
      <c r="A25" s="53" t="s">
        <v>698</v>
      </c>
      <c r="B25" s="54" t="s">
        <v>249</v>
      </c>
      <c r="C25" s="55" t="n">
        <f aca="false">INDEX(Arch!$C$17:$E$17,C$7)</f>
        <v>4224</v>
      </c>
      <c r="D25" s="55" t="n">
        <f aca="false">INDEX(Arch!$C$17:$E$17,D$7)</f>
        <v>0</v>
      </c>
      <c r="E25" s="55" t="n">
        <f aca="false">INDEX(Arch!$C$17:$E$17,E$7)</f>
        <v>4224</v>
      </c>
      <c r="F25" s="55" t="n">
        <f aca="false">INDEX(Arch!$C$17:$E$17,F$7)</f>
        <v>0</v>
      </c>
      <c r="G25" s="55" t="n">
        <f aca="false">INDEX(Arch!$C$17:$E$17,G$7)</f>
        <v>4224</v>
      </c>
      <c r="H25" s="55" t="n">
        <f aca="false">INDEX(Arch!$C$17:$E$17,H$7)</f>
        <v>0</v>
      </c>
      <c r="I25" s="55" t="n">
        <f aca="false">INDEX(Arch!$C$17:$E$17,I$7)</f>
        <v>4224</v>
      </c>
      <c r="J25" s="55" t="n">
        <f aca="false">INDEX(Arch!$C$17:$E$17,J$7)</f>
        <v>0</v>
      </c>
      <c r="K25" s="55" t="n">
        <f aca="false">INDEX(Arch!$C$17:$E$17,K$7)</f>
        <v>4224</v>
      </c>
      <c r="L25" s="55" t="n">
        <f aca="false">INDEX(Arch!$C$17:$E$17,L$7)</f>
        <v>0</v>
      </c>
      <c r="M25" s="55" t="n">
        <f aca="false">INDEX(Arch!$C$17:$E$17,M$7)</f>
        <v>4224</v>
      </c>
      <c r="N25" s="55" t="n">
        <f aca="false">INDEX(Arch!$C$17:$E$17,N$7)</f>
        <v>0</v>
      </c>
      <c r="O25" s="55" t="n">
        <f aca="false">INDEX(Arch!$C$17:$E$17,O$7)</f>
        <v>4224</v>
      </c>
      <c r="P25" s="55" t="n">
        <f aca="false">INDEX(Arch!$C$17:$E$17,P$7)</f>
        <v>0</v>
      </c>
      <c r="Q25" s="55" t="n">
        <f aca="false">INDEX(Arch!$C$17:$E$17,Q$7)</f>
        <v>4224</v>
      </c>
      <c r="R25" s="55" t="n">
        <f aca="false">INDEX(Arch!$C$17:$E$17,R$7)</f>
        <v>0</v>
      </c>
      <c r="S25" s="55" t="n">
        <f aca="false">INDEX(Arch!$C$17:$E$17,S$7)</f>
        <v>4224</v>
      </c>
      <c r="T25" s="55" t="n">
        <f aca="false">INDEX(Arch!$C$17:$E$17,T$7)</f>
        <v>0</v>
      </c>
      <c r="U25" s="55" t="n">
        <f aca="false">INDEX(Arch!$C$17:$E$17,U$7)</f>
        <v>4224</v>
      </c>
      <c r="V25" s="55" t="n">
        <f aca="false">INDEX(Arch!$C$17:$E$17,V$7)</f>
        <v>0</v>
      </c>
      <c r="W25" s="55" t="n">
        <f aca="false">INDEX(Arch!$C$17:$E$17,W$7)</f>
        <v>4224</v>
      </c>
      <c r="X25" s="55" t="n">
        <f aca="false">INDEX(Arch!$C$17:$E$17,X$7)</f>
        <v>0</v>
      </c>
      <c r="Y25" s="55" t="n">
        <f aca="false">INDEX(Arch!$C$17:$E$17,Y$7)</f>
        <v>4224</v>
      </c>
      <c r="Z25" s="55" t="n">
        <f aca="false">INDEX(Arch!$C$17:$E$17,Z$7)</f>
        <v>0</v>
      </c>
      <c r="AA25" s="55" t="n">
        <f aca="false">INDEX(Arch!$C$17:$E$17,AA$7)</f>
        <v>4224</v>
      </c>
      <c r="AB25" s="55" t="n">
        <f aca="false">INDEX(Arch!$C$17:$E$17,AB$7)</f>
        <v>0</v>
      </c>
      <c r="AC25" s="55" t="n">
        <f aca="false">INDEX(Arch!$C$17:$E$17,AC$7)</f>
        <v>4224</v>
      </c>
      <c r="AD25" s="55" t="n">
        <f aca="false">INDEX(Arch!$C$17:$E$17,AD$7)</f>
        <v>0</v>
      </c>
      <c r="AE25" s="55" t="n">
        <f aca="false">INDEX(Arch!$C$17:$E$17,AE$7)</f>
        <v>4224</v>
      </c>
      <c r="AF25" s="55" t="n">
        <f aca="false">INDEX(Arch!$C$17:$E$17,AF$7)</f>
        <v>0</v>
      </c>
      <c r="AG25" s="55" t="n">
        <f aca="false">INDEX(Arch!$C$17:$E$17,AG$7)</f>
        <v>4224</v>
      </c>
      <c r="AH25" s="55" t="n">
        <f aca="false">INDEX(Arch!$C$17:$E$17,AH$7)</f>
        <v>0</v>
      </c>
    </row>
    <row r="26" customFormat="false" ht="15" hidden="false" customHeight="false" outlineLevel="0" collapsed="false">
      <c r="A26" s="53" t="s">
        <v>252</v>
      </c>
      <c r="B26" s="54" t="s">
        <v>75</v>
      </c>
      <c r="C26" s="55" t="n">
        <f aca="false">INDEX(Arch!$C$18:$E$18,C$7)</f>
        <v>128</v>
      </c>
      <c r="D26" s="55" t="n">
        <f aca="false">INDEX(Arch!$C$18:$E$18,D$7)</f>
        <v>1</v>
      </c>
      <c r="E26" s="55" t="n">
        <f aca="false">INDEX(Arch!$C$18:$E$18,E$7)</f>
        <v>128</v>
      </c>
      <c r="F26" s="55" t="n">
        <f aca="false">INDEX(Arch!$C$18:$E$18,F$7)</f>
        <v>1</v>
      </c>
      <c r="G26" s="55" t="n">
        <f aca="false">INDEX(Arch!$C$18:$E$18,G$7)</f>
        <v>128</v>
      </c>
      <c r="H26" s="55" t="n">
        <f aca="false">INDEX(Arch!$C$18:$E$18,H$7)</f>
        <v>1</v>
      </c>
      <c r="I26" s="55" t="n">
        <f aca="false">INDEX(Arch!$C$18:$E$18,I$7)</f>
        <v>128</v>
      </c>
      <c r="J26" s="55" t="n">
        <f aca="false">INDEX(Arch!$C$18:$E$18,J$7)</f>
        <v>1</v>
      </c>
      <c r="K26" s="55" t="n">
        <f aca="false">INDEX(Arch!$C$18:$E$18,K$7)</f>
        <v>128</v>
      </c>
      <c r="L26" s="55" t="n">
        <f aca="false">INDEX(Arch!$C$18:$E$18,L$7)</f>
        <v>1</v>
      </c>
      <c r="M26" s="55" t="n">
        <f aca="false">INDEX(Arch!$C$18:$E$18,M$7)</f>
        <v>128</v>
      </c>
      <c r="N26" s="55" t="n">
        <f aca="false">INDEX(Arch!$C$18:$E$18,N$7)</f>
        <v>1</v>
      </c>
      <c r="O26" s="55" t="n">
        <f aca="false">INDEX(Arch!$C$18:$E$18,O$7)</f>
        <v>128</v>
      </c>
      <c r="P26" s="55" t="n">
        <f aca="false">INDEX(Arch!$C$18:$E$18,P$7)</f>
        <v>1</v>
      </c>
      <c r="Q26" s="55" t="n">
        <f aca="false">INDEX(Arch!$C$18:$E$18,Q$7)</f>
        <v>128</v>
      </c>
      <c r="R26" s="55" t="n">
        <f aca="false">INDEX(Arch!$C$18:$E$18,R$7)</f>
        <v>1</v>
      </c>
      <c r="S26" s="55" t="n">
        <f aca="false">INDEX(Arch!$C$18:$E$18,S$7)</f>
        <v>128</v>
      </c>
      <c r="T26" s="55" t="n">
        <f aca="false">INDEX(Arch!$C$18:$E$18,T$7)</f>
        <v>1</v>
      </c>
      <c r="U26" s="55" t="n">
        <f aca="false">INDEX(Arch!$C$18:$E$18,U$7)</f>
        <v>128</v>
      </c>
      <c r="V26" s="55" t="n">
        <f aca="false">INDEX(Arch!$C$18:$E$18,V$7)</f>
        <v>1</v>
      </c>
      <c r="W26" s="55" t="n">
        <f aca="false">INDEX(Arch!$C$18:$E$18,W$7)</f>
        <v>128</v>
      </c>
      <c r="X26" s="55" t="n">
        <f aca="false">INDEX(Arch!$C$18:$E$18,X$7)</f>
        <v>1</v>
      </c>
      <c r="Y26" s="55" t="n">
        <f aca="false">INDEX(Arch!$C$18:$E$18,Y$7)</f>
        <v>128</v>
      </c>
      <c r="Z26" s="55" t="n">
        <f aca="false">INDEX(Arch!$C$18:$E$18,Z$7)</f>
        <v>1</v>
      </c>
      <c r="AA26" s="55" t="n">
        <f aca="false">INDEX(Arch!$C$18:$E$18,AA$7)</f>
        <v>128</v>
      </c>
      <c r="AB26" s="55" t="n">
        <f aca="false">INDEX(Arch!$C$18:$E$18,AB$7)</f>
        <v>1</v>
      </c>
      <c r="AC26" s="55" t="n">
        <f aca="false">INDEX(Arch!$C$18:$E$18,AC$7)</f>
        <v>128</v>
      </c>
      <c r="AD26" s="55" t="n">
        <f aca="false">INDEX(Arch!$C$18:$E$18,AD$7)</f>
        <v>1</v>
      </c>
      <c r="AE26" s="55" t="n">
        <f aca="false">INDEX(Arch!$C$18:$E$18,AE$7)</f>
        <v>128</v>
      </c>
      <c r="AF26" s="55" t="n">
        <f aca="false">INDEX(Arch!$C$18:$E$18,AF$7)</f>
        <v>1</v>
      </c>
      <c r="AG26" s="55" t="n">
        <f aca="false">INDEX(Arch!$C$18:$E$18,AG$7)</f>
        <v>128</v>
      </c>
      <c r="AH26" s="55" t="n">
        <f aca="false">INDEX(Arch!$C$18:$E$18,AH$7)</f>
        <v>1</v>
      </c>
    </row>
    <row r="27" customFormat="false" ht="15" hidden="false" customHeight="false" outlineLevel="0" collapsed="false">
      <c r="A27" s="53" t="s">
        <v>254</v>
      </c>
      <c r="B27" s="54" t="s">
        <v>249</v>
      </c>
      <c r="C27" s="55" t="n">
        <f aca="false">INDEX(Arch!$C$19:$E$19,C$7)</f>
        <v>128</v>
      </c>
      <c r="D27" s="55" t="n">
        <f aca="false">INDEX(Arch!$C$19:$E$19,D$7)</f>
        <v>0</v>
      </c>
      <c r="E27" s="55" t="n">
        <f aca="false">INDEX(Arch!$C$19:$E$19,E$7)</f>
        <v>128</v>
      </c>
      <c r="F27" s="55" t="n">
        <f aca="false">INDEX(Arch!$C$19:$E$19,F$7)</f>
        <v>0</v>
      </c>
      <c r="G27" s="55" t="n">
        <f aca="false">INDEX(Arch!$C$19:$E$19,G$7)</f>
        <v>128</v>
      </c>
      <c r="H27" s="55" t="n">
        <f aca="false">INDEX(Arch!$C$19:$E$19,H$7)</f>
        <v>0</v>
      </c>
      <c r="I27" s="55" t="n">
        <f aca="false">INDEX(Arch!$C$19:$E$19,I$7)</f>
        <v>128</v>
      </c>
      <c r="J27" s="55" t="n">
        <f aca="false">INDEX(Arch!$C$19:$E$19,J$7)</f>
        <v>0</v>
      </c>
      <c r="K27" s="55" t="n">
        <f aca="false">INDEX(Arch!$C$19:$E$19,K$7)</f>
        <v>128</v>
      </c>
      <c r="L27" s="55" t="n">
        <f aca="false">INDEX(Arch!$C$19:$E$19,L$7)</f>
        <v>0</v>
      </c>
      <c r="M27" s="55" t="n">
        <f aca="false">INDEX(Arch!$C$19:$E$19,M$7)</f>
        <v>128</v>
      </c>
      <c r="N27" s="55" t="n">
        <f aca="false">INDEX(Arch!$C$19:$E$19,N$7)</f>
        <v>0</v>
      </c>
      <c r="O27" s="55" t="n">
        <f aca="false">INDEX(Arch!$C$19:$E$19,O$7)</f>
        <v>128</v>
      </c>
      <c r="P27" s="55" t="n">
        <f aca="false">INDEX(Arch!$C$19:$E$19,P$7)</f>
        <v>0</v>
      </c>
      <c r="Q27" s="55" t="n">
        <f aca="false">INDEX(Arch!$C$19:$E$19,Q$7)</f>
        <v>128</v>
      </c>
      <c r="R27" s="55" t="n">
        <f aca="false">INDEX(Arch!$C$19:$E$19,R$7)</f>
        <v>0</v>
      </c>
      <c r="S27" s="55" t="n">
        <f aca="false">INDEX(Arch!$C$19:$E$19,S$7)</f>
        <v>128</v>
      </c>
      <c r="T27" s="55" t="n">
        <f aca="false">INDEX(Arch!$C$19:$E$19,T$7)</f>
        <v>0</v>
      </c>
      <c r="U27" s="55" t="n">
        <f aca="false">INDEX(Arch!$C$19:$E$19,U$7)</f>
        <v>128</v>
      </c>
      <c r="V27" s="55" t="n">
        <f aca="false">INDEX(Arch!$C$19:$E$19,V$7)</f>
        <v>0</v>
      </c>
      <c r="W27" s="55" t="n">
        <f aca="false">INDEX(Arch!$C$19:$E$19,W$7)</f>
        <v>128</v>
      </c>
      <c r="X27" s="55" t="n">
        <f aca="false">INDEX(Arch!$C$19:$E$19,X$7)</f>
        <v>0</v>
      </c>
      <c r="Y27" s="55" t="n">
        <f aca="false">INDEX(Arch!$C$19:$E$19,Y$7)</f>
        <v>128</v>
      </c>
      <c r="Z27" s="55" t="n">
        <f aca="false">INDEX(Arch!$C$19:$E$19,Z$7)</f>
        <v>0</v>
      </c>
      <c r="AA27" s="55" t="n">
        <f aca="false">INDEX(Arch!$C$19:$E$19,AA$7)</f>
        <v>128</v>
      </c>
      <c r="AB27" s="55" t="n">
        <f aca="false">INDEX(Arch!$C$19:$E$19,AB$7)</f>
        <v>0</v>
      </c>
      <c r="AC27" s="55" t="n">
        <f aca="false">INDEX(Arch!$C$19:$E$19,AC$7)</f>
        <v>128</v>
      </c>
      <c r="AD27" s="55" t="n">
        <f aca="false">INDEX(Arch!$C$19:$E$19,AD$7)</f>
        <v>0</v>
      </c>
      <c r="AE27" s="55" t="n">
        <f aca="false">INDEX(Arch!$C$19:$E$19,AE$7)</f>
        <v>128</v>
      </c>
      <c r="AF27" s="55" t="n">
        <f aca="false">INDEX(Arch!$C$19:$E$19,AF$7)</f>
        <v>0</v>
      </c>
      <c r="AG27" s="55" t="n">
        <f aca="false">INDEX(Arch!$C$19:$E$19,AG$7)</f>
        <v>128</v>
      </c>
      <c r="AH27" s="55" t="n">
        <f aca="false">INDEX(Arch!$C$19:$E$19,AH$7)</f>
        <v>0</v>
      </c>
    </row>
    <row r="28" customFormat="false" ht="15" hidden="false" customHeight="false" outlineLevel="0" collapsed="false">
      <c r="A28" s="54" t="s">
        <v>676</v>
      </c>
      <c r="B28" s="54" t="s">
        <v>75</v>
      </c>
      <c r="C28" s="90" t="n">
        <f aca="false">Tech_Registry!$E$22</f>
        <v>1</v>
      </c>
      <c r="D28" s="90" t="n">
        <f aca="false">Tech_Registry!$E$22</f>
        <v>1</v>
      </c>
      <c r="E28" s="90" t="n">
        <f aca="false">Tech_Registry!$E$22</f>
        <v>1</v>
      </c>
      <c r="F28" s="90" t="n">
        <f aca="false">Tech_Registry!$E$22</f>
        <v>1</v>
      </c>
      <c r="G28" s="90" t="n">
        <f aca="false">Tech_Registry!$E$22</f>
        <v>1</v>
      </c>
      <c r="H28" s="90" t="n">
        <f aca="false">Tech_Registry!$E$22</f>
        <v>1</v>
      </c>
      <c r="I28" s="90" t="n">
        <f aca="false">Tech_Registry!$E$22</f>
        <v>1</v>
      </c>
      <c r="J28" s="90" t="n">
        <f aca="false">Tech_Registry!$E$22</f>
        <v>1</v>
      </c>
      <c r="K28" s="90" t="n">
        <f aca="false">Tech_Registry!$E$22</f>
        <v>1</v>
      </c>
      <c r="L28" s="90" t="n">
        <f aca="false">Tech_Registry!$E$22</f>
        <v>1</v>
      </c>
      <c r="M28" s="90" t="n">
        <f aca="false">Tech_Registry!$E$22</f>
        <v>1</v>
      </c>
      <c r="N28" s="90" t="n">
        <f aca="false">Tech_Registry!$E$22</f>
        <v>1</v>
      </c>
      <c r="O28" s="90" t="n">
        <f aca="false">Tech_Registry!$E$22</f>
        <v>1</v>
      </c>
      <c r="P28" s="90" t="n">
        <f aca="false">Tech_Registry!$E$22</f>
        <v>1</v>
      </c>
      <c r="Q28" s="90" t="n">
        <f aca="false">Tech_Registry!$E$22</f>
        <v>1</v>
      </c>
      <c r="R28" s="90" t="n">
        <f aca="false">Tech_Registry!$E$22</f>
        <v>1</v>
      </c>
      <c r="S28" s="90" t="n">
        <f aca="false">Tech_Registry!$E$22</f>
        <v>1</v>
      </c>
      <c r="T28" s="90" t="n">
        <f aca="false">Tech_Registry!$E$22</f>
        <v>1</v>
      </c>
      <c r="U28" s="90" t="n">
        <f aca="false">Tech_Registry!$E$22</f>
        <v>1</v>
      </c>
      <c r="V28" s="90" t="n">
        <f aca="false">Tech_Registry!$E$22</f>
        <v>1</v>
      </c>
      <c r="W28" s="90" t="n">
        <f aca="false">Tech_Registry!$E$22</f>
        <v>1</v>
      </c>
      <c r="X28" s="90" t="n">
        <f aca="false">Tech_Registry!$E$22</f>
        <v>1</v>
      </c>
      <c r="Y28" s="90" t="n">
        <f aca="false">Tech_Registry!$E$22</f>
        <v>1</v>
      </c>
      <c r="Z28" s="90" t="n">
        <f aca="false">Tech_Registry!$E$22</f>
        <v>1</v>
      </c>
      <c r="AA28" s="90" t="n">
        <f aca="false">Tech_Registry!$E$22</f>
        <v>1</v>
      </c>
      <c r="AB28" s="90" t="n">
        <f aca="false">Tech_Registry!$E$22</f>
        <v>1</v>
      </c>
      <c r="AC28" s="90" t="n">
        <f aca="false">Tech_Registry!$E$22</f>
        <v>1</v>
      </c>
      <c r="AD28" s="90" t="n">
        <f aca="false">Tech_Registry!$E$22</f>
        <v>1</v>
      </c>
      <c r="AE28" s="90" t="n">
        <f aca="false">Tech_Registry!$E$22</f>
        <v>1</v>
      </c>
      <c r="AF28" s="90" t="n">
        <f aca="false">Tech_Registry!$E$22</f>
        <v>1</v>
      </c>
      <c r="AG28" s="90" t="n">
        <f aca="false">Tech_Registry!$E$22</f>
        <v>1</v>
      </c>
      <c r="AH28" s="90" t="n">
        <f aca="false">Tech_Registry!$E$22</f>
        <v>1</v>
      </c>
    </row>
    <row r="29" customFormat="false" ht="15" hidden="false" customHeight="false" outlineLevel="0" collapsed="false">
      <c r="A29" s="68" t="s">
        <v>965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</row>
    <row r="30" customFormat="false" ht="15" hidden="false" customHeight="false" outlineLevel="0" collapsed="false">
      <c r="A30" s="53" t="s">
        <v>966</v>
      </c>
      <c r="B30" s="54" t="s">
        <v>75</v>
      </c>
      <c r="C30" s="90" t="n">
        <f aca="false">Tech_Registry!$E$27</f>
        <v>1</v>
      </c>
      <c r="D30" s="90" t="n">
        <f aca="false">Tech_Registry!$E$27</f>
        <v>1</v>
      </c>
      <c r="E30" s="90" t="n">
        <f aca="false">Tech_Registry!$E$27</f>
        <v>1</v>
      </c>
      <c r="F30" s="90" t="n">
        <f aca="false">Tech_Registry!$E$27</f>
        <v>1</v>
      </c>
      <c r="G30" s="90" t="n">
        <f aca="false">Tech_Registry!$E$27</f>
        <v>1</v>
      </c>
      <c r="H30" s="90" t="n">
        <f aca="false">Tech_Registry!$E$27</f>
        <v>1</v>
      </c>
      <c r="I30" s="90" t="n">
        <f aca="false">Tech_Registry!$E$27</f>
        <v>1</v>
      </c>
      <c r="J30" s="90" t="n">
        <f aca="false">Tech_Registry!$E$27</f>
        <v>1</v>
      </c>
      <c r="K30" s="73" t="n">
        <v>0.5</v>
      </c>
      <c r="L30" s="73" t="n">
        <v>0.5</v>
      </c>
      <c r="M30" s="73" t="n">
        <v>1.67</v>
      </c>
      <c r="N30" s="73" t="n">
        <v>1.67</v>
      </c>
      <c r="O30" s="90" t="n">
        <f aca="false">Tech_Registry!$E$27</f>
        <v>1</v>
      </c>
      <c r="P30" s="90" t="n">
        <f aca="false">Tech_Registry!$E$27</f>
        <v>1</v>
      </c>
      <c r="Q30" s="90" t="n">
        <f aca="false">Tech_Registry!$E$27</f>
        <v>1</v>
      </c>
      <c r="R30" s="90" t="n">
        <f aca="false">Tech_Registry!$E$27</f>
        <v>1</v>
      </c>
      <c r="S30" s="90" t="n">
        <f aca="false">Tech_Registry!$E$27</f>
        <v>1</v>
      </c>
      <c r="T30" s="90" t="n">
        <f aca="false">Tech_Registry!$E$27</f>
        <v>1</v>
      </c>
      <c r="U30" s="90" t="n">
        <f aca="false">Tech_Registry!$E$27</f>
        <v>1</v>
      </c>
      <c r="V30" s="90" t="n">
        <f aca="false">Tech_Registry!$E$27</f>
        <v>1</v>
      </c>
      <c r="W30" s="90" t="n">
        <f aca="false">Tech_Registry!$E$27</f>
        <v>1</v>
      </c>
      <c r="X30" s="90" t="n">
        <f aca="false">Tech_Registry!$E$27</f>
        <v>1</v>
      </c>
      <c r="Y30" s="90" t="n">
        <f aca="false">Tech_Registry!$E$27</f>
        <v>1</v>
      </c>
      <c r="Z30" s="90" t="n">
        <f aca="false">Tech_Registry!$E$27</f>
        <v>1</v>
      </c>
      <c r="AA30" s="90" t="n">
        <f aca="false">Tech_Registry!$E$27</f>
        <v>1</v>
      </c>
      <c r="AB30" s="90" t="n">
        <f aca="false">Tech_Registry!$E$27</f>
        <v>1</v>
      </c>
      <c r="AC30" s="90" t="n">
        <f aca="false">Tech_Registry!$E$27</f>
        <v>1</v>
      </c>
      <c r="AD30" s="90" t="n">
        <f aca="false">Tech_Registry!$E$27</f>
        <v>1</v>
      </c>
      <c r="AE30" s="90" t="n">
        <f aca="false">Tech_Registry!$E$27</f>
        <v>1</v>
      </c>
      <c r="AF30" s="90" t="n">
        <f aca="false">Tech_Registry!$E$27</f>
        <v>1</v>
      </c>
      <c r="AG30" s="90" t="n">
        <f aca="false">Tech_Registry!$E$27</f>
        <v>1</v>
      </c>
      <c r="AH30" s="90" t="n">
        <f aca="false">Tech_Registry!$E$27</f>
        <v>1</v>
      </c>
    </row>
    <row r="31" customFormat="false" ht="15" hidden="false" customHeight="false" outlineLevel="0" collapsed="false">
      <c r="A31" s="53" t="s">
        <v>903</v>
      </c>
      <c r="B31" s="54" t="s">
        <v>904</v>
      </c>
      <c r="C31" s="91" t="n">
        <f aca="false">INDEX(Train_In!$C$25:$E$25,C$7)*C30</f>
        <v>33</v>
      </c>
      <c r="D31" s="91" t="n">
        <f aca="false">INDEX(Train_In!$C$25:$E$25,D$7)*D30</f>
        <v>60</v>
      </c>
      <c r="E31" s="91" t="n">
        <f aca="false">INDEX(Train_In!$C$25:$E$25,E$7)*E30</f>
        <v>33</v>
      </c>
      <c r="F31" s="91" t="n">
        <f aca="false">INDEX(Train_In!$C$25:$E$25,F$7)*F30</f>
        <v>60</v>
      </c>
      <c r="G31" s="91" t="n">
        <f aca="false">INDEX(Train_In!$C$25:$E$25,G$7)*G30</f>
        <v>33</v>
      </c>
      <c r="H31" s="91" t="n">
        <f aca="false">INDEX(Train_In!$C$25:$E$25,H$7)*H30</f>
        <v>60</v>
      </c>
      <c r="I31" s="91" t="n">
        <f aca="false">INDEX(Train_In!$C$25:$E$25,I$7)*I30</f>
        <v>33</v>
      </c>
      <c r="J31" s="91" t="n">
        <f aca="false">INDEX(Train_In!$C$25:$E$25,J$7)*J30</f>
        <v>60</v>
      </c>
      <c r="K31" s="91" t="n">
        <f aca="false">INDEX(Train_In!$C$25:$E$25,K$7)*K30</f>
        <v>16.5</v>
      </c>
      <c r="L31" s="91" t="n">
        <f aca="false">INDEX(Train_In!$C$25:$E$25,L$7)*L30</f>
        <v>30</v>
      </c>
      <c r="M31" s="91" t="n">
        <f aca="false">INDEX(Train_In!$C$25:$E$25,M$7)*M30</f>
        <v>55.11</v>
      </c>
      <c r="N31" s="91" t="n">
        <f aca="false">INDEX(Train_In!$C$25:$E$25,N$7)*N30</f>
        <v>100.2</v>
      </c>
      <c r="O31" s="91" t="n">
        <f aca="false">INDEX(Train_In!$C$25:$E$25,O$7)*O30</f>
        <v>33</v>
      </c>
      <c r="P31" s="91" t="n">
        <f aca="false">INDEX(Train_In!$C$25:$E$25,P$7)*P30</f>
        <v>60</v>
      </c>
      <c r="Q31" s="91" t="n">
        <f aca="false">INDEX(Train_In!$C$25:$E$25,Q$7)*Q30</f>
        <v>33</v>
      </c>
      <c r="R31" s="91" t="n">
        <f aca="false">INDEX(Train_In!$C$25:$E$25,R$7)*R30</f>
        <v>60</v>
      </c>
      <c r="S31" s="91" t="n">
        <f aca="false">INDEX(Train_In!$C$25:$E$25,S$7)*S30</f>
        <v>33</v>
      </c>
      <c r="T31" s="91" t="n">
        <f aca="false">INDEX(Train_In!$C$25:$E$25,T$7)*T30</f>
        <v>60</v>
      </c>
      <c r="U31" s="91" t="n">
        <f aca="false">INDEX(Train_In!$C$25:$E$25,U$7)*U30</f>
        <v>33</v>
      </c>
      <c r="V31" s="91" t="n">
        <f aca="false">INDEX(Train_In!$C$25:$E$25,V$7)*V30</f>
        <v>60</v>
      </c>
      <c r="W31" s="91" t="n">
        <f aca="false">INDEX(Train_In!$C$25:$E$25,W$7)*W30</f>
        <v>33</v>
      </c>
      <c r="X31" s="91" t="n">
        <f aca="false">INDEX(Train_In!$C$25:$E$25,X$7)*X30</f>
        <v>60</v>
      </c>
      <c r="Y31" s="91" t="n">
        <f aca="false">INDEX(Train_In!$C$25:$E$25,Y$7)*Y30</f>
        <v>33</v>
      </c>
      <c r="Z31" s="91" t="n">
        <f aca="false">INDEX(Train_In!$C$25:$E$25,Z$7)*Z30</f>
        <v>60</v>
      </c>
      <c r="AA31" s="91" t="n">
        <f aca="false">INDEX(Train_In!$C$25:$E$25,AA$7)*AA30</f>
        <v>33</v>
      </c>
      <c r="AB31" s="91" t="n">
        <f aca="false">INDEX(Train_In!$C$25:$E$25,AB$7)*AB30</f>
        <v>60</v>
      </c>
      <c r="AC31" s="91" t="n">
        <f aca="false">INDEX(Train_In!$C$25:$E$25,AC$7)*AC30</f>
        <v>33</v>
      </c>
      <c r="AD31" s="91" t="n">
        <f aca="false">INDEX(Train_In!$C$25:$E$25,AD$7)*AD30</f>
        <v>60</v>
      </c>
      <c r="AE31" s="91" t="n">
        <f aca="false">INDEX(Train_In!$C$25:$E$25,AE$7)*AE30</f>
        <v>33</v>
      </c>
      <c r="AF31" s="91" t="n">
        <f aca="false">INDEX(Train_In!$C$25:$E$25,AF$7)*AF30</f>
        <v>60</v>
      </c>
      <c r="AG31" s="91" t="n">
        <f aca="false">INDEX(Train_In!$C$25:$E$25,AG$7)*AG30</f>
        <v>33</v>
      </c>
      <c r="AH31" s="91" t="n">
        <f aca="false">INDEX(Train_In!$C$25:$E$25,AH$7)*AH30</f>
        <v>60</v>
      </c>
    </row>
    <row r="32" customFormat="false" ht="15" hidden="false" customHeight="false" outlineLevel="0" collapsed="false">
      <c r="A32" s="53" t="s">
        <v>967</v>
      </c>
      <c r="B32" s="54" t="s">
        <v>249</v>
      </c>
      <c r="C32" s="55" t="n">
        <f aca="false">INDEX(Train_In!$C$26:$E$26,C$7)</f>
        <v>4096</v>
      </c>
      <c r="D32" s="55" t="n">
        <f aca="false">INDEX(Train_In!$C$26:$E$26,D$7)</f>
        <v>8192</v>
      </c>
      <c r="E32" s="55" t="n">
        <f aca="false">INDEX(Train_In!$C$26:$E$26,E$7)</f>
        <v>4096</v>
      </c>
      <c r="F32" s="55" t="n">
        <f aca="false">INDEX(Train_In!$C$26:$E$26,F$7)</f>
        <v>8192</v>
      </c>
      <c r="G32" s="55" t="n">
        <f aca="false">INDEX(Train_In!$C$26:$E$26,G$7)</f>
        <v>4096</v>
      </c>
      <c r="H32" s="55" t="n">
        <f aca="false">INDEX(Train_In!$C$26:$E$26,H$7)</f>
        <v>8192</v>
      </c>
      <c r="I32" s="55" t="n">
        <f aca="false">INDEX(Train_In!$C$26:$E$26,I$7)</f>
        <v>4096</v>
      </c>
      <c r="J32" s="55" t="n">
        <f aca="false">INDEX(Train_In!$C$26:$E$26,J$7)</f>
        <v>8192</v>
      </c>
      <c r="K32" s="55" t="n">
        <f aca="false">INDEX(Train_In!$C$26:$E$26,K$7)</f>
        <v>4096</v>
      </c>
      <c r="L32" s="55" t="n">
        <f aca="false">INDEX(Train_In!$C$26:$E$26,L$7)</f>
        <v>8192</v>
      </c>
      <c r="M32" s="55" t="n">
        <f aca="false">INDEX(Train_In!$C$26:$E$26,M$7)</f>
        <v>4096</v>
      </c>
      <c r="N32" s="55" t="n">
        <f aca="false">INDEX(Train_In!$C$26:$E$26,N$7)</f>
        <v>8192</v>
      </c>
      <c r="O32" s="55" t="n">
        <f aca="false">INDEX(Train_In!$C$26:$E$26,O$7)</f>
        <v>4096</v>
      </c>
      <c r="P32" s="55" t="n">
        <f aca="false">INDEX(Train_In!$C$26:$E$26,P$7)</f>
        <v>8192</v>
      </c>
      <c r="Q32" s="55" t="n">
        <f aca="false">INDEX(Train_In!$C$26:$E$26,Q$7)</f>
        <v>4096</v>
      </c>
      <c r="R32" s="55" t="n">
        <f aca="false">INDEX(Train_In!$C$26:$E$26,R$7)</f>
        <v>8192</v>
      </c>
      <c r="S32" s="55" t="n">
        <f aca="false">INDEX(Train_In!$C$26:$E$26,S$7)</f>
        <v>4096</v>
      </c>
      <c r="T32" s="55" t="n">
        <f aca="false">INDEX(Train_In!$C$26:$E$26,T$7)</f>
        <v>8192</v>
      </c>
      <c r="U32" s="55" t="n">
        <f aca="false">INDEX(Train_In!$C$26:$E$26,U$7)</f>
        <v>4096</v>
      </c>
      <c r="V32" s="55" t="n">
        <f aca="false">INDEX(Train_In!$C$26:$E$26,V$7)</f>
        <v>8192</v>
      </c>
      <c r="W32" s="55" t="n">
        <f aca="false">INDEX(Train_In!$C$26:$E$26,W$7)</f>
        <v>4096</v>
      </c>
      <c r="X32" s="55" t="n">
        <f aca="false">INDEX(Train_In!$C$26:$E$26,X$7)</f>
        <v>8192</v>
      </c>
      <c r="Y32" s="55" t="n">
        <f aca="false">INDEX(Train_In!$C$26:$E$26,Y$7)</f>
        <v>4096</v>
      </c>
      <c r="Z32" s="55" t="n">
        <f aca="false">INDEX(Train_In!$C$26:$E$26,Z$7)</f>
        <v>8192</v>
      </c>
      <c r="AA32" s="55" t="n">
        <f aca="false">INDEX(Train_In!$C$26:$E$26,AA$7)</f>
        <v>4096</v>
      </c>
      <c r="AB32" s="55" t="n">
        <f aca="false">INDEX(Train_In!$C$26:$E$26,AB$7)</f>
        <v>8192</v>
      </c>
      <c r="AC32" s="55" t="n">
        <f aca="false">INDEX(Train_In!$C$26:$E$26,AC$7)</f>
        <v>4096</v>
      </c>
      <c r="AD32" s="55" t="n">
        <f aca="false">INDEX(Train_In!$C$26:$E$26,AD$7)</f>
        <v>8192</v>
      </c>
      <c r="AE32" s="55" t="n">
        <f aca="false">INDEX(Train_In!$C$26:$E$26,AE$7)</f>
        <v>4096</v>
      </c>
      <c r="AF32" s="55" t="n">
        <f aca="false">INDEX(Train_In!$C$26:$E$26,AF$7)</f>
        <v>8192</v>
      </c>
      <c r="AG32" s="55" t="n">
        <f aca="false">INDEX(Train_In!$C$26:$E$26,AG$7)</f>
        <v>4096</v>
      </c>
      <c r="AH32" s="55" t="n">
        <f aca="false">INDEX(Train_In!$C$26:$E$26,AH$7)</f>
        <v>8192</v>
      </c>
    </row>
    <row r="33" customFormat="false" ht="15" hidden="false" customHeight="false" outlineLevel="0" collapsed="false">
      <c r="A33" s="53" t="s">
        <v>968</v>
      </c>
      <c r="B33" s="54" t="s">
        <v>249</v>
      </c>
      <c r="C33" s="60" t="n">
        <f aca="false">C32/2</f>
        <v>2048</v>
      </c>
      <c r="D33" s="60" t="n">
        <f aca="false">D32/2</f>
        <v>4096</v>
      </c>
      <c r="E33" s="60" t="n">
        <f aca="false">E32/2</f>
        <v>2048</v>
      </c>
      <c r="F33" s="60" t="n">
        <f aca="false">F32/2</f>
        <v>4096</v>
      </c>
      <c r="G33" s="60" t="n">
        <f aca="false">G32/2</f>
        <v>2048</v>
      </c>
      <c r="H33" s="60" t="n">
        <f aca="false">H32/2</f>
        <v>4096</v>
      </c>
      <c r="I33" s="60" t="n">
        <f aca="false">I32/2</f>
        <v>2048</v>
      </c>
      <c r="J33" s="60" t="n">
        <f aca="false">J32/2</f>
        <v>4096</v>
      </c>
      <c r="K33" s="60" t="n">
        <f aca="false">K32/2</f>
        <v>2048</v>
      </c>
      <c r="L33" s="60" t="n">
        <f aca="false">L32/2</f>
        <v>4096</v>
      </c>
      <c r="M33" s="60" t="n">
        <f aca="false">M32/2</f>
        <v>2048</v>
      </c>
      <c r="N33" s="60" t="n">
        <f aca="false">N32/2</f>
        <v>4096</v>
      </c>
      <c r="O33" s="60" t="n">
        <f aca="false">O32/2</f>
        <v>2048</v>
      </c>
      <c r="P33" s="60" t="n">
        <f aca="false">P32/2</f>
        <v>4096</v>
      </c>
      <c r="Q33" s="60" t="n">
        <f aca="false">Q32/2</f>
        <v>2048</v>
      </c>
      <c r="R33" s="60" t="n">
        <f aca="false">R32/2</f>
        <v>4096</v>
      </c>
      <c r="S33" s="60" t="n">
        <f aca="false">S32/2</f>
        <v>2048</v>
      </c>
      <c r="T33" s="60" t="n">
        <f aca="false">T32/2</f>
        <v>4096</v>
      </c>
      <c r="U33" s="60" t="n">
        <f aca="false">U32/2</f>
        <v>2048</v>
      </c>
      <c r="V33" s="60" t="n">
        <f aca="false">V32/2</f>
        <v>4096</v>
      </c>
      <c r="W33" s="60" t="n">
        <f aca="false">W32/2</f>
        <v>2048</v>
      </c>
      <c r="X33" s="60" t="n">
        <f aca="false">X32/2</f>
        <v>4096</v>
      </c>
      <c r="Y33" s="60" t="n">
        <f aca="false">Y32/2</f>
        <v>2048</v>
      </c>
      <c r="Z33" s="60" t="n">
        <f aca="false">Z32/2</f>
        <v>4096</v>
      </c>
      <c r="AA33" s="60" t="n">
        <f aca="false">AA32/2</f>
        <v>2048</v>
      </c>
      <c r="AB33" s="60" t="n">
        <f aca="false">AB32/2</f>
        <v>4096</v>
      </c>
      <c r="AC33" s="60" t="n">
        <f aca="false">AC32/2</f>
        <v>2048</v>
      </c>
      <c r="AD33" s="60" t="n">
        <f aca="false">AD32/2</f>
        <v>4096</v>
      </c>
      <c r="AE33" s="60" t="n">
        <f aca="false">AE32/2</f>
        <v>2048</v>
      </c>
      <c r="AF33" s="60" t="n">
        <f aca="false">AF32/2</f>
        <v>4096</v>
      </c>
      <c r="AG33" s="60" t="n">
        <f aca="false">AG32/2</f>
        <v>2048</v>
      </c>
      <c r="AH33" s="60" t="n">
        <f aca="false">AH32/2</f>
        <v>4096</v>
      </c>
    </row>
    <row r="34" customFormat="false" ht="15" hidden="false" customHeight="false" outlineLevel="0" collapsed="false">
      <c r="A34" s="53" t="s">
        <v>969</v>
      </c>
      <c r="B34" s="54" t="s">
        <v>448</v>
      </c>
      <c r="C34" s="67" t="n">
        <f aca="false">3*(2*C22*1000000000+C23*C33)*C28/1000000000</f>
        <v>392.247376896</v>
      </c>
      <c r="D34" s="67" t="n">
        <f aca="false">3*(2*D22*1000000000+D23*D33)*D28/1000000000</f>
        <v>1140.3979776</v>
      </c>
      <c r="E34" s="67" t="n">
        <f aca="false">3*(2*E22*1000000000+E23*E33)*E28/1000000000</f>
        <v>392.247376896</v>
      </c>
      <c r="F34" s="67" t="n">
        <f aca="false">3*(2*F22*1000000000+F23*F33)*F28/1000000000</f>
        <v>1140.3979776</v>
      </c>
      <c r="G34" s="67" t="n">
        <f aca="false">3*(2*G22*1000000000+G23*G33)*G28/1000000000</f>
        <v>392.247376896</v>
      </c>
      <c r="H34" s="67" t="n">
        <f aca="false">3*(2*H22*1000000000+H23*H33)*H28/1000000000</f>
        <v>1140.3979776</v>
      </c>
      <c r="I34" s="67" t="n">
        <f aca="false">3*(2*I22*1000000000+I23*I33)*I28/1000000000</f>
        <v>392.247376896</v>
      </c>
      <c r="J34" s="67" t="n">
        <f aca="false">3*(2*J22*1000000000+J23*J33)*J28/1000000000</f>
        <v>1140.3979776</v>
      </c>
      <c r="K34" s="67" t="n">
        <f aca="false">3*(2*K22*1000000000+K23*K33)*K28/1000000000</f>
        <v>392.247376896</v>
      </c>
      <c r="L34" s="67" t="n">
        <f aca="false">3*(2*L22*1000000000+L23*L33)*L28/1000000000</f>
        <v>1140.3979776</v>
      </c>
      <c r="M34" s="67" t="n">
        <f aca="false">3*(2*M22*1000000000+M23*M33)*M28/1000000000</f>
        <v>392.247376896</v>
      </c>
      <c r="N34" s="67" t="n">
        <f aca="false">3*(2*N22*1000000000+N23*N33)*N28/1000000000</f>
        <v>1140.3979776</v>
      </c>
      <c r="O34" s="67" t="n">
        <f aca="false">3*(2*O22*1000000000+O23*O33)*O28/1000000000</f>
        <v>392.247376896</v>
      </c>
      <c r="P34" s="67" t="n">
        <f aca="false">3*(2*P22*1000000000+P23*P33)*P28/1000000000</f>
        <v>1140.3979776</v>
      </c>
      <c r="Q34" s="67" t="n">
        <f aca="false">3*(2*Q22*1000000000+Q23*Q33)*Q28/1000000000</f>
        <v>392.247376896</v>
      </c>
      <c r="R34" s="67" t="n">
        <f aca="false">3*(2*R22*1000000000+R23*R33)*R28/1000000000</f>
        <v>1140.3979776</v>
      </c>
      <c r="S34" s="67" t="n">
        <f aca="false">3*(2*S22*1000000000+S23*S33)*S28/1000000000</f>
        <v>392.247376896</v>
      </c>
      <c r="T34" s="67" t="n">
        <f aca="false">3*(2*T22*1000000000+T23*T33)*T28/1000000000</f>
        <v>1140.3979776</v>
      </c>
      <c r="U34" s="67" t="n">
        <f aca="false">3*(2*U22*1000000000+U23*U33)*U28/1000000000</f>
        <v>392.247376896</v>
      </c>
      <c r="V34" s="67" t="n">
        <f aca="false">3*(2*V22*1000000000+V23*V33)*V28/1000000000</f>
        <v>1140.3979776</v>
      </c>
      <c r="W34" s="67" t="n">
        <f aca="false">3*(2*W22*1000000000+W23*W33)*W28/1000000000</f>
        <v>392.247376896</v>
      </c>
      <c r="X34" s="67" t="n">
        <f aca="false">3*(2*X22*1000000000+X23*X33)*X28/1000000000</f>
        <v>1140.3979776</v>
      </c>
      <c r="Y34" s="67" t="n">
        <f aca="false">3*(2*Y22*1000000000+Y23*Y33)*Y28/1000000000</f>
        <v>392.247376896</v>
      </c>
      <c r="Z34" s="67" t="n">
        <f aca="false">3*(2*Z22*1000000000+Z23*Z33)*Z28/1000000000</f>
        <v>1140.3979776</v>
      </c>
      <c r="AA34" s="67" t="n">
        <f aca="false">3*(2*AA22*1000000000+AA23*AA33)*AA28/1000000000</f>
        <v>392.247376896</v>
      </c>
      <c r="AB34" s="67" t="n">
        <f aca="false">3*(2*AB22*1000000000+AB23*AB33)*AB28/1000000000</f>
        <v>1140.3979776</v>
      </c>
      <c r="AC34" s="67" t="n">
        <f aca="false">3*(2*AC22*1000000000+AC23*AC33)*AC28/1000000000</f>
        <v>392.247376896</v>
      </c>
      <c r="AD34" s="67" t="n">
        <f aca="false">3*(2*AD22*1000000000+AD23*AD33)*AD28/1000000000</f>
        <v>1140.3979776</v>
      </c>
      <c r="AE34" s="67" t="n">
        <f aca="false">3*(2*AE22*1000000000+AE23*AE33)*AE28/1000000000</f>
        <v>392.247376896</v>
      </c>
      <c r="AF34" s="67" t="n">
        <f aca="false">3*(2*AF22*1000000000+AF23*AF33)*AF28/1000000000</f>
        <v>1140.3979776</v>
      </c>
      <c r="AG34" s="67" t="n">
        <f aca="false">3*(2*AG22*1000000000+AG23*AG33)*AG28/1000000000</f>
        <v>392.247376896</v>
      </c>
      <c r="AH34" s="67" t="n">
        <f aca="false">3*(2*AH22*1000000000+AH23*AH33)*AH28/1000000000</f>
        <v>1140.3979776</v>
      </c>
    </row>
    <row r="35" customFormat="false" ht="15" hidden="false" customHeight="false" outlineLevel="0" collapsed="false">
      <c r="A35" s="53" t="s">
        <v>970</v>
      </c>
      <c r="B35" s="54" t="s">
        <v>272</v>
      </c>
      <c r="C35" s="137" t="n">
        <f aca="false">C34*1000000000*C31*1000000000000</f>
        <v>1.2944163437568E+025</v>
      </c>
      <c r="D35" s="137" t="n">
        <f aca="false">D34*1000000000*D31*1000000000000</f>
        <v>6.8423878656E+025</v>
      </c>
      <c r="E35" s="137" t="n">
        <f aca="false">E34*1000000000*E31*1000000000000</f>
        <v>1.2944163437568E+025</v>
      </c>
      <c r="F35" s="137" t="n">
        <f aca="false">F34*1000000000*F31*1000000000000</f>
        <v>6.8423878656E+025</v>
      </c>
      <c r="G35" s="137" t="n">
        <f aca="false">G34*1000000000*G31*1000000000000</f>
        <v>1.2944163437568E+025</v>
      </c>
      <c r="H35" s="137" t="n">
        <f aca="false">H34*1000000000*H31*1000000000000</f>
        <v>6.8423878656E+025</v>
      </c>
      <c r="I35" s="137" t="n">
        <f aca="false">I34*1000000000*I31*1000000000000</f>
        <v>1.2944163437568E+025</v>
      </c>
      <c r="J35" s="137" t="n">
        <f aca="false">J34*1000000000*J31*1000000000000</f>
        <v>6.8423878656E+025</v>
      </c>
      <c r="K35" s="137" t="n">
        <f aca="false">K34*1000000000*K31*1000000000000</f>
        <v>6.472081718784E+024</v>
      </c>
      <c r="L35" s="137" t="n">
        <f aca="false">L34*1000000000*L31*1000000000000</f>
        <v>3.4211939328E+025</v>
      </c>
      <c r="M35" s="137" t="n">
        <f aca="false">M34*1000000000*M31*1000000000000</f>
        <v>2.16167529407386E+025</v>
      </c>
      <c r="N35" s="137" t="n">
        <f aca="false">N34*1000000000*N31*1000000000000</f>
        <v>1.1426787735552E+026</v>
      </c>
      <c r="O35" s="137" t="n">
        <f aca="false">O34*1000000000*O31*1000000000000</f>
        <v>1.2944163437568E+025</v>
      </c>
      <c r="P35" s="137" t="n">
        <f aca="false">P34*1000000000*P31*1000000000000</f>
        <v>6.8423878656E+025</v>
      </c>
      <c r="Q35" s="137" t="n">
        <f aca="false">Q34*1000000000*Q31*1000000000000</f>
        <v>1.2944163437568E+025</v>
      </c>
      <c r="R35" s="137" t="n">
        <f aca="false">R34*1000000000*R31*1000000000000</f>
        <v>6.8423878656E+025</v>
      </c>
      <c r="S35" s="137" t="n">
        <f aca="false">S34*1000000000*S31*1000000000000</f>
        <v>1.2944163437568E+025</v>
      </c>
      <c r="T35" s="137" t="n">
        <f aca="false">T34*1000000000*T31*1000000000000</f>
        <v>6.8423878656E+025</v>
      </c>
      <c r="U35" s="137" t="n">
        <f aca="false">U34*1000000000*U31*1000000000000</f>
        <v>1.2944163437568E+025</v>
      </c>
      <c r="V35" s="137" t="n">
        <f aca="false">V34*1000000000*V31*1000000000000</f>
        <v>6.8423878656E+025</v>
      </c>
      <c r="W35" s="137" t="n">
        <f aca="false">W34*1000000000*W31*1000000000000</f>
        <v>1.2944163437568E+025</v>
      </c>
      <c r="X35" s="137" t="n">
        <f aca="false">X34*1000000000*X31*1000000000000</f>
        <v>6.8423878656E+025</v>
      </c>
      <c r="Y35" s="137" t="n">
        <f aca="false">Y34*1000000000*Y31*1000000000000</f>
        <v>1.2944163437568E+025</v>
      </c>
      <c r="Z35" s="137" t="n">
        <f aca="false">Z34*1000000000*Z31*1000000000000</f>
        <v>6.8423878656E+025</v>
      </c>
      <c r="AA35" s="137" t="n">
        <f aca="false">AA34*1000000000*AA31*1000000000000</f>
        <v>1.2944163437568E+025</v>
      </c>
      <c r="AB35" s="137" t="n">
        <f aca="false">AB34*1000000000*AB31*1000000000000</f>
        <v>6.8423878656E+025</v>
      </c>
      <c r="AC35" s="137" t="n">
        <f aca="false">AC34*1000000000*AC31*1000000000000</f>
        <v>1.2944163437568E+025</v>
      </c>
      <c r="AD35" s="137" t="n">
        <f aca="false">AD34*1000000000*AD31*1000000000000</f>
        <v>6.8423878656E+025</v>
      </c>
      <c r="AE35" s="137" t="n">
        <f aca="false">AE34*1000000000*AE31*1000000000000</f>
        <v>1.2944163437568E+025</v>
      </c>
      <c r="AF35" s="137" t="n">
        <f aca="false">AF34*1000000000*AF31*1000000000000</f>
        <v>6.8423878656E+025</v>
      </c>
      <c r="AG35" s="137" t="n">
        <f aca="false">AG34*1000000000*AG31*1000000000000</f>
        <v>1.2944163437568E+025</v>
      </c>
      <c r="AH35" s="137" t="n">
        <f aca="false">AH34*1000000000*AH31*1000000000000</f>
        <v>6.8423878656E+025</v>
      </c>
    </row>
    <row r="36" customFormat="false" ht="15" hidden="false" customHeight="false" outlineLevel="0" collapsed="false">
      <c r="A36" s="53" t="s">
        <v>971</v>
      </c>
      <c r="B36" s="54" t="s">
        <v>972</v>
      </c>
      <c r="C36" s="63" t="n">
        <f aca="false">C35/(C12*1000000000000000*C16*1*C17)/3600</f>
        <v>1014631.66275273</v>
      </c>
      <c r="D36" s="63" t="n">
        <f aca="false">D35/(D12*1000000000000000*D16*1*D17)/3600</f>
        <v>5363423.76296296</v>
      </c>
      <c r="E36" s="63" t="n">
        <f aca="false">E35/(E12*1000000000000000*E16*1*E17)/3600</f>
        <v>1691052.77125456</v>
      </c>
      <c r="F36" s="63" t="n">
        <f aca="false">F35/(F12*1000000000000000*F16*1*F17)/3600</f>
        <v>8939039.60493827</v>
      </c>
      <c r="G36" s="63" t="n">
        <f aca="false">G35/(G12*1000000000000000*G16*1*G17)/3600</f>
        <v>634144.789220458</v>
      </c>
      <c r="H36" s="63" t="n">
        <f aca="false">H35/(H12*1000000000000000*H16*1*H17)/3600</f>
        <v>3352139.85185185</v>
      </c>
      <c r="I36" s="63" t="n">
        <f aca="false">I35/(I12*1000000000000000*I16*1*I17)/3600</f>
        <v>507315.831376367</v>
      </c>
      <c r="J36" s="63" t="n">
        <f aca="false">J35/(J12*1000000000000000*J16*1*J17)/3600</f>
        <v>2681711.88148148</v>
      </c>
      <c r="K36" s="63" t="n">
        <f aca="false">K35/(K12*1000000000000000*K16*1*K17)/3600</f>
        <v>507315.831376367</v>
      </c>
      <c r="L36" s="63" t="n">
        <f aca="false">L35/(L12*1000000000000000*L16*1*L17)/3600</f>
        <v>2681711.88148148</v>
      </c>
      <c r="M36" s="63" t="n">
        <f aca="false">M35/(M12*1000000000000000*M16*1*M17)/3600</f>
        <v>1694434.87679707</v>
      </c>
      <c r="N36" s="63" t="n">
        <f aca="false">N35/(N12*1000000000000000*N16*1*N17)/3600</f>
        <v>8956917.68414815</v>
      </c>
      <c r="O36" s="63" t="n">
        <f aca="false">O35/(O12*1000000000000000*O16*1*O17)/3600</f>
        <v>1014631.66275273</v>
      </c>
      <c r="P36" s="63" t="n">
        <f aca="false">P35/(P12*1000000000000000*P16*1*P17)/3600</f>
        <v>5363423.76296296</v>
      </c>
      <c r="Q36" s="63" t="n">
        <f aca="false">Q35/(Q12*1000000000000000*Q16*1*Q17)/3600</f>
        <v>1014631.66275273</v>
      </c>
      <c r="R36" s="63" t="n">
        <f aca="false">R35/(R12*1000000000000000*R16*1*R17)/3600</f>
        <v>5363423.76296296</v>
      </c>
      <c r="S36" s="63" t="n">
        <f aca="false">S35/(S12*1000000000000000*S16*1*S17)/3600</f>
        <v>1014631.66275273</v>
      </c>
      <c r="T36" s="63" t="n">
        <f aca="false">T35/(T12*1000000000000000*T16*1*T17)/3600</f>
        <v>5363423.76296296</v>
      </c>
      <c r="U36" s="63" t="n">
        <f aca="false">U35/(U12*1000000000000000*U16*1*U17)/3600</f>
        <v>1014631.66275273</v>
      </c>
      <c r="V36" s="63" t="n">
        <f aca="false">V35/(V12*1000000000000000*V16*1*V17)/3600</f>
        <v>5363423.76296296</v>
      </c>
      <c r="W36" s="63" t="n">
        <f aca="false">W35/(W12*1000000000000000*W16*1*W17)/3600</f>
        <v>1014631.66275273</v>
      </c>
      <c r="X36" s="63" t="n">
        <f aca="false">X35/(X12*1000000000000000*X16*1*X17)/3600</f>
        <v>5363423.76296296</v>
      </c>
      <c r="Y36" s="63" t="n">
        <f aca="false">Y35/(Y12*1000000000000000*Y16*1*Y17)/3600</f>
        <v>1014631.66275273</v>
      </c>
      <c r="Z36" s="63" t="n">
        <f aca="false">Z35/(Z12*1000000000000000*Z16*1*Z17)/3600</f>
        <v>5363423.76296296</v>
      </c>
      <c r="AA36" s="63" t="n">
        <f aca="false">AA35/(AA12*1000000000000000*AA16*1*AA17)/3600</f>
        <v>1014631.66275273</v>
      </c>
      <c r="AB36" s="63" t="n">
        <f aca="false">AB35/(AB12*1000000000000000*AB16*1*AB17)/3600</f>
        <v>5363423.76296296</v>
      </c>
      <c r="AC36" s="63" t="n">
        <f aca="false">AC35/(AC12*1000000000000000*AC16*1*AC17)/3600</f>
        <v>1014631.66275273</v>
      </c>
      <c r="AD36" s="63" t="n">
        <f aca="false">AD35/(AD12*1000000000000000*AD16*1*AD17)/3600</f>
        <v>5363423.76296296</v>
      </c>
      <c r="AE36" s="63" t="n">
        <f aca="false">AE35/(AE12*1000000000000000*AE16*1*AE17)/3600</f>
        <v>1014631.66275273</v>
      </c>
      <c r="AF36" s="63" t="n">
        <f aca="false">AF35/(AF12*1000000000000000*AF16*1*AF17)/3600</f>
        <v>5363423.76296296</v>
      </c>
      <c r="AG36" s="63" t="n">
        <f aca="false">AG35/(AG12*1000000000000000*AG16*1*AG17)/3600</f>
        <v>1141460.62059683</v>
      </c>
      <c r="AH36" s="63" t="n">
        <f aca="false">AH35/(AH12*1000000000000000*AH16*1*AH17)/3600</f>
        <v>6033851.73333333</v>
      </c>
    </row>
    <row r="37" customFormat="false" ht="15" hidden="false" customHeight="false" outlineLevel="0" collapsed="false">
      <c r="A37" s="68" t="s">
        <v>973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</row>
    <row r="38" customFormat="false" ht="15" hidden="false" customHeight="false" outlineLevel="0" collapsed="false">
      <c r="A38" s="53" t="s">
        <v>974</v>
      </c>
      <c r="B38" s="54" t="s">
        <v>904</v>
      </c>
      <c r="C38" s="91" t="n">
        <f aca="false">INDEX(Train_In!$C$27:$E$27,C$7)</f>
        <v>1</v>
      </c>
      <c r="D38" s="91" t="n">
        <f aca="false">INDEX(Train_In!$C$27:$E$27,D$7)</f>
        <v>2</v>
      </c>
      <c r="E38" s="91" t="n">
        <f aca="false">INDEX(Train_In!$C$27:$E$27,E$7)</f>
        <v>1</v>
      </c>
      <c r="F38" s="91" t="n">
        <f aca="false">INDEX(Train_In!$C$27:$E$27,F$7)</f>
        <v>2</v>
      </c>
      <c r="G38" s="91" t="n">
        <f aca="false">INDEX(Train_In!$C$27:$E$27,G$7)</f>
        <v>1</v>
      </c>
      <c r="H38" s="91" t="n">
        <f aca="false">INDEX(Train_In!$C$27:$E$27,H$7)</f>
        <v>2</v>
      </c>
      <c r="I38" s="91" t="n">
        <f aca="false">INDEX(Train_In!$C$27:$E$27,I$7)</f>
        <v>1</v>
      </c>
      <c r="J38" s="91" t="n">
        <f aca="false">INDEX(Train_In!$C$27:$E$27,J$7)</f>
        <v>2</v>
      </c>
      <c r="K38" s="91" t="n">
        <f aca="false">INDEX(Train_In!$C$27:$E$27,K$7)</f>
        <v>1</v>
      </c>
      <c r="L38" s="91" t="n">
        <f aca="false">INDEX(Train_In!$C$27:$E$27,L$7)</f>
        <v>2</v>
      </c>
      <c r="M38" s="91" t="n">
        <f aca="false">INDEX(Train_In!$C$27:$E$27,M$7)</f>
        <v>1</v>
      </c>
      <c r="N38" s="91" t="n">
        <f aca="false">INDEX(Train_In!$C$27:$E$27,N$7)</f>
        <v>2</v>
      </c>
      <c r="O38" s="91" t="n">
        <f aca="false">INDEX(Train_In!$C$27:$E$27,O$7)</f>
        <v>1</v>
      </c>
      <c r="P38" s="91" t="n">
        <f aca="false">INDEX(Train_In!$C$27:$E$27,P$7)</f>
        <v>2</v>
      </c>
      <c r="Q38" s="91" t="n">
        <f aca="false">INDEX(Train_In!$C$27:$E$27,Q$7)</f>
        <v>1</v>
      </c>
      <c r="R38" s="91" t="n">
        <f aca="false">INDEX(Train_In!$C$27:$E$27,R$7)</f>
        <v>2</v>
      </c>
      <c r="S38" s="91" t="n">
        <f aca="false">INDEX(Train_In!$C$27:$E$27,S$7)</f>
        <v>1</v>
      </c>
      <c r="T38" s="91" t="n">
        <f aca="false">INDEX(Train_In!$C$27:$E$27,T$7)</f>
        <v>2</v>
      </c>
      <c r="U38" s="91" t="n">
        <f aca="false">INDEX(Train_In!$C$27:$E$27,U$7)</f>
        <v>1</v>
      </c>
      <c r="V38" s="91" t="n">
        <f aca="false">INDEX(Train_In!$C$27:$E$27,V$7)</f>
        <v>2</v>
      </c>
      <c r="W38" s="91" t="n">
        <f aca="false">INDEX(Train_In!$C$27:$E$27,W$7)</f>
        <v>1</v>
      </c>
      <c r="X38" s="91" t="n">
        <f aca="false">INDEX(Train_In!$C$27:$E$27,X$7)</f>
        <v>2</v>
      </c>
      <c r="Y38" s="91" t="n">
        <f aca="false">INDEX(Train_In!$C$27:$E$27,Y$7)</f>
        <v>1</v>
      </c>
      <c r="Z38" s="91" t="n">
        <f aca="false">INDEX(Train_In!$C$27:$E$27,Z$7)</f>
        <v>2</v>
      </c>
      <c r="AA38" s="91" t="n">
        <f aca="false">INDEX(Train_In!$C$27:$E$27,AA$7)</f>
        <v>1</v>
      </c>
      <c r="AB38" s="91" t="n">
        <f aca="false">INDEX(Train_In!$C$27:$E$27,AB$7)</f>
        <v>2</v>
      </c>
      <c r="AC38" s="91" t="n">
        <f aca="false">INDEX(Train_In!$C$27:$E$27,AC$7)</f>
        <v>1</v>
      </c>
      <c r="AD38" s="91" t="n">
        <f aca="false">INDEX(Train_In!$C$27:$E$27,AD$7)</f>
        <v>2</v>
      </c>
      <c r="AE38" s="91" t="n">
        <f aca="false">INDEX(Train_In!$C$27:$E$27,AE$7)</f>
        <v>1</v>
      </c>
      <c r="AF38" s="91" t="n">
        <f aca="false">INDEX(Train_In!$C$27:$E$27,AF$7)</f>
        <v>2</v>
      </c>
      <c r="AG38" s="91" t="n">
        <f aca="false">INDEX(Train_In!$C$27:$E$27,AG$7)</f>
        <v>1</v>
      </c>
      <c r="AH38" s="91" t="n">
        <f aca="false">INDEX(Train_In!$C$27:$E$27,AH$7)</f>
        <v>2</v>
      </c>
    </row>
    <row r="39" customFormat="false" ht="15" hidden="false" customHeight="false" outlineLevel="0" collapsed="false">
      <c r="A39" s="53" t="s">
        <v>967</v>
      </c>
      <c r="B39" s="54" t="s">
        <v>249</v>
      </c>
      <c r="C39" s="55" t="n">
        <f aca="false">INDEX(Train_In!$C$28:$E$28,C$7)</f>
        <v>131072</v>
      </c>
      <c r="D39" s="55" t="n">
        <f aca="false">INDEX(Train_In!$C$28:$E$28,D$7)</f>
        <v>131072</v>
      </c>
      <c r="E39" s="55" t="n">
        <f aca="false">INDEX(Train_In!$C$28:$E$28,E$7)</f>
        <v>131072</v>
      </c>
      <c r="F39" s="55" t="n">
        <f aca="false">INDEX(Train_In!$C$28:$E$28,F$7)</f>
        <v>131072</v>
      </c>
      <c r="G39" s="55" t="n">
        <f aca="false">INDEX(Train_In!$C$28:$E$28,G$7)</f>
        <v>131072</v>
      </c>
      <c r="H39" s="55" t="n">
        <f aca="false">INDEX(Train_In!$C$28:$E$28,H$7)</f>
        <v>131072</v>
      </c>
      <c r="I39" s="55" t="n">
        <f aca="false">INDEX(Train_In!$C$28:$E$28,I$7)</f>
        <v>131072</v>
      </c>
      <c r="J39" s="55" t="n">
        <f aca="false">INDEX(Train_In!$C$28:$E$28,J$7)</f>
        <v>131072</v>
      </c>
      <c r="K39" s="55" t="n">
        <f aca="false">INDEX(Train_In!$C$28:$E$28,K$7)</f>
        <v>131072</v>
      </c>
      <c r="L39" s="55" t="n">
        <f aca="false">INDEX(Train_In!$C$28:$E$28,L$7)</f>
        <v>131072</v>
      </c>
      <c r="M39" s="55" t="n">
        <f aca="false">INDEX(Train_In!$C$28:$E$28,M$7)</f>
        <v>131072</v>
      </c>
      <c r="N39" s="55" t="n">
        <f aca="false">INDEX(Train_In!$C$28:$E$28,N$7)</f>
        <v>131072</v>
      </c>
      <c r="O39" s="55" t="n">
        <f aca="false">INDEX(Train_In!$C$28:$E$28,O$7)</f>
        <v>131072</v>
      </c>
      <c r="P39" s="55" t="n">
        <f aca="false">INDEX(Train_In!$C$28:$E$28,P$7)</f>
        <v>131072</v>
      </c>
      <c r="Q39" s="55" t="n">
        <f aca="false">INDEX(Train_In!$C$28:$E$28,Q$7)</f>
        <v>131072</v>
      </c>
      <c r="R39" s="55" t="n">
        <f aca="false">INDEX(Train_In!$C$28:$E$28,R$7)</f>
        <v>131072</v>
      </c>
      <c r="S39" s="55" t="n">
        <f aca="false">INDEX(Train_In!$C$28:$E$28,S$7)</f>
        <v>131072</v>
      </c>
      <c r="T39" s="55" t="n">
        <f aca="false">INDEX(Train_In!$C$28:$E$28,T$7)</f>
        <v>131072</v>
      </c>
      <c r="U39" s="55" t="n">
        <f aca="false">INDEX(Train_In!$C$28:$E$28,U$7)</f>
        <v>131072</v>
      </c>
      <c r="V39" s="55" t="n">
        <f aca="false">INDEX(Train_In!$C$28:$E$28,V$7)</f>
        <v>131072</v>
      </c>
      <c r="W39" s="55" t="n">
        <f aca="false">INDEX(Train_In!$C$28:$E$28,W$7)</f>
        <v>131072</v>
      </c>
      <c r="X39" s="55" t="n">
        <f aca="false">INDEX(Train_In!$C$28:$E$28,X$7)</f>
        <v>131072</v>
      </c>
      <c r="Y39" s="55" t="n">
        <f aca="false">INDEX(Train_In!$C$28:$E$28,Y$7)</f>
        <v>131072</v>
      </c>
      <c r="Z39" s="55" t="n">
        <f aca="false">INDEX(Train_In!$C$28:$E$28,Z$7)</f>
        <v>131072</v>
      </c>
      <c r="AA39" s="55" t="n">
        <f aca="false">INDEX(Train_In!$C$28:$E$28,AA$7)</f>
        <v>131072</v>
      </c>
      <c r="AB39" s="55" t="n">
        <f aca="false">INDEX(Train_In!$C$28:$E$28,AB$7)</f>
        <v>131072</v>
      </c>
      <c r="AC39" s="55" t="n">
        <f aca="false">INDEX(Train_In!$C$28:$E$28,AC$7)</f>
        <v>131072</v>
      </c>
      <c r="AD39" s="55" t="n">
        <f aca="false">INDEX(Train_In!$C$28:$E$28,AD$7)</f>
        <v>131072</v>
      </c>
      <c r="AE39" s="55" t="n">
        <f aca="false">INDEX(Train_In!$C$28:$E$28,AE$7)</f>
        <v>131072</v>
      </c>
      <c r="AF39" s="55" t="n">
        <f aca="false">INDEX(Train_In!$C$28:$E$28,AF$7)</f>
        <v>131072</v>
      </c>
      <c r="AG39" s="55" t="n">
        <f aca="false">INDEX(Train_In!$C$28:$E$28,AG$7)</f>
        <v>131072</v>
      </c>
      <c r="AH39" s="55" t="n">
        <f aca="false">INDEX(Train_In!$C$28:$E$28,AH$7)</f>
        <v>131072</v>
      </c>
    </row>
    <row r="40" customFormat="false" ht="15" hidden="false" customHeight="false" outlineLevel="0" collapsed="false">
      <c r="A40" s="53" t="s">
        <v>975</v>
      </c>
      <c r="B40" s="54" t="s">
        <v>249</v>
      </c>
      <c r="C40" s="60" t="n">
        <f aca="false">C24*IF(C25=0,C39/2,MIN(C39/2,C25))+(1-C24)*(C39/2/C26+C27)</f>
        <v>2403.328</v>
      </c>
      <c r="D40" s="60" t="n">
        <f aca="false">D24*IF(D25=0,D39/2,MIN(D39/2,D25))+(1-D24)*(D39/2/D26+D27)</f>
        <v>65536</v>
      </c>
      <c r="E40" s="60" t="n">
        <f aca="false">E24*IF(E25=0,E39/2,MIN(E39/2,E25))+(1-E24)*(E39/2/E26+E27)</f>
        <v>2403.328</v>
      </c>
      <c r="F40" s="60" t="n">
        <f aca="false">F24*IF(F25=0,F39/2,MIN(F39/2,F25))+(1-F24)*(F39/2/F26+F27)</f>
        <v>65536</v>
      </c>
      <c r="G40" s="60" t="n">
        <f aca="false">G24*IF(G25=0,G39/2,MIN(G39/2,G25))+(1-G24)*(G39/2/G26+G27)</f>
        <v>2403.328</v>
      </c>
      <c r="H40" s="60" t="n">
        <f aca="false">H24*IF(H25=0,H39/2,MIN(H39/2,H25))+(1-H24)*(H39/2/H26+H27)</f>
        <v>65536</v>
      </c>
      <c r="I40" s="60" t="n">
        <f aca="false">I24*IF(I25=0,I39/2,MIN(I39/2,I25))+(1-I24)*(I39/2/I26+I27)</f>
        <v>2403.328</v>
      </c>
      <c r="J40" s="60" t="n">
        <f aca="false">J24*IF(J25=0,J39/2,MIN(J39/2,J25))+(1-J24)*(J39/2/J26+J27)</f>
        <v>65536</v>
      </c>
      <c r="K40" s="60" t="n">
        <f aca="false">K24*IF(K25=0,K39/2,MIN(K39/2,K25))+(1-K24)*(K39/2/K26+K27)</f>
        <v>2403.328</v>
      </c>
      <c r="L40" s="60" t="n">
        <f aca="false">L24*IF(L25=0,L39/2,MIN(L39/2,L25))+(1-L24)*(L39/2/L26+L27)</f>
        <v>65536</v>
      </c>
      <c r="M40" s="60" t="n">
        <f aca="false">M24*IF(M25=0,M39/2,MIN(M39/2,M25))+(1-M24)*(M39/2/M26+M27)</f>
        <v>2403.328</v>
      </c>
      <c r="N40" s="60" t="n">
        <f aca="false">N24*IF(N25=0,N39/2,MIN(N39/2,N25))+(1-N24)*(N39/2/N26+N27)</f>
        <v>65536</v>
      </c>
      <c r="O40" s="60" t="n">
        <f aca="false">O24*IF(O25=0,O39/2,MIN(O39/2,O25))+(1-O24)*(O39/2/O26+O27)</f>
        <v>2403.328</v>
      </c>
      <c r="P40" s="60" t="n">
        <f aca="false">P24*IF(P25=0,P39/2,MIN(P39/2,P25))+(1-P24)*(P39/2/P26+P27)</f>
        <v>65536</v>
      </c>
      <c r="Q40" s="60" t="n">
        <f aca="false">Q24*IF(Q25=0,Q39/2,MIN(Q39/2,Q25))+(1-Q24)*(Q39/2/Q26+Q27)</f>
        <v>2403.328</v>
      </c>
      <c r="R40" s="60" t="n">
        <f aca="false">R24*IF(R25=0,R39/2,MIN(R39/2,R25))+(1-R24)*(R39/2/R26+R27)</f>
        <v>65536</v>
      </c>
      <c r="S40" s="60" t="n">
        <f aca="false">S24*IF(S25=0,S39/2,MIN(S39/2,S25))+(1-S24)*(S39/2/S26+S27)</f>
        <v>2403.328</v>
      </c>
      <c r="T40" s="60" t="n">
        <f aca="false">T24*IF(T25=0,T39/2,MIN(T39/2,T25))+(1-T24)*(T39/2/T26+T27)</f>
        <v>65536</v>
      </c>
      <c r="U40" s="60" t="n">
        <f aca="false">U24*IF(U25=0,U39/2,MIN(U39/2,U25))+(1-U24)*(U39/2/U26+U27)</f>
        <v>2403.328</v>
      </c>
      <c r="V40" s="60" t="n">
        <f aca="false">V24*IF(V25=0,V39/2,MIN(V39/2,V25))+(1-V24)*(V39/2/V26+V27)</f>
        <v>65536</v>
      </c>
      <c r="W40" s="60" t="n">
        <f aca="false">W24*IF(W25=0,W39/2,MIN(W39/2,W25))+(1-W24)*(W39/2/W26+W27)</f>
        <v>2403.328</v>
      </c>
      <c r="X40" s="60" t="n">
        <f aca="false">X24*IF(X25=0,X39/2,MIN(X39/2,X25))+(1-X24)*(X39/2/X26+X27)</f>
        <v>65536</v>
      </c>
      <c r="Y40" s="60" t="n">
        <f aca="false">Y24*IF(Y25=0,Y39/2,MIN(Y39/2,Y25))+(1-Y24)*(Y39/2/Y26+Y27)</f>
        <v>2403.328</v>
      </c>
      <c r="Z40" s="60" t="n">
        <f aca="false">Z24*IF(Z25=0,Z39/2,MIN(Z39/2,Z25))+(1-Z24)*(Z39/2/Z26+Z27)</f>
        <v>65536</v>
      </c>
      <c r="AA40" s="60" t="n">
        <f aca="false">AA24*IF(AA25=0,AA39/2,MIN(AA39/2,AA25))+(1-AA24)*(AA39/2/AA26+AA27)</f>
        <v>2403.328</v>
      </c>
      <c r="AB40" s="60" t="n">
        <f aca="false">AB24*IF(AB25=0,AB39/2,MIN(AB39/2,AB25))+(1-AB24)*(AB39/2/AB26+AB27)</f>
        <v>65536</v>
      </c>
      <c r="AC40" s="60" t="n">
        <f aca="false">AC24*IF(AC25=0,AC39/2,MIN(AC39/2,AC25))+(1-AC24)*(AC39/2/AC26+AC27)</f>
        <v>2403.328</v>
      </c>
      <c r="AD40" s="60" t="n">
        <f aca="false">AD24*IF(AD25=0,AD39/2,MIN(AD39/2,AD25))+(1-AD24)*(AD39/2/AD26+AD27)</f>
        <v>65536</v>
      </c>
      <c r="AE40" s="60" t="n">
        <f aca="false">AE24*IF(AE25=0,AE39/2,MIN(AE39/2,AE25))+(1-AE24)*(AE39/2/AE26+AE27)</f>
        <v>2403.328</v>
      </c>
      <c r="AF40" s="60" t="n">
        <f aca="false">AF24*IF(AF25=0,AF39/2,MIN(AF39/2,AF25))+(1-AF24)*(AF39/2/AF26+AF27)</f>
        <v>65536</v>
      </c>
      <c r="AG40" s="60" t="n">
        <f aca="false">AG24*IF(AG25=0,AG39/2,MIN(AG39/2,AG25))+(1-AG24)*(AG39/2/AG26+AG27)</f>
        <v>2403.328</v>
      </c>
      <c r="AH40" s="60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53" t="s">
        <v>969</v>
      </c>
      <c r="B41" s="54" t="s">
        <v>448</v>
      </c>
      <c r="C41" s="67" t="n">
        <f aca="false">3*(2*C22*1000000000+C23*C40)*C28/1000000000</f>
        <v>409.293296787456</v>
      </c>
      <c r="D41" s="67" t="n">
        <f aca="false">3*(2*D22*1000000000+D23*D40)*D28/1000000000</f>
        <v>2046.3676416</v>
      </c>
      <c r="E41" s="67" t="n">
        <f aca="false">3*(2*E22*1000000000+E23*E40)*E28/1000000000</f>
        <v>409.293296787456</v>
      </c>
      <c r="F41" s="67" t="n">
        <f aca="false">3*(2*F22*1000000000+F23*F40)*F28/1000000000</f>
        <v>2046.3676416</v>
      </c>
      <c r="G41" s="67" t="n">
        <f aca="false">3*(2*G22*1000000000+G23*G40)*G28/1000000000</f>
        <v>409.293296787456</v>
      </c>
      <c r="H41" s="67" t="n">
        <f aca="false">3*(2*H22*1000000000+H23*H40)*H28/1000000000</f>
        <v>2046.3676416</v>
      </c>
      <c r="I41" s="67" t="n">
        <f aca="false">3*(2*I22*1000000000+I23*I40)*I28/1000000000</f>
        <v>409.293296787456</v>
      </c>
      <c r="J41" s="67" t="n">
        <f aca="false">3*(2*J22*1000000000+J23*J40)*J28/1000000000</f>
        <v>2046.3676416</v>
      </c>
      <c r="K41" s="67" t="n">
        <f aca="false">3*(2*K22*1000000000+K23*K40)*K28/1000000000</f>
        <v>409.293296787456</v>
      </c>
      <c r="L41" s="67" t="n">
        <f aca="false">3*(2*L22*1000000000+L23*L40)*L28/1000000000</f>
        <v>2046.3676416</v>
      </c>
      <c r="M41" s="67" t="n">
        <f aca="false">3*(2*M22*1000000000+M23*M40)*M28/1000000000</f>
        <v>409.293296787456</v>
      </c>
      <c r="N41" s="67" t="n">
        <f aca="false">3*(2*N22*1000000000+N23*N40)*N28/1000000000</f>
        <v>2046.3676416</v>
      </c>
      <c r="O41" s="67" t="n">
        <f aca="false">3*(2*O22*1000000000+O23*O40)*O28/1000000000</f>
        <v>409.293296787456</v>
      </c>
      <c r="P41" s="67" t="n">
        <f aca="false">3*(2*P22*1000000000+P23*P40)*P28/1000000000</f>
        <v>2046.3676416</v>
      </c>
      <c r="Q41" s="67" t="n">
        <f aca="false">3*(2*Q22*1000000000+Q23*Q40)*Q28/1000000000</f>
        <v>409.293296787456</v>
      </c>
      <c r="R41" s="67" t="n">
        <f aca="false">3*(2*R22*1000000000+R23*R40)*R28/1000000000</f>
        <v>2046.3676416</v>
      </c>
      <c r="S41" s="67" t="n">
        <f aca="false">3*(2*S22*1000000000+S23*S40)*S28/1000000000</f>
        <v>409.293296787456</v>
      </c>
      <c r="T41" s="67" t="n">
        <f aca="false">3*(2*T22*1000000000+T23*T40)*T28/1000000000</f>
        <v>2046.3676416</v>
      </c>
      <c r="U41" s="67" t="n">
        <f aca="false">3*(2*U22*1000000000+U23*U40)*U28/1000000000</f>
        <v>409.293296787456</v>
      </c>
      <c r="V41" s="67" t="n">
        <f aca="false">3*(2*V22*1000000000+V23*V40)*V28/1000000000</f>
        <v>2046.3676416</v>
      </c>
      <c r="W41" s="67" t="n">
        <f aca="false">3*(2*W22*1000000000+W23*W40)*W28/1000000000</f>
        <v>409.293296787456</v>
      </c>
      <c r="X41" s="67" t="n">
        <f aca="false">3*(2*X22*1000000000+X23*X40)*X28/1000000000</f>
        <v>2046.3676416</v>
      </c>
      <c r="Y41" s="67" t="n">
        <f aca="false">3*(2*Y22*1000000000+Y23*Y40)*Y28/1000000000</f>
        <v>409.293296787456</v>
      </c>
      <c r="Z41" s="67" t="n">
        <f aca="false">3*(2*Z22*1000000000+Z23*Z40)*Z28/1000000000</f>
        <v>2046.3676416</v>
      </c>
      <c r="AA41" s="67" t="n">
        <f aca="false">3*(2*AA22*1000000000+AA23*AA40)*AA28/1000000000</f>
        <v>409.293296787456</v>
      </c>
      <c r="AB41" s="67" t="n">
        <f aca="false">3*(2*AB22*1000000000+AB23*AB40)*AB28/1000000000</f>
        <v>2046.3676416</v>
      </c>
      <c r="AC41" s="67" t="n">
        <f aca="false">3*(2*AC22*1000000000+AC23*AC40)*AC28/1000000000</f>
        <v>409.293296787456</v>
      </c>
      <c r="AD41" s="67" t="n">
        <f aca="false">3*(2*AD22*1000000000+AD23*AD40)*AD28/1000000000</f>
        <v>2046.3676416</v>
      </c>
      <c r="AE41" s="67" t="n">
        <f aca="false">3*(2*AE22*1000000000+AE23*AE40)*AE28/1000000000</f>
        <v>409.293296787456</v>
      </c>
      <c r="AF41" s="67" t="n">
        <f aca="false">3*(2*AF22*1000000000+AF23*AF40)*AF28/1000000000</f>
        <v>2046.3676416</v>
      </c>
      <c r="AG41" s="67" t="n">
        <f aca="false">3*(2*AG22*1000000000+AG23*AG40)*AG28/1000000000</f>
        <v>409.293296787456</v>
      </c>
      <c r="AH41" s="67" t="n">
        <f aca="false">3*(2*AH22*1000000000+AH23*AH40)*AH28/1000000000</f>
        <v>2046.3676416</v>
      </c>
    </row>
    <row r="42" customFormat="false" ht="15" hidden="false" customHeight="false" outlineLevel="0" collapsed="false">
      <c r="A42" s="53" t="s">
        <v>976</v>
      </c>
      <c r="B42" s="54" t="s">
        <v>272</v>
      </c>
      <c r="C42" s="137" t="n">
        <f aca="false">C41*1000000000*C38*1000000000000</f>
        <v>4.09293296787456E+023</v>
      </c>
      <c r="D42" s="137" t="n">
        <f aca="false">D41*1000000000*D38*1000000000000</f>
        <v>4.0927352832E+024</v>
      </c>
      <c r="E42" s="137" t="n">
        <f aca="false">E41*1000000000*E38*1000000000000</f>
        <v>4.09293296787456E+023</v>
      </c>
      <c r="F42" s="137" t="n">
        <f aca="false">F41*1000000000*F38*1000000000000</f>
        <v>4.0927352832E+024</v>
      </c>
      <c r="G42" s="137" t="n">
        <f aca="false">G41*1000000000*G38*1000000000000</f>
        <v>4.09293296787456E+023</v>
      </c>
      <c r="H42" s="137" t="n">
        <f aca="false">H41*1000000000*H38*1000000000000</f>
        <v>4.0927352832E+024</v>
      </c>
      <c r="I42" s="137" t="n">
        <f aca="false">I41*1000000000*I38*1000000000000</f>
        <v>4.09293296787456E+023</v>
      </c>
      <c r="J42" s="137" t="n">
        <f aca="false">J41*1000000000*J38*1000000000000</f>
        <v>4.0927352832E+024</v>
      </c>
      <c r="K42" s="137" t="n">
        <f aca="false">K41*1000000000*K38*1000000000000</f>
        <v>4.09293296787456E+023</v>
      </c>
      <c r="L42" s="137" t="n">
        <f aca="false">L41*1000000000*L38*1000000000000</f>
        <v>4.0927352832E+024</v>
      </c>
      <c r="M42" s="137" t="n">
        <f aca="false">M41*1000000000*M38*1000000000000</f>
        <v>4.09293296787456E+023</v>
      </c>
      <c r="N42" s="137" t="n">
        <f aca="false">N41*1000000000*N38*1000000000000</f>
        <v>4.0927352832E+024</v>
      </c>
      <c r="O42" s="137" t="n">
        <f aca="false">O41*1000000000*O38*1000000000000</f>
        <v>4.09293296787456E+023</v>
      </c>
      <c r="P42" s="137" t="n">
        <f aca="false">P41*1000000000*P38*1000000000000</f>
        <v>4.0927352832E+024</v>
      </c>
      <c r="Q42" s="137" t="n">
        <f aca="false">Q41*1000000000*Q38*1000000000000</f>
        <v>4.09293296787456E+023</v>
      </c>
      <c r="R42" s="137" t="n">
        <f aca="false">R41*1000000000*R38*1000000000000</f>
        <v>4.0927352832E+024</v>
      </c>
      <c r="S42" s="137" t="n">
        <f aca="false">S41*1000000000*S38*1000000000000</f>
        <v>4.09293296787456E+023</v>
      </c>
      <c r="T42" s="137" t="n">
        <f aca="false">T41*1000000000*T38*1000000000000</f>
        <v>4.0927352832E+024</v>
      </c>
      <c r="U42" s="137" t="n">
        <f aca="false">U41*1000000000*U38*1000000000000</f>
        <v>4.09293296787456E+023</v>
      </c>
      <c r="V42" s="137" t="n">
        <f aca="false">V41*1000000000*V38*1000000000000</f>
        <v>4.0927352832E+024</v>
      </c>
      <c r="W42" s="137" t="n">
        <f aca="false">W41*1000000000*W38*1000000000000</f>
        <v>4.09293296787456E+023</v>
      </c>
      <c r="X42" s="137" t="n">
        <f aca="false">X41*1000000000*X38*1000000000000</f>
        <v>4.0927352832E+024</v>
      </c>
      <c r="Y42" s="137" t="n">
        <f aca="false">Y41*1000000000*Y38*1000000000000</f>
        <v>4.09293296787456E+023</v>
      </c>
      <c r="Z42" s="137" t="n">
        <f aca="false">Z41*1000000000*Z38*1000000000000</f>
        <v>4.0927352832E+024</v>
      </c>
      <c r="AA42" s="137" t="n">
        <f aca="false">AA41*1000000000*AA38*1000000000000</f>
        <v>4.09293296787456E+023</v>
      </c>
      <c r="AB42" s="137" t="n">
        <f aca="false">AB41*1000000000*AB38*1000000000000</f>
        <v>4.0927352832E+024</v>
      </c>
      <c r="AC42" s="137" t="n">
        <f aca="false">AC41*1000000000*AC38*1000000000000</f>
        <v>4.09293296787456E+023</v>
      </c>
      <c r="AD42" s="137" t="n">
        <f aca="false">AD41*1000000000*AD38*1000000000000</f>
        <v>4.0927352832E+024</v>
      </c>
      <c r="AE42" s="137" t="n">
        <f aca="false">AE41*1000000000*AE38*1000000000000</f>
        <v>4.09293296787456E+023</v>
      </c>
      <c r="AF42" s="137" t="n">
        <f aca="false">AF41*1000000000*AF38*1000000000000</f>
        <v>4.0927352832E+024</v>
      </c>
      <c r="AG42" s="137" t="n">
        <f aca="false">AG41*1000000000*AG38*1000000000000</f>
        <v>4.09293296787456E+023</v>
      </c>
      <c r="AH42" s="137" t="n">
        <f aca="false">AH41*1000000000*AH38*1000000000000</f>
        <v>4.0927352832E+024</v>
      </c>
    </row>
    <row r="43" customFormat="false" ht="15" hidden="false" customHeight="false" outlineLevel="0" collapsed="false">
      <c r="A43" s="53" t="s">
        <v>977</v>
      </c>
      <c r="B43" s="54" t="s">
        <v>972</v>
      </c>
      <c r="C43" s="60" t="n">
        <f aca="false">C42/(C12*1000000000000000*C16*1*C17)/3600</f>
        <v>32082.5629463027</v>
      </c>
      <c r="D43" s="60" t="n">
        <f aca="false">D42/(D12*1000000000000000*D16*1*D17)/3600</f>
        <v>320810.133897707</v>
      </c>
      <c r="E43" s="60" t="n">
        <f aca="false">E42/(E12*1000000000000000*E16*1*E17)/3600</f>
        <v>53470.9382438378</v>
      </c>
      <c r="F43" s="60" t="n">
        <f aca="false">F42/(F12*1000000000000000*F16*1*F17)/3600</f>
        <v>534683.556496179</v>
      </c>
      <c r="G43" s="60" t="n">
        <f aca="false">G42/(G12*1000000000000000*G16*1*G17)/3600</f>
        <v>20051.6018414392</v>
      </c>
      <c r="H43" s="60" t="n">
        <f aca="false">H42/(H12*1000000000000000*H16*1*H17)/3600</f>
        <v>200506.333686067</v>
      </c>
      <c r="I43" s="60" t="n">
        <f aca="false">I42/(I12*1000000000000000*I16*1*I17)/3600</f>
        <v>16041.2814731513</v>
      </c>
      <c r="J43" s="60" t="n">
        <f aca="false">J42/(J12*1000000000000000*J16*1*J17)/3600</f>
        <v>160405.066948854</v>
      </c>
      <c r="K43" s="60" t="n">
        <f aca="false">K42/(K12*1000000000000000*K16*1*K17)/3600</f>
        <v>32082.5629463027</v>
      </c>
      <c r="L43" s="60" t="n">
        <f aca="false">L42/(L12*1000000000000000*L16*1*L17)/3600</f>
        <v>320810.133897707</v>
      </c>
      <c r="M43" s="60" t="n">
        <f aca="false">M42/(M12*1000000000000000*M16*1*M17)/3600</f>
        <v>32082.5629463027</v>
      </c>
      <c r="N43" s="60" t="n">
        <f aca="false">N42/(N12*1000000000000000*N16*1*N17)/3600</f>
        <v>320810.133897707</v>
      </c>
      <c r="O43" s="60" t="n">
        <f aca="false">O42/(O12*1000000000000000*O16*1*O17)/3600</f>
        <v>32082.5629463027</v>
      </c>
      <c r="P43" s="60" t="n">
        <f aca="false">P42/(P12*1000000000000000*P16*1*P17)/3600</f>
        <v>320810.133897707</v>
      </c>
      <c r="Q43" s="60" t="n">
        <f aca="false">Q42/(Q12*1000000000000000*Q16*1*Q17)/3600</f>
        <v>32082.5629463027</v>
      </c>
      <c r="R43" s="60" t="n">
        <f aca="false">R42/(R12*1000000000000000*R16*1*R17)/3600</f>
        <v>320810.133897707</v>
      </c>
      <c r="S43" s="60" t="n">
        <f aca="false">S42/(S12*1000000000000000*S16*1*S17)/3600</f>
        <v>32082.5629463027</v>
      </c>
      <c r="T43" s="60" t="n">
        <f aca="false">T42/(T12*1000000000000000*T16*1*T17)/3600</f>
        <v>320810.133897707</v>
      </c>
      <c r="U43" s="60" t="n">
        <f aca="false">U42/(U12*1000000000000000*U16*1*U17)/3600</f>
        <v>32082.5629463027</v>
      </c>
      <c r="V43" s="60" t="n">
        <f aca="false">V42/(V12*1000000000000000*V16*1*V17)/3600</f>
        <v>320810.133897707</v>
      </c>
      <c r="W43" s="60" t="n">
        <f aca="false">W42/(W12*1000000000000000*W16*1*W17)/3600</f>
        <v>32082.5629463027</v>
      </c>
      <c r="X43" s="60" t="n">
        <f aca="false">X42/(X12*1000000000000000*X16*1*X17)/3600</f>
        <v>320810.133897707</v>
      </c>
      <c r="Y43" s="60" t="n">
        <f aca="false">Y42/(Y12*1000000000000000*Y16*1*Y17)/3600</f>
        <v>32082.5629463027</v>
      </c>
      <c r="Z43" s="60" t="n">
        <f aca="false">Z42/(Z12*1000000000000000*Z16*1*Z17)/3600</f>
        <v>320810.133897707</v>
      </c>
      <c r="AA43" s="60" t="n">
        <f aca="false">AA42/(AA12*1000000000000000*AA16*1*AA17)/3600</f>
        <v>32082.5629463027</v>
      </c>
      <c r="AB43" s="60" t="n">
        <f aca="false">AB42/(AB12*1000000000000000*AB16*1*AB17)/3600</f>
        <v>320810.133897707</v>
      </c>
      <c r="AC43" s="60" t="n">
        <f aca="false">AC42/(AC12*1000000000000000*AC16*1*AC17)/3600</f>
        <v>32082.5629463027</v>
      </c>
      <c r="AD43" s="60" t="n">
        <f aca="false">AD42/(AD12*1000000000000000*AD16*1*AD17)/3600</f>
        <v>320810.133897707</v>
      </c>
      <c r="AE43" s="60" t="n">
        <f aca="false">AE42/(AE12*1000000000000000*AE16*1*AE17)/3600</f>
        <v>32082.5629463027</v>
      </c>
      <c r="AF43" s="60" t="n">
        <f aca="false">AF42/(AF12*1000000000000000*AF16*1*AF17)/3600</f>
        <v>320810.133897707</v>
      </c>
      <c r="AG43" s="60" t="n">
        <f aca="false">AG42/(AG12*1000000000000000*AG16*1*AG17)/3600</f>
        <v>36092.8833145905</v>
      </c>
      <c r="AH43" s="60" t="n">
        <f aca="false">AH42/(AH12*1000000000000000*AH16*1*AH17)/3600</f>
        <v>360911.400634921</v>
      </c>
    </row>
    <row r="44" customFormat="false" ht="15" hidden="false" customHeight="false" outlineLevel="0" collapsed="false">
      <c r="A44" s="68" t="s">
        <v>978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</row>
    <row r="45" customFormat="false" ht="15" hidden="false" customHeight="false" outlineLevel="0" collapsed="false">
      <c r="A45" s="54" t="s">
        <v>911</v>
      </c>
      <c r="B45" s="54" t="s">
        <v>904</v>
      </c>
      <c r="C45" s="88" t="n">
        <f aca="false">INDEX(Train_In!$C$29:$E$29,C$7)</f>
        <v>0.05</v>
      </c>
      <c r="D45" s="88" t="n">
        <f aca="false">INDEX(Train_In!$C$29:$E$29,D$7)</f>
        <v>0.1</v>
      </c>
      <c r="E45" s="88" t="n">
        <f aca="false">INDEX(Train_In!$C$29:$E$29,E$7)</f>
        <v>0.05</v>
      </c>
      <c r="F45" s="88" t="n">
        <f aca="false">INDEX(Train_In!$C$29:$E$29,F$7)</f>
        <v>0.1</v>
      </c>
      <c r="G45" s="88" t="n">
        <f aca="false">INDEX(Train_In!$C$29:$E$29,G$7)</f>
        <v>0.05</v>
      </c>
      <c r="H45" s="88" t="n">
        <f aca="false">INDEX(Train_In!$C$29:$E$29,H$7)</f>
        <v>0.1</v>
      </c>
      <c r="I45" s="88" t="n">
        <f aca="false">INDEX(Train_In!$C$29:$E$29,I$7)</f>
        <v>0.05</v>
      </c>
      <c r="J45" s="88" t="n">
        <f aca="false">INDEX(Train_In!$C$29:$E$29,J$7)</f>
        <v>0.1</v>
      </c>
      <c r="K45" s="88" t="n">
        <f aca="false">INDEX(Train_In!$C$29:$E$29,K$7)</f>
        <v>0.05</v>
      </c>
      <c r="L45" s="88" t="n">
        <f aca="false">INDEX(Train_In!$C$29:$E$29,L$7)</f>
        <v>0.1</v>
      </c>
      <c r="M45" s="88" t="n">
        <f aca="false">INDEX(Train_In!$C$29:$E$29,M$7)</f>
        <v>0.05</v>
      </c>
      <c r="N45" s="88" t="n">
        <f aca="false">INDEX(Train_In!$C$29:$E$29,N$7)</f>
        <v>0.1</v>
      </c>
      <c r="O45" s="88" t="n">
        <f aca="false">INDEX(Train_In!$C$29:$E$29,O$7)</f>
        <v>0.05</v>
      </c>
      <c r="P45" s="88" t="n">
        <f aca="false">INDEX(Train_In!$C$29:$E$29,P$7)</f>
        <v>0.1</v>
      </c>
      <c r="Q45" s="88" t="n">
        <f aca="false">INDEX(Train_In!$C$29:$E$29,Q$7)</f>
        <v>0.05</v>
      </c>
      <c r="R45" s="88" t="n">
        <f aca="false">INDEX(Train_In!$C$29:$E$29,R$7)</f>
        <v>0.1</v>
      </c>
      <c r="S45" s="88" t="n">
        <f aca="false">INDEX(Train_In!$C$29:$E$29,S$7)</f>
        <v>0.05</v>
      </c>
      <c r="T45" s="88" t="n">
        <f aca="false">INDEX(Train_In!$C$29:$E$29,T$7)</f>
        <v>0.1</v>
      </c>
      <c r="U45" s="88" t="n">
        <f aca="false">INDEX(Train_In!$C$29:$E$29,U$7)</f>
        <v>0.05</v>
      </c>
      <c r="V45" s="88" t="n">
        <f aca="false">INDEX(Train_In!$C$29:$E$29,V$7)</f>
        <v>0.1</v>
      </c>
      <c r="W45" s="88" t="n">
        <f aca="false">INDEX(Train_In!$C$29:$E$29,W$7)</f>
        <v>0.05</v>
      </c>
      <c r="X45" s="88" t="n">
        <f aca="false">INDEX(Train_In!$C$29:$E$29,X$7)</f>
        <v>0.1</v>
      </c>
      <c r="Y45" s="88" t="n">
        <f aca="false">INDEX(Train_In!$C$29:$E$29,Y$7)</f>
        <v>0.05</v>
      </c>
      <c r="Z45" s="88" t="n">
        <f aca="false">INDEX(Train_In!$C$29:$E$29,Z$7)</f>
        <v>0.1</v>
      </c>
      <c r="AA45" s="88" t="n">
        <f aca="false">INDEX(Train_In!$C$29:$E$29,AA$7)</f>
        <v>0.05</v>
      </c>
      <c r="AB45" s="88" t="n">
        <f aca="false">INDEX(Train_In!$C$29:$E$29,AB$7)</f>
        <v>0.1</v>
      </c>
      <c r="AC45" s="88" t="n">
        <f aca="false">INDEX(Train_In!$C$29:$E$29,AC$7)</f>
        <v>0.05</v>
      </c>
      <c r="AD45" s="88" t="n">
        <f aca="false">INDEX(Train_In!$C$29:$E$29,AD$7)</f>
        <v>0.1</v>
      </c>
      <c r="AE45" s="88" t="n">
        <f aca="false">INDEX(Train_In!$C$29:$E$29,AE$7)</f>
        <v>0.05</v>
      </c>
      <c r="AF45" s="88" t="n">
        <f aca="false">INDEX(Train_In!$C$29:$E$29,AF$7)</f>
        <v>0.1</v>
      </c>
      <c r="AG45" s="88" t="n">
        <f aca="false">INDEX(Train_In!$C$29:$E$29,AG$7)</f>
        <v>0.05</v>
      </c>
      <c r="AH45" s="88" t="n">
        <f aca="false">INDEX(Train_In!$C$29:$E$29,AH$7)</f>
        <v>0.1</v>
      </c>
    </row>
    <row r="46" customFormat="false" ht="15" hidden="false" customHeight="false" outlineLevel="0" collapsed="false">
      <c r="A46" s="53" t="s">
        <v>967</v>
      </c>
      <c r="B46" s="54" t="s">
        <v>249</v>
      </c>
      <c r="C46" s="55" t="n">
        <f aca="false">INDEX(Train_In!$C$30:$E$30,C$7)</f>
        <v>16384</v>
      </c>
      <c r="D46" s="55" t="n">
        <f aca="false">INDEX(Train_In!$C$30:$E$30,D$7)</f>
        <v>16384</v>
      </c>
      <c r="E46" s="55" t="n">
        <f aca="false">INDEX(Train_In!$C$30:$E$30,E$7)</f>
        <v>16384</v>
      </c>
      <c r="F46" s="55" t="n">
        <f aca="false">INDEX(Train_In!$C$30:$E$30,F$7)</f>
        <v>16384</v>
      </c>
      <c r="G46" s="55" t="n">
        <f aca="false">INDEX(Train_In!$C$30:$E$30,G$7)</f>
        <v>16384</v>
      </c>
      <c r="H46" s="55" t="n">
        <f aca="false">INDEX(Train_In!$C$30:$E$30,H$7)</f>
        <v>16384</v>
      </c>
      <c r="I46" s="55" t="n">
        <f aca="false">INDEX(Train_In!$C$30:$E$30,I$7)</f>
        <v>16384</v>
      </c>
      <c r="J46" s="55" t="n">
        <f aca="false">INDEX(Train_In!$C$30:$E$30,J$7)</f>
        <v>16384</v>
      </c>
      <c r="K46" s="55" t="n">
        <f aca="false">INDEX(Train_In!$C$30:$E$30,K$7)</f>
        <v>16384</v>
      </c>
      <c r="L46" s="55" t="n">
        <f aca="false">INDEX(Train_In!$C$30:$E$30,L$7)</f>
        <v>16384</v>
      </c>
      <c r="M46" s="55" t="n">
        <f aca="false">INDEX(Train_In!$C$30:$E$30,M$7)</f>
        <v>16384</v>
      </c>
      <c r="N46" s="55" t="n">
        <f aca="false">INDEX(Train_In!$C$30:$E$30,N$7)</f>
        <v>16384</v>
      </c>
      <c r="O46" s="55" t="n">
        <f aca="false">INDEX(Train_In!$C$30:$E$30,O$7)</f>
        <v>16384</v>
      </c>
      <c r="P46" s="55" t="n">
        <f aca="false">INDEX(Train_In!$C$30:$E$30,P$7)</f>
        <v>16384</v>
      </c>
      <c r="Q46" s="55" t="n">
        <f aca="false">INDEX(Train_In!$C$30:$E$30,Q$7)</f>
        <v>16384</v>
      </c>
      <c r="R46" s="55" t="n">
        <f aca="false">INDEX(Train_In!$C$30:$E$30,R$7)</f>
        <v>16384</v>
      </c>
      <c r="S46" s="55" t="n">
        <f aca="false">INDEX(Train_In!$C$30:$E$30,S$7)</f>
        <v>16384</v>
      </c>
      <c r="T46" s="55" t="n">
        <f aca="false">INDEX(Train_In!$C$30:$E$30,T$7)</f>
        <v>16384</v>
      </c>
      <c r="U46" s="55" t="n">
        <f aca="false">INDEX(Train_In!$C$30:$E$30,U$7)</f>
        <v>16384</v>
      </c>
      <c r="V46" s="55" t="n">
        <f aca="false">INDEX(Train_In!$C$30:$E$30,V$7)</f>
        <v>16384</v>
      </c>
      <c r="W46" s="55" t="n">
        <f aca="false">INDEX(Train_In!$C$30:$E$30,W$7)</f>
        <v>16384</v>
      </c>
      <c r="X46" s="55" t="n">
        <f aca="false">INDEX(Train_In!$C$30:$E$30,X$7)</f>
        <v>16384</v>
      </c>
      <c r="Y46" s="55" t="n">
        <f aca="false">INDEX(Train_In!$C$30:$E$30,Y$7)</f>
        <v>16384</v>
      </c>
      <c r="Z46" s="55" t="n">
        <f aca="false">INDEX(Train_In!$C$30:$E$30,Z$7)</f>
        <v>16384</v>
      </c>
      <c r="AA46" s="55" t="n">
        <f aca="false">INDEX(Train_In!$C$30:$E$30,AA$7)</f>
        <v>16384</v>
      </c>
      <c r="AB46" s="55" t="n">
        <f aca="false">INDEX(Train_In!$C$30:$E$30,AB$7)</f>
        <v>16384</v>
      </c>
      <c r="AC46" s="55" t="n">
        <f aca="false">INDEX(Train_In!$C$30:$E$30,AC$7)</f>
        <v>16384</v>
      </c>
      <c r="AD46" s="55" t="n">
        <f aca="false">INDEX(Train_In!$C$30:$E$30,AD$7)</f>
        <v>16384</v>
      </c>
      <c r="AE46" s="55" t="n">
        <f aca="false">INDEX(Train_In!$C$30:$E$30,AE$7)</f>
        <v>16384</v>
      </c>
      <c r="AF46" s="55" t="n">
        <f aca="false">INDEX(Train_In!$C$30:$E$30,AF$7)</f>
        <v>16384</v>
      </c>
      <c r="AG46" s="55" t="n">
        <f aca="false">INDEX(Train_In!$C$30:$E$30,AG$7)</f>
        <v>16384</v>
      </c>
      <c r="AH46" s="55" t="n">
        <f aca="false">INDEX(Train_In!$C$30:$E$30,AH$7)</f>
        <v>16384</v>
      </c>
    </row>
    <row r="47" customFormat="false" ht="15" hidden="false" customHeight="false" outlineLevel="0" collapsed="false">
      <c r="A47" s="53" t="s">
        <v>975</v>
      </c>
      <c r="B47" s="54" t="s">
        <v>249</v>
      </c>
      <c r="C47" s="60" t="n">
        <f aca="false">C24*IF(C25=0,C46/2,MIN(C46/2,C25))+(1-C24)*(C46/2/C26+C27)</f>
        <v>2175.744</v>
      </c>
      <c r="D47" s="60" t="n">
        <f aca="false">D24*IF(D25=0,D46/2,MIN(D46/2,D25))+(1-D24)*(D46/2/D26+D27)</f>
        <v>8192</v>
      </c>
      <c r="E47" s="60" t="n">
        <f aca="false">E24*IF(E25=0,E46/2,MIN(E46/2,E25))+(1-E24)*(E46/2/E26+E27)</f>
        <v>2175.744</v>
      </c>
      <c r="F47" s="60" t="n">
        <f aca="false">F24*IF(F25=0,F46/2,MIN(F46/2,F25))+(1-F24)*(F46/2/F26+F27)</f>
        <v>8192</v>
      </c>
      <c r="G47" s="60" t="n">
        <f aca="false">G24*IF(G25=0,G46/2,MIN(G46/2,G25))+(1-G24)*(G46/2/G26+G27)</f>
        <v>2175.744</v>
      </c>
      <c r="H47" s="60" t="n">
        <f aca="false">H24*IF(H25=0,H46/2,MIN(H46/2,H25))+(1-H24)*(H46/2/H26+H27)</f>
        <v>8192</v>
      </c>
      <c r="I47" s="60" t="n">
        <f aca="false">I24*IF(I25=0,I46/2,MIN(I46/2,I25))+(1-I24)*(I46/2/I26+I27)</f>
        <v>2175.744</v>
      </c>
      <c r="J47" s="60" t="n">
        <f aca="false">J24*IF(J25=0,J46/2,MIN(J46/2,J25))+(1-J24)*(J46/2/J26+J27)</f>
        <v>8192</v>
      </c>
      <c r="K47" s="60" t="n">
        <f aca="false">K24*IF(K25=0,K46/2,MIN(K46/2,K25))+(1-K24)*(K46/2/K26+K27)</f>
        <v>2175.744</v>
      </c>
      <c r="L47" s="60" t="n">
        <f aca="false">L24*IF(L25=0,L46/2,MIN(L46/2,L25))+(1-L24)*(L46/2/L26+L27)</f>
        <v>8192</v>
      </c>
      <c r="M47" s="60" t="n">
        <f aca="false">M24*IF(M25=0,M46/2,MIN(M46/2,M25))+(1-M24)*(M46/2/M26+M27)</f>
        <v>2175.744</v>
      </c>
      <c r="N47" s="60" t="n">
        <f aca="false">N24*IF(N25=0,N46/2,MIN(N46/2,N25))+(1-N24)*(N46/2/N26+N27)</f>
        <v>8192</v>
      </c>
      <c r="O47" s="60" t="n">
        <f aca="false">O24*IF(O25=0,O46/2,MIN(O46/2,O25))+(1-O24)*(O46/2/O26+O27)</f>
        <v>2175.744</v>
      </c>
      <c r="P47" s="60" t="n">
        <f aca="false">P24*IF(P25=0,P46/2,MIN(P46/2,P25))+(1-P24)*(P46/2/P26+P27)</f>
        <v>8192</v>
      </c>
      <c r="Q47" s="60" t="n">
        <f aca="false">Q24*IF(Q25=0,Q46/2,MIN(Q46/2,Q25))+(1-Q24)*(Q46/2/Q26+Q27)</f>
        <v>2175.744</v>
      </c>
      <c r="R47" s="60" t="n">
        <f aca="false">R24*IF(R25=0,R46/2,MIN(R46/2,R25))+(1-R24)*(R46/2/R26+R27)</f>
        <v>8192</v>
      </c>
      <c r="S47" s="60" t="n">
        <f aca="false">S24*IF(S25=0,S46/2,MIN(S46/2,S25))+(1-S24)*(S46/2/S26+S27)</f>
        <v>2175.744</v>
      </c>
      <c r="T47" s="60" t="n">
        <f aca="false">T24*IF(T25=0,T46/2,MIN(T46/2,T25))+(1-T24)*(T46/2/T26+T27)</f>
        <v>8192</v>
      </c>
      <c r="U47" s="60" t="n">
        <f aca="false">U24*IF(U25=0,U46/2,MIN(U46/2,U25))+(1-U24)*(U46/2/U26+U27)</f>
        <v>2175.744</v>
      </c>
      <c r="V47" s="60" t="n">
        <f aca="false">V24*IF(V25=0,V46/2,MIN(V46/2,V25))+(1-V24)*(V46/2/V26+V27)</f>
        <v>8192</v>
      </c>
      <c r="W47" s="60" t="n">
        <f aca="false">W24*IF(W25=0,W46/2,MIN(W46/2,W25))+(1-W24)*(W46/2/W26+W27)</f>
        <v>2175.744</v>
      </c>
      <c r="X47" s="60" t="n">
        <f aca="false">X24*IF(X25=0,X46/2,MIN(X46/2,X25))+(1-X24)*(X46/2/X26+X27)</f>
        <v>8192</v>
      </c>
      <c r="Y47" s="60" t="n">
        <f aca="false">Y24*IF(Y25=0,Y46/2,MIN(Y46/2,Y25))+(1-Y24)*(Y46/2/Y26+Y27)</f>
        <v>2175.744</v>
      </c>
      <c r="Z47" s="60" t="n">
        <f aca="false">Z24*IF(Z25=0,Z46/2,MIN(Z46/2,Z25))+(1-Z24)*(Z46/2/Z26+Z27)</f>
        <v>8192</v>
      </c>
      <c r="AA47" s="60" t="n">
        <f aca="false">AA24*IF(AA25=0,AA46/2,MIN(AA46/2,AA25))+(1-AA24)*(AA46/2/AA26+AA27)</f>
        <v>2175.744</v>
      </c>
      <c r="AB47" s="60" t="n">
        <f aca="false">AB24*IF(AB25=0,AB46/2,MIN(AB46/2,AB25))+(1-AB24)*(AB46/2/AB26+AB27)</f>
        <v>8192</v>
      </c>
      <c r="AC47" s="60" t="n">
        <f aca="false">AC24*IF(AC25=0,AC46/2,MIN(AC46/2,AC25))+(1-AC24)*(AC46/2/AC26+AC27)</f>
        <v>2175.744</v>
      </c>
      <c r="AD47" s="60" t="n">
        <f aca="false">AD24*IF(AD25=0,AD46/2,MIN(AD46/2,AD25))+(1-AD24)*(AD46/2/AD26+AD27)</f>
        <v>8192</v>
      </c>
      <c r="AE47" s="60" t="n">
        <f aca="false">AE24*IF(AE25=0,AE46/2,MIN(AE46/2,AE25))+(1-AE24)*(AE46/2/AE26+AE27)</f>
        <v>2175.744</v>
      </c>
      <c r="AF47" s="60" t="n">
        <f aca="false">AF24*IF(AF25=0,AF46/2,MIN(AF46/2,AF25))+(1-AF24)*(AF46/2/AF26+AF27)</f>
        <v>8192</v>
      </c>
      <c r="AG47" s="60" t="n">
        <f aca="false">AG24*IF(AG25=0,AG46/2,MIN(AG46/2,AG25))+(1-AG24)*(AG46/2/AG26+AG27)</f>
        <v>2175.744</v>
      </c>
      <c r="AH47" s="60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53" t="s">
        <v>969</v>
      </c>
      <c r="B48" s="54" t="s">
        <v>448</v>
      </c>
      <c r="C48" s="67" t="n">
        <f aca="false">3*(2*C22*1000000000+C23*C47)*C28/1000000000</f>
        <v>398.375557029888</v>
      </c>
      <c r="D48" s="67" t="n">
        <f aca="false">3*(2*D22*1000000000+D23*D47)*D28/1000000000</f>
        <v>1200.7959552</v>
      </c>
      <c r="E48" s="67" t="n">
        <f aca="false">3*(2*E22*1000000000+E23*E47)*E28/1000000000</f>
        <v>398.375557029888</v>
      </c>
      <c r="F48" s="67" t="n">
        <f aca="false">3*(2*F22*1000000000+F23*F47)*F28/1000000000</f>
        <v>1200.7959552</v>
      </c>
      <c r="G48" s="67" t="n">
        <f aca="false">3*(2*G22*1000000000+G23*G47)*G28/1000000000</f>
        <v>398.375557029888</v>
      </c>
      <c r="H48" s="67" t="n">
        <f aca="false">3*(2*H22*1000000000+H23*H47)*H28/1000000000</f>
        <v>1200.7959552</v>
      </c>
      <c r="I48" s="67" t="n">
        <f aca="false">3*(2*I22*1000000000+I23*I47)*I28/1000000000</f>
        <v>398.375557029888</v>
      </c>
      <c r="J48" s="67" t="n">
        <f aca="false">3*(2*J22*1000000000+J23*J47)*J28/1000000000</f>
        <v>1200.7959552</v>
      </c>
      <c r="K48" s="67" t="n">
        <f aca="false">3*(2*K22*1000000000+K23*K47)*K28/1000000000</f>
        <v>398.375557029888</v>
      </c>
      <c r="L48" s="67" t="n">
        <f aca="false">3*(2*L22*1000000000+L23*L47)*L28/1000000000</f>
        <v>1200.7959552</v>
      </c>
      <c r="M48" s="67" t="n">
        <f aca="false">3*(2*M22*1000000000+M23*M47)*M28/1000000000</f>
        <v>398.375557029888</v>
      </c>
      <c r="N48" s="67" t="n">
        <f aca="false">3*(2*N22*1000000000+N23*N47)*N28/1000000000</f>
        <v>1200.7959552</v>
      </c>
      <c r="O48" s="67" t="n">
        <f aca="false">3*(2*O22*1000000000+O23*O47)*O28/1000000000</f>
        <v>398.375557029888</v>
      </c>
      <c r="P48" s="67" t="n">
        <f aca="false">3*(2*P22*1000000000+P23*P47)*P28/1000000000</f>
        <v>1200.7959552</v>
      </c>
      <c r="Q48" s="67" t="n">
        <f aca="false">3*(2*Q22*1000000000+Q23*Q47)*Q28/1000000000</f>
        <v>398.375557029888</v>
      </c>
      <c r="R48" s="67" t="n">
        <f aca="false">3*(2*R22*1000000000+R23*R47)*R28/1000000000</f>
        <v>1200.7959552</v>
      </c>
      <c r="S48" s="67" t="n">
        <f aca="false">3*(2*S22*1000000000+S23*S47)*S28/1000000000</f>
        <v>398.375557029888</v>
      </c>
      <c r="T48" s="67" t="n">
        <f aca="false">3*(2*T22*1000000000+T23*T47)*T28/1000000000</f>
        <v>1200.7959552</v>
      </c>
      <c r="U48" s="67" t="n">
        <f aca="false">3*(2*U22*1000000000+U23*U47)*U28/1000000000</f>
        <v>398.375557029888</v>
      </c>
      <c r="V48" s="67" t="n">
        <f aca="false">3*(2*V22*1000000000+V23*V47)*V28/1000000000</f>
        <v>1200.7959552</v>
      </c>
      <c r="W48" s="67" t="n">
        <f aca="false">3*(2*W22*1000000000+W23*W47)*W28/1000000000</f>
        <v>398.375557029888</v>
      </c>
      <c r="X48" s="67" t="n">
        <f aca="false">3*(2*X22*1000000000+X23*X47)*X28/1000000000</f>
        <v>1200.7959552</v>
      </c>
      <c r="Y48" s="67" t="n">
        <f aca="false">3*(2*Y22*1000000000+Y23*Y47)*Y28/1000000000</f>
        <v>398.375557029888</v>
      </c>
      <c r="Z48" s="67" t="n">
        <f aca="false">3*(2*Z22*1000000000+Z23*Z47)*Z28/1000000000</f>
        <v>1200.7959552</v>
      </c>
      <c r="AA48" s="67" t="n">
        <f aca="false">3*(2*AA22*1000000000+AA23*AA47)*AA28/1000000000</f>
        <v>398.375557029888</v>
      </c>
      <c r="AB48" s="67" t="n">
        <f aca="false">3*(2*AB22*1000000000+AB23*AB47)*AB28/1000000000</f>
        <v>1200.7959552</v>
      </c>
      <c r="AC48" s="67" t="n">
        <f aca="false">3*(2*AC22*1000000000+AC23*AC47)*AC28/1000000000</f>
        <v>398.375557029888</v>
      </c>
      <c r="AD48" s="67" t="n">
        <f aca="false">3*(2*AD22*1000000000+AD23*AD47)*AD28/1000000000</f>
        <v>1200.7959552</v>
      </c>
      <c r="AE48" s="67" t="n">
        <f aca="false">3*(2*AE22*1000000000+AE23*AE47)*AE28/1000000000</f>
        <v>398.375557029888</v>
      </c>
      <c r="AF48" s="67" t="n">
        <f aca="false">3*(2*AF22*1000000000+AF23*AF47)*AF28/1000000000</f>
        <v>1200.7959552</v>
      </c>
      <c r="AG48" s="67" t="n">
        <f aca="false">3*(2*AG22*1000000000+AG23*AG47)*AG28/1000000000</f>
        <v>398.375557029888</v>
      </c>
      <c r="AH48" s="67" t="n">
        <f aca="false">3*(2*AH22*1000000000+AH23*AH47)*AH28/1000000000</f>
        <v>1200.7959552</v>
      </c>
    </row>
    <row r="49" customFormat="false" ht="15" hidden="false" customHeight="false" outlineLevel="0" collapsed="false">
      <c r="A49" s="54" t="s">
        <v>979</v>
      </c>
      <c r="B49" s="54" t="s">
        <v>272</v>
      </c>
      <c r="C49" s="137" t="n">
        <f aca="false">C48*1000000000*C45*1000000000000</f>
        <v>1.99187778514944E+022</v>
      </c>
      <c r="D49" s="137" t="n">
        <f aca="false">D48*1000000000*D45*1000000000000</f>
        <v>1.2007959552E+023</v>
      </c>
      <c r="E49" s="137" t="n">
        <f aca="false">E48*1000000000*E45*1000000000000</f>
        <v>1.99187778514944E+022</v>
      </c>
      <c r="F49" s="137" t="n">
        <f aca="false">F48*1000000000*F45*1000000000000</f>
        <v>1.2007959552E+023</v>
      </c>
      <c r="G49" s="137" t="n">
        <f aca="false">G48*1000000000*G45*1000000000000</f>
        <v>1.99187778514944E+022</v>
      </c>
      <c r="H49" s="137" t="n">
        <f aca="false">H48*1000000000*H45*1000000000000</f>
        <v>1.2007959552E+023</v>
      </c>
      <c r="I49" s="137" t="n">
        <f aca="false">I48*1000000000*I45*1000000000000</f>
        <v>1.99187778514944E+022</v>
      </c>
      <c r="J49" s="137" t="n">
        <f aca="false">J48*1000000000*J45*1000000000000</f>
        <v>1.2007959552E+023</v>
      </c>
      <c r="K49" s="137" t="n">
        <f aca="false">K48*1000000000*K45*1000000000000</f>
        <v>1.99187778514944E+022</v>
      </c>
      <c r="L49" s="137" t="n">
        <f aca="false">L48*1000000000*L45*1000000000000</f>
        <v>1.2007959552E+023</v>
      </c>
      <c r="M49" s="137" t="n">
        <f aca="false">M48*1000000000*M45*1000000000000</f>
        <v>1.99187778514944E+022</v>
      </c>
      <c r="N49" s="137" t="n">
        <f aca="false">N48*1000000000*N45*1000000000000</f>
        <v>1.2007959552E+023</v>
      </c>
      <c r="O49" s="137" t="n">
        <f aca="false">O48*1000000000*O45*1000000000000</f>
        <v>1.99187778514944E+022</v>
      </c>
      <c r="P49" s="137" t="n">
        <f aca="false">P48*1000000000*P45*1000000000000</f>
        <v>1.2007959552E+023</v>
      </c>
      <c r="Q49" s="137" t="n">
        <f aca="false">Q48*1000000000*Q45*1000000000000</f>
        <v>1.99187778514944E+022</v>
      </c>
      <c r="R49" s="137" t="n">
        <f aca="false">R48*1000000000*R45*1000000000000</f>
        <v>1.2007959552E+023</v>
      </c>
      <c r="S49" s="137" t="n">
        <f aca="false">S48*1000000000*S45*1000000000000</f>
        <v>1.99187778514944E+022</v>
      </c>
      <c r="T49" s="137" t="n">
        <f aca="false">T48*1000000000*T45*1000000000000</f>
        <v>1.2007959552E+023</v>
      </c>
      <c r="U49" s="137" t="n">
        <f aca="false">U48*1000000000*U45*1000000000000</f>
        <v>1.99187778514944E+022</v>
      </c>
      <c r="V49" s="137" t="n">
        <f aca="false">V48*1000000000*V45*1000000000000</f>
        <v>1.2007959552E+023</v>
      </c>
      <c r="W49" s="137" t="n">
        <f aca="false">W48*1000000000*W45*1000000000000</f>
        <v>1.99187778514944E+022</v>
      </c>
      <c r="X49" s="137" t="n">
        <f aca="false">X48*1000000000*X45*1000000000000</f>
        <v>1.2007959552E+023</v>
      </c>
      <c r="Y49" s="137" t="n">
        <f aca="false">Y48*1000000000*Y45*1000000000000</f>
        <v>1.99187778514944E+022</v>
      </c>
      <c r="Z49" s="137" t="n">
        <f aca="false">Z48*1000000000*Z45*1000000000000</f>
        <v>1.2007959552E+023</v>
      </c>
      <c r="AA49" s="137" t="n">
        <f aca="false">AA48*1000000000*AA45*1000000000000</f>
        <v>1.99187778514944E+022</v>
      </c>
      <c r="AB49" s="137" t="n">
        <f aca="false">AB48*1000000000*AB45*1000000000000</f>
        <v>1.2007959552E+023</v>
      </c>
      <c r="AC49" s="137" t="n">
        <f aca="false">AC48*1000000000*AC45*1000000000000</f>
        <v>1.99187778514944E+022</v>
      </c>
      <c r="AD49" s="137" t="n">
        <f aca="false">AD48*1000000000*AD45*1000000000000</f>
        <v>1.2007959552E+023</v>
      </c>
      <c r="AE49" s="137" t="n">
        <f aca="false">AE48*1000000000*AE45*1000000000000</f>
        <v>1.99187778514944E+022</v>
      </c>
      <c r="AF49" s="137" t="n">
        <f aca="false">AF48*1000000000*AF45*1000000000000</f>
        <v>1.2007959552E+023</v>
      </c>
      <c r="AG49" s="137" t="n">
        <f aca="false">AG48*1000000000*AG45*1000000000000</f>
        <v>1.99187778514944E+022</v>
      </c>
      <c r="AH49" s="137" t="n">
        <f aca="false">AH48*1000000000*AH45*1000000000000</f>
        <v>1.2007959552E+023</v>
      </c>
    </row>
    <row r="50" customFormat="false" ht="15" hidden="false" customHeight="false" outlineLevel="0" collapsed="false">
      <c r="A50" s="54" t="s">
        <v>980</v>
      </c>
      <c r="B50" s="54" t="s">
        <v>75</v>
      </c>
      <c r="C50" s="90" t="n">
        <f aca="false">Train_In!$C$8</f>
        <v>0.8</v>
      </c>
      <c r="D50" s="90" t="n">
        <f aca="false">Train_In!$C$8</f>
        <v>0.8</v>
      </c>
      <c r="E50" s="90" t="n">
        <f aca="false">Train_In!$C$8</f>
        <v>0.8</v>
      </c>
      <c r="F50" s="90" t="n">
        <f aca="false">Train_In!$C$8</f>
        <v>0.8</v>
      </c>
      <c r="G50" s="90" t="n">
        <f aca="false">Train_In!$C$8</f>
        <v>0.8</v>
      </c>
      <c r="H50" s="90" t="n">
        <f aca="false">Train_In!$C$8</f>
        <v>0.8</v>
      </c>
      <c r="I50" s="90" t="n">
        <f aca="false">Train_In!$C$8</f>
        <v>0.8</v>
      </c>
      <c r="J50" s="90" t="n">
        <f aca="false">Train_In!$C$8</f>
        <v>0.8</v>
      </c>
      <c r="K50" s="90" t="n">
        <f aca="false">Train_In!$C$8</f>
        <v>0.8</v>
      </c>
      <c r="L50" s="90" t="n">
        <f aca="false">Train_In!$C$8</f>
        <v>0.8</v>
      </c>
      <c r="M50" s="90" t="n">
        <f aca="false">Train_In!$C$8</f>
        <v>0.8</v>
      </c>
      <c r="N50" s="90" t="n">
        <f aca="false">Train_In!$C$8</f>
        <v>0.8</v>
      </c>
      <c r="O50" s="90" t="n">
        <f aca="false">Train_In!$C$8</f>
        <v>0.8</v>
      </c>
      <c r="P50" s="90" t="n">
        <f aca="false">Train_In!$C$8</f>
        <v>0.8</v>
      </c>
      <c r="Q50" s="90" t="n">
        <f aca="false">Train_In!$C$8</f>
        <v>0.8</v>
      </c>
      <c r="R50" s="90" t="n">
        <f aca="false">Train_In!$C$8</f>
        <v>0.8</v>
      </c>
      <c r="S50" s="90" t="n">
        <f aca="false">Train_In!$C$8</f>
        <v>0.8</v>
      </c>
      <c r="T50" s="90" t="n">
        <f aca="false">Train_In!$C$8</f>
        <v>0.8</v>
      </c>
      <c r="U50" s="90" t="n">
        <f aca="false">Train_In!$C$8</f>
        <v>0.8</v>
      </c>
      <c r="V50" s="90" t="n">
        <f aca="false">Train_In!$C$8</f>
        <v>0.8</v>
      </c>
      <c r="W50" s="90" t="n">
        <f aca="false">Train_In!$C$8</f>
        <v>0.8</v>
      </c>
      <c r="X50" s="90" t="n">
        <f aca="false">Train_In!$C$8</f>
        <v>0.8</v>
      </c>
      <c r="Y50" s="90" t="n">
        <f aca="false">Train_In!$C$8</f>
        <v>0.8</v>
      </c>
      <c r="Z50" s="90" t="n">
        <f aca="false">Train_In!$C$8</f>
        <v>0.8</v>
      </c>
      <c r="AA50" s="90" t="n">
        <f aca="false">Train_In!$C$8</f>
        <v>0.8</v>
      </c>
      <c r="AB50" s="90" t="n">
        <f aca="false">Train_In!$C$8</f>
        <v>0.8</v>
      </c>
      <c r="AC50" s="90" t="n">
        <f aca="false">Train_In!$C$8</f>
        <v>0.8</v>
      </c>
      <c r="AD50" s="90" t="n">
        <f aca="false">Train_In!$C$8</f>
        <v>0.8</v>
      </c>
      <c r="AE50" s="90" t="n">
        <f aca="false">Train_In!$C$8</f>
        <v>0.8</v>
      </c>
      <c r="AF50" s="90" t="n">
        <f aca="false">Train_In!$C$8</f>
        <v>0.8</v>
      </c>
      <c r="AG50" s="90" t="n">
        <f aca="false">Train_In!$C$8</f>
        <v>0.8</v>
      </c>
      <c r="AH50" s="90" t="n">
        <f aca="false">Train_In!$C$8</f>
        <v>0.8</v>
      </c>
    </row>
    <row r="51" customFormat="false" ht="15" hidden="false" customHeight="false" outlineLevel="0" collapsed="false">
      <c r="A51" s="54" t="s">
        <v>981</v>
      </c>
      <c r="B51" s="54" t="s">
        <v>972</v>
      </c>
      <c r="C51" s="60" t="n">
        <f aca="false">C49/(C12*1000000000000000*C16*C50*C17)/3600</f>
        <v>1951.67331486326</v>
      </c>
      <c r="D51" s="60" t="n">
        <f aca="false">D49/(D12*1000000000000000*D16*D50*D17)/3600</f>
        <v>11765.5884303351</v>
      </c>
      <c r="E51" s="60" t="n">
        <f aca="false">E49/(E12*1000000000000000*E16*E50*E17)/3600</f>
        <v>3252.78885810543</v>
      </c>
      <c r="F51" s="60" t="n">
        <f aca="false">F49/(F12*1000000000000000*F16*F50*F17)/3600</f>
        <v>19609.3140505585</v>
      </c>
      <c r="G51" s="60" t="n">
        <f aca="false">G49/(G12*1000000000000000*G16*G50*G17)/3600</f>
        <v>1219.79582178954</v>
      </c>
      <c r="H51" s="60" t="n">
        <f aca="false">H49/(H12*1000000000000000*H16*H50*H17)/3600</f>
        <v>7353.49276895943</v>
      </c>
      <c r="I51" s="60" t="n">
        <f aca="false">I49/(I12*1000000000000000*I16*I50*I17)/3600</f>
        <v>975.836657431629</v>
      </c>
      <c r="J51" s="60" t="n">
        <f aca="false">J49/(J12*1000000000000000*J16*J50*J17)/3600</f>
        <v>5882.79421516755</v>
      </c>
      <c r="K51" s="60" t="n">
        <f aca="false">K49/(K12*1000000000000000*K16*K50*K17)/3600</f>
        <v>1951.67331486326</v>
      </c>
      <c r="L51" s="60" t="n">
        <f aca="false">L49/(L12*1000000000000000*L16*L50*L17)/3600</f>
        <v>11765.5884303351</v>
      </c>
      <c r="M51" s="60" t="n">
        <f aca="false">M49/(M12*1000000000000000*M16*M50*M17)/3600</f>
        <v>1951.67331486326</v>
      </c>
      <c r="N51" s="60" t="n">
        <f aca="false">N49/(N12*1000000000000000*N16*N50*N17)/3600</f>
        <v>11765.5884303351</v>
      </c>
      <c r="O51" s="60" t="n">
        <f aca="false">O49/(O12*1000000000000000*O16*O50*O17)/3600</f>
        <v>1951.67331486326</v>
      </c>
      <c r="P51" s="60" t="n">
        <f aca="false">P49/(P12*1000000000000000*P16*P50*P17)/3600</f>
        <v>11765.5884303351</v>
      </c>
      <c r="Q51" s="60" t="n">
        <f aca="false">Q49/(Q12*1000000000000000*Q16*Q50*Q17)/3600</f>
        <v>1951.67331486326</v>
      </c>
      <c r="R51" s="60" t="n">
        <f aca="false">R49/(R12*1000000000000000*R16*R50*R17)/3600</f>
        <v>11765.5884303351</v>
      </c>
      <c r="S51" s="60" t="n">
        <f aca="false">S49/(S12*1000000000000000*S16*S50*S17)/3600</f>
        <v>1951.67331486326</v>
      </c>
      <c r="T51" s="60" t="n">
        <f aca="false">T49/(T12*1000000000000000*T16*T50*T17)/3600</f>
        <v>11765.5884303351</v>
      </c>
      <c r="U51" s="60" t="n">
        <f aca="false">U49/(U12*1000000000000000*U16*U50*U17)/3600</f>
        <v>1951.67331486326</v>
      </c>
      <c r="V51" s="60" t="n">
        <f aca="false">V49/(V12*1000000000000000*V16*V50*V17)/3600</f>
        <v>11765.5884303351</v>
      </c>
      <c r="W51" s="60" t="n">
        <f aca="false">W49/(W12*1000000000000000*W16*W50*W17)/3600</f>
        <v>1951.67331486326</v>
      </c>
      <c r="X51" s="60" t="n">
        <f aca="false">X49/(X12*1000000000000000*X16*X50*X17)/3600</f>
        <v>11765.5884303351</v>
      </c>
      <c r="Y51" s="60" t="n">
        <f aca="false">Y49/(Y12*1000000000000000*Y16*Y50*Y17)/3600</f>
        <v>1951.67331486326</v>
      </c>
      <c r="Z51" s="60" t="n">
        <f aca="false">Z49/(Z12*1000000000000000*Z16*Z50*Z17)/3600</f>
        <v>11765.5884303351</v>
      </c>
      <c r="AA51" s="60" t="n">
        <f aca="false">AA49/(AA12*1000000000000000*AA16*AA50*AA17)/3600</f>
        <v>1951.67331486326</v>
      </c>
      <c r="AB51" s="60" t="n">
        <f aca="false">AB49/(AB12*1000000000000000*AB16*AB50*AB17)/3600</f>
        <v>11765.5884303351</v>
      </c>
      <c r="AC51" s="60" t="n">
        <f aca="false">AC49/(AC12*1000000000000000*AC16*AC50*AC17)/3600</f>
        <v>1951.67331486326</v>
      </c>
      <c r="AD51" s="60" t="n">
        <f aca="false">AD49/(AD12*1000000000000000*AD16*AD50*AD17)/3600</f>
        <v>11765.5884303351</v>
      </c>
      <c r="AE51" s="60" t="n">
        <f aca="false">AE49/(AE12*1000000000000000*AE16*AE50*AE17)/3600</f>
        <v>1951.67331486326</v>
      </c>
      <c r="AF51" s="60" t="n">
        <f aca="false">AF49/(AF12*1000000000000000*AF16*AF50*AF17)/3600</f>
        <v>11765.5884303351</v>
      </c>
      <c r="AG51" s="60" t="n">
        <f aca="false">AG49/(AG12*1000000000000000*AG16*AG50*AG17)/3600</f>
        <v>2195.63247922116</v>
      </c>
      <c r="AH51" s="60" t="n">
        <f aca="false">AH49/(AH12*1000000000000000*AH16*AH50*AH17)/3600</f>
        <v>13236.286984127</v>
      </c>
    </row>
    <row r="52" customFormat="false" ht="15" hidden="false" customHeight="false" outlineLevel="0" collapsed="false">
      <c r="A52" s="68" t="s">
        <v>982</v>
      </c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</row>
    <row r="53" customFormat="false" ht="15" hidden="false" customHeight="false" outlineLevel="0" collapsed="false">
      <c r="A53" s="54" t="s">
        <v>983</v>
      </c>
      <c r="B53" s="54" t="s">
        <v>904</v>
      </c>
      <c r="C53" s="91" t="n">
        <f aca="false">INDEX(Train_In!$C$34:$E$34,C$7)</f>
        <v>2.36</v>
      </c>
      <c r="D53" s="91" t="n">
        <f aca="false">INDEX(Train_In!$C$34:$E$34,D$7)</f>
        <v>9.6</v>
      </c>
      <c r="E53" s="91" t="n">
        <f aca="false">INDEX(Train_In!$C$34:$E$34,E$7)</f>
        <v>2.36</v>
      </c>
      <c r="F53" s="91" t="n">
        <f aca="false">INDEX(Train_In!$C$34:$E$34,F$7)</f>
        <v>9.6</v>
      </c>
      <c r="G53" s="91" t="n">
        <f aca="false">INDEX(Train_In!$C$34:$E$34,G$7)</f>
        <v>2.36</v>
      </c>
      <c r="H53" s="91" t="n">
        <f aca="false">INDEX(Train_In!$C$34:$E$34,H$7)</f>
        <v>9.6</v>
      </c>
      <c r="I53" s="91" t="n">
        <f aca="false">INDEX(Train_In!$C$34:$E$34,I$7)</f>
        <v>2.36</v>
      </c>
      <c r="J53" s="91" t="n">
        <f aca="false">INDEX(Train_In!$C$34:$E$34,J$7)</f>
        <v>9.6</v>
      </c>
      <c r="K53" s="91" t="n">
        <f aca="false">INDEX(Train_In!$C$34:$E$34,K$7)</f>
        <v>2.36</v>
      </c>
      <c r="L53" s="91" t="n">
        <f aca="false">INDEX(Train_In!$C$34:$E$34,L$7)</f>
        <v>9.6</v>
      </c>
      <c r="M53" s="91" t="n">
        <f aca="false">INDEX(Train_In!$C$34:$E$34,M$7)</f>
        <v>2.36</v>
      </c>
      <c r="N53" s="91" t="n">
        <f aca="false">INDEX(Train_In!$C$34:$E$34,N$7)</f>
        <v>9.6</v>
      </c>
      <c r="O53" s="139" t="n">
        <f aca="false">INDEX(Train_In!$C$34:$E$34,O$7)*O$8</f>
        <v>0.708</v>
      </c>
      <c r="P53" s="139" t="n">
        <f aca="false">INDEX(Train_In!$C$34:$E$34,P$7)*P$8</f>
        <v>2.88</v>
      </c>
      <c r="Q53" s="139" t="n">
        <f aca="false">INDEX(Train_In!$C$34:$E$34,Q$7)*Q$8</f>
        <v>7.08</v>
      </c>
      <c r="R53" s="139" t="n">
        <f aca="false">INDEX(Train_In!$C$34:$E$34,R$7)*R$8</f>
        <v>28.8</v>
      </c>
      <c r="S53" s="91" t="n">
        <f aca="false">INDEX(Train_In!$C$34:$E$34,S$7)</f>
        <v>2.36</v>
      </c>
      <c r="T53" s="91" t="n">
        <f aca="false">INDEX(Train_In!$C$34:$E$34,T$7)</f>
        <v>9.6</v>
      </c>
      <c r="U53" s="91" t="n">
        <f aca="false">INDEX(Train_In!$C$34:$E$34,U$7)</f>
        <v>2.36</v>
      </c>
      <c r="V53" s="91" t="n">
        <f aca="false">INDEX(Train_In!$C$34:$E$34,V$7)</f>
        <v>9.6</v>
      </c>
      <c r="W53" s="91" t="n">
        <f aca="false">INDEX(Train_In!$C$34:$E$34,W$7)</f>
        <v>2.36</v>
      </c>
      <c r="X53" s="91" t="n">
        <f aca="false">INDEX(Train_In!$C$34:$E$34,X$7)</f>
        <v>9.6</v>
      </c>
      <c r="Y53" s="91" t="n">
        <f aca="false">INDEX(Train_In!$C$34:$E$34,Y$7)</f>
        <v>2.36</v>
      </c>
      <c r="Z53" s="91" t="n">
        <f aca="false">INDEX(Train_In!$C$34:$E$34,Z$7)</f>
        <v>9.6</v>
      </c>
      <c r="AA53" s="91" t="n">
        <f aca="false">INDEX(Train_In!$C$34:$E$34,AA$7)</f>
        <v>2.36</v>
      </c>
      <c r="AB53" s="91" t="n">
        <f aca="false">INDEX(Train_In!$C$34:$E$34,AB$7)</f>
        <v>9.6</v>
      </c>
      <c r="AC53" s="91" t="n">
        <f aca="false">INDEX(Train_In!$C$34:$E$34,AC$7)</f>
        <v>2.36</v>
      </c>
      <c r="AD53" s="91" t="n">
        <f aca="false">INDEX(Train_In!$C$34:$E$34,AD$7)</f>
        <v>9.6</v>
      </c>
      <c r="AE53" s="91" t="n">
        <f aca="false">INDEX(Train_In!$C$34:$E$34,AE$7)</f>
        <v>2.36</v>
      </c>
      <c r="AF53" s="91" t="n">
        <f aca="false">INDEX(Train_In!$C$34:$E$34,AF$7)</f>
        <v>9.6</v>
      </c>
      <c r="AG53" s="91" t="n">
        <f aca="false">INDEX(Train_In!$C$34:$E$34,AG$7)</f>
        <v>2.36</v>
      </c>
      <c r="AH53" s="91" t="n">
        <f aca="false">INDEX(Train_In!$C$34:$E$34,AH$7)</f>
        <v>9.6</v>
      </c>
    </row>
    <row r="54" customFormat="false" ht="15" hidden="false" customHeight="false" outlineLevel="0" collapsed="false">
      <c r="A54" s="53" t="s">
        <v>984</v>
      </c>
      <c r="B54" s="54" t="s">
        <v>249</v>
      </c>
      <c r="C54" s="55" t="n">
        <f aca="false">INDEX(Perf_Batch!$C$43:$Q$43,3*(C$6-1)+C$7)</f>
        <v>8192</v>
      </c>
      <c r="D54" s="55" t="n">
        <f aca="false">INDEX(Perf_Batch!$C$43:$Q$43,3*(D$6-1)+D$7)</f>
        <v>16384</v>
      </c>
      <c r="E54" s="55" t="n">
        <f aca="false">INDEX(Perf_Batch!$C$43:$Q$43,3*(E$6-1)+E$7)</f>
        <v>8192</v>
      </c>
      <c r="F54" s="55" t="n">
        <f aca="false">INDEX(Perf_Batch!$C$43:$Q$43,3*(F$6-1)+F$7)</f>
        <v>16384</v>
      </c>
      <c r="G54" s="55" t="n">
        <f aca="false">INDEX(Perf_Batch!$C$43:$Q$43,3*(G$6-1)+G$7)</f>
        <v>8192</v>
      </c>
      <c r="H54" s="55" t="n">
        <f aca="false">INDEX(Perf_Batch!$C$43:$Q$43,3*(H$6-1)+H$7)</f>
        <v>16384</v>
      </c>
      <c r="I54" s="55" t="n">
        <f aca="false">INDEX(Perf_Batch!$C$43:$Q$43,3*(I$6-1)+I$7)</f>
        <v>8192</v>
      </c>
      <c r="J54" s="55" t="n">
        <f aca="false">INDEX(Perf_Batch!$C$43:$Q$43,3*(J$6-1)+J$7)</f>
        <v>16384</v>
      </c>
      <c r="K54" s="55" t="n">
        <f aca="false">INDEX(Perf_Batch!$C$43:$Q$43,3*(K$6-1)+K$7)</f>
        <v>8192</v>
      </c>
      <c r="L54" s="55" t="n">
        <f aca="false">INDEX(Perf_Batch!$C$43:$Q$43,3*(L$6-1)+L$7)</f>
        <v>16384</v>
      </c>
      <c r="M54" s="55" t="n">
        <f aca="false">INDEX(Perf_Batch!$C$43:$Q$43,3*(M$6-1)+M$7)</f>
        <v>8192</v>
      </c>
      <c r="N54" s="55" t="n">
        <f aca="false">INDEX(Perf_Batch!$C$43:$Q$43,3*(N$6-1)+N$7)</f>
        <v>16384</v>
      </c>
      <c r="O54" s="55" t="n">
        <f aca="false">INDEX(Perf_Batch!$C$43:$Q$43,3*(O$6-1)+O$7)</f>
        <v>8192</v>
      </c>
      <c r="P54" s="55" t="n">
        <f aca="false">INDEX(Perf_Batch!$C$43:$Q$43,3*(P$6-1)+P$7)</f>
        <v>16384</v>
      </c>
      <c r="Q54" s="55" t="n">
        <f aca="false">INDEX(Perf_Batch!$C$43:$Q$43,3*(Q$6-1)+Q$7)</f>
        <v>8192</v>
      </c>
      <c r="R54" s="55" t="n">
        <f aca="false">INDEX(Perf_Batch!$C$43:$Q$43,3*(R$6-1)+R$7)</f>
        <v>16384</v>
      </c>
      <c r="S54" s="55" t="n">
        <f aca="false">INDEX(Perf_Batch!$C$43:$Q$43,3*(S$6-1)+S$7)</f>
        <v>8192</v>
      </c>
      <c r="T54" s="55" t="n">
        <f aca="false">INDEX(Perf_Batch!$C$43:$Q$43,3*(T$6-1)+T$7)</f>
        <v>16384</v>
      </c>
      <c r="U54" s="55" t="n">
        <f aca="false">INDEX(Perf_Batch!$C$43:$Q$43,3*(U$6-1)+U$7)</f>
        <v>8192</v>
      </c>
      <c r="V54" s="55" t="n">
        <f aca="false">INDEX(Perf_Batch!$C$43:$Q$43,3*(V$6-1)+V$7)</f>
        <v>16384</v>
      </c>
      <c r="W54" s="55" t="n">
        <f aca="false">INDEX(Perf_Batch!$C$43:$Q$43,3*(W$6-1)+W$7)</f>
        <v>8192</v>
      </c>
      <c r="X54" s="55" t="n">
        <f aca="false">INDEX(Perf_Batch!$C$43:$Q$43,3*(X$6-1)+X$7)</f>
        <v>16384</v>
      </c>
      <c r="Y54" s="55" t="n">
        <f aca="false">INDEX(Perf_Batch!$C$43:$Q$43,3*(Y$6-1)+Y$7)</f>
        <v>8192</v>
      </c>
      <c r="Z54" s="55" t="n">
        <f aca="false">INDEX(Perf_Batch!$C$43:$Q$43,3*(Z$6-1)+Z$7)</f>
        <v>16384</v>
      </c>
      <c r="AA54" s="55" t="n">
        <f aca="false">INDEX(Perf_Batch!$C$43:$Q$43,3*(AA$6-1)+AA$7)</f>
        <v>8192</v>
      </c>
      <c r="AB54" s="55" t="n">
        <f aca="false">INDEX(Perf_Batch!$C$43:$Q$43,3*(AB$6-1)+AB$7)</f>
        <v>16384</v>
      </c>
      <c r="AC54" s="55" t="n">
        <f aca="false">INDEX(Perf_Batch!$C$43:$Q$43,3*(AC$6-1)+AC$7)</f>
        <v>8192</v>
      </c>
      <c r="AD54" s="55" t="n">
        <f aca="false">INDEX(Perf_Batch!$C$43:$Q$43,3*(AD$6-1)+AD$7)</f>
        <v>16384</v>
      </c>
      <c r="AE54" s="55" t="n">
        <f aca="false">INDEX(Perf_Batch!$C$43:$Q$43,3*(AE$6-1)+AE$7)</f>
        <v>8192</v>
      </c>
      <c r="AF54" s="55" t="n">
        <f aca="false">INDEX(Perf_Batch!$C$43:$Q$43,3*(AF$6-1)+AF$7)</f>
        <v>16384</v>
      </c>
      <c r="AG54" s="55" t="n">
        <f aca="false">INDEX(Perf_Batch!$C$43:$Q$43,3*(AG$6-1)+AG$7)</f>
        <v>8192</v>
      </c>
      <c r="AH54" s="55" t="n">
        <f aca="false">INDEX(Perf_Batch!$C$43:$Q$43,3*(AH$6-1)+AH$7)</f>
        <v>16384</v>
      </c>
    </row>
    <row r="55" customFormat="false" ht="15" hidden="false" customHeight="false" outlineLevel="0" collapsed="false">
      <c r="A55" s="53" t="s">
        <v>985</v>
      </c>
      <c r="B55" s="54" t="s">
        <v>249</v>
      </c>
      <c r="C55" s="55" t="n">
        <f aca="false">INDEX(Perf_Batch!$C$44:$Q$44,3*(C$6-1)+C$7)</f>
        <v>16384</v>
      </c>
      <c r="D55" s="55" t="n">
        <f aca="false">INDEX(Perf_Batch!$C$44:$Q$44,3*(D$6-1)+D$7)</f>
        <v>32768</v>
      </c>
      <c r="E55" s="55" t="n">
        <f aca="false">INDEX(Perf_Batch!$C$44:$Q$44,3*(E$6-1)+E$7)</f>
        <v>16384</v>
      </c>
      <c r="F55" s="55" t="n">
        <f aca="false">INDEX(Perf_Batch!$C$44:$Q$44,3*(F$6-1)+F$7)</f>
        <v>32768</v>
      </c>
      <c r="G55" s="55" t="n">
        <f aca="false">INDEX(Perf_Batch!$C$44:$Q$44,3*(G$6-1)+G$7)</f>
        <v>16384</v>
      </c>
      <c r="H55" s="55" t="n">
        <f aca="false">INDEX(Perf_Batch!$C$44:$Q$44,3*(H$6-1)+H$7)</f>
        <v>32768</v>
      </c>
      <c r="I55" s="55" t="n">
        <f aca="false">INDEX(Perf_Batch!$C$44:$Q$44,3*(I$6-1)+I$7)</f>
        <v>16384</v>
      </c>
      <c r="J55" s="55" t="n">
        <f aca="false">INDEX(Perf_Batch!$C$44:$Q$44,3*(J$6-1)+J$7)</f>
        <v>32768</v>
      </c>
      <c r="K55" s="55" t="n">
        <f aca="false">INDEX(Perf_Batch!$C$44:$Q$44,3*(K$6-1)+K$7)</f>
        <v>16384</v>
      </c>
      <c r="L55" s="55" t="n">
        <f aca="false">INDEX(Perf_Batch!$C$44:$Q$44,3*(L$6-1)+L$7)</f>
        <v>32768</v>
      </c>
      <c r="M55" s="55" t="n">
        <f aca="false">INDEX(Perf_Batch!$C$44:$Q$44,3*(M$6-1)+M$7)</f>
        <v>16384</v>
      </c>
      <c r="N55" s="55" t="n">
        <f aca="false">INDEX(Perf_Batch!$C$44:$Q$44,3*(N$6-1)+N$7)</f>
        <v>32768</v>
      </c>
      <c r="O55" s="55" t="n">
        <f aca="false">INDEX(Perf_Batch!$C$44:$Q$44,3*(O$6-1)+O$7)</f>
        <v>16384</v>
      </c>
      <c r="P55" s="55" t="n">
        <f aca="false">INDEX(Perf_Batch!$C$44:$Q$44,3*(P$6-1)+P$7)</f>
        <v>32768</v>
      </c>
      <c r="Q55" s="55" t="n">
        <f aca="false">INDEX(Perf_Batch!$C$44:$Q$44,3*(Q$6-1)+Q$7)</f>
        <v>16384</v>
      </c>
      <c r="R55" s="55" t="n">
        <f aca="false">INDEX(Perf_Batch!$C$44:$Q$44,3*(R$6-1)+R$7)</f>
        <v>32768</v>
      </c>
      <c r="S55" s="55" t="n">
        <f aca="false">INDEX(Perf_Batch!$C$44:$Q$44,3*(S$6-1)+S$7)</f>
        <v>16384</v>
      </c>
      <c r="T55" s="55" t="n">
        <f aca="false">INDEX(Perf_Batch!$C$44:$Q$44,3*(T$6-1)+T$7)</f>
        <v>32768</v>
      </c>
      <c r="U55" s="55" t="n">
        <f aca="false">INDEX(Perf_Batch!$C$44:$Q$44,3*(U$6-1)+U$7)</f>
        <v>16384</v>
      </c>
      <c r="V55" s="55" t="n">
        <f aca="false">INDEX(Perf_Batch!$C$44:$Q$44,3*(V$6-1)+V$7)</f>
        <v>32768</v>
      </c>
      <c r="W55" s="55" t="n">
        <f aca="false">INDEX(Perf_Batch!$C$44:$Q$44,3*(W$6-1)+W$7)</f>
        <v>16384</v>
      </c>
      <c r="X55" s="55" t="n">
        <f aca="false">INDEX(Perf_Batch!$C$44:$Q$44,3*(X$6-1)+X$7)</f>
        <v>32768</v>
      </c>
      <c r="Y55" s="55" t="n">
        <f aca="false">INDEX(Perf_Batch!$C$44:$Q$44,3*(Y$6-1)+Y$7)</f>
        <v>16384</v>
      </c>
      <c r="Z55" s="55" t="n">
        <f aca="false">INDEX(Perf_Batch!$C$44:$Q$44,3*(Z$6-1)+Z$7)</f>
        <v>32768</v>
      </c>
      <c r="AA55" s="55" t="n">
        <f aca="false">INDEX(Perf_Batch!$C$44:$Q$44,3*(AA$6-1)+AA$7)</f>
        <v>16384</v>
      </c>
      <c r="AB55" s="55" t="n">
        <f aca="false">INDEX(Perf_Batch!$C$44:$Q$44,3*(AB$6-1)+AB$7)</f>
        <v>32768</v>
      </c>
      <c r="AC55" s="55" t="n">
        <f aca="false">INDEX(Perf_Batch!$C$44:$Q$44,3*(AC$6-1)+AC$7)</f>
        <v>16384</v>
      </c>
      <c r="AD55" s="55" t="n">
        <f aca="false">INDEX(Perf_Batch!$C$44:$Q$44,3*(AD$6-1)+AD$7)</f>
        <v>32768</v>
      </c>
      <c r="AE55" s="55" t="n">
        <f aca="false">INDEX(Perf_Batch!$C$44:$Q$44,3*(AE$6-1)+AE$7)</f>
        <v>16384</v>
      </c>
      <c r="AF55" s="55" t="n">
        <f aca="false">INDEX(Perf_Batch!$C$44:$Q$44,3*(AF$6-1)+AF$7)</f>
        <v>32768</v>
      </c>
      <c r="AG55" s="55" t="n">
        <f aca="false">INDEX(Perf_Batch!$C$44:$Q$44,3*(AG$6-1)+AG$7)</f>
        <v>16384</v>
      </c>
      <c r="AH55" s="55" t="n">
        <f aca="false">INDEX(Perf_Batch!$C$44:$Q$44,3*(AH$6-1)+AH$7)</f>
        <v>32768</v>
      </c>
    </row>
    <row r="56" customFormat="false" ht="15" hidden="false" customHeight="false" outlineLevel="0" collapsed="false">
      <c r="A56" s="53" t="s">
        <v>986</v>
      </c>
      <c r="B56" s="53" t="s">
        <v>287</v>
      </c>
      <c r="C56" s="60" t="n">
        <f aca="false">C53*1000000000000/C55</f>
        <v>144042968.75</v>
      </c>
      <c r="D56" s="60" t="n">
        <f aca="false">D53*1000000000000/D55</f>
        <v>292968750</v>
      </c>
      <c r="E56" s="60" t="n">
        <f aca="false">E53*1000000000000/E55</f>
        <v>144042968.75</v>
      </c>
      <c r="F56" s="60" t="n">
        <f aca="false">F53*1000000000000/F55</f>
        <v>292968750</v>
      </c>
      <c r="G56" s="60" t="n">
        <f aca="false">G53*1000000000000/G55</f>
        <v>144042968.75</v>
      </c>
      <c r="H56" s="60" t="n">
        <f aca="false">H53*1000000000000/H55</f>
        <v>292968750</v>
      </c>
      <c r="I56" s="60" t="n">
        <f aca="false">I53*1000000000000/I55</f>
        <v>144042968.75</v>
      </c>
      <c r="J56" s="60" t="n">
        <f aca="false">J53*1000000000000/J55</f>
        <v>292968750</v>
      </c>
      <c r="K56" s="60" t="n">
        <f aca="false">K53*1000000000000/K55</f>
        <v>144042968.75</v>
      </c>
      <c r="L56" s="60" t="n">
        <f aca="false">L53*1000000000000/L55</f>
        <v>292968750</v>
      </c>
      <c r="M56" s="60" t="n">
        <f aca="false">M53*1000000000000/M55</f>
        <v>144042968.75</v>
      </c>
      <c r="N56" s="60" t="n">
        <f aca="false">N53*1000000000000/N55</f>
        <v>292968750</v>
      </c>
      <c r="O56" s="60" t="n">
        <f aca="false">O53*1000000000000/O55</f>
        <v>43212890.625</v>
      </c>
      <c r="P56" s="60" t="n">
        <f aca="false">P53*1000000000000/P55</f>
        <v>87890625</v>
      </c>
      <c r="Q56" s="60" t="n">
        <f aca="false">Q53*1000000000000/Q55</f>
        <v>432128906.25</v>
      </c>
      <c r="R56" s="60" t="n">
        <f aca="false">R53*1000000000000/R55</f>
        <v>878906250</v>
      </c>
      <c r="S56" s="60" t="n">
        <f aca="false">S53*1000000000000/S55</f>
        <v>144042968.75</v>
      </c>
      <c r="T56" s="60" t="n">
        <f aca="false">T53*1000000000000/T55</f>
        <v>292968750</v>
      </c>
      <c r="U56" s="60" t="n">
        <f aca="false">U53*1000000000000/U55</f>
        <v>144042968.75</v>
      </c>
      <c r="V56" s="60" t="n">
        <f aca="false">V53*1000000000000/V55</f>
        <v>292968750</v>
      </c>
      <c r="W56" s="60" t="n">
        <f aca="false">W53*1000000000000/W55</f>
        <v>144042968.75</v>
      </c>
      <c r="X56" s="60" t="n">
        <f aca="false">X53*1000000000000/X55</f>
        <v>292968750</v>
      </c>
      <c r="Y56" s="60" t="n">
        <f aca="false">Y53*1000000000000/Y55</f>
        <v>144042968.75</v>
      </c>
      <c r="Z56" s="60" t="n">
        <f aca="false">Z53*1000000000000/Z55</f>
        <v>292968750</v>
      </c>
      <c r="AA56" s="60" t="n">
        <f aca="false">AA53*1000000000000/AA55</f>
        <v>144042968.75</v>
      </c>
      <c r="AB56" s="60" t="n">
        <f aca="false">AB53*1000000000000/AB55</f>
        <v>292968750</v>
      </c>
      <c r="AC56" s="60" t="n">
        <f aca="false">AC53*1000000000000/AC55</f>
        <v>144042968.75</v>
      </c>
      <c r="AD56" s="60" t="n">
        <f aca="false">AD53*1000000000000/AD55</f>
        <v>292968750</v>
      </c>
      <c r="AE56" s="60" t="n">
        <f aca="false">AE53*1000000000000/AE55</f>
        <v>144042968.75</v>
      </c>
      <c r="AF56" s="60" t="n">
        <f aca="false">AF53*1000000000000/AF55</f>
        <v>292968750</v>
      </c>
      <c r="AG56" s="60" t="n">
        <f aca="false">AG53*1000000000000/AG55</f>
        <v>144042968.75</v>
      </c>
      <c r="AH56" s="60" t="n">
        <f aca="false">AH53*1000000000000/AH55</f>
        <v>292968750</v>
      </c>
    </row>
    <row r="57" customFormat="false" ht="15" hidden="false" customHeight="false" outlineLevel="0" collapsed="false">
      <c r="A57" s="54" t="s">
        <v>987</v>
      </c>
      <c r="B57" s="53" t="s">
        <v>287</v>
      </c>
      <c r="C57" s="82" t="n">
        <f aca="false">Train_In!$C$12</f>
        <v>16</v>
      </c>
      <c r="D57" s="82" t="n">
        <f aca="false">Train_In!$C$12</f>
        <v>16</v>
      </c>
      <c r="E57" s="82" t="n">
        <f aca="false">Train_In!$C$12</f>
        <v>16</v>
      </c>
      <c r="F57" s="82" t="n">
        <f aca="false">Train_In!$C$12</f>
        <v>16</v>
      </c>
      <c r="G57" s="82" t="n">
        <f aca="false">Train_In!$C$12</f>
        <v>16</v>
      </c>
      <c r="H57" s="82" t="n">
        <f aca="false">Train_In!$C$12</f>
        <v>16</v>
      </c>
      <c r="I57" s="82" t="n">
        <f aca="false">Train_In!$C$12</f>
        <v>16</v>
      </c>
      <c r="J57" s="82" t="n">
        <f aca="false">Train_In!$C$12</f>
        <v>16</v>
      </c>
      <c r="K57" s="82" t="n">
        <f aca="false">Train_In!$C$12</f>
        <v>16</v>
      </c>
      <c r="L57" s="82" t="n">
        <f aca="false">Train_In!$C$12</f>
        <v>16</v>
      </c>
      <c r="M57" s="82" t="n">
        <f aca="false">Train_In!$C$12</f>
        <v>16</v>
      </c>
      <c r="N57" s="82" t="n">
        <f aca="false">Train_In!$C$12</f>
        <v>16</v>
      </c>
      <c r="O57" s="82" t="n">
        <f aca="false">Train_In!$C$12</f>
        <v>16</v>
      </c>
      <c r="P57" s="82" t="n">
        <f aca="false">Train_In!$C$12</f>
        <v>16</v>
      </c>
      <c r="Q57" s="82" t="n">
        <f aca="false">Train_In!$C$12</f>
        <v>16</v>
      </c>
      <c r="R57" s="82" t="n">
        <f aca="false">Train_In!$C$12</f>
        <v>16</v>
      </c>
      <c r="S57" s="82" t="n">
        <f aca="false">Train_In!$C$12</f>
        <v>16</v>
      </c>
      <c r="T57" s="82" t="n">
        <f aca="false">Train_In!$C$12</f>
        <v>16</v>
      </c>
      <c r="U57" s="82" t="n">
        <f aca="false">Train_In!$C$12</f>
        <v>16</v>
      </c>
      <c r="V57" s="82" t="n">
        <f aca="false">Train_In!$C$12</f>
        <v>16</v>
      </c>
      <c r="W57" s="82" t="n">
        <f aca="false">Train_In!$C$12</f>
        <v>16</v>
      </c>
      <c r="X57" s="82" t="n">
        <f aca="false">Train_In!$C$12</f>
        <v>16</v>
      </c>
      <c r="Y57" s="82" t="n">
        <f aca="false">Train_In!$C$12</f>
        <v>16</v>
      </c>
      <c r="Z57" s="82" t="n">
        <f aca="false">Train_In!$C$12</f>
        <v>16</v>
      </c>
      <c r="AA57" s="82" t="n">
        <f aca="false">Train_In!$C$12</f>
        <v>16</v>
      </c>
      <c r="AB57" s="82" t="n">
        <f aca="false">Train_In!$C$12</f>
        <v>16</v>
      </c>
      <c r="AC57" s="82" t="n">
        <f aca="false">Train_In!$C$12</f>
        <v>16</v>
      </c>
      <c r="AD57" s="82" t="n">
        <f aca="false">Train_In!$C$12</f>
        <v>16</v>
      </c>
      <c r="AE57" s="82" t="n">
        <f aca="false">Train_In!$C$12</f>
        <v>16</v>
      </c>
      <c r="AF57" s="82" t="n">
        <f aca="false">Train_In!$C$12</f>
        <v>16</v>
      </c>
      <c r="AG57" s="82" t="n">
        <f aca="false">Train_In!$C$12</f>
        <v>16</v>
      </c>
      <c r="AH57" s="82" t="n">
        <f aca="false">Train_In!$C$12</f>
        <v>16</v>
      </c>
    </row>
    <row r="58" customFormat="false" ht="15" hidden="false" customHeight="false" outlineLevel="0" collapsed="false">
      <c r="A58" s="53" t="s">
        <v>988</v>
      </c>
      <c r="B58" s="54" t="s">
        <v>904</v>
      </c>
      <c r="C58" s="64" t="n">
        <f aca="false">C56*C54/C57/1000000000000</f>
        <v>0.07375</v>
      </c>
      <c r="D58" s="64" t="n">
        <f aca="false">D56*D54/D57/1000000000000</f>
        <v>0.3</v>
      </c>
      <c r="E58" s="64" t="n">
        <f aca="false">E56*E54/E57/1000000000000</f>
        <v>0.07375</v>
      </c>
      <c r="F58" s="64" t="n">
        <f aca="false">F56*F54/F57/1000000000000</f>
        <v>0.3</v>
      </c>
      <c r="G58" s="64" t="n">
        <f aca="false">G56*G54/G57/1000000000000</f>
        <v>0.07375</v>
      </c>
      <c r="H58" s="64" t="n">
        <f aca="false">H56*H54/H57/1000000000000</f>
        <v>0.3</v>
      </c>
      <c r="I58" s="64" t="n">
        <f aca="false">I56*I54/I57/1000000000000</f>
        <v>0.07375</v>
      </c>
      <c r="J58" s="64" t="n">
        <f aca="false">J56*J54/J57/1000000000000</f>
        <v>0.3</v>
      </c>
      <c r="K58" s="64" t="n">
        <f aca="false">K56*K54/K57/1000000000000</f>
        <v>0.07375</v>
      </c>
      <c r="L58" s="64" t="n">
        <f aca="false">L56*L54/L57/1000000000000</f>
        <v>0.3</v>
      </c>
      <c r="M58" s="64" t="n">
        <f aca="false">M56*M54/M57/1000000000000</f>
        <v>0.07375</v>
      </c>
      <c r="N58" s="64" t="n">
        <f aca="false">N56*N54/N57/1000000000000</f>
        <v>0.3</v>
      </c>
      <c r="O58" s="64" t="n">
        <f aca="false">O56*O54/O57/1000000000000</f>
        <v>0.022125</v>
      </c>
      <c r="P58" s="64" t="n">
        <f aca="false">P56*P54/P57/1000000000000</f>
        <v>0.09</v>
      </c>
      <c r="Q58" s="64" t="n">
        <f aca="false">Q56*Q54/Q57/1000000000000</f>
        <v>0.22125</v>
      </c>
      <c r="R58" s="64" t="n">
        <f aca="false">R56*R54/R57/1000000000000</f>
        <v>0.9</v>
      </c>
      <c r="S58" s="64" t="n">
        <f aca="false">S56*S54/S57/1000000000000</f>
        <v>0.07375</v>
      </c>
      <c r="T58" s="64" t="n">
        <f aca="false">T56*T54/T57/1000000000000</f>
        <v>0.3</v>
      </c>
      <c r="U58" s="64" t="n">
        <f aca="false">U56*U54/U57/1000000000000</f>
        <v>0.07375</v>
      </c>
      <c r="V58" s="64" t="n">
        <f aca="false">V56*V54/V57/1000000000000</f>
        <v>0.3</v>
      </c>
      <c r="W58" s="64" t="n">
        <f aca="false">W56*W54/W57/1000000000000</f>
        <v>0.07375</v>
      </c>
      <c r="X58" s="64" t="n">
        <f aca="false">X56*X54/X57/1000000000000</f>
        <v>0.3</v>
      </c>
      <c r="Y58" s="64" t="n">
        <f aca="false">Y56*Y54/Y57/1000000000000</f>
        <v>0.07375</v>
      </c>
      <c r="Z58" s="64" t="n">
        <f aca="false">Z56*Z54/Z57/1000000000000</f>
        <v>0.3</v>
      </c>
      <c r="AA58" s="64" t="n">
        <f aca="false">AA56*AA54/AA57/1000000000000</f>
        <v>0.07375</v>
      </c>
      <c r="AB58" s="64" t="n">
        <f aca="false">AB56*AB54/AB57/1000000000000</f>
        <v>0.3</v>
      </c>
      <c r="AC58" s="64" t="n">
        <f aca="false">AC56*AC54/AC57/1000000000000</f>
        <v>0.07375</v>
      </c>
      <c r="AD58" s="64" t="n">
        <f aca="false">AD56*AD54/AD57/1000000000000</f>
        <v>0.3</v>
      </c>
      <c r="AE58" s="64" t="n">
        <f aca="false">AE56*AE54/AE57/1000000000000</f>
        <v>0.07375</v>
      </c>
      <c r="AF58" s="64" t="n">
        <f aca="false">AF56*AF54/AF57/1000000000000</f>
        <v>0.3</v>
      </c>
      <c r="AG58" s="64" t="n">
        <f aca="false">AG56*AG54/AG57/1000000000000</f>
        <v>0.07375</v>
      </c>
      <c r="AH58" s="64" t="n">
        <f aca="false">AH56*AH54/AH57/1000000000000</f>
        <v>0.3</v>
      </c>
    </row>
    <row r="59" customFormat="false" ht="15" hidden="false" customHeight="false" outlineLevel="0" collapsed="false">
      <c r="A59" s="54" t="s">
        <v>989</v>
      </c>
      <c r="B59" s="54" t="s">
        <v>754</v>
      </c>
      <c r="C59" s="91" t="n">
        <f aca="false">INDEX(Perf_Batch!$C$103:$Q$103,3*(C$6-1)+C$7)</f>
        <v>186.645035895752</v>
      </c>
      <c r="D59" s="91" t="n">
        <f aca="false">INDEX(Perf_Batch!$C$103:$Q$103,3*(D$6-1)+D$7)</f>
        <v>795.665725029018</v>
      </c>
      <c r="E59" s="91" t="n">
        <f aca="false">INDEX(Perf_Batch!$C$103:$Q$103,3*(E$6-1)+E$7)</f>
        <v>186.645035895752</v>
      </c>
      <c r="F59" s="91" t="n">
        <f aca="false">INDEX(Perf_Batch!$C$103:$Q$103,3*(F$6-1)+F$7)</f>
        <v>795.665725029018</v>
      </c>
      <c r="G59" s="91" t="n">
        <f aca="false">INDEX(Perf_Batch!$C$103:$Q$103,3*(G$6-1)+G$7)</f>
        <v>186.645035895752</v>
      </c>
      <c r="H59" s="91" t="n">
        <f aca="false">INDEX(Perf_Batch!$C$103:$Q$103,3*(H$6-1)+H$7)</f>
        <v>795.665725029018</v>
      </c>
      <c r="I59" s="91" t="n">
        <f aca="false">INDEX(Perf_Batch!$C$103:$Q$103,3*(I$6-1)+I$7)</f>
        <v>186.645035895752</v>
      </c>
      <c r="J59" s="91" t="n">
        <f aca="false">INDEX(Perf_Batch!$C$103:$Q$103,3*(J$6-1)+J$7)</f>
        <v>795.665725029018</v>
      </c>
      <c r="K59" s="91" t="n">
        <f aca="false">INDEX(Perf_Batch!$C$103:$Q$103,3*(K$6-1)+K$7)</f>
        <v>186.645035895752</v>
      </c>
      <c r="L59" s="91" t="n">
        <f aca="false">INDEX(Perf_Batch!$C$103:$Q$103,3*(L$6-1)+L$7)</f>
        <v>795.665725029018</v>
      </c>
      <c r="M59" s="91" t="n">
        <f aca="false">INDEX(Perf_Batch!$C$103:$Q$103,3*(M$6-1)+M$7)</f>
        <v>186.645035895752</v>
      </c>
      <c r="N59" s="91" t="n">
        <f aca="false">INDEX(Perf_Batch!$C$103:$Q$103,3*(N$6-1)+N$7)</f>
        <v>795.665725029018</v>
      </c>
      <c r="O59" s="91" t="n">
        <f aca="false">INDEX(Perf_Batch!$C$103:$Q$103,3*(O$6-1)+O$7)</f>
        <v>186.645035895752</v>
      </c>
      <c r="P59" s="91" t="n">
        <f aca="false">INDEX(Perf_Batch!$C$103:$Q$103,3*(P$6-1)+P$7)</f>
        <v>795.665725029018</v>
      </c>
      <c r="Q59" s="91" t="n">
        <f aca="false">INDEX(Perf_Batch!$C$103:$Q$103,3*(Q$6-1)+Q$7)</f>
        <v>186.645035895752</v>
      </c>
      <c r="R59" s="91" t="n">
        <f aca="false">INDEX(Perf_Batch!$C$103:$Q$103,3*(R$6-1)+R$7)</f>
        <v>795.665725029018</v>
      </c>
      <c r="S59" s="91" t="n">
        <f aca="false">INDEX(Perf_Batch!$C$103:$Q$103,3*(S$6-1)+S$7)</f>
        <v>186.645035895752</v>
      </c>
      <c r="T59" s="91" t="n">
        <f aca="false">INDEX(Perf_Batch!$C$103:$Q$103,3*(T$6-1)+T$7)</f>
        <v>795.665725029018</v>
      </c>
      <c r="U59" s="91" t="n">
        <f aca="false">INDEX(Perf_Batch!$C$103:$Q$103,3*(U$6-1)+U$7)</f>
        <v>186.645035895752</v>
      </c>
      <c r="V59" s="91" t="n">
        <f aca="false">INDEX(Perf_Batch!$C$103:$Q$103,3*(V$6-1)+V$7)</f>
        <v>795.665725029018</v>
      </c>
      <c r="W59" s="139" t="n">
        <f aca="false">Perf_Batch!R103</f>
        <v>376.528296742994</v>
      </c>
      <c r="X59" s="139" t="n">
        <f aca="false">Perf_Batch!S103</f>
        <v>1613.65667842833</v>
      </c>
      <c r="Y59" s="91" t="n">
        <f aca="false">INDEX(Perf_Batch!$C$103:$Q$103,3*(Y$6-1)+Y$7)</f>
        <v>186.645035895752</v>
      </c>
      <c r="Z59" s="91" t="n">
        <f aca="false">INDEX(Perf_Batch!$C$103:$Q$103,3*(Z$6-1)+Z$7)</f>
        <v>795.665725029018</v>
      </c>
      <c r="AA59" s="91" t="n">
        <f aca="false">INDEX(Perf_Batch!$C$103:$Q$103,3*(AA$6-1)+AA$7)</f>
        <v>186.645035895752</v>
      </c>
      <c r="AB59" s="91" t="n">
        <f aca="false">INDEX(Perf_Batch!$C$103:$Q$103,3*(AB$6-1)+AB$7)</f>
        <v>795.665725029018</v>
      </c>
      <c r="AC59" s="91" t="n">
        <f aca="false">INDEX(Perf_Batch!$C$103:$Q$103,3*(AC$6-1)+AC$7)</f>
        <v>186.645035895752</v>
      </c>
      <c r="AD59" s="91" t="n">
        <f aca="false">INDEX(Perf_Batch!$C$103:$Q$103,3*(AD$6-1)+AD$7)</f>
        <v>795.665725029018</v>
      </c>
      <c r="AE59" s="91" t="n">
        <f aca="false">INDEX(Perf_Batch!$C$103:$Q$103,3*(AE$6-1)+AE$7)</f>
        <v>186.645035895752</v>
      </c>
      <c r="AF59" s="91" t="n">
        <f aca="false">INDEX(Perf_Batch!$C$103:$Q$103,3*(AF$6-1)+AF$7)</f>
        <v>795.665725029018</v>
      </c>
      <c r="AG59" s="91" t="n">
        <f aca="false">INDEX(Perf_Batch!$C$103:$Q$103,3*(AG$6-1)+AG$7)</f>
        <v>186.645035895752</v>
      </c>
      <c r="AH59" s="91" t="n">
        <f aca="false">INDEX(Perf_Batch!$C$103:$Q$103,3*(AH$6-1)+AH$7)</f>
        <v>795.665725029018</v>
      </c>
    </row>
    <row r="60" customFormat="false" ht="15" hidden="false" customHeight="false" outlineLevel="0" collapsed="false">
      <c r="A60" s="54" t="s">
        <v>990</v>
      </c>
      <c r="B60" s="54" t="s">
        <v>754</v>
      </c>
      <c r="C60" s="91" t="n">
        <f aca="false">INDEX(Perf_Batch!$C$101:$Q$101,3*(C$6-1)+C$7)</f>
        <v>12.5261781471817</v>
      </c>
      <c r="D60" s="91" t="n">
        <f aca="false">INDEX(Perf_Batch!$C$101:$Q$101,3*(D$6-1)+D$7)</f>
        <v>38.1205065142857</v>
      </c>
      <c r="E60" s="91" t="n">
        <f aca="false">INDEX(Perf_Batch!$C$101:$Q$101,3*(E$6-1)+E$7)</f>
        <v>12.5261781471817</v>
      </c>
      <c r="F60" s="91" t="n">
        <f aca="false">INDEX(Perf_Batch!$C$101:$Q$101,3*(F$6-1)+F$7)</f>
        <v>38.1205065142857</v>
      </c>
      <c r="G60" s="91" t="n">
        <f aca="false">INDEX(Perf_Batch!$C$101:$Q$101,3*(G$6-1)+G$7)</f>
        <v>12.5261781471817</v>
      </c>
      <c r="H60" s="91" t="n">
        <f aca="false">INDEX(Perf_Batch!$C$101:$Q$101,3*(H$6-1)+H$7)</f>
        <v>38.1205065142857</v>
      </c>
      <c r="I60" s="91" t="n">
        <f aca="false">INDEX(Perf_Batch!$C$101:$Q$101,3*(I$6-1)+I$7)</f>
        <v>12.5261781471817</v>
      </c>
      <c r="J60" s="91" t="n">
        <f aca="false">INDEX(Perf_Batch!$C$101:$Q$101,3*(J$6-1)+J$7)</f>
        <v>38.1205065142857</v>
      </c>
      <c r="K60" s="91" t="n">
        <f aca="false">INDEX(Perf_Batch!$C$101:$Q$101,3*(K$6-1)+K$7)</f>
        <v>12.5261781471817</v>
      </c>
      <c r="L60" s="91" t="n">
        <f aca="false">INDEX(Perf_Batch!$C$101:$Q$101,3*(L$6-1)+L$7)</f>
        <v>38.1205065142857</v>
      </c>
      <c r="M60" s="91" t="n">
        <f aca="false">INDEX(Perf_Batch!$C$101:$Q$101,3*(M$6-1)+M$7)</f>
        <v>12.5261781471817</v>
      </c>
      <c r="N60" s="91" t="n">
        <f aca="false">INDEX(Perf_Batch!$C$101:$Q$101,3*(N$6-1)+N$7)</f>
        <v>38.1205065142857</v>
      </c>
      <c r="O60" s="91" t="n">
        <f aca="false">INDEX(Perf_Batch!$C$101:$Q$101,3*(O$6-1)+O$7)</f>
        <v>12.5261781471817</v>
      </c>
      <c r="P60" s="91" t="n">
        <f aca="false">INDEX(Perf_Batch!$C$101:$Q$101,3*(P$6-1)+P$7)</f>
        <v>38.1205065142857</v>
      </c>
      <c r="Q60" s="91" t="n">
        <f aca="false">INDEX(Perf_Batch!$C$101:$Q$101,3*(Q$6-1)+Q$7)</f>
        <v>12.5261781471817</v>
      </c>
      <c r="R60" s="91" t="n">
        <f aca="false">INDEX(Perf_Batch!$C$101:$Q$101,3*(R$6-1)+R$7)</f>
        <v>38.1205065142857</v>
      </c>
      <c r="S60" s="91" t="n">
        <f aca="false">INDEX(Perf_Batch!$C$101:$Q$101,3*(S$6-1)+S$7)</f>
        <v>12.5261781471817</v>
      </c>
      <c r="T60" s="91" t="n">
        <f aca="false">INDEX(Perf_Batch!$C$101:$Q$101,3*(T$6-1)+T$7)</f>
        <v>38.1205065142857</v>
      </c>
      <c r="U60" s="91" t="n">
        <f aca="false">INDEX(Perf_Batch!$C$101:$Q$101,3*(U$6-1)+U$7)</f>
        <v>12.5261781471817</v>
      </c>
      <c r="V60" s="91" t="n">
        <f aca="false">INDEX(Perf_Batch!$C$101:$Q$101,3*(V$6-1)+V$7)</f>
        <v>38.1205065142857</v>
      </c>
      <c r="W60" s="139" t="n">
        <f aca="false">Perf_Batch!R101</f>
        <v>25.0523562943634</v>
      </c>
      <c r="X60" s="139" t="n">
        <f aca="false">Perf_Batch!S101</f>
        <v>76.2410130285714</v>
      </c>
      <c r="Y60" s="91" t="n">
        <f aca="false">INDEX(Perf_Batch!$C$101:$Q$101,3*(Y$6-1)+Y$7)</f>
        <v>12.5261781471817</v>
      </c>
      <c r="Z60" s="91" t="n">
        <f aca="false">INDEX(Perf_Batch!$C$101:$Q$101,3*(Z$6-1)+Z$7)</f>
        <v>38.1205065142857</v>
      </c>
      <c r="AA60" s="91" t="n">
        <f aca="false">INDEX(Perf_Batch!$C$101:$Q$101,3*(AA$6-1)+AA$7)</f>
        <v>12.5261781471817</v>
      </c>
      <c r="AB60" s="91" t="n">
        <f aca="false">INDEX(Perf_Batch!$C$101:$Q$101,3*(AB$6-1)+AB$7)</f>
        <v>38.1205065142857</v>
      </c>
      <c r="AC60" s="91" t="n">
        <f aca="false">INDEX(Perf_Batch!$C$101:$Q$101,3*(AC$6-1)+AC$7)</f>
        <v>12.5261781471817</v>
      </c>
      <c r="AD60" s="91" t="n">
        <f aca="false">INDEX(Perf_Batch!$C$101:$Q$101,3*(AD$6-1)+AD$7)</f>
        <v>38.1205065142857</v>
      </c>
      <c r="AE60" s="91" t="n">
        <f aca="false">INDEX(Perf_Batch!$C$101:$Q$101,3*(AE$6-1)+AE$7)</f>
        <v>12.5261781471817</v>
      </c>
      <c r="AF60" s="91" t="n">
        <f aca="false">INDEX(Perf_Batch!$C$101:$Q$101,3*(AF$6-1)+AF$7)</f>
        <v>38.1205065142857</v>
      </c>
      <c r="AG60" s="91" t="n">
        <f aca="false">INDEX(Perf_Batch!$C$101:$Q$101,3*(AG$6-1)+AG$7)</f>
        <v>12.5261781471817</v>
      </c>
      <c r="AH60" s="91" t="n">
        <f aca="false">INDEX(Perf_Batch!$C$101:$Q$101,3*(AH$6-1)+AH$7)</f>
        <v>38.1205065142857</v>
      </c>
    </row>
    <row r="61" customFormat="false" ht="15" hidden="false" customHeight="false" outlineLevel="0" collapsed="false">
      <c r="A61" s="54" t="s">
        <v>991</v>
      </c>
      <c r="B61" s="54" t="s">
        <v>448</v>
      </c>
      <c r="C61" s="91" t="n">
        <f aca="false">INDEX(Perf_Batch!$C$65:$Q$65,3*(C$6-1)+C$7)</f>
        <v>133.311744712704</v>
      </c>
      <c r="D61" s="91" t="n">
        <f aca="false">INDEX(Perf_Batch!$C$65:$Q$65,3*(D$6-1)+D$7)</f>
        <v>521.0612736</v>
      </c>
      <c r="E61" s="91" t="n">
        <f aca="false">INDEX(Perf_Batch!$C$65:$Q$65,3*(E$6-1)+E$7)</f>
        <v>133.311744712704</v>
      </c>
      <c r="F61" s="91" t="n">
        <f aca="false">INDEX(Perf_Batch!$C$65:$Q$65,3*(F$6-1)+F$7)</f>
        <v>521.0612736</v>
      </c>
      <c r="G61" s="91" t="n">
        <f aca="false">INDEX(Perf_Batch!$C$65:$Q$65,3*(G$6-1)+G$7)</f>
        <v>133.311744712704</v>
      </c>
      <c r="H61" s="91" t="n">
        <f aca="false">INDEX(Perf_Batch!$C$65:$Q$65,3*(H$6-1)+H$7)</f>
        <v>521.0612736</v>
      </c>
      <c r="I61" s="91" t="n">
        <f aca="false">INDEX(Perf_Batch!$C$65:$Q$65,3*(I$6-1)+I$7)</f>
        <v>133.311744712704</v>
      </c>
      <c r="J61" s="91" t="n">
        <f aca="false">INDEX(Perf_Batch!$C$65:$Q$65,3*(J$6-1)+J$7)</f>
        <v>521.0612736</v>
      </c>
      <c r="K61" s="91" t="n">
        <f aca="false">INDEX(Perf_Batch!$C$65:$Q$65,3*(K$6-1)+K$7)</f>
        <v>133.311744712704</v>
      </c>
      <c r="L61" s="91" t="n">
        <f aca="false">INDEX(Perf_Batch!$C$65:$Q$65,3*(L$6-1)+L$7)</f>
        <v>521.0612736</v>
      </c>
      <c r="M61" s="91" t="n">
        <f aca="false">INDEX(Perf_Batch!$C$65:$Q$65,3*(M$6-1)+M$7)</f>
        <v>133.311744712704</v>
      </c>
      <c r="N61" s="91" t="n">
        <f aca="false">INDEX(Perf_Batch!$C$65:$Q$65,3*(N$6-1)+N$7)</f>
        <v>521.0612736</v>
      </c>
      <c r="O61" s="91" t="n">
        <f aca="false">INDEX(Perf_Batch!$C$65:$Q$65,3*(O$6-1)+O$7)</f>
        <v>133.311744712704</v>
      </c>
      <c r="P61" s="91" t="n">
        <f aca="false">INDEX(Perf_Batch!$C$65:$Q$65,3*(P$6-1)+P$7)</f>
        <v>521.0612736</v>
      </c>
      <c r="Q61" s="91" t="n">
        <f aca="false">INDEX(Perf_Batch!$C$65:$Q$65,3*(Q$6-1)+Q$7)</f>
        <v>133.311744712704</v>
      </c>
      <c r="R61" s="91" t="n">
        <f aca="false">INDEX(Perf_Batch!$C$65:$Q$65,3*(R$6-1)+R$7)</f>
        <v>521.0612736</v>
      </c>
      <c r="S61" s="91" t="n">
        <f aca="false">INDEX(Perf_Batch!$C$65:$Q$65,3*(S$6-1)+S$7)</f>
        <v>133.311744712704</v>
      </c>
      <c r="T61" s="91" t="n">
        <f aca="false">INDEX(Perf_Batch!$C$65:$Q$65,3*(T$6-1)+T$7)</f>
        <v>521.0612736</v>
      </c>
      <c r="U61" s="91" t="n">
        <f aca="false">INDEX(Perf_Batch!$C$65:$Q$65,3*(U$6-1)+U$7)</f>
        <v>133.311744712704</v>
      </c>
      <c r="V61" s="91" t="n">
        <f aca="false">INDEX(Perf_Batch!$C$65:$Q$65,3*(V$6-1)+V$7)</f>
        <v>521.0612736</v>
      </c>
      <c r="W61" s="139" t="n">
        <f aca="false">Perf_Batch!R65</f>
        <v>133.311744712704</v>
      </c>
      <c r="X61" s="139" t="n">
        <f aca="false">Perf_Batch!S65</f>
        <v>521.0612736</v>
      </c>
      <c r="Y61" s="91" t="n">
        <f aca="false">INDEX(Perf_Batch!$C$65:$Q$65,3*(Y$6-1)+Y$7)</f>
        <v>133.311744712704</v>
      </c>
      <c r="Z61" s="91" t="n">
        <f aca="false">INDEX(Perf_Batch!$C$65:$Q$65,3*(Z$6-1)+Z$7)</f>
        <v>521.0612736</v>
      </c>
      <c r="AA61" s="91" t="n">
        <f aca="false">INDEX(Perf_Batch!$C$65:$Q$65,3*(AA$6-1)+AA$7)</f>
        <v>133.311744712704</v>
      </c>
      <c r="AB61" s="91" t="n">
        <f aca="false">INDEX(Perf_Batch!$C$65:$Q$65,3*(AB$6-1)+AB$7)</f>
        <v>521.0612736</v>
      </c>
      <c r="AC61" s="91" t="n">
        <f aca="false">INDEX(Perf_Batch!$C$65:$Q$65,3*(AC$6-1)+AC$7)</f>
        <v>133.311744712704</v>
      </c>
      <c r="AD61" s="91" t="n">
        <f aca="false">INDEX(Perf_Batch!$C$65:$Q$65,3*(AD$6-1)+AD$7)</f>
        <v>521.0612736</v>
      </c>
      <c r="AE61" s="91" t="n">
        <f aca="false">INDEX(Perf_Batch!$C$65:$Q$65,3*(AE$6-1)+AE$7)</f>
        <v>133.311744712704</v>
      </c>
      <c r="AF61" s="91" t="n">
        <f aca="false">INDEX(Perf_Batch!$C$65:$Q$65,3*(AF$6-1)+AF$7)</f>
        <v>521.0612736</v>
      </c>
      <c r="AG61" s="91" t="n">
        <f aca="false">INDEX(Perf_Batch!$C$65:$Q$65,3*(AG$6-1)+AG$7)</f>
        <v>133.311744712704</v>
      </c>
      <c r="AH61" s="91" t="n">
        <f aca="false">INDEX(Perf_Batch!$C$65:$Q$65,3*(AH$6-1)+AH$7)</f>
        <v>521.0612736</v>
      </c>
    </row>
    <row r="62" customFormat="false" ht="15" hidden="false" customHeight="false" outlineLevel="0" collapsed="false">
      <c r="A62" s="54" t="s">
        <v>992</v>
      </c>
      <c r="B62" s="54" t="s">
        <v>448</v>
      </c>
      <c r="C62" s="91" t="n">
        <f aca="false">INDEX(Perf_Batch!$C$67:$Q$67,3*(C$6-1)+C$7)</f>
        <v>131.524870545408</v>
      </c>
      <c r="D62" s="91" t="n">
        <f aca="false">INDEX(Perf_Batch!$C$67:$Q$67,3*(D$6-1)+D$7)</f>
        <v>400.2653184</v>
      </c>
      <c r="E62" s="91" t="n">
        <f aca="false">INDEX(Perf_Batch!$C$67:$Q$67,3*(E$6-1)+E$7)</f>
        <v>131.524870545408</v>
      </c>
      <c r="F62" s="91" t="n">
        <f aca="false">INDEX(Perf_Batch!$C$67:$Q$67,3*(F$6-1)+F$7)</f>
        <v>400.2653184</v>
      </c>
      <c r="G62" s="91" t="n">
        <f aca="false">INDEX(Perf_Batch!$C$67:$Q$67,3*(G$6-1)+G$7)</f>
        <v>131.524870545408</v>
      </c>
      <c r="H62" s="91" t="n">
        <f aca="false">INDEX(Perf_Batch!$C$67:$Q$67,3*(H$6-1)+H$7)</f>
        <v>400.2653184</v>
      </c>
      <c r="I62" s="91" t="n">
        <f aca="false">INDEX(Perf_Batch!$C$67:$Q$67,3*(I$6-1)+I$7)</f>
        <v>131.524870545408</v>
      </c>
      <c r="J62" s="91" t="n">
        <f aca="false">INDEX(Perf_Batch!$C$67:$Q$67,3*(J$6-1)+J$7)</f>
        <v>400.2653184</v>
      </c>
      <c r="K62" s="91" t="n">
        <f aca="false">INDEX(Perf_Batch!$C$67:$Q$67,3*(K$6-1)+K$7)</f>
        <v>131.524870545408</v>
      </c>
      <c r="L62" s="91" t="n">
        <f aca="false">INDEX(Perf_Batch!$C$67:$Q$67,3*(L$6-1)+L$7)</f>
        <v>400.2653184</v>
      </c>
      <c r="M62" s="91" t="n">
        <f aca="false">INDEX(Perf_Batch!$C$67:$Q$67,3*(M$6-1)+M$7)</f>
        <v>131.524870545408</v>
      </c>
      <c r="N62" s="91" t="n">
        <f aca="false">INDEX(Perf_Batch!$C$67:$Q$67,3*(N$6-1)+N$7)</f>
        <v>400.2653184</v>
      </c>
      <c r="O62" s="91" t="n">
        <f aca="false">INDEX(Perf_Batch!$C$67:$Q$67,3*(O$6-1)+O$7)</f>
        <v>131.524870545408</v>
      </c>
      <c r="P62" s="91" t="n">
        <f aca="false">INDEX(Perf_Batch!$C$67:$Q$67,3*(P$6-1)+P$7)</f>
        <v>400.2653184</v>
      </c>
      <c r="Q62" s="91" t="n">
        <f aca="false">INDEX(Perf_Batch!$C$67:$Q$67,3*(Q$6-1)+Q$7)</f>
        <v>131.524870545408</v>
      </c>
      <c r="R62" s="91" t="n">
        <f aca="false">INDEX(Perf_Batch!$C$67:$Q$67,3*(R$6-1)+R$7)</f>
        <v>400.2653184</v>
      </c>
      <c r="S62" s="91" t="n">
        <f aca="false">INDEX(Perf_Batch!$C$67:$Q$67,3*(S$6-1)+S$7)</f>
        <v>131.524870545408</v>
      </c>
      <c r="T62" s="91" t="n">
        <f aca="false">INDEX(Perf_Batch!$C$67:$Q$67,3*(T$6-1)+T$7)</f>
        <v>400.2653184</v>
      </c>
      <c r="U62" s="91" t="n">
        <f aca="false">INDEX(Perf_Batch!$C$67:$Q$67,3*(U$6-1)+U$7)</f>
        <v>131.524870545408</v>
      </c>
      <c r="V62" s="91" t="n">
        <f aca="false">INDEX(Perf_Batch!$C$67:$Q$67,3*(V$6-1)+V$7)</f>
        <v>400.2653184</v>
      </c>
      <c r="W62" s="139" t="n">
        <f aca="false">Perf_Batch!R67</f>
        <v>131.524870545408</v>
      </c>
      <c r="X62" s="139" t="n">
        <f aca="false">Perf_Batch!S67</f>
        <v>400.2653184</v>
      </c>
      <c r="Y62" s="91" t="n">
        <f aca="false">INDEX(Perf_Batch!$C$67:$Q$67,3*(Y$6-1)+Y$7)</f>
        <v>131.524870545408</v>
      </c>
      <c r="Z62" s="91" t="n">
        <f aca="false">INDEX(Perf_Batch!$C$67:$Q$67,3*(Z$6-1)+Z$7)</f>
        <v>400.2653184</v>
      </c>
      <c r="AA62" s="91" t="n">
        <f aca="false">INDEX(Perf_Batch!$C$67:$Q$67,3*(AA$6-1)+AA$7)</f>
        <v>131.524870545408</v>
      </c>
      <c r="AB62" s="91" t="n">
        <f aca="false">INDEX(Perf_Batch!$C$67:$Q$67,3*(AB$6-1)+AB$7)</f>
        <v>400.2653184</v>
      </c>
      <c r="AC62" s="91" t="n">
        <f aca="false">INDEX(Perf_Batch!$C$67:$Q$67,3*(AC$6-1)+AC$7)</f>
        <v>131.524870545408</v>
      </c>
      <c r="AD62" s="91" t="n">
        <f aca="false">INDEX(Perf_Batch!$C$67:$Q$67,3*(AD$6-1)+AD$7)</f>
        <v>400.2653184</v>
      </c>
      <c r="AE62" s="91" t="n">
        <f aca="false">INDEX(Perf_Batch!$C$67:$Q$67,3*(AE$6-1)+AE$7)</f>
        <v>131.524870545408</v>
      </c>
      <c r="AF62" s="91" t="n">
        <f aca="false">INDEX(Perf_Batch!$C$67:$Q$67,3*(AF$6-1)+AF$7)</f>
        <v>400.2653184</v>
      </c>
      <c r="AG62" s="91" t="n">
        <f aca="false">INDEX(Perf_Batch!$C$67:$Q$67,3*(AG$6-1)+AG$7)</f>
        <v>131.524870545408</v>
      </c>
      <c r="AH62" s="91" t="n">
        <f aca="false">INDEX(Perf_Batch!$C$67:$Q$67,3*(AH$6-1)+AH$7)</f>
        <v>400.2653184</v>
      </c>
    </row>
    <row r="63" customFormat="false" ht="15" hidden="false" customHeight="false" outlineLevel="0" collapsed="false">
      <c r="A63" s="54" t="s">
        <v>993</v>
      </c>
      <c r="B63" s="54" t="s">
        <v>75</v>
      </c>
      <c r="C63" s="90" t="n">
        <f aca="false">Tech_Registry!$E$28</f>
        <v>1</v>
      </c>
      <c r="D63" s="90" t="n">
        <f aca="false">Tech_Registry!$E$28</f>
        <v>1</v>
      </c>
      <c r="E63" s="90" t="n">
        <f aca="false">Tech_Registry!$E$28</f>
        <v>1</v>
      </c>
      <c r="F63" s="90" t="n">
        <f aca="false">Tech_Registry!$E$28</f>
        <v>1</v>
      </c>
      <c r="G63" s="90" t="n">
        <f aca="false">Tech_Registry!$E$28</f>
        <v>1</v>
      </c>
      <c r="H63" s="90" t="n">
        <f aca="false">Tech_Registry!$E$28</f>
        <v>1</v>
      </c>
      <c r="I63" s="90" t="n">
        <f aca="false">Tech_Registry!$E$28</f>
        <v>1</v>
      </c>
      <c r="J63" s="90" t="n">
        <f aca="false">Tech_Registry!$E$28</f>
        <v>1</v>
      </c>
      <c r="K63" s="90" t="n">
        <f aca="false">Tech_Registry!$E$28</f>
        <v>1</v>
      </c>
      <c r="L63" s="90" t="n">
        <f aca="false">Tech_Registry!$E$28</f>
        <v>1</v>
      </c>
      <c r="M63" s="90" t="n">
        <f aca="false">Tech_Registry!$E$28</f>
        <v>1</v>
      </c>
      <c r="N63" s="90" t="n">
        <f aca="false">Tech_Registry!$E$28</f>
        <v>1</v>
      </c>
      <c r="O63" s="90" t="n">
        <f aca="false">Tech_Registry!$E$28</f>
        <v>1</v>
      </c>
      <c r="P63" s="90" t="n">
        <f aca="false">Tech_Registry!$E$28</f>
        <v>1</v>
      </c>
      <c r="Q63" s="90" t="n">
        <f aca="false">Tech_Registry!$E$28</f>
        <v>1</v>
      </c>
      <c r="R63" s="90" t="n">
        <f aca="false">Tech_Registry!$E$28</f>
        <v>1</v>
      </c>
      <c r="S63" s="90" t="n">
        <f aca="false">Tech_Registry!$E$28</f>
        <v>1</v>
      </c>
      <c r="T63" s="90" t="n">
        <f aca="false">Tech_Registry!$E$28</f>
        <v>1</v>
      </c>
      <c r="U63" s="90" t="n">
        <f aca="false">Tech_Registry!$E$28</f>
        <v>1</v>
      </c>
      <c r="V63" s="90" t="n">
        <f aca="false">Tech_Registry!$E$28</f>
        <v>1</v>
      </c>
      <c r="W63" s="90" t="n">
        <f aca="false">Tech_Registry!$E$28</f>
        <v>1</v>
      </c>
      <c r="X63" s="90" t="n">
        <f aca="false">Tech_Registry!$E$28</f>
        <v>1</v>
      </c>
      <c r="Y63" s="90" t="n">
        <f aca="false">Tech_Registry!$E$28</f>
        <v>1</v>
      </c>
      <c r="Z63" s="90" t="n">
        <f aca="false">Tech_Registry!$E$28</f>
        <v>1</v>
      </c>
      <c r="AA63" s="90" t="n">
        <f aca="false">Tech_Registry!$E$28</f>
        <v>1</v>
      </c>
      <c r="AB63" s="90" t="n">
        <f aca="false">Tech_Registry!$E$28</f>
        <v>1</v>
      </c>
      <c r="AC63" s="90" t="n">
        <f aca="false">Tech_Registry!$E$28</f>
        <v>1</v>
      </c>
      <c r="AD63" s="90" t="n">
        <f aca="false">Tech_Registry!$E$28</f>
        <v>1</v>
      </c>
      <c r="AE63" s="90" t="n">
        <f aca="false">Tech_Registry!$E$28</f>
        <v>1</v>
      </c>
      <c r="AF63" s="90" t="n">
        <f aca="false">Tech_Registry!$E$28</f>
        <v>1</v>
      </c>
      <c r="AG63" s="90" t="n">
        <f aca="false">Tech_Registry!$E$28</f>
        <v>1</v>
      </c>
      <c r="AH63" s="90" t="n">
        <f aca="false">Tech_Registry!$E$28</f>
        <v>1</v>
      </c>
    </row>
    <row r="64" customFormat="false" ht="15" hidden="false" customHeight="false" outlineLevel="0" collapsed="false">
      <c r="A64" s="54" t="s">
        <v>994</v>
      </c>
      <c r="B64" s="54" t="s">
        <v>71</v>
      </c>
      <c r="C64" s="57" t="n">
        <f aca="false">Train_In!$C$11*C63</f>
        <v>0.85</v>
      </c>
      <c r="D64" s="57" t="n">
        <f aca="false">Train_In!$C$11*D63</f>
        <v>0.85</v>
      </c>
      <c r="E64" s="57" t="n">
        <f aca="false">Train_In!$C$11*E63</f>
        <v>0.85</v>
      </c>
      <c r="F64" s="57" t="n">
        <f aca="false">Train_In!$C$11*F63</f>
        <v>0.85</v>
      </c>
      <c r="G64" s="57" t="n">
        <f aca="false">Train_In!$C$11*G63</f>
        <v>0.85</v>
      </c>
      <c r="H64" s="57" t="n">
        <f aca="false">Train_In!$C$11*H63</f>
        <v>0.85</v>
      </c>
      <c r="I64" s="57" t="n">
        <f aca="false">Train_In!$C$11*I63</f>
        <v>0.85</v>
      </c>
      <c r="J64" s="57" t="n">
        <f aca="false">Train_In!$C$11*J63</f>
        <v>0.85</v>
      </c>
      <c r="K64" s="57" t="n">
        <f aca="false">Train_In!$C$11*K63</f>
        <v>0.85</v>
      </c>
      <c r="L64" s="57" t="n">
        <f aca="false">Train_In!$C$11*L63</f>
        <v>0.85</v>
      </c>
      <c r="M64" s="57" t="n">
        <f aca="false">Train_In!$C$11*M63</f>
        <v>0.85</v>
      </c>
      <c r="N64" s="57" t="n">
        <f aca="false">Train_In!$C$11*N63</f>
        <v>0.85</v>
      </c>
      <c r="O64" s="57" t="n">
        <f aca="false">Train_In!$C$11*O63</f>
        <v>0.85</v>
      </c>
      <c r="P64" s="57" t="n">
        <f aca="false">Train_In!$C$11*P63</f>
        <v>0.85</v>
      </c>
      <c r="Q64" s="57" t="n">
        <f aca="false">Train_In!$C$11*Q63</f>
        <v>0.85</v>
      </c>
      <c r="R64" s="57" t="n">
        <f aca="false">Train_In!$C$11*R63</f>
        <v>0.85</v>
      </c>
      <c r="S64" s="72" t="n">
        <v>0.6</v>
      </c>
      <c r="T64" s="72" t="n">
        <v>0.6</v>
      </c>
      <c r="U64" s="72" t="n">
        <v>0.95</v>
      </c>
      <c r="V64" s="72" t="n">
        <v>0.95</v>
      </c>
      <c r="W64" s="57" t="n">
        <f aca="false">Train_In!$C$11*W63</f>
        <v>0.85</v>
      </c>
      <c r="X64" s="57" t="n">
        <f aca="false">Train_In!$C$11*X63</f>
        <v>0.85</v>
      </c>
      <c r="Y64" s="57" t="n">
        <f aca="false">Train_In!$C$11*Y63</f>
        <v>0.85</v>
      </c>
      <c r="Z64" s="57" t="n">
        <f aca="false">Train_In!$C$11*Z63</f>
        <v>0.85</v>
      </c>
      <c r="AA64" s="57" t="n">
        <f aca="false">Train_In!$C$11*AA63</f>
        <v>0.85</v>
      </c>
      <c r="AB64" s="57" t="n">
        <f aca="false">Train_In!$C$11*AB63</f>
        <v>0.85</v>
      </c>
      <c r="AC64" s="57" t="n">
        <f aca="false">Train_In!$C$11*AC63</f>
        <v>0.85</v>
      </c>
      <c r="AD64" s="57" t="n">
        <f aca="false">Train_In!$C$11*AD63</f>
        <v>0.85</v>
      </c>
      <c r="AE64" s="57" t="n">
        <f aca="false">Train_In!$C$11*AE63</f>
        <v>0.85</v>
      </c>
      <c r="AF64" s="57" t="n">
        <f aca="false">Train_In!$C$11*AF63</f>
        <v>0.85</v>
      </c>
      <c r="AG64" s="57" t="n">
        <f aca="false">Train_In!$C$11*AG63</f>
        <v>0.85</v>
      </c>
      <c r="AH64" s="57" t="n">
        <f aca="false">Train_In!$C$11*AH63</f>
        <v>0.85</v>
      </c>
    </row>
    <row r="65" customFormat="false" ht="15" hidden="false" customHeight="false" outlineLevel="0" collapsed="false">
      <c r="A65" s="54" t="s">
        <v>995</v>
      </c>
      <c r="B65" s="54" t="s">
        <v>972</v>
      </c>
      <c r="C65" s="60" t="n">
        <f aca="false">(C53*1000000*C59+C58*1000000*C60)/3600/C64</f>
        <v>144250.356324291</v>
      </c>
      <c r="D65" s="60" t="n">
        <f aca="false">(D53*1000000*D59+D58*1000000*D60)/3600/D64</f>
        <v>2499943.50072969</v>
      </c>
      <c r="E65" s="60" t="n">
        <f aca="false">(E53*1000000*E59+E58*1000000*E60)/3600/E64</f>
        <v>144250.356324291</v>
      </c>
      <c r="F65" s="60" t="n">
        <f aca="false">(F53*1000000*F59+F58*1000000*F60)/3600/F64</f>
        <v>2499943.50072969</v>
      </c>
      <c r="G65" s="60" t="n">
        <f aca="false">(G53*1000000*G59+G58*1000000*G60)/3600/G64</f>
        <v>144250.356324291</v>
      </c>
      <c r="H65" s="60" t="n">
        <f aca="false">(H53*1000000*H59+H58*1000000*H60)/3600/H64</f>
        <v>2499943.50072969</v>
      </c>
      <c r="I65" s="60" t="n">
        <f aca="false">(I53*1000000*I59+I58*1000000*I60)/3600/I64</f>
        <v>144250.356324291</v>
      </c>
      <c r="J65" s="60" t="n">
        <f aca="false">(J53*1000000*J59+J58*1000000*J60)/3600/J64</f>
        <v>2499943.50072969</v>
      </c>
      <c r="K65" s="60" t="n">
        <f aca="false">(K53*1000000*K59+K58*1000000*K60)/3600/K64</f>
        <v>144250.356324291</v>
      </c>
      <c r="L65" s="60" t="n">
        <f aca="false">(L53*1000000*L59+L58*1000000*L60)/3600/L64</f>
        <v>2499943.50072969</v>
      </c>
      <c r="M65" s="60" t="n">
        <f aca="false">(M53*1000000*M59+M58*1000000*M60)/3600/M64</f>
        <v>144250.356324291</v>
      </c>
      <c r="N65" s="60" t="n">
        <f aca="false">(N53*1000000*N59+N58*1000000*N60)/3600/N64</f>
        <v>2499943.50072969</v>
      </c>
      <c r="O65" s="60" t="n">
        <f aca="false">(O53*1000000*O59+O58*1000000*O60)/3600/O64</f>
        <v>43275.1068972872</v>
      </c>
      <c r="P65" s="60" t="n">
        <f aca="false">(P53*1000000*P59+P58*1000000*P60)/3600/P64</f>
        <v>749983.050218908</v>
      </c>
      <c r="Q65" s="60" t="n">
        <f aca="false">(Q53*1000000*Q59+Q58*1000000*Q60)/3600/Q64</f>
        <v>432751.068972872</v>
      </c>
      <c r="R65" s="60" t="n">
        <f aca="false">(R53*1000000*R59+R58*1000000*R60)/3600/R64</f>
        <v>7499830.50218908</v>
      </c>
      <c r="S65" s="60" t="n">
        <f aca="false">(S53*1000000*S59+S58*1000000*S60)/3600/S64</f>
        <v>204354.671459412</v>
      </c>
      <c r="T65" s="60" t="n">
        <f aca="false">(T53*1000000*T59+T58*1000000*T60)/3600/T64</f>
        <v>3541586.62603373</v>
      </c>
      <c r="U65" s="60" t="n">
        <f aca="false">(U53*1000000*U59+U58*1000000*U60)/3600/U64</f>
        <v>129066.108290155</v>
      </c>
      <c r="V65" s="60" t="n">
        <f aca="false">(V53*1000000*V59+V58*1000000*V60)/3600/V64</f>
        <v>2236791.55328446</v>
      </c>
      <c r="W65" s="60" t="n">
        <f aca="false">(W53*1000000*W59+W58*1000000*W60)/3600/W64</f>
        <v>290998.167186332</v>
      </c>
      <c r="X65" s="60" t="n">
        <f aca="false">(X53*1000000*X59+X58*1000000*X60)/3600/X64</f>
        <v>5069926.93360148</v>
      </c>
      <c r="Y65" s="60" t="n">
        <f aca="false">(Y53*1000000*Y59+Y58*1000000*Y60)/3600/Y64</f>
        <v>144250.356324291</v>
      </c>
      <c r="Z65" s="60" t="n">
        <f aca="false">(Z53*1000000*Z59+Z58*1000000*Z60)/3600/Z64</f>
        <v>2499943.50072969</v>
      </c>
      <c r="AA65" s="60" t="n">
        <f aca="false">(AA53*1000000*AA59+AA58*1000000*AA60)/3600/AA64</f>
        <v>144250.356324291</v>
      </c>
      <c r="AB65" s="60" t="n">
        <f aca="false">(AB53*1000000*AB59+AB58*1000000*AB60)/3600/AB64</f>
        <v>2499943.50072969</v>
      </c>
      <c r="AC65" s="60" t="n">
        <f aca="false">(AC53*1000000*AC59+AC58*1000000*AC60)/3600/AC64</f>
        <v>144250.356324291</v>
      </c>
      <c r="AD65" s="60" t="n">
        <f aca="false">(AD53*1000000*AD59+AD58*1000000*AD60)/3600/AD64</f>
        <v>2499943.50072969</v>
      </c>
      <c r="AE65" s="60" t="n">
        <f aca="false">(AE53*1000000*AE59+AE58*1000000*AE60)/3600/AE64</f>
        <v>144250.356324291</v>
      </c>
      <c r="AF65" s="60" t="n">
        <f aca="false">(AF53*1000000*AF59+AF58*1000000*AF60)/3600/AF64</f>
        <v>2499943.50072969</v>
      </c>
      <c r="AG65" s="60" t="n">
        <f aca="false">(AG53*1000000*AG59+AG58*1000000*AG60)/3600/AG64</f>
        <v>144250.356324291</v>
      </c>
      <c r="AH65" s="60" t="n">
        <f aca="false">(AH53*1000000*AH59+AH58*1000000*AH60)/3600/AH64</f>
        <v>2499943.50072969</v>
      </c>
    </row>
    <row r="66" customFormat="false" ht="15" hidden="false" customHeight="false" outlineLevel="0" collapsed="false">
      <c r="A66" s="54" t="s">
        <v>996</v>
      </c>
      <c r="B66" s="54" t="s">
        <v>272</v>
      </c>
      <c r="C66" s="137" t="n">
        <f aca="false">C53*1000000000000*C61*1000000000+C58*1000000000000*C62*1000000000</f>
        <v>3.24315676724705E+023</v>
      </c>
      <c r="D66" s="137" t="n">
        <f aca="false">D53*1000000000000*D61*1000000000+D58*1000000000000*D62*1000000000</f>
        <v>5.12226782208E+024</v>
      </c>
      <c r="E66" s="137" t="n">
        <f aca="false">E53*1000000000000*E61*1000000000+E58*1000000000000*E62*1000000000</f>
        <v>3.24315676724705E+023</v>
      </c>
      <c r="F66" s="137" t="n">
        <f aca="false">F53*1000000000000*F61*1000000000+F58*1000000000000*F62*1000000000</f>
        <v>5.12226782208E+024</v>
      </c>
      <c r="G66" s="137" t="n">
        <f aca="false">G53*1000000000000*G61*1000000000+G58*1000000000000*G62*1000000000</f>
        <v>3.24315676724705E+023</v>
      </c>
      <c r="H66" s="137" t="n">
        <f aca="false">H53*1000000000000*H61*1000000000+H58*1000000000000*H62*1000000000</f>
        <v>5.12226782208E+024</v>
      </c>
      <c r="I66" s="137" t="n">
        <f aca="false">I53*1000000000000*I61*1000000000+I58*1000000000000*I62*1000000000</f>
        <v>3.24315676724705E+023</v>
      </c>
      <c r="J66" s="137" t="n">
        <f aca="false">J53*1000000000000*J61*1000000000+J58*1000000000000*J62*1000000000</f>
        <v>5.12226782208E+024</v>
      </c>
      <c r="K66" s="137" t="n">
        <f aca="false">K53*1000000000000*K61*1000000000+K58*1000000000000*K62*1000000000</f>
        <v>3.24315676724705E+023</v>
      </c>
      <c r="L66" s="137" t="n">
        <f aca="false">L53*1000000000000*L61*1000000000+L58*1000000000000*L62*1000000000</f>
        <v>5.12226782208E+024</v>
      </c>
      <c r="M66" s="137" t="n">
        <f aca="false">M53*1000000000000*M61*1000000000+M58*1000000000000*M62*1000000000</f>
        <v>3.24315676724705E+023</v>
      </c>
      <c r="N66" s="137" t="n">
        <f aca="false">N53*1000000000000*N61*1000000000+N58*1000000000000*N62*1000000000</f>
        <v>5.12226782208E+024</v>
      </c>
      <c r="O66" s="137" t="n">
        <f aca="false">O53*1000000000000*O61*1000000000+O58*1000000000000*O62*1000000000</f>
        <v>9.72947030174116E+022</v>
      </c>
      <c r="P66" s="137" t="n">
        <f aca="false">P53*1000000000000*P61*1000000000+P58*1000000000000*P62*1000000000</f>
        <v>1.536680346624E+024</v>
      </c>
      <c r="Q66" s="137" t="n">
        <f aca="false">Q53*1000000000000*Q61*1000000000+Q58*1000000000000*Q62*1000000000</f>
        <v>9.72947030174116E+023</v>
      </c>
      <c r="R66" s="137" t="n">
        <f aca="false">R53*1000000000000*R61*1000000000+R58*1000000000000*R62*1000000000</f>
        <v>1.536680346624E+025</v>
      </c>
      <c r="S66" s="137" t="n">
        <f aca="false">S53*1000000000000*S61*1000000000+S58*1000000000000*S62*1000000000</f>
        <v>3.24315676724705E+023</v>
      </c>
      <c r="T66" s="137" t="n">
        <f aca="false">T53*1000000000000*T61*1000000000+T58*1000000000000*T62*1000000000</f>
        <v>5.12226782208E+024</v>
      </c>
      <c r="U66" s="137" t="n">
        <f aca="false">U53*1000000000000*U61*1000000000+U58*1000000000000*U62*1000000000</f>
        <v>3.24315676724705E+023</v>
      </c>
      <c r="V66" s="137" t="n">
        <f aca="false">V53*1000000000000*V61*1000000000+V58*1000000000000*V62*1000000000</f>
        <v>5.12226782208E+024</v>
      </c>
      <c r="W66" s="137" t="n">
        <f aca="false">W53*1000000000000*W61*1000000000+W58*1000000000000*W62*1000000000</f>
        <v>3.24315676724705E+023</v>
      </c>
      <c r="X66" s="137" t="n">
        <f aca="false">X53*1000000000000*X61*1000000000+X58*1000000000000*X62*1000000000</f>
        <v>5.12226782208E+024</v>
      </c>
      <c r="Y66" s="137" t="n">
        <f aca="false">Y53*1000000000000*Y61*1000000000+Y58*1000000000000*Y62*1000000000</f>
        <v>3.24315676724705E+023</v>
      </c>
      <c r="Z66" s="137" t="n">
        <f aca="false">Z53*1000000000000*Z61*1000000000+Z58*1000000000000*Z62*1000000000</f>
        <v>5.12226782208E+024</v>
      </c>
      <c r="AA66" s="137" t="n">
        <f aca="false">AA53*1000000000000*AA61*1000000000+AA58*1000000000000*AA62*1000000000</f>
        <v>3.24315676724705E+023</v>
      </c>
      <c r="AB66" s="137" t="n">
        <f aca="false">AB53*1000000000000*AB61*1000000000+AB58*1000000000000*AB62*1000000000</f>
        <v>5.12226782208E+024</v>
      </c>
      <c r="AC66" s="137" t="n">
        <f aca="false">AC53*1000000000000*AC61*1000000000+AC58*1000000000000*AC62*1000000000</f>
        <v>3.24315676724705E+023</v>
      </c>
      <c r="AD66" s="137" t="n">
        <f aca="false">AD53*1000000000000*AD61*1000000000+AD58*1000000000000*AD62*1000000000</f>
        <v>5.12226782208E+024</v>
      </c>
      <c r="AE66" s="137" t="n">
        <f aca="false">AE53*1000000000000*AE61*1000000000+AE58*1000000000000*AE62*1000000000</f>
        <v>3.24315676724705E+023</v>
      </c>
      <c r="AF66" s="137" t="n">
        <f aca="false">AF53*1000000000000*AF61*1000000000+AF58*1000000000000*AF62*1000000000</f>
        <v>5.12226782208E+024</v>
      </c>
      <c r="AG66" s="137" t="n">
        <f aca="false">AG53*1000000000000*AG61*1000000000+AG58*1000000000000*AG62*1000000000</f>
        <v>3.24315676724705E+023</v>
      </c>
      <c r="AH66" s="137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54" t="s">
        <v>997</v>
      </c>
      <c r="B67" s="54" t="s">
        <v>904</v>
      </c>
      <c r="C67" s="67" t="n">
        <f aca="false">C56*(C54+C55)/1000000000000</f>
        <v>3.54</v>
      </c>
      <c r="D67" s="67" t="n">
        <f aca="false">D56*(D54+D55)/1000000000000</f>
        <v>14.4</v>
      </c>
      <c r="E67" s="67" t="n">
        <f aca="false">E56*(E54+E55)/1000000000000</f>
        <v>3.54</v>
      </c>
      <c r="F67" s="67" t="n">
        <f aca="false">F56*(F54+F55)/1000000000000</f>
        <v>14.4</v>
      </c>
      <c r="G67" s="67" t="n">
        <f aca="false">G56*(G54+G55)/1000000000000</f>
        <v>3.54</v>
      </c>
      <c r="H67" s="67" t="n">
        <f aca="false">H56*(H54+H55)/1000000000000</f>
        <v>14.4</v>
      </c>
      <c r="I67" s="67" t="n">
        <f aca="false">I56*(I54+I55)/1000000000000</f>
        <v>3.54</v>
      </c>
      <c r="J67" s="67" t="n">
        <f aca="false">J56*(J54+J55)/1000000000000</f>
        <v>14.4</v>
      </c>
      <c r="K67" s="67" t="n">
        <f aca="false">K56*(K54+K55)/1000000000000</f>
        <v>3.54</v>
      </c>
      <c r="L67" s="67" t="n">
        <f aca="false">L56*(L54+L55)/1000000000000</f>
        <v>14.4</v>
      </c>
      <c r="M67" s="67" t="n">
        <f aca="false">M56*(M54+M55)/1000000000000</f>
        <v>3.54</v>
      </c>
      <c r="N67" s="67" t="n">
        <f aca="false">N56*(N54+N55)/1000000000000</f>
        <v>14.4</v>
      </c>
      <c r="O67" s="67" t="n">
        <f aca="false">O56*(O54+O55)/1000000000000</f>
        <v>1.062</v>
      </c>
      <c r="P67" s="67" t="n">
        <f aca="false">P56*(P54+P55)/1000000000000</f>
        <v>4.32</v>
      </c>
      <c r="Q67" s="67" t="n">
        <f aca="false">Q56*(Q54+Q55)/1000000000000</f>
        <v>10.62</v>
      </c>
      <c r="R67" s="67" t="n">
        <f aca="false">R56*(R54+R55)/1000000000000</f>
        <v>43.2</v>
      </c>
      <c r="S67" s="67" t="n">
        <f aca="false">S56*(S54+S55)/1000000000000</f>
        <v>3.54</v>
      </c>
      <c r="T67" s="67" t="n">
        <f aca="false">T56*(T54+T55)/1000000000000</f>
        <v>14.4</v>
      </c>
      <c r="U67" s="67" t="n">
        <f aca="false">U56*(U54+U55)/1000000000000</f>
        <v>3.54</v>
      </c>
      <c r="V67" s="67" t="n">
        <f aca="false">V56*(V54+V55)/1000000000000</f>
        <v>14.4</v>
      </c>
      <c r="W67" s="67" t="n">
        <f aca="false">W56*(W54+W55)/1000000000000</f>
        <v>3.54</v>
      </c>
      <c r="X67" s="67" t="n">
        <f aca="false">X56*(X54+X55)/1000000000000</f>
        <v>14.4</v>
      </c>
      <c r="Y67" s="67" t="n">
        <f aca="false">Y56*(Y54+Y55)/1000000000000</f>
        <v>3.54</v>
      </c>
      <c r="Z67" s="67" t="n">
        <f aca="false">Z56*(Z54+Z55)/1000000000000</f>
        <v>14.4</v>
      </c>
      <c r="AA67" s="67" t="n">
        <f aca="false">AA56*(AA54+AA55)/1000000000000</f>
        <v>3.54</v>
      </c>
      <c r="AB67" s="67" t="n">
        <f aca="false">AB56*(AB54+AB55)/1000000000000</f>
        <v>14.4</v>
      </c>
      <c r="AC67" s="67" t="n">
        <f aca="false">AC56*(AC54+AC55)/1000000000000</f>
        <v>3.54</v>
      </c>
      <c r="AD67" s="67" t="n">
        <f aca="false">AD56*(AD54+AD55)/1000000000000</f>
        <v>14.4</v>
      </c>
      <c r="AE67" s="67" t="n">
        <f aca="false">AE56*(AE54+AE55)/1000000000000</f>
        <v>3.54</v>
      </c>
      <c r="AF67" s="67" t="n">
        <f aca="false">AF56*(AF54+AF55)/1000000000000</f>
        <v>14.4</v>
      </c>
      <c r="AG67" s="67" t="n">
        <f aca="false">AG56*(AG54+AG55)/1000000000000</f>
        <v>3.54</v>
      </c>
      <c r="AH67" s="67" t="n">
        <f aca="false">AH56*(AH54+AH55)/1000000000000</f>
        <v>14.4</v>
      </c>
    </row>
    <row r="68" customFormat="false" ht="15" hidden="false" customHeight="false" outlineLevel="0" collapsed="false">
      <c r="A68" s="54" t="s">
        <v>998</v>
      </c>
      <c r="B68" s="54" t="s">
        <v>249</v>
      </c>
      <c r="C68" s="60" t="n">
        <f aca="false">C24*IF(C25=0,(C54+C55)/2,MIN((C54+C55)/2,C25))+(1-C24)*((C54+C55)/2/C26+C27)</f>
        <v>2192</v>
      </c>
      <c r="D68" s="60" t="n">
        <f aca="false">D24*IF(D25=0,(D54+D55)/2,MIN((D54+D55)/2,D25))+(1-D24)*((D54+D55)/2/D26+D27)</f>
        <v>24576</v>
      </c>
      <c r="E68" s="60" t="n">
        <f aca="false">E24*IF(E25=0,(E54+E55)/2,MIN((E54+E55)/2,E25))+(1-E24)*((E54+E55)/2/E26+E27)</f>
        <v>2192</v>
      </c>
      <c r="F68" s="60" t="n">
        <f aca="false">F24*IF(F25=0,(F54+F55)/2,MIN((F54+F55)/2,F25))+(1-F24)*((F54+F55)/2/F26+F27)</f>
        <v>24576</v>
      </c>
      <c r="G68" s="60" t="n">
        <f aca="false">G24*IF(G25=0,(G54+G55)/2,MIN((G54+G55)/2,G25))+(1-G24)*((G54+G55)/2/G26+G27)</f>
        <v>2192</v>
      </c>
      <c r="H68" s="60" t="n">
        <f aca="false">H24*IF(H25=0,(H54+H55)/2,MIN((H54+H55)/2,H25))+(1-H24)*((H54+H55)/2/H26+H27)</f>
        <v>24576</v>
      </c>
      <c r="I68" s="60" t="n">
        <f aca="false">I24*IF(I25=0,(I54+I55)/2,MIN((I54+I55)/2,I25))+(1-I24)*((I54+I55)/2/I26+I27)</f>
        <v>2192</v>
      </c>
      <c r="J68" s="60" t="n">
        <f aca="false">J24*IF(J25=0,(J54+J55)/2,MIN((J54+J55)/2,J25))+(1-J24)*((J54+J55)/2/J26+J27)</f>
        <v>24576</v>
      </c>
      <c r="K68" s="60" t="n">
        <f aca="false">K24*IF(K25=0,(K54+K55)/2,MIN((K54+K55)/2,K25))+(1-K24)*((K54+K55)/2/K26+K27)</f>
        <v>2192</v>
      </c>
      <c r="L68" s="60" t="n">
        <f aca="false">L24*IF(L25=0,(L54+L55)/2,MIN((L54+L55)/2,L25))+(1-L24)*((L54+L55)/2/L26+L27)</f>
        <v>24576</v>
      </c>
      <c r="M68" s="60" t="n">
        <f aca="false">M24*IF(M25=0,(M54+M55)/2,MIN((M54+M55)/2,M25))+(1-M24)*((M54+M55)/2/M26+M27)</f>
        <v>2192</v>
      </c>
      <c r="N68" s="60" t="n">
        <f aca="false">N24*IF(N25=0,(N54+N55)/2,MIN((N54+N55)/2,N25))+(1-N24)*((N54+N55)/2/N26+N27)</f>
        <v>24576</v>
      </c>
      <c r="O68" s="60" t="n">
        <f aca="false">O24*IF(O25=0,(O54+O55)/2,MIN((O54+O55)/2,O25))+(1-O24)*((O54+O55)/2/O26+O27)</f>
        <v>2192</v>
      </c>
      <c r="P68" s="60" t="n">
        <f aca="false">P24*IF(P25=0,(P54+P55)/2,MIN((P54+P55)/2,P25))+(1-P24)*((P54+P55)/2/P26+P27)</f>
        <v>24576</v>
      </c>
      <c r="Q68" s="60" t="n">
        <f aca="false">Q24*IF(Q25=0,(Q54+Q55)/2,MIN((Q54+Q55)/2,Q25))+(1-Q24)*((Q54+Q55)/2/Q26+Q27)</f>
        <v>2192</v>
      </c>
      <c r="R68" s="60" t="n">
        <f aca="false">R24*IF(R25=0,(R54+R55)/2,MIN((R54+R55)/2,R25))+(1-R24)*((R54+R55)/2/R26+R27)</f>
        <v>24576</v>
      </c>
      <c r="S68" s="60" t="n">
        <f aca="false">S24*IF(S25=0,(S54+S55)/2,MIN((S54+S55)/2,S25))+(1-S24)*((S54+S55)/2/S26+S27)</f>
        <v>2192</v>
      </c>
      <c r="T68" s="60" t="n">
        <f aca="false">T24*IF(T25=0,(T54+T55)/2,MIN((T54+T55)/2,T25))+(1-T24)*((T54+T55)/2/T26+T27)</f>
        <v>24576</v>
      </c>
      <c r="U68" s="60" t="n">
        <f aca="false">U24*IF(U25=0,(U54+U55)/2,MIN((U54+U55)/2,U25))+(1-U24)*((U54+U55)/2/U26+U27)</f>
        <v>2192</v>
      </c>
      <c r="V68" s="60" t="n">
        <f aca="false">V24*IF(V25=0,(V54+V55)/2,MIN((V54+V55)/2,V25))+(1-V24)*((V54+V55)/2/V26+V27)</f>
        <v>24576</v>
      </c>
      <c r="W68" s="60" t="n">
        <f aca="false">W24*IF(W25=0,(W54+W55)/2,MIN((W54+W55)/2,W25))+(1-W24)*((W54+W55)/2/W26+W27)</f>
        <v>2192</v>
      </c>
      <c r="X68" s="60" t="n">
        <f aca="false">X24*IF(X25=0,(X54+X55)/2,MIN((X54+X55)/2,X25))+(1-X24)*((X54+X55)/2/X26+X27)</f>
        <v>24576</v>
      </c>
      <c r="Y68" s="60" t="n">
        <f aca="false">Y24*IF(Y25=0,(Y54+Y55)/2,MIN((Y54+Y55)/2,Y25))+(1-Y24)*((Y54+Y55)/2/Y26+Y27)</f>
        <v>2192</v>
      </c>
      <c r="Z68" s="60" t="n">
        <f aca="false">Z24*IF(Z25=0,(Z54+Z55)/2,MIN((Z54+Z55)/2,Z25))+(1-Z24)*((Z54+Z55)/2/Z26+Z27)</f>
        <v>24576</v>
      </c>
      <c r="AA68" s="60" t="n">
        <f aca="false">AA24*IF(AA25=0,(AA54+AA55)/2,MIN((AA54+AA55)/2,AA25))+(1-AA24)*((AA54+AA55)/2/AA26+AA27)</f>
        <v>2192</v>
      </c>
      <c r="AB68" s="60" t="n">
        <f aca="false">AB24*IF(AB25=0,(AB54+AB55)/2,MIN((AB54+AB55)/2,AB25))+(1-AB24)*((AB54+AB55)/2/AB26+AB27)</f>
        <v>24576</v>
      </c>
      <c r="AC68" s="60" t="n">
        <f aca="false">AC24*IF(AC25=0,(AC54+AC55)/2,MIN((AC54+AC55)/2,AC25))+(1-AC24)*((AC54+AC55)/2/AC26+AC27)</f>
        <v>2192</v>
      </c>
      <c r="AD68" s="60" t="n">
        <f aca="false">AD24*IF(AD25=0,(AD54+AD55)/2,MIN((AD54+AD55)/2,AD25))+(1-AD24)*((AD54+AD55)/2/AD26+AD27)</f>
        <v>24576</v>
      </c>
      <c r="AE68" s="60" t="n">
        <f aca="false">AE24*IF(AE25=0,(AE54+AE55)/2,MIN((AE54+AE55)/2,AE25))+(1-AE24)*((AE54+AE55)/2/AE26+AE27)</f>
        <v>2192</v>
      </c>
      <c r="AF68" s="60" t="n">
        <f aca="false">AF24*IF(AF25=0,(AF54+AF55)/2,MIN((AF54+AF55)/2,AF25))+(1-AF24)*((AF54+AF55)/2/AF26+AF27)</f>
        <v>24576</v>
      </c>
      <c r="AG68" s="60" t="n">
        <f aca="false">AG24*IF(AG25=0,(AG54+AG55)/2,MIN((AG54+AG55)/2,AG25))+(1-AG24)*((AG54+AG55)/2/AG26+AG27)</f>
        <v>2192</v>
      </c>
      <c r="AH68" s="60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54" t="s">
        <v>999</v>
      </c>
      <c r="B69" s="54" t="s">
        <v>448</v>
      </c>
      <c r="C69" s="67" t="n">
        <f aca="false">3*(2*C22*1000000000+C23*C68)*C28/1000000000</f>
        <v>399.155395584</v>
      </c>
      <c r="D69" s="67" t="n">
        <f aca="false">3*(2*D22*1000000000+D23*D68)*D28/1000000000</f>
        <v>1442.3878656</v>
      </c>
      <c r="E69" s="67" t="n">
        <f aca="false">3*(2*E22*1000000000+E23*E68)*E28/1000000000</f>
        <v>399.155395584</v>
      </c>
      <c r="F69" s="67" t="n">
        <f aca="false">3*(2*F22*1000000000+F23*F68)*F28/1000000000</f>
        <v>1442.3878656</v>
      </c>
      <c r="G69" s="67" t="n">
        <f aca="false">3*(2*G22*1000000000+G23*G68)*G28/1000000000</f>
        <v>399.155395584</v>
      </c>
      <c r="H69" s="67" t="n">
        <f aca="false">3*(2*H22*1000000000+H23*H68)*H28/1000000000</f>
        <v>1442.3878656</v>
      </c>
      <c r="I69" s="67" t="n">
        <f aca="false">3*(2*I22*1000000000+I23*I68)*I28/1000000000</f>
        <v>399.155395584</v>
      </c>
      <c r="J69" s="67" t="n">
        <f aca="false">3*(2*J22*1000000000+J23*J68)*J28/1000000000</f>
        <v>1442.3878656</v>
      </c>
      <c r="K69" s="67" t="n">
        <f aca="false">3*(2*K22*1000000000+K23*K68)*K28/1000000000</f>
        <v>399.155395584</v>
      </c>
      <c r="L69" s="67" t="n">
        <f aca="false">3*(2*L22*1000000000+L23*L68)*L28/1000000000</f>
        <v>1442.3878656</v>
      </c>
      <c r="M69" s="67" t="n">
        <f aca="false">3*(2*M22*1000000000+M23*M68)*M28/1000000000</f>
        <v>399.155395584</v>
      </c>
      <c r="N69" s="67" t="n">
        <f aca="false">3*(2*N22*1000000000+N23*N68)*N28/1000000000</f>
        <v>1442.3878656</v>
      </c>
      <c r="O69" s="67" t="n">
        <f aca="false">3*(2*O22*1000000000+O23*O68)*O28/1000000000</f>
        <v>399.155395584</v>
      </c>
      <c r="P69" s="67" t="n">
        <f aca="false">3*(2*P22*1000000000+P23*P68)*P28/1000000000</f>
        <v>1442.3878656</v>
      </c>
      <c r="Q69" s="67" t="n">
        <f aca="false">3*(2*Q22*1000000000+Q23*Q68)*Q28/1000000000</f>
        <v>399.155395584</v>
      </c>
      <c r="R69" s="67" t="n">
        <f aca="false">3*(2*R22*1000000000+R23*R68)*R28/1000000000</f>
        <v>1442.3878656</v>
      </c>
      <c r="S69" s="67" t="n">
        <f aca="false">3*(2*S22*1000000000+S23*S68)*S28/1000000000</f>
        <v>399.155395584</v>
      </c>
      <c r="T69" s="67" t="n">
        <f aca="false">3*(2*T22*1000000000+T23*T68)*T28/1000000000</f>
        <v>1442.3878656</v>
      </c>
      <c r="U69" s="67" t="n">
        <f aca="false">3*(2*U22*1000000000+U23*U68)*U28/1000000000</f>
        <v>399.155395584</v>
      </c>
      <c r="V69" s="67" t="n">
        <f aca="false">3*(2*V22*1000000000+V23*V68)*V28/1000000000</f>
        <v>1442.3878656</v>
      </c>
      <c r="W69" s="67" t="n">
        <f aca="false">3*(2*W22*1000000000+W23*W68)*W28/1000000000</f>
        <v>399.155395584</v>
      </c>
      <c r="X69" s="67" t="n">
        <f aca="false">3*(2*X22*1000000000+X23*X68)*X28/1000000000</f>
        <v>1442.3878656</v>
      </c>
      <c r="Y69" s="67" t="n">
        <f aca="false">3*(2*Y22*1000000000+Y23*Y68)*Y28/1000000000</f>
        <v>399.155395584</v>
      </c>
      <c r="Z69" s="67" t="n">
        <f aca="false">3*(2*Z22*1000000000+Z23*Z68)*Z28/1000000000</f>
        <v>1442.3878656</v>
      </c>
      <c r="AA69" s="67" t="n">
        <f aca="false">3*(2*AA22*1000000000+AA23*AA68)*AA28/1000000000</f>
        <v>399.155395584</v>
      </c>
      <c r="AB69" s="67" t="n">
        <f aca="false">3*(2*AB22*1000000000+AB23*AB68)*AB28/1000000000</f>
        <v>1442.3878656</v>
      </c>
      <c r="AC69" s="67" t="n">
        <f aca="false">3*(2*AC22*1000000000+AC23*AC68)*AC28/1000000000</f>
        <v>399.155395584</v>
      </c>
      <c r="AD69" s="67" t="n">
        <f aca="false">3*(2*AD22*1000000000+AD23*AD68)*AD28/1000000000</f>
        <v>1442.3878656</v>
      </c>
      <c r="AE69" s="67" t="n">
        <f aca="false">3*(2*AE22*1000000000+AE23*AE68)*AE28/1000000000</f>
        <v>399.155395584</v>
      </c>
      <c r="AF69" s="67" t="n">
        <f aca="false">3*(2*AF22*1000000000+AF23*AF68)*AF28/1000000000</f>
        <v>1442.3878656</v>
      </c>
      <c r="AG69" s="67" t="n">
        <f aca="false">3*(2*AG22*1000000000+AG23*AG68)*AG28/1000000000</f>
        <v>399.155395584</v>
      </c>
      <c r="AH69" s="67" t="n">
        <f aca="false">3*(2*AH22*1000000000+AH23*AH68)*AH28/1000000000</f>
        <v>1442.3878656</v>
      </c>
    </row>
    <row r="70" customFormat="false" ht="15" hidden="false" customHeight="false" outlineLevel="0" collapsed="false">
      <c r="A70" s="54" t="s">
        <v>1000</v>
      </c>
      <c r="B70" s="54" t="s">
        <v>272</v>
      </c>
      <c r="C70" s="137" t="n">
        <f aca="false">C69*1000000000*C67*1000000000000</f>
        <v>1.41301010036736E+024</v>
      </c>
      <c r="D70" s="137" t="n">
        <f aca="false">D69*1000000000*D67*1000000000000</f>
        <v>2.077038526464E+025</v>
      </c>
      <c r="E70" s="137" t="n">
        <f aca="false">E69*1000000000*E67*1000000000000</f>
        <v>1.41301010036736E+024</v>
      </c>
      <c r="F70" s="137" t="n">
        <f aca="false">F69*1000000000*F67*1000000000000</f>
        <v>2.077038526464E+025</v>
      </c>
      <c r="G70" s="137" t="n">
        <f aca="false">G69*1000000000*G67*1000000000000</f>
        <v>1.41301010036736E+024</v>
      </c>
      <c r="H70" s="137" t="n">
        <f aca="false">H69*1000000000*H67*1000000000000</f>
        <v>2.077038526464E+025</v>
      </c>
      <c r="I70" s="137" t="n">
        <f aca="false">I69*1000000000*I67*1000000000000</f>
        <v>1.41301010036736E+024</v>
      </c>
      <c r="J70" s="137" t="n">
        <f aca="false">J69*1000000000*J67*1000000000000</f>
        <v>2.077038526464E+025</v>
      </c>
      <c r="K70" s="137" t="n">
        <f aca="false">K69*1000000000*K67*1000000000000</f>
        <v>1.41301010036736E+024</v>
      </c>
      <c r="L70" s="137" t="n">
        <f aca="false">L69*1000000000*L67*1000000000000</f>
        <v>2.077038526464E+025</v>
      </c>
      <c r="M70" s="137" t="n">
        <f aca="false">M69*1000000000*M67*1000000000000</f>
        <v>1.41301010036736E+024</v>
      </c>
      <c r="N70" s="137" t="n">
        <f aca="false">N69*1000000000*N67*1000000000000</f>
        <v>2.077038526464E+025</v>
      </c>
      <c r="O70" s="137" t="n">
        <f aca="false">O69*1000000000*O67*1000000000000</f>
        <v>4.23903030110208E+023</v>
      </c>
      <c r="P70" s="137" t="n">
        <f aca="false">P69*1000000000*P67*1000000000000</f>
        <v>6.231115579392E+024</v>
      </c>
      <c r="Q70" s="137" t="n">
        <f aca="false">Q69*1000000000*Q67*1000000000000</f>
        <v>4.23903030110208E+024</v>
      </c>
      <c r="R70" s="137" t="n">
        <f aca="false">R69*1000000000*R67*1000000000000</f>
        <v>6.231115579392E+025</v>
      </c>
      <c r="S70" s="137" t="n">
        <f aca="false">S69*1000000000*S67*1000000000000</f>
        <v>1.41301010036736E+024</v>
      </c>
      <c r="T70" s="137" t="n">
        <f aca="false">T69*1000000000*T67*1000000000000</f>
        <v>2.077038526464E+025</v>
      </c>
      <c r="U70" s="137" t="n">
        <f aca="false">U69*1000000000*U67*1000000000000</f>
        <v>1.41301010036736E+024</v>
      </c>
      <c r="V70" s="137" t="n">
        <f aca="false">V69*1000000000*V67*1000000000000</f>
        <v>2.077038526464E+025</v>
      </c>
      <c r="W70" s="137" t="n">
        <f aca="false">W69*1000000000*W67*1000000000000</f>
        <v>1.41301010036736E+024</v>
      </c>
      <c r="X70" s="137" t="n">
        <f aca="false">X69*1000000000*X67*1000000000000</f>
        <v>2.077038526464E+025</v>
      </c>
      <c r="Y70" s="137" t="n">
        <f aca="false">Y69*1000000000*Y67*1000000000000</f>
        <v>1.41301010036736E+024</v>
      </c>
      <c r="Z70" s="137" t="n">
        <f aca="false">Z69*1000000000*Z67*1000000000000</f>
        <v>2.077038526464E+025</v>
      </c>
      <c r="AA70" s="137" t="n">
        <f aca="false">AA69*1000000000*AA67*1000000000000</f>
        <v>1.41301010036736E+024</v>
      </c>
      <c r="AB70" s="137" t="n">
        <f aca="false">AB69*1000000000*AB67*1000000000000</f>
        <v>2.077038526464E+025</v>
      </c>
      <c r="AC70" s="137" t="n">
        <f aca="false">AC69*1000000000*AC67*1000000000000</f>
        <v>1.41301010036736E+024</v>
      </c>
      <c r="AD70" s="137" t="n">
        <f aca="false">AD69*1000000000*AD67*1000000000000</f>
        <v>2.077038526464E+025</v>
      </c>
      <c r="AE70" s="137" t="n">
        <f aca="false">AE69*1000000000*AE67*1000000000000</f>
        <v>1.41301010036736E+024</v>
      </c>
      <c r="AF70" s="137" t="n">
        <f aca="false">AF69*1000000000*AF67*1000000000000</f>
        <v>2.077038526464E+025</v>
      </c>
      <c r="AG70" s="137" t="n">
        <f aca="false">AG69*1000000000*AG67*1000000000000</f>
        <v>1.41301010036736E+024</v>
      </c>
      <c r="AH70" s="137" t="n">
        <f aca="false">AH69*1000000000*AH67*1000000000000</f>
        <v>2.077038526464E+025</v>
      </c>
    </row>
    <row r="71" customFormat="false" ht="15" hidden="false" customHeight="false" outlineLevel="0" collapsed="false">
      <c r="A71" s="54" t="s">
        <v>1001</v>
      </c>
      <c r="B71" s="54" t="s">
        <v>75</v>
      </c>
      <c r="C71" s="90" t="n">
        <f aca="false">Train_In!$C$9</f>
        <v>0.6</v>
      </c>
      <c r="D71" s="90" t="n">
        <f aca="false">Train_In!$C$9</f>
        <v>0.6</v>
      </c>
      <c r="E71" s="90" t="n">
        <f aca="false">Train_In!$C$9</f>
        <v>0.6</v>
      </c>
      <c r="F71" s="90" t="n">
        <f aca="false">Train_In!$C$9</f>
        <v>0.6</v>
      </c>
      <c r="G71" s="90" t="n">
        <f aca="false">Train_In!$C$9</f>
        <v>0.6</v>
      </c>
      <c r="H71" s="90" t="n">
        <f aca="false">Train_In!$C$9</f>
        <v>0.6</v>
      </c>
      <c r="I71" s="90" t="n">
        <f aca="false">Train_In!$C$9</f>
        <v>0.6</v>
      </c>
      <c r="J71" s="90" t="n">
        <f aca="false">Train_In!$C$9</f>
        <v>0.6</v>
      </c>
      <c r="K71" s="90" t="n">
        <f aca="false">Train_In!$C$9</f>
        <v>0.6</v>
      </c>
      <c r="L71" s="90" t="n">
        <f aca="false">Train_In!$C$9</f>
        <v>0.6</v>
      </c>
      <c r="M71" s="90" t="n">
        <f aca="false">Train_In!$C$9</f>
        <v>0.6</v>
      </c>
      <c r="N71" s="90" t="n">
        <f aca="false">Train_In!$C$9</f>
        <v>0.6</v>
      </c>
      <c r="O71" s="90" t="n">
        <f aca="false">Train_In!$C$9</f>
        <v>0.6</v>
      </c>
      <c r="P71" s="90" t="n">
        <f aca="false">Train_In!$C$9</f>
        <v>0.6</v>
      </c>
      <c r="Q71" s="90" t="n">
        <f aca="false">Train_In!$C$9</f>
        <v>0.6</v>
      </c>
      <c r="R71" s="90" t="n">
        <f aca="false">Train_In!$C$9</f>
        <v>0.6</v>
      </c>
      <c r="S71" s="90" t="n">
        <f aca="false">Train_In!$C$9</f>
        <v>0.6</v>
      </c>
      <c r="T71" s="90" t="n">
        <f aca="false">Train_In!$C$9</f>
        <v>0.6</v>
      </c>
      <c r="U71" s="90" t="n">
        <f aca="false">Train_In!$C$9</f>
        <v>0.6</v>
      </c>
      <c r="V71" s="90" t="n">
        <f aca="false">Train_In!$C$9</f>
        <v>0.6</v>
      </c>
      <c r="W71" s="90" t="n">
        <f aca="false">Train_In!$C$9</f>
        <v>0.6</v>
      </c>
      <c r="X71" s="90" t="n">
        <f aca="false">Train_In!$C$9</f>
        <v>0.6</v>
      </c>
      <c r="Y71" s="90" t="n">
        <f aca="false">Train_In!$C$9</f>
        <v>0.6</v>
      </c>
      <c r="Z71" s="90" t="n">
        <f aca="false">Train_In!$C$9</f>
        <v>0.6</v>
      </c>
      <c r="AA71" s="90" t="n">
        <f aca="false">Train_In!$C$9</f>
        <v>0.6</v>
      </c>
      <c r="AB71" s="90" t="n">
        <f aca="false">Train_In!$C$9</f>
        <v>0.6</v>
      </c>
      <c r="AC71" s="90" t="n">
        <f aca="false">Train_In!$C$9</f>
        <v>0.6</v>
      </c>
      <c r="AD71" s="90" t="n">
        <f aca="false">Train_In!$C$9</f>
        <v>0.6</v>
      </c>
      <c r="AE71" s="90" t="n">
        <f aca="false">Train_In!$C$9</f>
        <v>0.6</v>
      </c>
      <c r="AF71" s="90" t="n">
        <f aca="false">Train_In!$C$9</f>
        <v>0.6</v>
      </c>
      <c r="AG71" s="90" t="n">
        <f aca="false">Train_In!$C$9</f>
        <v>0.6</v>
      </c>
      <c r="AH71" s="90" t="n">
        <f aca="false">Train_In!$C$9</f>
        <v>0.6</v>
      </c>
    </row>
    <row r="72" customFormat="false" ht="15" hidden="false" customHeight="false" outlineLevel="0" collapsed="false">
      <c r="A72" s="54" t="s">
        <v>1002</v>
      </c>
      <c r="B72" s="54" t="s">
        <v>972</v>
      </c>
      <c r="C72" s="60" t="n">
        <f aca="false">C70/(C12*1000000000000000*C16*C71*C17)/3600</f>
        <v>184598.61524167</v>
      </c>
      <c r="D72" s="60" t="n">
        <f aca="false">D70/(D12*1000000000000000*D16*D71*D17)/3600</f>
        <v>2713486.87238095</v>
      </c>
      <c r="E72" s="60" t="n">
        <f aca="false">E70/(E12*1000000000000000*E16*E71*E17)/3600</f>
        <v>307664.358736116</v>
      </c>
      <c r="F72" s="60" t="n">
        <f aca="false">F70/(F12*1000000000000000*F16*F71*F17)/3600</f>
        <v>4522478.12063492</v>
      </c>
      <c r="G72" s="60" t="n">
        <f aca="false">G70/(G12*1000000000000000*G16*G71*G17)/3600</f>
        <v>115374.134526044</v>
      </c>
      <c r="H72" s="60" t="n">
        <f aca="false">H70/(H12*1000000000000000*H16*H71*H17)/3600</f>
        <v>1695929.29523809</v>
      </c>
      <c r="I72" s="60" t="n">
        <f aca="false">I70/(I12*1000000000000000*I16*I71*I17)/3600</f>
        <v>92299.3076208348</v>
      </c>
      <c r="J72" s="60" t="n">
        <f aca="false">J70/(J12*1000000000000000*J16*J71*J17)/3600</f>
        <v>1356743.43619048</v>
      </c>
      <c r="K72" s="60" t="n">
        <f aca="false">K70/(K12*1000000000000000*K16*K71*K17)/3600</f>
        <v>184598.61524167</v>
      </c>
      <c r="L72" s="60" t="n">
        <f aca="false">L70/(L12*1000000000000000*L16*L71*L17)/3600</f>
        <v>2713486.87238095</v>
      </c>
      <c r="M72" s="60" t="n">
        <f aca="false">M70/(M12*1000000000000000*M16*M71*M17)/3600</f>
        <v>184598.61524167</v>
      </c>
      <c r="N72" s="60" t="n">
        <f aca="false">N70/(N12*1000000000000000*N16*N71*N17)/3600</f>
        <v>2713486.87238095</v>
      </c>
      <c r="O72" s="60" t="n">
        <f aca="false">O70/(O12*1000000000000000*O16*O71*O17)/3600</f>
        <v>55379.5845725009</v>
      </c>
      <c r="P72" s="60" t="n">
        <f aca="false">P70/(P12*1000000000000000*P16*P71*P17)/3600</f>
        <v>814046.061714286</v>
      </c>
      <c r="Q72" s="60" t="n">
        <f aca="false">Q70/(Q12*1000000000000000*Q16*Q71*Q17)/3600</f>
        <v>553795.845725009</v>
      </c>
      <c r="R72" s="60" t="n">
        <f aca="false">R70/(R12*1000000000000000*R16*R71*R17)/3600</f>
        <v>8140460.61714286</v>
      </c>
      <c r="S72" s="60" t="n">
        <f aca="false">S70/(S12*1000000000000000*S16*S71*S17)/3600</f>
        <v>184598.61524167</v>
      </c>
      <c r="T72" s="60" t="n">
        <f aca="false">T70/(T12*1000000000000000*T16*T71*T17)/3600</f>
        <v>2713486.87238095</v>
      </c>
      <c r="U72" s="60" t="n">
        <f aca="false">U70/(U12*1000000000000000*U16*U71*U17)/3600</f>
        <v>184598.61524167</v>
      </c>
      <c r="V72" s="60" t="n">
        <f aca="false">V70/(V12*1000000000000000*V16*V71*V17)/3600</f>
        <v>2713486.87238095</v>
      </c>
      <c r="W72" s="60" t="n">
        <f aca="false">W70/(W12*1000000000000000*W16*W71*W17)/3600</f>
        <v>184598.61524167</v>
      </c>
      <c r="X72" s="60" t="n">
        <f aca="false">X70/(X12*1000000000000000*X16*X71*X17)/3600</f>
        <v>2713486.87238095</v>
      </c>
      <c r="Y72" s="60" t="n">
        <f aca="false">Y70/(Y12*1000000000000000*Y16*Y71*Y17)/3600</f>
        <v>184598.61524167</v>
      </c>
      <c r="Z72" s="60" t="n">
        <f aca="false">Z70/(Z12*1000000000000000*Z16*Z71*Z17)/3600</f>
        <v>2713486.87238095</v>
      </c>
      <c r="AA72" s="60" t="n">
        <f aca="false">AA70/(AA12*1000000000000000*AA16*AA71*AA17)/3600</f>
        <v>184598.61524167</v>
      </c>
      <c r="AB72" s="60" t="n">
        <f aca="false">AB70/(AB12*1000000000000000*AB16*AB71*AB17)/3600</f>
        <v>2713486.87238095</v>
      </c>
      <c r="AC72" s="60" t="n">
        <f aca="false">AC70/(AC12*1000000000000000*AC16*AC71*AC17)/3600</f>
        <v>184598.61524167</v>
      </c>
      <c r="AD72" s="60" t="n">
        <f aca="false">AD70/(AD12*1000000000000000*AD16*AD71*AD17)/3600</f>
        <v>2713486.87238095</v>
      </c>
      <c r="AE72" s="60" t="n">
        <f aca="false">AE70/(AE12*1000000000000000*AE16*AE71*AE17)/3600</f>
        <v>184598.61524167</v>
      </c>
      <c r="AF72" s="60" t="n">
        <f aca="false">AF70/(AF12*1000000000000000*AF16*AF71*AF17)/3600</f>
        <v>2713486.87238095</v>
      </c>
      <c r="AG72" s="60" t="n">
        <f aca="false">AG70/(AG12*1000000000000000*AG16*AG71*AG17)/3600</f>
        <v>207673.442146878</v>
      </c>
      <c r="AH72" s="60" t="n">
        <f aca="false">AH70/(AH12*1000000000000000*AH16*AH71*AH17)/3600</f>
        <v>3052672.73142857</v>
      </c>
    </row>
    <row r="73" customFormat="false" ht="15" hidden="false" customHeight="false" outlineLevel="0" collapsed="false">
      <c r="A73" s="53" t="s">
        <v>1003</v>
      </c>
      <c r="B73" s="53"/>
      <c r="C73" s="82" t="n">
        <f aca="false">Train_In!$C$10</f>
        <v>0</v>
      </c>
      <c r="D73" s="82" t="n">
        <f aca="false">Train_In!$C$10</f>
        <v>0</v>
      </c>
      <c r="E73" s="82" t="n">
        <f aca="false">Train_In!$C$10</f>
        <v>0</v>
      </c>
      <c r="F73" s="82" t="n">
        <f aca="false">Train_In!$C$10</f>
        <v>0</v>
      </c>
      <c r="G73" s="82" t="n">
        <f aca="false">Train_In!$C$10</f>
        <v>0</v>
      </c>
      <c r="H73" s="82" t="n">
        <f aca="false">Train_In!$C$10</f>
        <v>0</v>
      </c>
      <c r="I73" s="82" t="n">
        <f aca="false">Train_In!$C$10</f>
        <v>0</v>
      </c>
      <c r="J73" s="82" t="n">
        <f aca="false">Train_In!$C$10</f>
        <v>0</v>
      </c>
      <c r="K73" s="82" t="n">
        <f aca="false">Train_In!$C$10</f>
        <v>0</v>
      </c>
      <c r="L73" s="82" t="n">
        <f aca="false">Train_In!$C$10</f>
        <v>0</v>
      </c>
      <c r="M73" s="82" t="n">
        <f aca="false">Train_In!$C$10</f>
        <v>0</v>
      </c>
      <c r="N73" s="82" t="n">
        <f aca="false">Train_In!$C$10</f>
        <v>0</v>
      </c>
      <c r="O73" s="82" t="n">
        <f aca="false">Train_In!$C$10</f>
        <v>0</v>
      </c>
      <c r="P73" s="82" t="n">
        <f aca="false">Train_In!$C$10</f>
        <v>0</v>
      </c>
      <c r="Q73" s="82" t="n">
        <f aca="false">Train_In!$C$10</f>
        <v>0</v>
      </c>
      <c r="R73" s="82" t="n">
        <f aca="false">Train_In!$C$10</f>
        <v>0</v>
      </c>
      <c r="S73" s="82" t="n">
        <f aca="false">Train_In!$C$10</f>
        <v>0</v>
      </c>
      <c r="T73" s="82" t="n">
        <f aca="false">Train_In!$C$10</f>
        <v>0</v>
      </c>
      <c r="U73" s="82" t="n">
        <f aca="false">Train_In!$C$10</f>
        <v>0</v>
      </c>
      <c r="V73" s="82" t="n">
        <f aca="false">Train_In!$C$10</f>
        <v>0</v>
      </c>
      <c r="W73" s="82" t="n">
        <f aca="false">Train_In!$C$10</f>
        <v>0</v>
      </c>
      <c r="X73" s="82" t="n">
        <f aca="false">Train_In!$C$10</f>
        <v>0</v>
      </c>
      <c r="Y73" s="82" t="n">
        <f aca="false">Train_In!$C$10</f>
        <v>0</v>
      </c>
      <c r="Z73" s="82" t="n">
        <f aca="false">Train_In!$C$10</f>
        <v>0</v>
      </c>
      <c r="AA73" s="82" t="n">
        <f aca="false">Train_In!$C$10</f>
        <v>0</v>
      </c>
      <c r="AB73" s="82" t="n">
        <f aca="false">Train_In!$C$10</f>
        <v>0</v>
      </c>
      <c r="AC73" s="82" t="n">
        <f aca="false">Train_In!$C$10</f>
        <v>0</v>
      </c>
      <c r="AD73" s="82" t="n">
        <f aca="false">Train_In!$C$10</f>
        <v>0</v>
      </c>
      <c r="AE73" s="82" t="n">
        <f aca="false">Train_In!$C$10</f>
        <v>0</v>
      </c>
      <c r="AF73" s="82" t="n">
        <f aca="false">Train_In!$C$10</f>
        <v>0</v>
      </c>
      <c r="AG73" s="82" t="n">
        <f aca="false">Train_In!$C$10</f>
        <v>0</v>
      </c>
      <c r="AH73" s="82" t="n">
        <f aca="false">Train_In!$C$10</f>
        <v>0</v>
      </c>
    </row>
    <row r="74" customFormat="false" ht="15" hidden="false" customHeight="false" outlineLevel="0" collapsed="false">
      <c r="A74" s="53" t="s">
        <v>1004</v>
      </c>
      <c r="B74" s="54" t="s">
        <v>972</v>
      </c>
      <c r="C74" s="60" t="n">
        <f aca="false">C73*C72/3</f>
        <v>0</v>
      </c>
      <c r="D74" s="60" t="n">
        <f aca="false">D73*D72/3</f>
        <v>0</v>
      </c>
      <c r="E74" s="60" t="n">
        <f aca="false">E73*E72/3</f>
        <v>0</v>
      </c>
      <c r="F74" s="60" t="n">
        <f aca="false">F73*F72/3</f>
        <v>0</v>
      </c>
      <c r="G74" s="60" t="n">
        <f aca="false">G73*G72/3</f>
        <v>0</v>
      </c>
      <c r="H74" s="60" t="n">
        <f aca="false">H73*H72/3</f>
        <v>0</v>
      </c>
      <c r="I74" s="60" t="n">
        <f aca="false">I73*I72/3</f>
        <v>0</v>
      </c>
      <c r="J74" s="60" t="n">
        <f aca="false">J73*J72/3</f>
        <v>0</v>
      </c>
      <c r="K74" s="60" t="n">
        <f aca="false">K73*K72/3</f>
        <v>0</v>
      </c>
      <c r="L74" s="60" t="n">
        <f aca="false">L73*L72/3</f>
        <v>0</v>
      </c>
      <c r="M74" s="60" t="n">
        <f aca="false">M73*M72/3</f>
        <v>0</v>
      </c>
      <c r="N74" s="60" t="n">
        <f aca="false">N73*N72/3</f>
        <v>0</v>
      </c>
      <c r="O74" s="60" t="n">
        <f aca="false">O73*O72/3</f>
        <v>0</v>
      </c>
      <c r="P74" s="60" t="n">
        <f aca="false">P73*P72/3</f>
        <v>0</v>
      </c>
      <c r="Q74" s="60" t="n">
        <f aca="false">Q73*Q72/3</f>
        <v>0</v>
      </c>
      <c r="R74" s="60" t="n">
        <f aca="false">R73*R72/3</f>
        <v>0</v>
      </c>
      <c r="S74" s="60" t="n">
        <f aca="false">S73*S72/3</f>
        <v>0</v>
      </c>
      <c r="T74" s="60" t="n">
        <f aca="false">T73*T72/3</f>
        <v>0</v>
      </c>
      <c r="U74" s="60" t="n">
        <f aca="false">U73*U72/3</f>
        <v>0</v>
      </c>
      <c r="V74" s="60" t="n">
        <f aca="false">V73*V72/3</f>
        <v>0</v>
      </c>
      <c r="W74" s="60" t="n">
        <f aca="false">W73*W72/3</f>
        <v>0</v>
      </c>
      <c r="X74" s="60" t="n">
        <f aca="false">X73*X72/3</f>
        <v>0</v>
      </c>
      <c r="Y74" s="60" t="n">
        <f aca="false">Y73*Y72/3</f>
        <v>0</v>
      </c>
      <c r="Z74" s="60" t="n">
        <f aca="false">Z73*Z72/3</f>
        <v>0</v>
      </c>
      <c r="AA74" s="60" t="n">
        <f aca="false">AA73*AA72/3</f>
        <v>0</v>
      </c>
      <c r="AB74" s="60" t="n">
        <f aca="false">AB73*AB72/3</f>
        <v>0</v>
      </c>
      <c r="AC74" s="60" t="n">
        <f aca="false">AC73*AC72/3</f>
        <v>0</v>
      </c>
      <c r="AD74" s="60" t="n">
        <f aca="false">AD73*AD72/3</f>
        <v>0</v>
      </c>
      <c r="AE74" s="60" t="n">
        <f aca="false">AE73*AE72/3</f>
        <v>0</v>
      </c>
      <c r="AF74" s="60" t="n">
        <f aca="false">AF73*AF72/3</f>
        <v>0</v>
      </c>
      <c r="AG74" s="60" t="n">
        <f aca="false">AG73*AG72/3</f>
        <v>0</v>
      </c>
      <c r="AH74" s="60" t="n">
        <f aca="false">AH73*AH72/3</f>
        <v>0</v>
      </c>
    </row>
    <row r="75" customFormat="false" ht="15" hidden="false" customHeight="false" outlineLevel="0" collapsed="false">
      <c r="A75" s="54" t="s">
        <v>1005</v>
      </c>
      <c r="B75" s="54" t="s">
        <v>972</v>
      </c>
      <c r="C75" s="63" t="n">
        <f aca="false">C65+C72+C74</f>
        <v>328848.97156596</v>
      </c>
      <c r="D75" s="63" t="n">
        <f aca="false">D65+D72+D74</f>
        <v>5213430.37311065</v>
      </c>
      <c r="E75" s="63" t="n">
        <f aca="false">E65+E72+E74</f>
        <v>451914.715060407</v>
      </c>
      <c r="F75" s="63" t="n">
        <f aca="false">F65+F72+F74</f>
        <v>7022421.62136461</v>
      </c>
      <c r="G75" s="63" t="n">
        <f aca="false">G65+G72+G74</f>
        <v>259624.490850334</v>
      </c>
      <c r="H75" s="63" t="n">
        <f aca="false">H65+H72+H74</f>
        <v>4195872.79596779</v>
      </c>
      <c r="I75" s="63" t="n">
        <f aca="false">I65+I72+I74</f>
        <v>236549.663945125</v>
      </c>
      <c r="J75" s="63" t="n">
        <f aca="false">J65+J72+J74</f>
        <v>3856686.93692017</v>
      </c>
      <c r="K75" s="63" t="n">
        <f aca="false">K65+K72+K74</f>
        <v>328848.97156596</v>
      </c>
      <c r="L75" s="63" t="n">
        <f aca="false">L65+L72+L74</f>
        <v>5213430.37311065</v>
      </c>
      <c r="M75" s="63" t="n">
        <f aca="false">M65+M72+M74</f>
        <v>328848.97156596</v>
      </c>
      <c r="N75" s="63" t="n">
        <f aca="false">N65+N72+N74</f>
        <v>5213430.37311065</v>
      </c>
      <c r="O75" s="63" t="n">
        <f aca="false">O65+O72+O74</f>
        <v>98654.6914697881</v>
      </c>
      <c r="P75" s="63" t="n">
        <f aca="false">P65+P72+P74</f>
        <v>1564029.11193319</v>
      </c>
      <c r="Q75" s="63" t="n">
        <f aca="false">Q65+Q72+Q74</f>
        <v>986546.914697881</v>
      </c>
      <c r="R75" s="63" t="n">
        <f aca="false">R65+R72+R74</f>
        <v>15640291.1193319</v>
      </c>
      <c r="S75" s="63" t="n">
        <f aca="false">S65+S72+S74</f>
        <v>388953.286701081</v>
      </c>
      <c r="T75" s="63" t="n">
        <f aca="false">T65+T72+T74</f>
        <v>6255073.49841469</v>
      </c>
      <c r="U75" s="63" t="n">
        <f aca="false">U65+U72+U74</f>
        <v>313664.723531824</v>
      </c>
      <c r="V75" s="63" t="n">
        <f aca="false">V65+V72+V74</f>
        <v>4950278.42566542</v>
      </c>
      <c r="W75" s="63" t="n">
        <f aca="false">W65+W72+W74</f>
        <v>475596.782428002</v>
      </c>
      <c r="X75" s="63" t="n">
        <f aca="false">X65+X72+X74</f>
        <v>7783413.80598243</v>
      </c>
      <c r="Y75" s="63" t="n">
        <f aca="false">Y65+Y72+Y74</f>
        <v>328848.97156596</v>
      </c>
      <c r="Z75" s="63" t="n">
        <f aca="false">Z65+Z72+Z74</f>
        <v>5213430.37311065</v>
      </c>
      <c r="AA75" s="63" t="n">
        <f aca="false">AA65+AA72+AA74</f>
        <v>328848.97156596</v>
      </c>
      <c r="AB75" s="63" t="n">
        <f aca="false">AB65+AB72+AB74</f>
        <v>5213430.37311065</v>
      </c>
      <c r="AC75" s="63" t="n">
        <f aca="false">AC65+AC72+AC74</f>
        <v>328848.97156596</v>
      </c>
      <c r="AD75" s="63" t="n">
        <f aca="false">AD65+AD72+AD74</f>
        <v>5213430.37311065</v>
      </c>
      <c r="AE75" s="63" t="n">
        <f aca="false">AE65+AE72+AE74</f>
        <v>328848.97156596</v>
      </c>
      <c r="AF75" s="63" t="n">
        <f aca="false">AF65+AF72+AF74</f>
        <v>5213430.37311065</v>
      </c>
      <c r="AG75" s="63" t="n">
        <f aca="false">AG65+AG72+AG74</f>
        <v>351923.798471169</v>
      </c>
      <c r="AH75" s="63" t="n">
        <f aca="false">AH65+AH72+AH74</f>
        <v>5552616.23215826</v>
      </c>
    </row>
    <row r="76" customFormat="false" ht="15" hidden="false" customHeight="false" outlineLevel="0" collapsed="false">
      <c r="A76" s="54" t="s">
        <v>1006</v>
      </c>
      <c r="B76" s="54" t="s">
        <v>272</v>
      </c>
      <c r="C76" s="137" t="n">
        <f aca="false">C66+C70*(1+C73/3)</f>
        <v>1.73732577709207E+024</v>
      </c>
      <c r="D76" s="137" t="n">
        <f aca="false">D66+D70*(1+D73/3)</f>
        <v>2.589265308672E+025</v>
      </c>
      <c r="E76" s="137" t="n">
        <f aca="false">E66+E70*(1+E73/3)</f>
        <v>1.73732577709207E+024</v>
      </c>
      <c r="F76" s="137" t="n">
        <f aca="false">F66+F70*(1+F73/3)</f>
        <v>2.589265308672E+025</v>
      </c>
      <c r="G76" s="137" t="n">
        <f aca="false">G66+G70*(1+G73/3)</f>
        <v>1.73732577709207E+024</v>
      </c>
      <c r="H76" s="137" t="n">
        <f aca="false">H66+H70*(1+H73/3)</f>
        <v>2.589265308672E+025</v>
      </c>
      <c r="I76" s="137" t="n">
        <f aca="false">I66+I70*(1+I73/3)</f>
        <v>1.73732577709207E+024</v>
      </c>
      <c r="J76" s="137" t="n">
        <f aca="false">J66+J70*(1+J73/3)</f>
        <v>2.589265308672E+025</v>
      </c>
      <c r="K76" s="137" t="n">
        <f aca="false">K66+K70*(1+K73/3)</f>
        <v>1.73732577709207E+024</v>
      </c>
      <c r="L76" s="137" t="n">
        <f aca="false">L66+L70*(1+L73/3)</f>
        <v>2.589265308672E+025</v>
      </c>
      <c r="M76" s="137" t="n">
        <f aca="false">M66+M70*(1+M73/3)</f>
        <v>1.73732577709207E+024</v>
      </c>
      <c r="N76" s="137" t="n">
        <f aca="false">N66+N70*(1+N73/3)</f>
        <v>2.589265308672E+025</v>
      </c>
      <c r="O76" s="137" t="n">
        <f aca="false">O66+O70*(1+O73/3)</f>
        <v>5.2119773312762E+023</v>
      </c>
      <c r="P76" s="137" t="n">
        <f aca="false">P66+P70*(1+P73/3)</f>
        <v>7.767795926016E+024</v>
      </c>
      <c r="Q76" s="137" t="n">
        <f aca="false">Q66+Q70*(1+Q73/3)</f>
        <v>5.2119773312762E+024</v>
      </c>
      <c r="R76" s="137" t="n">
        <f aca="false">R66+R70*(1+R73/3)</f>
        <v>7.767795926016E+025</v>
      </c>
      <c r="S76" s="137" t="n">
        <f aca="false">S66+S70*(1+S73/3)</f>
        <v>1.73732577709207E+024</v>
      </c>
      <c r="T76" s="137" t="n">
        <f aca="false">T66+T70*(1+T73/3)</f>
        <v>2.589265308672E+025</v>
      </c>
      <c r="U76" s="137" t="n">
        <f aca="false">U66+U70*(1+U73/3)</f>
        <v>1.73732577709207E+024</v>
      </c>
      <c r="V76" s="137" t="n">
        <f aca="false">V66+V70*(1+V73/3)</f>
        <v>2.589265308672E+025</v>
      </c>
      <c r="W76" s="137" t="n">
        <f aca="false">W66+W70*(1+W73/3)</f>
        <v>1.73732577709207E+024</v>
      </c>
      <c r="X76" s="137" t="n">
        <f aca="false">X66+X70*(1+X73/3)</f>
        <v>2.589265308672E+025</v>
      </c>
      <c r="Y76" s="137" t="n">
        <f aca="false">Y66+Y70*(1+Y73/3)</f>
        <v>1.73732577709207E+024</v>
      </c>
      <c r="Z76" s="137" t="n">
        <f aca="false">Z66+Z70*(1+Z73/3)</f>
        <v>2.589265308672E+025</v>
      </c>
      <c r="AA76" s="137" t="n">
        <f aca="false">AA66+AA70*(1+AA73/3)</f>
        <v>1.73732577709207E+024</v>
      </c>
      <c r="AB76" s="137" t="n">
        <f aca="false">AB66+AB70*(1+AB73/3)</f>
        <v>2.589265308672E+025</v>
      </c>
      <c r="AC76" s="137" t="n">
        <f aca="false">AC66+AC70*(1+AC73/3)</f>
        <v>1.73732577709207E+024</v>
      </c>
      <c r="AD76" s="137" t="n">
        <f aca="false">AD66+AD70*(1+AD73/3)</f>
        <v>2.589265308672E+025</v>
      </c>
      <c r="AE76" s="137" t="n">
        <f aca="false">AE66+AE70*(1+AE73/3)</f>
        <v>1.73732577709207E+024</v>
      </c>
      <c r="AF76" s="137" t="n">
        <f aca="false">AF66+AF70*(1+AF73/3)</f>
        <v>2.589265308672E+025</v>
      </c>
      <c r="AG76" s="137" t="n">
        <f aca="false">AG66+AG70*(1+AG73/3)</f>
        <v>1.73732577709207E+024</v>
      </c>
      <c r="AH76" s="137" t="n">
        <f aca="false">AH66+AH70*(1+AH73/3)</f>
        <v>2.589265308672E+025</v>
      </c>
    </row>
    <row r="77" customFormat="false" ht="15" hidden="false" customHeight="false" outlineLevel="0" collapsed="false">
      <c r="A77" s="54" t="s">
        <v>1007</v>
      </c>
      <c r="B77" s="54" t="s">
        <v>71</v>
      </c>
      <c r="C77" s="94" t="n">
        <f aca="false">C76/(C75*3600*C12*1000000000000000)</f>
        <v>0.0838579470237166</v>
      </c>
      <c r="D77" s="94" t="n">
        <f aca="false">D76/(D75*3600*D12*1000000000000000)</f>
        <v>0.0788337934960808</v>
      </c>
      <c r="E77" s="94" t="n">
        <f aca="false">E76/(E75*3600*E12*1000000000000000)</f>
        <v>0.0610216899724008</v>
      </c>
      <c r="F77" s="94" t="n">
        <f aca="false">F76/(F75*3600*F12*1000000000000000)</f>
        <v>0.0585260349776798</v>
      </c>
      <c r="G77" s="94" t="n">
        <f aca="false">G76/(G75*3600*G12*1000000000000000)</f>
        <v>0.106217250714915</v>
      </c>
      <c r="H77" s="94" t="n">
        <f aca="false">H76/(H75*3600*H12*1000000000000000)</f>
        <v>0.0979520861154236</v>
      </c>
      <c r="I77" s="94" t="n">
        <f aca="false">I76/(I75*3600*I12*1000000000000000)</f>
        <v>0.0582892386665558</v>
      </c>
      <c r="J77" s="94" t="n">
        <f aca="false">J76/(J75*3600*J12*1000000000000000)</f>
        <v>0.0532833621398639</v>
      </c>
      <c r="K77" s="94" t="n">
        <f aca="false">K76/(K75*3600*K12*1000000000000000)</f>
        <v>0.0838579470237166</v>
      </c>
      <c r="L77" s="94" t="n">
        <f aca="false">L76/(L75*3600*L12*1000000000000000)</f>
        <v>0.0788337934960808</v>
      </c>
      <c r="M77" s="94" t="n">
        <f aca="false">M76/(M75*3600*M12*1000000000000000)</f>
        <v>0.0838579470237166</v>
      </c>
      <c r="N77" s="94" t="n">
        <f aca="false">N76/(N75*3600*N12*1000000000000000)</f>
        <v>0.0788337934960808</v>
      </c>
      <c r="O77" s="94" t="n">
        <f aca="false">O76/(O75*3600*O12*1000000000000000)</f>
        <v>0.0838579470237166</v>
      </c>
      <c r="P77" s="94" t="n">
        <f aca="false">P76/(P75*3600*P12*1000000000000000)</f>
        <v>0.0788337934960808</v>
      </c>
      <c r="Q77" s="94" t="n">
        <f aca="false">Q76/(Q75*3600*Q12*1000000000000000)</f>
        <v>0.0838579470237166</v>
      </c>
      <c r="R77" s="94" t="n">
        <f aca="false">R76/(R75*3600*R12*1000000000000000)</f>
        <v>0.0788337934960808</v>
      </c>
      <c r="S77" s="94" t="n">
        <f aca="false">S76/(S75*3600*S12*1000000000000000)</f>
        <v>0.0708995156469141</v>
      </c>
      <c r="T77" s="94" t="n">
        <f aca="false">T76/(T75*3600*T12*1000000000000000)</f>
        <v>0.0657057816417608</v>
      </c>
      <c r="U77" s="94" t="n">
        <f aca="false">U76/(U75*3600*U12*1000000000000000)</f>
        <v>0.0879174403990128</v>
      </c>
      <c r="V77" s="94" t="n">
        <f aca="false">V76/(V75*3600*V12*1000000000000000)</f>
        <v>0.0830245206631492</v>
      </c>
      <c r="W77" s="94" t="n">
        <f aca="false">W76/(W75*3600*W12*1000000000000000)</f>
        <v>0.0579831501289786</v>
      </c>
      <c r="X77" s="94" t="n">
        <f aca="false">X76/(X75*3600*X12*1000000000000000)</f>
        <v>0.0528038857607833</v>
      </c>
      <c r="Y77" s="94" t="n">
        <f aca="false">Y76/(Y75*3600*Y12*1000000000000000)</f>
        <v>0.0838579470237166</v>
      </c>
      <c r="Z77" s="94" t="n">
        <f aca="false">Z76/(Z75*3600*Z12*1000000000000000)</f>
        <v>0.0788337934960808</v>
      </c>
      <c r="AA77" s="94" t="n">
        <f aca="false">AA76/(AA75*3600*AA12*1000000000000000)</f>
        <v>0.0838579470237166</v>
      </c>
      <c r="AB77" s="94" t="n">
        <f aca="false">AB76/(AB75*3600*AB12*1000000000000000)</f>
        <v>0.0788337934960808</v>
      </c>
      <c r="AC77" s="94" t="n">
        <f aca="false">AC76/(AC75*3600*AC12*1000000000000000)</f>
        <v>0.0838579470237166</v>
      </c>
      <c r="AD77" s="94" t="n">
        <f aca="false">AD76/(AD75*3600*AD12*1000000000000000)</f>
        <v>0.0788337934960808</v>
      </c>
      <c r="AE77" s="94" t="n">
        <f aca="false">AE76/(AE75*3600*AE12*1000000000000000)</f>
        <v>0.0838579470237166</v>
      </c>
      <c r="AF77" s="94" t="n">
        <f aca="false">AF76/(AF75*3600*AF12*1000000000000000)</f>
        <v>0.0788337934960808</v>
      </c>
      <c r="AG77" s="94" t="n">
        <f aca="false">AG76/(AG75*3600*AG12*1000000000000000)</f>
        <v>0.0783595760110016</v>
      </c>
      <c r="AH77" s="94" t="n">
        <f aca="false">AH76/(AH75*3600*AH12*1000000000000000)</f>
        <v>0.0740181702203196</v>
      </c>
    </row>
    <row r="78" customFormat="false" ht="15" hidden="false" customHeight="false" outlineLevel="0" collapsed="false">
      <c r="A78" s="54" t="s">
        <v>1008</v>
      </c>
      <c r="B78" s="54" t="s">
        <v>75</v>
      </c>
      <c r="C78" s="97" t="n">
        <f aca="false">C75/C36</f>
        <v>0.324106750891038</v>
      </c>
      <c r="D78" s="97" t="n">
        <f aca="false">D75/D36</f>
        <v>0.972034022206469</v>
      </c>
      <c r="E78" s="97" t="n">
        <f aca="false">E75/E36</f>
        <v>0.267238682755678</v>
      </c>
      <c r="F78" s="97" t="n">
        <f aca="false">F75/F36</f>
        <v>0.785590167593077</v>
      </c>
      <c r="G78" s="97" t="n">
        <f aca="false">G75/G36</f>
        <v>0.409408853094079</v>
      </c>
      <c r="H78" s="97" t="n">
        <f aca="false">H75/H36</f>
        <v>1.25169980412656</v>
      </c>
      <c r="I78" s="97" t="n">
        <f aca="false">I75/I36</f>
        <v>0.466276921229439</v>
      </c>
      <c r="J78" s="97" t="n">
        <f aca="false">J75/J36</f>
        <v>1.43814365873995</v>
      </c>
      <c r="K78" s="97" t="n">
        <f aca="false">K75/K36</f>
        <v>0.648213501782077</v>
      </c>
      <c r="L78" s="97" t="n">
        <f aca="false">L75/L36</f>
        <v>1.94406804441294</v>
      </c>
      <c r="M78" s="97" t="n">
        <f aca="false">M75/M36</f>
        <v>0.194075898737149</v>
      </c>
      <c r="N78" s="97" t="n">
        <f aca="false">N75/N36</f>
        <v>0.582056300722437</v>
      </c>
      <c r="O78" s="97" t="n">
        <f aca="false">O75/O36</f>
        <v>0.0972320252673115</v>
      </c>
      <c r="P78" s="97" t="n">
        <f aca="false">P75/P36</f>
        <v>0.291610206661941</v>
      </c>
      <c r="Q78" s="97" t="n">
        <f aca="false">Q75/Q36</f>
        <v>0.972320252673115</v>
      </c>
      <c r="R78" s="97" t="n">
        <f aca="false">R75/R36</f>
        <v>2.91610206661941</v>
      </c>
      <c r="S78" s="97" t="n">
        <f aca="false">S75/S36</f>
        <v>0.383344321865372</v>
      </c>
      <c r="T78" s="97" t="n">
        <f aca="false">T75/T36</f>
        <v>1.16624637076209</v>
      </c>
      <c r="U78" s="97" t="n">
        <f aca="false">U75/U36</f>
        <v>0.309141469802786</v>
      </c>
      <c r="V78" s="97" t="n">
        <f aca="false">V75/V36</f>
        <v>0.922969849939787</v>
      </c>
      <c r="W78" s="97" t="n">
        <f aca="false">W75/W36</f>
        <v>0.468738360813312</v>
      </c>
      <c r="X78" s="97" t="n">
        <f aca="false">X75/X36</f>
        <v>1.45120246879068</v>
      </c>
      <c r="Y78" s="97" t="n">
        <f aca="false">Y75/Y36</f>
        <v>0.324106750891038</v>
      </c>
      <c r="Z78" s="97" t="n">
        <f aca="false">Z75/Z36</f>
        <v>0.972034022206469</v>
      </c>
      <c r="AA78" s="97" t="n">
        <f aca="false">AA75/AA36</f>
        <v>0.324106750891038</v>
      </c>
      <c r="AB78" s="97" t="n">
        <f aca="false">AB75/AB36</f>
        <v>0.972034022206469</v>
      </c>
      <c r="AC78" s="97" t="n">
        <f aca="false">AC75/AC36</f>
        <v>0.324106750891038</v>
      </c>
      <c r="AD78" s="97" t="n">
        <f aca="false">AD75/AD36</f>
        <v>0.972034022206469</v>
      </c>
      <c r="AE78" s="97" t="n">
        <f aca="false">AE75/AE36</f>
        <v>0.324106750891038</v>
      </c>
      <c r="AF78" s="97" t="n">
        <f aca="false">AF75/AF36</f>
        <v>0.972034022206469</v>
      </c>
      <c r="AG78" s="97" t="n">
        <f aca="false">AG75/AG36</f>
        <v>0.308310065297883</v>
      </c>
      <c r="AH78" s="97" t="n">
        <f aca="false">AH75/AH36</f>
        <v>0.920244062591638</v>
      </c>
    </row>
    <row r="79" customFormat="false" ht="15" hidden="false" customHeight="false" outlineLevel="0" collapsed="false">
      <c r="A79" s="54" t="s">
        <v>1009</v>
      </c>
      <c r="B79" s="54" t="s">
        <v>75</v>
      </c>
      <c r="C79" s="69" t="n">
        <f aca="false">C76/C35</f>
        <v>0.134216922203702</v>
      </c>
      <c r="D79" s="69" t="n">
        <f aca="false">D76/D35</f>
        <v>0.37841545371748</v>
      </c>
      <c r="E79" s="69" t="n">
        <f aca="false">E76/E35</f>
        <v>0.134216922203702</v>
      </c>
      <c r="F79" s="69" t="n">
        <f aca="false">F76/F35</f>
        <v>0.37841545371748</v>
      </c>
      <c r="G79" s="69" t="n">
        <f aca="false">G76/G35</f>
        <v>0.134216922203702</v>
      </c>
      <c r="H79" s="69" t="n">
        <f aca="false">H76/H35</f>
        <v>0.37841545371748</v>
      </c>
      <c r="I79" s="69" t="n">
        <f aca="false">I76/I35</f>
        <v>0.134216922203702</v>
      </c>
      <c r="J79" s="69" t="n">
        <f aca="false">J76/J35</f>
        <v>0.37841545371748</v>
      </c>
      <c r="K79" s="69" t="n">
        <f aca="false">K76/K35</f>
        <v>0.268433844407404</v>
      </c>
      <c r="L79" s="69" t="n">
        <f aca="false">L76/L35</f>
        <v>0.756830907434959</v>
      </c>
      <c r="M79" s="69" t="n">
        <f aca="false">M76/M35</f>
        <v>0.0803694144932346</v>
      </c>
      <c r="N79" s="69" t="n">
        <f aca="false">N76/N35</f>
        <v>0.226596080070347</v>
      </c>
      <c r="O79" s="69" t="n">
        <f aca="false">O76/O35</f>
        <v>0.0402650766611105</v>
      </c>
      <c r="P79" s="69" t="n">
        <f aca="false">P76/P35</f>
        <v>0.113524636115244</v>
      </c>
      <c r="Q79" s="69" t="n">
        <f aca="false">Q76/Q35</f>
        <v>0.402650766611105</v>
      </c>
      <c r="R79" s="69" t="n">
        <f aca="false">R76/R35</f>
        <v>1.13524636115244</v>
      </c>
      <c r="S79" s="69" t="n">
        <f aca="false">S76/S35</f>
        <v>0.134216922203702</v>
      </c>
      <c r="T79" s="69" t="n">
        <f aca="false">T76/T35</f>
        <v>0.37841545371748</v>
      </c>
      <c r="U79" s="69" t="n">
        <f aca="false">U76/U35</f>
        <v>0.134216922203702</v>
      </c>
      <c r="V79" s="69" t="n">
        <f aca="false">V76/V35</f>
        <v>0.37841545371748</v>
      </c>
      <c r="W79" s="69" t="n">
        <f aca="false">W76/W35</f>
        <v>0.134216922203702</v>
      </c>
      <c r="X79" s="69" t="n">
        <f aca="false">X76/X35</f>
        <v>0.37841545371748</v>
      </c>
      <c r="Y79" s="69" t="n">
        <f aca="false">Y76/Y35</f>
        <v>0.134216922203702</v>
      </c>
      <c r="Z79" s="69" t="n">
        <f aca="false">Z76/Z35</f>
        <v>0.37841545371748</v>
      </c>
      <c r="AA79" s="69" t="n">
        <f aca="false">AA76/AA35</f>
        <v>0.134216922203702</v>
      </c>
      <c r="AB79" s="69" t="n">
        <f aca="false">AB76/AB35</f>
        <v>0.37841545371748</v>
      </c>
      <c r="AC79" s="69" t="n">
        <f aca="false">AC76/AC35</f>
        <v>0.134216922203702</v>
      </c>
      <c r="AD79" s="69" t="n">
        <f aca="false">AD76/AD35</f>
        <v>0.37841545371748</v>
      </c>
      <c r="AE79" s="69" t="n">
        <f aca="false">AE76/AE35</f>
        <v>0.134216922203702</v>
      </c>
      <c r="AF79" s="69" t="n">
        <f aca="false">AF76/AF35</f>
        <v>0.37841545371748</v>
      </c>
      <c r="AG79" s="69" t="n">
        <f aca="false">AG76/AG35</f>
        <v>0.134216922203702</v>
      </c>
      <c r="AH79" s="69" t="n">
        <f aca="false">AH76/AH35</f>
        <v>0.37841545371748</v>
      </c>
    </row>
    <row r="80" customFormat="false" ht="15" hidden="false" customHeight="false" outlineLevel="0" collapsed="false">
      <c r="A80" s="68" t="s">
        <v>1010</v>
      </c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</row>
    <row r="81" customFormat="false" ht="15" hidden="false" customHeight="false" outlineLevel="0" collapsed="false">
      <c r="A81" s="53" t="s">
        <v>1011</v>
      </c>
      <c r="B81" s="54" t="s">
        <v>904</v>
      </c>
      <c r="C81" s="88" t="n">
        <f aca="false">INDEX(Train_In!$C$35:$E$35,C$7)</f>
        <v>0.2</v>
      </c>
      <c r="D81" s="88" t="n">
        <f aca="false">INDEX(Train_In!$C$35:$E$35,D$7)</f>
        <v>0.2</v>
      </c>
      <c r="E81" s="88" t="n">
        <f aca="false">INDEX(Train_In!$C$35:$E$35,E$7)</f>
        <v>0.2</v>
      </c>
      <c r="F81" s="88" t="n">
        <f aca="false">INDEX(Train_In!$C$35:$E$35,F$7)</f>
        <v>0.2</v>
      </c>
      <c r="G81" s="88" t="n">
        <f aca="false">INDEX(Train_In!$C$35:$E$35,G$7)</f>
        <v>0.2</v>
      </c>
      <c r="H81" s="88" t="n">
        <f aca="false">INDEX(Train_In!$C$35:$E$35,H$7)</f>
        <v>0.2</v>
      </c>
      <c r="I81" s="88" t="n">
        <f aca="false">INDEX(Train_In!$C$35:$E$35,I$7)</f>
        <v>0.2</v>
      </c>
      <c r="J81" s="88" t="n">
        <f aca="false">INDEX(Train_In!$C$35:$E$35,J$7)</f>
        <v>0.2</v>
      </c>
      <c r="K81" s="88" t="n">
        <f aca="false">INDEX(Train_In!$C$35:$E$35,K$7)</f>
        <v>0.2</v>
      </c>
      <c r="L81" s="88" t="n">
        <f aca="false">INDEX(Train_In!$C$35:$E$35,L$7)</f>
        <v>0.2</v>
      </c>
      <c r="M81" s="88" t="n">
        <f aca="false">INDEX(Train_In!$C$35:$E$35,M$7)</f>
        <v>0.2</v>
      </c>
      <c r="N81" s="88" t="n">
        <f aca="false">INDEX(Train_In!$C$35:$E$35,N$7)</f>
        <v>0.2</v>
      </c>
      <c r="O81" s="88" t="n">
        <f aca="false">INDEX(Train_In!$C$35:$E$35,O$7)</f>
        <v>0.2</v>
      </c>
      <c r="P81" s="88" t="n">
        <f aca="false">INDEX(Train_In!$C$35:$E$35,P$7)</f>
        <v>0.2</v>
      </c>
      <c r="Q81" s="88" t="n">
        <f aca="false">INDEX(Train_In!$C$35:$E$35,Q$7)</f>
        <v>0.2</v>
      </c>
      <c r="R81" s="88" t="n">
        <f aca="false">INDEX(Train_In!$C$35:$E$35,R$7)</f>
        <v>0.2</v>
      </c>
      <c r="S81" s="88" t="n">
        <f aca="false">INDEX(Train_In!$C$35:$E$35,S$7)</f>
        <v>0.2</v>
      </c>
      <c r="T81" s="88" t="n">
        <f aca="false">INDEX(Train_In!$C$35:$E$35,T$7)</f>
        <v>0.2</v>
      </c>
      <c r="U81" s="88" t="n">
        <f aca="false">INDEX(Train_In!$C$35:$E$35,U$7)</f>
        <v>0.2</v>
      </c>
      <c r="V81" s="88" t="n">
        <f aca="false">INDEX(Train_In!$C$35:$E$35,V$7)</f>
        <v>0.2</v>
      </c>
      <c r="W81" s="88" t="n">
        <f aca="false">INDEX(Train_In!$C$35:$E$35,W$7)</f>
        <v>0.2</v>
      </c>
      <c r="X81" s="88" t="n">
        <f aca="false">INDEX(Train_In!$C$35:$E$35,X$7)</f>
        <v>0.2</v>
      </c>
      <c r="Y81" s="88" t="n">
        <f aca="false">INDEX(Train_In!$C$35:$E$35,Y$7)</f>
        <v>0.2</v>
      </c>
      <c r="Z81" s="88" t="n">
        <f aca="false">INDEX(Train_In!$C$35:$E$35,Z$7)</f>
        <v>0.2</v>
      </c>
      <c r="AA81" s="88" t="n">
        <f aca="false">INDEX(Train_In!$C$35:$E$35,AA$7)</f>
        <v>0.2</v>
      </c>
      <c r="AB81" s="88" t="n">
        <f aca="false">INDEX(Train_In!$C$35:$E$35,AB$7)</f>
        <v>0.2</v>
      </c>
      <c r="AC81" s="88" t="n">
        <f aca="false">INDEX(Train_In!$C$35:$E$35,AC$7)</f>
        <v>0.2</v>
      </c>
      <c r="AD81" s="88" t="n">
        <f aca="false">INDEX(Train_In!$C$35:$E$35,AD$7)</f>
        <v>0.2</v>
      </c>
      <c r="AE81" s="88" t="n">
        <f aca="false">INDEX(Train_In!$C$35:$E$35,AE$7)</f>
        <v>0.2</v>
      </c>
      <c r="AF81" s="88" t="n">
        <f aca="false">INDEX(Train_In!$C$35:$E$35,AF$7)</f>
        <v>0.2</v>
      </c>
      <c r="AG81" s="88" t="n">
        <f aca="false">INDEX(Train_In!$C$35:$E$35,AG$7)</f>
        <v>0.2</v>
      </c>
      <c r="AH81" s="88" t="n">
        <f aca="false">INDEX(Train_In!$C$35:$E$35,AH$7)</f>
        <v>0.2</v>
      </c>
    </row>
    <row r="82" customFormat="false" ht="15" hidden="false" customHeight="false" outlineLevel="0" collapsed="false">
      <c r="A82" s="53" t="s">
        <v>1012</v>
      </c>
      <c r="B82" s="53"/>
      <c r="C82" s="82" t="n">
        <f aca="false">INDEX(Train_In!$C$36:$E$36,C$7)</f>
        <v>2</v>
      </c>
      <c r="D82" s="82" t="n">
        <f aca="false">INDEX(Train_In!$C$36:$E$36,D$7)</f>
        <v>3</v>
      </c>
      <c r="E82" s="82" t="n">
        <f aca="false">INDEX(Train_In!$C$36:$E$36,E$7)</f>
        <v>2</v>
      </c>
      <c r="F82" s="82" t="n">
        <f aca="false">INDEX(Train_In!$C$36:$E$36,F$7)</f>
        <v>3</v>
      </c>
      <c r="G82" s="82" t="n">
        <f aca="false">INDEX(Train_In!$C$36:$E$36,G$7)</f>
        <v>2</v>
      </c>
      <c r="H82" s="82" t="n">
        <f aca="false">INDEX(Train_In!$C$36:$E$36,H$7)</f>
        <v>3</v>
      </c>
      <c r="I82" s="82" t="n">
        <f aca="false">INDEX(Train_In!$C$36:$E$36,I$7)</f>
        <v>2</v>
      </c>
      <c r="J82" s="82" t="n">
        <f aca="false">INDEX(Train_In!$C$36:$E$36,J$7)</f>
        <v>3</v>
      </c>
      <c r="K82" s="82" t="n">
        <f aca="false">INDEX(Train_In!$C$36:$E$36,K$7)</f>
        <v>2</v>
      </c>
      <c r="L82" s="82" t="n">
        <f aca="false">INDEX(Train_In!$C$36:$E$36,L$7)</f>
        <v>3</v>
      </c>
      <c r="M82" s="82" t="n">
        <f aca="false">INDEX(Train_In!$C$36:$E$36,M$7)</f>
        <v>2</v>
      </c>
      <c r="N82" s="82" t="n">
        <f aca="false">INDEX(Train_In!$C$36:$E$36,N$7)</f>
        <v>3</v>
      </c>
      <c r="O82" s="82" t="n">
        <f aca="false">INDEX(Train_In!$C$36:$E$36,O$7)</f>
        <v>2</v>
      </c>
      <c r="P82" s="82" t="n">
        <f aca="false">INDEX(Train_In!$C$36:$E$36,P$7)</f>
        <v>3</v>
      </c>
      <c r="Q82" s="82" t="n">
        <f aca="false">INDEX(Train_In!$C$36:$E$36,Q$7)</f>
        <v>2</v>
      </c>
      <c r="R82" s="82" t="n">
        <f aca="false">INDEX(Train_In!$C$36:$E$36,R$7)</f>
        <v>3</v>
      </c>
      <c r="S82" s="82" t="n">
        <f aca="false">INDEX(Train_In!$C$36:$E$36,S$7)</f>
        <v>2</v>
      </c>
      <c r="T82" s="82" t="n">
        <f aca="false">INDEX(Train_In!$C$36:$E$36,T$7)</f>
        <v>3</v>
      </c>
      <c r="U82" s="82" t="n">
        <f aca="false">INDEX(Train_In!$C$36:$E$36,U$7)</f>
        <v>2</v>
      </c>
      <c r="V82" s="82" t="n">
        <f aca="false">INDEX(Train_In!$C$36:$E$36,V$7)</f>
        <v>3</v>
      </c>
      <c r="W82" s="82" t="n">
        <f aca="false">INDEX(Train_In!$C$36:$E$36,W$7)</f>
        <v>2</v>
      </c>
      <c r="X82" s="82" t="n">
        <f aca="false">INDEX(Train_In!$C$36:$E$36,X$7)</f>
        <v>3</v>
      </c>
      <c r="Y82" s="82" t="n">
        <f aca="false">INDEX(Train_In!$C$36:$E$36,Y$7)</f>
        <v>2</v>
      </c>
      <c r="Z82" s="82" t="n">
        <f aca="false">INDEX(Train_In!$C$36:$E$36,Z$7)</f>
        <v>3</v>
      </c>
      <c r="AA82" s="82" t="n">
        <f aca="false">INDEX(Train_In!$C$36:$E$36,AA$7)</f>
        <v>2</v>
      </c>
      <c r="AB82" s="82" t="n">
        <f aca="false">INDEX(Train_In!$C$36:$E$36,AB$7)</f>
        <v>3</v>
      </c>
      <c r="AC82" s="82" t="n">
        <f aca="false">INDEX(Train_In!$C$36:$E$36,AC$7)</f>
        <v>2</v>
      </c>
      <c r="AD82" s="82" t="n">
        <f aca="false">INDEX(Train_In!$C$36:$E$36,AD$7)</f>
        <v>3</v>
      </c>
      <c r="AE82" s="82" t="n">
        <f aca="false">INDEX(Train_In!$C$36:$E$36,AE$7)</f>
        <v>2</v>
      </c>
      <c r="AF82" s="82" t="n">
        <f aca="false">INDEX(Train_In!$C$36:$E$36,AF$7)</f>
        <v>3</v>
      </c>
      <c r="AG82" s="82" t="n">
        <f aca="false">INDEX(Train_In!$C$36:$E$36,AG$7)</f>
        <v>2</v>
      </c>
      <c r="AH82" s="82" t="n">
        <f aca="false">INDEX(Train_In!$C$36:$E$36,AH$7)</f>
        <v>3</v>
      </c>
    </row>
    <row r="83" customFormat="false" ht="15" hidden="false" customHeight="false" outlineLevel="0" collapsed="false">
      <c r="A83" s="53" t="s">
        <v>1013</v>
      </c>
      <c r="B83" s="54" t="s">
        <v>904</v>
      </c>
      <c r="C83" s="64" t="n">
        <f aca="false">C81*1000000000000/C55*(C54+C55)/1000000000000</f>
        <v>0.3</v>
      </c>
      <c r="D83" s="64" t="n">
        <f aca="false">D81*1000000000000/D55*(D54+D55)/1000000000000</f>
        <v>0.3</v>
      </c>
      <c r="E83" s="64" t="n">
        <f aca="false">E81*1000000000000/E55*(E54+E55)/1000000000000</f>
        <v>0.3</v>
      </c>
      <c r="F83" s="64" t="n">
        <f aca="false">F81*1000000000000/F55*(F54+F55)/1000000000000</f>
        <v>0.3</v>
      </c>
      <c r="G83" s="64" t="n">
        <f aca="false">G81*1000000000000/G55*(G54+G55)/1000000000000</f>
        <v>0.3</v>
      </c>
      <c r="H83" s="64" t="n">
        <f aca="false">H81*1000000000000/H55*(H54+H55)/1000000000000</f>
        <v>0.3</v>
      </c>
      <c r="I83" s="64" t="n">
        <f aca="false">I81*1000000000000/I55*(I54+I55)/1000000000000</f>
        <v>0.3</v>
      </c>
      <c r="J83" s="64" t="n">
        <f aca="false">J81*1000000000000/J55*(J54+J55)/1000000000000</f>
        <v>0.3</v>
      </c>
      <c r="K83" s="64" t="n">
        <f aca="false">K81*1000000000000/K55*(K54+K55)/1000000000000</f>
        <v>0.3</v>
      </c>
      <c r="L83" s="64" t="n">
        <f aca="false">L81*1000000000000/L55*(L54+L55)/1000000000000</f>
        <v>0.3</v>
      </c>
      <c r="M83" s="64" t="n">
        <f aca="false">M81*1000000000000/M55*(M54+M55)/1000000000000</f>
        <v>0.3</v>
      </c>
      <c r="N83" s="64" t="n">
        <f aca="false">N81*1000000000000/N55*(N54+N55)/1000000000000</f>
        <v>0.3</v>
      </c>
      <c r="O83" s="64" t="n">
        <f aca="false">O81*1000000000000/O55*(O54+O55)/1000000000000</f>
        <v>0.3</v>
      </c>
      <c r="P83" s="64" t="n">
        <f aca="false">P81*1000000000000/P55*(P54+P55)/1000000000000</f>
        <v>0.3</v>
      </c>
      <c r="Q83" s="64" t="n">
        <f aca="false">Q81*1000000000000/Q55*(Q54+Q55)/1000000000000</f>
        <v>0.3</v>
      </c>
      <c r="R83" s="64" t="n">
        <f aca="false">R81*1000000000000/R55*(R54+R55)/1000000000000</f>
        <v>0.3</v>
      </c>
      <c r="S83" s="64" t="n">
        <f aca="false">S81*1000000000000/S55*(S54+S55)/1000000000000</f>
        <v>0.3</v>
      </c>
      <c r="T83" s="64" t="n">
        <f aca="false">T81*1000000000000/T55*(T54+T55)/1000000000000</f>
        <v>0.3</v>
      </c>
      <c r="U83" s="64" t="n">
        <f aca="false">U81*1000000000000/U55*(U54+U55)/1000000000000</f>
        <v>0.3</v>
      </c>
      <c r="V83" s="64" t="n">
        <f aca="false">V81*1000000000000/V55*(V54+V55)/1000000000000</f>
        <v>0.3</v>
      </c>
      <c r="W83" s="64" t="n">
        <f aca="false">W81*1000000000000/W55*(W54+W55)/1000000000000</f>
        <v>0.3</v>
      </c>
      <c r="X83" s="64" t="n">
        <f aca="false">X81*1000000000000/X55*(X54+X55)/1000000000000</f>
        <v>0.3</v>
      </c>
      <c r="Y83" s="64" t="n">
        <f aca="false">Y81*1000000000000/Y55*(Y54+Y55)/1000000000000</f>
        <v>0.3</v>
      </c>
      <c r="Z83" s="64" t="n">
        <f aca="false">Z81*1000000000000/Z55*(Z54+Z55)/1000000000000</f>
        <v>0.3</v>
      </c>
      <c r="AA83" s="64" t="n">
        <f aca="false">AA81*1000000000000/AA55*(AA54+AA55)/1000000000000</f>
        <v>0.3</v>
      </c>
      <c r="AB83" s="64" t="n">
        <f aca="false">AB81*1000000000000/AB55*(AB54+AB55)/1000000000000</f>
        <v>0.3</v>
      </c>
      <c r="AC83" s="64" t="n">
        <f aca="false">AC81*1000000000000/AC55*(AC54+AC55)/1000000000000</f>
        <v>0.3</v>
      </c>
      <c r="AD83" s="64" t="n">
        <f aca="false">AD81*1000000000000/AD55*(AD54+AD55)/1000000000000</f>
        <v>0.3</v>
      </c>
      <c r="AE83" s="64" t="n">
        <f aca="false">AE81*1000000000000/AE55*(AE54+AE55)/1000000000000</f>
        <v>0.3</v>
      </c>
      <c r="AF83" s="64" t="n">
        <f aca="false">AF81*1000000000000/AF55*(AF54+AF55)/1000000000000</f>
        <v>0.3</v>
      </c>
      <c r="AG83" s="64" t="n">
        <f aca="false">AG81*1000000000000/AG55*(AG54+AG55)/1000000000000</f>
        <v>0.3</v>
      </c>
      <c r="AH83" s="64" t="n">
        <f aca="false">AH81*1000000000000/AH55*(AH54+AH55)/1000000000000</f>
        <v>0.3</v>
      </c>
    </row>
    <row r="84" customFormat="false" ht="15" hidden="false" customHeight="false" outlineLevel="0" collapsed="false">
      <c r="A84" s="53" t="s">
        <v>1014</v>
      </c>
      <c r="B84" s="54" t="s">
        <v>754</v>
      </c>
      <c r="C84" s="91" t="n">
        <f aca="false">INDEX(Perf_Batch!$C$101:$Q$101,3*(C$6-1)+C82)</f>
        <v>12.5261781471817</v>
      </c>
      <c r="D84" s="91" t="n">
        <f aca="false">INDEX(Perf_Batch!$C$101:$Q$101,3*(D$6-1)+D82)</f>
        <v>38.1205065142857</v>
      </c>
      <c r="E84" s="91" t="n">
        <f aca="false">INDEX(Perf_Batch!$C$101:$Q$101,3*(E$6-1)+E82)</f>
        <v>12.5261781471817</v>
      </c>
      <c r="F84" s="91" t="n">
        <f aca="false">INDEX(Perf_Batch!$C$101:$Q$101,3*(F$6-1)+F82)</f>
        <v>38.1205065142857</v>
      </c>
      <c r="G84" s="91" t="n">
        <f aca="false">INDEX(Perf_Batch!$C$101:$Q$101,3*(G$6-1)+G82)</f>
        <v>12.5261781471817</v>
      </c>
      <c r="H84" s="91" t="n">
        <f aca="false">INDEX(Perf_Batch!$C$101:$Q$101,3*(H$6-1)+H82)</f>
        <v>38.1205065142857</v>
      </c>
      <c r="I84" s="91" t="n">
        <f aca="false">INDEX(Perf_Batch!$C$101:$Q$101,3*(I$6-1)+I82)</f>
        <v>12.5261781471817</v>
      </c>
      <c r="J84" s="91" t="n">
        <f aca="false">INDEX(Perf_Batch!$C$101:$Q$101,3*(J$6-1)+J82)</f>
        <v>38.1205065142857</v>
      </c>
      <c r="K84" s="91" t="n">
        <f aca="false">INDEX(Perf_Batch!$C$101:$Q$101,3*(K$6-1)+K82)</f>
        <v>12.5261781471817</v>
      </c>
      <c r="L84" s="91" t="n">
        <f aca="false">INDEX(Perf_Batch!$C$101:$Q$101,3*(L$6-1)+L82)</f>
        <v>38.1205065142857</v>
      </c>
      <c r="M84" s="91" t="n">
        <f aca="false">INDEX(Perf_Batch!$C$101:$Q$101,3*(M$6-1)+M82)</f>
        <v>12.5261781471817</v>
      </c>
      <c r="N84" s="91" t="n">
        <f aca="false">INDEX(Perf_Batch!$C$101:$Q$101,3*(N$6-1)+N82)</f>
        <v>38.1205065142857</v>
      </c>
      <c r="O84" s="91" t="n">
        <f aca="false">INDEX(Perf_Batch!$C$101:$Q$101,3*(O$6-1)+O82)</f>
        <v>12.5261781471817</v>
      </c>
      <c r="P84" s="91" t="n">
        <f aca="false">INDEX(Perf_Batch!$C$101:$Q$101,3*(P$6-1)+P82)</f>
        <v>38.1205065142857</v>
      </c>
      <c r="Q84" s="91" t="n">
        <f aca="false">INDEX(Perf_Batch!$C$101:$Q$101,3*(Q$6-1)+Q82)</f>
        <v>12.5261781471817</v>
      </c>
      <c r="R84" s="91" t="n">
        <f aca="false">INDEX(Perf_Batch!$C$101:$Q$101,3*(R$6-1)+R82)</f>
        <v>38.1205065142857</v>
      </c>
      <c r="S84" s="91" t="n">
        <f aca="false">INDEX(Perf_Batch!$C$101:$Q$101,3*(S$6-1)+S82)</f>
        <v>12.5261781471817</v>
      </c>
      <c r="T84" s="91" t="n">
        <f aca="false">INDEX(Perf_Batch!$C$101:$Q$101,3*(T$6-1)+T82)</f>
        <v>38.1205065142857</v>
      </c>
      <c r="U84" s="91" t="n">
        <f aca="false">INDEX(Perf_Batch!$C$101:$Q$101,3*(U$6-1)+U82)</f>
        <v>12.5261781471817</v>
      </c>
      <c r="V84" s="91" t="n">
        <f aca="false">INDEX(Perf_Batch!$C$101:$Q$101,3*(V$6-1)+V82)</f>
        <v>38.1205065142857</v>
      </c>
      <c r="W84" s="91" t="n">
        <f aca="false">INDEX(Perf_Batch!$C$101:$Q$101,3*(W$6-1)+W82)</f>
        <v>12.5261781471817</v>
      </c>
      <c r="X84" s="91" t="n">
        <f aca="false">INDEX(Perf_Batch!$C$101:$Q$101,3*(X$6-1)+X82)</f>
        <v>38.1205065142857</v>
      </c>
      <c r="Y84" s="91" t="n">
        <f aca="false">INDEX(Perf_Batch!$C$101:$Q$101,3*(Y$6-1)+Y82)</f>
        <v>12.5261781471817</v>
      </c>
      <c r="Z84" s="91" t="n">
        <f aca="false">INDEX(Perf_Batch!$C$101:$Q$101,3*(Z$6-1)+Z82)</f>
        <v>38.1205065142857</v>
      </c>
      <c r="AA84" s="91" t="n">
        <f aca="false">INDEX(Perf_Batch!$C$101:$Q$101,3*(AA$6-1)+AA82)</f>
        <v>12.5261781471817</v>
      </c>
      <c r="AB84" s="91" t="n">
        <f aca="false">INDEX(Perf_Batch!$C$101:$Q$101,3*(AB$6-1)+AB82)</f>
        <v>38.1205065142857</v>
      </c>
      <c r="AC84" s="91" t="n">
        <f aca="false">INDEX(Perf_Batch!$C$101:$Q$101,3*(AC$6-1)+AC82)</f>
        <v>12.5261781471817</v>
      </c>
      <c r="AD84" s="91" t="n">
        <f aca="false">INDEX(Perf_Batch!$C$101:$Q$101,3*(AD$6-1)+AD82)</f>
        <v>38.1205065142857</v>
      </c>
      <c r="AE84" s="91" t="n">
        <f aca="false">INDEX(Perf_Batch!$C$101:$Q$101,3*(AE$6-1)+AE82)</f>
        <v>12.5261781471817</v>
      </c>
      <c r="AF84" s="91" t="n">
        <f aca="false">INDEX(Perf_Batch!$C$101:$Q$101,3*(AF$6-1)+AF82)</f>
        <v>38.1205065142857</v>
      </c>
      <c r="AG84" s="91" t="n">
        <f aca="false">INDEX(Perf_Batch!$C$101:$Q$101,3*(AG$6-1)+AG82)</f>
        <v>12.5261781471817</v>
      </c>
      <c r="AH84" s="91" t="n">
        <f aca="false">INDEX(Perf_Batch!$C$101:$Q$101,3*(AH$6-1)+AH82)</f>
        <v>38.1205065142857</v>
      </c>
    </row>
    <row r="85" customFormat="false" ht="15" hidden="false" customHeight="false" outlineLevel="0" collapsed="false">
      <c r="A85" s="53" t="s">
        <v>1015</v>
      </c>
      <c r="B85" s="54" t="s">
        <v>448</v>
      </c>
      <c r="C85" s="91" t="n">
        <f aca="false">INDEX(Perf_Batch!$C$67:$Q$67,3*(C$6-1)+C82)</f>
        <v>131.524870545408</v>
      </c>
      <c r="D85" s="91" t="n">
        <f aca="false">INDEX(Perf_Batch!$C$67:$Q$67,3*(D$6-1)+D82)</f>
        <v>400.2653184</v>
      </c>
      <c r="E85" s="91" t="n">
        <f aca="false">INDEX(Perf_Batch!$C$67:$Q$67,3*(E$6-1)+E82)</f>
        <v>131.524870545408</v>
      </c>
      <c r="F85" s="91" t="n">
        <f aca="false">INDEX(Perf_Batch!$C$67:$Q$67,3*(F$6-1)+F82)</f>
        <v>400.2653184</v>
      </c>
      <c r="G85" s="91" t="n">
        <f aca="false">INDEX(Perf_Batch!$C$67:$Q$67,3*(G$6-1)+G82)</f>
        <v>131.524870545408</v>
      </c>
      <c r="H85" s="91" t="n">
        <f aca="false">INDEX(Perf_Batch!$C$67:$Q$67,3*(H$6-1)+H82)</f>
        <v>400.2653184</v>
      </c>
      <c r="I85" s="91" t="n">
        <f aca="false">INDEX(Perf_Batch!$C$67:$Q$67,3*(I$6-1)+I82)</f>
        <v>131.524870545408</v>
      </c>
      <c r="J85" s="91" t="n">
        <f aca="false">INDEX(Perf_Batch!$C$67:$Q$67,3*(J$6-1)+J82)</f>
        <v>400.2653184</v>
      </c>
      <c r="K85" s="91" t="n">
        <f aca="false">INDEX(Perf_Batch!$C$67:$Q$67,3*(K$6-1)+K82)</f>
        <v>131.524870545408</v>
      </c>
      <c r="L85" s="91" t="n">
        <f aca="false">INDEX(Perf_Batch!$C$67:$Q$67,3*(L$6-1)+L82)</f>
        <v>400.2653184</v>
      </c>
      <c r="M85" s="91" t="n">
        <f aca="false">INDEX(Perf_Batch!$C$67:$Q$67,3*(M$6-1)+M82)</f>
        <v>131.524870545408</v>
      </c>
      <c r="N85" s="91" t="n">
        <f aca="false">INDEX(Perf_Batch!$C$67:$Q$67,3*(N$6-1)+N82)</f>
        <v>400.2653184</v>
      </c>
      <c r="O85" s="91" t="n">
        <f aca="false">INDEX(Perf_Batch!$C$67:$Q$67,3*(O$6-1)+O82)</f>
        <v>131.524870545408</v>
      </c>
      <c r="P85" s="91" t="n">
        <f aca="false">INDEX(Perf_Batch!$C$67:$Q$67,3*(P$6-1)+P82)</f>
        <v>400.2653184</v>
      </c>
      <c r="Q85" s="91" t="n">
        <f aca="false">INDEX(Perf_Batch!$C$67:$Q$67,3*(Q$6-1)+Q82)</f>
        <v>131.524870545408</v>
      </c>
      <c r="R85" s="91" t="n">
        <f aca="false">INDEX(Perf_Batch!$C$67:$Q$67,3*(R$6-1)+R82)</f>
        <v>400.2653184</v>
      </c>
      <c r="S85" s="91" t="n">
        <f aca="false">INDEX(Perf_Batch!$C$67:$Q$67,3*(S$6-1)+S82)</f>
        <v>131.524870545408</v>
      </c>
      <c r="T85" s="91" t="n">
        <f aca="false">INDEX(Perf_Batch!$C$67:$Q$67,3*(T$6-1)+T82)</f>
        <v>400.2653184</v>
      </c>
      <c r="U85" s="91" t="n">
        <f aca="false">INDEX(Perf_Batch!$C$67:$Q$67,3*(U$6-1)+U82)</f>
        <v>131.524870545408</v>
      </c>
      <c r="V85" s="91" t="n">
        <f aca="false">INDEX(Perf_Batch!$C$67:$Q$67,3*(V$6-1)+V82)</f>
        <v>400.2653184</v>
      </c>
      <c r="W85" s="91" t="n">
        <f aca="false">INDEX(Perf_Batch!$C$67:$Q$67,3*(W$6-1)+W82)</f>
        <v>131.524870545408</v>
      </c>
      <c r="X85" s="91" t="n">
        <f aca="false">INDEX(Perf_Batch!$C$67:$Q$67,3*(X$6-1)+X82)</f>
        <v>400.2653184</v>
      </c>
      <c r="Y85" s="91" t="n">
        <f aca="false">INDEX(Perf_Batch!$C$67:$Q$67,3*(Y$6-1)+Y82)</f>
        <v>131.524870545408</v>
      </c>
      <c r="Z85" s="91" t="n">
        <f aca="false">INDEX(Perf_Batch!$C$67:$Q$67,3*(Z$6-1)+Z82)</f>
        <v>400.2653184</v>
      </c>
      <c r="AA85" s="91" t="n">
        <f aca="false">INDEX(Perf_Batch!$C$67:$Q$67,3*(AA$6-1)+AA82)</f>
        <v>131.524870545408</v>
      </c>
      <c r="AB85" s="91" t="n">
        <f aca="false">INDEX(Perf_Batch!$C$67:$Q$67,3*(AB$6-1)+AB82)</f>
        <v>400.2653184</v>
      </c>
      <c r="AC85" s="91" t="n">
        <f aca="false">INDEX(Perf_Batch!$C$67:$Q$67,3*(AC$6-1)+AC82)</f>
        <v>131.524870545408</v>
      </c>
      <c r="AD85" s="91" t="n">
        <f aca="false">INDEX(Perf_Batch!$C$67:$Q$67,3*(AD$6-1)+AD82)</f>
        <v>400.2653184</v>
      </c>
      <c r="AE85" s="91" t="n">
        <f aca="false">INDEX(Perf_Batch!$C$67:$Q$67,3*(AE$6-1)+AE82)</f>
        <v>131.524870545408</v>
      </c>
      <c r="AF85" s="91" t="n">
        <f aca="false">INDEX(Perf_Batch!$C$67:$Q$67,3*(AF$6-1)+AF82)</f>
        <v>400.2653184</v>
      </c>
      <c r="AG85" s="91" t="n">
        <f aca="false">INDEX(Perf_Batch!$C$67:$Q$67,3*(AG$6-1)+AG82)</f>
        <v>131.524870545408</v>
      </c>
      <c r="AH85" s="91" t="n">
        <f aca="false">INDEX(Perf_Batch!$C$67:$Q$67,3*(AH$6-1)+AH82)</f>
        <v>400.2653184</v>
      </c>
    </row>
    <row r="86" customFormat="false" ht="15" hidden="false" customHeight="false" outlineLevel="0" collapsed="false">
      <c r="A86" s="53" t="s">
        <v>1016</v>
      </c>
      <c r="B86" s="54" t="s">
        <v>972</v>
      </c>
      <c r="C86" s="60" t="n">
        <f aca="false">C81*1000000*C59/3600/C64</f>
        <v>12199.0219539707</v>
      </c>
      <c r="D86" s="60" t="n">
        <f aca="false">D81*1000000*D59/3600/D64</f>
        <v>52004.2957535306</v>
      </c>
      <c r="E86" s="60" t="n">
        <f aca="false">E81*1000000*E59/3600/E64</f>
        <v>12199.0219539707</v>
      </c>
      <c r="F86" s="60" t="n">
        <f aca="false">F81*1000000*F59/3600/F64</f>
        <v>52004.2957535306</v>
      </c>
      <c r="G86" s="60" t="n">
        <f aca="false">G81*1000000*G59/3600/G64</f>
        <v>12199.0219539707</v>
      </c>
      <c r="H86" s="60" t="n">
        <f aca="false">H81*1000000*H59/3600/H64</f>
        <v>52004.2957535306</v>
      </c>
      <c r="I86" s="60" t="n">
        <f aca="false">I81*1000000*I59/3600/I64</f>
        <v>12199.0219539707</v>
      </c>
      <c r="J86" s="60" t="n">
        <f aca="false">J81*1000000*J59/3600/J64</f>
        <v>52004.2957535306</v>
      </c>
      <c r="K86" s="60" t="n">
        <f aca="false">K81*1000000*K59/3600/K64</f>
        <v>12199.0219539707</v>
      </c>
      <c r="L86" s="60" t="n">
        <f aca="false">L81*1000000*L59/3600/L64</f>
        <v>52004.2957535306</v>
      </c>
      <c r="M86" s="60" t="n">
        <f aca="false">M81*1000000*M59/3600/M64</f>
        <v>12199.0219539707</v>
      </c>
      <c r="N86" s="60" t="n">
        <f aca="false">N81*1000000*N59/3600/N64</f>
        <v>52004.2957535306</v>
      </c>
      <c r="O86" s="60" t="n">
        <f aca="false">O81*1000000*O59/3600/O64</f>
        <v>12199.0219539707</v>
      </c>
      <c r="P86" s="60" t="n">
        <f aca="false">P81*1000000*P59/3600/P64</f>
        <v>52004.2957535306</v>
      </c>
      <c r="Q86" s="60" t="n">
        <f aca="false">Q81*1000000*Q59/3600/Q64</f>
        <v>12199.0219539707</v>
      </c>
      <c r="R86" s="60" t="n">
        <f aca="false">R81*1000000*R59/3600/R64</f>
        <v>52004.2957535306</v>
      </c>
      <c r="S86" s="60" t="n">
        <f aca="false">S81*1000000*S59/3600/S64</f>
        <v>17281.9477681252</v>
      </c>
      <c r="T86" s="60" t="n">
        <f aca="false">T81*1000000*T59/3600/T64</f>
        <v>73672.7523175017</v>
      </c>
      <c r="U86" s="60" t="n">
        <f aca="false">U81*1000000*U59/3600/U64</f>
        <v>10914.9143798685</v>
      </c>
      <c r="V86" s="60" t="n">
        <f aca="false">V81*1000000*V59/3600/V64</f>
        <v>46530.1593584221</v>
      </c>
      <c r="W86" s="60" t="n">
        <f aca="false">W81*1000000*W59/3600/W64</f>
        <v>24609.6925975813</v>
      </c>
      <c r="X86" s="60" t="n">
        <f aca="false">X81*1000000*X59/3600/X64</f>
        <v>105467.756760022</v>
      </c>
      <c r="Y86" s="60" t="n">
        <f aca="false">Y81*1000000*Y59/3600/Y64</f>
        <v>12199.0219539707</v>
      </c>
      <c r="Z86" s="60" t="n">
        <f aca="false">Z81*1000000*Z59/3600/Z64</f>
        <v>52004.2957535306</v>
      </c>
      <c r="AA86" s="60" t="n">
        <f aca="false">AA81*1000000*AA59/3600/AA64</f>
        <v>12199.0219539707</v>
      </c>
      <c r="AB86" s="60" t="n">
        <f aca="false">AB81*1000000*AB59/3600/AB64</f>
        <v>52004.2957535306</v>
      </c>
      <c r="AC86" s="60" t="n">
        <f aca="false">AC81*1000000*AC59/3600/AC64</f>
        <v>12199.0219539707</v>
      </c>
      <c r="AD86" s="60" t="n">
        <f aca="false">AD81*1000000*AD59/3600/AD64</f>
        <v>52004.2957535306</v>
      </c>
      <c r="AE86" s="60" t="n">
        <f aca="false">AE81*1000000*AE59/3600/AE64</f>
        <v>12199.0219539707</v>
      </c>
      <c r="AF86" s="60" t="n">
        <f aca="false">AF81*1000000*AF59/3600/AF64</f>
        <v>52004.2957535306</v>
      </c>
      <c r="AG86" s="60" t="n">
        <f aca="false">AG81*1000000*AG59/3600/AG64</f>
        <v>12199.0219539707</v>
      </c>
      <c r="AH86" s="60" t="n">
        <f aca="false">AH81*1000000*AH59/3600/AH64</f>
        <v>52004.2957535306</v>
      </c>
    </row>
    <row r="87" customFormat="false" ht="15" hidden="false" customHeight="false" outlineLevel="0" collapsed="false">
      <c r="A87" s="53" t="s">
        <v>1017</v>
      </c>
      <c r="B87" s="54" t="s">
        <v>972</v>
      </c>
      <c r="C87" s="60" t="n">
        <f aca="false">C83*1000000*C84/3600</f>
        <v>1043.84817893181</v>
      </c>
      <c r="D87" s="60" t="n">
        <f aca="false">D83*1000000*D84/3600</f>
        <v>3176.70887619048</v>
      </c>
      <c r="E87" s="60" t="n">
        <f aca="false">E83*1000000*E84/3600</f>
        <v>1043.84817893181</v>
      </c>
      <c r="F87" s="60" t="n">
        <f aca="false">F83*1000000*F84/3600</f>
        <v>3176.70887619048</v>
      </c>
      <c r="G87" s="60" t="n">
        <f aca="false">G83*1000000*G84/3600</f>
        <v>1043.84817893181</v>
      </c>
      <c r="H87" s="60" t="n">
        <f aca="false">H83*1000000*H84/3600</f>
        <v>3176.70887619048</v>
      </c>
      <c r="I87" s="60" t="n">
        <f aca="false">I83*1000000*I84/3600</f>
        <v>1043.84817893181</v>
      </c>
      <c r="J87" s="60" t="n">
        <f aca="false">J83*1000000*J84/3600</f>
        <v>3176.70887619048</v>
      </c>
      <c r="K87" s="60" t="n">
        <f aca="false">K83*1000000*K84/3600</f>
        <v>1043.84817893181</v>
      </c>
      <c r="L87" s="60" t="n">
        <f aca="false">L83*1000000*L84/3600</f>
        <v>3176.70887619048</v>
      </c>
      <c r="M87" s="60" t="n">
        <f aca="false">M83*1000000*M84/3600</f>
        <v>1043.84817893181</v>
      </c>
      <c r="N87" s="60" t="n">
        <f aca="false">N83*1000000*N84/3600</f>
        <v>3176.70887619048</v>
      </c>
      <c r="O87" s="60" t="n">
        <f aca="false">O83*1000000*O84/3600</f>
        <v>1043.84817893181</v>
      </c>
      <c r="P87" s="60" t="n">
        <f aca="false">P83*1000000*P84/3600</f>
        <v>3176.70887619048</v>
      </c>
      <c r="Q87" s="60" t="n">
        <f aca="false">Q83*1000000*Q84/3600</f>
        <v>1043.84817893181</v>
      </c>
      <c r="R87" s="60" t="n">
        <f aca="false">R83*1000000*R84/3600</f>
        <v>3176.70887619048</v>
      </c>
      <c r="S87" s="60" t="n">
        <f aca="false">S83*1000000*S84/3600</f>
        <v>1043.84817893181</v>
      </c>
      <c r="T87" s="60" t="n">
        <f aca="false">T83*1000000*T84/3600</f>
        <v>3176.70887619048</v>
      </c>
      <c r="U87" s="60" t="n">
        <f aca="false">U83*1000000*U84/3600</f>
        <v>1043.84817893181</v>
      </c>
      <c r="V87" s="60" t="n">
        <f aca="false">V83*1000000*V84/3600</f>
        <v>3176.70887619048</v>
      </c>
      <c r="W87" s="60" t="n">
        <f aca="false">W83*1000000*W84/3600</f>
        <v>1043.84817893181</v>
      </c>
      <c r="X87" s="60" t="n">
        <f aca="false">X83*1000000*X84/3600</f>
        <v>3176.70887619048</v>
      </c>
      <c r="Y87" s="60" t="n">
        <f aca="false">Y83*1000000*Y84/3600</f>
        <v>1043.84817893181</v>
      </c>
      <c r="Z87" s="60" t="n">
        <f aca="false">Z83*1000000*Z84/3600</f>
        <v>3176.70887619048</v>
      </c>
      <c r="AA87" s="60" t="n">
        <f aca="false">AA83*1000000*AA84/3600</f>
        <v>1043.84817893181</v>
      </c>
      <c r="AB87" s="60" t="n">
        <f aca="false">AB83*1000000*AB84/3600</f>
        <v>3176.70887619048</v>
      </c>
      <c r="AC87" s="60" t="n">
        <f aca="false">AC83*1000000*AC84/3600</f>
        <v>1043.84817893181</v>
      </c>
      <c r="AD87" s="60" t="n">
        <f aca="false">AD83*1000000*AD84/3600</f>
        <v>3176.70887619048</v>
      </c>
      <c r="AE87" s="60" t="n">
        <f aca="false">AE83*1000000*AE84/3600</f>
        <v>1043.84817893181</v>
      </c>
      <c r="AF87" s="60" t="n">
        <f aca="false">AF83*1000000*AF84/3600</f>
        <v>3176.70887619048</v>
      </c>
      <c r="AG87" s="60" t="n">
        <f aca="false">AG83*1000000*AG84/3600</f>
        <v>1043.84817893181</v>
      </c>
      <c r="AH87" s="60" t="n">
        <f aca="false">AH83*1000000*AH84/3600</f>
        <v>3176.70887619048</v>
      </c>
    </row>
    <row r="88" customFormat="false" ht="15" hidden="false" customHeight="false" outlineLevel="0" collapsed="false">
      <c r="A88" s="53" t="s">
        <v>1018</v>
      </c>
      <c r="B88" s="54" t="s">
        <v>272</v>
      </c>
      <c r="C88" s="137" t="n">
        <f aca="false">C69*1000000000*C83*1000000000000</f>
        <v>1.197466186752E+023</v>
      </c>
      <c r="D88" s="137" t="n">
        <f aca="false">D69*1000000000*D83*1000000000000</f>
        <v>4.3271635968E+023</v>
      </c>
      <c r="E88" s="137" t="n">
        <f aca="false">E69*1000000000*E83*1000000000000</f>
        <v>1.197466186752E+023</v>
      </c>
      <c r="F88" s="137" t="n">
        <f aca="false">F69*1000000000*F83*1000000000000</f>
        <v>4.3271635968E+023</v>
      </c>
      <c r="G88" s="137" t="n">
        <f aca="false">G69*1000000000*G83*1000000000000</f>
        <v>1.197466186752E+023</v>
      </c>
      <c r="H88" s="137" t="n">
        <f aca="false">H69*1000000000*H83*1000000000000</f>
        <v>4.3271635968E+023</v>
      </c>
      <c r="I88" s="137" t="n">
        <f aca="false">I69*1000000000*I83*1000000000000</f>
        <v>1.197466186752E+023</v>
      </c>
      <c r="J88" s="137" t="n">
        <f aca="false">J69*1000000000*J83*1000000000000</f>
        <v>4.3271635968E+023</v>
      </c>
      <c r="K88" s="137" t="n">
        <f aca="false">K69*1000000000*K83*1000000000000</f>
        <v>1.197466186752E+023</v>
      </c>
      <c r="L88" s="137" t="n">
        <f aca="false">L69*1000000000*L83*1000000000000</f>
        <v>4.3271635968E+023</v>
      </c>
      <c r="M88" s="137" t="n">
        <f aca="false">M69*1000000000*M83*1000000000000</f>
        <v>1.197466186752E+023</v>
      </c>
      <c r="N88" s="137" t="n">
        <f aca="false">N69*1000000000*N83*1000000000000</f>
        <v>4.3271635968E+023</v>
      </c>
      <c r="O88" s="137" t="n">
        <f aca="false">O69*1000000000*O83*1000000000000</f>
        <v>1.197466186752E+023</v>
      </c>
      <c r="P88" s="137" t="n">
        <f aca="false">P69*1000000000*P83*1000000000000</f>
        <v>4.3271635968E+023</v>
      </c>
      <c r="Q88" s="137" t="n">
        <f aca="false">Q69*1000000000*Q83*1000000000000</f>
        <v>1.197466186752E+023</v>
      </c>
      <c r="R88" s="137" t="n">
        <f aca="false">R69*1000000000*R83*1000000000000</f>
        <v>4.3271635968E+023</v>
      </c>
      <c r="S88" s="137" t="n">
        <f aca="false">S69*1000000000*S83*1000000000000</f>
        <v>1.197466186752E+023</v>
      </c>
      <c r="T88" s="137" t="n">
        <f aca="false">T69*1000000000*T83*1000000000000</f>
        <v>4.3271635968E+023</v>
      </c>
      <c r="U88" s="137" t="n">
        <f aca="false">U69*1000000000*U83*1000000000000</f>
        <v>1.197466186752E+023</v>
      </c>
      <c r="V88" s="137" t="n">
        <f aca="false">V69*1000000000*V83*1000000000000</f>
        <v>4.3271635968E+023</v>
      </c>
      <c r="W88" s="137" t="n">
        <f aca="false">W69*1000000000*W83*1000000000000</f>
        <v>1.197466186752E+023</v>
      </c>
      <c r="X88" s="137" t="n">
        <f aca="false">X69*1000000000*X83*1000000000000</f>
        <v>4.3271635968E+023</v>
      </c>
      <c r="Y88" s="137" t="n">
        <f aca="false">Y69*1000000000*Y83*1000000000000</f>
        <v>1.197466186752E+023</v>
      </c>
      <c r="Z88" s="137" t="n">
        <f aca="false">Z69*1000000000*Z83*1000000000000</f>
        <v>4.3271635968E+023</v>
      </c>
      <c r="AA88" s="137" t="n">
        <f aca="false">AA69*1000000000*AA83*1000000000000</f>
        <v>1.197466186752E+023</v>
      </c>
      <c r="AB88" s="137" t="n">
        <f aca="false">AB69*1000000000*AB83*1000000000000</f>
        <v>4.3271635968E+023</v>
      </c>
      <c r="AC88" s="137" t="n">
        <f aca="false">AC69*1000000000*AC83*1000000000000</f>
        <v>1.197466186752E+023</v>
      </c>
      <c r="AD88" s="137" t="n">
        <f aca="false">AD69*1000000000*AD83*1000000000000</f>
        <v>4.3271635968E+023</v>
      </c>
      <c r="AE88" s="137" t="n">
        <f aca="false">AE69*1000000000*AE83*1000000000000</f>
        <v>1.197466186752E+023</v>
      </c>
      <c r="AF88" s="137" t="n">
        <f aca="false">AF69*1000000000*AF83*1000000000000</f>
        <v>4.3271635968E+023</v>
      </c>
      <c r="AG88" s="137" t="n">
        <f aca="false">AG69*1000000000*AG83*1000000000000</f>
        <v>1.197466186752E+023</v>
      </c>
      <c r="AH88" s="137" t="n">
        <f aca="false">AH69*1000000000*AH83*1000000000000</f>
        <v>4.3271635968E+023</v>
      </c>
    </row>
    <row r="89" customFormat="false" ht="15" hidden="false" customHeight="false" outlineLevel="0" collapsed="false">
      <c r="A89" s="53" t="s">
        <v>1019</v>
      </c>
      <c r="B89" s="54" t="s">
        <v>972</v>
      </c>
      <c r="C89" s="60" t="n">
        <f aca="false">C88/(C12*1000000000000000*C16*C71*C17)/3600</f>
        <v>15643.9504442093</v>
      </c>
      <c r="D89" s="60" t="n">
        <f aca="false">D88/(D12*1000000000000000*D16*D71*D17)/3600</f>
        <v>56530.9765079365</v>
      </c>
      <c r="E89" s="60" t="n">
        <f aca="false">E88/(E12*1000000000000000*E16*E71*E17)/3600</f>
        <v>26073.2507403488</v>
      </c>
      <c r="F89" s="60" t="n">
        <f aca="false">F88/(F12*1000000000000000*F16*F71*F17)/3600</f>
        <v>94218.2941798942</v>
      </c>
      <c r="G89" s="60" t="n">
        <f aca="false">G88/(G12*1000000000000000*G16*G71*G17)/3600</f>
        <v>9777.46902763081</v>
      </c>
      <c r="H89" s="60" t="n">
        <f aca="false">H88/(H12*1000000000000000*H16*H71*H17)/3600</f>
        <v>35331.8603174603</v>
      </c>
      <c r="I89" s="60" t="n">
        <f aca="false">I88/(I12*1000000000000000*I16*I71*I17)/3600</f>
        <v>7821.97522210464</v>
      </c>
      <c r="J89" s="60" t="n">
        <f aca="false">J88/(J12*1000000000000000*J16*J71*J17)/3600</f>
        <v>28265.4882539683</v>
      </c>
      <c r="K89" s="60" t="n">
        <f aca="false">K88/(K12*1000000000000000*K16*K71*K17)/3600</f>
        <v>15643.9504442093</v>
      </c>
      <c r="L89" s="60" t="n">
        <f aca="false">L88/(L12*1000000000000000*L16*L71*L17)/3600</f>
        <v>56530.9765079365</v>
      </c>
      <c r="M89" s="60" t="n">
        <f aca="false">M88/(M12*1000000000000000*M16*M71*M17)/3600</f>
        <v>15643.9504442093</v>
      </c>
      <c r="N89" s="60" t="n">
        <f aca="false">N88/(N12*1000000000000000*N16*N71*N17)/3600</f>
        <v>56530.9765079365</v>
      </c>
      <c r="O89" s="60" t="n">
        <f aca="false">O88/(O12*1000000000000000*O16*O71*O17)/3600</f>
        <v>15643.9504442093</v>
      </c>
      <c r="P89" s="60" t="n">
        <f aca="false">P88/(P12*1000000000000000*P16*P71*P17)/3600</f>
        <v>56530.9765079365</v>
      </c>
      <c r="Q89" s="60" t="n">
        <f aca="false">Q88/(Q12*1000000000000000*Q16*Q71*Q17)/3600</f>
        <v>15643.9504442093</v>
      </c>
      <c r="R89" s="60" t="n">
        <f aca="false">R88/(R12*1000000000000000*R16*R71*R17)/3600</f>
        <v>56530.9765079365</v>
      </c>
      <c r="S89" s="60" t="n">
        <f aca="false">S88/(S12*1000000000000000*S16*S71*S17)/3600</f>
        <v>15643.9504442093</v>
      </c>
      <c r="T89" s="60" t="n">
        <f aca="false">T88/(T12*1000000000000000*T16*T71*T17)/3600</f>
        <v>56530.9765079365</v>
      </c>
      <c r="U89" s="60" t="n">
        <f aca="false">U88/(U12*1000000000000000*U16*U71*U17)/3600</f>
        <v>15643.9504442093</v>
      </c>
      <c r="V89" s="60" t="n">
        <f aca="false">V88/(V12*1000000000000000*V16*V71*V17)/3600</f>
        <v>56530.9765079365</v>
      </c>
      <c r="W89" s="60" t="n">
        <f aca="false">W88/(W12*1000000000000000*W16*W71*W17)/3600</f>
        <v>15643.9504442093</v>
      </c>
      <c r="X89" s="60" t="n">
        <f aca="false">X88/(X12*1000000000000000*X16*X71*X17)/3600</f>
        <v>56530.9765079365</v>
      </c>
      <c r="Y89" s="60" t="n">
        <f aca="false">Y88/(Y12*1000000000000000*Y16*Y71*Y17)/3600</f>
        <v>15643.9504442093</v>
      </c>
      <c r="Z89" s="60" t="n">
        <f aca="false">Z88/(Z12*1000000000000000*Z16*Z71*Z17)/3600</f>
        <v>56530.9765079365</v>
      </c>
      <c r="AA89" s="60" t="n">
        <f aca="false">AA88/(AA12*1000000000000000*AA16*AA71*AA17)/3600</f>
        <v>15643.9504442093</v>
      </c>
      <c r="AB89" s="60" t="n">
        <f aca="false">AB88/(AB12*1000000000000000*AB16*AB71*AB17)/3600</f>
        <v>56530.9765079365</v>
      </c>
      <c r="AC89" s="60" t="n">
        <f aca="false">AC88/(AC12*1000000000000000*AC16*AC71*AC17)/3600</f>
        <v>15643.9504442093</v>
      </c>
      <c r="AD89" s="60" t="n">
        <f aca="false">AD88/(AD12*1000000000000000*AD16*AD71*AD17)/3600</f>
        <v>56530.9765079365</v>
      </c>
      <c r="AE89" s="60" t="n">
        <f aca="false">AE88/(AE12*1000000000000000*AE16*AE71*AE17)/3600</f>
        <v>15643.9504442093</v>
      </c>
      <c r="AF89" s="60" t="n">
        <f aca="false">AF88/(AF12*1000000000000000*AF16*AF71*AF17)/3600</f>
        <v>56530.9765079365</v>
      </c>
      <c r="AG89" s="60" t="n">
        <f aca="false">AG88/(AG12*1000000000000000*AG16*AG71*AG17)/3600</f>
        <v>17599.4442497355</v>
      </c>
      <c r="AH89" s="60" t="n">
        <f aca="false">AH88/(AH12*1000000000000000*AH16*AH71*AH17)/3600</f>
        <v>63597.3485714286</v>
      </c>
    </row>
    <row r="90" customFormat="false" ht="15" hidden="false" customHeight="false" outlineLevel="0" collapsed="false">
      <c r="A90" s="53" t="s">
        <v>1020</v>
      </c>
      <c r="B90" s="54" t="s">
        <v>972</v>
      </c>
      <c r="C90" s="60" t="n">
        <f aca="false">C86+C87+C89</f>
        <v>28886.8205771118</v>
      </c>
      <c r="D90" s="60" t="n">
        <f aca="false">D86+D87+D89</f>
        <v>111711.981137658</v>
      </c>
      <c r="E90" s="60" t="n">
        <f aca="false">E86+E87+E89</f>
        <v>39316.1208732513</v>
      </c>
      <c r="F90" s="60" t="n">
        <f aca="false">F86+F87+F89</f>
        <v>149399.298809615</v>
      </c>
      <c r="G90" s="60" t="n">
        <f aca="false">G86+G87+G89</f>
        <v>23020.3391605333</v>
      </c>
      <c r="H90" s="60" t="n">
        <f aca="false">H86+H87+H89</f>
        <v>90512.8649471814</v>
      </c>
      <c r="I90" s="60" t="n">
        <f aca="false">I86+I87+I89</f>
        <v>21064.8453550072</v>
      </c>
      <c r="J90" s="60" t="n">
        <f aca="false">J86+J87+J89</f>
        <v>83446.4928836893</v>
      </c>
      <c r="K90" s="60" t="n">
        <f aca="false">K86+K87+K89</f>
        <v>28886.8205771118</v>
      </c>
      <c r="L90" s="60" t="n">
        <f aca="false">L86+L87+L89</f>
        <v>111711.981137658</v>
      </c>
      <c r="M90" s="60" t="n">
        <f aca="false">M86+M87+M89</f>
        <v>28886.8205771118</v>
      </c>
      <c r="N90" s="60" t="n">
        <f aca="false">N86+N87+N89</f>
        <v>111711.981137658</v>
      </c>
      <c r="O90" s="60" t="n">
        <f aca="false">O86+O87+O89</f>
        <v>28886.8205771118</v>
      </c>
      <c r="P90" s="60" t="n">
        <f aca="false">P86+P87+P89</f>
        <v>111711.981137658</v>
      </c>
      <c r="Q90" s="60" t="n">
        <f aca="false">Q86+Q87+Q89</f>
        <v>28886.8205771118</v>
      </c>
      <c r="R90" s="60" t="n">
        <f aca="false">R86+R87+R89</f>
        <v>111711.981137658</v>
      </c>
      <c r="S90" s="60" t="n">
        <f aca="false">S86+S87+S89</f>
        <v>33969.7463912663</v>
      </c>
      <c r="T90" s="60" t="n">
        <f aca="false">T86+T87+T89</f>
        <v>133380.437701629</v>
      </c>
      <c r="U90" s="60" t="n">
        <f aca="false">U86+U87+U89</f>
        <v>27602.7130030096</v>
      </c>
      <c r="V90" s="60" t="n">
        <f aca="false">V86+V87+V89</f>
        <v>106237.844742549</v>
      </c>
      <c r="W90" s="60" t="n">
        <f aca="false">W86+W87+W89</f>
        <v>41297.4912207224</v>
      </c>
      <c r="X90" s="60" t="n">
        <f aca="false">X86+X87+X89</f>
        <v>165175.442144149</v>
      </c>
      <c r="Y90" s="60" t="n">
        <f aca="false">Y86+Y87+Y89</f>
        <v>28886.8205771118</v>
      </c>
      <c r="Z90" s="60" t="n">
        <f aca="false">Z86+Z87+Z89</f>
        <v>111711.981137658</v>
      </c>
      <c r="AA90" s="60" t="n">
        <f aca="false">AA86+AA87+AA89</f>
        <v>28886.8205771118</v>
      </c>
      <c r="AB90" s="60" t="n">
        <f aca="false">AB86+AB87+AB89</f>
        <v>111711.981137658</v>
      </c>
      <c r="AC90" s="60" t="n">
        <f aca="false">AC86+AC87+AC89</f>
        <v>28886.8205771118</v>
      </c>
      <c r="AD90" s="60" t="n">
        <f aca="false">AD86+AD87+AD89</f>
        <v>111711.981137658</v>
      </c>
      <c r="AE90" s="60" t="n">
        <f aca="false">AE86+AE87+AE89</f>
        <v>28886.8205771118</v>
      </c>
      <c r="AF90" s="60" t="n">
        <f aca="false">AF86+AF87+AF89</f>
        <v>111711.981137658</v>
      </c>
      <c r="AG90" s="60" t="n">
        <f aca="false">AG86+AG87+AG89</f>
        <v>30842.314382638</v>
      </c>
      <c r="AH90" s="60" t="n">
        <f aca="false">AH86+AH87+AH89</f>
        <v>118778.35320115</v>
      </c>
    </row>
    <row r="91" customFormat="false" ht="15" hidden="false" customHeight="false" outlineLevel="0" collapsed="false">
      <c r="A91" s="53" t="s">
        <v>1021</v>
      </c>
      <c r="B91" s="54" t="s">
        <v>272</v>
      </c>
      <c r="C91" s="137" t="n">
        <f aca="false">C81*1000000000000*C61*1000000000+C83*1000000000000*C85*1000000000+C88</f>
        <v>1.85866428781363E+023</v>
      </c>
      <c r="D91" s="137" t="n">
        <f aca="false">D81*1000000000000*D61*1000000000+D83*1000000000000*D85*1000000000+D88</f>
        <v>6.5700820992E+023</v>
      </c>
      <c r="E91" s="137" t="n">
        <f aca="false">E81*1000000000000*E61*1000000000+E83*1000000000000*E85*1000000000+E88</f>
        <v>1.85866428781363E+023</v>
      </c>
      <c r="F91" s="137" t="n">
        <f aca="false">F81*1000000000000*F61*1000000000+F83*1000000000000*F85*1000000000+F88</f>
        <v>6.5700820992E+023</v>
      </c>
      <c r="G91" s="137" t="n">
        <f aca="false">G81*1000000000000*G61*1000000000+G83*1000000000000*G85*1000000000+G88</f>
        <v>1.85866428781363E+023</v>
      </c>
      <c r="H91" s="137" t="n">
        <f aca="false">H81*1000000000000*H61*1000000000+H83*1000000000000*H85*1000000000+H88</f>
        <v>6.5700820992E+023</v>
      </c>
      <c r="I91" s="137" t="n">
        <f aca="false">I81*1000000000000*I61*1000000000+I83*1000000000000*I85*1000000000+I88</f>
        <v>1.85866428781363E+023</v>
      </c>
      <c r="J91" s="137" t="n">
        <f aca="false">J81*1000000000000*J61*1000000000+J83*1000000000000*J85*1000000000+J88</f>
        <v>6.5700820992E+023</v>
      </c>
      <c r="K91" s="137" t="n">
        <f aca="false">K81*1000000000000*K61*1000000000+K83*1000000000000*K85*1000000000+K88</f>
        <v>1.85866428781363E+023</v>
      </c>
      <c r="L91" s="137" t="n">
        <f aca="false">L81*1000000000000*L61*1000000000+L83*1000000000000*L85*1000000000+L88</f>
        <v>6.5700820992E+023</v>
      </c>
      <c r="M91" s="137" t="n">
        <f aca="false">M81*1000000000000*M61*1000000000+M83*1000000000000*M85*1000000000+M88</f>
        <v>1.85866428781363E+023</v>
      </c>
      <c r="N91" s="137" t="n">
        <f aca="false">N81*1000000000000*N61*1000000000+N83*1000000000000*N85*1000000000+N88</f>
        <v>6.5700820992E+023</v>
      </c>
      <c r="O91" s="137" t="n">
        <f aca="false">O81*1000000000000*O61*1000000000+O83*1000000000000*O85*1000000000+O88</f>
        <v>1.85866428781363E+023</v>
      </c>
      <c r="P91" s="137" t="n">
        <f aca="false">P81*1000000000000*P61*1000000000+P83*1000000000000*P85*1000000000+P88</f>
        <v>6.5700820992E+023</v>
      </c>
      <c r="Q91" s="137" t="n">
        <f aca="false">Q81*1000000000000*Q61*1000000000+Q83*1000000000000*Q85*1000000000+Q88</f>
        <v>1.85866428781363E+023</v>
      </c>
      <c r="R91" s="137" t="n">
        <f aca="false">R81*1000000000000*R61*1000000000+R83*1000000000000*R85*1000000000+R88</f>
        <v>6.5700820992E+023</v>
      </c>
      <c r="S91" s="137" t="n">
        <f aca="false">S81*1000000000000*S61*1000000000+S83*1000000000000*S85*1000000000+S88</f>
        <v>1.85866428781363E+023</v>
      </c>
      <c r="T91" s="137" t="n">
        <f aca="false">T81*1000000000000*T61*1000000000+T83*1000000000000*T85*1000000000+T88</f>
        <v>6.5700820992E+023</v>
      </c>
      <c r="U91" s="137" t="n">
        <f aca="false">U81*1000000000000*U61*1000000000+U83*1000000000000*U85*1000000000+U88</f>
        <v>1.85866428781363E+023</v>
      </c>
      <c r="V91" s="137" t="n">
        <f aca="false">V81*1000000000000*V61*1000000000+V83*1000000000000*V85*1000000000+V88</f>
        <v>6.5700820992E+023</v>
      </c>
      <c r="W91" s="137" t="n">
        <f aca="false">W81*1000000000000*W61*1000000000+W83*1000000000000*W85*1000000000+W88</f>
        <v>1.85866428781363E+023</v>
      </c>
      <c r="X91" s="137" t="n">
        <f aca="false">X81*1000000000000*X61*1000000000+X83*1000000000000*X85*1000000000+X88</f>
        <v>6.5700820992E+023</v>
      </c>
      <c r="Y91" s="137" t="n">
        <f aca="false">Y81*1000000000000*Y61*1000000000+Y83*1000000000000*Y85*1000000000+Y88</f>
        <v>1.85866428781363E+023</v>
      </c>
      <c r="Z91" s="137" t="n">
        <f aca="false">Z81*1000000000000*Z61*1000000000+Z83*1000000000000*Z85*1000000000+Z88</f>
        <v>6.5700820992E+023</v>
      </c>
      <c r="AA91" s="137" t="n">
        <f aca="false">AA81*1000000000000*AA61*1000000000+AA83*1000000000000*AA85*1000000000+AA88</f>
        <v>1.85866428781363E+023</v>
      </c>
      <c r="AB91" s="137" t="n">
        <f aca="false">AB81*1000000000000*AB61*1000000000+AB83*1000000000000*AB85*1000000000+AB88</f>
        <v>6.5700820992E+023</v>
      </c>
      <c r="AC91" s="137" t="n">
        <f aca="false">AC81*1000000000000*AC61*1000000000+AC83*1000000000000*AC85*1000000000+AC88</f>
        <v>1.85866428781363E+023</v>
      </c>
      <c r="AD91" s="137" t="n">
        <f aca="false">AD81*1000000000000*AD61*1000000000+AD83*1000000000000*AD85*1000000000+AD88</f>
        <v>6.5700820992E+023</v>
      </c>
      <c r="AE91" s="137" t="n">
        <f aca="false">AE81*1000000000000*AE61*1000000000+AE83*1000000000000*AE85*1000000000+AE88</f>
        <v>1.85866428781363E+023</v>
      </c>
      <c r="AF91" s="137" t="n">
        <f aca="false">AF81*1000000000000*AF61*1000000000+AF83*1000000000000*AF85*1000000000+AF88</f>
        <v>6.5700820992E+023</v>
      </c>
      <c r="AG91" s="137" t="n">
        <f aca="false">AG81*1000000000000*AG61*1000000000+AG83*1000000000000*AG85*1000000000+AG88</f>
        <v>1.85866428781363E+023</v>
      </c>
      <c r="AH91" s="137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68" t="s">
        <v>1022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</row>
    <row r="93" customFormat="false" ht="15" hidden="false" customHeight="false" outlineLevel="0" collapsed="false">
      <c r="A93" s="53" t="s">
        <v>1023</v>
      </c>
      <c r="B93" s="54" t="s">
        <v>904</v>
      </c>
      <c r="C93" s="91" t="n">
        <f aca="false">INDEX(Train_In!$C$37:$E$37,C$7)</f>
        <v>2</v>
      </c>
      <c r="D93" s="91" t="n">
        <f aca="false">INDEX(Train_In!$C$37:$E$37,D$7)</f>
        <v>3</v>
      </c>
      <c r="E93" s="91" t="n">
        <f aca="false">INDEX(Train_In!$C$37:$E$37,E$7)</f>
        <v>2</v>
      </c>
      <c r="F93" s="91" t="n">
        <f aca="false">INDEX(Train_In!$C$37:$E$37,F$7)</f>
        <v>3</v>
      </c>
      <c r="G93" s="91" t="n">
        <f aca="false">INDEX(Train_In!$C$37:$E$37,G$7)</f>
        <v>2</v>
      </c>
      <c r="H93" s="91" t="n">
        <f aca="false">INDEX(Train_In!$C$37:$E$37,H$7)</f>
        <v>3</v>
      </c>
      <c r="I93" s="91" t="n">
        <f aca="false">INDEX(Train_In!$C$37:$E$37,I$7)</f>
        <v>2</v>
      </c>
      <c r="J93" s="91" t="n">
        <f aca="false">INDEX(Train_In!$C$37:$E$37,J$7)</f>
        <v>3</v>
      </c>
      <c r="K93" s="91" t="n">
        <f aca="false">INDEX(Train_In!$C$37:$E$37,K$7)</f>
        <v>2</v>
      </c>
      <c r="L93" s="91" t="n">
        <f aca="false">INDEX(Train_In!$C$37:$E$37,L$7)</f>
        <v>3</v>
      </c>
      <c r="M93" s="91" t="n">
        <f aca="false">INDEX(Train_In!$C$37:$E$37,M$7)</f>
        <v>2</v>
      </c>
      <c r="N93" s="91" t="n">
        <f aca="false">INDEX(Train_In!$C$37:$E$37,N$7)</f>
        <v>3</v>
      </c>
      <c r="O93" s="91" t="n">
        <f aca="false">INDEX(Train_In!$C$37:$E$37,O$7)</f>
        <v>2</v>
      </c>
      <c r="P93" s="91" t="n">
        <f aca="false">INDEX(Train_In!$C$37:$E$37,P$7)</f>
        <v>3</v>
      </c>
      <c r="Q93" s="91" t="n">
        <f aca="false">INDEX(Train_In!$C$37:$E$37,Q$7)</f>
        <v>2</v>
      </c>
      <c r="R93" s="91" t="n">
        <f aca="false">INDEX(Train_In!$C$37:$E$37,R$7)</f>
        <v>3</v>
      </c>
      <c r="S93" s="91" t="n">
        <f aca="false">INDEX(Train_In!$C$37:$E$37,S$7)</f>
        <v>2</v>
      </c>
      <c r="T93" s="91" t="n">
        <f aca="false">INDEX(Train_In!$C$37:$E$37,T$7)</f>
        <v>3</v>
      </c>
      <c r="U93" s="91" t="n">
        <f aca="false">INDEX(Train_In!$C$37:$E$37,U$7)</f>
        <v>2</v>
      </c>
      <c r="V93" s="91" t="n">
        <f aca="false">INDEX(Train_In!$C$37:$E$37,V$7)</f>
        <v>3</v>
      </c>
      <c r="W93" s="91" t="n">
        <f aca="false">INDEX(Train_In!$C$37:$E$37,W$7)</f>
        <v>2</v>
      </c>
      <c r="X93" s="91" t="n">
        <f aca="false">INDEX(Train_In!$C$37:$E$37,X$7)</f>
        <v>3</v>
      </c>
      <c r="Y93" s="139" t="n">
        <f aca="false">INDEX(Train_In!$C$37:$E$37,Y$7)*Y$8</f>
        <v>0</v>
      </c>
      <c r="Z93" s="139" t="n">
        <f aca="false">INDEX(Train_In!$C$37:$E$37,Z$7)*Z$8</f>
        <v>0</v>
      </c>
      <c r="AA93" s="139" t="n">
        <f aca="false">INDEX(Train_In!$C$37:$E$37,AA$7)*AA$8</f>
        <v>6</v>
      </c>
      <c r="AB93" s="139" t="n">
        <f aca="false">INDEX(Train_In!$C$37:$E$37,AB$7)*AB$8</f>
        <v>9</v>
      </c>
      <c r="AC93" s="91" t="n">
        <f aca="false">INDEX(Train_In!$C$37:$E$37,AC$7)</f>
        <v>2</v>
      </c>
      <c r="AD93" s="91" t="n">
        <f aca="false">INDEX(Train_In!$C$37:$E$37,AD$7)</f>
        <v>3</v>
      </c>
      <c r="AE93" s="91" t="n">
        <f aca="false">INDEX(Train_In!$C$37:$E$37,AE$7)</f>
        <v>2</v>
      </c>
      <c r="AF93" s="91" t="n">
        <f aca="false">INDEX(Train_In!$C$37:$E$37,AF$7)</f>
        <v>3</v>
      </c>
      <c r="AG93" s="91" t="n">
        <f aca="false">INDEX(Train_In!$C$37:$E$37,AG$7)</f>
        <v>2</v>
      </c>
      <c r="AH93" s="91" t="n">
        <f aca="false">INDEX(Train_In!$C$37:$E$37,AH$7)</f>
        <v>3</v>
      </c>
    </row>
    <row r="94" customFormat="false" ht="15" hidden="false" customHeight="false" outlineLevel="0" collapsed="false">
      <c r="A94" s="53" t="s">
        <v>1024</v>
      </c>
      <c r="B94" s="53"/>
      <c r="C94" s="82" t="n">
        <f aca="false">Train_In!$C$15</f>
        <v>3</v>
      </c>
      <c r="D94" s="82" t="n">
        <f aca="false">Train_In!$C$15</f>
        <v>3</v>
      </c>
      <c r="E94" s="82" t="n">
        <f aca="false">Train_In!$C$15</f>
        <v>3</v>
      </c>
      <c r="F94" s="82" t="n">
        <f aca="false">Train_In!$C$15</f>
        <v>3</v>
      </c>
      <c r="G94" s="82" t="n">
        <f aca="false">Train_In!$C$15</f>
        <v>3</v>
      </c>
      <c r="H94" s="82" t="n">
        <f aca="false">Train_In!$C$15</f>
        <v>3</v>
      </c>
      <c r="I94" s="82" t="n">
        <f aca="false">Train_In!$C$15</f>
        <v>3</v>
      </c>
      <c r="J94" s="82" t="n">
        <f aca="false">Train_In!$C$15</f>
        <v>3</v>
      </c>
      <c r="K94" s="82" t="n">
        <f aca="false">Train_In!$C$15</f>
        <v>3</v>
      </c>
      <c r="L94" s="82" t="n">
        <f aca="false">Train_In!$C$15</f>
        <v>3</v>
      </c>
      <c r="M94" s="82" t="n">
        <f aca="false">Train_In!$C$15</f>
        <v>3</v>
      </c>
      <c r="N94" s="82" t="n">
        <f aca="false">Train_In!$C$15</f>
        <v>3</v>
      </c>
      <c r="O94" s="82" t="n">
        <f aca="false">Train_In!$C$15</f>
        <v>3</v>
      </c>
      <c r="P94" s="82" t="n">
        <f aca="false">Train_In!$C$15</f>
        <v>3</v>
      </c>
      <c r="Q94" s="82" t="n">
        <f aca="false">Train_In!$C$15</f>
        <v>3</v>
      </c>
      <c r="R94" s="82" t="n">
        <f aca="false">Train_In!$C$15</f>
        <v>3</v>
      </c>
      <c r="S94" s="82" t="n">
        <f aca="false">Train_In!$C$15</f>
        <v>3</v>
      </c>
      <c r="T94" s="82" t="n">
        <f aca="false">Train_In!$C$15</f>
        <v>3</v>
      </c>
      <c r="U94" s="82" t="n">
        <f aca="false">Train_In!$C$15</f>
        <v>3</v>
      </c>
      <c r="V94" s="82" t="n">
        <f aca="false">Train_In!$C$15</f>
        <v>3</v>
      </c>
      <c r="W94" s="82" t="n">
        <f aca="false">Train_In!$C$15</f>
        <v>3</v>
      </c>
      <c r="X94" s="82" t="n">
        <f aca="false">Train_In!$C$15</f>
        <v>3</v>
      </c>
      <c r="Y94" s="82" t="n">
        <f aca="false">Train_In!$C$15</f>
        <v>3</v>
      </c>
      <c r="Z94" s="82" t="n">
        <f aca="false">Train_In!$C$15</f>
        <v>3</v>
      </c>
      <c r="AA94" s="82" t="n">
        <f aca="false">Train_In!$C$15</f>
        <v>3</v>
      </c>
      <c r="AB94" s="82" t="n">
        <f aca="false">Train_In!$C$15</f>
        <v>3</v>
      </c>
      <c r="AC94" s="82" t="n">
        <f aca="false">Train_In!$C$15</f>
        <v>3</v>
      </c>
      <c r="AD94" s="82" t="n">
        <f aca="false">Train_In!$C$15</f>
        <v>3</v>
      </c>
      <c r="AE94" s="82" t="n">
        <f aca="false">Train_In!$C$15</f>
        <v>3</v>
      </c>
      <c r="AF94" s="82" t="n">
        <f aca="false">Train_In!$C$15</f>
        <v>3</v>
      </c>
      <c r="AG94" s="82" t="n">
        <f aca="false">Train_In!$C$15</f>
        <v>3</v>
      </c>
      <c r="AH94" s="82" t="n">
        <f aca="false">Train_In!$C$15</f>
        <v>3</v>
      </c>
    </row>
    <row r="95" customFormat="false" ht="15" hidden="false" customHeight="false" outlineLevel="0" collapsed="false">
      <c r="A95" s="53" t="s">
        <v>1025</v>
      </c>
      <c r="B95" s="54" t="s">
        <v>754</v>
      </c>
      <c r="C95" s="91" t="n">
        <f aca="false">INDEX(Perf_Batch!$C$103:$Q$103,3*(C$6-1)+C94)</f>
        <v>795.665725029018</v>
      </c>
      <c r="D95" s="91" t="n">
        <f aca="false">INDEX(Perf_Batch!$C$103:$Q$103,3*(D$6-1)+D94)</f>
        <v>795.665725029018</v>
      </c>
      <c r="E95" s="91" t="n">
        <f aca="false">INDEX(Perf_Batch!$C$103:$Q$103,3*(E$6-1)+E94)</f>
        <v>795.665725029018</v>
      </c>
      <c r="F95" s="91" t="n">
        <f aca="false">INDEX(Perf_Batch!$C$103:$Q$103,3*(F$6-1)+F94)</f>
        <v>795.665725029018</v>
      </c>
      <c r="G95" s="91" t="n">
        <f aca="false">INDEX(Perf_Batch!$C$103:$Q$103,3*(G$6-1)+G94)</f>
        <v>795.665725029018</v>
      </c>
      <c r="H95" s="91" t="n">
        <f aca="false">INDEX(Perf_Batch!$C$103:$Q$103,3*(H$6-1)+H94)</f>
        <v>795.665725029018</v>
      </c>
      <c r="I95" s="91" t="n">
        <f aca="false">INDEX(Perf_Batch!$C$103:$Q$103,3*(I$6-1)+I94)</f>
        <v>795.665725029018</v>
      </c>
      <c r="J95" s="91" t="n">
        <f aca="false">INDEX(Perf_Batch!$C$103:$Q$103,3*(J$6-1)+J94)</f>
        <v>795.665725029018</v>
      </c>
      <c r="K95" s="91" t="n">
        <f aca="false">INDEX(Perf_Batch!$C$103:$Q$103,3*(K$6-1)+K94)</f>
        <v>795.665725029018</v>
      </c>
      <c r="L95" s="91" t="n">
        <f aca="false">INDEX(Perf_Batch!$C$103:$Q$103,3*(L$6-1)+L94)</f>
        <v>795.665725029018</v>
      </c>
      <c r="M95" s="91" t="n">
        <f aca="false">INDEX(Perf_Batch!$C$103:$Q$103,3*(M$6-1)+M94)</f>
        <v>795.665725029018</v>
      </c>
      <c r="N95" s="91" t="n">
        <f aca="false">INDEX(Perf_Batch!$C$103:$Q$103,3*(N$6-1)+N94)</f>
        <v>795.665725029018</v>
      </c>
      <c r="O95" s="91" t="n">
        <f aca="false">INDEX(Perf_Batch!$C$103:$Q$103,3*(O$6-1)+O94)</f>
        <v>795.665725029018</v>
      </c>
      <c r="P95" s="91" t="n">
        <f aca="false">INDEX(Perf_Batch!$C$103:$Q$103,3*(P$6-1)+P94)</f>
        <v>795.665725029018</v>
      </c>
      <c r="Q95" s="91" t="n">
        <f aca="false">INDEX(Perf_Batch!$C$103:$Q$103,3*(Q$6-1)+Q94)</f>
        <v>795.665725029018</v>
      </c>
      <c r="R95" s="91" t="n">
        <f aca="false">INDEX(Perf_Batch!$C$103:$Q$103,3*(R$6-1)+R94)</f>
        <v>795.665725029018</v>
      </c>
      <c r="S95" s="91" t="n">
        <f aca="false">INDEX(Perf_Batch!$C$103:$Q$103,3*(S$6-1)+S94)</f>
        <v>795.665725029018</v>
      </c>
      <c r="T95" s="91" t="n">
        <f aca="false">INDEX(Perf_Batch!$C$103:$Q$103,3*(T$6-1)+T94)</f>
        <v>795.665725029018</v>
      </c>
      <c r="U95" s="91" t="n">
        <f aca="false">INDEX(Perf_Batch!$C$103:$Q$103,3*(U$6-1)+U94)</f>
        <v>795.665725029018</v>
      </c>
      <c r="V95" s="91" t="n">
        <f aca="false">INDEX(Perf_Batch!$C$103:$Q$103,3*(V$6-1)+V94)</f>
        <v>795.665725029018</v>
      </c>
      <c r="W95" s="91" t="n">
        <f aca="false">INDEX(Perf_Batch!$C$103:$Q$103,3*(W$6-1)+W94)</f>
        <v>795.665725029018</v>
      </c>
      <c r="X95" s="91" t="n">
        <f aca="false">INDEX(Perf_Batch!$C$103:$Q$103,3*(X$6-1)+X94)</f>
        <v>795.665725029018</v>
      </c>
      <c r="Y95" s="91" t="n">
        <f aca="false">INDEX(Perf_Batch!$C$103:$Q$103,3*(Y$6-1)+Y94)</f>
        <v>795.665725029018</v>
      </c>
      <c r="Z95" s="91" t="n">
        <f aca="false">INDEX(Perf_Batch!$C$103:$Q$103,3*(Z$6-1)+Z94)</f>
        <v>795.665725029018</v>
      </c>
      <c r="AA95" s="91" t="n">
        <f aca="false">INDEX(Perf_Batch!$C$103:$Q$103,3*(AA$6-1)+AA94)</f>
        <v>795.665725029018</v>
      </c>
      <c r="AB95" s="91" t="n">
        <f aca="false">INDEX(Perf_Batch!$C$103:$Q$103,3*(AB$6-1)+AB94)</f>
        <v>795.665725029018</v>
      </c>
      <c r="AC95" s="91" t="n">
        <f aca="false">INDEX(Perf_Batch!$C$103:$Q$103,3*(AC$6-1)+AC94)</f>
        <v>795.665725029018</v>
      </c>
      <c r="AD95" s="91" t="n">
        <f aca="false">INDEX(Perf_Batch!$C$103:$Q$103,3*(AD$6-1)+AD94)</f>
        <v>795.665725029018</v>
      </c>
      <c r="AE95" s="91" t="n">
        <f aca="false">INDEX(Perf_Batch!$C$103:$Q$103,3*(AE$6-1)+AE94)</f>
        <v>795.665725029018</v>
      </c>
      <c r="AF95" s="91" t="n">
        <f aca="false">INDEX(Perf_Batch!$C$103:$Q$103,3*(AF$6-1)+AF94)</f>
        <v>795.665725029018</v>
      </c>
      <c r="AG95" s="91" t="n">
        <f aca="false">INDEX(Perf_Batch!$C$103:$Q$103,3*(AG$6-1)+AG94)</f>
        <v>795.665725029018</v>
      </c>
      <c r="AH95" s="91" t="n">
        <f aca="false">INDEX(Perf_Batch!$C$103:$Q$103,3*(AH$6-1)+AH94)</f>
        <v>795.665725029018</v>
      </c>
    </row>
    <row r="96" customFormat="false" ht="15" hidden="false" customHeight="false" outlineLevel="0" collapsed="false">
      <c r="A96" s="53" t="s">
        <v>1026</v>
      </c>
      <c r="B96" s="54" t="s">
        <v>448</v>
      </c>
      <c r="C96" s="91" t="n">
        <f aca="false">INDEX(Perf_Batch!$C$65:$Q$65,3*(C$6-1)+C94)</f>
        <v>521.0612736</v>
      </c>
      <c r="D96" s="91" t="n">
        <f aca="false">INDEX(Perf_Batch!$C$65:$Q$65,3*(D$6-1)+D94)</f>
        <v>521.0612736</v>
      </c>
      <c r="E96" s="91" t="n">
        <f aca="false">INDEX(Perf_Batch!$C$65:$Q$65,3*(E$6-1)+E94)</f>
        <v>521.0612736</v>
      </c>
      <c r="F96" s="91" t="n">
        <f aca="false">INDEX(Perf_Batch!$C$65:$Q$65,3*(F$6-1)+F94)</f>
        <v>521.0612736</v>
      </c>
      <c r="G96" s="91" t="n">
        <f aca="false">INDEX(Perf_Batch!$C$65:$Q$65,3*(G$6-1)+G94)</f>
        <v>521.0612736</v>
      </c>
      <c r="H96" s="91" t="n">
        <f aca="false">INDEX(Perf_Batch!$C$65:$Q$65,3*(H$6-1)+H94)</f>
        <v>521.0612736</v>
      </c>
      <c r="I96" s="91" t="n">
        <f aca="false">INDEX(Perf_Batch!$C$65:$Q$65,3*(I$6-1)+I94)</f>
        <v>521.0612736</v>
      </c>
      <c r="J96" s="91" t="n">
        <f aca="false">INDEX(Perf_Batch!$C$65:$Q$65,3*(J$6-1)+J94)</f>
        <v>521.0612736</v>
      </c>
      <c r="K96" s="91" t="n">
        <f aca="false">INDEX(Perf_Batch!$C$65:$Q$65,3*(K$6-1)+K94)</f>
        <v>521.0612736</v>
      </c>
      <c r="L96" s="91" t="n">
        <f aca="false">INDEX(Perf_Batch!$C$65:$Q$65,3*(L$6-1)+L94)</f>
        <v>521.0612736</v>
      </c>
      <c r="M96" s="91" t="n">
        <f aca="false">INDEX(Perf_Batch!$C$65:$Q$65,3*(M$6-1)+M94)</f>
        <v>521.0612736</v>
      </c>
      <c r="N96" s="91" t="n">
        <f aca="false">INDEX(Perf_Batch!$C$65:$Q$65,3*(N$6-1)+N94)</f>
        <v>521.0612736</v>
      </c>
      <c r="O96" s="91" t="n">
        <f aca="false">INDEX(Perf_Batch!$C$65:$Q$65,3*(O$6-1)+O94)</f>
        <v>521.0612736</v>
      </c>
      <c r="P96" s="91" t="n">
        <f aca="false">INDEX(Perf_Batch!$C$65:$Q$65,3*(P$6-1)+P94)</f>
        <v>521.0612736</v>
      </c>
      <c r="Q96" s="91" t="n">
        <f aca="false">INDEX(Perf_Batch!$C$65:$Q$65,3*(Q$6-1)+Q94)</f>
        <v>521.0612736</v>
      </c>
      <c r="R96" s="91" t="n">
        <f aca="false">INDEX(Perf_Batch!$C$65:$Q$65,3*(R$6-1)+R94)</f>
        <v>521.0612736</v>
      </c>
      <c r="S96" s="91" t="n">
        <f aca="false">INDEX(Perf_Batch!$C$65:$Q$65,3*(S$6-1)+S94)</f>
        <v>521.0612736</v>
      </c>
      <c r="T96" s="91" t="n">
        <f aca="false">INDEX(Perf_Batch!$C$65:$Q$65,3*(T$6-1)+T94)</f>
        <v>521.0612736</v>
      </c>
      <c r="U96" s="91" t="n">
        <f aca="false">INDEX(Perf_Batch!$C$65:$Q$65,3*(U$6-1)+U94)</f>
        <v>521.0612736</v>
      </c>
      <c r="V96" s="91" t="n">
        <f aca="false">INDEX(Perf_Batch!$C$65:$Q$65,3*(V$6-1)+V94)</f>
        <v>521.0612736</v>
      </c>
      <c r="W96" s="91" t="n">
        <f aca="false">INDEX(Perf_Batch!$C$65:$Q$65,3*(W$6-1)+W94)</f>
        <v>521.0612736</v>
      </c>
      <c r="X96" s="91" t="n">
        <f aca="false">INDEX(Perf_Batch!$C$65:$Q$65,3*(X$6-1)+X94)</f>
        <v>521.0612736</v>
      </c>
      <c r="Y96" s="91" t="n">
        <f aca="false">INDEX(Perf_Batch!$C$65:$Q$65,3*(Y$6-1)+Y94)</f>
        <v>521.0612736</v>
      </c>
      <c r="Z96" s="91" t="n">
        <f aca="false">INDEX(Perf_Batch!$C$65:$Q$65,3*(Z$6-1)+Z94)</f>
        <v>521.0612736</v>
      </c>
      <c r="AA96" s="91" t="n">
        <f aca="false">INDEX(Perf_Batch!$C$65:$Q$65,3*(AA$6-1)+AA94)</f>
        <v>521.0612736</v>
      </c>
      <c r="AB96" s="91" t="n">
        <f aca="false">INDEX(Perf_Batch!$C$65:$Q$65,3*(AB$6-1)+AB94)</f>
        <v>521.0612736</v>
      </c>
      <c r="AC96" s="91" t="n">
        <f aca="false">INDEX(Perf_Batch!$C$65:$Q$65,3*(AC$6-1)+AC94)</f>
        <v>521.0612736</v>
      </c>
      <c r="AD96" s="91" t="n">
        <f aca="false">INDEX(Perf_Batch!$C$65:$Q$65,3*(AD$6-1)+AD94)</f>
        <v>521.0612736</v>
      </c>
      <c r="AE96" s="91" t="n">
        <f aca="false">INDEX(Perf_Batch!$C$65:$Q$65,3*(AE$6-1)+AE94)</f>
        <v>521.0612736</v>
      </c>
      <c r="AF96" s="91" t="n">
        <f aca="false">INDEX(Perf_Batch!$C$65:$Q$65,3*(AF$6-1)+AF94)</f>
        <v>521.0612736</v>
      </c>
      <c r="AG96" s="91" t="n">
        <f aca="false">INDEX(Perf_Batch!$C$65:$Q$65,3*(AG$6-1)+AG94)</f>
        <v>521.0612736</v>
      </c>
      <c r="AH96" s="91" t="n">
        <f aca="false">INDEX(Perf_Batch!$C$65:$Q$65,3*(AH$6-1)+AH94)</f>
        <v>521.0612736</v>
      </c>
    </row>
    <row r="97" customFormat="false" ht="15" hidden="false" customHeight="false" outlineLevel="0" collapsed="false">
      <c r="A97" s="53" t="s">
        <v>1027</v>
      </c>
      <c r="B97" s="54" t="s">
        <v>972</v>
      </c>
      <c r="C97" s="60" t="n">
        <f aca="false">C93*1000000*C95/3600</f>
        <v>442036.51390501</v>
      </c>
      <c r="D97" s="60" t="n">
        <f aca="false">D93*1000000*D95/3600</f>
        <v>663054.770857515</v>
      </c>
      <c r="E97" s="60" t="n">
        <f aca="false">E93*1000000*E95/3600</f>
        <v>442036.51390501</v>
      </c>
      <c r="F97" s="60" t="n">
        <f aca="false">F93*1000000*F95/3600</f>
        <v>663054.770857515</v>
      </c>
      <c r="G97" s="60" t="n">
        <f aca="false">G93*1000000*G95/3600</f>
        <v>442036.51390501</v>
      </c>
      <c r="H97" s="60" t="n">
        <f aca="false">H93*1000000*H95/3600</f>
        <v>663054.770857515</v>
      </c>
      <c r="I97" s="60" t="n">
        <f aca="false">I93*1000000*I95/3600</f>
        <v>442036.51390501</v>
      </c>
      <c r="J97" s="60" t="n">
        <f aca="false">J93*1000000*J95/3600</f>
        <v>663054.770857515</v>
      </c>
      <c r="K97" s="60" t="n">
        <f aca="false">K93*1000000*K95/3600</f>
        <v>442036.51390501</v>
      </c>
      <c r="L97" s="60" t="n">
        <f aca="false">L93*1000000*L95/3600</f>
        <v>663054.770857515</v>
      </c>
      <c r="M97" s="60" t="n">
        <f aca="false">M93*1000000*M95/3600</f>
        <v>442036.51390501</v>
      </c>
      <c r="N97" s="60" t="n">
        <f aca="false">N93*1000000*N95/3600</f>
        <v>663054.770857515</v>
      </c>
      <c r="O97" s="60" t="n">
        <f aca="false">O93*1000000*O95/3600</f>
        <v>442036.51390501</v>
      </c>
      <c r="P97" s="60" t="n">
        <f aca="false">P93*1000000*P95/3600</f>
        <v>663054.770857515</v>
      </c>
      <c r="Q97" s="60" t="n">
        <f aca="false">Q93*1000000*Q95/3600</f>
        <v>442036.51390501</v>
      </c>
      <c r="R97" s="60" t="n">
        <f aca="false">R93*1000000*R95/3600</f>
        <v>663054.770857515</v>
      </c>
      <c r="S97" s="60" t="n">
        <f aca="false">S93*1000000*S95/3600</f>
        <v>442036.51390501</v>
      </c>
      <c r="T97" s="60" t="n">
        <f aca="false">T93*1000000*T95/3600</f>
        <v>663054.770857515</v>
      </c>
      <c r="U97" s="60" t="n">
        <f aca="false">U93*1000000*U95/3600</f>
        <v>442036.51390501</v>
      </c>
      <c r="V97" s="60" t="n">
        <f aca="false">V93*1000000*V95/3600</f>
        <v>663054.770857515</v>
      </c>
      <c r="W97" s="60" t="n">
        <f aca="false">W93*1000000*W95/3600</f>
        <v>442036.51390501</v>
      </c>
      <c r="X97" s="60" t="n">
        <f aca="false">X93*1000000*X95/3600</f>
        <v>663054.770857515</v>
      </c>
      <c r="Y97" s="60" t="n">
        <f aca="false">Y93*1000000*Y95/3600</f>
        <v>0</v>
      </c>
      <c r="Z97" s="60" t="n">
        <f aca="false">Z93*1000000*Z95/3600</f>
        <v>0</v>
      </c>
      <c r="AA97" s="60" t="n">
        <f aca="false">AA93*1000000*AA95/3600</f>
        <v>1326109.54171503</v>
      </c>
      <c r="AB97" s="60" t="n">
        <f aca="false">AB93*1000000*AB95/3600</f>
        <v>1989164.31257255</v>
      </c>
      <c r="AC97" s="60" t="n">
        <f aca="false">AC93*1000000*AC95/3600</f>
        <v>442036.51390501</v>
      </c>
      <c r="AD97" s="60" t="n">
        <f aca="false">AD93*1000000*AD95/3600</f>
        <v>663054.770857515</v>
      </c>
      <c r="AE97" s="60" t="n">
        <f aca="false">AE93*1000000*AE95/3600</f>
        <v>442036.51390501</v>
      </c>
      <c r="AF97" s="60" t="n">
        <f aca="false">AF93*1000000*AF95/3600</f>
        <v>663054.770857515</v>
      </c>
      <c r="AG97" s="60" t="n">
        <f aca="false">AG93*1000000*AG95/3600</f>
        <v>442036.51390501</v>
      </c>
      <c r="AH97" s="60" t="n">
        <f aca="false">AH93*1000000*AH95/3600</f>
        <v>663054.770857515</v>
      </c>
    </row>
    <row r="98" customFormat="false" ht="15" hidden="false" customHeight="false" outlineLevel="0" collapsed="false">
      <c r="A98" s="53" t="s">
        <v>1028</v>
      </c>
      <c r="B98" s="54" t="s">
        <v>272</v>
      </c>
      <c r="C98" s="137" t="n">
        <f aca="false">C93*1000000000000*C96*1000000000</f>
        <v>1.0421225472E+024</v>
      </c>
      <c r="D98" s="137" t="n">
        <f aca="false">D93*1000000000000*D96*1000000000</f>
        <v>1.5631838208E+024</v>
      </c>
      <c r="E98" s="137" t="n">
        <f aca="false">E93*1000000000000*E96*1000000000</f>
        <v>1.0421225472E+024</v>
      </c>
      <c r="F98" s="137" t="n">
        <f aca="false">F93*1000000000000*F96*1000000000</f>
        <v>1.5631838208E+024</v>
      </c>
      <c r="G98" s="137" t="n">
        <f aca="false">G93*1000000000000*G96*1000000000</f>
        <v>1.0421225472E+024</v>
      </c>
      <c r="H98" s="137" t="n">
        <f aca="false">H93*1000000000000*H96*1000000000</f>
        <v>1.5631838208E+024</v>
      </c>
      <c r="I98" s="137" t="n">
        <f aca="false">I93*1000000000000*I96*1000000000</f>
        <v>1.0421225472E+024</v>
      </c>
      <c r="J98" s="137" t="n">
        <f aca="false">J93*1000000000000*J96*1000000000</f>
        <v>1.5631838208E+024</v>
      </c>
      <c r="K98" s="137" t="n">
        <f aca="false">K93*1000000000000*K96*1000000000</f>
        <v>1.0421225472E+024</v>
      </c>
      <c r="L98" s="137" t="n">
        <f aca="false">L93*1000000000000*L96*1000000000</f>
        <v>1.5631838208E+024</v>
      </c>
      <c r="M98" s="137" t="n">
        <f aca="false">M93*1000000000000*M96*1000000000</f>
        <v>1.0421225472E+024</v>
      </c>
      <c r="N98" s="137" t="n">
        <f aca="false">N93*1000000000000*N96*1000000000</f>
        <v>1.5631838208E+024</v>
      </c>
      <c r="O98" s="137" t="n">
        <f aca="false">O93*1000000000000*O96*1000000000</f>
        <v>1.0421225472E+024</v>
      </c>
      <c r="P98" s="137" t="n">
        <f aca="false">P93*1000000000000*P96*1000000000</f>
        <v>1.5631838208E+024</v>
      </c>
      <c r="Q98" s="137" t="n">
        <f aca="false">Q93*1000000000000*Q96*1000000000</f>
        <v>1.0421225472E+024</v>
      </c>
      <c r="R98" s="137" t="n">
        <f aca="false">R93*1000000000000*R96*1000000000</f>
        <v>1.5631838208E+024</v>
      </c>
      <c r="S98" s="137" t="n">
        <f aca="false">S93*1000000000000*S96*1000000000</f>
        <v>1.0421225472E+024</v>
      </c>
      <c r="T98" s="137" t="n">
        <f aca="false">T93*1000000000000*T96*1000000000</f>
        <v>1.5631838208E+024</v>
      </c>
      <c r="U98" s="137" t="n">
        <f aca="false">U93*1000000000000*U96*1000000000</f>
        <v>1.0421225472E+024</v>
      </c>
      <c r="V98" s="137" t="n">
        <f aca="false">V93*1000000000000*V96*1000000000</f>
        <v>1.5631838208E+024</v>
      </c>
      <c r="W98" s="137" t="n">
        <f aca="false">W93*1000000000000*W96*1000000000</f>
        <v>1.0421225472E+024</v>
      </c>
      <c r="X98" s="137" t="n">
        <f aca="false">X93*1000000000000*X96*1000000000</f>
        <v>1.5631838208E+024</v>
      </c>
      <c r="Y98" s="137" t="n">
        <f aca="false">Y93*1000000000000*Y96*1000000000</f>
        <v>0</v>
      </c>
      <c r="Z98" s="137" t="n">
        <f aca="false">Z93*1000000000000*Z96*1000000000</f>
        <v>0</v>
      </c>
      <c r="AA98" s="137" t="n">
        <f aca="false">AA93*1000000000000*AA96*1000000000</f>
        <v>3.1263676416E+024</v>
      </c>
      <c r="AB98" s="137" t="n">
        <f aca="false">AB93*1000000000000*AB96*1000000000</f>
        <v>4.6895514624E+024</v>
      </c>
      <c r="AC98" s="137" t="n">
        <f aca="false">AC93*1000000000000*AC96*1000000000</f>
        <v>1.0421225472E+024</v>
      </c>
      <c r="AD98" s="137" t="n">
        <f aca="false">AD93*1000000000000*AD96*1000000000</f>
        <v>1.5631838208E+024</v>
      </c>
      <c r="AE98" s="137" t="n">
        <f aca="false">AE93*1000000000000*AE96*1000000000</f>
        <v>1.0421225472E+024</v>
      </c>
      <c r="AF98" s="137" t="n">
        <f aca="false">AF93*1000000000000*AF96*1000000000</f>
        <v>1.5631838208E+024</v>
      </c>
      <c r="AG98" s="137" t="n">
        <f aca="false">AG93*1000000000000*AG96*1000000000</f>
        <v>1.0421225472E+024</v>
      </c>
      <c r="AH98" s="137" t="n">
        <f aca="false">AH93*1000000000000*AH96*1000000000</f>
        <v>1.5631838208E+024</v>
      </c>
    </row>
    <row r="99" customFormat="false" ht="15" hidden="false" customHeight="false" outlineLevel="0" collapsed="false">
      <c r="A99" s="53" t="s">
        <v>927</v>
      </c>
      <c r="B99" s="54" t="s">
        <v>904</v>
      </c>
      <c r="C99" s="88" t="n">
        <f aca="false">INDEX(Train_In!$C$38:$E$38,C$7)</f>
        <v>0.05</v>
      </c>
      <c r="D99" s="88" t="n">
        <f aca="false">INDEX(Train_In!$C$38:$E$38,D$7)</f>
        <v>0.1</v>
      </c>
      <c r="E99" s="88" t="n">
        <f aca="false">INDEX(Train_In!$C$38:$E$38,E$7)</f>
        <v>0.05</v>
      </c>
      <c r="F99" s="88" t="n">
        <f aca="false">INDEX(Train_In!$C$38:$E$38,F$7)</f>
        <v>0.1</v>
      </c>
      <c r="G99" s="88" t="n">
        <f aca="false">INDEX(Train_In!$C$38:$E$38,G$7)</f>
        <v>0.05</v>
      </c>
      <c r="H99" s="88" t="n">
        <f aca="false">INDEX(Train_In!$C$38:$E$38,H$7)</f>
        <v>0.1</v>
      </c>
      <c r="I99" s="88" t="n">
        <f aca="false">INDEX(Train_In!$C$38:$E$38,I$7)</f>
        <v>0.05</v>
      </c>
      <c r="J99" s="88" t="n">
        <f aca="false">INDEX(Train_In!$C$38:$E$38,J$7)</f>
        <v>0.1</v>
      </c>
      <c r="K99" s="88" t="n">
        <f aca="false">INDEX(Train_In!$C$38:$E$38,K$7)</f>
        <v>0.05</v>
      </c>
      <c r="L99" s="88" t="n">
        <f aca="false">INDEX(Train_In!$C$38:$E$38,L$7)</f>
        <v>0.1</v>
      </c>
      <c r="M99" s="88" t="n">
        <f aca="false">INDEX(Train_In!$C$38:$E$38,M$7)</f>
        <v>0.05</v>
      </c>
      <c r="N99" s="88" t="n">
        <f aca="false">INDEX(Train_In!$C$38:$E$38,N$7)</f>
        <v>0.1</v>
      </c>
      <c r="O99" s="88" t="n">
        <f aca="false">INDEX(Train_In!$C$38:$E$38,O$7)</f>
        <v>0.05</v>
      </c>
      <c r="P99" s="88" t="n">
        <f aca="false">INDEX(Train_In!$C$38:$E$38,P$7)</f>
        <v>0.1</v>
      </c>
      <c r="Q99" s="88" t="n">
        <f aca="false">INDEX(Train_In!$C$38:$E$38,Q$7)</f>
        <v>0.05</v>
      </c>
      <c r="R99" s="88" t="n">
        <f aca="false">INDEX(Train_In!$C$38:$E$38,R$7)</f>
        <v>0.1</v>
      </c>
      <c r="S99" s="88" t="n">
        <f aca="false">INDEX(Train_In!$C$38:$E$38,S$7)</f>
        <v>0.05</v>
      </c>
      <c r="T99" s="88" t="n">
        <f aca="false">INDEX(Train_In!$C$38:$E$38,T$7)</f>
        <v>0.1</v>
      </c>
      <c r="U99" s="88" t="n">
        <f aca="false">INDEX(Train_In!$C$38:$E$38,U$7)</f>
        <v>0.05</v>
      </c>
      <c r="V99" s="88" t="n">
        <f aca="false">INDEX(Train_In!$C$38:$E$38,V$7)</f>
        <v>0.1</v>
      </c>
      <c r="W99" s="88" t="n">
        <f aca="false">INDEX(Train_In!$C$38:$E$38,W$7)</f>
        <v>0.05</v>
      </c>
      <c r="X99" s="88" t="n">
        <f aca="false">INDEX(Train_In!$C$38:$E$38,X$7)</f>
        <v>0.1</v>
      </c>
      <c r="Y99" s="88" t="n">
        <f aca="false">INDEX(Train_In!$C$38:$E$38,Y$7)</f>
        <v>0.05</v>
      </c>
      <c r="Z99" s="88" t="n">
        <f aca="false">INDEX(Train_In!$C$38:$E$38,Z$7)</f>
        <v>0.1</v>
      </c>
      <c r="AA99" s="88" t="n">
        <f aca="false">INDEX(Train_In!$C$38:$E$38,AA$7)</f>
        <v>0.05</v>
      </c>
      <c r="AB99" s="88" t="n">
        <f aca="false">INDEX(Train_In!$C$38:$E$38,AB$7)</f>
        <v>0.1</v>
      </c>
      <c r="AC99" s="88" t="n">
        <f aca="false">INDEX(Train_In!$C$38:$E$38,AC$7)</f>
        <v>0.05</v>
      </c>
      <c r="AD99" s="88" t="n">
        <f aca="false">INDEX(Train_In!$C$38:$E$38,AD$7)</f>
        <v>0.1</v>
      </c>
      <c r="AE99" s="88" t="n">
        <f aca="false">INDEX(Train_In!$C$38:$E$38,AE$7)</f>
        <v>0.05</v>
      </c>
      <c r="AF99" s="88" t="n">
        <f aca="false">INDEX(Train_In!$C$38:$E$38,AF$7)</f>
        <v>0.1</v>
      </c>
      <c r="AG99" s="88" t="n">
        <f aca="false">INDEX(Train_In!$C$38:$E$38,AG$7)</f>
        <v>0.05</v>
      </c>
      <c r="AH99" s="88" t="n">
        <f aca="false">INDEX(Train_In!$C$38:$E$38,AH$7)</f>
        <v>0.1</v>
      </c>
    </row>
    <row r="100" customFormat="false" ht="15" hidden="false" customHeight="false" outlineLevel="0" collapsed="false">
      <c r="A100" s="53" t="s">
        <v>1029</v>
      </c>
      <c r="B100" s="54" t="s">
        <v>972</v>
      </c>
      <c r="C100" s="60" t="n">
        <f aca="false">C99*1000000*C59/3600</f>
        <v>2592.29216521878</v>
      </c>
      <c r="D100" s="60" t="n">
        <f aca="false">D99*1000000*D59/3600</f>
        <v>22101.8256952505</v>
      </c>
      <c r="E100" s="60" t="n">
        <f aca="false">E99*1000000*E59/3600</f>
        <v>2592.29216521878</v>
      </c>
      <c r="F100" s="60" t="n">
        <f aca="false">F99*1000000*F59/3600</f>
        <v>22101.8256952505</v>
      </c>
      <c r="G100" s="60" t="n">
        <f aca="false">G99*1000000*G59/3600</f>
        <v>2592.29216521878</v>
      </c>
      <c r="H100" s="60" t="n">
        <f aca="false">H99*1000000*H59/3600</f>
        <v>22101.8256952505</v>
      </c>
      <c r="I100" s="60" t="n">
        <f aca="false">I99*1000000*I59/3600</f>
        <v>2592.29216521878</v>
      </c>
      <c r="J100" s="60" t="n">
        <f aca="false">J99*1000000*J59/3600</f>
        <v>22101.8256952505</v>
      </c>
      <c r="K100" s="60" t="n">
        <f aca="false">K99*1000000*K59/3600</f>
        <v>2592.29216521878</v>
      </c>
      <c r="L100" s="60" t="n">
        <f aca="false">L99*1000000*L59/3600</f>
        <v>22101.8256952505</v>
      </c>
      <c r="M100" s="60" t="n">
        <f aca="false">M99*1000000*M59/3600</f>
        <v>2592.29216521878</v>
      </c>
      <c r="N100" s="60" t="n">
        <f aca="false">N99*1000000*N59/3600</f>
        <v>22101.8256952505</v>
      </c>
      <c r="O100" s="60" t="n">
        <f aca="false">O99*1000000*O59/3600</f>
        <v>2592.29216521878</v>
      </c>
      <c r="P100" s="60" t="n">
        <f aca="false">P99*1000000*P59/3600</f>
        <v>22101.8256952505</v>
      </c>
      <c r="Q100" s="60" t="n">
        <f aca="false">Q99*1000000*Q59/3600</f>
        <v>2592.29216521878</v>
      </c>
      <c r="R100" s="60" t="n">
        <f aca="false">R99*1000000*R59/3600</f>
        <v>22101.8256952505</v>
      </c>
      <c r="S100" s="60" t="n">
        <f aca="false">S99*1000000*S59/3600</f>
        <v>2592.29216521878</v>
      </c>
      <c r="T100" s="60" t="n">
        <f aca="false">T99*1000000*T59/3600</f>
        <v>22101.8256952505</v>
      </c>
      <c r="U100" s="60" t="n">
        <f aca="false">U99*1000000*U59/3600</f>
        <v>2592.29216521878</v>
      </c>
      <c r="V100" s="60" t="n">
        <f aca="false">V99*1000000*V59/3600</f>
        <v>22101.8256952505</v>
      </c>
      <c r="W100" s="60" t="n">
        <f aca="false">W99*1000000*W59/3600</f>
        <v>5229.55967698603</v>
      </c>
      <c r="X100" s="60" t="n">
        <f aca="false">X99*1000000*X59/3600</f>
        <v>44823.7966230092</v>
      </c>
      <c r="Y100" s="60" t="n">
        <f aca="false">Y99*1000000*Y59/3600</f>
        <v>2592.29216521878</v>
      </c>
      <c r="Z100" s="60" t="n">
        <f aca="false">Z99*1000000*Z59/3600</f>
        <v>22101.8256952505</v>
      </c>
      <c r="AA100" s="60" t="n">
        <f aca="false">AA99*1000000*AA59/3600</f>
        <v>2592.29216521878</v>
      </c>
      <c r="AB100" s="60" t="n">
        <f aca="false">AB99*1000000*AB59/3600</f>
        <v>22101.8256952505</v>
      </c>
      <c r="AC100" s="60" t="n">
        <f aca="false">AC99*1000000*AC59/3600</f>
        <v>2592.29216521878</v>
      </c>
      <c r="AD100" s="60" t="n">
        <f aca="false">AD99*1000000*AD59/3600</f>
        <v>22101.8256952505</v>
      </c>
      <c r="AE100" s="60" t="n">
        <f aca="false">AE99*1000000*AE59/3600</f>
        <v>2592.29216521878</v>
      </c>
      <c r="AF100" s="60" t="n">
        <f aca="false">AF99*1000000*AF59/3600</f>
        <v>22101.8256952505</v>
      </c>
      <c r="AG100" s="60" t="n">
        <f aca="false">AG99*1000000*AG59/3600</f>
        <v>2592.29216521878</v>
      </c>
      <c r="AH100" s="60" t="n">
        <f aca="false">AH99*1000000*AH59/3600</f>
        <v>22101.8256952505</v>
      </c>
    </row>
    <row r="101" customFormat="false" ht="15" hidden="false" customHeight="false" outlineLevel="0" collapsed="false">
      <c r="A101" s="53" t="s">
        <v>1030</v>
      </c>
      <c r="B101" s="54" t="s">
        <v>272</v>
      </c>
      <c r="C101" s="137" t="n">
        <f aca="false">C99*1000000000000*C61*1000000000</f>
        <v>6.6655872356352E+021</v>
      </c>
      <c r="D101" s="137" t="n">
        <f aca="false">D99*1000000000000*D61*1000000000</f>
        <v>5.210612736E+022</v>
      </c>
      <c r="E101" s="137" t="n">
        <f aca="false">E99*1000000000000*E61*1000000000</f>
        <v>6.6655872356352E+021</v>
      </c>
      <c r="F101" s="137" t="n">
        <f aca="false">F99*1000000000000*F61*1000000000</f>
        <v>5.210612736E+022</v>
      </c>
      <c r="G101" s="137" t="n">
        <f aca="false">G99*1000000000000*G61*1000000000</f>
        <v>6.6655872356352E+021</v>
      </c>
      <c r="H101" s="137" t="n">
        <f aca="false">H99*1000000000000*H61*1000000000</f>
        <v>5.210612736E+022</v>
      </c>
      <c r="I101" s="137" t="n">
        <f aca="false">I99*1000000000000*I61*1000000000</f>
        <v>6.6655872356352E+021</v>
      </c>
      <c r="J101" s="137" t="n">
        <f aca="false">J99*1000000000000*J61*1000000000</f>
        <v>5.210612736E+022</v>
      </c>
      <c r="K101" s="137" t="n">
        <f aca="false">K99*1000000000000*K61*1000000000</f>
        <v>6.6655872356352E+021</v>
      </c>
      <c r="L101" s="137" t="n">
        <f aca="false">L99*1000000000000*L61*1000000000</f>
        <v>5.210612736E+022</v>
      </c>
      <c r="M101" s="137" t="n">
        <f aca="false">M99*1000000000000*M61*1000000000</f>
        <v>6.6655872356352E+021</v>
      </c>
      <c r="N101" s="137" t="n">
        <f aca="false">N99*1000000000000*N61*1000000000</f>
        <v>5.210612736E+022</v>
      </c>
      <c r="O101" s="137" t="n">
        <f aca="false">O99*1000000000000*O61*1000000000</f>
        <v>6.6655872356352E+021</v>
      </c>
      <c r="P101" s="137" t="n">
        <f aca="false">P99*1000000000000*P61*1000000000</f>
        <v>5.210612736E+022</v>
      </c>
      <c r="Q101" s="137" t="n">
        <f aca="false">Q99*1000000000000*Q61*1000000000</f>
        <v>6.6655872356352E+021</v>
      </c>
      <c r="R101" s="137" t="n">
        <f aca="false">R99*1000000000000*R61*1000000000</f>
        <v>5.210612736E+022</v>
      </c>
      <c r="S101" s="137" t="n">
        <f aca="false">S99*1000000000000*S61*1000000000</f>
        <v>6.6655872356352E+021</v>
      </c>
      <c r="T101" s="137" t="n">
        <f aca="false">T99*1000000000000*T61*1000000000</f>
        <v>5.210612736E+022</v>
      </c>
      <c r="U101" s="137" t="n">
        <f aca="false">U99*1000000000000*U61*1000000000</f>
        <v>6.6655872356352E+021</v>
      </c>
      <c r="V101" s="137" t="n">
        <f aca="false">V99*1000000000000*V61*1000000000</f>
        <v>5.210612736E+022</v>
      </c>
      <c r="W101" s="137" t="n">
        <f aca="false">W99*1000000000000*W61*1000000000</f>
        <v>6.6655872356352E+021</v>
      </c>
      <c r="X101" s="137" t="n">
        <f aca="false">X99*1000000000000*X61*1000000000</f>
        <v>5.210612736E+022</v>
      </c>
      <c r="Y101" s="137" t="n">
        <f aca="false">Y99*1000000000000*Y61*1000000000</f>
        <v>6.6655872356352E+021</v>
      </c>
      <c r="Z101" s="137" t="n">
        <f aca="false">Z99*1000000000000*Z61*1000000000</f>
        <v>5.210612736E+022</v>
      </c>
      <c r="AA101" s="137" t="n">
        <f aca="false">AA99*1000000000000*AA61*1000000000</f>
        <v>6.6655872356352E+021</v>
      </c>
      <c r="AB101" s="137" t="n">
        <f aca="false">AB99*1000000000000*AB61*1000000000</f>
        <v>5.210612736E+022</v>
      </c>
      <c r="AC101" s="137" t="n">
        <f aca="false">AC99*1000000000000*AC61*1000000000</f>
        <v>6.6655872356352E+021</v>
      </c>
      <c r="AD101" s="137" t="n">
        <f aca="false">AD99*1000000000000*AD61*1000000000</f>
        <v>5.210612736E+022</v>
      </c>
      <c r="AE101" s="137" t="n">
        <f aca="false">AE99*1000000000000*AE61*1000000000</f>
        <v>6.6655872356352E+021</v>
      </c>
      <c r="AF101" s="137" t="n">
        <f aca="false">AF99*1000000000000*AF61*1000000000</f>
        <v>5.210612736E+022</v>
      </c>
      <c r="AG101" s="137" t="n">
        <f aca="false">AG99*1000000000000*AG61*1000000000</f>
        <v>6.6655872356352E+021</v>
      </c>
      <c r="AH101" s="137" t="n">
        <f aca="false">AH99*1000000000000*AH61*1000000000</f>
        <v>5.210612736E+022</v>
      </c>
    </row>
    <row r="102" customFormat="false" ht="15" hidden="false" customHeight="false" outlineLevel="0" collapsed="false">
      <c r="A102" s="68" t="s">
        <v>1031</v>
      </c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</row>
    <row r="103" customFormat="false" ht="15" hidden="false" customHeight="false" outlineLevel="0" collapsed="false">
      <c r="A103" s="53" t="s">
        <v>1032</v>
      </c>
      <c r="B103" s="54" t="s">
        <v>972</v>
      </c>
      <c r="C103" s="60" t="n">
        <f aca="false">C36+C43</f>
        <v>1046714.22569904</v>
      </c>
      <c r="D103" s="60" t="n">
        <f aca="false">D36+D43</f>
        <v>5684233.89686067</v>
      </c>
      <c r="E103" s="60" t="n">
        <f aca="false">E36+E43</f>
        <v>1744523.70949839</v>
      </c>
      <c r="F103" s="60" t="n">
        <f aca="false">F36+F43</f>
        <v>9473723.16143445</v>
      </c>
      <c r="G103" s="60" t="n">
        <f aca="false">G36+G43</f>
        <v>654196.391061898</v>
      </c>
      <c r="H103" s="60" t="n">
        <f aca="false">H36+H43</f>
        <v>3552646.18553792</v>
      </c>
      <c r="I103" s="60" t="n">
        <f aca="false">I36+I43</f>
        <v>523357.112849518</v>
      </c>
      <c r="J103" s="60" t="n">
        <f aca="false">J36+J43</f>
        <v>2842116.94843034</v>
      </c>
      <c r="K103" s="60" t="n">
        <f aca="false">K36+K43</f>
        <v>539398.39432267</v>
      </c>
      <c r="L103" s="60" t="n">
        <f aca="false">L36+L43</f>
        <v>3002522.01537919</v>
      </c>
      <c r="M103" s="60" t="n">
        <f aca="false">M36+M43</f>
        <v>1726517.43974337</v>
      </c>
      <c r="N103" s="60" t="n">
        <f aca="false">N36+N43</f>
        <v>9277727.81804586</v>
      </c>
      <c r="O103" s="60" t="n">
        <f aca="false">O36+O43</f>
        <v>1046714.22569904</v>
      </c>
      <c r="P103" s="60" t="n">
        <f aca="false">P36+P43</f>
        <v>5684233.89686067</v>
      </c>
      <c r="Q103" s="60" t="n">
        <f aca="false">Q36+Q43</f>
        <v>1046714.22569904</v>
      </c>
      <c r="R103" s="60" t="n">
        <f aca="false">R36+R43</f>
        <v>5684233.89686067</v>
      </c>
      <c r="S103" s="60" t="n">
        <f aca="false">S36+S43</f>
        <v>1046714.22569904</v>
      </c>
      <c r="T103" s="60" t="n">
        <f aca="false">T36+T43</f>
        <v>5684233.89686067</v>
      </c>
      <c r="U103" s="60" t="n">
        <f aca="false">U36+U43</f>
        <v>1046714.22569904</v>
      </c>
      <c r="V103" s="60" t="n">
        <f aca="false">V36+V43</f>
        <v>5684233.89686067</v>
      </c>
      <c r="W103" s="60" t="n">
        <f aca="false">W36+W43</f>
        <v>1046714.22569904</v>
      </c>
      <c r="X103" s="60" t="n">
        <f aca="false">X36+X43</f>
        <v>5684233.89686067</v>
      </c>
      <c r="Y103" s="60" t="n">
        <f aca="false">Y36+Y43</f>
        <v>1046714.22569904</v>
      </c>
      <c r="Z103" s="60" t="n">
        <f aca="false">Z36+Z43</f>
        <v>5684233.89686067</v>
      </c>
      <c r="AA103" s="60" t="n">
        <f aca="false">AA36+AA43</f>
        <v>1046714.22569904</v>
      </c>
      <c r="AB103" s="60" t="n">
        <f aca="false">AB36+AB43</f>
        <v>5684233.89686067</v>
      </c>
      <c r="AC103" s="60" t="n">
        <f aca="false">AC36+AC43</f>
        <v>1046714.22569904</v>
      </c>
      <c r="AD103" s="60" t="n">
        <f aca="false">AD36+AD43</f>
        <v>5684233.89686067</v>
      </c>
      <c r="AE103" s="60" t="n">
        <f aca="false">AE36+AE43</f>
        <v>1046714.22569904</v>
      </c>
      <c r="AF103" s="60" t="n">
        <f aca="false">AF36+AF43</f>
        <v>5684233.89686067</v>
      </c>
      <c r="AG103" s="60" t="n">
        <f aca="false">AG36+AG43</f>
        <v>1177553.50391142</v>
      </c>
      <c r="AH103" s="60" t="n">
        <f aca="false">AH36+AH43</f>
        <v>6394763.13396825</v>
      </c>
    </row>
    <row r="104" customFormat="false" ht="15" hidden="false" customHeight="false" outlineLevel="0" collapsed="false">
      <c r="A104" s="53" t="s">
        <v>1033</v>
      </c>
      <c r="B104" s="54" t="s">
        <v>972</v>
      </c>
      <c r="C104" s="60" t="n">
        <f aca="false">C51+C75+C90</f>
        <v>359687.465457935</v>
      </c>
      <c r="D104" s="60" t="n">
        <f aca="false">D51+D75+D90</f>
        <v>5336907.94267864</v>
      </c>
      <c r="E104" s="60" t="n">
        <f aca="false">E51+E75+E90</f>
        <v>494483.624791764</v>
      </c>
      <c r="F104" s="60" t="n">
        <f aca="false">F51+F75+F90</f>
        <v>7191430.23422479</v>
      </c>
      <c r="G104" s="60" t="n">
        <f aca="false">G51+G75+G90</f>
        <v>283864.625832657</v>
      </c>
      <c r="H104" s="60" t="n">
        <f aca="false">H51+H75+H90</f>
        <v>4293739.15368393</v>
      </c>
      <c r="I104" s="60" t="n">
        <f aca="false">I51+I75+I90</f>
        <v>258590.345957564</v>
      </c>
      <c r="J104" s="60" t="n">
        <f aca="false">J51+J75+J90</f>
        <v>3946016.22401903</v>
      </c>
      <c r="K104" s="60" t="n">
        <f aca="false">K51+K75+K90</f>
        <v>359687.465457935</v>
      </c>
      <c r="L104" s="60" t="n">
        <f aca="false">L51+L75+L90</f>
        <v>5336907.94267864</v>
      </c>
      <c r="M104" s="60" t="n">
        <f aca="false">M51+M75+M90</f>
        <v>359687.465457935</v>
      </c>
      <c r="N104" s="60" t="n">
        <f aca="false">N51+N75+N90</f>
        <v>5336907.94267864</v>
      </c>
      <c r="O104" s="60" t="n">
        <f aca="false">O51+O75+O90</f>
        <v>129493.185361763</v>
      </c>
      <c r="P104" s="60" t="n">
        <f aca="false">P51+P75+P90</f>
        <v>1687506.68150119</v>
      </c>
      <c r="Q104" s="60" t="n">
        <f aca="false">Q51+Q75+Q90</f>
        <v>1017385.40858986</v>
      </c>
      <c r="R104" s="60" t="n">
        <f aca="false">R51+R75+R90</f>
        <v>15763768.6888999</v>
      </c>
      <c r="S104" s="60" t="n">
        <f aca="false">S51+S75+S90</f>
        <v>424874.706407211</v>
      </c>
      <c r="T104" s="60" t="n">
        <f aca="false">T51+T75+T90</f>
        <v>6400219.52454665</v>
      </c>
      <c r="U104" s="60" t="n">
        <f aca="false">U51+U75+U90</f>
        <v>343219.109849697</v>
      </c>
      <c r="V104" s="60" t="n">
        <f aca="false">V51+V75+V90</f>
        <v>5068281.8588383</v>
      </c>
      <c r="W104" s="60" t="n">
        <f aca="false">W51+W75+W90</f>
        <v>518845.946963587</v>
      </c>
      <c r="X104" s="60" t="n">
        <f aca="false">X51+X75+X90</f>
        <v>7960354.83655692</v>
      </c>
      <c r="Y104" s="60" t="n">
        <f aca="false">Y51+Y75+Y90</f>
        <v>359687.465457935</v>
      </c>
      <c r="Z104" s="60" t="n">
        <f aca="false">Z51+Z75+Z90</f>
        <v>5336907.94267864</v>
      </c>
      <c r="AA104" s="60" t="n">
        <f aca="false">AA51+AA75+AA90</f>
        <v>359687.465457935</v>
      </c>
      <c r="AB104" s="60" t="n">
        <f aca="false">AB51+AB75+AB90</f>
        <v>5336907.94267864</v>
      </c>
      <c r="AC104" s="60" t="n">
        <f aca="false">AC51+AC75+AC90</f>
        <v>359687.465457935</v>
      </c>
      <c r="AD104" s="60" t="n">
        <f aca="false">AD51+AD75+AD90</f>
        <v>5336907.94267864</v>
      </c>
      <c r="AE104" s="60" t="n">
        <f aca="false">AE51+AE75+AE90</f>
        <v>359687.465457935</v>
      </c>
      <c r="AF104" s="60" t="n">
        <f aca="false">AF51+AF75+AF90</f>
        <v>5336907.94267864</v>
      </c>
      <c r="AG104" s="60" t="n">
        <f aca="false">AG51+AG75+AG90</f>
        <v>384961.745333028</v>
      </c>
      <c r="AH104" s="60" t="n">
        <f aca="false">AH51+AH75+AH90</f>
        <v>5684630.87234354</v>
      </c>
    </row>
    <row r="105" customFormat="false" ht="15" hidden="false" customHeight="false" outlineLevel="0" collapsed="false">
      <c r="A105" s="53" t="s">
        <v>1034</v>
      </c>
      <c r="B105" s="54" t="s">
        <v>972</v>
      </c>
      <c r="C105" s="60" t="n">
        <f aca="false">C97+C100</f>
        <v>444628.806070229</v>
      </c>
      <c r="D105" s="60" t="n">
        <f aca="false">D97+D100</f>
        <v>685156.596552766</v>
      </c>
      <c r="E105" s="60" t="n">
        <f aca="false">E97+E100</f>
        <v>444628.806070229</v>
      </c>
      <c r="F105" s="60" t="n">
        <f aca="false">F97+F100</f>
        <v>685156.596552766</v>
      </c>
      <c r="G105" s="60" t="n">
        <f aca="false">G97+G100</f>
        <v>444628.806070229</v>
      </c>
      <c r="H105" s="60" t="n">
        <f aca="false">H97+H100</f>
        <v>685156.596552766</v>
      </c>
      <c r="I105" s="60" t="n">
        <f aca="false">I97+I100</f>
        <v>444628.806070229</v>
      </c>
      <c r="J105" s="60" t="n">
        <f aca="false">J97+J100</f>
        <v>685156.596552766</v>
      </c>
      <c r="K105" s="60" t="n">
        <f aca="false">K97+K100</f>
        <v>444628.806070229</v>
      </c>
      <c r="L105" s="60" t="n">
        <f aca="false">L97+L100</f>
        <v>685156.596552766</v>
      </c>
      <c r="M105" s="60" t="n">
        <f aca="false">M97+M100</f>
        <v>444628.806070229</v>
      </c>
      <c r="N105" s="60" t="n">
        <f aca="false">N97+N100</f>
        <v>685156.596552766</v>
      </c>
      <c r="O105" s="60" t="n">
        <f aca="false">O97+O100</f>
        <v>444628.806070229</v>
      </c>
      <c r="P105" s="60" t="n">
        <f aca="false">P97+P100</f>
        <v>685156.596552766</v>
      </c>
      <c r="Q105" s="60" t="n">
        <f aca="false">Q97+Q100</f>
        <v>444628.806070229</v>
      </c>
      <c r="R105" s="60" t="n">
        <f aca="false">R97+R100</f>
        <v>685156.596552766</v>
      </c>
      <c r="S105" s="60" t="n">
        <f aca="false">S97+S100</f>
        <v>444628.806070229</v>
      </c>
      <c r="T105" s="60" t="n">
        <f aca="false">T97+T100</f>
        <v>685156.596552766</v>
      </c>
      <c r="U105" s="60" t="n">
        <f aca="false">U97+U100</f>
        <v>444628.806070229</v>
      </c>
      <c r="V105" s="60" t="n">
        <f aca="false">V97+V100</f>
        <v>685156.596552766</v>
      </c>
      <c r="W105" s="60" t="n">
        <f aca="false">W97+W100</f>
        <v>447266.073581996</v>
      </c>
      <c r="X105" s="60" t="n">
        <f aca="false">X97+X100</f>
        <v>707878.567480524</v>
      </c>
      <c r="Y105" s="60" t="n">
        <f aca="false">Y97+Y100</f>
        <v>2592.29216521878</v>
      </c>
      <c r="Z105" s="60" t="n">
        <f aca="false">Z97+Z100</f>
        <v>22101.8256952505</v>
      </c>
      <c r="AA105" s="60" t="n">
        <f aca="false">AA97+AA100</f>
        <v>1328701.83388025</v>
      </c>
      <c r="AB105" s="60" t="n">
        <f aca="false">AB97+AB100</f>
        <v>2011266.1382678</v>
      </c>
      <c r="AC105" s="60" t="n">
        <f aca="false">AC97+AC100</f>
        <v>444628.806070229</v>
      </c>
      <c r="AD105" s="60" t="n">
        <f aca="false">AD97+AD100</f>
        <v>685156.596552766</v>
      </c>
      <c r="AE105" s="60" t="n">
        <f aca="false">AE97+AE100</f>
        <v>444628.806070229</v>
      </c>
      <c r="AF105" s="60" t="n">
        <f aca="false">AF97+AF100</f>
        <v>685156.596552766</v>
      </c>
      <c r="AG105" s="60" t="n">
        <f aca="false">AG97+AG100</f>
        <v>444628.806070229</v>
      </c>
      <c r="AH105" s="60" t="n">
        <f aca="false">AH97+AH100</f>
        <v>685156.596552766</v>
      </c>
    </row>
    <row r="106" customFormat="false" ht="15" hidden="false" customHeight="false" outlineLevel="0" collapsed="false">
      <c r="A106" s="53" t="s">
        <v>1035</v>
      </c>
      <c r="B106" s="54" t="s">
        <v>972</v>
      </c>
      <c r="C106" s="63" t="n">
        <f aca="false">C103+C104+C105</f>
        <v>1851030.4972272</v>
      </c>
      <c r="D106" s="63" t="n">
        <f aca="false">D103+D104+D105</f>
        <v>11706298.4360921</v>
      </c>
      <c r="E106" s="63" t="n">
        <f aca="false">E103+E104+E105</f>
        <v>2683636.14036039</v>
      </c>
      <c r="F106" s="63" t="n">
        <f aca="false">F103+F104+F105</f>
        <v>17350309.992212</v>
      </c>
      <c r="G106" s="63" t="n">
        <f aca="false">G103+G104+G105</f>
        <v>1382689.82296478</v>
      </c>
      <c r="H106" s="63" t="n">
        <f aca="false">H103+H104+H105</f>
        <v>8531541.93577461</v>
      </c>
      <c r="I106" s="63" t="n">
        <f aca="false">I103+I104+I105</f>
        <v>1226576.26487731</v>
      </c>
      <c r="J106" s="63" t="n">
        <f aca="false">J103+J104+J105</f>
        <v>7473289.76900213</v>
      </c>
      <c r="K106" s="63" t="n">
        <f aca="false">K103+K104+K105</f>
        <v>1343714.66585083</v>
      </c>
      <c r="L106" s="63" t="n">
        <f aca="false">L103+L104+L105</f>
        <v>9024586.55461059</v>
      </c>
      <c r="M106" s="63" t="n">
        <f aca="false">M103+M104+M105</f>
        <v>2530833.71127153</v>
      </c>
      <c r="N106" s="63" t="n">
        <f aca="false">N103+N104+N105</f>
        <v>15299792.3572773</v>
      </c>
      <c r="O106" s="63" t="n">
        <f aca="false">O103+O104+O105</f>
        <v>1620836.21713103</v>
      </c>
      <c r="P106" s="63" t="n">
        <f aca="false">P103+P104+P105</f>
        <v>8056897.17491462</v>
      </c>
      <c r="Q106" s="63" t="n">
        <f aca="false">Q103+Q104+Q105</f>
        <v>2508728.44035912</v>
      </c>
      <c r="R106" s="63" t="n">
        <f aca="false">R103+R104+R105</f>
        <v>22133159.1823134</v>
      </c>
      <c r="S106" s="63" t="n">
        <f aca="false">S103+S104+S105</f>
        <v>1916217.73817648</v>
      </c>
      <c r="T106" s="63" t="n">
        <f aca="false">T103+T104+T105</f>
        <v>12769610.0179601</v>
      </c>
      <c r="U106" s="63" t="n">
        <f aca="false">U103+U104+U105</f>
        <v>1834562.14161896</v>
      </c>
      <c r="V106" s="63" t="n">
        <f aca="false">V103+V104+V105</f>
        <v>11437672.3522517</v>
      </c>
      <c r="W106" s="63" t="n">
        <f aca="false">W103+W104+W105</f>
        <v>2012826.24624462</v>
      </c>
      <c r="X106" s="63" t="n">
        <f aca="false">X103+X104+X105</f>
        <v>14352467.3008981</v>
      </c>
      <c r="Y106" s="63" t="n">
        <f aca="false">Y103+Y104+Y105</f>
        <v>1408993.98332219</v>
      </c>
      <c r="Z106" s="63" t="n">
        <f aca="false">Z103+Z104+Z105</f>
        <v>11043243.6652346</v>
      </c>
      <c r="AA106" s="63" t="n">
        <f aca="false">AA103+AA104+AA105</f>
        <v>2735103.52503722</v>
      </c>
      <c r="AB106" s="63" t="n">
        <f aca="false">AB103+AB104+AB105</f>
        <v>13032407.9778071</v>
      </c>
      <c r="AC106" s="63" t="n">
        <f aca="false">AC103+AC104+AC105</f>
        <v>1851030.4972272</v>
      </c>
      <c r="AD106" s="63" t="n">
        <f aca="false">AD103+AD104+AD105</f>
        <v>11706298.4360921</v>
      </c>
      <c r="AE106" s="63" t="n">
        <f aca="false">AE103+AE104+AE105</f>
        <v>1851030.4972272</v>
      </c>
      <c r="AF106" s="63" t="n">
        <f aca="false">AF103+AF104+AF105</f>
        <v>11706298.4360921</v>
      </c>
      <c r="AG106" s="63" t="n">
        <f aca="false">AG103+AG104+AG105</f>
        <v>2007144.05531467</v>
      </c>
      <c r="AH106" s="63" t="n">
        <f aca="false">AH103+AH104+AH105</f>
        <v>12764550.6028646</v>
      </c>
    </row>
    <row r="107" customFormat="false" ht="15" hidden="false" customHeight="false" outlineLevel="0" collapsed="false">
      <c r="A107" s="53" t="s">
        <v>1036</v>
      </c>
      <c r="B107" s="54" t="s">
        <v>272</v>
      </c>
      <c r="C107" s="137" t="n">
        <f aca="false">C35+C42</f>
        <v>1.33534567343555E+025</v>
      </c>
      <c r="D107" s="137" t="n">
        <f aca="false">D35+D42</f>
        <v>7.25166139392E+025</v>
      </c>
      <c r="E107" s="137" t="n">
        <f aca="false">E35+E42</f>
        <v>1.33534567343555E+025</v>
      </c>
      <c r="F107" s="137" t="n">
        <f aca="false">F35+F42</f>
        <v>7.25166139392E+025</v>
      </c>
      <c r="G107" s="137" t="n">
        <f aca="false">G35+G42</f>
        <v>1.33534567343555E+025</v>
      </c>
      <c r="H107" s="137" t="n">
        <f aca="false">H35+H42</f>
        <v>7.25166139392E+025</v>
      </c>
      <c r="I107" s="137" t="n">
        <f aca="false">I35+I42</f>
        <v>1.33534567343555E+025</v>
      </c>
      <c r="J107" s="137" t="n">
        <f aca="false">J35+J42</f>
        <v>7.25166139392E+025</v>
      </c>
      <c r="K107" s="137" t="n">
        <f aca="false">K35+K42</f>
        <v>6.88137501557146E+024</v>
      </c>
      <c r="L107" s="137" t="n">
        <f aca="false">L35+L42</f>
        <v>3.83046746112E+025</v>
      </c>
      <c r="M107" s="137" t="n">
        <f aca="false">M35+M42</f>
        <v>2.2026046237526E+025</v>
      </c>
      <c r="N107" s="137" t="n">
        <f aca="false">N35+N42</f>
        <v>1.1836061263872E+026</v>
      </c>
      <c r="O107" s="137" t="n">
        <f aca="false">O35+O42</f>
        <v>1.33534567343555E+025</v>
      </c>
      <c r="P107" s="137" t="n">
        <f aca="false">P35+P42</f>
        <v>7.25166139392E+025</v>
      </c>
      <c r="Q107" s="137" t="n">
        <f aca="false">Q35+Q42</f>
        <v>1.33534567343555E+025</v>
      </c>
      <c r="R107" s="137" t="n">
        <f aca="false">R35+R42</f>
        <v>7.25166139392E+025</v>
      </c>
      <c r="S107" s="137" t="n">
        <f aca="false">S35+S42</f>
        <v>1.33534567343555E+025</v>
      </c>
      <c r="T107" s="137" t="n">
        <f aca="false">T35+T42</f>
        <v>7.25166139392E+025</v>
      </c>
      <c r="U107" s="137" t="n">
        <f aca="false">U35+U42</f>
        <v>1.33534567343555E+025</v>
      </c>
      <c r="V107" s="137" t="n">
        <f aca="false">V35+V42</f>
        <v>7.25166139392E+025</v>
      </c>
      <c r="W107" s="137" t="n">
        <f aca="false">W35+W42</f>
        <v>1.33534567343555E+025</v>
      </c>
      <c r="X107" s="137" t="n">
        <f aca="false">X35+X42</f>
        <v>7.25166139392E+025</v>
      </c>
      <c r="Y107" s="137" t="n">
        <f aca="false">Y35+Y42</f>
        <v>1.33534567343555E+025</v>
      </c>
      <c r="Z107" s="137" t="n">
        <f aca="false">Z35+Z42</f>
        <v>7.25166139392E+025</v>
      </c>
      <c r="AA107" s="137" t="n">
        <f aca="false">AA35+AA42</f>
        <v>1.33534567343555E+025</v>
      </c>
      <c r="AB107" s="137" t="n">
        <f aca="false">AB35+AB42</f>
        <v>7.25166139392E+025</v>
      </c>
      <c r="AC107" s="137" t="n">
        <f aca="false">AC35+AC42</f>
        <v>1.33534567343555E+025</v>
      </c>
      <c r="AD107" s="137" t="n">
        <f aca="false">AD35+AD42</f>
        <v>7.25166139392E+025</v>
      </c>
      <c r="AE107" s="137" t="n">
        <f aca="false">AE35+AE42</f>
        <v>1.33534567343555E+025</v>
      </c>
      <c r="AF107" s="137" t="n">
        <f aca="false">AF35+AF42</f>
        <v>7.25166139392E+025</v>
      </c>
      <c r="AG107" s="137" t="n">
        <f aca="false">AG35+AG42</f>
        <v>1.33534567343555E+025</v>
      </c>
      <c r="AH107" s="137" t="n">
        <f aca="false">AH35+AH42</f>
        <v>7.25166139392E+025</v>
      </c>
    </row>
    <row r="108" customFormat="false" ht="15" hidden="false" customHeight="false" outlineLevel="0" collapsed="false">
      <c r="A108" s="53" t="s">
        <v>1037</v>
      </c>
      <c r="B108" s="54" t="s">
        <v>272</v>
      </c>
      <c r="C108" s="137" t="n">
        <f aca="false">C49+C76+C91</f>
        <v>1.94311098372492E+024</v>
      </c>
      <c r="D108" s="137" t="n">
        <f aca="false">D49+D76+D91</f>
        <v>2.666974089216E+025</v>
      </c>
      <c r="E108" s="137" t="n">
        <f aca="false">E49+E76+E91</f>
        <v>1.94311098372492E+024</v>
      </c>
      <c r="F108" s="137" t="n">
        <f aca="false">F49+F76+F91</f>
        <v>2.666974089216E+025</v>
      </c>
      <c r="G108" s="137" t="n">
        <f aca="false">G49+G76+G91</f>
        <v>1.94311098372492E+024</v>
      </c>
      <c r="H108" s="137" t="n">
        <f aca="false">H49+H76+H91</f>
        <v>2.666974089216E+025</v>
      </c>
      <c r="I108" s="137" t="n">
        <f aca="false">I49+I76+I91</f>
        <v>1.94311098372492E+024</v>
      </c>
      <c r="J108" s="137" t="n">
        <f aca="false">J49+J76+J91</f>
        <v>2.666974089216E+025</v>
      </c>
      <c r="K108" s="137" t="n">
        <f aca="false">K49+K76+K91</f>
        <v>1.94311098372492E+024</v>
      </c>
      <c r="L108" s="137" t="n">
        <f aca="false">L49+L76+L91</f>
        <v>2.666974089216E+025</v>
      </c>
      <c r="M108" s="137" t="n">
        <f aca="false">M49+M76+M91</f>
        <v>1.94311098372492E+024</v>
      </c>
      <c r="N108" s="137" t="n">
        <f aca="false">N49+N76+N91</f>
        <v>2.666974089216E+025</v>
      </c>
      <c r="O108" s="137" t="n">
        <f aca="false">O49+O76+O91</f>
        <v>7.26982939760477E+023</v>
      </c>
      <c r="P108" s="137" t="n">
        <f aca="false">P49+P76+P91</f>
        <v>8.544883731456E+024</v>
      </c>
      <c r="Q108" s="137" t="n">
        <f aca="false">Q49+Q76+Q91</f>
        <v>5.41776253790905E+024</v>
      </c>
      <c r="R108" s="137" t="n">
        <f aca="false">R49+R76+R91</f>
        <v>7.84550470656E+025</v>
      </c>
      <c r="S108" s="137" t="n">
        <f aca="false">S49+S76+S91</f>
        <v>1.94311098372492E+024</v>
      </c>
      <c r="T108" s="137" t="n">
        <f aca="false">T49+T76+T91</f>
        <v>2.666974089216E+025</v>
      </c>
      <c r="U108" s="137" t="n">
        <f aca="false">U49+U76+U91</f>
        <v>1.94311098372492E+024</v>
      </c>
      <c r="V108" s="137" t="n">
        <f aca="false">V49+V76+V91</f>
        <v>2.666974089216E+025</v>
      </c>
      <c r="W108" s="137" t="n">
        <f aca="false">W49+W76+W91</f>
        <v>1.94311098372492E+024</v>
      </c>
      <c r="X108" s="137" t="n">
        <f aca="false">X49+X76+X91</f>
        <v>2.666974089216E+025</v>
      </c>
      <c r="Y108" s="137" t="n">
        <f aca="false">Y49+Y76+Y91</f>
        <v>1.94311098372492E+024</v>
      </c>
      <c r="Z108" s="137" t="n">
        <f aca="false">Z49+Z76+Z91</f>
        <v>2.666974089216E+025</v>
      </c>
      <c r="AA108" s="137" t="n">
        <f aca="false">AA49+AA76+AA91</f>
        <v>1.94311098372492E+024</v>
      </c>
      <c r="AB108" s="137" t="n">
        <f aca="false">AB49+AB76+AB91</f>
        <v>2.666974089216E+025</v>
      </c>
      <c r="AC108" s="137" t="n">
        <f aca="false">AC49+AC76+AC91</f>
        <v>1.94311098372492E+024</v>
      </c>
      <c r="AD108" s="137" t="n">
        <f aca="false">AD49+AD76+AD91</f>
        <v>2.666974089216E+025</v>
      </c>
      <c r="AE108" s="137" t="n">
        <f aca="false">AE49+AE76+AE91</f>
        <v>1.94311098372492E+024</v>
      </c>
      <c r="AF108" s="137" t="n">
        <f aca="false">AF49+AF76+AF91</f>
        <v>2.666974089216E+025</v>
      </c>
      <c r="AG108" s="137" t="n">
        <f aca="false">AG49+AG76+AG91</f>
        <v>1.94311098372492E+024</v>
      </c>
      <c r="AH108" s="137" t="n">
        <f aca="false">AH49+AH76+AH91</f>
        <v>2.666974089216E+025</v>
      </c>
    </row>
    <row r="109" customFormat="false" ht="15" hidden="false" customHeight="false" outlineLevel="0" collapsed="false">
      <c r="A109" s="53" t="s">
        <v>1038</v>
      </c>
      <c r="B109" s="54" t="s">
        <v>272</v>
      </c>
      <c r="C109" s="137" t="n">
        <f aca="false">C107+C108+C98+C101</f>
        <v>1.6345355852516E+025</v>
      </c>
      <c r="D109" s="137" t="n">
        <f aca="false">D107+D108+D98+D101</f>
        <v>1.0080164477952E+026</v>
      </c>
      <c r="E109" s="137" t="n">
        <f aca="false">E107+E108+E98+E101</f>
        <v>1.6345355852516E+025</v>
      </c>
      <c r="F109" s="137" t="n">
        <f aca="false">F107+F108+F98+F101</f>
        <v>1.0080164477952E+026</v>
      </c>
      <c r="G109" s="137" t="n">
        <f aca="false">G107+G108+G98+G101</f>
        <v>1.6345355852516E+025</v>
      </c>
      <c r="H109" s="137" t="n">
        <f aca="false">H107+H108+H98+H101</f>
        <v>1.0080164477952E+026</v>
      </c>
      <c r="I109" s="137" t="n">
        <f aca="false">I107+I108+I98+I101</f>
        <v>1.6345355852516E+025</v>
      </c>
      <c r="J109" s="137" t="n">
        <f aca="false">J107+J108+J98+J101</f>
        <v>1.0080164477952E+026</v>
      </c>
      <c r="K109" s="137" t="n">
        <f aca="false">K107+K108+K98+K101</f>
        <v>9.87327413373201E+024</v>
      </c>
      <c r="L109" s="137" t="n">
        <f aca="false">L107+L108+L98+L101</f>
        <v>6.658970545152E+025</v>
      </c>
      <c r="M109" s="137" t="n">
        <f aca="false">M107+M108+M98+M101</f>
        <v>2.50179453556866E+025</v>
      </c>
      <c r="N109" s="137" t="n">
        <f aca="false">N107+N108+N98+N101</f>
        <v>1.4664564347904E+026</v>
      </c>
      <c r="O109" s="137" t="n">
        <f aca="false">O107+O108+O98+O101</f>
        <v>1.51292278085516E+025</v>
      </c>
      <c r="P109" s="137" t="n">
        <f aca="false">P107+P108+P98+P101</f>
        <v>8.2676787618816E+025</v>
      </c>
      <c r="Q109" s="137" t="n">
        <f aca="false">Q107+Q108+Q98+Q101</f>
        <v>1.98200074067001E+025</v>
      </c>
      <c r="R109" s="137" t="n">
        <f aca="false">R107+R108+R98+R101</f>
        <v>1.5258695095296E+026</v>
      </c>
      <c r="S109" s="137" t="n">
        <f aca="false">S107+S108+S98+S101</f>
        <v>1.6345355852516E+025</v>
      </c>
      <c r="T109" s="137" t="n">
        <f aca="false">T107+T108+T98+T101</f>
        <v>1.0080164477952E+026</v>
      </c>
      <c r="U109" s="137" t="n">
        <f aca="false">U107+U108+U98+U101</f>
        <v>1.6345355852516E+025</v>
      </c>
      <c r="V109" s="137" t="n">
        <f aca="false">V107+V108+V98+V101</f>
        <v>1.0080164477952E+026</v>
      </c>
      <c r="W109" s="137" t="n">
        <f aca="false">W107+W108+W98+W101</f>
        <v>1.6345355852516E+025</v>
      </c>
      <c r="X109" s="137" t="n">
        <f aca="false">X107+X108+X98+X101</f>
        <v>1.0080164477952E+026</v>
      </c>
      <c r="Y109" s="137" t="n">
        <f aca="false">Y107+Y108+Y98+Y101</f>
        <v>1.5303233305316E+025</v>
      </c>
      <c r="Z109" s="137" t="n">
        <f aca="false">Z107+Z108+Z98+Z101</f>
        <v>9.923846095872E+025</v>
      </c>
      <c r="AA109" s="137" t="n">
        <f aca="false">AA107+AA108+AA98+AA101</f>
        <v>1.8429600946916E+025</v>
      </c>
      <c r="AB109" s="137" t="n">
        <f aca="false">AB107+AB108+AB98+AB101</f>
        <v>1.0392801242112E+026</v>
      </c>
      <c r="AC109" s="137" t="n">
        <f aca="false">AC107+AC108+AC98+AC101</f>
        <v>1.6345355852516E+025</v>
      </c>
      <c r="AD109" s="137" t="n">
        <f aca="false">AD107+AD108+AD98+AD101</f>
        <v>1.0080164477952E+026</v>
      </c>
      <c r="AE109" s="137" t="n">
        <f aca="false">AE107+AE108+AE98+AE101</f>
        <v>1.6345355852516E+025</v>
      </c>
      <c r="AF109" s="137" t="n">
        <f aca="false">AF107+AF108+AF98+AF101</f>
        <v>1.0080164477952E+026</v>
      </c>
      <c r="AG109" s="137" t="n">
        <f aca="false">AG107+AG108+AG98+AG101</f>
        <v>1.6345355852516E+025</v>
      </c>
      <c r="AH109" s="137" t="n">
        <f aca="false">AH107+AH108+AH98+AH101</f>
        <v>1.0080164477952E+026</v>
      </c>
    </row>
    <row r="110" customFormat="false" ht="15" hidden="false" customHeight="false" outlineLevel="0" collapsed="false">
      <c r="A110" s="53" t="s">
        <v>1039</v>
      </c>
      <c r="B110" s="54" t="s">
        <v>71</v>
      </c>
      <c r="C110" s="94" t="n">
        <f aca="false">C108/(C107+C108)</f>
        <v>0.127029214627552</v>
      </c>
      <c r="D110" s="94" t="n">
        <f aca="false">D108/(D107+D108)</f>
        <v>0.268885180199482</v>
      </c>
      <c r="E110" s="94" t="n">
        <f aca="false">E108/(E107+E108)</f>
        <v>0.127029214627552</v>
      </c>
      <c r="F110" s="94" t="n">
        <f aca="false">F108/(F107+F108)</f>
        <v>0.268885180199482</v>
      </c>
      <c r="G110" s="94" t="n">
        <f aca="false">G108/(G107+G108)</f>
        <v>0.127029214627552</v>
      </c>
      <c r="H110" s="94" t="n">
        <f aca="false">H108/(H107+H108)</f>
        <v>0.268885180199482</v>
      </c>
      <c r="I110" s="94" t="n">
        <f aca="false">I108/(I107+I108)</f>
        <v>0.127029214627552</v>
      </c>
      <c r="J110" s="94" t="n">
        <f aca="false">J108/(J107+J108)</f>
        <v>0.268885180199482</v>
      </c>
      <c r="K110" s="94" t="n">
        <f aca="false">K108/(K107+K108)</f>
        <v>0.220195372725375</v>
      </c>
      <c r="L110" s="94" t="n">
        <f aca="false">L108/(L107+L108)</f>
        <v>0.410465268299041</v>
      </c>
      <c r="M110" s="94" t="n">
        <f aca="false">M108/(M107+M108)</f>
        <v>0.08106713831399</v>
      </c>
      <c r="N110" s="94" t="n">
        <f aca="false">N108/(N107+N108)</f>
        <v>0.18389075281735</v>
      </c>
      <c r="O110" s="94" t="n">
        <f aca="false">O108/(O107+O108)</f>
        <v>0.051630698798198</v>
      </c>
      <c r="P110" s="94" t="n">
        <f aca="false">P108/(P107+P108)</f>
        <v>0.105412359467782</v>
      </c>
      <c r="Q110" s="94" t="n">
        <f aca="false">Q108/(Q107+Q108)</f>
        <v>0.28862070488485</v>
      </c>
      <c r="R110" s="94" t="n">
        <f aca="false">R108/(R107+R108)</f>
        <v>0.519667376933116</v>
      </c>
      <c r="S110" s="94" t="n">
        <f aca="false">S108/(S107+S108)</f>
        <v>0.127029214627552</v>
      </c>
      <c r="T110" s="94" t="n">
        <f aca="false">T108/(T107+T108)</f>
        <v>0.268885180199482</v>
      </c>
      <c r="U110" s="94" t="n">
        <f aca="false">U108/(U107+U108)</f>
        <v>0.127029214627552</v>
      </c>
      <c r="V110" s="94" t="n">
        <f aca="false">V108/(V107+V108)</f>
        <v>0.268885180199482</v>
      </c>
      <c r="W110" s="94" t="n">
        <f aca="false">W108/(W107+W108)</f>
        <v>0.127029214627552</v>
      </c>
      <c r="X110" s="94" t="n">
        <f aca="false">X108/(X107+X108)</f>
        <v>0.268885180199482</v>
      </c>
      <c r="Y110" s="94" t="n">
        <f aca="false">Y108/(Y107+Y108)</f>
        <v>0.127029214627552</v>
      </c>
      <c r="Z110" s="94" t="n">
        <f aca="false">Z108/(Z107+Z108)</f>
        <v>0.268885180199482</v>
      </c>
      <c r="AA110" s="94" t="n">
        <f aca="false">AA108/(AA107+AA108)</f>
        <v>0.127029214627552</v>
      </c>
      <c r="AB110" s="94" t="n">
        <f aca="false">AB108/(AB107+AB108)</f>
        <v>0.268885180199482</v>
      </c>
      <c r="AC110" s="94" t="n">
        <f aca="false">AC108/(AC107+AC108)</f>
        <v>0.127029214627552</v>
      </c>
      <c r="AD110" s="94" t="n">
        <f aca="false">AD108/(AD107+AD108)</f>
        <v>0.268885180199482</v>
      </c>
      <c r="AE110" s="94" t="n">
        <f aca="false">AE108/(AE107+AE108)</f>
        <v>0.127029214627552</v>
      </c>
      <c r="AF110" s="94" t="n">
        <f aca="false">AF108/(AF107+AF108)</f>
        <v>0.268885180199482</v>
      </c>
      <c r="AG110" s="94" t="n">
        <f aca="false">AG108/(AG107+AG108)</f>
        <v>0.127029214627552</v>
      </c>
      <c r="AH110" s="94" t="n">
        <f aca="false">AH108/(AH107+AH108)</f>
        <v>0.268885180199482</v>
      </c>
    </row>
    <row r="111" customFormat="false" ht="15" hidden="false" customHeight="false" outlineLevel="0" collapsed="false">
      <c r="A111" s="53" t="s">
        <v>1040</v>
      </c>
      <c r="B111" s="54" t="s">
        <v>71</v>
      </c>
      <c r="C111" s="94" t="n">
        <f aca="false">C104/(C103+C104)</f>
        <v>0.255750165631584</v>
      </c>
      <c r="D111" s="94" t="n">
        <f aca="false">D104/(D103+D104)</f>
        <v>0.484242741848401</v>
      </c>
      <c r="E111" s="94" t="n">
        <f aca="false">E104/(E103+E104)</f>
        <v>0.220849488618818</v>
      </c>
      <c r="F111" s="94" t="n">
        <f aca="false">F104/(F103+F104)</f>
        <v>0.431524994909314</v>
      </c>
      <c r="G111" s="94" t="n">
        <f aca="false">G104/(G103+G104)</f>
        <v>0.302607848231866</v>
      </c>
      <c r="H111" s="94" t="n">
        <f aca="false">H104/(H103+H104)</f>
        <v>0.547225119345178</v>
      </c>
      <c r="I111" s="94" t="n">
        <f aca="false">I104/(I103+I104)</f>
        <v>0.330700410935618</v>
      </c>
      <c r="J111" s="94" t="n">
        <f aca="false">J104/(J103+J104)</f>
        <v>0.581310961905479</v>
      </c>
      <c r="K111" s="94" t="n">
        <f aca="false">K104/(K103+K104)</f>
        <v>0.4000590839519</v>
      </c>
      <c r="L111" s="94" t="n">
        <f aca="false">L104/(L103+L104)</f>
        <v>0.639960761049614</v>
      </c>
      <c r="M111" s="94" t="n">
        <f aca="false">M104/(M103+M104)</f>
        <v>0.172412338098317</v>
      </c>
      <c r="N111" s="94" t="n">
        <f aca="false">N104/(N103+N104)</f>
        <v>0.365175569891457</v>
      </c>
      <c r="O111" s="94" t="n">
        <f aca="false">O104/(O103+O104)</f>
        <v>0.110093835614397</v>
      </c>
      <c r="P111" s="94" t="n">
        <f aca="false">P104/(P103+P104)</f>
        <v>0.228915635807165</v>
      </c>
      <c r="Q111" s="94" t="n">
        <f aca="false">Q104/(Q103+Q104)</f>
        <v>0.492895493845847</v>
      </c>
      <c r="R111" s="94" t="n">
        <f aca="false">R104/(R103+R104)</f>
        <v>0.734976071821511</v>
      </c>
      <c r="S111" s="94" t="n">
        <f aca="false">S104/(S103+S104)</f>
        <v>0.288718335084988</v>
      </c>
      <c r="T111" s="94" t="n">
        <f aca="false">T104/(T103+T104)</f>
        <v>0.529624245413434</v>
      </c>
      <c r="U111" s="94" t="n">
        <f aca="false">U104/(U103+U104)</f>
        <v>0.246932065784434</v>
      </c>
      <c r="V111" s="94" t="n">
        <f aca="false">V104/(V103+V104)</f>
        <v>0.471357770961837</v>
      </c>
      <c r="W111" s="94" t="n">
        <f aca="false">W104/(W103+W104)</f>
        <v>0.331412331524224</v>
      </c>
      <c r="X111" s="94" t="n">
        <f aca="false">X104/(X103+X104)</f>
        <v>0.583407458596451</v>
      </c>
      <c r="Y111" s="94" t="n">
        <f aca="false">Y104/(Y103+Y104)</f>
        <v>0.255750165631584</v>
      </c>
      <c r="Z111" s="94" t="n">
        <f aca="false">Z104/(Z103+Z104)</f>
        <v>0.484242741848401</v>
      </c>
      <c r="AA111" s="94" t="n">
        <f aca="false">AA104/(AA103+AA104)</f>
        <v>0.255750165631584</v>
      </c>
      <c r="AB111" s="94" t="n">
        <f aca="false">AB104/(AB103+AB104)</f>
        <v>0.484242741848401</v>
      </c>
      <c r="AC111" s="94" t="n">
        <f aca="false">AC104/(AC103+AC104)</f>
        <v>0.255750165631584</v>
      </c>
      <c r="AD111" s="94" t="n">
        <f aca="false">AD104/(AD103+AD104)</f>
        <v>0.484242741848401</v>
      </c>
      <c r="AE111" s="94" t="n">
        <f aca="false">AE104/(AE103+AE104)</f>
        <v>0.255750165631584</v>
      </c>
      <c r="AF111" s="94" t="n">
        <f aca="false">AF104/(AF103+AF104)</f>
        <v>0.484242741848401</v>
      </c>
      <c r="AG111" s="94" t="n">
        <f aca="false">AG104/(AG103+AG104)</f>
        <v>0.246373112530695</v>
      </c>
      <c r="AH111" s="94" t="n">
        <f aca="false">AH104/(AH103+AH104)</f>
        <v>0.470605633806893</v>
      </c>
    </row>
    <row r="112" customFormat="false" ht="15" hidden="false" customHeight="false" outlineLevel="0" collapsed="false">
      <c r="A112" s="53" t="s">
        <v>1041</v>
      </c>
      <c r="B112" s="54" t="s">
        <v>972</v>
      </c>
      <c r="C112" s="60" t="n">
        <f aca="false">C65+C74+C86+C87+C97+C100</f>
        <v>602122.032527422</v>
      </c>
      <c r="D112" s="60" t="n">
        <f aca="false">D65+D74+D86+D87+D97+D100</f>
        <v>3240281.10191218</v>
      </c>
      <c r="E112" s="60" t="n">
        <f aca="false">E65+E74+E86+E87+E97+E100</f>
        <v>602122.032527422</v>
      </c>
      <c r="F112" s="60" t="n">
        <f aca="false">F65+F74+F86+F87+F97+F100</f>
        <v>3240281.10191218</v>
      </c>
      <c r="G112" s="60" t="n">
        <f aca="false">G65+G74+G86+G87+G97+G100</f>
        <v>602122.032527422</v>
      </c>
      <c r="H112" s="60" t="n">
        <f aca="false">H65+H74+H86+H87+H97+H100</f>
        <v>3240281.10191218</v>
      </c>
      <c r="I112" s="60" t="n">
        <f aca="false">I65+I74+I86+I87+I97+I100</f>
        <v>602122.032527422</v>
      </c>
      <c r="J112" s="60" t="n">
        <f aca="false">J65+J74+J86+J87+J97+J100</f>
        <v>3240281.10191218</v>
      </c>
      <c r="K112" s="60" t="n">
        <f aca="false">K65+K74+K86+K87+K97+K100</f>
        <v>602122.032527422</v>
      </c>
      <c r="L112" s="60" t="n">
        <f aca="false">L65+L74+L86+L87+L97+L100</f>
        <v>3240281.10191218</v>
      </c>
      <c r="M112" s="60" t="n">
        <f aca="false">M65+M74+M86+M87+M97+M100</f>
        <v>602122.032527422</v>
      </c>
      <c r="N112" s="60" t="n">
        <f aca="false">N65+N74+N86+N87+N97+N100</f>
        <v>3240281.10191218</v>
      </c>
      <c r="O112" s="60" t="n">
        <f aca="false">O65+O74+O86+O87+O97+O100</f>
        <v>501146.783100419</v>
      </c>
      <c r="P112" s="60" t="n">
        <f aca="false">P65+P74+P86+P87+P97+P100</f>
        <v>1490320.65140139</v>
      </c>
      <c r="Q112" s="60" t="n">
        <f aca="false">Q65+Q74+Q86+Q87+Q97+Q100</f>
        <v>890622.745176003</v>
      </c>
      <c r="R112" s="60" t="n">
        <f aca="false">R65+R74+R86+R87+R97+R100</f>
        <v>8240168.10337157</v>
      </c>
      <c r="S112" s="60" t="n">
        <f aca="false">S65+S74+S86+S87+S97+S100</f>
        <v>667309.273476698</v>
      </c>
      <c r="T112" s="60" t="n">
        <f aca="false">T65+T74+T86+T87+T97+T100</f>
        <v>4303592.68378019</v>
      </c>
      <c r="U112" s="60" t="n">
        <f aca="false">U65+U74+U86+U87+U97+U100</f>
        <v>585653.676919184</v>
      </c>
      <c r="V112" s="60" t="n">
        <f aca="false">V65+V74+V86+V87+V97+V100</f>
        <v>2971655.01807184</v>
      </c>
      <c r="W112" s="60" t="n">
        <f aca="false">W65+W74+W86+W87+W97+W100</f>
        <v>763917.781544842</v>
      </c>
      <c r="X112" s="60" t="n">
        <f aca="false">X65+X74+X86+X87+X97+X100</f>
        <v>5886449.96671822</v>
      </c>
      <c r="Y112" s="60" t="n">
        <f aca="false">Y65+Y74+Y86+Y87+Y97+Y100</f>
        <v>160085.518622412</v>
      </c>
      <c r="Z112" s="60" t="n">
        <f aca="false">Z65+Z74+Z86+Z87+Z97+Z100</f>
        <v>2577226.33105467</v>
      </c>
      <c r="AA112" s="60" t="n">
        <f aca="false">AA65+AA74+AA86+AA87+AA97+AA100</f>
        <v>1486195.06033744</v>
      </c>
      <c r="AB112" s="60" t="n">
        <f aca="false">AB65+AB74+AB86+AB87+AB97+AB100</f>
        <v>4566390.64362721</v>
      </c>
      <c r="AC112" s="60" t="n">
        <f aca="false">AC65+AC74+AC86+AC87+AC97+AC100</f>
        <v>602122.032527422</v>
      </c>
      <c r="AD112" s="60" t="n">
        <f aca="false">AD65+AD74+AD86+AD87+AD97+AD100</f>
        <v>3240281.10191218</v>
      </c>
      <c r="AE112" s="60" t="n">
        <f aca="false">AE65+AE74+AE86+AE87+AE97+AE100</f>
        <v>602122.032527422</v>
      </c>
      <c r="AF112" s="60" t="n">
        <f aca="false">AF65+AF74+AF86+AF87+AF97+AF100</f>
        <v>3240281.10191218</v>
      </c>
      <c r="AG112" s="60" t="n">
        <f aca="false">AG65+AG74+AG86+AG87+AG97+AG100</f>
        <v>602122.032527422</v>
      </c>
      <c r="AH112" s="60" t="n">
        <f aca="false">AH65+AH74+AH86+AH87+AH97+AH100</f>
        <v>3240281.10191218</v>
      </c>
    </row>
    <row r="113" customFormat="false" ht="15" hidden="false" customHeight="false" outlineLevel="0" collapsed="false">
      <c r="A113" s="53" t="s">
        <v>1042</v>
      </c>
      <c r="B113" s="54" t="s">
        <v>972</v>
      </c>
      <c r="C113" s="60" t="n">
        <f aca="false">C36+C43+C51+C72+C89</f>
        <v>1248908.46469978</v>
      </c>
      <c r="D113" s="60" t="n">
        <f aca="false">D36+D43+D51+D72+D89</f>
        <v>8466017.33417989</v>
      </c>
      <c r="E113" s="60" t="n">
        <f aca="false">E36+E43+E51+E72+E89</f>
        <v>2081514.10783296</v>
      </c>
      <c r="F113" s="60" t="n">
        <f aca="false">F36+F43+F51+F72+F89</f>
        <v>14110028.8902998</v>
      </c>
      <c r="G113" s="60" t="n">
        <f aca="false">G36+G43+G51+G72+G89</f>
        <v>780567.790437361</v>
      </c>
      <c r="H113" s="60" t="n">
        <f aca="false">H36+H43+H51+H72+H89</f>
        <v>5291260.83386243</v>
      </c>
      <c r="I113" s="60" t="n">
        <f aca="false">I36+I43+I51+I72+I89</f>
        <v>624454.232349889</v>
      </c>
      <c r="J113" s="60" t="n">
        <f aca="false">J36+J43+J51+J72+J89</f>
        <v>4233008.66708995</v>
      </c>
      <c r="K113" s="60" t="n">
        <f aca="false">K36+K43+K51+K72+K89</f>
        <v>741592.633323412</v>
      </c>
      <c r="L113" s="60" t="n">
        <f aca="false">L36+L43+L51+L72+L89</f>
        <v>5784305.45269841</v>
      </c>
      <c r="M113" s="60" t="n">
        <f aca="false">M36+M43+M51+M72+M89</f>
        <v>1928711.67874411</v>
      </c>
      <c r="N113" s="60" t="n">
        <f aca="false">N36+N43+N51+N72+N89</f>
        <v>12059511.2553651</v>
      </c>
      <c r="O113" s="60" t="n">
        <f aca="false">O36+O43+O51+O72+O89</f>
        <v>1119689.43403061</v>
      </c>
      <c r="P113" s="60" t="n">
        <f aca="false">P36+P43+P51+P72+P89</f>
        <v>6566576.52351323</v>
      </c>
      <c r="Q113" s="60" t="n">
        <f aca="false">Q36+Q43+Q51+Q72+Q89</f>
        <v>1618105.69518312</v>
      </c>
      <c r="R113" s="60" t="n">
        <f aca="false">R36+R43+R51+R72+R89</f>
        <v>13892991.0789418</v>
      </c>
      <c r="S113" s="60" t="n">
        <f aca="false">S36+S43+S51+S72+S89</f>
        <v>1248908.46469978</v>
      </c>
      <c r="T113" s="60" t="n">
        <f aca="false">T36+T43+T51+T72+T89</f>
        <v>8466017.33417989</v>
      </c>
      <c r="U113" s="60" t="n">
        <f aca="false">U36+U43+U51+U72+U89</f>
        <v>1248908.46469978</v>
      </c>
      <c r="V113" s="60" t="n">
        <f aca="false">V36+V43+V51+V72+V89</f>
        <v>8466017.33417989</v>
      </c>
      <c r="W113" s="60" t="n">
        <f aca="false">W36+W43+W51+W72+W89</f>
        <v>1248908.46469978</v>
      </c>
      <c r="X113" s="60" t="n">
        <f aca="false">X36+X43+X51+X72+X89</f>
        <v>8466017.33417989</v>
      </c>
      <c r="Y113" s="60" t="n">
        <f aca="false">Y36+Y43+Y51+Y72+Y89</f>
        <v>1248908.46469978</v>
      </c>
      <c r="Z113" s="60" t="n">
        <f aca="false">Z36+Z43+Z51+Z72+Z89</f>
        <v>8466017.33417989</v>
      </c>
      <c r="AA113" s="60" t="n">
        <f aca="false">AA36+AA43+AA51+AA72+AA89</f>
        <v>1248908.46469978</v>
      </c>
      <c r="AB113" s="60" t="n">
        <f aca="false">AB36+AB43+AB51+AB72+AB89</f>
        <v>8466017.33417989</v>
      </c>
      <c r="AC113" s="60" t="n">
        <f aca="false">AC36+AC43+AC51+AC72+AC89</f>
        <v>1248908.46469978</v>
      </c>
      <c r="AD113" s="60" t="n">
        <f aca="false">AD36+AD43+AD51+AD72+AD89</f>
        <v>8466017.33417989</v>
      </c>
      <c r="AE113" s="60" t="n">
        <f aca="false">AE36+AE43+AE51+AE72+AE89</f>
        <v>1248908.46469978</v>
      </c>
      <c r="AF113" s="60" t="n">
        <f aca="false">AF36+AF43+AF51+AF72+AF89</f>
        <v>8466017.33417989</v>
      </c>
      <c r="AG113" s="60" t="n">
        <f aca="false">AG36+AG43+AG51+AG72+AG89</f>
        <v>1405022.02278725</v>
      </c>
      <c r="AH113" s="60" t="n">
        <f aca="false">AH36+AH43+AH51+AH72+AH89</f>
        <v>9524269.50095238</v>
      </c>
    </row>
    <row r="114" customFormat="false" ht="15" hidden="false" customHeight="false" outlineLevel="0" collapsed="false">
      <c r="A114" s="53" t="s">
        <v>1043</v>
      </c>
      <c r="B114" s="54" t="s">
        <v>71</v>
      </c>
      <c r="C114" s="96" t="n">
        <f aca="false">C112/C106</f>
        <v>0.325290174002744</v>
      </c>
      <c r="D114" s="96" t="n">
        <f aca="false">D112/D106</f>
        <v>0.276798094598542</v>
      </c>
      <c r="E114" s="96" t="n">
        <f aca="false">E112/E106</f>
        <v>0.224367984717393</v>
      </c>
      <c r="F114" s="96" t="n">
        <f aca="false">F112/F106</f>
        <v>0.186756380915767</v>
      </c>
      <c r="G114" s="96" t="n">
        <f aca="false">G112/G106</f>
        <v>0.435471515394786</v>
      </c>
      <c r="H114" s="96" t="n">
        <f aca="false">H112/H106</f>
        <v>0.379800172853277</v>
      </c>
      <c r="I114" s="96" t="n">
        <f aca="false">I112/I106</f>
        <v>0.490896530259902</v>
      </c>
      <c r="J114" s="96" t="n">
        <f aca="false">J112/J106</f>
        <v>0.433581622293342</v>
      </c>
      <c r="K114" s="96" t="n">
        <f aca="false">K112/K106</f>
        <v>0.448102597842944</v>
      </c>
      <c r="L114" s="96" t="n">
        <f aca="false">L112/L106</f>
        <v>0.359050365610017</v>
      </c>
      <c r="M114" s="96" t="n">
        <f aca="false">M112/M106</f>
        <v>0.237914498232642</v>
      </c>
      <c r="N114" s="96" t="n">
        <f aca="false">N112/N106</f>
        <v>0.211785952792422</v>
      </c>
      <c r="O114" s="96" t="n">
        <f aca="false">O112/O106</f>
        <v>0.309190267223592</v>
      </c>
      <c r="P114" s="96" t="n">
        <f aca="false">P112/P106</f>
        <v>0.184974515504747</v>
      </c>
      <c r="Q114" s="96" t="n">
        <f aca="false">Q112/Q106</f>
        <v>0.355009625931658</v>
      </c>
      <c r="R114" s="96" t="n">
        <f aca="false">R112/R106</f>
        <v>0.372299681012383</v>
      </c>
      <c r="S114" s="96" t="n">
        <f aca="false">S112/S106</f>
        <v>0.348242926772887</v>
      </c>
      <c r="T114" s="96" t="n">
        <f aca="false">T112/T106</f>
        <v>0.337018333193207</v>
      </c>
      <c r="U114" s="96" t="n">
        <f aca="false">U112/U106</f>
        <v>0.31923349099658</v>
      </c>
      <c r="V114" s="96" t="n">
        <f aca="false">V112/V106</f>
        <v>0.259812917047481</v>
      </c>
      <c r="W114" s="96" t="n">
        <f aca="false">W112/W106</f>
        <v>0.379524950536641</v>
      </c>
      <c r="X114" s="96" t="n">
        <f aca="false">X112/X106</f>
        <v>0.410135055061221</v>
      </c>
      <c r="Y114" s="96" t="n">
        <f aca="false">Y112/Y106</f>
        <v>0.113616892986977</v>
      </c>
      <c r="Z114" s="96" t="n">
        <f aca="false">Z112/Z106</f>
        <v>0.233375845827624</v>
      </c>
      <c r="AA114" s="96" t="n">
        <f aca="false">AA112/AA106</f>
        <v>0.543377991630945</v>
      </c>
      <c r="AB114" s="96" t="n">
        <f aca="false">AB112/AB106</f>
        <v>0.350387330676213</v>
      </c>
      <c r="AC114" s="96" t="n">
        <f aca="false">AC112/AC106</f>
        <v>0.325290174002744</v>
      </c>
      <c r="AD114" s="96" t="n">
        <f aca="false">AD112/AD106</f>
        <v>0.276798094598542</v>
      </c>
      <c r="AE114" s="96" t="n">
        <f aca="false">AE112/AE106</f>
        <v>0.325290174002744</v>
      </c>
      <c r="AF114" s="96" t="n">
        <f aca="false">AF112/AF106</f>
        <v>0.276798094598542</v>
      </c>
      <c r="AG114" s="96" t="n">
        <f aca="false">AG112/AG106</f>
        <v>0.29998944566688</v>
      </c>
      <c r="AH114" s="96" t="n">
        <f aca="false">AH112/AH106</f>
        <v>0.253849994623784</v>
      </c>
    </row>
    <row r="115" customFormat="false" ht="15" hidden="false" customHeight="false" outlineLevel="0" collapsed="false">
      <c r="A115" s="53" t="s">
        <v>1044</v>
      </c>
      <c r="B115" s="54" t="s">
        <v>828</v>
      </c>
      <c r="C115" s="105" t="n">
        <f aca="false">C106*C19/1000000</f>
        <v>9.24329496290838</v>
      </c>
      <c r="D115" s="105" t="n">
        <f aca="false">D106*D19/1000000</f>
        <v>58.4565027592577</v>
      </c>
      <c r="E115" s="105" t="n">
        <f aca="false">E106*E19/1000000</f>
        <v>13.4009895869519</v>
      </c>
      <c r="F115" s="105" t="n">
        <f aca="false">F106*F19/1000000</f>
        <v>86.6404055449916</v>
      </c>
      <c r="G115" s="105" t="n">
        <f aca="false">G106*G19/1000000</f>
        <v>6.90459173688392</v>
      </c>
      <c r="H115" s="105" t="n">
        <f aca="false">H106*H19/1000000</f>
        <v>42.6030574422824</v>
      </c>
      <c r="I115" s="105" t="n">
        <f aca="false">I106*I19/1000000</f>
        <v>6.12502399487577</v>
      </c>
      <c r="J115" s="105" t="n">
        <f aca="false">J106*J19/1000000</f>
        <v>37.3185756699574</v>
      </c>
      <c r="K115" s="105" t="n">
        <f aca="false">K106*K19/1000000</f>
        <v>6.70996562241979</v>
      </c>
      <c r="L115" s="105" t="n">
        <f aca="false">L106*L19/1000000</f>
        <v>45.0651221400832</v>
      </c>
      <c r="M115" s="105" t="n">
        <f aca="false">M106*M19/1000000</f>
        <v>12.6379562791631</v>
      </c>
      <c r="N115" s="105" t="n">
        <f aca="false">N106*N19/1000000</f>
        <v>76.4009527889516</v>
      </c>
      <c r="O115" s="105" t="n">
        <f aca="false">O106*O19/1000000</f>
        <v>8.09379816483261</v>
      </c>
      <c r="P115" s="105" t="n">
        <f aca="false">P106*P19/1000000</f>
        <v>40.2328741666422</v>
      </c>
      <c r="Q115" s="105" t="n">
        <f aca="false">Q106*Q19/1000000</f>
        <v>12.5275715288392</v>
      </c>
      <c r="R115" s="105" t="n">
        <f aca="false">R106*R19/1000000</f>
        <v>110.524013023874</v>
      </c>
      <c r="S115" s="105" t="n">
        <f aca="false">S106*S19/1000000</f>
        <v>9.56881358446266</v>
      </c>
      <c r="T115" s="105" t="n">
        <f aca="false">T106*T19/1000000</f>
        <v>63.7662491969343</v>
      </c>
      <c r="U115" s="105" t="n">
        <f aca="false">U106*U19/1000000</f>
        <v>9.16105867956835</v>
      </c>
      <c r="V115" s="105" t="n">
        <f aca="false">V106*V19/1000000</f>
        <v>57.1150931328974</v>
      </c>
      <c r="W115" s="105" t="n">
        <f aca="false">W106*W19/1000000</f>
        <v>10.051237259998</v>
      </c>
      <c r="X115" s="105" t="n">
        <f aca="false">X106*X19/1000000</f>
        <v>71.6703959801993</v>
      </c>
      <c r="Y115" s="105" t="n">
        <f aca="false">Y106*Y19/1000000</f>
        <v>7.03594403675114</v>
      </c>
      <c r="Z115" s="105" t="n">
        <f aca="false">Z106*Z19/1000000</f>
        <v>55.1454763700219</v>
      </c>
      <c r="AA115" s="105" t="n">
        <f aca="false">AA106*AA19/1000000</f>
        <v>13.6579968152229</v>
      </c>
      <c r="AB115" s="105" t="n">
        <f aca="false">AB106*AB19/1000000</f>
        <v>65.0785555377295</v>
      </c>
      <c r="AC115" s="105" t="n">
        <f aca="false">AC106*AC19/1000000</f>
        <v>9.24329496290838</v>
      </c>
      <c r="AD115" s="105" t="n">
        <f aca="false">AD106*AD19/1000000</f>
        <v>58.4565027592577</v>
      </c>
      <c r="AE115" s="105" t="n">
        <f aca="false">AE106*AE19/1000000</f>
        <v>9.24329496290838</v>
      </c>
      <c r="AF115" s="105" t="n">
        <f aca="false">AF106*AF19/1000000</f>
        <v>58.4565027592577</v>
      </c>
      <c r="AG115" s="105" t="n">
        <f aca="false">AG106*AG19/1000000</f>
        <v>10.0228627049165</v>
      </c>
      <c r="AH115" s="105" t="n">
        <f aca="false">AH106*AH19/1000000</f>
        <v>63.7409845315828</v>
      </c>
    </row>
    <row r="116" customFormat="false" ht="15" hidden="false" customHeight="false" outlineLevel="0" collapsed="false">
      <c r="A116" s="53" t="s">
        <v>1045</v>
      </c>
      <c r="B116" s="54" t="s">
        <v>828</v>
      </c>
      <c r="C116" s="67" t="n">
        <f aca="false">C106*C20/1000000</f>
        <v>6.9015713022816</v>
      </c>
      <c r="D116" s="67" t="n">
        <f aca="false">D106*D20/1000000</f>
        <v>43.6469596062849</v>
      </c>
      <c r="E116" s="67" t="n">
        <f aca="false">E106*E20/1000000</f>
        <v>10.0059432839283</v>
      </c>
      <c r="F116" s="67" t="n">
        <f aca="false">F106*F20/1000000</f>
        <v>64.6906691744487</v>
      </c>
      <c r="G116" s="67" t="n">
        <f aca="false">G106*G20/1000000</f>
        <v>5.15536206260532</v>
      </c>
      <c r="H116" s="67" t="n">
        <f aca="false">H106*H20/1000000</f>
        <v>31.8098729741927</v>
      </c>
      <c r="I116" s="67" t="n">
        <f aca="false">I106*I20/1000000</f>
        <v>4.57329231604656</v>
      </c>
      <c r="J116" s="67" t="n">
        <f aca="false">J106*J20/1000000</f>
        <v>27.864177430162</v>
      </c>
      <c r="K116" s="67" t="n">
        <f aca="false">K106*K20/1000000</f>
        <v>5.01004310311627</v>
      </c>
      <c r="L116" s="67" t="n">
        <f aca="false">L106*L20/1000000</f>
        <v>33.6481909258419</v>
      </c>
      <c r="M116" s="67" t="n">
        <f aca="false">M106*M20/1000000</f>
        <v>9.43621908916314</v>
      </c>
      <c r="N116" s="67" t="n">
        <f aca="false">N106*N20/1000000</f>
        <v>57.0453096380785</v>
      </c>
      <c r="O116" s="67" t="n">
        <f aca="false">O106*O20/1000000</f>
        <v>6.04329141989125</v>
      </c>
      <c r="P116" s="67" t="n">
        <f aca="false">P106*P20/1000000</f>
        <v>30.0401589336966</v>
      </c>
      <c r="Q116" s="67" t="n">
        <f aca="false">Q106*Q20/1000000</f>
        <v>9.3537995376826</v>
      </c>
      <c r="R116" s="67" t="n">
        <f aca="false">R106*R20/1000000</f>
        <v>82.5235329565373</v>
      </c>
      <c r="S116" s="67" t="n">
        <f aca="false">S106*S20/1000000</f>
        <v>7.14462207431608</v>
      </c>
      <c r="T116" s="67" t="n">
        <f aca="false">T106*T20/1000000</f>
        <v>47.6115191906876</v>
      </c>
      <c r="U116" s="67" t="n">
        <f aca="false">U106*U20/1000000</f>
        <v>6.84016900197815</v>
      </c>
      <c r="V116" s="67" t="n">
        <f aca="false">V106*V20/1000000</f>
        <v>42.6453866586463</v>
      </c>
      <c r="W116" s="67" t="n">
        <f aca="false">W106*W20/1000000</f>
        <v>7.50482711028827</v>
      </c>
      <c r="X116" s="67" t="n">
        <f aca="false">X106*X20/1000000</f>
        <v>53.5132060704536</v>
      </c>
      <c r="Y116" s="67" t="n">
        <f aca="false">Y106*Y20/1000000</f>
        <v>5.25343718266695</v>
      </c>
      <c r="Z116" s="67" t="n">
        <f aca="false">Z106*Z20/1000000</f>
        <v>41.1747584268629</v>
      </c>
      <c r="AA116" s="67" t="n">
        <f aca="false">AA106*AA20/1000000</f>
        <v>10.1978395415109</v>
      </c>
      <c r="AB116" s="67" t="n">
        <f aca="false">AB106*AB20/1000000</f>
        <v>48.5913619651288</v>
      </c>
      <c r="AC116" s="67" t="n">
        <f aca="false">AC106*AC20/1000000</f>
        <v>6.9015713022816</v>
      </c>
      <c r="AD116" s="67" t="n">
        <f aca="false">AD106*AD20/1000000</f>
        <v>43.6469596062849</v>
      </c>
      <c r="AE116" s="67" t="n">
        <f aca="false">AE106*AE20/1000000</f>
        <v>6.9015713022816</v>
      </c>
      <c r="AF116" s="67" t="n">
        <f aca="false">AF106*AF20/1000000</f>
        <v>43.6469596062849</v>
      </c>
      <c r="AG116" s="67" t="n">
        <f aca="false">AG106*AG20/1000000</f>
        <v>7.48364104884036</v>
      </c>
      <c r="AH116" s="67" t="n">
        <f aca="false">AH106*AH20/1000000</f>
        <v>47.5926551503156</v>
      </c>
    </row>
    <row r="117" customFormat="false" ht="15" hidden="false" customHeight="false" outlineLevel="0" collapsed="false">
      <c r="A117" s="53" t="s">
        <v>1046</v>
      </c>
      <c r="B117" s="54" t="s">
        <v>71</v>
      </c>
      <c r="C117" s="138" t="n">
        <f aca="false">C106/(C18*8760)</f>
        <v>0.000724281737693471</v>
      </c>
      <c r="D117" s="138" t="n">
        <f aca="false">D106/(D18*8760)</f>
        <v>0.00458050701268939</v>
      </c>
      <c r="E117" s="138" t="n">
        <f aca="false">E106/(E18*8760)</f>
        <v>0.00105006840783491</v>
      </c>
      <c r="F117" s="138" t="n">
        <f aca="false">F106/(F18*8760)</f>
        <v>0.00678892794554387</v>
      </c>
      <c r="G117" s="138" t="n">
        <f aca="false">G106/(G18*8760)</f>
        <v>0.000541026735738914</v>
      </c>
      <c r="H117" s="138" t="n">
        <f aca="false">H106/(H18*8760)</f>
        <v>0.00333827023795875</v>
      </c>
      <c r="I117" s="138" t="n">
        <f aca="false">I106/(I18*8760)</f>
        <v>0.000479941735087395</v>
      </c>
      <c r="J117" s="138" t="n">
        <f aca="false">J106/(J18*8760)</f>
        <v>0.00292419131304854</v>
      </c>
      <c r="K117" s="138" t="n">
        <f aca="false">K106/(K18*8760)</f>
        <v>0.000525776314655277</v>
      </c>
      <c r="L117" s="138" t="n">
        <f aca="false">L106/(L18*8760)</f>
        <v>0.00353119153980973</v>
      </c>
      <c r="M117" s="138" t="n">
        <f aca="false">M106/(M18*8760)</f>
        <v>0.00099027900456465</v>
      </c>
      <c r="N117" s="138" t="n">
        <f aca="false">N106/(N18*8760)</f>
        <v>0.00598658974634814</v>
      </c>
      <c r="O117" s="138" t="n">
        <f aca="false">O106/(O18*8760)</f>
        <v>0.000634210010920247</v>
      </c>
      <c r="P117" s="138" t="n">
        <f aca="false">P106/(P18*8760)</f>
        <v>0.00315254853715601</v>
      </c>
      <c r="Q117" s="138" t="n">
        <f aca="false">Q106/(Q18*8760)</f>
        <v>0.00098162952847411</v>
      </c>
      <c r="R117" s="138" t="n">
        <f aca="false">R106/(R18*8760)</f>
        <v>0.00866038837135619</v>
      </c>
      <c r="S117" s="138" t="n">
        <f aca="false">S106/(S18*8760)</f>
        <v>0.000749788571978973</v>
      </c>
      <c r="T117" s="138" t="n">
        <f aca="false">T106/(T18*8760)</f>
        <v>0.00499656561430541</v>
      </c>
      <c r="U117" s="138" t="n">
        <f aca="false">U106/(U18*8760)</f>
        <v>0.000717837905873976</v>
      </c>
      <c r="V117" s="138" t="n">
        <f aca="false">V106/(V18*8760)</f>
        <v>0.0044753974712285</v>
      </c>
      <c r="W117" s="138" t="n">
        <f aca="false">W106/(W18*8760)</f>
        <v>0.000787590098320319</v>
      </c>
      <c r="X117" s="138" t="n">
        <f aca="false">X106/(X18*8760)</f>
        <v>0.00561591501191094</v>
      </c>
      <c r="Y117" s="138" t="n">
        <f aca="false">Y106/(Y18*8760)</f>
        <v>0.000551319177165875</v>
      </c>
      <c r="Z117" s="138" t="n">
        <f aca="false">Z106/(Z18*8760)</f>
        <v>0.004321063171898</v>
      </c>
      <c r="AA117" s="138" t="n">
        <f aca="false">AA106/(AA18*8760)</f>
        <v>0.00107020685874866</v>
      </c>
      <c r="AB117" s="138" t="n">
        <f aca="false">AB106/(AB18*8760)</f>
        <v>0.00509939469427218</v>
      </c>
      <c r="AC117" s="138" t="n">
        <f aca="false">AC106/(AC18*8760)</f>
        <v>0.000724281737693471</v>
      </c>
      <c r="AD117" s="138" t="n">
        <f aca="false">AD106/(AD18*8760)</f>
        <v>0.00458050701268939</v>
      </c>
      <c r="AE117" s="138" t="n">
        <f aca="false">AE106/(AE18*8760)</f>
        <v>0.000724281737693471</v>
      </c>
      <c r="AF117" s="138" t="n">
        <f aca="false">AF106/(AF18*8760)</f>
        <v>0.00458050701268939</v>
      </c>
      <c r="AG117" s="138" t="n">
        <f aca="false">AG106/(AG18*8760)</f>
        <v>0.00078536673834499</v>
      </c>
      <c r="AH117" s="138" t="n">
        <f aca="false">AH106/(AH18*8760)</f>
        <v>0.00499458593759961</v>
      </c>
    </row>
    <row r="118" customFormat="false" ht="15" hidden="false" customHeight="false" outlineLevel="0" collapsed="false">
      <c r="A118" s="68" t="s">
        <v>1047</v>
      </c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</row>
    <row r="119" customFormat="false" ht="15" hidden="false" customHeight="false" outlineLevel="0" collapsed="false">
      <c r="A119" s="53" t="s">
        <v>1048</v>
      </c>
      <c r="B119" s="54" t="s">
        <v>75</v>
      </c>
      <c r="C119" s="101" t="n">
        <f aca="false">Train_In!$C$13</f>
        <v>8</v>
      </c>
      <c r="D119" s="101" t="n">
        <f aca="false">Train_In!$C$13</f>
        <v>8</v>
      </c>
      <c r="E119" s="101" t="n">
        <f aca="false">Train_In!$C$13</f>
        <v>8</v>
      </c>
      <c r="F119" s="101" t="n">
        <f aca="false">Train_In!$C$13</f>
        <v>8</v>
      </c>
      <c r="G119" s="101" t="n">
        <f aca="false">Train_In!$C$13</f>
        <v>8</v>
      </c>
      <c r="H119" s="101" t="n">
        <f aca="false">Train_In!$C$13</f>
        <v>8</v>
      </c>
      <c r="I119" s="101" t="n">
        <f aca="false">Train_In!$C$13</f>
        <v>8</v>
      </c>
      <c r="J119" s="101" t="n">
        <f aca="false">Train_In!$C$13</f>
        <v>8</v>
      </c>
      <c r="K119" s="101" t="n">
        <f aca="false">Train_In!$C$13</f>
        <v>8</v>
      </c>
      <c r="L119" s="101" t="n">
        <f aca="false">Train_In!$C$13</f>
        <v>8</v>
      </c>
      <c r="M119" s="101" t="n">
        <f aca="false">Train_In!$C$13</f>
        <v>8</v>
      </c>
      <c r="N119" s="101" t="n">
        <f aca="false">Train_In!$C$13</f>
        <v>8</v>
      </c>
      <c r="O119" s="101" t="n">
        <f aca="false">Train_In!$C$13</f>
        <v>8</v>
      </c>
      <c r="P119" s="101" t="n">
        <f aca="false">Train_In!$C$13</f>
        <v>8</v>
      </c>
      <c r="Q119" s="101" t="n">
        <f aca="false">Train_In!$C$13</f>
        <v>8</v>
      </c>
      <c r="R119" s="101" t="n">
        <f aca="false">Train_In!$C$13</f>
        <v>8</v>
      </c>
      <c r="S119" s="101" t="n">
        <f aca="false">Train_In!$C$13</f>
        <v>8</v>
      </c>
      <c r="T119" s="101" t="n">
        <f aca="false">Train_In!$C$13</f>
        <v>8</v>
      </c>
      <c r="U119" s="101" t="n">
        <f aca="false">Train_In!$C$13</f>
        <v>8</v>
      </c>
      <c r="V119" s="101" t="n">
        <f aca="false">Train_In!$C$13</f>
        <v>8</v>
      </c>
      <c r="W119" s="101" t="n">
        <f aca="false">Train_In!$C$13</f>
        <v>8</v>
      </c>
      <c r="X119" s="101" t="n">
        <f aca="false">Train_In!$C$13</f>
        <v>8</v>
      </c>
      <c r="Y119" s="101" t="n">
        <f aca="false">Train_In!$C$13</f>
        <v>8</v>
      </c>
      <c r="Z119" s="101" t="n">
        <f aca="false">Train_In!$C$13</f>
        <v>8</v>
      </c>
      <c r="AA119" s="101" t="n">
        <f aca="false">Train_In!$C$13</f>
        <v>8</v>
      </c>
      <c r="AB119" s="101" t="n">
        <f aca="false">Train_In!$C$13</f>
        <v>8</v>
      </c>
      <c r="AC119" s="140" t="n">
        <v>4.4</v>
      </c>
      <c r="AD119" s="140" t="n">
        <v>4.4</v>
      </c>
      <c r="AE119" s="140" t="n">
        <v>10.4</v>
      </c>
      <c r="AF119" s="140" t="n">
        <v>10.4</v>
      </c>
      <c r="AG119" s="101" t="n">
        <f aca="false">Train_In!$C$13</f>
        <v>8</v>
      </c>
      <c r="AH119" s="101" t="n">
        <f aca="false">Train_In!$C$13</f>
        <v>8</v>
      </c>
    </row>
    <row r="120" customFormat="false" ht="15" hidden="false" customHeight="false" outlineLevel="0" collapsed="false">
      <c r="A120" s="53" t="s">
        <v>1049</v>
      </c>
      <c r="B120" s="54" t="s">
        <v>972</v>
      </c>
      <c r="C120" s="63" t="n">
        <f aca="false">C106*C119</f>
        <v>14808243.9778176</v>
      </c>
      <c r="D120" s="63" t="n">
        <f aca="false">D106*D119</f>
        <v>93650387.4887366</v>
      </c>
      <c r="E120" s="63" t="n">
        <f aca="false">E106*E119</f>
        <v>21469089.1228831</v>
      </c>
      <c r="F120" s="63" t="n">
        <f aca="false">F106*F119</f>
        <v>138802479.937696</v>
      </c>
      <c r="G120" s="63" t="n">
        <f aca="false">G106*G119</f>
        <v>11061518.5837183</v>
      </c>
      <c r="H120" s="63" t="n">
        <f aca="false">H106*H119</f>
        <v>68252335.4861969</v>
      </c>
      <c r="I120" s="63" t="n">
        <f aca="false">I106*I119</f>
        <v>9812610.11901849</v>
      </c>
      <c r="J120" s="63" t="n">
        <f aca="false">J106*J119</f>
        <v>59786318.152017</v>
      </c>
      <c r="K120" s="63" t="n">
        <f aca="false">K106*K119</f>
        <v>10749717.3268067</v>
      </c>
      <c r="L120" s="63" t="n">
        <f aca="false">L106*L119</f>
        <v>72196692.4368848</v>
      </c>
      <c r="M120" s="63" t="n">
        <f aca="false">M106*M119</f>
        <v>20246669.6901723</v>
      </c>
      <c r="N120" s="63" t="n">
        <f aca="false">N106*N119</f>
        <v>122398338.858218</v>
      </c>
      <c r="O120" s="63" t="n">
        <f aca="false">O106*O119</f>
        <v>12966689.7370482</v>
      </c>
      <c r="P120" s="63" t="n">
        <f aca="false">P106*P119</f>
        <v>64455177.399317</v>
      </c>
      <c r="Q120" s="63" t="n">
        <f aca="false">Q106*Q119</f>
        <v>20069827.522873</v>
      </c>
      <c r="R120" s="63" t="n">
        <f aca="false">R106*R119</f>
        <v>177065273.458507</v>
      </c>
      <c r="S120" s="63" t="n">
        <f aca="false">S106*S119</f>
        <v>15329741.9054118</v>
      </c>
      <c r="T120" s="63" t="n">
        <f aca="false">T106*T119</f>
        <v>102156880.143681</v>
      </c>
      <c r="U120" s="63" t="n">
        <f aca="false">U106*U119</f>
        <v>14676497.1329517</v>
      </c>
      <c r="V120" s="63" t="n">
        <f aca="false">V106*V119</f>
        <v>91501378.8180139</v>
      </c>
      <c r="W120" s="63" t="n">
        <f aca="false">W106*W119</f>
        <v>16102609.969957</v>
      </c>
      <c r="X120" s="63" t="n">
        <f aca="false">X106*X119</f>
        <v>114819738.407185</v>
      </c>
      <c r="Y120" s="63" t="n">
        <f aca="false">Y106*Y119</f>
        <v>11271951.8665775</v>
      </c>
      <c r="Z120" s="63" t="n">
        <f aca="false">Z106*Z119</f>
        <v>88345949.3218765</v>
      </c>
      <c r="AA120" s="63" t="n">
        <f aca="false">AA106*AA119</f>
        <v>21880828.2002978</v>
      </c>
      <c r="AB120" s="63" t="n">
        <f aca="false">AB106*AB119</f>
        <v>104259263.822457</v>
      </c>
      <c r="AC120" s="63" t="n">
        <f aca="false">AC106*AC119</f>
        <v>8144534.18779968</v>
      </c>
      <c r="AD120" s="63" t="n">
        <f aca="false">AD106*AD119</f>
        <v>51507713.1188051</v>
      </c>
      <c r="AE120" s="63" t="n">
        <f aca="false">AE106*AE119</f>
        <v>19250717.1711629</v>
      </c>
      <c r="AF120" s="63" t="n">
        <f aca="false">AF106*AF119</f>
        <v>121745503.735358</v>
      </c>
      <c r="AG120" s="63" t="n">
        <f aca="false">AG106*AG119</f>
        <v>16057152.4425174</v>
      </c>
      <c r="AH120" s="63" t="n">
        <f aca="false">AH106*AH119</f>
        <v>102116404.822916</v>
      </c>
    </row>
    <row r="121" customFormat="false" ht="15" hidden="false" customHeight="false" outlineLevel="0" collapsed="false">
      <c r="A121" s="53" t="s">
        <v>1050</v>
      </c>
      <c r="B121" s="54" t="s">
        <v>972</v>
      </c>
      <c r="C121" s="60" t="n">
        <f aca="false">C120-C106</f>
        <v>12957213.4805904</v>
      </c>
      <c r="D121" s="60" t="n">
        <f aca="false">D120-D106</f>
        <v>81944089.0526445</v>
      </c>
      <c r="E121" s="60" t="n">
        <f aca="false">E120-E106</f>
        <v>18785452.9825227</v>
      </c>
      <c r="F121" s="60" t="n">
        <f aca="false">F120-F106</f>
        <v>121452169.945484</v>
      </c>
      <c r="G121" s="60" t="n">
        <f aca="false">G120-G106</f>
        <v>9678828.76075348</v>
      </c>
      <c r="H121" s="60" t="n">
        <f aca="false">H120-H106</f>
        <v>59720793.5504223</v>
      </c>
      <c r="I121" s="60" t="n">
        <f aca="false">I120-I106</f>
        <v>8586033.85414118</v>
      </c>
      <c r="J121" s="60" t="n">
        <f aca="false">J120-J106</f>
        <v>52313028.3830149</v>
      </c>
      <c r="K121" s="60" t="n">
        <f aca="false">K120-K106</f>
        <v>9406002.66095584</v>
      </c>
      <c r="L121" s="60" t="n">
        <f aca="false">L120-L106</f>
        <v>63172105.8822742</v>
      </c>
      <c r="M121" s="60" t="n">
        <f aca="false">M120-M106</f>
        <v>17715835.9789007</v>
      </c>
      <c r="N121" s="60" t="n">
        <f aca="false">N120-N106</f>
        <v>107098546.500941</v>
      </c>
      <c r="O121" s="60" t="n">
        <f aca="false">O120-O106</f>
        <v>11345853.5199172</v>
      </c>
      <c r="P121" s="60" t="n">
        <f aca="false">P120-P106</f>
        <v>56398280.2244024</v>
      </c>
      <c r="Q121" s="60" t="n">
        <f aca="false">Q120-Q106</f>
        <v>17561099.0825138</v>
      </c>
      <c r="R121" s="60" t="n">
        <f aca="false">R120-R106</f>
        <v>154932114.276194</v>
      </c>
      <c r="S121" s="60" t="n">
        <f aca="false">S120-S106</f>
        <v>13413524.1672353</v>
      </c>
      <c r="T121" s="60" t="n">
        <f aca="false">T120-T106</f>
        <v>89387270.1257206</v>
      </c>
      <c r="U121" s="60" t="n">
        <f aca="false">U120-U106</f>
        <v>12841934.9913327</v>
      </c>
      <c r="V121" s="60" t="n">
        <f aca="false">V120-V106</f>
        <v>80063706.4657621</v>
      </c>
      <c r="W121" s="60" t="n">
        <f aca="false">W120-W106</f>
        <v>14089783.7237123</v>
      </c>
      <c r="X121" s="60" t="n">
        <f aca="false">X120-X106</f>
        <v>100467271.106287</v>
      </c>
      <c r="Y121" s="60" t="n">
        <f aca="false">Y120-Y106</f>
        <v>9862957.88325534</v>
      </c>
      <c r="Z121" s="60" t="n">
        <f aca="false">Z120-Z106</f>
        <v>77302705.6566419</v>
      </c>
      <c r="AA121" s="60" t="n">
        <f aca="false">AA120-AA106</f>
        <v>19145724.6752605</v>
      </c>
      <c r="AB121" s="60" t="n">
        <f aca="false">AB120-AB106</f>
        <v>91226855.8446497</v>
      </c>
      <c r="AC121" s="60" t="n">
        <f aca="false">AC120-AC106</f>
        <v>6293503.69057248</v>
      </c>
      <c r="AD121" s="60" t="n">
        <f aca="false">AD120-AD106</f>
        <v>39801414.6827131</v>
      </c>
      <c r="AE121" s="60" t="n">
        <f aca="false">AE120-AE106</f>
        <v>17399686.6739357</v>
      </c>
      <c r="AF121" s="60" t="n">
        <f aca="false">AF120-AF106</f>
        <v>110039205.299265</v>
      </c>
      <c r="AG121" s="60" t="n">
        <f aca="false">AG120-AG106</f>
        <v>14050008.3872027</v>
      </c>
      <c r="AH121" s="60" t="n">
        <f aca="false">AH120-AH106</f>
        <v>89351854.2200519</v>
      </c>
    </row>
    <row r="122" customFormat="false" ht="15" hidden="false" customHeight="false" outlineLevel="0" collapsed="false">
      <c r="A122" s="53" t="s">
        <v>1051</v>
      </c>
      <c r="B122" s="54" t="s">
        <v>828</v>
      </c>
      <c r="C122" s="63" t="n">
        <f aca="false">C120*C19/1000000</f>
        <v>73.946359703267</v>
      </c>
      <c r="D122" s="63" t="n">
        <f aca="false">D120*D19/1000000</f>
        <v>467.652022074062</v>
      </c>
      <c r="E122" s="63" t="n">
        <f aca="false">E120*E19/1000000</f>
        <v>107.207916695615</v>
      </c>
      <c r="F122" s="63" t="n">
        <f aca="false">F120*F19/1000000</f>
        <v>693.123244359933</v>
      </c>
      <c r="G122" s="63" t="n">
        <f aca="false">G120*G19/1000000</f>
        <v>55.2367338950713</v>
      </c>
      <c r="H122" s="63" t="n">
        <f aca="false">H120*H19/1000000</f>
        <v>340.82445953826</v>
      </c>
      <c r="I122" s="63" t="n">
        <f aca="false">I120*I19/1000000</f>
        <v>49.0001919590061</v>
      </c>
      <c r="J122" s="63" t="n">
        <f aca="false">J120*J19/1000000</f>
        <v>298.548605359659</v>
      </c>
      <c r="K122" s="63" t="n">
        <f aca="false">K120*K19/1000000</f>
        <v>53.6797249793583</v>
      </c>
      <c r="L122" s="63" t="n">
        <f aca="false">L120*L19/1000000</f>
        <v>360.520977120666</v>
      </c>
      <c r="M122" s="63" t="n">
        <f aca="false">M120*M19/1000000</f>
        <v>101.103650233305</v>
      </c>
      <c r="N122" s="63" t="n">
        <f aca="false">N120*N19/1000000</f>
        <v>611.207622311613</v>
      </c>
      <c r="O122" s="63" t="n">
        <f aca="false">O120*O19/1000000</f>
        <v>64.7503853186609</v>
      </c>
      <c r="P122" s="63" t="n">
        <f aca="false">P120*P19/1000000</f>
        <v>321.862993333137</v>
      </c>
      <c r="Q122" s="63" t="n">
        <f aca="false">Q120*Q19/1000000</f>
        <v>100.220572230713</v>
      </c>
      <c r="R122" s="63" t="n">
        <f aca="false">R120*R19/1000000</f>
        <v>884.192104190989</v>
      </c>
      <c r="S122" s="63" t="n">
        <f aca="false">S120*S19/1000000</f>
        <v>76.5505086757013</v>
      </c>
      <c r="T122" s="63" t="n">
        <f aca="false">T120*T19/1000000</f>
        <v>510.129993575474</v>
      </c>
      <c r="U122" s="63" t="n">
        <f aca="false">U120*U19/1000000</f>
        <v>73.2884694365468</v>
      </c>
      <c r="V122" s="63" t="n">
        <f aca="false">V120*V19/1000000</f>
        <v>456.920745063179</v>
      </c>
      <c r="W122" s="63" t="n">
        <f aca="false">W120*W19/1000000</f>
        <v>80.4098980799841</v>
      </c>
      <c r="X122" s="63" t="n">
        <f aca="false">X120*X19/1000000</f>
        <v>573.363167841595</v>
      </c>
      <c r="Y122" s="63" t="n">
        <f aca="false">Y120*Y19/1000000</f>
        <v>56.2875522940091</v>
      </c>
      <c r="Z122" s="63" t="n">
        <f aca="false">Z120*Z19/1000000</f>
        <v>441.163810960175</v>
      </c>
      <c r="AA122" s="63" t="n">
        <f aca="false">AA120*AA19/1000000</f>
        <v>109.263974521783</v>
      </c>
      <c r="AB122" s="63" t="n">
        <f aca="false">AB120*AB19/1000000</f>
        <v>520.628444301836</v>
      </c>
      <c r="AC122" s="63" t="n">
        <f aca="false">AC120*AC19/1000000</f>
        <v>40.6704978367969</v>
      </c>
      <c r="AD122" s="63" t="n">
        <f aca="false">AD120*AD19/1000000</f>
        <v>257.208612140734</v>
      </c>
      <c r="AE122" s="63" t="n">
        <f aca="false">AE120*AE19/1000000</f>
        <v>96.1302676142471</v>
      </c>
      <c r="AF122" s="63" t="n">
        <f aca="false">AF120*AF19/1000000</f>
        <v>607.947628696281</v>
      </c>
      <c r="AG122" s="63" t="n">
        <f aca="false">AG120*AG19/1000000</f>
        <v>80.1829016393322</v>
      </c>
      <c r="AH122" s="63" t="n">
        <f aca="false">AH120*AH19/1000000</f>
        <v>509.927876252663</v>
      </c>
    </row>
    <row r="123" customFormat="false" ht="15" hidden="false" customHeight="false" outlineLevel="0" collapsed="false">
      <c r="A123" s="53" t="s">
        <v>1052</v>
      </c>
      <c r="B123" s="54" t="s">
        <v>71</v>
      </c>
      <c r="C123" s="93" t="n">
        <f aca="false">C120/(C18*8760)</f>
        <v>0.00579425390154777</v>
      </c>
      <c r="D123" s="93" t="n">
        <f aca="false">D120/(D18*8760)</f>
        <v>0.0366440561015151</v>
      </c>
      <c r="E123" s="93" t="n">
        <f aca="false">E120/(E18*8760)</f>
        <v>0.00840054726267924</v>
      </c>
      <c r="F123" s="93" t="n">
        <f aca="false">F120/(F18*8760)</f>
        <v>0.0543114235643509</v>
      </c>
      <c r="G123" s="93" t="n">
        <f aca="false">G120/(G18*8760)</f>
        <v>0.00432821388591131</v>
      </c>
      <c r="H123" s="93" t="n">
        <f aca="false">H120/(H18*8760)</f>
        <v>0.02670616190367</v>
      </c>
      <c r="I123" s="93" t="n">
        <f aca="false">I120/(I18*8760)</f>
        <v>0.00383953388069916</v>
      </c>
      <c r="J123" s="93" t="n">
        <f aca="false">J120/(J18*8760)</f>
        <v>0.0233935305043883</v>
      </c>
      <c r="K123" s="93" t="n">
        <f aca="false">K120/(K18*8760)</f>
        <v>0.00420621051724222</v>
      </c>
      <c r="L123" s="93" t="n">
        <f aca="false">L120/(L18*8760)</f>
        <v>0.0282495323184779</v>
      </c>
      <c r="M123" s="93" t="n">
        <f aca="false">M120/(M18*8760)</f>
        <v>0.0079222320365172</v>
      </c>
      <c r="N123" s="93" t="n">
        <f aca="false">N120/(N18*8760)</f>
        <v>0.0478927179707851</v>
      </c>
      <c r="O123" s="93" t="n">
        <f aca="false">O120/(O18*8760)</f>
        <v>0.00507368008736198</v>
      </c>
      <c r="P123" s="93" t="n">
        <f aca="false">P120/(P18*8760)</f>
        <v>0.0252203882972481</v>
      </c>
      <c r="Q123" s="93" t="n">
        <f aca="false">Q120/(Q18*8760)</f>
        <v>0.00785303622779288</v>
      </c>
      <c r="R123" s="93" t="n">
        <f aca="false">R120/(R18*8760)</f>
        <v>0.0692831069708496</v>
      </c>
      <c r="S123" s="93" t="n">
        <f aca="false">S120/(S18*8760)</f>
        <v>0.00599830857583178</v>
      </c>
      <c r="T123" s="93" t="n">
        <f aca="false">T120/(T18*8760)</f>
        <v>0.0399725249144433</v>
      </c>
      <c r="U123" s="93" t="n">
        <f aca="false">U120/(U18*8760)</f>
        <v>0.0057427032469918</v>
      </c>
      <c r="V123" s="93" t="n">
        <f aca="false">V120/(V18*8760)</f>
        <v>0.035803179769828</v>
      </c>
      <c r="W123" s="93" t="n">
        <f aca="false">W120/(W18*8760)</f>
        <v>0.00630072078656255</v>
      </c>
      <c r="X123" s="93" t="n">
        <f aca="false">X120/(X18*8760)</f>
        <v>0.0449273200952875</v>
      </c>
      <c r="Y123" s="93" t="n">
        <f aca="false">Y120/(Y18*8760)</f>
        <v>0.004410553417327</v>
      </c>
      <c r="Z123" s="93" t="n">
        <f aca="false">Z120/(Z18*8760)</f>
        <v>0.034568505375184</v>
      </c>
      <c r="AA123" s="93" t="n">
        <f aca="false">AA120/(AA18*8760)</f>
        <v>0.00856165486998929</v>
      </c>
      <c r="AB123" s="93" t="n">
        <f aca="false">AB120/(AB18*8760)</f>
        <v>0.0407951575541774</v>
      </c>
      <c r="AC123" s="93" t="n">
        <f aca="false">AC120/(AC18*8760)</f>
        <v>0.00318683964585127</v>
      </c>
      <c r="AD123" s="93" t="n">
        <f aca="false">AD120/(AD18*8760)</f>
        <v>0.0201542308558333</v>
      </c>
      <c r="AE123" s="93" t="n">
        <f aca="false">AE120/(AE18*8760)</f>
        <v>0.0075325300720121</v>
      </c>
      <c r="AF123" s="93" t="n">
        <f aca="false">AF120/(AF18*8760)</f>
        <v>0.0476372729319697</v>
      </c>
      <c r="AG123" s="93" t="n">
        <f aca="false">AG120/(AG18*8760)</f>
        <v>0.00628293390675992</v>
      </c>
      <c r="AH123" s="93" t="n">
        <f aca="false">AH120/(AH18*8760)</f>
        <v>0.0399566875007968</v>
      </c>
    </row>
    <row r="124" customFormat="false" ht="15" hidden="false" customHeight="false" outlineLevel="0" collapsed="false">
      <c r="A124" s="68" t="s">
        <v>1053</v>
      </c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</row>
    <row r="125" customFormat="false" ht="15" hidden="false" customHeight="false" outlineLevel="0" collapsed="false">
      <c r="A125" s="53" t="s">
        <v>1054</v>
      </c>
      <c r="B125" s="54" t="s">
        <v>972</v>
      </c>
      <c r="C125" s="60" t="n">
        <f aca="false">C103</f>
        <v>1046714.22569904</v>
      </c>
      <c r="D125" s="60" t="n">
        <f aca="false">D103</f>
        <v>5684233.89686067</v>
      </c>
      <c r="E125" s="60" t="n">
        <f aca="false">E103</f>
        <v>1744523.70949839</v>
      </c>
      <c r="F125" s="60" t="n">
        <f aca="false">F103</f>
        <v>9473723.16143445</v>
      </c>
      <c r="G125" s="60" t="n">
        <f aca="false">G103</f>
        <v>654196.391061898</v>
      </c>
      <c r="H125" s="60" t="n">
        <f aca="false">H103</f>
        <v>3552646.18553792</v>
      </c>
      <c r="I125" s="60" t="n">
        <f aca="false">I103</f>
        <v>523357.112849518</v>
      </c>
      <c r="J125" s="60" t="n">
        <f aca="false">J103</f>
        <v>2842116.94843034</v>
      </c>
      <c r="K125" s="60" t="n">
        <f aca="false">K103</f>
        <v>539398.39432267</v>
      </c>
      <c r="L125" s="60" t="n">
        <f aca="false">L103</f>
        <v>3002522.01537919</v>
      </c>
      <c r="M125" s="60" t="n">
        <f aca="false">M103</f>
        <v>1726517.43974337</v>
      </c>
      <c r="N125" s="60" t="n">
        <f aca="false">N103</f>
        <v>9277727.81804586</v>
      </c>
      <c r="O125" s="60" t="n">
        <f aca="false">O103</f>
        <v>1046714.22569904</v>
      </c>
      <c r="P125" s="60" t="n">
        <f aca="false">P103</f>
        <v>5684233.89686067</v>
      </c>
      <c r="Q125" s="60" t="n">
        <f aca="false">Q103</f>
        <v>1046714.22569904</v>
      </c>
      <c r="R125" s="60" t="n">
        <f aca="false">R103</f>
        <v>5684233.89686067</v>
      </c>
      <c r="S125" s="60" t="n">
        <f aca="false">S103</f>
        <v>1046714.22569904</v>
      </c>
      <c r="T125" s="60" t="n">
        <f aca="false">T103</f>
        <v>5684233.89686067</v>
      </c>
      <c r="U125" s="60" t="n">
        <f aca="false">U103</f>
        <v>1046714.22569904</v>
      </c>
      <c r="V125" s="60" t="n">
        <f aca="false">V103</f>
        <v>5684233.89686067</v>
      </c>
      <c r="W125" s="60" t="n">
        <f aca="false">W103</f>
        <v>1046714.22569904</v>
      </c>
      <c r="X125" s="60" t="n">
        <f aca="false">X103</f>
        <v>5684233.89686067</v>
      </c>
      <c r="Y125" s="60" t="n">
        <f aca="false">Y103</f>
        <v>1046714.22569904</v>
      </c>
      <c r="Z125" s="60" t="n">
        <f aca="false">Z103</f>
        <v>5684233.89686067</v>
      </c>
      <c r="AA125" s="60" t="n">
        <f aca="false">AA103</f>
        <v>1046714.22569904</v>
      </c>
      <c r="AB125" s="60" t="n">
        <f aca="false">AB103</f>
        <v>5684233.89686067</v>
      </c>
      <c r="AC125" s="60" t="n">
        <f aca="false">AC103</f>
        <v>1046714.22569904</v>
      </c>
      <c r="AD125" s="60" t="n">
        <f aca="false">AD103</f>
        <v>5684233.89686067</v>
      </c>
      <c r="AE125" s="60" t="n">
        <f aca="false">AE103</f>
        <v>1046714.22569904</v>
      </c>
      <c r="AF125" s="60" t="n">
        <f aca="false">AF103</f>
        <v>5684233.89686067</v>
      </c>
      <c r="AG125" s="60" t="n">
        <f aca="false">AG103</f>
        <v>1177553.50391142</v>
      </c>
      <c r="AH125" s="60" t="n">
        <f aca="false">AH103</f>
        <v>6394763.13396825</v>
      </c>
    </row>
    <row r="126" customFormat="false" ht="15" hidden="false" customHeight="false" outlineLevel="0" collapsed="false">
      <c r="A126" s="53" t="s">
        <v>1055</v>
      </c>
      <c r="B126" s="54" t="s">
        <v>972</v>
      </c>
      <c r="C126" s="60" t="n">
        <f aca="false">C65+C74+C86+C87</f>
        <v>157493.226457193</v>
      </c>
      <c r="D126" s="60" t="n">
        <f aca="false">D65+D74+D86+D87</f>
        <v>2555124.50535942</v>
      </c>
      <c r="E126" s="60" t="n">
        <f aca="false">E65+E74+E86+E87</f>
        <v>157493.226457193</v>
      </c>
      <c r="F126" s="60" t="n">
        <f aca="false">F65+F74+F86+F87</f>
        <v>2555124.50535942</v>
      </c>
      <c r="G126" s="60" t="n">
        <f aca="false">G65+G74+G86+G87</f>
        <v>157493.226457193</v>
      </c>
      <c r="H126" s="60" t="n">
        <f aca="false">H65+H74+H86+H87</f>
        <v>2555124.50535942</v>
      </c>
      <c r="I126" s="60" t="n">
        <f aca="false">I65+I74+I86+I87</f>
        <v>157493.226457193</v>
      </c>
      <c r="J126" s="60" t="n">
        <f aca="false">J65+J74+J86+J87</f>
        <v>2555124.50535942</v>
      </c>
      <c r="K126" s="60" t="n">
        <f aca="false">K65+K74+K86+K87</f>
        <v>157493.226457193</v>
      </c>
      <c r="L126" s="60" t="n">
        <f aca="false">L65+L74+L86+L87</f>
        <v>2555124.50535942</v>
      </c>
      <c r="M126" s="60" t="n">
        <f aca="false">M65+M74+M86+M87</f>
        <v>157493.226457193</v>
      </c>
      <c r="N126" s="60" t="n">
        <f aca="false">N65+N74+N86+N87</f>
        <v>2555124.50535942</v>
      </c>
      <c r="O126" s="60" t="n">
        <f aca="false">O65+O74+O86+O87</f>
        <v>56517.9770301897</v>
      </c>
      <c r="P126" s="60" t="n">
        <f aca="false">P65+P74+P86+P87</f>
        <v>805164.054848629</v>
      </c>
      <c r="Q126" s="60" t="n">
        <f aca="false">Q65+Q74+Q86+Q87</f>
        <v>445993.939105774</v>
      </c>
      <c r="R126" s="60" t="n">
        <f aca="false">R65+R74+R86+R87</f>
        <v>7555011.5068188</v>
      </c>
      <c r="S126" s="60" t="n">
        <f aca="false">S65+S74+S86+S87</f>
        <v>222680.467406469</v>
      </c>
      <c r="T126" s="60" t="n">
        <f aca="false">T65+T74+T86+T87</f>
        <v>3618436.08722743</v>
      </c>
      <c r="U126" s="60" t="n">
        <f aca="false">U65+U74+U86+U87</f>
        <v>141024.870848955</v>
      </c>
      <c r="V126" s="60" t="n">
        <f aca="false">V65+V74+V86+V87</f>
        <v>2286498.42151908</v>
      </c>
      <c r="W126" s="60" t="n">
        <f aca="false">W65+W74+W86+W87</f>
        <v>316651.707962845</v>
      </c>
      <c r="X126" s="60" t="n">
        <f aca="false">X65+X74+X86+X87</f>
        <v>5178571.39923769</v>
      </c>
      <c r="Y126" s="60" t="n">
        <f aca="false">Y65+Y74+Y86+Y87</f>
        <v>157493.226457193</v>
      </c>
      <c r="Z126" s="60" t="n">
        <f aca="false">Z65+Z74+Z86+Z87</f>
        <v>2555124.50535942</v>
      </c>
      <c r="AA126" s="60" t="n">
        <f aca="false">AA65+AA74+AA86+AA87</f>
        <v>157493.226457193</v>
      </c>
      <c r="AB126" s="60" t="n">
        <f aca="false">AB65+AB74+AB86+AB87</f>
        <v>2555124.50535942</v>
      </c>
      <c r="AC126" s="60" t="n">
        <f aca="false">AC65+AC74+AC86+AC87</f>
        <v>157493.226457193</v>
      </c>
      <c r="AD126" s="60" t="n">
        <f aca="false">AD65+AD74+AD86+AD87</f>
        <v>2555124.50535942</v>
      </c>
      <c r="AE126" s="60" t="n">
        <f aca="false">AE65+AE74+AE86+AE87</f>
        <v>157493.226457193</v>
      </c>
      <c r="AF126" s="60" t="n">
        <f aca="false">AF65+AF74+AF86+AF87</f>
        <v>2555124.50535942</v>
      </c>
      <c r="AG126" s="60" t="n">
        <f aca="false">AG65+AG74+AG86+AG87</f>
        <v>157493.226457193</v>
      </c>
      <c r="AH126" s="60" t="n">
        <f aca="false">AH65+AH74+AH86+AH87</f>
        <v>2555124.50535942</v>
      </c>
    </row>
    <row r="127" customFormat="false" ht="15" hidden="false" customHeight="false" outlineLevel="0" collapsed="false">
      <c r="A127" s="53" t="s">
        <v>1056</v>
      </c>
      <c r="B127" s="54" t="s">
        <v>972</v>
      </c>
      <c r="C127" s="60" t="n">
        <f aca="false">C51+C72+C89</f>
        <v>202194.239000742</v>
      </c>
      <c r="D127" s="60" t="n">
        <f aca="false">D51+D72+D89</f>
        <v>2781783.43731922</v>
      </c>
      <c r="E127" s="60" t="n">
        <f aca="false">E51+E72+E89</f>
        <v>336990.39833457</v>
      </c>
      <c r="F127" s="60" t="n">
        <f aca="false">F51+F72+F89</f>
        <v>4636305.72886537</v>
      </c>
      <c r="G127" s="60" t="n">
        <f aca="false">G51+G72+G89</f>
        <v>126371.399375464</v>
      </c>
      <c r="H127" s="60" t="n">
        <f aca="false">H51+H72+H89</f>
        <v>1738614.64832451</v>
      </c>
      <c r="I127" s="60" t="n">
        <f aca="false">I51+I72+I89</f>
        <v>101097.119500371</v>
      </c>
      <c r="J127" s="60" t="n">
        <f aca="false">J51+J72+J89</f>
        <v>1390891.71865961</v>
      </c>
      <c r="K127" s="60" t="n">
        <f aca="false">K51+K72+K89</f>
        <v>202194.239000742</v>
      </c>
      <c r="L127" s="60" t="n">
        <f aca="false">L51+L72+L89</f>
        <v>2781783.43731922</v>
      </c>
      <c r="M127" s="60" t="n">
        <f aca="false">M51+M72+M89</f>
        <v>202194.239000742</v>
      </c>
      <c r="N127" s="60" t="n">
        <f aca="false">N51+N72+N89</f>
        <v>2781783.43731922</v>
      </c>
      <c r="O127" s="60" t="n">
        <f aca="false">O51+O72+O89</f>
        <v>72975.2083315734</v>
      </c>
      <c r="P127" s="60" t="n">
        <f aca="false">P51+P72+P89</f>
        <v>882342.626652557</v>
      </c>
      <c r="Q127" s="60" t="n">
        <f aca="false">Q51+Q72+Q89</f>
        <v>571391.469484081</v>
      </c>
      <c r="R127" s="60" t="n">
        <f aca="false">R51+R72+R89</f>
        <v>8208757.18208113</v>
      </c>
      <c r="S127" s="60" t="n">
        <f aca="false">S51+S72+S89</f>
        <v>202194.239000742</v>
      </c>
      <c r="T127" s="60" t="n">
        <f aca="false">T51+T72+T89</f>
        <v>2781783.43731922</v>
      </c>
      <c r="U127" s="60" t="n">
        <f aca="false">U51+U72+U89</f>
        <v>202194.239000742</v>
      </c>
      <c r="V127" s="60" t="n">
        <f aca="false">V51+V72+V89</f>
        <v>2781783.43731922</v>
      </c>
      <c r="W127" s="60" t="n">
        <f aca="false">W51+W72+W89</f>
        <v>202194.239000742</v>
      </c>
      <c r="X127" s="60" t="n">
        <f aca="false">X51+X72+X89</f>
        <v>2781783.43731922</v>
      </c>
      <c r="Y127" s="60" t="n">
        <f aca="false">Y51+Y72+Y89</f>
        <v>202194.239000742</v>
      </c>
      <c r="Z127" s="60" t="n">
        <f aca="false">Z51+Z72+Z89</f>
        <v>2781783.43731922</v>
      </c>
      <c r="AA127" s="60" t="n">
        <f aca="false">AA51+AA72+AA89</f>
        <v>202194.239000742</v>
      </c>
      <c r="AB127" s="60" t="n">
        <f aca="false">AB51+AB72+AB89</f>
        <v>2781783.43731922</v>
      </c>
      <c r="AC127" s="60" t="n">
        <f aca="false">AC51+AC72+AC89</f>
        <v>202194.239000742</v>
      </c>
      <c r="AD127" s="60" t="n">
        <f aca="false">AD51+AD72+AD89</f>
        <v>2781783.43731922</v>
      </c>
      <c r="AE127" s="60" t="n">
        <f aca="false">AE51+AE72+AE89</f>
        <v>202194.239000742</v>
      </c>
      <c r="AF127" s="60" t="n">
        <f aca="false">AF51+AF72+AF89</f>
        <v>2781783.43731922</v>
      </c>
      <c r="AG127" s="60" t="n">
        <f aca="false">AG51+AG72+AG89</f>
        <v>227468.518875835</v>
      </c>
      <c r="AH127" s="60" t="n">
        <f aca="false">AH51+AH72+AH89</f>
        <v>3129506.36698413</v>
      </c>
    </row>
    <row r="128" customFormat="false" ht="15" hidden="false" customHeight="false" outlineLevel="0" collapsed="false">
      <c r="A128" s="53" t="s">
        <v>1057</v>
      </c>
      <c r="B128" s="54" t="s">
        <v>972</v>
      </c>
      <c r="C128" s="60" t="n">
        <f aca="false">C105</f>
        <v>444628.806070229</v>
      </c>
      <c r="D128" s="60" t="n">
        <f aca="false">D105</f>
        <v>685156.596552766</v>
      </c>
      <c r="E128" s="60" t="n">
        <f aca="false">E105</f>
        <v>444628.806070229</v>
      </c>
      <c r="F128" s="60" t="n">
        <f aca="false">F105</f>
        <v>685156.596552766</v>
      </c>
      <c r="G128" s="60" t="n">
        <f aca="false">G105</f>
        <v>444628.806070229</v>
      </c>
      <c r="H128" s="60" t="n">
        <f aca="false">H105</f>
        <v>685156.596552766</v>
      </c>
      <c r="I128" s="60" t="n">
        <f aca="false">I105</f>
        <v>444628.806070229</v>
      </c>
      <c r="J128" s="60" t="n">
        <f aca="false">J105</f>
        <v>685156.596552766</v>
      </c>
      <c r="K128" s="60" t="n">
        <f aca="false">K105</f>
        <v>444628.806070229</v>
      </c>
      <c r="L128" s="60" t="n">
        <f aca="false">L105</f>
        <v>685156.596552766</v>
      </c>
      <c r="M128" s="60" t="n">
        <f aca="false">M105</f>
        <v>444628.806070229</v>
      </c>
      <c r="N128" s="60" t="n">
        <f aca="false">N105</f>
        <v>685156.596552766</v>
      </c>
      <c r="O128" s="60" t="n">
        <f aca="false">O105</f>
        <v>444628.806070229</v>
      </c>
      <c r="P128" s="60" t="n">
        <f aca="false">P105</f>
        <v>685156.596552766</v>
      </c>
      <c r="Q128" s="60" t="n">
        <f aca="false">Q105</f>
        <v>444628.806070229</v>
      </c>
      <c r="R128" s="60" t="n">
        <f aca="false">R105</f>
        <v>685156.596552766</v>
      </c>
      <c r="S128" s="60" t="n">
        <f aca="false">S105</f>
        <v>444628.806070229</v>
      </c>
      <c r="T128" s="60" t="n">
        <f aca="false">T105</f>
        <v>685156.596552766</v>
      </c>
      <c r="U128" s="60" t="n">
        <f aca="false">U105</f>
        <v>444628.806070229</v>
      </c>
      <c r="V128" s="60" t="n">
        <f aca="false">V105</f>
        <v>685156.596552766</v>
      </c>
      <c r="W128" s="60" t="n">
        <f aca="false">W105</f>
        <v>447266.073581996</v>
      </c>
      <c r="X128" s="60" t="n">
        <f aca="false">X105</f>
        <v>707878.567480524</v>
      </c>
      <c r="Y128" s="60" t="n">
        <f aca="false">Y105</f>
        <v>2592.29216521878</v>
      </c>
      <c r="Z128" s="60" t="n">
        <f aca="false">Z105</f>
        <v>22101.8256952505</v>
      </c>
      <c r="AA128" s="60" t="n">
        <f aca="false">AA105</f>
        <v>1328701.83388025</v>
      </c>
      <c r="AB128" s="60" t="n">
        <f aca="false">AB105</f>
        <v>2011266.1382678</v>
      </c>
      <c r="AC128" s="60" t="n">
        <f aca="false">AC105</f>
        <v>444628.806070229</v>
      </c>
      <c r="AD128" s="60" t="n">
        <f aca="false">AD105</f>
        <v>685156.596552766</v>
      </c>
      <c r="AE128" s="60" t="n">
        <f aca="false">AE105</f>
        <v>444628.806070229</v>
      </c>
      <c r="AF128" s="60" t="n">
        <f aca="false">AF105</f>
        <v>685156.596552766</v>
      </c>
      <c r="AG128" s="60" t="n">
        <f aca="false">AG105</f>
        <v>444628.806070229</v>
      </c>
      <c r="AH128" s="60" t="n">
        <f aca="false">AH105</f>
        <v>685156.596552766</v>
      </c>
    </row>
    <row r="129" customFormat="false" ht="15" hidden="false" customHeight="false" outlineLevel="0" collapsed="false">
      <c r="A129" s="53" t="s">
        <v>1058</v>
      </c>
      <c r="B129" s="54" t="s">
        <v>972</v>
      </c>
      <c r="C129" s="60" t="n">
        <f aca="false">C121</f>
        <v>12957213.4805904</v>
      </c>
      <c r="D129" s="60" t="n">
        <f aca="false">D121</f>
        <v>81944089.0526445</v>
      </c>
      <c r="E129" s="60" t="n">
        <f aca="false">E121</f>
        <v>18785452.9825227</v>
      </c>
      <c r="F129" s="60" t="n">
        <f aca="false">F121</f>
        <v>121452169.945484</v>
      </c>
      <c r="G129" s="60" t="n">
        <f aca="false">G121</f>
        <v>9678828.76075348</v>
      </c>
      <c r="H129" s="60" t="n">
        <f aca="false">H121</f>
        <v>59720793.5504223</v>
      </c>
      <c r="I129" s="60" t="n">
        <f aca="false">I121</f>
        <v>8586033.85414118</v>
      </c>
      <c r="J129" s="60" t="n">
        <f aca="false">J121</f>
        <v>52313028.3830149</v>
      </c>
      <c r="K129" s="60" t="n">
        <f aca="false">K121</f>
        <v>9406002.66095584</v>
      </c>
      <c r="L129" s="60" t="n">
        <f aca="false">L121</f>
        <v>63172105.8822742</v>
      </c>
      <c r="M129" s="60" t="n">
        <f aca="false">M121</f>
        <v>17715835.9789007</v>
      </c>
      <c r="N129" s="60" t="n">
        <f aca="false">N121</f>
        <v>107098546.500941</v>
      </c>
      <c r="O129" s="60" t="n">
        <f aca="false">O121</f>
        <v>11345853.5199172</v>
      </c>
      <c r="P129" s="60" t="n">
        <f aca="false">P121</f>
        <v>56398280.2244024</v>
      </c>
      <c r="Q129" s="60" t="n">
        <f aca="false">Q121</f>
        <v>17561099.0825138</v>
      </c>
      <c r="R129" s="60" t="n">
        <f aca="false">R121</f>
        <v>154932114.276194</v>
      </c>
      <c r="S129" s="60" t="n">
        <f aca="false">S121</f>
        <v>13413524.1672353</v>
      </c>
      <c r="T129" s="60" t="n">
        <f aca="false">T121</f>
        <v>89387270.1257206</v>
      </c>
      <c r="U129" s="60" t="n">
        <f aca="false">U121</f>
        <v>12841934.9913327</v>
      </c>
      <c r="V129" s="60" t="n">
        <f aca="false">V121</f>
        <v>80063706.4657621</v>
      </c>
      <c r="W129" s="60" t="n">
        <f aca="false">W121</f>
        <v>14089783.7237123</v>
      </c>
      <c r="X129" s="60" t="n">
        <f aca="false">X121</f>
        <v>100467271.106287</v>
      </c>
      <c r="Y129" s="60" t="n">
        <f aca="false">Y121</f>
        <v>9862957.88325534</v>
      </c>
      <c r="Z129" s="60" t="n">
        <f aca="false">Z121</f>
        <v>77302705.6566419</v>
      </c>
      <c r="AA129" s="60" t="n">
        <f aca="false">AA121</f>
        <v>19145724.6752605</v>
      </c>
      <c r="AB129" s="60" t="n">
        <f aca="false">AB121</f>
        <v>91226855.8446497</v>
      </c>
      <c r="AC129" s="60" t="n">
        <f aca="false">AC121</f>
        <v>6293503.69057248</v>
      </c>
      <c r="AD129" s="60" t="n">
        <f aca="false">AD121</f>
        <v>39801414.6827131</v>
      </c>
      <c r="AE129" s="60" t="n">
        <f aca="false">AE121</f>
        <v>17399686.6739357</v>
      </c>
      <c r="AF129" s="60" t="n">
        <f aca="false">AF121</f>
        <v>110039205.299265</v>
      </c>
      <c r="AG129" s="60" t="n">
        <f aca="false">AG121</f>
        <v>14050008.3872027</v>
      </c>
      <c r="AH129" s="60" t="n">
        <f aca="false">AH121</f>
        <v>89351854.2200519</v>
      </c>
    </row>
    <row r="130" customFormat="false" ht="15" hidden="false" customHeight="false" outlineLevel="0" collapsed="false">
      <c r="A130" s="68" t="s">
        <v>1082</v>
      </c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</row>
    <row r="131" customFormat="false" ht="15" hidden="false" customHeight="false" outlineLevel="0" collapsed="false">
      <c r="A131" s="53" t="s">
        <v>1083</v>
      </c>
      <c r="B131" s="54" t="s">
        <v>75</v>
      </c>
      <c r="C131" s="97" t="n">
        <f aca="false">C106/$C$106</f>
        <v>1</v>
      </c>
      <c r="D131" s="97" t="n">
        <f aca="false">D106/$D$106</f>
        <v>1</v>
      </c>
      <c r="E131" s="97" t="n">
        <f aca="false">E106/$C$106</f>
        <v>1.44980655066484</v>
      </c>
      <c r="F131" s="97" t="n">
        <f aca="false">F106/$D$106</f>
        <v>1.48213460360097</v>
      </c>
      <c r="G131" s="97" t="n">
        <f aca="false">G106/$C$106</f>
        <v>0.746983815251029</v>
      </c>
      <c r="H131" s="97" t="n">
        <f aca="false">H106/$D$106</f>
        <v>0.728799285474453</v>
      </c>
      <c r="I131" s="97" t="n">
        <f aca="false">I106/$C$106</f>
        <v>0.662645087001372</v>
      </c>
      <c r="J131" s="97" t="n">
        <f aca="false">J106/$D$106</f>
        <v>0.638399047299271</v>
      </c>
      <c r="K131" s="97" t="n">
        <f aca="false">K106/$C$106</f>
        <v>0.725927891444083</v>
      </c>
      <c r="L131" s="97" t="n">
        <f aca="false">L106/$D$106</f>
        <v>0.770917177951537</v>
      </c>
      <c r="M131" s="97" t="n">
        <f aca="false">M106/$C$106</f>
        <v>1.36725662546493</v>
      </c>
      <c r="N131" s="97" t="n">
        <f aca="false">N106/$D$106</f>
        <v>1.30697098154494</v>
      </c>
      <c r="O131" s="97" t="n">
        <f aca="false">O106/$C$106</f>
        <v>0.87563993114052</v>
      </c>
      <c r="P131" s="97" t="n">
        <f aca="false">P106/$D$106</f>
        <v>0.688253184292153</v>
      </c>
      <c r="Q131" s="97" t="n">
        <f aca="false">Q106/$C$106</f>
        <v>1.35531448245566</v>
      </c>
      <c r="R131" s="97" t="n">
        <f aca="false">R106/$D$106</f>
        <v>1.89070518773671</v>
      </c>
      <c r="S131" s="97" t="n">
        <f aca="false">S106/$C$106</f>
        <v>1.03521672984153</v>
      </c>
      <c r="T131" s="97" t="n">
        <f aca="false">T106/$D$106</f>
        <v>1.09083243415269</v>
      </c>
      <c r="U131" s="97" t="n">
        <f aca="false">U106/$C$106</f>
        <v>0.991103141934772</v>
      </c>
      <c r="V131" s="97" t="n">
        <f aca="false">V106/$D$106</f>
        <v>0.977052858740374</v>
      </c>
      <c r="W131" s="97" t="n">
        <f aca="false">W106/$C$106</f>
        <v>1.08740847288026</v>
      </c>
      <c r="X131" s="97" t="n">
        <f aca="false">X106/$D$106</f>
        <v>1.22604659186268</v>
      </c>
      <c r="Y131" s="97" t="n">
        <f aca="false">Y106/$C$106</f>
        <v>0.76119436467029</v>
      </c>
      <c r="Z131" s="97" t="n">
        <f aca="false">Z106/$D$106</f>
        <v>0.943359143415204</v>
      </c>
      <c r="AA131" s="97" t="n">
        <f aca="false">AA106/$C$106</f>
        <v>1.47761127065942</v>
      </c>
      <c r="AB131" s="97" t="n">
        <f aca="false">AB106/$D$106</f>
        <v>1.11328171316959</v>
      </c>
      <c r="AC131" s="97" t="n">
        <f aca="false">AC106/$C$106</f>
        <v>1</v>
      </c>
      <c r="AD131" s="97" t="n">
        <f aca="false">AD106/$D$106</f>
        <v>1</v>
      </c>
      <c r="AE131" s="97" t="n">
        <f aca="false">AE106/$C$106</f>
        <v>1</v>
      </c>
      <c r="AF131" s="97" t="n">
        <f aca="false">AF106/$D$106</f>
        <v>1</v>
      </c>
      <c r="AG131" s="97" t="n">
        <f aca="false">AG106/$C$106</f>
        <v>1.08433872824966</v>
      </c>
      <c r="AH131" s="97" t="n">
        <f aca="false">AH106/$D$106</f>
        <v>1.09040023817518</v>
      </c>
    </row>
    <row r="132" customFormat="false" ht="15" hidden="false" customHeight="false" outlineLevel="0" collapsed="false">
      <c r="A132" s="53" t="s">
        <v>1084</v>
      </c>
      <c r="B132" s="54" t="s">
        <v>75</v>
      </c>
      <c r="C132" s="97" t="n">
        <f aca="false">C120/$C$120</f>
        <v>1</v>
      </c>
      <c r="D132" s="97" t="n">
        <f aca="false">D120/$D$120</f>
        <v>1</v>
      </c>
      <c r="E132" s="97" t="n">
        <f aca="false">E120/$C$120</f>
        <v>1.44980655066484</v>
      </c>
      <c r="F132" s="97" t="n">
        <f aca="false">F120/$D$120</f>
        <v>1.48213460360097</v>
      </c>
      <c r="G132" s="97" t="n">
        <f aca="false">G120/$C$120</f>
        <v>0.746983815251029</v>
      </c>
      <c r="H132" s="97" t="n">
        <f aca="false">H120/$D$120</f>
        <v>0.728799285474453</v>
      </c>
      <c r="I132" s="97" t="n">
        <f aca="false">I120/$C$120</f>
        <v>0.662645087001372</v>
      </c>
      <c r="J132" s="97" t="n">
        <f aca="false">J120/$D$120</f>
        <v>0.638399047299271</v>
      </c>
      <c r="K132" s="97" t="n">
        <f aca="false">K120/$C$120</f>
        <v>0.725927891444083</v>
      </c>
      <c r="L132" s="97" t="n">
        <f aca="false">L120/$D$120</f>
        <v>0.770917177951537</v>
      </c>
      <c r="M132" s="97" t="n">
        <f aca="false">M120/$C$120</f>
        <v>1.36725662546493</v>
      </c>
      <c r="N132" s="97" t="n">
        <f aca="false">N120/$D$120</f>
        <v>1.30697098154494</v>
      </c>
      <c r="O132" s="97" t="n">
        <f aca="false">O120/$C$120</f>
        <v>0.87563993114052</v>
      </c>
      <c r="P132" s="97" t="n">
        <f aca="false">P120/$D$120</f>
        <v>0.688253184292153</v>
      </c>
      <c r="Q132" s="97" t="n">
        <f aca="false">Q120/$C$120</f>
        <v>1.35531448245566</v>
      </c>
      <c r="R132" s="97" t="n">
        <f aca="false">R120/$D$120</f>
        <v>1.89070518773671</v>
      </c>
      <c r="S132" s="97" t="n">
        <f aca="false">S120/$C$120</f>
        <v>1.03521672984153</v>
      </c>
      <c r="T132" s="97" t="n">
        <f aca="false">T120/$D$120</f>
        <v>1.09083243415269</v>
      </c>
      <c r="U132" s="97" t="n">
        <f aca="false">U120/$C$120</f>
        <v>0.991103141934772</v>
      </c>
      <c r="V132" s="97" t="n">
        <f aca="false">V120/$D$120</f>
        <v>0.977052858740374</v>
      </c>
      <c r="W132" s="97" t="n">
        <f aca="false">W120/$C$120</f>
        <v>1.08740847288026</v>
      </c>
      <c r="X132" s="97" t="n">
        <f aca="false">X120/$D$120</f>
        <v>1.22604659186268</v>
      </c>
      <c r="Y132" s="97" t="n">
        <f aca="false">Y120/$C$120</f>
        <v>0.76119436467029</v>
      </c>
      <c r="Z132" s="97" t="n">
        <f aca="false">Z120/$D$120</f>
        <v>0.943359143415204</v>
      </c>
      <c r="AA132" s="97" t="n">
        <f aca="false">AA120/$C$120</f>
        <v>1.47761127065942</v>
      </c>
      <c r="AB132" s="97" t="n">
        <f aca="false">AB120/$D$120</f>
        <v>1.11328171316959</v>
      </c>
      <c r="AC132" s="97" t="n">
        <f aca="false">AC120/$C$120</f>
        <v>0.55</v>
      </c>
      <c r="AD132" s="97" t="n">
        <f aca="false">AD120/$D$120</f>
        <v>0.55</v>
      </c>
      <c r="AE132" s="97" t="n">
        <f aca="false">AE120/$C$120</f>
        <v>1.3</v>
      </c>
      <c r="AF132" s="97" t="n">
        <f aca="false">AF120/$D$120</f>
        <v>1.3</v>
      </c>
      <c r="AG132" s="97" t="n">
        <f aca="false">AG120/$C$120</f>
        <v>1.08433872824966</v>
      </c>
      <c r="AH132" s="97" t="n">
        <f aca="false">AH120/$D$120</f>
        <v>1.09040023817518</v>
      </c>
    </row>
    <row r="133" customFormat="false" ht="15" hidden="false" customHeight="false" outlineLevel="0" collapsed="false">
      <c r="A133" s="53" t="s">
        <v>1085</v>
      </c>
      <c r="B133" s="54" t="s">
        <v>75</v>
      </c>
      <c r="C133" s="97" t="n">
        <f aca="false">C111/$C$111</f>
        <v>1</v>
      </c>
      <c r="D133" s="97" t="n">
        <f aca="false">D111/$D$111</f>
        <v>1</v>
      </c>
      <c r="E133" s="97" t="n">
        <f aca="false">E111/$C$111</f>
        <v>0.863536053137726</v>
      </c>
      <c r="F133" s="97" t="n">
        <f aca="false">F111/$D$111</f>
        <v>0.891133635296509</v>
      </c>
      <c r="G133" s="97" t="n">
        <f aca="false">G111/$C$111</f>
        <v>1.18321662660341</v>
      </c>
      <c r="H133" s="97" t="n">
        <f aca="false">H111/$D$111</f>
        <v>1.13006364794724</v>
      </c>
      <c r="I133" s="97" t="n">
        <f aca="false">I111/$C$111</f>
        <v>1.29306039790411</v>
      </c>
      <c r="J133" s="97" t="n">
        <f aca="false">J111/$D$111</f>
        <v>1.20045363960761</v>
      </c>
      <c r="K133" s="97" t="n">
        <f aca="false">K111/$C$111</f>
        <v>1.5642573797125</v>
      </c>
      <c r="L133" s="97" t="n">
        <f aca="false">L111/$D$111</f>
        <v>1.32157016666233</v>
      </c>
      <c r="M133" s="97" t="n">
        <f aca="false">M111/$C$111</f>
        <v>0.674143602888933</v>
      </c>
      <c r="N133" s="97" t="n">
        <f aca="false">N111/$D$111</f>
        <v>0.754116764863728</v>
      </c>
      <c r="O133" s="97" t="n">
        <f aca="false">O111/$C$111</f>
        <v>0.430474151766496</v>
      </c>
      <c r="P133" s="97" t="n">
        <f aca="false">P111/$D$111</f>
        <v>0.472729100560956</v>
      </c>
      <c r="Q133" s="97" t="n">
        <f aca="false">Q111/$C$111</f>
        <v>1.92725385975264</v>
      </c>
      <c r="R133" s="97" t="n">
        <f aca="false">R111/$D$111</f>
        <v>1.51778438436896</v>
      </c>
      <c r="S133" s="97" t="n">
        <f aca="false">S111/$C$111</f>
        <v>1.12890771496467</v>
      </c>
      <c r="T133" s="97" t="n">
        <f aca="false">T111/$D$111</f>
        <v>1.09371643525685</v>
      </c>
      <c r="U133" s="97" t="n">
        <f aca="false">U111/$C$111</f>
        <v>0.965520648538492</v>
      </c>
      <c r="V133" s="97" t="n">
        <f aca="false">V111/$D$111</f>
        <v>0.973391504357132</v>
      </c>
      <c r="W133" s="97" t="n">
        <f aca="false">W111/$C$111</f>
        <v>1.2958440543168</v>
      </c>
      <c r="X133" s="97" t="n">
        <f aca="false">X111/$D$111</f>
        <v>1.20478307298841</v>
      </c>
      <c r="Y133" s="97" t="n">
        <f aca="false">Y111/$C$111</f>
        <v>1</v>
      </c>
      <c r="Z133" s="97" t="n">
        <f aca="false">Z111/$D$111</f>
        <v>1</v>
      </c>
      <c r="AA133" s="97" t="n">
        <f aca="false">AA111/$C$111</f>
        <v>1</v>
      </c>
      <c r="AB133" s="97" t="n">
        <f aca="false">AB111/$D$111</f>
        <v>1</v>
      </c>
      <c r="AC133" s="97" t="n">
        <f aca="false">AC111/$C$111</f>
        <v>1</v>
      </c>
      <c r="AD133" s="97" t="n">
        <f aca="false">AD111/$D$111</f>
        <v>1</v>
      </c>
      <c r="AE133" s="97" t="n">
        <f aca="false">AE111/$C$111</f>
        <v>1</v>
      </c>
      <c r="AF133" s="97" t="n">
        <f aca="false">AF111/$D$111</f>
        <v>1</v>
      </c>
      <c r="AG133" s="97" t="n">
        <f aca="false">AG111/$C$111</f>
        <v>0.963335104484753</v>
      </c>
      <c r="AH133" s="97" t="n">
        <f aca="false">AH111/$D$111</f>
        <v>0.971838280963275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</cols>
  <sheetData>
    <row r="1" customFormat="false" ht="17.15" hidden="false" customHeight="false" outlineLevel="0" collapsed="false">
      <c r="A1" s="49" t="s">
        <v>1086</v>
      </c>
    </row>
    <row r="2" customFormat="false" ht="15" hidden="false" customHeight="false" outlineLevel="0" collapsed="false">
      <c r="A2" s="50" t="s">
        <v>1087</v>
      </c>
    </row>
    <row r="4" customFormat="false" ht="15" hidden="false" customHeight="false" outlineLevel="0" collapsed="false">
      <c r="A4" s="68" t="s">
        <v>1088</v>
      </c>
      <c r="B4" s="62"/>
      <c r="C4" s="62"/>
      <c r="D4" s="62"/>
      <c r="E4" s="62"/>
      <c r="F4" s="62"/>
      <c r="G4" s="62"/>
    </row>
    <row r="5" customFormat="false" ht="15" hidden="false" customHeight="false" outlineLevel="0" collapsed="false">
      <c r="A5" s="51" t="s">
        <v>328</v>
      </c>
      <c r="B5" s="51" t="s">
        <v>55</v>
      </c>
      <c r="C5" s="51" t="s">
        <v>1089</v>
      </c>
      <c r="D5" s="52" t="s">
        <v>1090</v>
      </c>
      <c r="E5" s="52" t="s">
        <v>1091</v>
      </c>
      <c r="F5" s="51" t="s">
        <v>59</v>
      </c>
      <c r="G5" s="51" t="s">
        <v>296</v>
      </c>
    </row>
    <row r="6" customFormat="false" ht="15" hidden="false" customHeight="false" outlineLevel="0" collapsed="false">
      <c r="A6" s="53" t="s">
        <v>1092</v>
      </c>
      <c r="B6" s="54" t="s">
        <v>758</v>
      </c>
      <c r="C6" s="87" t="n">
        <f aca="false">SRC_PRC_003</f>
        <v>0.1</v>
      </c>
      <c r="D6" s="87" t="n">
        <f aca="false">SRC_PRC_006</f>
        <v>2</v>
      </c>
      <c r="E6" s="87" t="n">
        <f aca="false">SRC_PRC_009</f>
        <v>10</v>
      </c>
      <c r="F6" s="50" t="s">
        <v>107</v>
      </c>
      <c r="G6" s="80" t="s">
        <v>1093</v>
      </c>
    </row>
    <row r="7" customFormat="false" ht="15" hidden="false" customHeight="false" outlineLevel="0" collapsed="false">
      <c r="A7" s="53" t="s">
        <v>1094</v>
      </c>
      <c r="B7" s="54" t="s">
        <v>758</v>
      </c>
      <c r="C7" s="87" t="n">
        <f aca="false">SRC_PRC_004</f>
        <v>0.01</v>
      </c>
      <c r="D7" s="87" t="n">
        <f aca="false">SRC_PRC_007</f>
        <v>0.2</v>
      </c>
      <c r="E7" s="87" t="n">
        <f aca="false">SRC_PRC_010</f>
        <v>1</v>
      </c>
      <c r="F7" s="50" t="s">
        <v>107</v>
      </c>
      <c r="G7" s="86" t="s">
        <v>1095</v>
      </c>
    </row>
    <row r="8" customFormat="false" ht="15" hidden="false" customHeight="false" outlineLevel="0" collapsed="false">
      <c r="A8" s="53" t="s">
        <v>1096</v>
      </c>
      <c r="B8" s="54" t="s">
        <v>758</v>
      </c>
      <c r="C8" s="87" t="n">
        <f aca="false">SRC_PRC_005</f>
        <v>0.5</v>
      </c>
      <c r="D8" s="87" t="n">
        <f aca="false">SRC_PRC_008</f>
        <v>10</v>
      </c>
      <c r="E8" s="87" t="n">
        <f aca="false">SRC_PRC_011</f>
        <v>50</v>
      </c>
      <c r="F8" s="50" t="s">
        <v>107</v>
      </c>
      <c r="G8" s="86" t="s">
        <v>1097</v>
      </c>
    </row>
    <row r="10" customFormat="false" ht="15" hidden="false" customHeight="false" outlineLevel="0" collapsed="false">
      <c r="A10" s="68" t="s">
        <v>1098</v>
      </c>
      <c r="B10" s="62"/>
      <c r="C10" s="62"/>
      <c r="D10" s="62"/>
      <c r="E10" s="62"/>
      <c r="F10" s="62"/>
      <c r="G10" s="62"/>
    </row>
    <row r="11" customFormat="false" ht="15" hidden="false" customHeight="false" outlineLevel="0" collapsed="false">
      <c r="A11" s="51" t="s">
        <v>328</v>
      </c>
      <c r="B11" s="51" t="s">
        <v>55</v>
      </c>
      <c r="C11" s="51" t="s">
        <v>57</v>
      </c>
      <c r="D11" s="51" t="s">
        <v>1099</v>
      </c>
      <c r="E11" s="51" t="s">
        <v>1100</v>
      </c>
      <c r="F11" s="51" t="s">
        <v>59</v>
      </c>
      <c r="G11" s="51" t="s">
        <v>296</v>
      </c>
    </row>
    <row r="12" customFormat="false" ht="15" hidden="false" customHeight="false" outlineLevel="0" collapsed="false">
      <c r="A12" s="5" t="s">
        <v>1101</v>
      </c>
      <c r="B12" s="54" t="s">
        <v>71</v>
      </c>
      <c r="C12" s="58" t="n">
        <v>0.2</v>
      </c>
      <c r="D12" s="58" t="n">
        <v>0.1</v>
      </c>
      <c r="E12" s="58" t="n">
        <v>0.3</v>
      </c>
      <c r="F12" s="50" t="s">
        <v>72</v>
      </c>
      <c r="G12" s="86" t="s">
        <v>1102</v>
      </c>
    </row>
    <row r="13" customFormat="false" ht="15" hidden="false" customHeight="false" outlineLevel="0" collapsed="false">
      <c r="A13" s="5" t="s">
        <v>1103</v>
      </c>
      <c r="B13" s="54" t="s">
        <v>71</v>
      </c>
      <c r="C13" s="58" t="n">
        <v>0.55</v>
      </c>
      <c r="D13" s="58" t="n">
        <v>0.3</v>
      </c>
      <c r="E13" s="58" t="n">
        <v>0.75</v>
      </c>
      <c r="F13" s="50" t="s">
        <v>72</v>
      </c>
      <c r="G13" s="86" t="s">
        <v>1104</v>
      </c>
    </row>
    <row r="14" customFormat="false" ht="15" hidden="false" customHeight="false" outlineLevel="0" collapsed="false">
      <c r="A14" s="5" t="s">
        <v>1105</v>
      </c>
      <c r="B14" s="54" t="s">
        <v>75</v>
      </c>
      <c r="C14" s="71" t="n">
        <v>0</v>
      </c>
      <c r="D14" s="71" t="n">
        <v>0</v>
      </c>
      <c r="E14" s="71" t="n">
        <v>0.5</v>
      </c>
      <c r="F14" s="50" t="s">
        <v>72</v>
      </c>
      <c r="G14" s="80" t="s">
        <v>1106</v>
      </c>
    </row>
    <row r="15" customFormat="false" ht="15" hidden="false" customHeight="false" outlineLevel="0" collapsed="false">
      <c r="A15" s="5" t="s">
        <v>1107</v>
      </c>
      <c r="B15" s="54" t="s">
        <v>75</v>
      </c>
      <c r="C15" s="71" t="n">
        <v>1</v>
      </c>
      <c r="D15" s="71" t="n">
        <v>0.5</v>
      </c>
      <c r="E15" s="71" t="n">
        <v>7</v>
      </c>
      <c r="F15" s="50" t="s">
        <v>72</v>
      </c>
      <c r="G15" s="86" t="s">
        <v>1108</v>
      </c>
    </row>
    <row r="16" customFormat="false" ht="15" hidden="false" customHeight="false" outlineLevel="0" collapsed="false">
      <c r="A16" s="5" t="s">
        <v>1109</v>
      </c>
      <c r="B16" s="53" t="s">
        <v>67</v>
      </c>
      <c r="C16" s="59" t="n">
        <v>2</v>
      </c>
      <c r="D16" s="59" t="n">
        <v>1</v>
      </c>
      <c r="E16" s="59" t="n">
        <v>2</v>
      </c>
      <c r="F16" s="50" t="s">
        <v>64</v>
      </c>
      <c r="G16" s="80" t="s">
        <v>1110</v>
      </c>
    </row>
    <row r="17" customFormat="false" ht="15" hidden="false" customHeight="false" outlineLevel="0" collapsed="false">
      <c r="A17" s="5" t="s">
        <v>1111</v>
      </c>
      <c r="B17" s="54" t="s">
        <v>1112</v>
      </c>
      <c r="C17" s="82" t="n">
        <f aca="false">SRC_PRC_028</f>
        <v>35</v>
      </c>
      <c r="F17" s="50" t="s">
        <v>107</v>
      </c>
      <c r="G17" s="80" t="s">
        <v>1113</v>
      </c>
    </row>
    <row r="18" customFormat="false" ht="15" hidden="false" customHeight="false" outlineLevel="0" collapsed="false">
      <c r="A18" s="5" t="s">
        <v>1114</v>
      </c>
      <c r="B18" s="54" t="s">
        <v>75</v>
      </c>
      <c r="C18" s="90" t="n">
        <f aca="false">SRC_PRC_027</f>
        <v>0.5</v>
      </c>
      <c r="F18" s="50" t="s">
        <v>107</v>
      </c>
      <c r="G18" s="80" t="s">
        <v>1115</v>
      </c>
    </row>
    <row r="20" customFormat="false" ht="15" hidden="false" customHeight="false" outlineLevel="0" collapsed="false">
      <c r="A20" s="68" t="s">
        <v>1116</v>
      </c>
      <c r="B20" s="62"/>
      <c r="C20" s="62"/>
      <c r="D20" s="62"/>
      <c r="E20" s="62"/>
      <c r="F20" s="62"/>
      <c r="G20" s="62"/>
    </row>
    <row r="21" customFormat="false" ht="15" hidden="false" customHeight="false" outlineLevel="0" collapsed="false">
      <c r="A21" s="51" t="s">
        <v>328</v>
      </c>
      <c r="B21" s="51" t="s">
        <v>55</v>
      </c>
      <c r="C21" s="51" t="s">
        <v>1089</v>
      </c>
      <c r="D21" s="52" t="s">
        <v>1090</v>
      </c>
      <c r="E21" s="52" t="s">
        <v>1091</v>
      </c>
      <c r="F21" s="51" t="s">
        <v>59</v>
      </c>
      <c r="G21" s="51" t="s">
        <v>296</v>
      </c>
    </row>
    <row r="22" customFormat="false" ht="15" hidden="false" customHeight="false" outlineLevel="0" collapsed="false">
      <c r="A22" s="53" t="s">
        <v>1117</v>
      </c>
      <c r="B22" s="53" t="s">
        <v>1118</v>
      </c>
      <c r="C22" s="59" t="n">
        <v>12</v>
      </c>
      <c r="D22" s="59" t="n">
        <v>12</v>
      </c>
      <c r="E22" s="59" t="n">
        <v>9</v>
      </c>
      <c r="F22" s="50" t="s">
        <v>72</v>
      </c>
      <c r="G22" s="66" t="s">
        <v>1119</v>
      </c>
    </row>
    <row r="23" customFormat="false" ht="15" hidden="false" customHeight="false" outlineLevel="0" collapsed="false">
      <c r="A23" s="53" t="s">
        <v>1120</v>
      </c>
      <c r="B23" s="53" t="s">
        <v>1118</v>
      </c>
      <c r="C23" s="59" t="n">
        <v>6</v>
      </c>
      <c r="D23" s="59" t="n">
        <v>6</v>
      </c>
      <c r="E23" s="59" t="n">
        <v>6</v>
      </c>
      <c r="F23" s="50" t="s">
        <v>72</v>
      </c>
      <c r="G23" s="66"/>
    </row>
    <row r="24" customFormat="false" ht="15" hidden="false" customHeight="false" outlineLevel="0" collapsed="false">
      <c r="A24" s="53" t="s">
        <v>1121</v>
      </c>
      <c r="B24" s="53" t="s">
        <v>1118</v>
      </c>
      <c r="C24" s="59" t="n">
        <v>24</v>
      </c>
      <c r="D24" s="59" t="n">
        <v>24</v>
      </c>
      <c r="E24" s="59" t="n">
        <v>18</v>
      </c>
      <c r="F24" s="50" t="s">
        <v>72</v>
      </c>
      <c r="G24" s="66"/>
    </row>
    <row r="26" customFormat="false" ht="15" hidden="false" customHeight="false" outlineLevel="0" collapsed="false">
      <c r="A26" s="68" t="s">
        <v>1122</v>
      </c>
      <c r="B26" s="62"/>
      <c r="C26" s="62"/>
      <c r="D26" s="62"/>
      <c r="E26" s="62"/>
      <c r="F26" s="62"/>
      <c r="G26" s="62"/>
    </row>
    <row r="27" customFormat="false" ht="15" hidden="false" customHeight="false" outlineLevel="0" collapsed="false">
      <c r="A27" s="51" t="s">
        <v>328</v>
      </c>
      <c r="B27" s="51" t="s">
        <v>55</v>
      </c>
      <c r="C27" s="51" t="s">
        <v>57</v>
      </c>
      <c r="D27" s="51" t="s">
        <v>1099</v>
      </c>
      <c r="E27" s="51" t="s">
        <v>1100</v>
      </c>
      <c r="F27" s="51" t="s">
        <v>59</v>
      </c>
      <c r="G27" s="51" t="s">
        <v>296</v>
      </c>
    </row>
    <row r="28" customFormat="false" ht="15" hidden="false" customHeight="false" outlineLevel="0" collapsed="false">
      <c r="A28" s="53" t="s">
        <v>1123</v>
      </c>
      <c r="B28" s="54" t="s">
        <v>71</v>
      </c>
      <c r="C28" s="58" t="n">
        <v>0.41</v>
      </c>
      <c r="D28" s="58" t="n">
        <v>0.3</v>
      </c>
      <c r="E28" s="58" t="n">
        <v>0.6</v>
      </c>
      <c r="F28" s="50" t="s">
        <v>1124</v>
      </c>
      <c r="G28" s="80" t="s">
        <v>1125</v>
      </c>
    </row>
    <row r="29" customFormat="false" ht="15" hidden="false" customHeight="false" outlineLevel="0" collapsed="false">
      <c r="A29" s="53" t="s">
        <v>1126</v>
      </c>
      <c r="B29" s="54" t="s">
        <v>71</v>
      </c>
      <c r="C29" s="58" t="n">
        <v>0.46</v>
      </c>
      <c r="D29" s="58" t="n">
        <v>0.35</v>
      </c>
      <c r="E29" s="58" t="n">
        <v>0.6</v>
      </c>
      <c r="F29" s="50" t="s">
        <v>177</v>
      </c>
      <c r="G29" s="80" t="s">
        <v>1127</v>
      </c>
    </row>
    <row r="30" customFormat="false" ht="15" hidden="false" customHeight="false" outlineLevel="0" collapsed="false">
      <c r="A30" s="51" t="s">
        <v>328</v>
      </c>
      <c r="B30" s="51" t="s">
        <v>55</v>
      </c>
      <c r="C30" s="51" t="s">
        <v>1089</v>
      </c>
      <c r="D30" s="52" t="s">
        <v>1090</v>
      </c>
      <c r="E30" s="52" t="s">
        <v>1091</v>
      </c>
      <c r="F30" s="51" t="s">
        <v>59</v>
      </c>
      <c r="G30" s="51" t="s">
        <v>296</v>
      </c>
    </row>
    <row r="31" customFormat="false" ht="15" hidden="false" customHeight="false" outlineLevel="0" collapsed="false">
      <c r="A31" s="53" t="s">
        <v>1128</v>
      </c>
      <c r="B31" s="54" t="s">
        <v>71</v>
      </c>
      <c r="C31" s="58" t="n">
        <v>0.4</v>
      </c>
      <c r="D31" s="58" t="n">
        <v>0.45</v>
      </c>
      <c r="E31" s="58" t="n">
        <v>0.15</v>
      </c>
      <c r="F31" s="50" t="s">
        <v>72</v>
      </c>
      <c r="G31" s="80" t="s">
        <v>1129</v>
      </c>
    </row>
    <row r="32" customFormat="false" ht="15" hidden="false" customHeight="false" outlineLevel="0" collapsed="false">
      <c r="A32" s="53" t="s">
        <v>1130</v>
      </c>
      <c r="B32" s="54" t="s">
        <v>71</v>
      </c>
      <c r="C32" s="58" t="n">
        <v>0.9</v>
      </c>
      <c r="D32" s="58" t="n">
        <v>0.1</v>
      </c>
      <c r="E32" s="58" t="n">
        <v>0</v>
      </c>
      <c r="F32" s="50" t="s">
        <v>72</v>
      </c>
      <c r="G32" s="80" t="s">
        <v>1131</v>
      </c>
    </row>
    <row r="34" customFormat="false" ht="15" hidden="false" customHeight="false" outlineLevel="0" collapsed="false">
      <c r="A34" s="68" t="s">
        <v>1132</v>
      </c>
      <c r="B34" s="62"/>
      <c r="C34" s="62"/>
      <c r="D34" s="62"/>
      <c r="E34" s="62"/>
      <c r="F34" s="62"/>
      <c r="G34" s="62"/>
    </row>
    <row r="35" customFormat="false" ht="15" hidden="false" customHeight="false" outlineLevel="0" collapsed="false">
      <c r="A35" s="51" t="s">
        <v>328</v>
      </c>
      <c r="B35" s="51" t="s">
        <v>55</v>
      </c>
      <c r="C35" s="51" t="s">
        <v>57</v>
      </c>
      <c r="D35" s="51" t="s">
        <v>1099</v>
      </c>
      <c r="E35" s="51" t="s">
        <v>1100</v>
      </c>
      <c r="F35" s="51" t="s">
        <v>59</v>
      </c>
      <c r="G35" s="51" t="s">
        <v>296</v>
      </c>
    </row>
    <row r="36" customFormat="false" ht="15" hidden="false" customHeight="false" outlineLevel="0" collapsed="false">
      <c r="A36" s="5" t="s">
        <v>1133</v>
      </c>
      <c r="B36" s="53" t="s">
        <v>67</v>
      </c>
      <c r="C36" s="59" t="n">
        <v>2</v>
      </c>
      <c r="D36" s="59" t="n">
        <v>1</v>
      </c>
      <c r="E36" s="59" t="n">
        <v>3</v>
      </c>
      <c r="F36" s="50" t="s">
        <v>72</v>
      </c>
      <c r="G36" s="86" t="s">
        <v>1134</v>
      </c>
    </row>
    <row r="37" customFormat="false" ht="15" hidden="false" customHeight="false" outlineLevel="0" collapsed="false">
      <c r="A37" s="5" t="s">
        <v>1135</v>
      </c>
      <c r="B37" s="54" t="s">
        <v>1112</v>
      </c>
      <c r="C37" s="141" t="n">
        <v>0.0833333333333333</v>
      </c>
      <c r="D37" s="141" t="n">
        <v>0.0833333333333333</v>
      </c>
      <c r="E37" s="141" t="n">
        <v>1</v>
      </c>
      <c r="F37" s="50" t="s">
        <v>76</v>
      </c>
      <c r="G37" s="80" t="s">
        <v>1136</v>
      </c>
    </row>
    <row r="38" customFormat="false" ht="15" hidden="false" customHeight="false" outlineLevel="0" collapsed="false">
      <c r="A38" s="5" t="s">
        <v>1137</v>
      </c>
      <c r="B38" s="53" t="s">
        <v>1138</v>
      </c>
      <c r="C38" s="59" t="n">
        <v>5</v>
      </c>
      <c r="D38" s="59" t="n">
        <v>1</v>
      </c>
      <c r="E38" s="59" t="n">
        <v>20</v>
      </c>
      <c r="F38" s="50" t="s">
        <v>72</v>
      </c>
      <c r="G38" s="86" t="s">
        <v>1139</v>
      </c>
    </row>
    <row r="39" customFormat="false" ht="15" hidden="false" customHeight="false" outlineLevel="0" collapsed="false">
      <c r="A39" s="6" t="s">
        <v>1140</v>
      </c>
      <c r="B39" s="54" t="s">
        <v>1141</v>
      </c>
      <c r="C39" s="71" t="n">
        <v>10</v>
      </c>
      <c r="D39" s="71" t="n">
        <v>5</v>
      </c>
      <c r="E39" s="71" t="n">
        <v>20</v>
      </c>
      <c r="F39" s="50" t="s">
        <v>72</v>
      </c>
      <c r="G39" s="80" t="s">
        <v>1142</v>
      </c>
    </row>
    <row r="40" customFormat="false" ht="15" hidden="false" customHeight="false" outlineLevel="0" collapsed="false">
      <c r="A40" s="6" t="s">
        <v>1143</v>
      </c>
      <c r="B40" s="53" t="s">
        <v>106</v>
      </c>
      <c r="C40" s="59" t="n">
        <v>4</v>
      </c>
      <c r="D40" s="59" t="n">
        <v>3</v>
      </c>
      <c r="E40" s="59" t="n">
        <v>6</v>
      </c>
      <c r="F40" s="50" t="s">
        <v>72</v>
      </c>
      <c r="G40" s="86"/>
    </row>
    <row r="41" customFormat="false" ht="15" hidden="false" customHeight="false" outlineLevel="0" collapsed="false">
      <c r="A41" s="6" t="s">
        <v>1144</v>
      </c>
      <c r="B41" s="54" t="s">
        <v>1141</v>
      </c>
      <c r="C41" s="71" t="n">
        <v>0.1</v>
      </c>
      <c r="D41" s="71" t="n">
        <v>0.05</v>
      </c>
      <c r="E41" s="71" t="n">
        <v>0.3</v>
      </c>
      <c r="F41" s="50" t="s">
        <v>72</v>
      </c>
      <c r="G41" s="86" t="s">
        <v>1145</v>
      </c>
    </row>
    <row r="42" customFormat="false" ht="15" hidden="false" customHeight="false" outlineLevel="0" collapsed="false">
      <c r="A42" s="6" t="s">
        <v>1146</v>
      </c>
      <c r="B42" s="53" t="s">
        <v>106</v>
      </c>
      <c r="C42" s="59" t="n">
        <v>5</v>
      </c>
      <c r="D42" s="59" t="n">
        <v>3</v>
      </c>
      <c r="E42" s="59" t="n">
        <v>6</v>
      </c>
      <c r="F42" s="50" t="s">
        <v>72</v>
      </c>
      <c r="G42" s="86"/>
    </row>
    <row r="44" customFormat="false" ht="15" hidden="false" customHeight="false" outlineLevel="0" collapsed="false">
      <c r="A44" s="68" t="s">
        <v>1147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</row>
    <row r="45" customFormat="false" ht="26.85" hidden="false" customHeight="false" outlineLevel="0" collapsed="false">
      <c r="A45" s="76" t="s">
        <v>1148</v>
      </c>
      <c r="B45" s="76" t="s">
        <v>1149</v>
      </c>
      <c r="C45" s="76" t="s">
        <v>1150</v>
      </c>
      <c r="D45" s="76" t="s">
        <v>1151</v>
      </c>
      <c r="E45" s="76" t="s">
        <v>1152</v>
      </c>
      <c r="F45" s="76" t="s">
        <v>1153</v>
      </c>
      <c r="G45" s="76" t="s">
        <v>1154</v>
      </c>
      <c r="H45" s="76" t="s">
        <v>1155</v>
      </c>
      <c r="I45" s="76" t="s">
        <v>1156</v>
      </c>
      <c r="J45" s="76" t="s">
        <v>1157</v>
      </c>
      <c r="K45" s="76" t="s">
        <v>1158</v>
      </c>
      <c r="L45" s="76" t="s">
        <v>59</v>
      </c>
      <c r="M45" s="76" t="s">
        <v>418</v>
      </c>
      <c r="N45" s="76" t="s">
        <v>1159</v>
      </c>
    </row>
    <row r="46" customFormat="false" ht="15" hidden="false" customHeight="false" outlineLevel="0" collapsed="false">
      <c r="A46" s="129" t="s">
        <v>1160</v>
      </c>
      <c r="B46" s="129" t="s">
        <v>1161</v>
      </c>
      <c r="C46" s="98" t="s">
        <v>1162</v>
      </c>
      <c r="D46" s="98" t="s">
        <v>602</v>
      </c>
      <c r="E46" s="87" t="n">
        <f aca="false">SRC_PRC_003</f>
        <v>0.1</v>
      </c>
      <c r="F46" s="87" t="n">
        <f aca="false">SRC_PRC_004</f>
        <v>0.01</v>
      </c>
      <c r="G46" s="87" t="n">
        <f aca="false">SRC_PRC_005</f>
        <v>0.5</v>
      </c>
      <c r="H46" s="59" t="n">
        <v>0</v>
      </c>
      <c r="I46" s="82" t="n">
        <f aca="false">SRC_CAP_009</f>
        <v>37</v>
      </c>
      <c r="J46" s="129" t="s">
        <v>1163</v>
      </c>
      <c r="K46" s="129" t="s">
        <v>1164</v>
      </c>
      <c r="L46" s="129" t="s">
        <v>107</v>
      </c>
      <c r="M46" s="80" t="s">
        <v>1165</v>
      </c>
      <c r="N46" s="104" t="n">
        <f aca="false">IF($C46="中國",1,0)</f>
        <v>0</v>
      </c>
    </row>
    <row r="47" customFormat="false" ht="15" hidden="false" customHeight="false" outlineLevel="0" collapsed="false">
      <c r="A47" s="129" t="s">
        <v>1166</v>
      </c>
      <c r="B47" s="129" t="s">
        <v>1161</v>
      </c>
      <c r="C47" s="98" t="s">
        <v>1162</v>
      </c>
      <c r="D47" s="98" t="s">
        <v>602</v>
      </c>
      <c r="E47" s="87" t="n">
        <f aca="false">SRC_PRC_006</f>
        <v>2</v>
      </c>
      <c r="F47" s="87" t="n">
        <f aca="false">SRC_PRC_007</f>
        <v>0.2</v>
      </c>
      <c r="G47" s="87" t="n">
        <f aca="false">SRC_PRC_008</f>
        <v>10</v>
      </c>
      <c r="H47" s="59" t="n">
        <v>0</v>
      </c>
      <c r="I47" s="82" t="n">
        <f aca="false">SRC_CAP_008</f>
        <v>48</v>
      </c>
      <c r="J47" s="129" t="s">
        <v>1163</v>
      </c>
      <c r="K47" s="129" t="s">
        <v>1164</v>
      </c>
      <c r="L47" s="129" t="s">
        <v>107</v>
      </c>
      <c r="M47" s="80" t="s">
        <v>1167</v>
      </c>
      <c r="N47" s="104" t="n">
        <f aca="false">IF($C47="中國",1,0)</f>
        <v>0</v>
      </c>
    </row>
    <row r="48" customFormat="false" ht="15" hidden="false" customHeight="false" outlineLevel="0" collapsed="false">
      <c r="A48" s="129" t="s">
        <v>1168</v>
      </c>
      <c r="B48" s="129" t="s">
        <v>1161</v>
      </c>
      <c r="C48" s="98" t="s">
        <v>1162</v>
      </c>
      <c r="D48" s="98" t="s">
        <v>602</v>
      </c>
      <c r="E48" s="87" t="n">
        <f aca="false">SRC_PRC_009</f>
        <v>10</v>
      </c>
      <c r="F48" s="87" t="n">
        <f aca="false">SRC_PRC_010</f>
        <v>1</v>
      </c>
      <c r="G48" s="87" t="n">
        <f aca="false">SRC_PRC_011</f>
        <v>50</v>
      </c>
      <c r="H48" s="59" t="n">
        <v>0</v>
      </c>
      <c r="I48" s="82" t="n">
        <f aca="false">SRC_CAP_001</f>
        <v>53</v>
      </c>
      <c r="J48" s="129" t="s">
        <v>1169</v>
      </c>
      <c r="K48" s="129" t="s">
        <v>1164</v>
      </c>
      <c r="L48" s="129" t="s">
        <v>107</v>
      </c>
      <c r="M48" s="80" t="s">
        <v>1170</v>
      </c>
      <c r="N48" s="104" t="n">
        <f aca="false">IF($C48="中國",1,0)</f>
        <v>0</v>
      </c>
    </row>
    <row r="49" customFormat="false" ht="15" hidden="false" customHeight="false" outlineLevel="0" collapsed="false">
      <c r="A49" s="129" t="s">
        <v>1171</v>
      </c>
      <c r="B49" s="129" t="s">
        <v>1172</v>
      </c>
      <c r="C49" s="98" t="s">
        <v>1162</v>
      </c>
      <c r="D49" s="98" t="s">
        <v>602</v>
      </c>
      <c r="E49" s="87" t="n">
        <f aca="false">SRC_PRC_012</f>
        <v>10</v>
      </c>
      <c r="F49" s="87" t="n">
        <f aca="false">SRC_PRC_013</f>
        <v>0.25</v>
      </c>
      <c r="G49" s="87" t="n">
        <f aca="false">SRC_PRC_014</f>
        <v>50</v>
      </c>
      <c r="H49" s="59" t="n">
        <v>0</v>
      </c>
      <c r="I49" s="82" t="n">
        <f aca="false">SRC_CAP_002</f>
        <v>53</v>
      </c>
      <c r="J49" s="129" t="s">
        <v>1169</v>
      </c>
      <c r="K49" s="129" t="s">
        <v>1173</v>
      </c>
      <c r="L49" s="129" t="s">
        <v>177</v>
      </c>
      <c r="M49" s="80" t="s">
        <v>1174</v>
      </c>
      <c r="N49" s="104" t="n">
        <f aca="false">IF($C49="中國",1,0)</f>
        <v>0</v>
      </c>
    </row>
    <row r="50" customFormat="false" ht="15" hidden="false" customHeight="false" outlineLevel="0" collapsed="false">
      <c r="A50" s="129" t="s">
        <v>1175</v>
      </c>
      <c r="B50" s="129" t="s">
        <v>1172</v>
      </c>
      <c r="C50" s="98" t="s">
        <v>1162</v>
      </c>
      <c r="D50" s="98" t="s">
        <v>602</v>
      </c>
      <c r="E50" s="87" t="n">
        <f aca="false">SRC_PRC_015</f>
        <v>5</v>
      </c>
      <c r="F50" s="142" t="n">
        <v>0.5</v>
      </c>
      <c r="G50" s="87" t="n">
        <f aca="false">SRC_PRC_016</f>
        <v>25</v>
      </c>
      <c r="H50" s="59" t="n">
        <v>0</v>
      </c>
      <c r="I50" s="82" t="n">
        <f aca="false">SRC_CAP_003</f>
        <v>51</v>
      </c>
      <c r="J50" s="129" t="s">
        <v>1169</v>
      </c>
      <c r="K50" s="129" t="s">
        <v>1176</v>
      </c>
      <c r="L50" s="129" t="s">
        <v>177</v>
      </c>
      <c r="M50" s="80" t="s">
        <v>1177</v>
      </c>
      <c r="N50" s="104" t="n">
        <f aca="false">IF($C50="中國",1,0)</f>
        <v>0</v>
      </c>
    </row>
    <row r="51" customFormat="false" ht="15" hidden="false" customHeight="false" outlineLevel="0" collapsed="false">
      <c r="A51" s="129" t="s">
        <v>1178</v>
      </c>
      <c r="B51" s="129" t="s">
        <v>1172</v>
      </c>
      <c r="C51" s="98" t="s">
        <v>1162</v>
      </c>
      <c r="D51" s="98" t="s">
        <v>602</v>
      </c>
      <c r="E51" s="87" t="n">
        <f aca="false">SRC_PRC_017</f>
        <v>4</v>
      </c>
      <c r="F51" s="142" t="n">
        <v>0.2</v>
      </c>
      <c r="G51" s="87" t="n">
        <f aca="false">SRC_PRC_018</f>
        <v>20</v>
      </c>
      <c r="H51" s="59" t="n">
        <v>0</v>
      </c>
      <c r="J51" s="98" t="s">
        <v>1179</v>
      </c>
      <c r="K51" s="129" t="s">
        <v>1180</v>
      </c>
      <c r="L51" s="129" t="s">
        <v>177</v>
      </c>
      <c r="M51" s="80" t="s">
        <v>1181</v>
      </c>
      <c r="N51" s="104" t="n">
        <f aca="false">IF($C51="中國",1,0)</f>
        <v>0</v>
      </c>
    </row>
    <row r="52" customFormat="false" ht="15" hidden="false" customHeight="false" outlineLevel="0" collapsed="false">
      <c r="A52" s="129" t="s">
        <v>1182</v>
      </c>
      <c r="B52" s="129" t="s">
        <v>1183</v>
      </c>
      <c r="C52" s="98" t="s">
        <v>1184</v>
      </c>
      <c r="D52" s="98" t="s">
        <v>574</v>
      </c>
      <c r="E52" s="87" t="n">
        <f aca="false">SRC_PRC_021</f>
        <v>0.3</v>
      </c>
      <c r="F52" s="87" t="n">
        <f aca="false">SRC_PRC_022</f>
        <v>0.006</v>
      </c>
      <c r="G52" s="87" t="n">
        <f aca="false">SRC_PRC_023</f>
        <v>1.2</v>
      </c>
      <c r="H52" s="59" t="n">
        <v>1</v>
      </c>
      <c r="I52" s="82" t="n">
        <f aca="false">SRC_CAP_010</f>
        <v>39</v>
      </c>
      <c r="J52" s="129" t="s">
        <v>1163</v>
      </c>
      <c r="K52" s="129" t="s">
        <v>1185</v>
      </c>
      <c r="L52" s="129" t="s">
        <v>107</v>
      </c>
      <c r="M52" s="80" t="s">
        <v>1186</v>
      </c>
      <c r="N52" s="104" t="n">
        <f aca="false">IF($C52="中國",1,0)</f>
        <v>1</v>
      </c>
    </row>
    <row r="53" customFormat="false" ht="15" hidden="false" customHeight="false" outlineLevel="0" collapsed="false">
      <c r="A53" s="129" t="s">
        <v>1187</v>
      </c>
      <c r="B53" s="129" t="s">
        <v>1183</v>
      </c>
      <c r="C53" s="98" t="s">
        <v>1184</v>
      </c>
      <c r="D53" s="98" t="s">
        <v>574</v>
      </c>
      <c r="E53" s="87" t="n">
        <f aca="false">SRC_PRC_024</f>
        <v>1.32</v>
      </c>
      <c r="F53" s="87" t="n">
        <f aca="false">SRC_PRC_025</f>
        <v>0.044</v>
      </c>
      <c r="G53" s="87" t="n">
        <f aca="false">SRC_PRC_026</f>
        <v>3.96</v>
      </c>
      <c r="H53" s="59" t="n">
        <v>1</v>
      </c>
      <c r="I53" s="59" t="n">
        <v>36</v>
      </c>
      <c r="J53" s="129" t="s">
        <v>1169</v>
      </c>
      <c r="K53" s="129" t="s">
        <v>1185</v>
      </c>
      <c r="L53" s="129" t="s">
        <v>107</v>
      </c>
      <c r="M53" s="80" t="s">
        <v>1188</v>
      </c>
      <c r="N53" s="104" t="n">
        <f aca="false">IF($C53="中國",1,0)</f>
        <v>1</v>
      </c>
    </row>
    <row r="54" customFormat="false" ht="15" hidden="false" customHeight="false" outlineLevel="0" collapsed="false">
      <c r="A54" s="129" t="s">
        <v>1189</v>
      </c>
      <c r="B54" s="129" t="s">
        <v>1190</v>
      </c>
      <c r="C54" s="98" t="s">
        <v>1184</v>
      </c>
      <c r="D54" s="98" t="s">
        <v>1191</v>
      </c>
      <c r="E54" s="87" t="n">
        <f aca="false">SRC_PRC_029</f>
        <v>1.4</v>
      </c>
      <c r="F54" s="87" t="n">
        <f aca="false">SRC_PRC_030</f>
        <v>0.26</v>
      </c>
      <c r="G54" s="87" t="n">
        <f aca="false">SRC_PRC_031</f>
        <v>4.4</v>
      </c>
      <c r="H54" s="59" t="n">
        <v>0</v>
      </c>
      <c r="I54" s="82" t="n">
        <f aca="false">SRC_CAP_011</f>
        <v>45</v>
      </c>
      <c r="J54" s="129" t="s">
        <v>1163</v>
      </c>
      <c r="K54" s="129" t="s">
        <v>1185</v>
      </c>
      <c r="L54" s="129" t="s">
        <v>107</v>
      </c>
      <c r="M54" s="80" t="s">
        <v>1192</v>
      </c>
      <c r="N54" s="104" t="n">
        <f aca="false">IF($C54="中國",1,0)</f>
        <v>1</v>
      </c>
    </row>
    <row r="55" customFormat="false" ht="15" hidden="false" customHeight="false" outlineLevel="0" collapsed="false">
      <c r="A55" s="129" t="s">
        <v>1193</v>
      </c>
      <c r="B55" s="129" t="s">
        <v>1190</v>
      </c>
      <c r="C55" s="98" t="s">
        <v>1184</v>
      </c>
      <c r="D55" s="98" t="s">
        <v>574</v>
      </c>
      <c r="E55" s="87" t="n">
        <f aca="false">SRC_PRC_032</f>
        <v>0.15</v>
      </c>
      <c r="F55" s="87" t="n">
        <f aca="false">SRC_PRC_033</f>
        <v>0.03</v>
      </c>
      <c r="G55" s="87" t="n">
        <f aca="false">SRC_PRC_034</f>
        <v>0.5</v>
      </c>
      <c r="H55" s="59" t="n">
        <v>0</v>
      </c>
      <c r="I55" s="82" t="n">
        <f aca="false">SRC_CAP_005</f>
        <v>42</v>
      </c>
      <c r="J55" s="129" t="s">
        <v>1169</v>
      </c>
      <c r="K55" s="129" t="s">
        <v>1185</v>
      </c>
      <c r="L55" s="129" t="s">
        <v>107</v>
      </c>
      <c r="M55" s="80" t="s">
        <v>1194</v>
      </c>
      <c r="N55" s="104" t="n">
        <f aca="false">IF($C55="中國",1,0)</f>
        <v>1</v>
      </c>
    </row>
    <row r="56" customFormat="false" ht="15" hidden="false" customHeight="false" outlineLevel="0" collapsed="false">
      <c r="A56" s="129" t="s">
        <v>1195</v>
      </c>
      <c r="B56" s="129" t="s">
        <v>1196</v>
      </c>
      <c r="C56" s="98" t="s">
        <v>1184</v>
      </c>
      <c r="D56" s="98" t="s">
        <v>1197</v>
      </c>
      <c r="E56" s="87" t="n">
        <f aca="false">SRC_PRC_038</f>
        <v>2</v>
      </c>
      <c r="F56" s="87" t="n">
        <f aca="false">SRC_PRC_039</f>
        <v>0.25</v>
      </c>
      <c r="G56" s="87" t="n">
        <f aca="false">SRC_PRC_040</f>
        <v>6</v>
      </c>
      <c r="H56" s="59" t="n">
        <v>0</v>
      </c>
      <c r="I56" s="59" t="n">
        <v>40</v>
      </c>
      <c r="J56" s="129" t="s">
        <v>1169</v>
      </c>
      <c r="K56" s="129" t="s">
        <v>1173</v>
      </c>
      <c r="L56" s="129" t="s">
        <v>177</v>
      </c>
      <c r="M56" s="80" t="s">
        <v>1198</v>
      </c>
      <c r="N56" s="104" t="n">
        <f aca="false">IF($C56="中國",1,0)</f>
        <v>1</v>
      </c>
    </row>
    <row r="57" customFormat="false" ht="15" hidden="false" customHeight="false" outlineLevel="0" collapsed="false">
      <c r="A57" s="129" t="s">
        <v>1199</v>
      </c>
      <c r="B57" s="129" t="s">
        <v>1200</v>
      </c>
      <c r="C57" s="98" t="s">
        <v>1184</v>
      </c>
      <c r="D57" s="98" t="s">
        <v>1201</v>
      </c>
      <c r="E57" s="87" t="n">
        <f aca="false">SRC_PRC_035</f>
        <v>3</v>
      </c>
      <c r="F57" s="87" t="n">
        <f aca="false">SRC_PRC_036</f>
        <v>0.3</v>
      </c>
      <c r="G57" s="87" t="n">
        <f aca="false">SRC_PRC_037</f>
        <v>15</v>
      </c>
      <c r="H57" s="59" t="n">
        <v>0</v>
      </c>
      <c r="J57" s="98" t="s">
        <v>1179</v>
      </c>
      <c r="K57" s="129" t="s">
        <v>1202</v>
      </c>
      <c r="L57" s="129" t="s">
        <v>177</v>
      </c>
      <c r="M57" s="80" t="s">
        <v>1203</v>
      </c>
      <c r="N57" s="104" t="n">
        <f aca="false">IF($C57="中國",1,0)</f>
        <v>1</v>
      </c>
    </row>
    <row r="58" customFormat="false" ht="15" hidden="false" customHeight="false" outlineLevel="0" collapsed="false">
      <c r="A58" s="129" t="s">
        <v>1204</v>
      </c>
      <c r="B58" s="129" t="s">
        <v>1205</v>
      </c>
      <c r="C58" s="98" t="s">
        <v>1184</v>
      </c>
      <c r="D58" s="98" t="s">
        <v>602</v>
      </c>
      <c r="E58" s="87" t="n">
        <f aca="false">SRC_PRC_043</f>
        <v>0.3</v>
      </c>
      <c r="G58" s="87" t="n">
        <f aca="false">SRC_PRC_044</f>
        <v>1.2</v>
      </c>
      <c r="H58" s="59" t="n">
        <v>0</v>
      </c>
      <c r="J58" s="98" t="s">
        <v>1179</v>
      </c>
      <c r="K58" s="129" t="s">
        <v>1176</v>
      </c>
      <c r="L58" s="129" t="s">
        <v>177</v>
      </c>
      <c r="M58" s="80" t="s">
        <v>1206</v>
      </c>
      <c r="N58" s="104" t="n">
        <f aca="false">IF($C58="中國",1,0)</f>
        <v>1</v>
      </c>
    </row>
    <row r="59" customFormat="false" ht="15" hidden="false" customHeight="false" outlineLevel="0" collapsed="false">
      <c r="A59" s="66" t="s">
        <v>1207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49" t="s">
        <v>1208</v>
      </c>
    </row>
    <row r="2" customFormat="false" ht="15" hidden="false" customHeight="false" outlineLevel="0" collapsed="false">
      <c r="A2" s="66" t="s">
        <v>1209</v>
      </c>
    </row>
    <row r="4" customFormat="false" ht="15" hidden="false" customHeight="false" outlineLevel="0" collapsed="false">
      <c r="A4" s="68" t="s">
        <v>1210</v>
      </c>
      <c r="B4" s="62"/>
      <c r="C4" s="62"/>
      <c r="D4" s="62"/>
      <c r="E4" s="62"/>
      <c r="F4" s="62"/>
      <c r="G4" s="62"/>
    </row>
    <row r="5" customFormat="false" ht="15" hidden="false" customHeight="false" outlineLevel="0" collapsed="false">
      <c r="A5" s="51" t="s">
        <v>328</v>
      </c>
      <c r="B5" s="51" t="s">
        <v>55</v>
      </c>
      <c r="C5" s="52" t="s">
        <v>219</v>
      </c>
      <c r="D5" s="52" t="s">
        <v>220</v>
      </c>
      <c r="E5" s="52" t="s">
        <v>221</v>
      </c>
      <c r="G5" s="51" t="s">
        <v>296</v>
      </c>
    </row>
    <row r="6" customFormat="false" ht="15" hidden="false" customHeight="false" outlineLevel="0" collapsed="false">
      <c r="A6" s="5" t="s">
        <v>1211</v>
      </c>
      <c r="B6" s="54" t="s">
        <v>272</v>
      </c>
      <c r="C6" s="143" t="n">
        <f aca="false">Training!L109</f>
        <v>4.80829842560294E+024</v>
      </c>
      <c r="D6" s="143" t="n">
        <f aca="false">Training!M109</f>
        <v>1.6345355852516E+025</v>
      </c>
      <c r="E6" s="143" t="n">
        <f aca="false">Training!N109</f>
        <v>1.0080164477952E+026</v>
      </c>
      <c r="G6" s="80" t="s">
        <v>1212</v>
      </c>
    </row>
    <row r="7" customFormat="false" ht="15" hidden="false" customHeight="false" outlineLevel="0" collapsed="false">
      <c r="A7" s="6" t="s">
        <v>1213</v>
      </c>
      <c r="B7" s="53"/>
      <c r="C7" s="69" t="n">
        <f aca="false">LN(C6)/LN(10)</f>
        <v>24.6819914141882</v>
      </c>
      <c r="D7" s="69" t="n">
        <f aca="false">LN(D6)/LN(10)</f>
        <v>25.2133943799853</v>
      </c>
      <c r="E7" s="69" t="n">
        <f aca="false">LN(E6)/LN(10)</f>
        <v>26.0034676185464</v>
      </c>
      <c r="G7" s="86"/>
    </row>
    <row r="8" customFormat="false" ht="15" hidden="false" customHeight="false" outlineLevel="0" collapsed="false">
      <c r="A8" s="5" t="s">
        <v>1214</v>
      </c>
      <c r="B8" s="53" t="s">
        <v>1215</v>
      </c>
      <c r="C8" s="82" t="n">
        <f aca="false">Price_Frontier!C23</f>
        <v>37</v>
      </c>
      <c r="D8" s="82" t="n">
        <f aca="false">Price_Frontier!D23</f>
        <v>48</v>
      </c>
      <c r="E8" s="82" t="n">
        <f aca="false">Price_Frontier!E23</f>
        <v>53</v>
      </c>
      <c r="G8" s="80" t="s">
        <v>1216</v>
      </c>
    </row>
    <row r="9" customFormat="false" ht="15" hidden="false" customHeight="false" outlineLevel="0" collapsed="false">
      <c r="A9" s="5" t="s">
        <v>1217</v>
      </c>
      <c r="B9" s="53" t="s">
        <v>1218</v>
      </c>
      <c r="C9" s="79" t="str">
        <f aca="false">"—"</f>
        <v>—</v>
      </c>
      <c r="D9" s="79" t="n">
        <f aca="false">(D8-C8)/(D7-C7)</f>
        <v>20.6999221080754</v>
      </c>
      <c r="E9" s="79" t="n">
        <f aca="false">(E8-D8)/(E7-D7)</f>
        <v>6.328527225028</v>
      </c>
      <c r="G9" s="80" t="s">
        <v>1219</v>
      </c>
    </row>
    <row r="10" customFormat="false" ht="15" hidden="false" customHeight="false" outlineLevel="0" collapsed="false">
      <c r="A10" s="5" t="s">
        <v>1220</v>
      </c>
      <c r="B10" s="54" t="s">
        <v>75</v>
      </c>
      <c r="C10" s="79" t="str">
        <f aca="false">"—"</f>
        <v>—</v>
      </c>
      <c r="D10" s="101" t="n">
        <f aca="false">Price_Frontier!D24/Price_Frontier!C24</f>
        <v>20</v>
      </c>
      <c r="E10" s="101" t="n">
        <f aca="false">Price_Frontier!E24/Price_Frontier!D24</f>
        <v>5</v>
      </c>
      <c r="G10" s="80" t="s">
        <v>1221</v>
      </c>
    </row>
    <row r="11" customFormat="false" ht="15" hidden="false" customHeight="false" outlineLevel="0" collapsed="false">
      <c r="A11" s="5" t="s">
        <v>1222</v>
      </c>
      <c r="B11" s="54" t="s">
        <v>75</v>
      </c>
      <c r="C11" s="79" t="str">
        <f aca="false">"—"</f>
        <v>—</v>
      </c>
      <c r="D11" s="79" t="n">
        <f aca="false">INDEX(IF_CostDec_Sol,1,11)/INDEX(IF_CostDec_Luna,1,11)</f>
        <v>3.17671716926718</v>
      </c>
      <c r="E11" s="79" t="n">
        <f aca="false">INDEX(IF_CostDec_Astra,1,11)/INDEX(IF_CostDec_Sol,1,11)</f>
        <v>5.17639214026871</v>
      </c>
      <c r="G11" s="86" t="s">
        <v>1223</v>
      </c>
    </row>
    <row r="13" customFormat="false" ht="15" hidden="false" customHeight="false" outlineLevel="0" collapsed="false">
      <c r="A13" s="68" t="s">
        <v>1224</v>
      </c>
      <c r="B13" s="62"/>
      <c r="C13" s="62"/>
      <c r="D13" s="62"/>
      <c r="E13" s="62"/>
      <c r="F13" s="62"/>
      <c r="G13" s="62"/>
    </row>
    <row r="14" customFormat="false" ht="15" hidden="false" customHeight="false" outlineLevel="0" collapsed="false">
      <c r="A14" s="53" t="s">
        <v>1225</v>
      </c>
      <c r="B14" s="54" t="s">
        <v>75</v>
      </c>
      <c r="C14" s="144" t="n">
        <f aca="false">Train_In!$C$47/E6</f>
        <v>4.96023652286263</v>
      </c>
      <c r="G14" s="86" t="s">
        <v>1226</v>
      </c>
    </row>
    <row r="16" customFormat="false" ht="15" hidden="false" customHeight="false" outlineLevel="0" collapsed="false">
      <c r="A16" s="68" t="s">
        <v>1227</v>
      </c>
      <c r="B16" s="62"/>
      <c r="C16" s="62"/>
      <c r="D16" s="62"/>
      <c r="E16" s="62"/>
      <c r="F16" s="62"/>
      <c r="G16" s="62"/>
    </row>
    <row r="17" customFormat="false" ht="15" hidden="false" customHeight="false" outlineLevel="0" collapsed="false">
      <c r="A17" s="50" t="s">
        <v>1228</v>
      </c>
    </row>
    <row r="18" customFormat="false" ht="15" hidden="false" customHeight="false" outlineLevel="0" collapsed="false">
      <c r="A18" s="50" t="s">
        <v>1229</v>
      </c>
    </row>
    <row r="19" customFormat="false" ht="15" hidden="false" customHeight="false" outlineLevel="0" collapsed="false">
      <c r="A19" s="50" t="s">
        <v>1230</v>
      </c>
    </row>
    <row r="20" customFormat="false" ht="15" hidden="false" customHeight="false" outlineLevel="0" collapsed="false">
      <c r="A20" s="50" t="s">
        <v>1231</v>
      </c>
    </row>
    <row r="21" customFormat="false" ht="15" hidden="false" customHeight="false" outlineLevel="0" collapsed="false">
      <c r="A21" s="50" t="s">
        <v>1232</v>
      </c>
    </row>
    <row r="22" customFormat="false" ht="15" hidden="false" customHeight="false" outlineLevel="0" collapsed="false">
      <c r="A22" s="50" t="s">
        <v>1233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</cols>
  <sheetData>
    <row r="1" customFormat="false" ht="17.15" hidden="false" customHeight="false" outlineLevel="0" collapsed="false">
      <c r="A1" s="49" t="s">
        <v>1234</v>
      </c>
    </row>
    <row r="2" customFormat="false" ht="15" hidden="false" customHeight="false" outlineLevel="0" collapsed="false">
      <c r="A2" s="66" t="s">
        <v>1235</v>
      </c>
    </row>
    <row r="4" customFormat="false" ht="15" hidden="false" customHeight="false" outlineLevel="0" collapsed="false">
      <c r="A4" s="68" t="s">
        <v>1236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</row>
    <row r="5" customFormat="false" ht="30" hidden="false" customHeight="true" outlineLevel="0" collapsed="false">
      <c r="A5" s="76" t="s">
        <v>1148</v>
      </c>
      <c r="B5" s="76" t="s">
        <v>1150</v>
      </c>
      <c r="C5" s="76" t="s">
        <v>1156</v>
      </c>
      <c r="D5" s="76" t="s">
        <v>1237</v>
      </c>
      <c r="E5" s="76" t="s">
        <v>1092</v>
      </c>
      <c r="F5" s="76" t="s">
        <v>1094</v>
      </c>
      <c r="G5" s="76" t="s">
        <v>1238</v>
      </c>
      <c r="H5" s="76" t="s">
        <v>1239</v>
      </c>
      <c r="I5" s="76" t="s">
        <v>1240</v>
      </c>
      <c r="J5" s="76" t="s">
        <v>1241</v>
      </c>
      <c r="K5" s="76" t="s">
        <v>1242</v>
      </c>
      <c r="L5" s="76" t="s">
        <v>1243</v>
      </c>
      <c r="M5" s="76" t="s">
        <v>1244</v>
      </c>
      <c r="N5" s="76" t="s">
        <v>1245</v>
      </c>
      <c r="O5" s="76" t="s">
        <v>1246</v>
      </c>
      <c r="P5" s="76" t="s">
        <v>1247</v>
      </c>
    </row>
    <row r="6" customFormat="false" ht="15" hidden="false" customHeight="false" outlineLevel="0" collapsed="false">
      <c r="A6" s="85" t="str">
        <f aca="false">Cap_In!A46</f>
        <v>GPT-6 Luna</v>
      </c>
      <c r="B6" s="85" t="str">
        <f aca="false">Cap_In!C46</f>
        <v>美國</v>
      </c>
      <c r="C6" s="82" t="n">
        <f aca="false">IF(ISNUMBER(Cap_In!I46),Cap_In!I46,"—")</f>
        <v>37</v>
      </c>
      <c r="D6" s="110" t="n">
        <f aca="false">IF(Cap_In!H46=1,IF(B4_PeakMode=1,1,(B4_PeakHrs+(168-B4_PeakHrs)*B4_OffPeak)/168),1)</f>
        <v>1</v>
      </c>
      <c r="E6" s="87" t="n">
        <f aca="false">Cap_In!E46*D6</f>
        <v>0.1</v>
      </c>
      <c r="F6" s="87" t="n">
        <f aca="false">IF(ISNUMBER(Cap_In!F46),Cap_In!F46,Cap_In!E46)*D6</f>
        <v>0.01</v>
      </c>
      <c r="G6" s="87" t="n">
        <f aca="false">Cap_In!G46*D6</f>
        <v>0.5</v>
      </c>
      <c r="H6" s="108" t="n">
        <f aca="false">(INDEX(B4_ISL,1,1)*((1-B4_CacheHit)*E6+B4_CacheHit*F6)+INDEX(B4_OSL,1,1)*G6)/(INDEX(B4_ISL,1,1)+INDEX(B4_OSL,1,1))</f>
        <v>0.100444444444444</v>
      </c>
      <c r="I6" s="108" t="n">
        <f aca="false">(INDEX(B4_ISL,1,2)*((1-B4_CacheHit)*E6+B4_CacheHit*F6)+INDEX(B4_OSL,1,2)*G6)/(INDEX(B4_ISL,1,2)+INDEX(B4_OSL,1,2))</f>
        <v>0.100444444444444</v>
      </c>
      <c r="J6" s="108" t="n">
        <f aca="false">(INDEX(B4_ISL,1,3)*((1-B4_CacheHit)*E6+B4_CacheHit*F6)+INDEX(B4_OSL,1,3)*G6)/(INDEX(B4_ISL,1,3)+INDEX(B4_OSL,1,3))</f>
        <v>0.100444444444444</v>
      </c>
      <c r="K6" s="108" t="n">
        <f aca="false">IF(AND(ISNUMBER(C6),ISNUMBER($C$6)),IF(C6&gt;=$C$6,H6,1000000000),1000000000)</f>
        <v>0.100444444444444</v>
      </c>
      <c r="L6" s="108" t="n">
        <f aca="false">IF(AND(ISNUMBER(C6),ISNUMBER($C$7)),IF(C6&gt;=$C$7,I6,1000000000),1000000000)</f>
        <v>1000000000</v>
      </c>
      <c r="M6" s="108" t="n">
        <f aca="false">IF(AND(ISNUMBER(C6),ISNUMBER($C$8)),IF(C6&gt;=$C$8,J6,1000000000),1000000000)</f>
        <v>1000000000</v>
      </c>
      <c r="N6" s="87" t="n">
        <f aca="false">IF(Cap_In!N46=1,K6,1000000000)</f>
        <v>1000000000</v>
      </c>
      <c r="O6" s="87" t="n">
        <f aca="false">IF(Cap_In!N46=1,L6,1000000000)</f>
        <v>1000000000</v>
      </c>
      <c r="P6" s="87" t="n">
        <f aca="false">IF(Cap_In!N46=1,M6,1000000000)</f>
        <v>1000000000</v>
      </c>
    </row>
    <row r="7" customFormat="false" ht="15" hidden="false" customHeight="false" outlineLevel="0" collapsed="false">
      <c r="A7" s="85" t="str">
        <f aca="false">Cap_In!A47</f>
        <v>GPT-6 Sol</v>
      </c>
      <c r="B7" s="85" t="str">
        <f aca="false">Cap_In!C47</f>
        <v>美國</v>
      </c>
      <c r="C7" s="82" t="n">
        <f aca="false">IF(ISNUMBER(Cap_In!I47),Cap_In!I47,"—")</f>
        <v>48</v>
      </c>
      <c r="D7" s="110" t="n">
        <f aca="false">IF(Cap_In!H47=1,IF(B4_PeakMode=1,1,(B4_PeakHrs+(168-B4_PeakHrs)*B4_OffPeak)/168),1)</f>
        <v>1</v>
      </c>
      <c r="E7" s="87" t="n">
        <f aca="false">Cap_In!E47*D7</f>
        <v>2</v>
      </c>
      <c r="F7" s="87" t="n">
        <f aca="false">IF(ISNUMBER(Cap_In!F47),Cap_In!F47,Cap_In!E47)*D7</f>
        <v>0.2</v>
      </c>
      <c r="G7" s="87" t="n">
        <f aca="false">Cap_In!G47*D7</f>
        <v>10</v>
      </c>
      <c r="H7" s="108" t="n">
        <f aca="false">(INDEX(B4_ISL,1,1)*((1-B4_CacheHit)*E7+B4_CacheHit*F7)+INDEX(B4_OSL,1,1)*G7)/(INDEX(B4_ISL,1,1)+INDEX(B4_OSL,1,1))</f>
        <v>2.00888888888889</v>
      </c>
      <c r="I7" s="108" t="n">
        <f aca="false">(INDEX(B4_ISL,1,2)*((1-B4_CacheHit)*E7+B4_CacheHit*F7)+INDEX(B4_OSL,1,2)*G7)/(INDEX(B4_ISL,1,2)+INDEX(B4_OSL,1,2))</f>
        <v>2.00888888888889</v>
      </c>
      <c r="J7" s="108" t="n">
        <f aca="false">(INDEX(B4_ISL,1,3)*((1-B4_CacheHit)*E7+B4_CacheHit*F7)+INDEX(B4_OSL,1,3)*G7)/(INDEX(B4_ISL,1,3)+INDEX(B4_OSL,1,3))</f>
        <v>2.00888888888889</v>
      </c>
      <c r="K7" s="108" t="n">
        <f aca="false">IF(AND(ISNUMBER(C7),ISNUMBER($C$6)),IF(C7&gt;=$C$6,H7,1000000000),1000000000)</f>
        <v>2.00888888888889</v>
      </c>
      <c r="L7" s="108" t="n">
        <f aca="false">IF(AND(ISNUMBER(C7),ISNUMBER($C$7)),IF(C7&gt;=$C$7,I7,1000000000),1000000000)</f>
        <v>2.00888888888889</v>
      </c>
      <c r="M7" s="108" t="n">
        <f aca="false">IF(AND(ISNUMBER(C7),ISNUMBER($C$8)),IF(C7&gt;=$C$8,J7,1000000000),1000000000)</f>
        <v>1000000000</v>
      </c>
      <c r="N7" s="87" t="n">
        <f aca="false">IF(Cap_In!N47=1,K7,1000000000)</f>
        <v>1000000000</v>
      </c>
      <c r="O7" s="87" t="n">
        <f aca="false">IF(Cap_In!N47=1,L7,1000000000)</f>
        <v>1000000000</v>
      </c>
      <c r="P7" s="87" t="n">
        <f aca="false">IF(Cap_In!N47=1,M7,1000000000)</f>
        <v>1000000000</v>
      </c>
    </row>
    <row r="8" customFormat="false" ht="15" hidden="false" customHeight="false" outlineLevel="0" collapsed="false">
      <c r="A8" s="85" t="str">
        <f aca="false">Cap_In!A48</f>
        <v>GPT-6 Astra</v>
      </c>
      <c r="B8" s="85" t="str">
        <f aca="false">Cap_In!C48</f>
        <v>美國</v>
      </c>
      <c r="C8" s="82" t="n">
        <f aca="false">IF(ISNUMBER(Cap_In!I48),Cap_In!I48,"—")</f>
        <v>53</v>
      </c>
      <c r="D8" s="110" t="n">
        <f aca="false">IF(Cap_In!H48=1,IF(B4_PeakMode=1,1,(B4_PeakHrs+(168-B4_PeakHrs)*B4_OffPeak)/168),1)</f>
        <v>1</v>
      </c>
      <c r="E8" s="87" t="n">
        <f aca="false">Cap_In!E48*D8</f>
        <v>10</v>
      </c>
      <c r="F8" s="87" t="n">
        <f aca="false">IF(ISNUMBER(Cap_In!F48),Cap_In!F48,Cap_In!E48)*D8</f>
        <v>1</v>
      </c>
      <c r="G8" s="87" t="n">
        <f aca="false">Cap_In!G48*D8</f>
        <v>50</v>
      </c>
      <c r="H8" s="108" t="n">
        <f aca="false">(INDEX(B4_ISL,1,1)*((1-B4_CacheHit)*E8+B4_CacheHit*F8)+INDEX(B4_OSL,1,1)*G8)/(INDEX(B4_ISL,1,1)+INDEX(B4_OSL,1,1))</f>
        <v>10.0444444444444</v>
      </c>
      <c r="I8" s="108" t="n">
        <f aca="false">(INDEX(B4_ISL,1,2)*((1-B4_CacheHit)*E8+B4_CacheHit*F8)+INDEX(B4_OSL,1,2)*G8)/(INDEX(B4_ISL,1,2)+INDEX(B4_OSL,1,2))</f>
        <v>10.0444444444444</v>
      </c>
      <c r="J8" s="108" t="n">
        <f aca="false">(INDEX(B4_ISL,1,3)*((1-B4_CacheHit)*E8+B4_CacheHit*F8)+INDEX(B4_OSL,1,3)*G8)/(INDEX(B4_ISL,1,3)+INDEX(B4_OSL,1,3))</f>
        <v>10.0444444444444</v>
      </c>
      <c r="K8" s="108" t="n">
        <f aca="false">IF(AND(ISNUMBER(C8),ISNUMBER($C$6)),IF(C8&gt;=$C$6,H8,1000000000),1000000000)</f>
        <v>10.0444444444444</v>
      </c>
      <c r="L8" s="108" t="n">
        <f aca="false">IF(AND(ISNUMBER(C8),ISNUMBER($C$7)),IF(C8&gt;=$C$7,I8,1000000000),1000000000)</f>
        <v>10.0444444444444</v>
      </c>
      <c r="M8" s="108" t="n">
        <f aca="false">IF(AND(ISNUMBER(C8),ISNUMBER($C$8)),IF(C8&gt;=$C$8,J8,1000000000),1000000000)</f>
        <v>10.0444444444444</v>
      </c>
      <c r="N8" s="87" t="n">
        <f aca="false">IF(Cap_In!N48=1,K8,1000000000)</f>
        <v>1000000000</v>
      </c>
      <c r="O8" s="87" t="n">
        <f aca="false">IF(Cap_In!N48=1,L8,1000000000)</f>
        <v>1000000000</v>
      </c>
      <c r="P8" s="87" t="n">
        <f aca="false">IF(Cap_In!N48=1,M8,1000000000)</f>
        <v>1000000000</v>
      </c>
    </row>
    <row r="9" customFormat="false" ht="15" hidden="false" customHeight="false" outlineLevel="0" collapsed="false">
      <c r="A9" s="85" t="str">
        <f aca="false">Cap_In!A49</f>
        <v>Claude Fable 5.1</v>
      </c>
      <c r="B9" s="85" t="str">
        <f aca="false">Cap_In!C49</f>
        <v>美國</v>
      </c>
      <c r="C9" s="82" t="n">
        <f aca="false">IF(ISNUMBER(Cap_In!I49),Cap_In!I49,"—")</f>
        <v>53</v>
      </c>
      <c r="D9" s="110" t="n">
        <f aca="false">IF(Cap_In!H49=1,IF(B4_PeakMode=1,1,(B4_PeakHrs+(168-B4_PeakHrs)*B4_OffPeak)/168),1)</f>
        <v>1</v>
      </c>
      <c r="E9" s="87" t="n">
        <f aca="false">Cap_In!E49*D9</f>
        <v>10</v>
      </c>
      <c r="F9" s="87" t="n">
        <f aca="false">IF(ISNUMBER(Cap_In!F49),Cap_In!F49,Cap_In!E49)*D9</f>
        <v>0.25</v>
      </c>
      <c r="G9" s="87" t="n">
        <f aca="false">Cap_In!G49*D9</f>
        <v>50</v>
      </c>
      <c r="H9" s="108" t="n">
        <f aca="false">(INDEX(B4_ISL,1,1)*((1-B4_CacheHit)*E9+B4_CacheHit*F9)+INDEX(B4_OSL,1,1)*G9)/(INDEX(B4_ISL,1,1)+INDEX(B4_OSL,1,1))</f>
        <v>9.67777777777778</v>
      </c>
      <c r="I9" s="108" t="n">
        <f aca="false">(INDEX(B4_ISL,1,2)*((1-B4_CacheHit)*E9+B4_CacheHit*F9)+INDEX(B4_OSL,1,2)*G9)/(INDEX(B4_ISL,1,2)+INDEX(B4_OSL,1,2))</f>
        <v>9.67777777777778</v>
      </c>
      <c r="J9" s="108" t="n">
        <f aca="false">(INDEX(B4_ISL,1,3)*((1-B4_CacheHit)*E9+B4_CacheHit*F9)+INDEX(B4_OSL,1,3)*G9)/(INDEX(B4_ISL,1,3)+INDEX(B4_OSL,1,3))</f>
        <v>9.67777777777778</v>
      </c>
      <c r="K9" s="108" t="n">
        <f aca="false">IF(AND(ISNUMBER(C9),ISNUMBER($C$6)),IF(C9&gt;=$C$6,H9,1000000000),1000000000)</f>
        <v>9.67777777777778</v>
      </c>
      <c r="L9" s="108" t="n">
        <f aca="false">IF(AND(ISNUMBER(C9),ISNUMBER($C$7)),IF(C9&gt;=$C$7,I9,1000000000),1000000000)</f>
        <v>9.67777777777778</v>
      </c>
      <c r="M9" s="108" t="n">
        <f aca="false">IF(AND(ISNUMBER(C9),ISNUMBER($C$8)),IF(C9&gt;=$C$8,J9,1000000000),1000000000)</f>
        <v>9.67777777777778</v>
      </c>
      <c r="N9" s="87" t="n">
        <f aca="false">IF(Cap_In!N49=1,K9,1000000000)</f>
        <v>1000000000</v>
      </c>
      <c r="O9" s="87" t="n">
        <f aca="false">IF(Cap_In!N49=1,L9,1000000000)</f>
        <v>1000000000</v>
      </c>
      <c r="P9" s="87" t="n">
        <f aca="false">IF(Cap_In!N49=1,M9,1000000000)</f>
        <v>1000000000</v>
      </c>
    </row>
    <row r="10" customFormat="false" ht="15" hidden="false" customHeight="false" outlineLevel="0" collapsed="false">
      <c r="A10" s="85" t="str">
        <f aca="false">Cap_In!A50</f>
        <v>Claude Opus 5</v>
      </c>
      <c r="B10" s="85" t="str">
        <f aca="false">Cap_In!C50</f>
        <v>美國</v>
      </c>
      <c r="C10" s="82" t="n">
        <f aca="false">IF(ISNUMBER(Cap_In!I50),Cap_In!I50,"—")</f>
        <v>51</v>
      </c>
      <c r="D10" s="110" t="n">
        <f aca="false">IF(Cap_In!H50=1,IF(B4_PeakMode=1,1,(B4_PeakHrs+(168-B4_PeakHrs)*B4_OffPeak)/168),1)</f>
        <v>1</v>
      </c>
      <c r="E10" s="87" t="n">
        <f aca="false">Cap_In!E50*D10</f>
        <v>5</v>
      </c>
      <c r="F10" s="87" t="n">
        <f aca="false">IF(ISNUMBER(Cap_In!F50),Cap_In!F50,Cap_In!E50)*D10</f>
        <v>0.5</v>
      </c>
      <c r="G10" s="87" t="n">
        <f aca="false">Cap_In!G50*D10</f>
        <v>25</v>
      </c>
      <c r="H10" s="108" t="n">
        <f aca="false">(INDEX(B4_ISL,1,1)*((1-B4_CacheHit)*E10+B4_CacheHit*F10)+INDEX(B4_OSL,1,1)*G10)/(INDEX(B4_ISL,1,1)+INDEX(B4_OSL,1,1))</f>
        <v>5.02222222222222</v>
      </c>
      <c r="I10" s="108" t="n">
        <f aca="false">(INDEX(B4_ISL,1,2)*((1-B4_CacheHit)*E10+B4_CacheHit*F10)+INDEX(B4_OSL,1,2)*G10)/(INDEX(B4_ISL,1,2)+INDEX(B4_OSL,1,2))</f>
        <v>5.02222222222222</v>
      </c>
      <c r="J10" s="108" t="n">
        <f aca="false">(INDEX(B4_ISL,1,3)*((1-B4_CacheHit)*E10+B4_CacheHit*F10)+INDEX(B4_OSL,1,3)*G10)/(INDEX(B4_ISL,1,3)+INDEX(B4_OSL,1,3))</f>
        <v>5.02222222222222</v>
      </c>
      <c r="K10" s="108" t="n">
        <f aca="false">IF(AND(ISNUMBER(C10),ISNUMBER($C$6)),IF(C10&gt;=$C$6,H10,1000000000),1000000000)</f>
        <v>5.02222222222222</v>
      </c>
      <c r="L10" s="108" t="n">
        <f aca="false">IF(AND(ISNUMBER(C10),ISNUMBER($C$7)),IF(C10&gt;=$C$7,I10,1000000000),1000000000)</f>
        <v>5.02222222222222</v>
      </c>
      <c r="M10" s="108" t="n">
        <f aca="false">IF(AND(ISNUMBER(C10),ISNUMBER($C$8)),IF(C10&gt;=$C$8,J10,1000000000),1000000000)</f>
        <v>1000000000</v>
      </c>
      <c r="N10" s="87" t="n">
        <f aca="false">IF(Cap_In!N50=1,K10,1000000000)</f>
        <v>1000000000</v>
      </c>
      <c r="O10" s="87" t="n">
        <f aca="false">IF(Cap_In!N50=1,L10,1000000000)</f>
        <v>1000000000</v>
      </c>
      <c r="P10" s="87" t="n">
        <f aca="false">IF(Cap_In!N50=1,M10,1000000000)</f>
        <v>1000000000</v>
      </c>
    </row>
    <row r="11" customFormat="false" ht="15" hidden="false" customHeight="false" outlineLevel="0" collapsed="false">
      <c r="A11" s="85" t="str">
        <f aca="false">Cap_In!A51</f>
        <v>Claude Opus 5.5</v>
      </c>
      <c r="B11" s="85" t="str">
        <f aca="false">Cap_In!C51</f>
        <v>美國</v>
      </c>
      <c r="C11" s="82" t="str">
        <f aca="false">IF(ISNUMBER(Cap_In!I51),Cap_In!I51,"—")</f>
        <v>—</v>
      </c>
      <c r="D11" s="110" t="n">
        <f aca="false">IF(Cap_In!H51=1,IF(B4_PeakMode=1,1,(B4_PeakHrs+(168-B4_PeakHrs)*B4_OffPeak)/168),1)</f>
        <v>1</v>
      </c>
      <c r="E11" s="87" t="n">
        <f aca="false">Cap_In!E51*D11</f>
        <v>4</v>
      </c>
      <c r="F11" s="87" t="n">
        <f aca="false">IF(ISNUMBER(Cap_In!F51),Cap_In!F51,Cap_In!E51)*D11</f>
        <v>0.2</v>
      </c>
      <c r="G11" s="87" t="n">
        <f aca="false">Cap_In!G51*D11</f>
        <v>20</v>
      </c>
      <c r="H11" s="108" t="n">
        <f aca="false">(INDEX(B4_ISL,1,1)*((1-B4_CacheHit)*E11+B4_CacheHit*F11)+INDEX(B4_OSL,1,1)*G11)/(INDEX(B4_ISL,1,1)+INDEX(B4_OSL,1,1))</f>
        <v>3.92</v>
      </c>
      <c r="I11" s="108" t="n">
        <f aca="false">(INDEX(B4_ISL,1,2)*((1-B4_CacheHit)*E11+B4_CacheHit*F11)+INDEX(B4_OSL,1,2)*G11)/(INDEX(B4_ISL,1,2)+INDEX(B4_OSL,1,2))</f>
        <v>3.92</v>
      </c>
      <c r="J11" s="108" t="n">
        <f aca="false">(INDEX(B4_ISL,1,3)*((1-B4_CacheHit)*E11+B4_CacheHit*F11)+INDEX(B4_OSL,1,3)*G11)/(INDEX(B4_ISL,1,3)+INDEX(B4_OSL,1,3))</f>
        <v>3.92</v>
      </c>
      <c r="K11" s="108" t="n">
        <f aca="false">IF(AND(ISNUMBER(C11),ISNUMBER($C$6)),IF(C11&gt;=$C$6,H11,1000000000),1000000000)</f>
        <v>1000000000</v>
      </c>
      <c r="L11" s="108" t="n">
        <f aca="false">IF(AND(ISNUMBER(C11),ISNUMBER($C$7)),IF(C11&gt;=$C$7,I11,1000000000),1000000000)</f>
        <v>1000000000</v>
      </c>
      <c r="M11" s="108" t="n">
        <f aca="false">IF(AND(ISNUMBER(C11),ISNUMBER($C$8)),IF(C11&gt;=$C$8,J11,1000000000),1000000000)</f>
        <v>1000000000</v>
      </c>
      <c r="N11" s="87" t="n">
        <f aca="false">IF(Cap_In!N51=1,K11,1000000000)</f>
        <v>1000000000</v>
      </c>
      <c r="O11" s="87" t="n">
        <f aca="false">IF(Cap_In!N51=1,L11,1000000000)</f>
        <v>1000000000</v>
      </c>
      <c r="P11" s="87" t="n">
        <f aca="false">IF(Cap_In!N51=1,M11,1000000000)</f>
        <v>1000000000</v>
      </c>
    </row>
    <row r="12" customFormat="false" ht="15" hidden="false" customHeight="false" outlineLevel="0" collapsed="false">
      <c r="A12" s="85" t="str">
        <f aca="false">Cap_In!A52</f>
        <v>DeepSeek V4.1-Flash</v>
      </c>
      <c r="B12" s="85" t="str">
        <f aca="false">Cap_In!C52</f>
        <v>中國</v>
      </c>
      <c r="C12" s="82" t="n">
        <f aca="false">IF(ISNUMBER(Cap_In!I52),Cap_In!I52,"—")</f>
        <v>39</v>
      </c>
      <c r="D12" s="110" t="n">
        <f aca="false">IF(Cap_In!H52=1,IF(B4_PeakMode=1,1,(B4_PeakHrs+(168-B4_PeakHrs)*B4_OffPeak)/168),1)</f>
        <v>0.604166666666667</v>
      </c>
      <c r="E12" s="87" t="n">
        <f aca="false">Cap_In!E52*D12</f>
        <v>0.18125</v>
      </c>
      <c r="F12" s="87" t="n">
        <f aca="false">IF(ISNUMBER(Cap_In!F52),Cap_In!F52,Cap_In!E52)*D12</f>
        <v>0.003625</v>
      </c>
      <c r="G12" s="87" t="n">
        <f aca="false">Cap_In!G52*D12</f>
        <v>0.725</v>
      </c>
      <c r="H12" s="108" t="n">
        <f aca="false">(INDEX(B4_ISL,1,1)*((1-B4_CacheHit)*E12+B4_CacheHit*F12)+INDEX(B4_OSL,1,1)*G12)/(INDEX(B4_ISL,1,1)+INDEX(B4_OSL,1,1))</f>
        <v>0.154827777777778</v>
      </c>
      <c r="I12" s="108" t="n">
        <f aca="false">(INDEX(B4_ISL,1,2)*((1-B4_CacheHit)*E12+B4_CacheHit*F12)+INDEX(B4_OSL,1,2)*G12)/(INDEX(B4_ISL,1,2)+INDEX(B4_OSL,1,2))</f>
        <v>0.154827777777778</v>
      </c>
      <c r="J12" s="108" t="n">
        <f aca="false">(INDEX(B4_ISL,1,3)*((1-B4_CacheHit)*E12+B4_CacheHit*F12)+INDEX(B4_OSL,1,3)*G12)/(INDEX(B4_ISL,1,3)+INDEX(B4_OSL,1,3))</f>
        <v>0.154827777777778</v>
      </c>
      <c r="K12" s="108" t="n">
        <f aca="false">IF(AND(ISNUMBER(C12),ISNUMBER($C$6)),IF(C12&gt;=$C$6,H12,1000000000),1000000000)</f>
        <v>0.154827777777778</v>
      </c>
      <c r="L12" s="108" t="n">
        <f aca="false">IF(AND(ISNUMBER(C12),ISNUMBER($C$7)),IF(C12&gt;=$C$7,I12,1000000000),1000000000)</f>
        <v>1000000000</v>
      </c>
      <c r="M12" s="108" t="n">
        <f aca="false">IF(AND(ISNUMBER(C12),ISNUMBER($C$8)),IF(C12&gt;=$C$8,J12,1000000000),1000000000)</f>
        <v>1000000000</v>
      </c>
      <c r="N12" s="87" t="n">
        <f aca="false">IF(Cap_In!N52=1,K12,1000000000)</f>
        <v>0.154827777777778</v>
      </c>
      <c r="O12" s="87" t="n">
        <f aca="false">IF(Cap_In!N52=1,L12,1000000000)</f>
        <v>1000000000</v>
      </c>
      <c r="P12" s="87" t="n">
        <f aca="false">IF(Cap_In!N52=1,M12,1000000000)</f>
        <v>1000000000</v>
      </c>
    </row>
    <row r="13" customFormat="false" ht="15" hidden="false" customHeight="false" outlineLevel="0" collapsed="false">
      <c r="A13" s="85" t="str">
        <f aca="false">Cap_In!A53</f>
        <v>DeepSeek V4-Pro-0813</v>
      </c>
      <c r="B13" s="85" t="str">
        <f aca="false">Cap_In!C53</f>
        <v>中國</v>
      </c>
      <c r="C13" s="82" t="n">
        <f aca="false">IF(ISNUMBER(Cap_In!I53),Cap_In!I53,"—")</f>
        <v>36</v>
      </c>
      <c r="D13" s="110" t="n">
        <f aca="false">IF(Cap_In!H53=1,IF(B4_PeakMode=1,1,(B4_PeakHrs+(168-B4_PeakHrs)*B4_OffPeak)/168),1)</f>
        <v>0.604166666666667</v>
      </c>
      <c r="E13" s="87" t="n">
        <f aca="false">Cap_In!E53*D13</f>
        <v>0.7975</v>
      </c>
      <c r="F13" s="87" t="n">
        <f aca="false">IF(ISNUMBER(Cap_In!F53),Cap_In!F53,Cap_In!E53)*D13</f>
        <v>0.0265833333333333</v>
      </c>
      <c r="G13" s="87" t="n">
        <f aca="false">Cap_In!G53*D13</f>
        <v>2.3925</v>
      </c>
      <c r="H13" s="108" t="n">
        <f aca="false">(INDEX(B4_ISL,1,1)*((1-B4_CacheHit)*E13+B4_CacheHit*F13)+INDEX(B4_OSL,1,1)*G13)/(INDEX(B4_ISL,1,1)+INDEX(B4_OSL,1,1))</f>
        <v>0.59782962962963</v>
      </c>
      <c r="I13" s="108" t="n">
        <f aca="false">(INDEX(B4_ISL,1,2)*((1-B4_CacheHit)*E13+B4_CacheHit*F13)+INDEX(B4_OSL,1,2)*G13)/(INDEX(B4_ISL,1,2)+INDEX(B4_OSL,1,2))</f>
        <v>0.59782962962963</v>
      </c>
      <c r="J13" s="108" t="n">
        <f aca="false">(INDEX(B4_ISL,1,3)*((1-B4_CacheHit)*E13+B4_CacheHit*F13)+INDEX(B4_OSL,1,3)*G13)/(INDEX(B4_ISL,1,3)+INDEX(B4_OSL,1,3))</f>
        <v>0.59782962962963</v>
      </c>
      <c r="K13" s="108" t="n">
        <f aca="false">IF(AND(ISNUMBER(C13),ISNUMBER($C$6)),IF(C13&gt;=$C$6,H13,1000000000),1000000000)</f>
        <v>1000000000</v>
      </c>
      <c r="L13" s="108" t="n">
        <f aca="false">IF(AND(ISNUMBER(C13),ISNUMBER($C$7)),IF(C13&gt;=$C$7,I13,1000000000),1000000000)</f>
        <v>1000000000</v>
      </c>
      <c r="M13" s="108" t="n">
        <f aca="false">IF(AND(ISNUMBER(C13),ISNUMBER($C$8)),IF(C13&gt;=$C$8,J13,1000000000),1000000000)</f>
        <v>1000000000</v>
      </c>
      <c r="N13" s="87" t="n">
        <f aca="false">IF(Cap_In!N53=1,K13,1000000000)</f>
        <v>1000000000</v>
      </c>
      <c r="O13" s="87" t="n">
        <f aca="false">IF(Cap_In!N53=1,L13,1000000000)</f>
        <v>1000000000</v>
      </c>
      <c r="P13" s="87" t="n">
        <f aca="false">IF(Cap_In!N53=1,M13,1000000000)</f>
        <v>1000000000</v>
      </c>
    </row>
    <row r="14" customFormat="false" ht="15" hidden="false" customHeight="false" outlineLevel="0" collapsed="false">
      <c r="A14" s="85" t="str">
        <f aca="false">Cap_In!A54</f>
        <v>GLM-5.3</v>
      </c>
      <c r="B14" s="85" t="str">
        <f aca="false">Cap_In!C54</f>
        <v>中國</v>
      </c>
      <c r="C14" s="82" t="n">
        <f aca="false">IF(ISNUMBER(Cap_In!I54),Cap_In!I54,"—")</f>
        <v>45</v>
      </c>
      <c r="D14" s="110" t="n">
        <f aca="false">IF(Cap_In!H54=1,IF(B4_PeakMode=1,1,(B4_PeakHrs+(168-B4_PeakHrs)*B4_OffPeak)/168),1)</f>
        <v>1</v>
      </c>
      <c r="E14" s="87" t="n">
        <f aca="false">Cap_In!E54*D14</f>
        <v>1.4</v>
      </c>
      <c r="F14" s="87" t="n">
        <f aca="false">IF(ISNUMBER(Cap_In!F54),Cap_In!F54,Cap_In!E54)*D14</f>
        <v>0.26</v>
      </c>
      <c r="G14" s="87" t="n">
        <f aca="false">Cap_In!G54*D14</f>
        <v>4.4</v>
      </c>
      <c r="H14" s="108" t="n">
        <f aca="false">(INDEX(B4_ISL,1,1)*((1-B4_CacheHit)*E14+B4_CacheHit*F14)+INDEX(B4_OSL,1,1)*G14)/(INDEX(B4_ISL,1,1)+INDEX(B4_OSL,1,1))</f>
        <v>1.176</v>
      </c>
      <c r="I14" s="108" t="n">
        <f aca="false">(INDEX(B4_ISL,1,2)*((1-B4_CacheHit)*E14+B4_CacheHit*F14)+INDEX(B4_OSL,1,2)*G14)/(INDEX(B4_ISL,1,2)+INDEX(B4_OSL,1,2))</f>
        <v>1.176</v>
      </c>
      <c r="J14" s="108" t="n">
        <f aca="false">(INDEX(B4_ISL,1,3)*((1-B4_CacheHit)*E14+B4_CacheHit*F14)+INDEX(B4_OSL,1,3)*G14)/(INDEX(B4_ISL,1,3)+INDEX(B4_OSL,1,3))</f>
        <v>1.176</v>
      </c>
      <c r="K14" s="108" t="n">
        <f aca="false">IF(AND(ISNUMBER(C14),ISNUMBER($C$6)),IF(C14&gt;=$C$6,H14,1000000000),1000000000)</f>
        <v>1.176</v>
      </c>
      <c r="L14" s="108" t="n">
        <f aca="false">IF(AND(ISNUMBER(C14),ISNUMBER($C$7)),IF(C14&gt;=$C$7,I14,1000000000),1000000000)</f>
        <v>1000000000</v>
      </c>
      <c r="M14" s="108" t="n">
        <f aca="false">IF(AND(ISNUMBER(C14),ISNUMBER($C$8)),IF(C14&gt;=$C$8,J14,1000000000),1000000000)</f>
        <v>1000000000</v>
      </c>
      <c r="N14" s="87" t="n">
        <f aca="false">IF(Cap_In!N54=1,K14,1000000000)</f>
        <v>1.176</v>
      </c>
      <c r="O14" s="87" t="n">
        <f aca="false">IF(Cap_In!N54=1,L14,1000000000)</f>
        <v>1000000000</v>
      </c>
      <c r="P14" s="87" t="n">
        <f aca="false">IF(Cap_In!N54=1,M14,1000000000)</f>
        <v>1000000000</v>
      </c>
    </row>
    <row r="15" customFormat="false" ht="15" hidden="false" customHeight="false" outlineLevel="0" collapsed="false">
      <c r="A15" s="85" t="str">
        <f aca="false">Cap_In!A55</f>
        <v>GLM-5.3-Flash</v>
      </c>
      <c r="B15" s="85" t="str">
        <f aca="false">Cap_In!C55</f>
        <v>中國</v>
      </c>
      <c r="C15" s="82" t="n">
        <f aca="false">IF(ISNUMBER(Cap_In!I55),Cap_In!I55,"—")</f>
        <v>42</v>
      </c>
      <c r="D15" s="110" t="n">
        <f aca="false">IF(Cap_In!H55=1,IF(B4_PeakMode=1,1,(B4_PeakHrs+(168-B4_PeakHrs)*B4_OffPeak)/168),1)</f>
        <v>1</v>
      </c>
      <c r="E15" s="87" t="n">
        <f aca="false">Cap_In!E55*D15</f>
        <v>0.15</v>
      </c>
      <c r="F15" s="87" t="n">
        <f aca="false">IF(ISNUMBER(Cap_In!F55),Cap_In!F55,Cap_In!E55)*D15</f>
        <v>0.03</v>
      </c>
      <c r="G15" s="87" t="n">
        <f aca="false">Cap_In!G55*D15</f>
        <v>0.5</v>
      </c>
      <c r="H15" s="108" t="n">
        <f aca="false">(INDEX(B4_ISL,1,1)*((1-B4_CacheHit)*E15+B4_CacheHit*F15)+INDEX(B4_OSL,1,1)*G15)/(INDEX(B4_ISL,1,1)+INDEX(B4_OSL,1,1))</f>
        <v>0.130222222222222</v>
      </c>
      <c r="I15" s="108" t="n">
        <f aca="false">(INDEX(B4_ISL,1,2)*((1-B4_CacheHit)*E15+B4_CacheHit*F15)+INDEX(B4_OSL,1,2)*G15)/(INDEX(B4_ISL,1,2)+INDEX(B4_OSL,1,2))</f>
        <v>0.130222222222222</v>
      </c>
      <c r="J15" s="108" t="n">
        <f aca="false">(INDEX(B4_ISL,1,3)*((1-B4_CacheHit)*E15+B4_CacheHit*F15)+INDEX(B4_OSL,1,3)*G15)/(INDEX(B4_ISL,1,3)+INDEX(B4_OSL,1,3))</f>
        <v>0.130222222222222</v>
      </c>
      <c r="K15" s="108" t="n">
        <f aca="false">IF(AND(ISNUMBER(C15),ISNUMBER($C$6)),IF(C15&gt;=$C$6,H15,1000000000),1000000000)</f>
        <v>0.130222222222222</v>
      </c>
      <c r="L15" s="108" t="n">
        <f aca="false">IF(AND(ISNUMBER(C15),ISNUMBER($C$7)),IF(C15&gt;=$C$7,I15,1000000000),1000000000)</f>
        <v>1000000000</v>
      </c>
      <c r="M15" s="108" t="n">
        <f aca="false">IF(AND(ISNUMBER(C15),ISNUMBER($C$8)),IF(C15&gt;=$C$8,J15,1000000000),1000000000)</f>
        <v>1000000000</v>
      </c>
      <c r="N15" s="87" t="n">
        <f aca="false">IF(Cap_In!N55=1,K15,1000000000)</f>
        <v>0.130222222222222</v>
      </c>
      <c r="O15" s="87" t="n">
        <f aca="false">IF(Cap_In!N55=1,L15,1000000000)</f>
        <v>1000000000</v>
      </c>
      <c r="P15" s="87" t="n">
        <f aca="false">IF(Cap_In!N55=1,M15,1000000000)</f>
        <v>1000000000</v>
      </c>
    </row>
    <row r="16" customFormat="false" ht="15" hidden="false" customHeight="false" outlineLevel="0" collapsed="false">
      <c r="A16" s="85" t="str">
        <f aca="false">Cap_In!A56</f>
        <v>Qwen3.8-Max</v>
      </c>
      <c r="B16" s="85" t="str">
        <f aca="false">Cap_In!C56</f>
        <v>中國</v>
      </c>
      <c r="C16" s="82" t="n">
        <f aca="false">IF(ISNUMBER(Cap_In!I56),Cap_In!I56,"—")</f>
        <v>40</v>
      </c>
      <c r="D16" s="110" t="n">
        <f aca="false">IF(Cap_In!H56=1,IF(B4_PeakMode=1,1,(B4_PeakHrs+(168-B4_PeakHrs)*B4_OffPeak)/168),1)</f>
        <v>1</v>
      </c>
      <c r="E16" s="87" t="n">
        <f aca="false">Cap_In!E56*D16</f>
        <v>2</v>
      </c>
      <c r="F16" s="87" t="n">
        <f aca="false">IF(ISNUMBER(Cap_In!F56),Cap_In!F56,Cap_In!E56)*D16</f>
        <v>0.25</v>
      </c>
      <c r="G16" s="87" t="n">
        <f aca="false">Cap_In!G56*D16</f>
        <v>6</v>
      </c>
      <c r="H16" s="108" t="n">
        <f aca="false">(INDEX(B4_ISL,1,1)*((1-B4_CacheHit)*E16+B4_CacheHit*F16)+INDEX(B4_OSL,1,1)*G16)/(INDEX(B4_ISL,1,1)+INDEX(B4_OSL,1,1))</f>
        <v>1.58888888888889</v>
      </c>
      <c r="I16" s="108" t="n">
        <f aca="false">(INDEX(B4_ISL,1,2)*((1-B4_CacheHit)*E16+B4_CacheHit*F16)+INDEX(B4_OSL,1,2)*G16)/(INDEX(B4_ISL,1,2)+INDEX(B4_OSL,1,2))</f>
        <v>1.58888888888889</v>
      </c>
      <c r="J16" s="108" t="n">
        <f aca="false">(INDEX(B4_ISL,1,3)*((1-B4_CacheHit)*E16+B4_CacheHit*F16)+INDEX(B4_OSL,1,3)*G16)/(INDEX(B4_ISL,1,3)+INDEX(B4_OSL,1,3))</f>
        <v>1.58888888888889</v>
      </c>
      <c r="K16" s="108" t="n">
        <f aca="false">IF(AND(ISNUMBER(C16),ISNUMBER($C$6)),IF(C16&gt;=$C$6,H16,1000000000),1000000000)</f>
        <v>1.58888888888889</v>
      </c>
      <c r="L16" s="108" t="n">
        <f aca="false">IF(AND(ISNUMBER(C16),ISNUMBER($C$7)),IF(C16&gt;=$C$7,I16,1000000000),1000000000)</f>
        <v>1000000000</v>
      </c>
      <c r="M16" s="108" t="n">
        <f aca="false">IF(AND(ISNUMBER(C16),ISNUMBER($C$8)),IF(C16&gt;=$C$8,J16,1000000000),1000000000)</f>
        <v>1000000000</v>
      </c>
      <c r="N16" s="87" t="n">
        <f aca="false">IF(Cap_In!N56=1,K16,1000000000)</f>
        <v>1.58888888888889</v>
      </c>
      <c r="O16" s="87" t="n">
        <f aca="false">IF(Cap_In!N56=1,L16,1000000000)</f>
        <v>1000000000</v>
      </c>
      <c r="P16" s="87" t="n">
        <f aca="false">IF(Cap_In!N56=1,M16,1000000000)</f>
        <v>1000000000</v>
      </c>
    </row>
    <row r="17" customFormat="false" ht="15" hidden="false" customHeight="false" outlineLevel="0" collapsed="false">
      <c r="A17" s="85" t="str">
        <f aca="false">Cap_In!A57</f>
        <v>Kimi K3</v>
      </c>
      <c r="B17" s="85" t="str">
        <f aca="false">Cap_In!C57</f>
        <v>中國</v>
      </c>
      <c r="C17" s="82" t="str">
        <f aca="false">IF(ISNUMBER(Cap_In!I57),Cap_In!I57,"—")</f>
        <v>—</v>
      </c>
      <c r="D17" s="110" t="n">
        <f aca="false">IF(Cap_In!H57=1,IF(B4_PeakMode=1,1,(B4_PeakHrs+(168-B4_PeakHrs)*B4_OffPeak)/168),1)</f>
        <v>1</v>
      </c>
      <c r="E17" s="87" t="n">
        <f aca="false">Cap_In!E57*D17</f>
        <v>3</v>
      </c>
      <c r="F17" s="87" t="n">
        <f aca="false">IF(ISNUMBER(Cap_In!F57),Cap_In!F57,Cap_In!E57)*D17</f>
        <v>0.3</v>
      </c>
      <c r="G17" s="87" t="n">
        <f aca="false">Cap_In!G57*D17</f>
        <v>15</v>
      </c>
      <c r="H17" s="108" t="n">
        <f aca="false">(INDEX(B4_ISL,1,1)*((1-B4_CacheHit)*E17+B4_CacheHit*F17)+INDEX(B4_OSL,1,1)*G17)/(INDEX(B4_ISL,1,1)+INDEX(B4_OSL,1,1))</f>
        <v>3.01333333333333</v>
      </c>
      <c r="I17" s="108" t="n">
        <f aca="false">(INDEX(B4_ISL,1,2)*((1-B4_CacheHit)*E17+B4_CacheHit*F17)+INDEX(B4_OSL,1,2)*G17)/(INDEX(B4_ISL,1,2)+INDEX(B4_OSL,1,2))</f>
        <v>3.01333333333333</v>
      </c>
      <c r="J17" s="108" t="n">
        <f aca="false">(INDEX(B4_ISL,1,3)*((1-B4_CacheHit)*E17+B4_CacheHit*F17)+INDEX(B4_OSL,1,3)*G17)/(INDEX(B4_ISL,1,3)+INDEX(B4_OSL,1,3))</f>
        <v>3.01333333333333</v>
      </c>
      <c r="K17" s="108" t="n">
        <f aca="false">IF(AND(ISNUMBER(C17),ISNUMBER($C$6)),IF(C17&gt;=$C$6,H17,1000000000),1000000000)</f>
        <v>1000000000</v>
      </c>
      <c r="L17" s="108" t="n">
        <f aca="false">IF(AND(ISNUMBER(C17),ISNUMBER($C$7)),IF(C17&gt;=$C$7,I17,1000000000),1000000000)</f>
        <v>1000000000</v>
      </c>
      <c r="M17" s="108" t="n">
        <f aca="false">IF(AND(ISNUMBER(C17),ISNUMBER($C$8)),IF(C17&gt;=$C$8,J17,1000000000),1000000000)</f>
        <v>1000000000</v>
      </c>
      <c r="N17" s="87" t="n">
        <f aca="false">IF(Cap_In!N57=1,K17,1000000000)</f>
        <v>1000000000</v>
      </c>
      <c r="O17" s="87" t="n">
        <f aca="false">IF(Cap_In!N57=1,L17,1000000000)</f>
        <v>1000000000</v>
      </c>
      <c r="P17" s="87" t="n">
        <f aca="false">IF(Cap_In!N57=1,M17,1000000000)</f>
        <v>1000000000</v>
      </c>
    </row>
    <row r="18" customFormat="false" ht="15" hidden="false" customHeight="false" outlineLevel="0" collapsed="false">
      <c r="A18" s="85" t="str">
        <f aca="false">Cap_In!A58</f>
        <v>MiniMax M3</v>
      </c>
      <c r="B18" s="85" t="str">
        <f aca="false">Cap_In!C58</f>
        <v>中國</v>
      </c>
      <c r="C18" s="82" t="str">
        <f aca="false">IF(ISNUMBER(Cap_In!I58),Cap_In!I58,"—")</f>
        <v>—</v>
      </c>
      <c r="D18" s="110" t="n">
        <f aca="false">IF(Cap_In!H58=1,IF(B4_PeakMode=1,1,(B4_PeakHrs+(168-B4_PeakHrs)*B4_OffPeak)/168),1)</f>
        <v>1</v>
      </c>
      <c r="E18" s="87" t="n">
        <f aca="false">Cap_In!E58*D18</f>
        <v>0.3</v>
      </c>
      <c r="F18" s="87" t="n">
        <f aca="false">IF(ISNUMBER(Cap_In!F58),Cap_In!F58,Cap_In!E58)*D18</f>
        <v>0.3</v>
      </c>
      <c r="G18" s="87" t="n">
        <f aca="false">Cap_In!G58*D18</f>
        <v>1.2</v>
      </c>
      <c r="H18" s="108" t="n">
        <f aca="false">(INDEX(B4_ISL,1,1)*((1-B4_CacheHit)*E18+B4_CacheHit*F18)+INDEX(B4_OSL,1,1)*G18)/(INDEX(B4_ISL,1,1)+INDEX(B4_OSL,1,1))</f>
        <v>0.4</v>
      </c>
      <c r="I18" s="108" t="n">
        <f aca="false">(INDEX(B4_ISL,1,2)*((1-B4_CacheHit)*E18+B4_CacheHit*F18)+INDEX(B4_OSL,1,2)*G18)/(INDEX(B4_ISL,1,2)+INDEX(B4_OSL,1,2))</f>
        <v>0.4</v>
      </c>
      <c r="J18" s="108" t="n">
        <f aca="false">(INDEX(B4_ISL,1,3)*((1-B4_CacheHit)*E18+B4_CacheHit*F18)+INDEX(B4_OSL,1,3)*G18)/(INDEX(B4_ISL,1,3)+INDEX(B4_OSL,1,3))</f>
        <v>0.4</v>
      </c>
      <c r="K18" s="108" t="n">
        <f aca="false">IF(AND(ISNUMBER(C18),ISNUMBER($C$6)),IF(C18&gt;=$C$6,H18,1000000000),1000000000)</f>
        <v>1000000000</v>
      </c>
      <c r="L18" s="108" t="n">
        <f aca="false">IF(AND(ISNUMBER(C18),ISNUMBER($C$7)),IF(C18&gt;=$C$7,I18,1000000000),1000000000)</f>
        <v>1000000000</v>
      </c>
      <c r="M18" s="108" t="n">
        <f aca="false">IF(AND(ISNUMBER(C18),ISNUMBER($C$8)),IF(C18&gt;=$C$8,J18,1000000000),1000000000)</f>
        <v>1000000000</v>
      </c>
      <c r="N18" s="87" t="n">
        <f aca="false">IF(Cap_In!N58=1,K18,1000000000)</f>
        <v>1000000000</v>
      </c>
      <c r="O18" s="87" t="n">
        <f aca="false">IF(Cap_In!N58=1,L18,1000000000)</f>
        <v>1000000000</v>
      </c>
      <c r="P18" s="87" t="n">
        <f aca="false">IF(Cap_In!N58=1,M18,1000000000)</f>
        <v>1000000000</v>
      </c>
    </row>
    <row r="19" customFormat="false" ht="15" hidden="false" customHeight="false" outlineLevel="0" collapsed="false">
      <c r="A19" s="66" t="s">
        <v>1248</v>
      </c>
    </row>
    <row r="21" customFormat="false" ht="15" hidden="false" customHeight="false" outlineLevel="0" collapsed="false">
      <c r="A21" s="68" t="s">
        <v>1249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</row>
    <row r="22" customFormat="false" ht="15" hidden="false" customHeight="false" outlineLevel="0" collapsed="false">
      <c r="A22" s="51" t="s">
        <v>328</v>
      </c>
      <c r="B22" s="51" t="s">
        <v>55</v>
      </c>
      <c r="C22" s="52" t="s">
        <v>219</v>
      </c>
      <c r="D22" s="52" t="s">
        <v>220</v>
      </c>
      <c r="E22" s="52" t="s">
        <v>221</v>
      </c>
    </row>
    <row r="23" customFormat="false" ht="26.85" hidden="false" customHeight="false" outlineLevel="0" collapsed="false">
      <c r="A23" s="5" t="s">
        <v>1250</v>
      </c>
      <c r="B23" s="53" t="s">
        <v>1215</v>
      </c>
      <c r="C23" s="104" t="n">
        <f aca="false">$C$6</f>
        <v>37</v>
      </c>
      <c r="D23" s="104" t="n">
        <f aca="false">$C$7</f>
        <v>48</v>
      </c>
      <c r="E23" s="104" t="n">
        <f aca="false">$C$8</f>
        <v>53</v>
      </c>
    </row>
    <row r="24" customFormat="false" ht="15" hidden="false" customHeight="false" outlineLevel="0" collapsed="false">
      <c r="A24" s="6" t="s">
        <v>1251</v>
      </c>
      <c r="B24" s="54" t="s">
        <v>758</v>
      </c>
      <c r="C24" s="108" t="n">
        <f aca="false">INDEX($H$6:$H$18,1)</f>
        <v>0.100444444444444</v>
      </c>
      <c r="D24" s="108" t="n">
        <f aca="false">INDEX($I$6:$I$18,2)</f>
        <v>2.00888888888889</v>
      </c>
      <c r="E24" s="108" t="n">
        <f aca="false">INDEX($J$6:$J$18,3)</f>
        <v>10.0444444444444</v>
      </c>
    </row>
    <row r="25" customFormat="false" ht="15" hidden="false" customHeight="false" outlineLevel="0" collapsed="false">
      <c r="A25" s="5" t="s">
        <v>1252</v>
      </c>
      <c r="B25" s="54" t="s">
        <v>758</v>
      </c>
      <c r="C25" s="118" t="n">
        <f aca="false">MIN($K$6:$K$18)</f>
        <v>0.100444444444444</v>
      </c>
      <c r="D25" s="118" t="n">
        <f aca="false">MIN($L$6:$L$18)</f>
        <v>2.00888888888889</v>
      </c>
      <c r="E25" s="118" t="n">
        <f aca="false">MIN($M$6:$M$18)</f>
        <v>9.67777777777778</v>
      </c>
    </row>
    <row r="26" customFormat="false" ht="15" hidden="false" customHeight="false" outlineLevel="0" collapsed="false">
      <c r="A26" s="5" t="s">
        <v>1253</v>
      </c>
      <c r="B26" s="53"/>
      <c r="C26" s="108" t="str">
        <f aca="false">INDEX($A$6:$A$18,MATCH(C25,$K$6:$K$18,0))</f>
        <v>GPT-6 Luna</v>
      </c>
      <c r="D26" s="108" t="str">
        <f aca="false">INDEX($A$6:$A$18,MATCH(D25,$L$6:$L$18,0))</f>
        <v>GPT-6 Sol</v>
      </c>
      <c r="E26" s="108" t="str">
        <f aca="false">INDEX($A$6:$A$18,MATCH(E25,$M$6:$M$18,0))</f>
        <v>Claude Fable 5.1</v>
      </c>
    </row>
    <row r="27" customFormat="false" ht="15" hidden="false" customHeight="false" outlineLevel="0" collapsed="false">
      <c r="A27" s="5" t="s">
        <v>1254</v>
      </c>
      <c r="B27" s="54" t="s">
        <v>758</v>
      </c>
      <c r="C27" s="108" t="n">
        <f aca="false">INDEX($E$6:$E$18,MATCH(C25,$K$6:$K$18,0))</f>
        <v>0.1</v>
      </c>
      <c r="D27" s="108" t="n">
        <f aca="false">INDEX($E$6:$E$18,MATCH(D25,$L$6:$L$18,0))</f>
        <v>2</v>
      </c>
      <c r="E27" s="108" t="n">
        <f aca="false">INDEX($E$6:$E$18,MATCH(E25,$M$6:$M$18,0))</f>
        <v>10</v>
      </c>
    </row>
    <row r="28" customFormat="false" ht="15" hidden="false" customHeight="false" outlineLevel="0" collapsed="false">
      <c r="A28" s="5" t="s">
        <v>1255</v>
      </c>
      <c r="B28" s="54" t="s">
        <v>758</v>
      </c>
      <c r="C28" s="108" t="n">
        <f aca="false">INDEX($F$6:$F$18,MATCH(C25,$K$6:$K$18,0))</f>
        <v>0.01</v>
      </c>
      <c r="D28" s="108" t="n">
        <f aca="false">INDEX($F$6:$F$18,MATCH(D25,$L$6:$L$18,0))</f>
        <v>0.2</v>
      </c>
      <c r="E28" s="108" t="n">
        <f aca="false">INDEX($F$6:$F$18,MATCH(E25,$M$6:$M$18,0))</f>
        <v>0.25</v>
      </c>
    </row>
    <row r="29" customFormat="false" ht="15" hidden="false" customHeight="false" outlineLevel="0" collapsed="false">
      <c r="A29" s="5" t="s">
        <v>1256</v>
      </c>
      <c r="B29" s="54" t="s">
        <v>758</v>
      </c>
      <c r="C29" s="108" t="n">
        <f aca="false">INDEX($G$6:$G$18,MATCH(C25,$K$6:$K$18,0))</f>
        <v>0.5</v>
      </c>
      <c r="D29" s="108" t="n">
        <f aca="false">INDEX($G$6:$G$18,MATCH(D25,$L$6:$L$18,0))</f>
        <v>10</v>
      </c>
      <c r="E29" s="108" t="n">
        <f aca="false">INDEX($G$6:$G$18,MATCH(E25,$M$6:$M$18,0))</f>
        <v>50</v>
      </c>
    </row>
    <row r="30" customFormat="false" ht="26.85" hidden="false" customHeight="false" outlineLevel="0" collapsed="false">
      <c r="A30" s="6" t="s">
        <v>1257</v>
      </c>
      <c r="B30" s="54" t="s">
        <v>75</v>
      </c>
      <c r="C30" s="97" t="n">
        <f aca="false">C24/C25</f>
        <v>1</v>
      </c>
      <c r="D30" s="97" t="n">
        <f aca="false">D24/D25</f>
        <v>1</v>
      </c>
      <c r="E30" s="97" t="n">
        <f aca="false">E24/E25</f>
        <v>1.03788748564868</v>
      </c>
    </row>
    <row r="31" customFormat="false" ht="15" hidden="false" customHeight="false" outlineLevel="0" collapsed="false">
      <c r="A31" s="5" t="s">
        <v>1258</v>
      </c>
      <c r="B31" s="54" t="s">
        <v>758</v>
      </c>
      <c r="C31" s="108" t="n">
        <f aca="false">IF(MIN($N$6:$N$18)&gt;=1000000000,"無合格",MIN($N$6:$N$18))</f>
        <v>0.130222222222222</v>
      </c>
      <c r="D31" s="108" t="str">
        <f aca="false">IF(MIN($O$6:$O$18)&gt;=1000000000,"無合格",MIN($O$6:$O$18))</f>
        <v>無合格</v>
      </c>
      <c r="E31" s="108" t="str">
        <f aca="false">IF(MIN($P$6:$P$18)&gt;=1000000000,"無合格",MIN($P$6:$P$18))</f>
        <v>無合格</v>
      </c>
    </row>
    <row r="32" customFormat="false" ht="15" hidden="false" customHeight="false" outlineLevel="0" collapsed="false">
      <c r="A32" s="5" t="s">
        <v>1259</v>
      </c>
      <c r="B32" s="53"/>
      <c r="C32" s="108" t="str">
        <f aca="false">IF(ISNUMBER(C31),INDEX($A$6:$A$18,MATCH(C31,$N$6:$N$18,0)),"—")</f>
        <v>GLM-5.3-Flash</v>
      </c>
      <c r="D32" s="108" t="str">
        <f aca="false">IF(ISNUMBER(D31),INDEX($A$6:$A$18,MATCH(D31,$O$6:$O$18,0)),"—")</f>
        <v>—</v>
      </c>
      <c r="E32" s="108" t="str">
        <f aca="false">IF(ISNUMBER(E31),INDEX($A$6:$A$18,MATCH(E31,$P$6:$P$18,0)),"—")</f>
        <v>—</v>
      </c>
    </row>
    <row r="33" customFormat="false" ht="15" hidden="false" customHeight="false" outlineLevel="0" collapsed="false">
      <c r="A33" s="5" t="s">
        <v>1260</v>
      </c>
      <c r="B33" s="54" t="s">
        <v>75</v>
      </c>
      <c r="C33" s="69" t="n">
        <f aca="false">IF(ISNUMBER(C31),C31/C24,"—")</f>
        <v>1.29646017699115</v>
      </c>
      <c r="D33" s="69" t="str">
        <f aca="false">IF(ISNUMBER(D31),D31/D24,"—")</f>
        <v>—</v>
      </c>
      <c r="E33" s="69" t="str">
        <f aca="false">IF(ISNUMBER(E31),E31/E24,"—")</f>
        <v>—</v>
      </c>
    </row>
    <row r="34" customFormat="false" ht="15" hidden="false" customHeight="false" outlineLevel="0" collapsed="false">
      <c r="A34" s="5" t="s">
        <v>1261</v>
      </c>
      <c r="B34" s="53" t="s">
        <v>287</v>
      </c>
      <c r="C34" s="104" t="n">
        <f aca="false">COUNTIF($N$6:$N$18,"&lt;1E9")</f>
        <v>4</v>
      </c>
      <c r="D34" s="104" t="n">
        <f aca="false">COUNTIF($O$6:$O$18,"&lt;1E9")</f>
        <v>0</v>
      </c>
      <c r="E34" s="104" t="n">
        <f aca="false">COUNTIF($P$6:$P$18,"&lt;1E9")</f>
        <v>0</v>
      </c>
    </row>
    <row r="36" customFormat="false" ht="15" hidden="false" customHeight="false" outlineLevel="0" collapsed="false">
      <c r="A36" s="68" t="s">
        <v>1262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</row>
    <row r="37" customFormat="false" ht="26.85" hidden="false" customHeight="false" outlineLevel="0" collapsed="false">
      <c r="A37" s="6" t="s">
        <v>1263</v>
      </c>
      <c r="B37" s="54" t="s">
        <v>75</v>
      </c>
      <c r="C37" s="90" t="n">
        <f aca="false">Tech_Registry!$E$29</f>
        <v>1</v>
      </c>
      <c r="D37" s="90" t="n">
        <f aca="false">Tech_Registry!$E$29</f>
        <v>1</v>
      </c>
      <c r="E37" s="90" t="n">
        <f aca="false">Tech_Registry!$E$29</f>
        <v>1</v>
      </c>
    </row>
    <row r="38" customFormat="false" ht="26.85" hidden="false" customHeight="false" outlineLevel="0" collapsed="false">
      <c r="A38" s="5" t="s">
        <v>1264</v>
      </c>
      <c r="B38" s="54" t="s">
        <v>75</v>
      </c>
      <c r="C38" s="99" t="n">
        <f aca="false">EXP(B4_Eps*LN(C37*B4_CompMult))</f>
        <v>1</v>
      </c>
      <c r="D38" s="99" t="n">
        <f aca="false">EXP(B4_Eps*LN(D37*B4_CompMult))</f>
        <v>1</v>
      </c>
      <c r="E38" s="99" t="n">
        <f aca="false">EXP(B4_Eps*LN(E37*B4_CompMult))</f>
        <v>1</v>
      </c>
    </row>
    <row r="40" customFormat="false" ht="15" hidden="false" customHeight="false" outlineLevel="0" collapsed="false">
      <c r="A40" s="68" t="s">
        <v>1265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</row>
    <row r="41" customFormat="false" ht="15" hidden="false" customHeight="false" outlineLevel="0" collapsed="false">
      <c r="A41" s="5" t="s">
        <v>1266</v>
      </c>
      <c r="B41" s="54" t="s">
        <v>758</v>
      </c>
      <c r="C41" s="118" t="n">
        <f aca="false">INDEX(B4_PriceIn,1,1)*(1-B4_Disc)*C38</f>
        <v>0.08</v>
      </c>
      <c r="D41" s="118" t="n">
        <f aca="false">INDEX(B4_PriceIn,1,2)*(1-B4_Disc)*D38</f>
        <v>1.6</v>
      </c>
      <c r="E41" s="118" t="n">
        <f aca="false">INDEX(B4_PriceIn,1,3)*(1-B4_Disc)*E38</f>
        <v>8</v>
      </c>
    </row>
    <row r="42" customFormat="false" ht="15" hidden="false" customHeight="false" outlineLevel="0" collapsed="false">
      <c r="A42" s="5" t="s">
        <v>1267</v>
      </c>
      <c r="B42" s="54" t="s">
        <v>758</v>
      </c>
      <c r="C42" s="118" t="n">
        <f aca="false">INDEX(B4_PriceCache,1,1)*(1-B4_Disc)*C38</f>
        <v>0.008</v>
      </c>
      <c r="D42" s="118" t="n">
        <f aca="false">INDEX(B4_PriceCache,1,2)*(1-B4_Disc)*D38</f>
        <v>0.16</v>
      </c>
      <c r="E42" s="118" t="n">
        <f aca="false">INDEX(B4_PriceCache,1,3)*(1-B4_Disc)*E38</f>
        <v>0.8</v>
      </c>
    </row>
    <row r="43" customFormat="false" ht="15" hidden="false" customHeight="false" outlineLevel="0" collapsed="false">
      <c r="A43" s="5" t="s">
        <v>1268</v>
      </c>
      <c r="B43" s="54" t="s">
        <v>758</v>
      </c>
      <c r="C43" s="118" t="n">
        <f aca="false">INDEX(B4_PriceOut,1,1)*(1-B4_Disc)*C38</f>
        <v>0.4</v>
      </c>
      <c r="D43" s="118" t="n">
        <f aca="false">INDEX(B4_PriceOut,1,2)*(1-B4_Disc)*D38</f>
        <v>8</v>
      </c>
      <c r="E43" s="118" t="n">
        <f aca="false">INDEX(B4_PriceOut,1,3)*(1-B4_Disc)*E38</f>
        <v>40</v>
      </c>
    </row>
    <row r="44" customFormat="false" ht="15" hidden="false" customHeight="false" outlineLevel="0" collapsed="false">
      <c r="A44" s="5" t="s">
        <v>1269</v>
      </c>
      <c r="B44" s="54" t="s">
        <v>758</v>
      </c>
      <c r="C44" s="118" t="n">
        <f aca="false">INDEX(B4_PriceOut,1,1)*(1-B4_Disc)*C38</f>
        <v>0.4</v>
      </c>
      <c r="D44" s="118" t="n">
        <f aca="false">INDEX(B4_PriceOut,1,2)*(1-B4_Disc)*D38</f>
        <v>8</v>
      </c>
      <c r="E44" s="118" t="n">
        <f aca="false">INDEX(B4_PriceOut,1,3)*(1-B4_Disc)*E38</f>
        <v>40</v>
      </c>
    </row>
    <row r="45" customFormat="false" ht="26.85" hidden="false" customHeight="false" outlineLevel="0" collapsed="false">
      <c r="A45" s="5" t="s">
        <v>1270</v>
      </c>
      <c r="B45" s="54" t="s">
        <v>758</v>
      </c>
      <c r="C45" s="118" t="n">
        <f aca="false">(INDEX(B4_ISL,1,1)*((1-B4_CacheHit)*C41+B4_CacheHit*C42)+INDEX(B4_OSL,1,1)*C44)/(INDEX(B4_ISL,1,1)+INDEX(B4_OSL,1,1))</f>
        <v>0.0803555555555556</v>
      </c>
      <c r="D45" s="118" t="n">
        <f aca="false">(INDEX(B4_ISL,1,2)*((1-B4_CacheHit)*D41+B4_CacheHit*D42)+INDEX(B4_OSL,1,2)*D44)/(INDEX(B4_ISL,1,2)+INDEX(B4_OSL,1,2))</f>
        <v>1.60711111111111</v>
      </c>
      <c r="E45" s="118" t="n">
        <f aca="false">(INDEX(B4_ISL,1,3)*((1-B4_CacheHit)*E41+B4_CacheHit*E42)+INDEX(B4_OSL,1,3)*E44)/(INDEX(B4_ISL,1,3)+INDEX(B4_OSL,1,3))</f>
        <v>8.03555555555555</v>
      </c>
    </row>
    <row r="46" customFormat="false" ht="26.85" hidden="false" customHeight="false" outlineLevel="0" collapsed="false">
      <c r="A46" s="5" t="s">
        <v>1271</v>
      </c>
      <c r="B46" s="54" t="s">
        <v>758</v>
      </c>
      <c r="C46" s="118" t="n">
        <f aca="false">C25*(1-B4_Disc)</f>
        <v>0.0803555555555556</v>
      </c>
      <c r="D46" s="118" t="n">
        <f aca="false">D25*(1-B4_Disc)</f>
        <v>1.60711111111111</v>
      </c>
      <c r="E46" s="118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17.15" hidden="false" customHeight="false" outlineLevel="0" collapsed="false">
      <c r="A1" s="49" t="s">
        <v>1272</v>
      </c>
    </row>
    <row r="2" customFormat="false" ht="15" hidden="false" customHeight="false" outlineLevel="0" collapsed="false">
      <c r="A2" s="66" t="s">
        <v>1273</v>
      </c>
    </row>
    <row r="4" customFormat="false" ht="15" hidden="false" customHeight="false" outlineLevel="0" collapsed="false">
      <c r="A4" s="51" t="s">
        <v>136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51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51" t="s">
        <v>407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51" t="s">
        <v>1274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1" t="s">
        <v>1275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6" t="s">
        <v>1276</v>
      </c>
      <c r="B10" s="54" t="s">
        <v>1277</v>
      </c>
      <c r="C10" s="145" t="n">
        <f aca="false">B4_SSDcost/(B4_SSDlife*8760)</f>
        <v>2.28310502283105E-006</v>
      </c>
      <c r="D10" s="145" t="n">
        <f aca="false">B4_SSDcost/(B4_SSDlife*8760)</f>
        <v>2.28310502283105E-006</v>
      </c>
      <c r="E10" s="145" t="n">
        <f aca="false">B4_SSDcost/(B4_SSDlife*8760)</f>
        <v>2.28310502283105E-006</v>
      </c>
      <c r="F10" s="145" t="n">
        <f aca="false">B4_SSDcost/(B4_SSDlife*8760)</f>
        <v>2.28310502283105E-006</v>
      </c>
      <c r="G10" s="145" t="n">
        <f aca="false">B4_SSDcost/(B4_SSDlife*8760)</f>
        <v>2.28310502283105E-006</v>
      </c>
      <c r="H10" s="145" t="n">
        <f aca="false">B4_SSDcost/(B4_SSDlife*8760)</f>
        <v>2.28310502283105E-006</v>
      </c>
      <c r="I10" s="145" t="n">
        <f aca="false">B4_SSDcost/(B4_SSDlife*8760)</f>
        <v>2.28310502283105E-006</v>
      </c>
      <c r="J10" s="145" t="n">
        <f aca="false">B4_SSDcost/(B4_SSDlife*8760)</f>
        <v>2.28310502283105E-006</v>
      </c>
      <c r="K10" s="145" t="n">
        <f aca="false">B4_SSDcost/(B4_SSDlife*8760)</f>
        <v>2.28310502283105E-006</v>
      </c>
      <c r="L10" s="145" t="n">
        <f aca="false">B4_SSDcost/(B4_SSDlife*8760)</f>
        <v>2.28310502283105E-006</v>
      </c>
      <c r="M10" s="145" t="n">
        <f aca="false">B4_SSDcost/(B4_SSDlife*8760)</f>
        <v>2.28310502283105E-006</v>
      </c>
      <c r="N10" s="145" t="n">
        <f aca="false">B4_SSDcost/(B4_SSDlife*8760)</f>
        <v>2.28310502283105E-006</v>
      </c>
      <c r="O10" s="145" t="n">
        <f aca="false">B4_SSDcost/(B4_SSDlife*8760)</f>
        <v>2.28310502283105E-006</v>
      </c>
      <c r="P10" s="145" t="n">
        <f aca="false">B4_SSDcost/(B4_SSDlife*8760)</f>
        <v>2.28310502283105E-006</v>
      </c>
      <c r="Q10" s="145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1278</v>
      </c>
      <c r="B11" s="54" t="s">
        <v>1277</v>
      </c>
      <c r="C11" s="145" t="n">
        <f aca="false">B4_DRAMcost/(B4_DRAMlife*8760)</f>
        <v>0.000285388127853881</v>
      </c>
      <c r="D11" s="145" t="n">
        <f aca="false">B4_DRAMcost/(B4_DRAMlife*8760)</f>
        <v>0.000285388127853881</v>
      </c>
      <c r="E11" s="145" t="n">
        <f aca="false">B4_DRAMcost/(B4_DRAMlife*8760)</f>
        <v>0.000285388127853881</v>
      </c>
      <c r="F11" s="145" t="n">
        <f aca="false">B4_DRAMcost/(B4_DRAMlife*8760)</f>
        <v>0.000285388127853881</v>
      </c>
      <c r="G11" s="145" t="n">
        <f aca="false">B4_DRAMcost/(B4_DRAMlife*8760)</f>
        <v>0.000285388127853881</v>
      </c>
      <c r="H11" s="145" t="n">
        <f aca="false">B4_DRAMcost/(B4_DRAMlife*8760)</f>
        <v>0.000285388127853881</v>
      </c>
      <c r="I11" s="145" t="n">
        <f aca="false">B4_DRAMcost/(B4_DRAMlife*8760)</f>
        <v>0.000285388127853881</v>
      </c>
      <c r="J11" s="145" t="n">
        <f aca="false">B4_DRAMcost/(B4_DRAMlife*8760)</f>
        <v>0.000285388127853881</v>
      </c>
      <c r="K11" s="145" t="n">
        <f aca="false">B4_DRAMcost/(B4_DRAMlife*8760)</f>
        <v>0.000285388127853881</v>
      </c>
      <c r="L11" s="145" t="n">
        <f aca="false">B4_DRAMcost/(B4_DRAMlife*8760)</f>
        <v>0.000285388127853881</v>
      </c>
      <c r="M11" s="145" t="n">
        <f aca="false">B4_DRAMcost/(B4_DRAMlife*8760)</f>
        <v>0.000285388127853881</v>
      </c>
      <c r="N11" s="145" t="n">
        <f aca="false">B4_DRAMcost/(B4_DRAMlife*8760)</f>
        <v>0.000285388127853881</v>
      </c>
      <c r="O11" s="145" t="n">
        <f aca="false">B4_DRAMcost/(B4_DRAMlife*8760)</f>
        <v>0.000285388127853881</v>
      </c>
      <c r="P11" s="145" t="n">
        <f aca="false">B4_DRAMcost/(B4_DRAMlife*8760)</f>
        <v>0.000285388127853881</v>
      </c>
      <c r="Q11" s="145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1279</v>
      </c>
      <c r="B12" s="54" t="s">
        <v>1277</v>
      </c>
      <c r="C12" s="146" t="n">
        <f aca="false">Unit_Cost!C$8/INDEX(Spec_Rack!$C$25:$G$25,1,C$6)</f>
        <v>0.0139108336437535</v>
      </c>
      <c r="D12" s="146" t="n">
        <f aca="false">Unit_Cost!D$8/INDEX(Spec_Rack!$C$25:$G$25,1,D$6)</f>
        <v>0.0200628657046456</v>
      </c>
      <c r="E12" s="146" t="n">
        <f aca="false">Unit_Cost!E$8/INDEX(Spec_Rack!$C$25:$G$25,1,E$6)</f>
        <v>0.034590011954172</v>
      </c>
      <c r="F12" s="146" t="n">
        <f aca="false">Unit_Cost!F$8/INDEX(Spec_Rack!$C$25:$G$25,1,F$6)</f>
        <v>0.00833353031796959</v>
      </c>
      <c r="G12" s="146" t="n">
        <f aca="false">Unit_Cost!G$8/INDEX(Spec_Rack!$C$25:$G$25,1,G$6)</f>
        <v>0.0112174934804599</v>
      </c>
      <c r="H12" s="146" t="n">
        <f aca="false">Unit_Cost!H$8/INDEX(Spec_Rack!$C$25:$G$25,1,H$6)</f>
        <v>0.0182494441954499</v>
      </c>
      <c r="I12" s="146" t="n">
        <f aca="false">Unit_Cost!I$8/INDEX(Spec_Rack!$C$25:$G$25,1,I$6)</f>
        <v>0.00708694945924283</v>
      </c>
      <c r="J12" s="146" t="n">
        <f aca="false">Unit_Cost!J$8/INDEX(Spec_Rack!$C$25:$G$25,1,J$6)</f>
        <v>0.0103565819245701</v>
      </c>
      <c r="K12" s="146" t="n">
        <f aca="false">Unit_Cost!K$8/INDEX(Spec_Rack!$C$25:$G$25,1,K$6)</f>
        <v>0.0194291472474825</v>
      </c>
      <c r="L12" s="146" t="n">
        <f aca="false">Unit_Cost!L$8/INDEX(Spec_Rack!$C$25:$G$25,1,L$6)</f>
        <v>0.0133644177667639</v>
      </c>
      <c r="M12" s="146" t="n">
        <f aca="false">Unit_Cost!M$8/INDEX(Spec_Rack!$C$25:$G$25,1,M$6)</f>
        <v>0.0173388683897118</v>
      </c>
      <c r="N12" s="146" t="n">
        <f aca="false">Unit_Cost!N$8/INDEX(Spec_Rack!$C$25:$G$25,1,N$6)</f>
        <v>0.0280938902847489</v>
      </c>
      <c r="O12" s="146" t="n">
        <f aca="false">Unit_Cost!O$8/INDEX(Spec_Rack!$C$25:$G$25,1,O$6)</f>
        <v>0.0059828155181402</v>
      </c>
      <c r="P12" s="146" t="n">
        <f aca="false">Unit_Cost!P$8/INDEX(Spec_Rack!$C$25:$G$25,1,P$6)</f>
        <v>0.0091980838520332</v>
      </c>
      <c r="Q12" s="146" t="n">
        <f aca="false">Unit_Cost!Q$8/INDEX(Spec_Rack!$C$25:$G$25,1,Q$6)</f>
        <v>0.0168596875808932</v>
      </c>
    </row>
    <row r="13" customFormat="false" ht="15" hidden="false" customHeight="false" outlineLevel="0" collapsed="false">
      <c r="A13" s="5" t="s">
        <v>1280</v>
      </c>
      <c r="B13" s="54" t="s">
        <v>1277</v>
      </c>
      <c r="C13" s="145" t="n">
        <f aca="false">CHOOSE(B4_StoreTier,C10,C11,C12)</f>
        <v>0.000285388127853881</v>
      </c>
      <c r="D13" s="145" t="n">
        <f aca="false">CHOOSE(B4_StoreTier,D10,D11,D12)</f>
        <v>0.000285388127853881</v>
      </c>
      <c r="E13" s="145" t="n">
        <f aca="false">CHOOSE(B4_StoreTier,E10,E11,E12)</f>
        <v>0.000285388127853881</v>
      </c>
      <c r="F13" s="145" t="n">
        <f aca="false">CHOOSE(B4_StoreTier,F10,F11,F12)</f>
        <v>0.000285388127853881</v>
      </c>
      <c r="G13" s="145" t="n">
        <f aca="false">CHOOSE(B4_StoreTier,G10,G11,G12)</f>
        <v>0.000285388127853881</v>
      </c>
      <c r="H13" s="145" t="n">
        <f aca="false">CHOOSE(B4_StoreTier,H10,H11,H12)</f>
        <v>0.000285388127853881</v>
      </c>
      <c r="I13" s="145" t="n">
        <f aca="false">CHOOSE(B4_StoreTier,I10,I11,I12)</f>
        <v>0.000285388127853881</v>
      </c>
      <c r="J13" s="145" t="n">
        <f aca="false">CHOOSE(B4_StoreTier,J10,J11,J12)</f>
        <v>0.000285388127853881</v>
      </c>
      <c r="K13" s="145" t="n">
        <f aca="false">CHOOSE(B4_StoreTier,K10,K11,K12)</f>
        <v>0.000285388127853881</v>
      </c>
      <c r="L13" s="145" t="n">
        <f aca="false">CHOOSE(B4_StoreTier,L10,L11,L12)</f>
        <v>0.000285388127853881</v>
      </c>
      <c r="M13" s="145" t="n">
        <f aca="false">CHOOSE(B4_StoreTier,M10,M11,M12)</f>
        <v>0.000285388127853881</v>
      </c>
      <c r="N13" s="145" t="n">
        <f aca="false">CHOOSE(B4_StoreTier,N10,N11,N12)</f>
        <v>0.000285388127853881</v>
      </c>
      <c r="O13" s="145" t="n">
        <f aca="false">CHOOSE(B4_StoreTier,O10,O11,O12)</f>
        <v>0.000285388127853881</v>
      </c>
      <c r="P13" s="145" t="n">
        <f aca="false">CHOOSE(B4_StoreTier,P10,P11,P12)</f>
        <v>0.000285388127853881</v>
      </c>
      <c r="Q13" s="145" t="n">
        <f aca="false">CHOOSE(B4_StoreTier,Q10,Q11,Q12)</f>
        <v>0.000285388127853881</v>
      </c>
    </row>
    <row r="15" customFormat="false" ht="15" hidden="false" customHeight="false" outlineLevel="0" collapsed="false">
      <c r="A15" s="68" t="s">
        <v>219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</row>
    <row r="16" customFormat="false" ht="15" hidden="false" customHeight="false" outlineLevel="0" collapsed="false">
      <c r="A16" s="6" t="s">
        <v>1281</v>
      </c>
      <c r="B16" s="54" t="s">
        <v>228</v>
      </c>
      <c r="C16" s="55" t="n">
        <f aca="false">Arch!$C$25</f>
        <v>2795</v>
      </c>
      <c r="D16" s="55" t="n">
        <f aca="false">Arch!$C$25</f>
        <v>2795</v>
      </c>
      <c r="E16" s="55" t="n">
        <f aca="false">Arch!$C$25</f>
        <v>2795</v>
      </c>
      <c r="F16" s="55" t="n">
        <f aca="false">Arch!$C$25</f>
        <v>2795</v>
      </c>
      <c r="G16" s="55" t="n">
        <f aca="false">Arch!$C$25</f>
        <v>2795</v>
      </c>
      <c r="H16" s="55" t="n">
        <f aca="false">Arch!$C$25</f>
        <v>2795</v>
      </c>
      <c r="I16" s="55" t="n">
        <f aca="false">Arch!$C$25</f>
        <v>2795</v>
      </c>
      <c r="J16" s="55" t="n">
        <f aca="false">Arch!$C$25</f>
        <v>2795</v>
      </c>
      <c r="K16" s="55" t="n">
        <f aca="false">Arch!$C$25</f>
        <v>2795</v>
      </c>
      <c r="L16" s="55" t="n">
        <f aca="false">Arch!$C$25</f>
        <v>2795</v>
      </c>
      <c r="M16" s="55" t="n">
        <f aca="false">Arch!$C$25</f>
        <v>2795</v>
      </c>
      <c r="N16" s="55" t="n">
        <f aca="false">Arch!$C$25</f>
        <v>2795</v>
      </c>
      <c r="O16" s="55" t="n">
        <f aca="false">Arch!$C$25</f>
        <v>2795</v>
      </c>
      <c r="P16" s="55" t="n">
        <f aca="false">Arch!$C$25</f>
        <v>2795</v>
      </c>
      <c r="Q16" s="55" t="n">
        <f aca="false">Arch!$C$25</f>
        <v>2795</v>
      </c>
    </row>
    <row r="17" customFormat="false" ht="15" hidden="false" customHeight="false" outlineLevel="0" collapsed="false">
      <c r="A17" s="5" t="s">
        <v>1282</v>
      </c>
      <c r="B17" s="54" t="s">
        <v>758</v>
      </c>
      <c r="C17" s="147" t="n">
        <f aca="false">C16*1000000/1000000000*C$13*B4_Retain/B4_Hits</f>
        <v>1.32943302891933E-005</v>
      </c>
      <c r="D17" s="147" t="n">
        <f aca="false">D16*1000000/1000000000*D$13*B4_Retain/B4_Hits</f>
        <v>1.32943302891933E-005</v>
      </c>
      <c r="E17" s="147" t="n">
        <f aca="false">E16*1000000/1000000000*E$13*B4_Retain/B4_Hits</f>
        <v>1.32943302891933E-005</v>
      </c>
      <c r="F17" s="147" t="n">
        <f aca="false">F16*1000000/1000000000*F$13*B4_Retain/B4_Hits</f>
        <v>1.32943302891933E-005</v>
      </c>
      <c r="G17" s="147" t="n">
        <f aca="false">G16*1000000/1000000000*G$13*B4_Retain/B4_Hits</f>
        <v>1.32943302891933E-005</v>
      </c>
      <c r="H17" s="147" t="n">
        <f aca="false">H16*1000000/1000000000*H$13*B4_Retain/B4_Hits</f>
        <v>1.32943302891933E-005</v>
      </c>
      <c r="I17" s="147" t="n">
        <f aca="false">I16*1000000/1000000000*I$13*B4_Retain/B4_Hits</f>
        <v>1.32943302891933E-005</v>
      </c>
      <c r="J17" s="147" t="n">
        <f aca="false">J16*1000000/1000000000*J$13*B4_Retain/B4_Hits</f>
        <v>1.32943302891933E-005</v>
      </c>
      <c r="K17" s="147" t="n">
        <f aca="false">K16*1000000/1000000000*K$13*B4_Retain/B4_Hits</f>
        <v>1.32943302891933E-005</v>
      </c>
      <c r="L17" s="147" t="n">
        <f aca="false">L16*1000000/1000000000*L$13*B4_Retain/B4_Hits</f>
        <v>1.32943302891933E-005</v>
      </c>
      <c r="M17" s="147" t="n">
        <f aca="false">M16*1000000/1000000000*M$13*B4_Retain/B4_Hits</f>
        <v>1.32943302891933E-005</v>
      </c>
      <c r="N17" s="147" t="n">
        <f aca="false">N16*1000000/1000000000*N$13*B4_Retain/B4_Hits</f>
        <v>1.32943302891933E-005</v>
      </c>
      <c r="O17" s="147" t="n">
        <f aca="false">O16*1000000/1000000000*O$13*B4_Retain/B4_Hits</f>
        <v>1.32943302891933E-005</v>
      </c>
      <c r="P17" s="147" t="n">
        <f aca="false">P16*1000000/1000000000*P$13*B4_Retain/B4_Hits</f>
        <v>1.32943302891933E-005</v>
      </c>
      <c r="Q17" s="147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1283</v>
      </c>
      <c r="B18" s="54" t="s">
        <v>75</v>
      </c>
      <c r="C18" s="69" t="n">
        <f aca="false">IF(INDEX(IF_CostCache_Luna,1,C$7)&gt;0,C17/INDEX(IF_CostCache_Luna,1,C$7),0)</f>
        <v>1.53866476569162</v>
      </c>
      <c r="D18" s="69" t="n">
        <f aca="false">IF(INDEX(IF_CostCache_Luna,1,D$7)&gt;0,D17/INDEX(IF_CostCache_Luna,1,D$7),0)</f>
        <v>1.06685205912956</v>
      </c>
      <c r="E18" s="69" t="n">
        <f aca="false">IF(INDEX(IF_CostCache_Luna,1,E$7)&gt;0,E17/INDEX(IF_CostCache_Luna,1,E$7),0)</f>
        <v>0.618794512629808</v>
      </c>
      <c r="F18" s="69" t="n">
        <f aca="false">IF(INDEX(IF_CostCache_Luna,1,F$7)&gt;0,F17/INDEX(IF_CostCache_Luna,1,F$7),0)</f>
        <v>1.10470212373221</v>
      </c>
      <c r="G18" s="69" t="n">
        <f aca="false">IF(INDEX(IF_CostCache_Luna,1,G$7)&gt;0,G17/INDEX(IF_CostCache_Luna,1,G$7),0)</f>
        <v>0.820688566165345</v>
      </c>
      <c r="H18" s="69" t="n">
        <f aca="false">IF(INDEX(IF_CostCache_Luna,1,H$7)&gt;0,H17/INDEX(IF_CostCache_Luna,1,H$7),0)</f>
        <v>0.504457480559496</v>
      </c>
      <c r="I18" s="69" t="n">
        <f aca="false">IF(INDEX(IF_CostCache_Luna,1,I$7)&gt;0,I17/INDEX(IF_CostCache_Luna,1,I$7),0)</f>
        <v>0.83894855341484</v>
      </c>
      <c r="J18" s="69" t="n">
        <f aca="false">IF(INDEX(IF_CostCache_Luna,1,J$7)&gt;0,J17/INDEX(IF_CostCache_Luna,1,J$7),0)</f>
        <v>0.574087671034637</v>
      </c>
      <c r="K18" s="69" t="n">
        <f aca="false">IF(INDEX(IF_CostCache_Luna,1,K$7)&gt;0,K17/INDEX(IF_CostCache_Luna,1,K$7),0)</f>
        <v>0.306013739111799</v>
      </c>
      <c r="L18" s="69" t="n">
        <f aca="false">IF(INDEX(IF_CostCache_Luna,1,L$7)&gt;0,L17/INDEX(IF_CostCache_Luna,1,L$7),0)</f>
        <v>0.444881782410455</v>
      </c>
      <c r="M18" s="69" t="n">
        <f aca="false">IF(INDEX(IF_CostCache_Luna,1,M$7)&gt;0,M17/INDEX(IF_CostCache_Luna,1,M$7),0)</f>
        <v>0.342905076809034</v>
      </c>
      <c r="N18" s="69" t="n">
        <f aca="false">IF(INDEX(IF_CostCache_Luna,1,N$7)&gt;0,N17/INDEX(IF_CostCache_Luna,1,N$7),0)</f>
        <v>0.211632705071946</v>
      </c>
      <c r="O18" s="69" t="n">
        <f aca="false">IF(INDEX(IF_CostCache_Luna,1,O$7)&gt;0,O17/INDEX(IF_CostCache_Luna,1,O$7),0)</f>
        <v>0.27949985363474</v>
      </c>
      <c r="P18" s="69" t="n">
        <f aca="false">IF(INDEX(IF_CostCache_Luna,1,P$7)&gt;0,P17/INDEX(IF_CostCache_Luna,1,P$7),0)</f>
        <v>0.181798305880219</v>
      </c>
      <c r="Q18" s="69" t="n">
        <f aca="false">IF(INDEX(IF_CostCache_Luna,1,Q$7)&gt;0,Q17/INDEX(IF_CostCache_Luna,1,Q$7),0)</f>
        <v>0.099183098952492</v>
      </c>
    </row>
    <row r="19" customFormat="false" ht="15" hidden="false" customHeight="false" outlineLevel="0" collapsed="false">
      <c r="A19" s="5" t="s">
        <v>1284</v>
      </c>
      <c r="B19" s="54" t="s">
        <v>71</v>
      </c>
      <c r="C19" s="95" t="n">
        <f aca="false">C17/INDEX(B4_EffCache,1,1)</f>
        <v>0.00166179128614916</v>
      </c>
      <c r="D19" s="95" t="n">
        <f aca="false">D17/INDEX(B4_EffCache,1,1)</f>
        <v>0.00166179128614916</v>
      </c>
      <c r="E19" s="95" t="n">
        <f aca="false">E17/INDEX(B4_EffCache,1,1)</f>
        <v>0.00166179128614916</v>
      </c>
      <c r="F19" s="95" t="n">
        <f aca="false">F17/INDEX(B4_EffCache,1,1)</f>
        <v>0.00166179128614916</v>
      </c>
      <c r="G19" s="95" t="n">
        <f aca="false">G17/INDEX(B4_EffCache,1,1)</f>
        <v>0.00166179128614916</v>
      </c>
      <c r="H19" s="95" t="n">
        <f aca="false">H17/INDEX(B4_EffCache,1,1)</f>
        <v>0.00166179128614916</v>
      </c>
      <c r="I19" s="95" t="n">
        <f aca="false">I17/INDEX(B4_EffCache,1,1)</f>
        <v>0.00166179128614916</v>
      </c>
      <c r="J19" s="95" t="n">
        <f aca="false">J17/INDEX(B4_EffCache,1,1)</f>
        <v>0.00166179128614916</v>
      </c>
      <c r="K19" s="95" t="n">
        <f aca="false">K17/INDEX(B4_EffCache,1,1)</f>
        <v>0.00166179128614916</v>
      </c>
      <c r="L19" s="95" t="n">
        <f aca="false">L17/INDEX(B4_EffCache,1,1)</f>
        <v>0.00166179128614916</v>
      </c>
      <c r="M19" s="95" t="n">
        <f aca="false">M17/INDEX(B4_EffCache,1,1)</f>
        <v>0.00166179128614916</v>
      </c>
      <c r="N19" s="95" t="n">
        <f aca="false">N17/INDEX(B4_EffCache,1,1)</f>
        <v>0.00166179128614916</v>
      </c>
      <c r="O19" s="95" t="n">
        <f aca="false">O17/INDEX(B4_EffCache,1,1)</f>
        <v>0.00166179128614916</v>
      </c>
      <c r="P19" s="95" t="n">
        <f aca="false">P17/INDEX(B4_EffCache,1,1)</f>
        <v>0.00166179128614916</v>
      </c>
      <c r="Q19" s="95" t="n">
        <f aca="false">Q17/INDEX(B4_EffCache,1,1)</f>
        <v>0.00166179128614916</v>
      </c>
    </row>
    <row r="21" customFormat="false" ht="15" hidden="false" customHeight="false" outlineLevel="0" collapsed="false">
      <c r="A21" s="68" t="s">
        <v>220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</row>
    <row r="22" customFormat="false" ht="15" hidden="false" customHeight="false" outlineLevel="0" collapsed="false">
      <c r="A22" s="6" t="s">
        <v>1281</v>
      </c>
      <c r="B22" s="54" t="s">
        <v>228</v>
      </c>
      <c r="C22" s="55" t="n">
        <f aca="false">Arch!$D$25</f>
        <v>3965</v>
      </c>
      <c r="D22" s="55" t="n">
        <f aca="false">Arch!$D$25</f>
        <v>3965</v>
      </c>
      <c r="E22" s="55" t="n">
        <f aca="false">Arch!$D$25</f>
        <v>3965</v>
      </c>
      <c r="F22" s="55" t="n">
        <f aca="false">Arch!$D$25</f>
        <v>3965</v>
      </c>
      <c r="G22" s="55" t="n">
        <f aca="false">Arch!$D$25</f>
        <v>3965</v>
      </c>
      <c r="H22" s="55" t="n">
        <f aca="false">Arch!$D$25</f>
        <v>3965</v>
      </c>
      <c r="I22" s="55" t="n">
        <f aca="false">Arch!$D$25</f>
        <v>3965</v>
      </c>
      <c r="J22" s="55" t="n">
        <f aca="false">Arch!$D$25</f>
        <v>3965</v>
      </c>
      <c r="K22" s="55" t="n">
        <f aca="false">Arch!$D$25</f>
        <v>3965</v>
      </c>
      <c r="L22" s="55" t="n">
        <f aca="false">Arch!$D$25</f>
        <v>3965</v>
      </c>
      <c r="M22" s="55" t="n">
        <f aca="false">Arch!$D$25</f>
        <v>3965</v>
      </c>
      <c r="N22" s="55" t="n">
        <f aca="false">Arch!$D$25</f>
        <v>3965</v>
      </c>
      <c r="O22" s="55" t="n">
        <f aca="false">Arch!$D$25</f>
        <v>3965</v>
      </c>
      <c r="P22" s="55" t="n">
        <f aca="false">Arch!$D$25</f>
        <v>3965</v>
      </c>
      <c r="Q22" s="55" t="n">
        <f aca="false">Arch!$D$25</f>
        <v>3965</v>
      </c>
    </row>
    <row r="23" customFormat="false" ht="15" hidden="false" customHeight="false" outlineLevel="0" collapsed="false">
      <c r="A23" s="5" t="s">
        <v>1285</v>
      </c>
      <c r="B23" s="54" t="s">
        <v>758</v>
      </c>
      <c r="C23" s="147" t="n">
        <f aca="false">C22*1000000/1000000000*C$13*B4_Retain/B4_Hits</f>
        <v>1.8859398782344E-005</v>
      </c>
      <c r="D23" s="147" t="n">
        <f aca="false">D22*1000000/1000000000*D$13*B4_Retain/B4_Hits</f>
        <v>1.8859398782344E-005</v>
      </c>
      <c r="E23" s="147" t="n">
        <f aca="false">E22*1000000/1000000000*E$13*B4_Retain/B4_Hits</f>
        <v>1.8859398782344E-005</v>
      </c>
      <c r="F23" s="147" t="n">
        <f aca="false">F22*1000000/1000000000*F$13*B4_Retain/B4_Hits</f>
        <v>1.8859398782344E-005</v>
      </c>
      <c r="G23" s="147" t="n">
        <f aca="false">G22*1000000/1000000000*G$13*B4_Retain/B4_Hits</f>
        <v>1.8859398782344E-005</v>
      </c>
      <c r="H23" s="147" t="n">
        <f aca="false">H22*1000000/1000000000*H$13*B4_Retain/B4_Hits</f>
        <v>1.8859398782344E-005</v>
      </c>
      <c r="I23" s="147" t="n">
        <f aca="false">I22*1000000/1000000000*I$13*B4_Retain/B4_Hits</f>
        <v>1.8859398782344E-005</v>
      </c>
      <c r="J23" s="147" t="n">
        <f aca="false">J22*1000000/1000000000*J$13*B4_Retain/B4_Hits</f>
        <v>1.8859398782344E-005</v>
      </c>
      <c r="K23" s="147" t="n">
        <f aca="false">K22*1000000/1000000000*K$13*B4_Retain/B4_Hits</f>
        <v>1.8859398782344E-005</v>
      </c>
      <c r="L23" s="147" t="n">
        <f aca="false">L22*1000000/1000000000*L$13*B4_Retain/B4_Hits</f>
        <v>1.8859398782344E-005</v>
      </c>
      <c r="M23" s="147" t="n">
        <f aca="false">M22*1000000/1000000000*M$13*B4_Retain/B4_Hits</f>
        <v>1.8859398782344E-005</v>
      </c>
      <c r="N23" s="147" t="n">
        <f aca="false">N22*1000000/1000000000*N$13*B4_Retain/B4_Hits</f>
        <v>1.8859398782344E-005</v>
      </c>
      <c r="O23" s="147" t="n">
        <f aca="false">O22*1000000/1000000000*O$13*B4_Retain/B4_Hits</f>
        <v>1.8859398782344E-005</v>
      </c>
      <c r="P23" s="147" t="n">
        <f aca="false">P22*1000000/1000000000*P$13*B4_Retain/B4_Hits</f>
        <v>1.8859398782344E-005</v>
      </c>
      <c r="Q23" s="147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1283</v>
      </c>
      <c r="B24" s="54" t="s">
        <v>75</v>
      </c>
      <c r="C24" s="69" t="n">
        <f aca="false">IF(INDEX(IF_CostCache_Sol,1,C$7)&gt;0,C23/INDEX(IF_CostCache_Sol,1,C$7),0)</f>
        <v>1.53866476569163</v>
      </c>
      <c r="D24" s="69" t="n">
        <f aca="false">IF(INDEX(IF_CostCache_Sol,1,D$7)&gt;0,D23/INDEX(IF_CostCache_Sol,1,D$7),0)</f>
        <v>1.06685205912956</v>
      </c>
      <c r="E24" s="69" t="n">
        <f aca="false">IF(INDEX(IF_CostCache_Sol,1,E$7)&gt;0,E23/INDEX(IF_CostCache_Sol,1,E$7),0)</f>
        <v>0.618794512629808</v>
      </c>
      <c r="F24" s="69" t="n">
        <f aca="false">IF(INDEX(IF_CostCache_Sol,1,F$7)&gt;0,F23/INDEX(IF_CostCache_Sol,1,F$7),0)</f>
        <v>1.10470212373221</v>
      </c>
      <c r="G24" s="69" t="n">
        <f aca="false">IF(INDEX(IF_CostCache_Sol,1,G$7)&gt;0,G23/INDEX(IF_CostCache_Sol,1,G$7),0)</f>
        <v>0.820688566165345</v>
      </c>
      <c r="H24" s="69" t="n">
        <f aca="false">IF(INDEX(IF_CostCache_Sol,1,H$7)&gt;0,H23/INDEX(IF_CostCache_Sol,1,H$7),0)</f>
        <v>0.504457480559496</v>
      </c>
      <c r="I24" s="69" t="n">
        <f aca="false">IF(INDEX(IF_CostCache_Sol,1,I$7)&gt;0,I23/INDEX(IF_CostCache_Sol,1,I$7),0)</f>
        <v>0.83894855341484</v>
      </c>
      <c r="J24" s="69" t="n">
        <f aca="false">IF(INDEX(IF_CostCache_Sol,1,J$7)&gt;0,J23/INDEX(IF_CostCache_Sol,1,J$7),0)</f>
        <v>0.574087671034637</v>
      </c>
      <c r="K24" s="69" t="n">
        <f aca="false">IF(INDEX(IF_CostCache_Sol,1,K$7)&gt;0,K23/INDEX(IF_CostCache_Sol,1,K$7),0)</f>
        <v>0.3060137391118</v>
      </c>
      <c r="L24" s="69" t="n">
        <f aca="false">IF(INDEX(IF_CostCache_Sol,1,L$7)&gt;0,L23/INDEX(IF_CostCache_Sol,1,L$7),0)</f>
        <v>0.444881782410455</v>
      </c>
      <c r="M24" s="69" t="n">
        <f aca="false">IF(INDEX(IF_CostCache_Sol,1,M$7)&gt;0,M23/INDEX(IF_CostCache_Sol,1,M$7),0)</f>
        <v>0.342905076809034</v>
      </c>
      <c r="N24" s="69" t="n">
        <f aca="false">IF(INDEX(IF_CostCache_Sol,1,N$7)&gt;0,N23/INDEX(IF_CostCache_Sol,1,N$7),0)</f>
        <v>0.211632705071945</v>
      </c>
      <c r="O24" s="69" t="n">
        <f aca="false">IF(INDEX(IF_CostCache_Sol,1,O$7)&gt;0,O23/INDEX(IF_CostCache_Sol,1,O$7),0)</f>
        <v>0.27949985363474</v>
      </c>
      <c r="P24" s="69" t="n">
        <f aca="false">IF(INDEX(IF_CostCache_Sol,1,P$7)&gt;0,P23/INDEX(IF_CostCache_Sol,1,P$7),0)</f>
        <v>0.181798305880219</v>
      </c>
      <c r="Q24" s="69" t="n">
        <f aca="false">IF(INDEX(IF_CostCache_Sol,1,Q$7)&gt;0,Q23/INDEX(IF_CostCache_Sol,1,Q$7),0)</f>
        <v>0.099183098952492</v>
      </c>
    </row>
    <row r="25" customFormat="false" ht="15" hidden="false" customHeight="false" outlineLevel="0" collapsed="false">
      <c r="A25" s="5" t="s">
        <v>1284</v>
      </c>
      <c r="B25" s="54" t="s">
        <v>71</v>
      </c>
      <c r="C25" s="95" t="n">
        <f aca="false">C23/INDEX(B4_EffCache,1,2)</f>
        <v>0.00011787124238965</v>
      </c>
      <c r="D25" s="95" t="n">
        <f aca="false">D23/INDEX(B4_EffCache,1,2)</f>
        <v>0.00011787124238965</v>
      </c>
      <c r="E25" s="95" t="n">
        <f aca="false">E23/INDEX(B4_EffCache,1,2)</f>
        <v>0.00011787124238965</v>
      </c>
      <c r="F25" s="95" t="n">
        <f aca="false">F23/INDEX(B4_EffCache,1,2)</f>
        <v>0.00011787124238965</v>
      </c>
      <c r="G25" s="95" t="n">
        <f aca="false">G23/INDEX(B4_EffCache,1,2)</f>
        <v>0.00011787124238965</v>
      </c>
      <c r="H25" s="95" t="n">
        <f aca="false">H23/INDEX(B4_EffCache,1,2)</f>
        <v>0.00011787124238965</v>
      </c>
      <c r="I25" s="95" t="n">
        <f aca="false">I23/INDEX(B4_EffCache,1,2)</f>
        <v>0.00011787124238965</v>
      </c>
      <c r="J25" s="95" t="n">
        <f aca="false">J23/INDEX(B4_EffCache,1,2)</f>
        <v>0.00011787124238965</v>
      </c>
      <c r="K25" s="95" t="n">
        <f aca="false">K23/INDEX(B4_EffCache,1,2)</f>
        <v>0.00011787124238965</v>
      </c>
      <c r="L25" s="95" t="n">
        <f aca="false">L23/INDEX(B4_EffCache,1,2)</f>
        <v>0.00011787124238965</v>
      </c>
      <c r="M25" s="95" t="n">
        <f aca="false">M23/INDEX(B4_EffCache,1,2)</f>
        <v>0.00011787124238965</v>
      </c>
      <c r="N25" s="95" t="n">
        <f aca="false">N23/INDEX(B4_EffCache,1,2)</f>
        <v>0.00011787124238965</v>
      </c>
      <c r="O25" s="95" t="n">
        <f aca="false">O23/INDEX(B4_EffCache,1,2)</f>
        <v>0.00011787124238965</v>
      </c>
      <c r="P25" s="95" t="n">
        <f aca="false">P23/INDEX(B4_EffCache,1,2)</f>
        <v>0.00011787124238965</v>
      </c>
      <c r="Q25" s="95" t="n">
        <f aca="false">Q23/INDEX(B4_EffCache,1,2)</f>
        <v>0.00011787124238965</v>
      </c>
    </row>
    <row r="27" customFormat="false" ht="15" hidden="false" customHeight="false" outlineLevel="0" collapsed="false">
      <c r="A27" s="68" t="s">
        <v>221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6" t="s">
        <v>1281</v>
      </c>
      <c r="B28" s="54" t="s">
        <v>228</v>
      </c>
      <c r="C28" s="55" t="n">
        <f aca="false">Arch!$E$25</f>
        <v>57600</v>
      </c>
      <c r="D28" s="55" t="n">
        <f aca="false">Arch!$E$25</f>
        <v>57600</v>
      </c>
      <c r="E28" s="55" t="n">
        <f aca="false">Arch!$E$25</f>
        <v>57600</v>
      </c>
      <c r="F28" s="55" t="n">
        <f aca="false">Arch!$E$25</f>
        <v>57600</v>
      </c>
      <c r="G28" s="55" t="n">
        <f aca="false">Arch!$E$25</f>
        <v>57600</v>
      </c>
      <c r="H28" s="55" t="n">
        <f aca="false">Arch!$E$25</f>
        <v>57600</v>
      </c>
      <c r="I28" s="55" t="n">
        <f aca="false">Arch!$E$25</f>
        <v>57600</v>
      </c>
      <c r="J28" s="55" t="n">
        <f aca="false">Arch!$E$25</f>
        <v>57600</v>
      </c>
      <c r="K28" s="55" t="n">
        <f aca="false">Arch!$E$25</f>
        <v>57600</v>
      </c>
      <c r="L28" s="55" t="n">
        <f aca="false">Arch!$E$25</f>
        <v>57600</v>
      </c>
      <c r="M28" s="55" t="n">
        <f aca="false">Arch!$E$25</f>
        <v>57600</v>
      </c>
      <c r="N28" s="55" t="n">
        <f aca="false">Arch!$E$25</f>
        <v>57600</v>
      </c>
      <c r="O28" s="55" t="n">
        <f aca="false">Arch!$E$25</f>
        <v>57600</v>
      </c>
      <c r="P28" s="55" t="n">
        <f aca="false">Arch!$E$25</f>
        <v>57600</v>
      </c>
      <c r="Q28" s="55" t="n">
        <f aca="false">Arch!$E$25</f>
        <v>57600</v>
      </c>
    </row>
    <row r="29" customFormat="false" ht="15" hidden="false" customHeight="false" outlineLevel="0" collapsed="false">
      <c r="A29" s="5" t="s">
        <v>1286</v>
      </c>
      <c r="B29" s="54" t="s">
        <v>758</v>
      </c>
      <c r="C29" s="147" t="n">
        <f aca="false">C28*1000000/1000000000*C$13*B4_Retain/B4_Hits</f>
        <v>0.000273972602739726</v>
      </c>
      <c r="D29" s="147" t="n">
        <f aca="false">D28*1000000/1000000000*D$13*B4_Retain/B4_Hits</f>
        <v>0.000273972602739726</v>
      </c>
      <c r="E29" s="147" t="n">
        <f aca="false">E28*1000000/1000000000*E$13*B4_Retain/B4_Hits</f>
        <v>0.000273972602739726</v>
      </c>
      <c r="F29" s="147" t="n">
        <f aca="false">F28*1000000/1000000000*F$13*B4_Retain/B4_Hits</f>
        <v>0.000273972602739726</v>
      </c>
      <c r="G29" s="147" t="n">
        <f aca="false">G28*1000000/1000000000*G$13*B4_Retain/B4_Hits</f>
        <v>0.000273972602739726</v>
      </c>
      <c r="H29" s="147" t="n">
        <f aca="false">H28*1000000/1000000000*H$13*B4_Retain/B4_Hits</f>
        <v>0.000273972602739726</v>
      </c>
      <c r="I29" s="147" t="n">
        <f aca="false">I28*1000000/1000000000*I$13*B4_Retain/B4_Hits</f>
        <v>0.000273972602739726</v>
      </c>
      <c r="J29" s="147" t="n">
        <f aca="false">J28*1000000/1000000000*J$13*B4_Retain/B4_Hits</f>
        <v>0.000273972602739726</v>
      </c>
      <c r="K29" s="147" t="n">
        <f aca="false">K28*1000000/1000000000*K$13*B4_Retain/B4_Hits</f>
        <v>0.000273972602739726</v>
      </c>
      <c r="L29" s="147" t="n">
        <f aca="false">L28*1000000/1000000000*L$13*B4_Retain/B4_Hits</f>
        <v>0.000273972602739726</v>
      </c>
      <c r="M29" s="147" t="n">
        <f aca="false">M28*1000000/1000000000*M$13*B4_Retain/B4_Hits</f>
        <v>0.000273972602739726</v>
      </c>
      <c r="N29" s="147" t="n">
        <f aca="false">N28*1000000/1000000000*N$13*B4_Retain/B4_Hits</f>
        <v>0.000273972602739726</v>
      </c>
      <c r="O29" s="147" t="n">
        <f aca="false">O28*1000000/1000000000*O$13*B4_Retain/B4_Hits</f>
        <v>0.000273972602739726</v>
      </c>
      <c r="P29" s="147" t="n">
        <f aca="false">P28*1000000/1000000000*P$13*B4_Retain/B4_Hits</f>
        <v>0.000273972602739726</v>
      </c>
      <c r="Q29" s="147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1283</v>
      </c>
      <c r="B30" s="54" t="s">
        <v>75</v>
      </c>
      <c r="C30" s="69" t="n">
        <f aca="false">IF(INDEX(IF_CostCache_Astra,1,C$7)&gt;0,C29/INDEX(IF_CostCache_Astra,1,C$7),0)</f>
        <v>1.53866476569163</v>
      </c>
      <c r="D30" s="69" t="n">
        <f aca="false">IF(INDEX(IF_CostCache_Astra,1,D$7)&gt;0,D29/INDEX(IF_CostCache_Astra,1,D$7),0)</f>
        <v>1.06685205912956</v>
      </c>
      <c r="E30" s="69" t="n">
        <f aca="false">IF(INDEX(IF_CostCache_Astra,1,E$7)&gt;0,E29/INDEX(IF_CostCache_Astra,1,E$7),0)</f>
        <v>0.618794512629808</v>
      </c>
      <c r="F30" s="69" t="n">
        <f aca="false">IF(INDEX(IF_CostCache_Astra,1,F$7)&gt;0,F29/INDEX(IF_CostCache_Astra,1,F$7),0)</f>
        <v>1.10470212373221</v>
      </c>
      <c r="G30" s="69" t="n">
        <f aca="false">IF(INDEX(IF_CostCache_Astra,1,G$7)&gt;0,G29/INDEX(IF_CostCache_Astra,1,G$7),0)</f>
        <v>0.820688566165345</v>
      </c>
      <c r="H30" s="69" t="n">
        <f aca="false">IF(INDEX(IF_CostCache_Astra,1,H$7)&gt;0,H29/INDEX(IF_CostCache_Astra,1,H$7),0)</f>
        <v>0.504457480559496</v>
      </c>
      <c r="I30" s="69" t="n">
        <f aca="false">IF(INDEX(IF_CostCache_Astra,1,I$7)&gt;0,I29/INDEX(IF_CostCache_Astra,1,I$7),0)</f>
        <v>0.83894855341484</v>
      </c>
      <c r="J30" s="69" t="n">
        <f aca="false">IF(INDEX(IF_CostCache_Astra,1,J$7)&gt;0,J29/INDEX(IF_CostCache_Astra,1,J$7),0)</f>
        <v>0.574087671034637</v>
      </c>
      <c r="K30" s="69" t="n">
        <f aca="false">IF(INDEX(IF_CostCache_Astra,1,K$7)&gt;0,K29/INDEX(IF_CostCache_Astra,1,K$7),0)</f>
        <v>0.306013739111799</v>
      </c>
      <c r="L30" s="69" t="n">
        <f aca="false">IF(INDEX(IF_CostCache_Astra,1,L$7)&gt;0,L29/INDEX(IF_CostCache_Astra,1,L$7),0)</f>
        <v>0.444881782410455</v>
      </c>
      <c r="M30" s="69" t="n">
        <f aca="false">IF(INDEX(IF_CostCache_Astra,1,M$7)&gt;0,M29/INDEX(IF_CostCache_Astra,1,M$7),0)</f>
        <v>0.342905076809034</v>
      </c>
      <c r="N30" s="69" t="n">
        <f aca="false">IF(INDEX(IF_CostCache_Astra,1,N$7)&gt;0,N29/INDEX(IF_CostCache_Astra,1,N$7),0)</f>
        <v>0.211632705071946</v>
      </c>
      <c r="O30" s="69" t="n">
        <f aca="false">IF(INDEX(IF_CostCache_Astra,1,O$7)&gt;0,O29/INDEX(IF_CostCache_Astra,1,O$7),0)</f>
        <v>0.27949985363474</v>
      </c>
      <c r="P30" s="69" t="n">
        <f aca="false">IF(INDEX(IF_CostCache_Astra,1,P$7)&gt;0,P29/INDEX(IF_CostCache_Astra,1,P$7),0)</f>
        <v>0.181798305880219</v>
      </c>
      <c r="Q30" s="69" t="n">
        <f aca="false">IF(INDEX(IF_CostCache_Astra,1,Q$7)&gt;0,Q29/INDEX(IF_CostCache_Astra,1,Q$7),0)</f>
        <v>0.099183098952492</v>
      </c>
    </row>
    <row r="31" customFormat="false" ht="15" hidden="false" customHeight="false" outlineLevel="0" collapsed="false">
      <c r="A31" s="5" t="s">
        <v>1284</v>
      </c>
      <c r="B31" s="54" t="s">
        <v>71</v>
      </c>
      <c r="C31" s="95" t="n">
        <f aca="false">C29/INDEX(B4_EffCache,1,3)</f>
        <v>0.000342465753424657</v>
      </c>
      <c r="D31" s="95" t="n">
        <f aca="false">D29/INDEX(B4_EffCache,1,3)</f>
        <v>0.000342465753424657</v>
      </c>
      <c r="E31" s="95" t="n">
        <f aca="false">E29/INDEX(B4_EffCache,1,3)</f>
        <v>0.000342465753424657</v>
      </c>
      <c r="F31" s="95" t="n">
        <f aca="false">F29/INDEX(B4_EffCache,1,3)</f>
        <v>0.000342465753424657</v>
      </c>
      <c r="G31" s="95" t="n">
        <f aca="false">G29/INDEX(B4_EffCache,1,3)</f>
        <v>0.000342465753424657</v>
      </c>
      <c r="H31" s="95" t="n">
        <f aca="false">H29/INDEX(B4_EffCache,1,3)</f>
        <v>0.000342465753424657</v>
      </c>
      <c r="I31" s="95" t="n">
        <f aca="false">I29/INDEX(B4_EffCache,1,3)</f>
        <v>0.000342465753424657</v>
      </c>
      <c r="J31" s="95" t="n">
        <f aca="false">J29/INDEX(B4_EffCache,1,3)</f>
        <v>0.000342465753424657</v>
      </c>
      <c r="K31" s="95" t="n">
        <f aca="false">K29/INDEX(B4_EffCache,1,3)</f>
        <v>0.000342465753424657</v>
      </c>
      <c r="L31" s="95" t="n">
        <f aca="false">L29/INDEX(B4_EffCache,1,3)</f>
        <v>0.000342465753424657</v>
      </c>
      <c r="M31" s="95" t="n">
        <f aca="false">M29/INDEX(B4_EffCache,1,3)</f>
        <v>0.000342465753424657</v>
      </c>
      <c r="N31" s="95" t="n">
        <f aca="false">N29/INDEX(B4_EffCache,1,3)</f>
        <v>0.000342465753424657</v>
      </c>
      <c r="O31" s="95" t="n">
        <f aca="false">O29/INDEX(B4_EffCache,1,3)</f>
        <v>0.000342465753424657</v>
      </c>
      <c r="P31" s="95" t="n">
        <f aca="false">P29/INDEX(B4_EffCache,1,3)</f>
        <v>0.000342465753424657</v>
      </c>
      <c r="Q31" s="95" t="n">
        <f aca="false">Q29/INDEX(B4_EffCache,1,3)</f>
        <v>0.000342465753424657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17.15" hidden="false" customHeight="false" outlineLevel="0" collapsed="false">
      <c r="A1" s="49" t="s">
        <v>1287</v>
      </c>
    </row>
    <row r="2" customFormat="false" ht="15" hidden="false" customHeight="false" outlineLevel="0" collapsed="false">
      <c r="A2" s="66" t="s">
        <v>1288</v>
      </c>
    </row>
    <row r="4" customFormat="false" ht="15" hidden="false" customHeight="false" outlineLevel="0" collapsed="false">
      <c r="A4" s="51" t="s">
        <v>136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51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51" t="s">
        <v>407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51" t="s">
        <v>1274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8" t="s">
        <v>1289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" t="s">
        <v>1290</v>
      </c>
      <c r="B10" s="54" t="s">
        <v>63</v>
      </c>
      <c r="C10" s="107" t="n">
        <f aca="false">B4_Serve</f>
        <v>0.41</v>
      </c>
      <c r="D10" s="107" t="n">
        <f aca="false">B4_Serve</f>
        <v>0.41</v>
      </c>
      <c r="E10" s="107" t="n">
        <f aca="false">B4_Serve</f>
        <v>0.41</v>
      </c>
      <c r="F10" s="107" t="n">
        <f aca="false">B4_Serve</f>
        <v>0.41</v>
      </c>
      <c r="G10" s="107" t="n">
        <f aca="false">B4_Serve</f>
        <v>0.41</v>
      </c>
      <c r="H10" s="107" t="n">
        <f aca="false">B4_Serve</f>
        <v>0.41</v>
      </c>
      <c r="I10" s="107" t="n">
        <f aca="false">B4_Serve</f>
        <v>0.41</v>
      </c>
      <c r="J10" s="107" t="n">
        <f aca="false">B4_Serve</f>
        <v>0.41</v>
      </c>
      <c r="K10" s="107" t="n">
        <f aca="false">B4_Serve</f>
        <v>0.41</v>
      </c>
      <c r="L10" s="107" t="n">
        <f aca="false">B4_Serve</f>
        <v>0.41</v>
      </c>
      <c r="M10" s="107" t="n">
        <f aca="false">B4_Serve</f>
        <v>0.41</v>
      </c>
      <c r="N10" s="107" t="n">
        <f aca="false">B4_Serve</f>
        <v>0.41</v>
      </c>
      <c r="O10" s="107" t="n">
        <f aca="false">B4_Serve</f>
        <v>0.41</v>
      </c>
      <c r="P10" s="107" t="n">
        <f aca="false">B4_Serve</f>
        <v>0.41</v>
      </c>
      <c r="Q10" s="107" t="n">
        <f aca="false">B4_Serve</f>
        <v>0.41</v>
      </c>
    </row>
    <row r="11" customFormat="false" ht="15" hidden="false" customHeight="false" outlineLevel="0" collapsed="false">
      <c r="A11" s="5" t="s">
        <v>1291</v>
      </c>
      <c r="B11" s="54" t="s">
        <v>63</v>
      </c>
      <c r="C11" s="99" t="n">
        <f aca="false">B4_Serve*(1-B4_Free)</f>
        <v>0.2214</v>
      </c>
      <c r="D11" s="99" t="n">
        <f aca="false">B4_Serve*(1-B4_Free)</f>
        <v>0.2214</v>
      </c>
      <c r="E11" s="99" t="n">
        <f aca="false">B4_Serve*(1-B4_Free)</f>
        <v>0.2214</v>
      </c>
      <c r="F11" s="99" t="n">
        <f aca="false">B4_Serve*(1-B4_Free)</f>
        <v>0.2214</v>
      </c>
      <c r="G11" s="99" t="n">
        <f aca="false">B4_Serve*(1-B4_Free)</f>
        <v>0.2214</v>
      </c>
      <c r="H11" s="99" t="n">
        <f aca="false">B4_Serve*(1-B4_Free)</f>
        <v>0.2214</v>
      </c>
      <c r="I11" s="99" t="n">
        <f aca="false">B4_Serve*(1-B4_Free)</f>
        <v>0.2214</v>
      </c>
      <c r="J11" s="99" t="n">
        <f aca="false">B4_Serve*(1-B4_Free)</f>
        <v>0.2214</v>
      </c>
      <c r="K11" s="99" t="n">
        <f aca="false">B4_Serve*(1-B4_Free)</f>
        <v>0.2214</v>
      </c>
      <c r="L11" s="99" t="n">
        <f aca="false">B4_Serve*(1-B4_Free)</f>
        <v>0.2214</v>
      </c>
      <c r="M11" s="99" t="n">
        <f aca="false">B4_Serve*(1-B4_Free)</f>
        <v>0.2214</v>
      </c>
      <c r="N11" s="99" t="n">
        <f aca="false">B4_Serve*(1-B4_Free)</f>
        <v>0.2214</v>
      </c>
      <c r="O11" s="99" t="n">
        <f aca="false">B4_Serve*(1-B4_Free)</f>
        <v>0.2214</v>
      </c>
      <c r="P11" s="99" t="n">
        <f aca="false">B4_Serve*(1-B4_Free)</f>
        <v>0.2214</v>
      </c>
      <c r="Q11" s="99" t="n">
        <f aca="false">B4_Serve*(1-B4_Free)</f>
        <v>0.2214</v>
      </c>
    </row>
    <row r="12" customFormat="false" ht="15" hidden="false" customHeight="false" outlineLevel="0" collapsed="false">
      <c r="A12" s="5" t="s">
        <v>1292</v>
      </c>
      <c r="B12" s="54" t="s">
        <v>63</v>
      </c>
      <c r="C12" s="107" t="n">
        <f aca="false">B4_Serve*B4_Free</f>
        <v>0.1886</v>
      </c>
      <c r="D12" s="107" t="n">
        <f aca="false">B4_Serve*B4_Free</f>
        <v>0.1886</v>
      </c>
      <c r="E12" s="107" t="n">
        <f aca="false">B4_Serve*B4_Free</f>
        <v>0.1886</v>
      </c>
      <c r="F12" s="107" t="n">
        <f aca="false">B4_Serve*B4_Free</f>
        <v>0.1886</v>
      </c>
      <c r="G12" s="107" t="n">
        <f aca="false">B4_Serve*B4_Free</f>
        <v>0.1886</v>
      </c>
      <c r="H12" s="107" t="n">
        <f aca="false">B4_Serve*B4_Free</f>
        <v>0.1886</v>
      </c>
      <c r="I12" s="107" t="n">
        <f aca="false">B4_Serve*B4_Free</f>
        <v>0.1886</v>
      </c>
      <c r="J12" s="107" t="n">
        <f aca="false">B4_Serve*B4_Free</f>
        <v>0.1886</v>
      </c>
      <c r="K12" s="107" t="n">
        <f aca="false">B4_Serve*B4_Free</f>
        <v>0.1886</v>
      </c>
      <c r="L12" s="107" t="n">
        <f aca="false">B4_Serve*B4_Free</f>
        <v>0.1886</v>
      </c>
      <c r="M12" s="107" t="n">
        <f aca="false">B4_Serve*B4_Free</f>
        <v>0.1886</v>
      </c>
      <c r="N12" s="107" t="n">
        <f aca="false">B4_Serve*B4_Free</f>
        <v>0.1886</v>
      </c>
      <c r="O12" s="107" t="n">
        <f aca="false">B4_Serve*B4_Free</f>
        <v>0.1886</v>
      </c>
      <c r="P12" s="107" t="n">
        <f aca="false">B4_Serve*B4_Free</f>
        <v>0.1886</v>
      </c>
      <c r="Q12" s="107" t="n">
        <f aca="false">B4_Serve*B4_Free</f>
        <v>0.1886</v>
      </c>
    </row>
    <row r="13" customFormat="false" ht="15" hidden="false" customHeight="false" outlineLevel="0" collapsed="false">
      <c r="A13" s="5" t="s">
        <v>1293</v>
      </c>
      <c r="B13" s="54" t="s">
        <v>63</v>
      </c>
      <c r="C13" s="99" t="n">
        <f aca="false">1-B4_Serve</f>
        <v>0.59</v>
      </c>
      <c r="D13" s="99" t="n">
        <f aca="false">1-B4_Serve</f>
        <v>0.59</v>
      </c>
      <c r="E13" s="99" t="n">
        <f aca="false">1-B4_Serve</f>
        <v>0.59</v>
      </c>
      <c r="F13" s="99" t="n">
        <f aca="false">1-B4_Serve</f>
        <v>0.59</v>
      </c>
      <c r="G13" s="99" t="n">
        <f aca="false">1-B4_Serve</f>
        <v>0.59</v>
      </c>
      <c r="H13" s="99" t="n">
        <f aca="false">1-B4_Serve</f>
        <v>0.59</v>
      </c>
      <c r="I13" s="99" t="n">
        <f aca="false">1-B4_Serve</f>
        <v>0.59</v>
      </c>
      <c r="J13" s="99" t="n">
        <f aca="false">1-B4_Serve</f>
        <v>0.59</v>
      </c>
      <c r="K13" s="99" t="n">
        <f aca="false">1-B4_Serve</f>
        <v>0.59</v>
      </c>
      <c r="L13" s="99" t="n">
        <f aca="false">1-B4_Serve</f>
        <v>0.59</v>
      </c>
      <c r="M13" s="99" t="n">
        <f aca="false">1-B4_Serve</f>
        <v>0.59</v>
      </c>
      <c r="N13" s="99" t="n">
        <f aca="false">1-B4_Serve</f>
        <v>0.59</v>
      </c>
      <c r="O13" s="99" t="n">
        <f aca="false">1-B4_Serve</f>
        <v>0.59</v>
      </c>
      <c r="P13" s="99" t="n">
        <f aca="false">1-B4_Serve</f>
        <v>0.59</v>
      </c>
      <c r="Q13" s="99" t="n">
        <f aca="false">1-B4_Serve</f>
        <v>0.59</v>
      </c>
    </row>
    <row r="14" customFormat="false" ht="15" hidden="false" customHeight="false" outlineLevel="0" collapsed="false">
      <c r="A14" s="5" t="s">
        <v>1294</v>
      </c>
      <c r="B14" s="54" t="s">
        <v>63</v>
      </c>
      <c r="C14" s="107" t="n">
        <f aca="false">(1-B4_Serve)/IF_RDMult</f>
        <v>0.07375</v>
      </c>
      <c r="D14" s="107" t="n">
        <f aca="false">(1-B4_Serve)/IF_RDMult</f>
        <v>0.07375</v>
      </c>
      <c r="E14" s="107" t="n">
        <f aca="false">(1-B4_Serve)/IF_RDMult</f>
        <v>0.07375</v>
      </c>
      <c r="F14" s="107" t="n">
        <f aca="false">(1-B4_Serve)/IF_RDMult</f>
        <v>0.07375</v>
      </c>
      <c r="G14" s="107" t="n">
        <f aca="false">(1-B4_Serve)/IF_RDMult</f>
        <v>0.07375</v>
      </c>
      <c r="H14" s="107" t="n">
        <f aca="false">(1-B4_Serve)/IF_RDMult</f>
        <v>0.07375</v>
      </c>
      <c r="I14" s="107" t="n">
        <f aca="false">(1-B4_Serve)/IF_RDMult</f>
        <v>0.07375</v>
      </c>
      <c r="J14" s="107" t="n">
        <f aca="false">(1-B4_Serve)/IF_RDMult</f>
        <v>0.07375</v>
      </c>
      <c r="K14" s="107" t="n">
        <f aca="false">(1-B4_Serve)/IF_RDMult</f>
        <v>0.07375</v>
      </c>
      <c r="L14" s="107" t="n">
        <f aca="false">(1-B4_Serve)/IF_RDMult</f>
        <v>0.07375</v>
      </c>
      <c r="M14" s="107" t="n">
        <f aca="false">(1-B4_Serve)/IF_RDMult</f>
        <v>0.07375</v>
      </c>
      <c r="N14" s="107" t="n">
        <f aca="false">(1-B4_Serve)/IF_RDMult</f>
        <v>0.07375</v>
      </c>
      <c r="O14" s="107" t="n">
        <f aca="false">(1-B4_Serve)/IF_RDMult</f>
        <v>0.07375</v>
      </c>
      <c r="P14" s="107" t="n">
        <f aca="false">(1-B4_Serve)/IF_RDMult</f>
        <v>0.07375</v>
      </c>
      <c r="Q14" s="107" t="n">
        <f aca="false">(1-B4_Serve)/IF_RDMult</f>
        <v>0.07375</v>
      </c>
    </row>
    <row r="15" customFormat="false" ht="15" hidden="false" customHeight="false" outlineLevel="0" collapsed="false">
      <c r="A15" s="5" t="s">
        <v>1295</v>
      </c>
      <c r="B15" s="54" t="s">
        <v>63</v>
      </c>
      <c r="C15" s="107" t="n">
        <f aca="false">(1-B4_Serve)*(1-1/IF_RDMult)</f>
        <v>0.51625</v>
      </c>
      <c r="D15" s="107" t="n">
        <f aca="false">(1-B4_Serve)*(1-1/IF_RDMult)</f>
        <v>0.51625</v>
      </c>
      <c r="E15" s="107" t="n">
        <f aca="false">(1-B4_Serve)*(1-1/IF_RDMult)</f>
        <v>0.51625</v>
      </c>
      <c r="F15" s="107" t="n">
        <f aca="false">(1-B4_Serve)*(1-1/IF_RDMult)</f>
        <v>0.51625</v>
      </c>
      <c r="G15" s="107" t="n">
        <f aca="false">(1-B4_Serve)*(1-1/IF_RDMult)</f>
        <v>0.51625</v>
      </c>
      <c r="H15" s="107" t="n">
        <f aca="false">(1-B4_Serve)*(1-1/IF_RDMult)</f>
        <v>0.51625</v>
      </c>
      <c r="I15" s="107" t="n">
        <f aca="false">(1-B4_Serve)*(1-1/IF_RDMult)</f>
        <v>0.51625</v>
      </c>
      <c r="J15" s="107" t="n">
        <f aca="false">(1-B4_Serve)*(1-1/IF_RDMult)</f>
        <v>0.51625</v>
      </c>
      <c r="K15" s="107" t="n">
        <f aca="false">(1-B4_Serve)*(1-1/IF_RDMult)</f>
        <v>0.51625</v>
      </c>
      <c r="L15" s="107" t="n">
        <f aca="false">(1-B4_Serve)*(1-1/IF_RDMult)</f>
        <v>0.51625</v>
      </c>
      <c r="M15" s="107" t="n">
        <f aca="false">(1-B4_Serve)*(1-1/IF_RDMult)</f>
        <v>0.51625</v>
      </c>
      <c r="N15" s="107" t="n">
        <f aca="false">(1-B4_Serve)*(1-1/IF_RDMult)</f>
        <v>0.51625</v>
      </c>
      <c r="O15" s="107" t="n">
        <f aca="false">(1-B4_Serve)*(1-1/IF_RDMult)</f>
        <v>0.51625</v>
      </c>
      <c r="P15" s="107" t="n">
        <f aca="false">(1-B4_Serve)*(1-1/IF_RDMult)</f>
        <v>0.51625</v>
      </c>
      <c r="Q15" s="107" t="n">
        <f aca="false">(1-B4_Serve)*(1-1/IF_RDMult)</f>
        <v>0.51625</v>
      </c>
    </row>
    <row r="17" customFormat="false" ht="15" hidden="false" customHeight="false" outlineLevel="0" collapsed="false">
      <c r="A17" s="68" t="s">
        <v>1296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</row>
    <row r="18" customFormat="false" ht="15" hidden="false" customHeight="false" outlineLevel="0" collapsed="false">
      <c r="A18" s="5" t="s">
        <v>1297</v>
      </c>
      <c r="B18" s="53" t="s">
        <v>1298</v>
      </c>
      <c r="C18" s="104" t="n">
        <f aca="false">IF(AND(AND(OR(INDEX(B4_MixPaid,1,1)=0,INDEX(IF_TokGW_Luna,1,C$7)&gt;0),OR(INDEX(B4_MixPaid,1,2)=0,INDEX(IF_TokGW_Sol,1,C$7)&gt;0),OR(INDEX(B4_MixPaid,1,3)=0,INDEX(IF_TokGW_Astra,1,C$7)&gt;0)),AND(OR(INDEX(B4_MixFree,1,1)=0,INDEX(IF_TokGW_Luna,1,C$7)&gt;0),OR(INDEX(B4_MixFree,1,2)=0,INDEX(IF_TokGW_Sol,1,C$7)&gt;0),OR(INDEX(B4_MixFree,1,3)=0,INDEX(IF_TokGW_Astra,1,C$7)&gt;0))),1,0)</f>
        <v>1</v>
      </c>
      <c r="D18" s="104" t="n">
        <f aca="false">IF(AND(AND(OR(INDEX(B4_MixPaid,1,1)=0,INDEX(IF_TokGW_Luna,1,D$7)&gt;0),OR(INDEX(B4_MixPaid,1,2)=0,INDEX(IF_TokGW_Sol,1,D$7)&gt;0),OR(INDEX(B4_MixPaid,1,3)=0,INDEX(IF_TokGW_Astra,1,D$7)&gt;0)),AND(OR(INDEX(B4_MixFree,1,1)=0,INDEX(IF_TokGW_Luna,1,D$7)&gt;0),OR(INDEX(B4_MixFree,1,2)=0,INDEX(IF_TokGW_Sol,1,D$7)&gt;0),OR(INDEX(B4_MixFree,1,3)=0,INDEX(IF_TokGW_Astra,1,D$7)&gt;0))),1,0)</f>
        <v>1</v>
      </c>
      <c r="E18" s="104" t="n">
        <f aca="false">IF(AND(AND(OR(INDEX(B4_MixPaid,1,1)=0,INDEX(IF_TokGW_Luna,1,E$7)&gt;0),OR(INDEX(B4_MixPaid,1,2)=0,INDEX(IF_TokGW_Sol,1,E$7)&gt;0),OR(INDEX(B4_MixPaid,1,3)=0,INDEX(IF_TokGW_Astra,1,E$7)&gt;0)),AND(OR(INDEX(B4_MixFree,1,1)=0,INDEX(IF_TokGW_Luna,1,E$7)&gt;0),OR(INDEX(B4_MixFree,1,2)=0,INDEX(IF_TokGW_Sol,1,E$7)&gt;0),OR(INDEX(B4_MixFree,1,3)=0,INDEX(IF_TokGW_Astra,1,E$7)&gt;0))),1,0)</f>
        <v>1</v>
      </c>
      <c r="F18" s="104" t="n">
        <f aca="false">IF(AND(AND(OR(INDEX(B4_MixPaid,1,1)=0,INDEX(IF_TokGW_Luna,1,F$7)&gt;0),OR(INDEX(B4_MixPaid,1,2)=0,INDEX(IF_TokGW_Sol,1,F$7)&gt;0),OR(INDEX(B4_MixPaid,1,3)=0,INDEX(IF_TokGW_Astra,1,F$7)&gt;0)),AND(OR(INDEX(B4_MixFree,1,1)=0,INDEX(IF_TokGW_Luna,1,F$7)&gt;0),OR(INDEX(B4_MixFree,1,2)=0,INDEX(IF_TokGW_Sol,1,F$7)&gt;0),OR(INDEX(B4_MixFree,1,3)=0,INDEX(IF_TokGW_Astra,1,F$7)&gt;0))),1,0)</f>
        <v>1</v>
      </c>
      <c r="G18" s="104" t="n">
        <f aca="false">IF(AND(AND(OR(INDEX(B4_MixPaid,1,1)=0,INDEX(IF_TokGW_Luna,1,G$7)&gt;0),OR(INDEX(B4_MixPaid,1,2)=0,INDEX(IF_TokGW_Sol,1,G$7)&gt;0),OR(INDEX(B4_MixPaid,1,3)=0,INDEX(IF_TokGW_Astra,1,G$7)&gt;0)),AND(OR(INDEX(B4_MixFree,1,1)=0,INDEX(IF_TokGW_Luna,1,G$7)&gt;0),OR(INDEX(B4_MixFree,1,2)=0,INDEX(IF_TokGW_Sol,1,G$7)&gt;0),OR(INDEX(B4_MixFree,1,3)=0,INDEX(IF_TokGW_Astra,1,G$7)&gt;0))),1,0)</f>
        <v>1</v>
      </c>
      <c r="H18" s="104" t="n">
        <f aca="false">IF(AND(AND(OR(INDEX(B4_MixPaid,1,1)=0,INDEX(IF_TokGW_Luna,1,H$7)&gt;0),OR(INDEX(B4_MixPaid,1,2)=0,INDEX(IF_TokGW_Sol,1,H$7)&gt;0),OR(INDEX(B4_MixPaid,1,3)=0,INDEX(IF_TokGW_Astra,1,H$7)&gt;0)),AND(OR(INDEX(B4_MixFree,1,1)=0,INDEX(IF_TokGW_Luna,1,H$7)&gt;0),OR(INDEX(B4_MixFree,1,2)=0,INDEX(IF_TokGW_Sol,1,H$7)&gt;0),OR(INDEX(B4_MixFree,1,3)=0,INDEX(IF_TokGW_Astra,1,H$7)&gt;0))),1,0)</f>
        <v>1</v>
      </c>
      <c r="I18" s="104" t="n">
        <f aca="false">IF(AND(AND(OR(INDEX(B4_MixPaid,1,1)=0,INDEX(IF_TokGW_Luna,1,I$7)&gt;0),OR(INDEX(B4_MixPaid,1,2)=0,INDEX(IF_TokGW_Sol,1,I$7)&gt;0),OR(INDEX(B4_MixPaid,1,3)=0,INDEX(IF_TokGW_Astra,1,I$7)&gt;0)),AND(OR(INDEX(B4_MixFree,1,1)=0,INDEX(IF_TokGW_Luna,1,I$7)&gt;0),OR(INDEX(B4_MixFree,1,2)=0,INDEX(IF_TokGW_Sol,1,I$7)&gt;0),OR(INDEX(B4_MixFree,1,3)=0,INDEX(IF_TokGW_Astra,1,I$7)&gt;0))),1,0)</f>
        <v>1</v>
      </c>
      <c r="J18" s="104" t="n">
        <f aca="false">IF(AND(AND(OR(INDEX(B4_MixPaid,1,1)=0,INDEX(IF_TokGW_Luna,1,J$7)&gt;0),OR(INDEX(B4_MixPaid,1,2)=0,INDEX(IF_TokGW_Sol,1,J$7)&gt;0),OR(INDEX(B4_MixPaid,1,3)=0,INDEX(IF_TokGW_Astra,1,J$7)&gt;0)),AND(OR(INDEX(B4_MixFree,1,1)=0,INDEX(IF_TokGW_Luna,1,J$7)&gt;0),OR(INDEX(B4_MixFree,1,2)=0,INDEX(IF_TokGW_Sol,1,J$7)&gt;0),OR(INDEX(B4_MixFree,1,3)=0,INDEX(IF_TokGW_Astra,1,J$7)&gt;0))),1,0)</f>
        <v>1</v>
      </c>
      <c r="K18" s="104" t="n">
        <f aca="false">IF(AND(AND(OR(INDEX(B4_MixPaid,1,1)=0,INDEX(IF_TokGW_Luna,1,K$7)&gt;0),OR(INDEX(B4_MixPaid,1,2)=0,INDEX(IF_TokGW_Sol,1,K$7)&gt;0),OR(INDEX(B4_MixPaid,1,3)=0,INDEX(IF_TokGW_Astra,1,K$7)&gt;0)),AND(OR(INDEX(B4_MixFree,1,1)=0,INDEX(IF_TokGW_Luna,1,K$7)&gt;0),OR(INDEX(B4_MixFree,1,2)=0,INDEX(IF_TokGW_Sol,1,K$7)&gt;0),OR(INDEX(B4_MixFree,1,3)=0,INDEX(IF_TokGW_Astra,1,K$7)&gt;0))),1,0)</f>
        <v>1</v>
      </c>
      <c r="L18" s="104" t="n">
        <f aca="false">IF(AND(AND(OR(INDEX(B4_MixPaid,1,1)=0,INDEX(IF_TokGW_Luna,1,L$7)&gt;0),OR(INDEX(B4_MixPaid,1,2)=0,INDEX(IF_TokGW_Sol,1,L$7)&gt;0),OR(INDEX(B4_MixPaid,1,3)=0,INDEX(IF_TokGW_Astra,1,L$7)&gt;0)),AND(OR(INDEX(B4_MixFree,1,1)=0,INDEX(IF_TokGW_Luna,1,L$7)&gt;0),OR(INDEX(B4_MixFree,1,2)=0,INDEX(IF_TokGW_Sol,1,L$7)&gt;0),OR(INDEX(B4_MixFree,1,3)=0,INDEX(IF_TokGW_Astra,1,L$7)&gt;0))),1,0)</f>
        <v>1</v>
      </c>
      <c r="M18" s="104" t="n">
        <f aca="false">IF(AND(AND(OR(INDEX(B4_MixPaid,1,1)=0,INDEX(IF_TokGW_Luna,1,M$7)&gt;0),OR(INDEX(B4_MixPaid,1,2)=0,INDEX(IF_TokGW_Sol,1,M$7)&gt;0),OR(INDEX(B4_MixPaid,1,3)=0,INDEX(IF_TokGW_Astra,1,M$7)&gt;0)),AND(OR(INDEX(B4_MixFree,1,1)=0,INDEX(IF_TokGW_Luna,1,M$7)&gt;0),OR(INDEX(B4_MixFree,1,2)=0,INDEX(IF_TokGW_Sol,1,M$7)&gt;0),OR(INDEX(B4_MixFree,1,3)=0,INDEX(IF_TokGW_Astra,1,M$7)&gt;0))),1,0)</f>
        <v>1</v>
      </c>
      <c r="N18" s="104" t="n">
        <f aca="false">IF(AND(AND(OR(INDEX(B4_MixPaid,1,1)=0,INDEX(IF_TokGW_Luna,1,N$7)&gt;0),OR(INDEX(B4_MixPaid,1,2)=0,INDEX(IF_TokGW_Sol,1,N$7)&gt;0),OR(INDEX(B4_MixPaid,1,3)=0,INDEX(IF_TokGW_Astra,1,N$7)&gt;0)),AND(OR(INDEX(B4_MixFree,1,1)=0,INDEX(IF_TokGW_Luna,1,N$7)&gt;0),OR(INDEX(B4_MixFree,1,2)=0,INDEX(IF_TokGW_Sol,1,N$7)&gt;0),OR(INDEX(B4_MixFree,1,3)=0,INDEX(IF_TokGW_Astra,1,N$7)&gt;0))),1,0)</f>
        <v>1</v>
      </c>
      <c r="O18" s="104" t="n">
        <f aca="false">IF(AND(AND(OR(INDEX(B4_MixPaid,1,1)=0,INDEX(IF_TokGW_Luna,1,O$7)&gt;0),OR(INDEX(B4_MixPaid,1,2)=0,INDEX(IF_TokGW_Sol,1,O$7)&gt;0),OR(INDEX(B4_MixPaid,1,3)=0,INDEX(IF_TokGW_Astra,1,O$7)&gt;0)),AND(OR(INDEX(B4_MixFree,1,1)=0,INDEX(IF_TokGW_Luna,1,O$7)&gt;0),OR(INDEX(B4_MixFree,1,2)=0,INDEX(IF_TokGW_Sol,1,O$7)&gt;0),OR(INDEX(B4_MixFree,1,3)=0,INDEX(IF_TokGW_Astra,1,O$7)&gt;0))),1,0)</f>
        <v>1</v>
      </c>
      <c r="P18" s="104" t="n">
        <f aca="false">IF(AND(AND(OR(INDEX(B4_MixPaid,1,1)=0,INDEX(IF_TokGW_Luna,1,P$7)&gt;0),OR(INDEX(B4_MixPaid,1,2)=0,INDEX(IF_TokGW_Sol,1,P$7)&gt;0),OR(INDEX(B4_MixPaid,1,3)=0,INDEX(IF_TokGW_Astra,1,P$7)&gt;0)),AND(OR(INDEX(B4_MixFree,1,1)=0,INDEX(IF_TokGW_Luna,1,P$7)&gt;0),OR(INDEX(B4_MixFree,1,2)=0,INDEX(IF_TokGW_Sol,1,P$7)&gt;0),OR(INDEX(B4_MixFree,1,3)=0,INDEX(IF_TokGW_Astra,1,P$7)&gt;0))),1,0)</f>
        <v>1</v>
      </c>
      <c r="Q18" s="104" t="n">
        <f aca="false">IF(AND(AND(OR(INDEX(B4_MixPaid,1,1)=0,INDEX(IF_TokGW_Luna,1,Q$7)&gt;0),OR(INDEX(B4_MixPaid,1,2)=0,INDEX(IF_TokGW_Sol,1,Q$7)&gt;0),OR(INDEX(B4_MixPaid,1,3)=0,INDEX(IF_TokGW_Astra,1,Q$7)&gt;0)),AND(OR(INDEX(B4_MixFree,1,1)=0,INDEX(IF_TokGW_Luna,1,Q$7)&gt;0),OR(INDEX(B4_MixFree,1,2)=0,INDEX(IF_TokGW_Sol,1,Q$7)&gt;0),OR(INDEX(B4_MixFree,1,3)=0,INDEX(IF_TokGW_Astra,1,Q$7)&gt;0))),1,0)</f>
        <v>1</v>
      </c>
    </row>
    <row r="19" customFormat="false" ht="15" hidden="false" customHeight="false" outlineLevel="0" collapsed="false">
      <c r="A19" s="5" t="s">
        <v>1299</v>
      </c>
      <c r="B19" s="54" t="s">
        <v>750</v>
      </c>
      <c r="C19" s="60" t="n">
        <f aca="false">IF(C18=1,C11*IF_Util/(INDEX(B4_MixPaid,1,1)/INDEX(IF_TokGW_Luna,1,C$7)+INDEX(B4_MixPaid,1,2)/INDEX(IF_TokGW_Sol,1,C$7)+INDEX(B4_MixPaid,1,3)/INDEX(IF_TokGW_Astra,1,C$7)),"SLO 不可達")</f>
        <v>2042606048.98339</v>
      </c>
      <c r="D19" s="60" t="n">
        <f aca="false">IF(D18=1,D11*IF_Util/(INDEX(B4_MixPaid,1,1)/INDEX(IF_TokGW_Luna,1,D$7)+INDEX(B4_MixPaid,1,2)/INDEX(IF_TokGW_Sol,1,D$7)+INDEX(B4_MixPaid,1,3)/INDEX(IF_TokGW_Astra,1,D$7)),"SLO 不可達")</f>
        <v>2042606048.98339</v>
      </c>
      <c r="E19" s="60" t="n">
        <f aca="false">IF(E18=1,E11*IF_Util/(INDEX(B4_MixPaid,1,1)/INDEX(IF_TokGW_Luna,1,E$7)+INDEX(B4_MixPaid,1,2)/INDEX(IF_TokGW_Sol,1,E$7)+INDEX(B4_MixPaid,1,3)/INDEX(IF_TokGW_Astra,1,E$7)),"SLO 不可達")</f>
        <v>2042606048.98339</v>
      </c>
      <c r="F19" s="60" t="n">
        <f aca="false">IF(F18=1,F11*IF_Util/(INDEX(B4_MixPaid,1,1)/INDEX(IF_TokGW_Luna,1,F$7)+INDEX(B4_MixPaid,1,2)/INDEX(IF_TokGW_Sol,1,F$7)+INDEX(B4_MixPaid,1,3)/INDEX(IF_TokGW_Astra,1,F$7)),"SLO 不可達")</f>
        <v>10289624820.3576</v>
      </c>
      <c r="G19" s="60" t="n">
        <f aca="false">IF(G18=1,G11*IF_Util/(INDEX(B4_MixPaid,1,1)/INDEX(IF_TokGW_Luna,1,G$7)+INDEX(B4_MixPaid,1,2)/INDEX(IF_TokGW_Sol,1,G$7)+INDEX(B4_MixPaid,1,3)/INDEX(IF_TokGW_Astra,1,G$7)),"SLO 不可達")</f>
        <v>10289624820.3576</v>
      </c>
      <c r="H19" s="60" t="n">
        <f aca="false">IF(H18=1,H11*IF_Util/(INDEX(B4_MixPaid,1,1)/INDEX(IF_TokGW_Luna,1,H$7)+INDEX(B4_MixPaid,1,2)/INDEX(IF_TokGW_Sol,1,H$7)+INDEX(B4_MixPaid,1,3)/INDEX(IF_TokGW_Astra,1,H$7)),"SLO 不可達")</f>
        <v>10289624820.3576</v>
      </c>
      <c r="I19" s="60" t="n">
        <f aca="false">IF(I18=1,I11*IF_Util/(INDEX(B4_MixPaid,1,1)/INDEX(IF_TokGW_Luna,1,I$7)+INDEX(B4_MixPaid,1,2)/INDEX(IF_TokGW_Sol,1,I$7)+INDEX(B4_MixPaid,1,3)/INDEX(IF_TokGW_Astra,1,I$7)),"SLO 不可達")</f>
        <v>13396013239.0361</v>
      </c>
      <c r="J19" s="60" t="n">
        <f aca="false">IF(J18=1,J11*IF_Util/(INDEX(B4_MixPaid,1,1)/INDEX(IF_TokGW_Luna,1,J$7)+INDEX(B4_MixPaid,1,2)/INDEX(IF_TokGW_Sol,1,J$7)+INDEX(B4_MixPaid,1,3)/INDEX(IF_TokGW_Astra,1,J$7)),"SLO 不可達")</f>
        <v>13396013239.0361</v>
      </c>
      <c r="K19" s="60" t="n">
        <f aca="false">IF(K18=1,K11*IF_Util/(INDEX(B4_MixPaid,1,1)/INDEX(IF_TokGW_Luna,1,K$7)+INDEX(B4_MixPaid,1,2)/INDEX(IF_TokGW_Sol,1,K$7)+INDEX(B4_MixPaid,1,3)/INDEX(IF_TokGW_Astra,1,K$7)),"SLO 不可達")</f>
        <v>13396013239.0361</v>
      </c>
      <c r="L19" s="60" t="n">
        <f aca="false">IF(L18=1,L11*IF_Util/(INDEX(B4_MixPaid,1,1)/INDEX(IF_TokGW_Luna,1,L$7)+INDEX(B4_MixPaid,1,2)/INDEX(IF_TokGW_Sol,1,L$7)+INDEX(B4_MixPaid,1,3)/INDEX(IF_TokGW_Astra,1,L$7)),"SLO 不可達")</f>
        <v>24850466374.1716</v>
      </c>
      <c r="M19" s="60" t="n">
        <f aca="false">IF(M18=1,M11*IF_Util/(INDEX(B4_MixPaid,1,1)/INDEX(IF_TokGW_Luna,1,M$7)+INDEX(B4_MixPaid,1,2)/INDEX(IF_TokGW_Sol,1,M$7)+INDEX(B4_MixPaid,1,3)/INDEX(IF_TokGW_Astra,1,M$7)),"SLO 不可達")</f>
        <v>24850466374.1716</v>
      </c>
      <c r="N19" s="60" t="n">
        <f aca="false">IF(N18=1,N11*IF_Util/(INDEX(B4_MixPaid,1,1)/INDEX(IF_TokGW_Luna,1,N$7)+INDEX(B4_MixPaid,1,2)/INDEX(IF_TokGW_Sol,1,N$7)+INDEX(B4_MixPaid,1,3)/INDEX(IF_TokGW_Astra,1,N$7)),"SLO 不可達")</f>
        <v>24850466374.1716</v>
      </c>
      <c r="O19" s="60" t="n">
        <f aca="false">IF(O18=1,O11*IF_Util/(INDEX(B4_MixPaid,1,1)/INDEX(IF_TokGW_Luna,1,O$7)+INDEX(B4_MixPaid,1,2)/INDEX(IF_TokGW_Sol,1,O$7)+INDEX(B4_MixPaid,1,3)/INDEX(IF_TokGW_Astra,1,O$7)),"SLO 不可達")</f>
        <v>35155039047.5893</v>
      </c>
      <c r="P19" s="60" t="n">
        <f aca="false">IF(P18=1,P11*IF_Util/(INDEX(B4_MixPaid,1,1)/INDEX(IF_TokGW_Luna,1,P$7)+INDEX(B4_MixPaid,1,2)/INDEX(IF_TokGW_Sol,1,P$7)+INDEX(B4_MixPaid,1,3)/INDEX(IF_TokGW_Astra,1,P$7)),"SLO 不可達")</f>
        <v>35155039047.5893</v>
      </c>
      <c r="Q19" s="60" t="n">
        <f aca="false">IF(Q18=1,Q11*IF_Util/(INDEX(B4_MixPaid,1,1)/INDEX(IF_TokGW_Luna,1,Q$7)+INDEX(B4_MixPaid,1,2)/INDEX(IF_TokGW_Sol,1,Q$7)+INDEX(B4_MixPaid,1,3)/INDEX(IF_TokGW_Astra,1,Q$7)),"SLO 不可達")</f>
        <v>35155039047.5893</v>
      </c>
    </row>
    <row r="20" customFormat="false" ht="15" hidden="false" customHeight="false" outlineLevel="0" collapsed="false">
      <c r="A20" s="5" t="s">
        <v>1300</v>
      </c>
      <c r="B20" s="54" t="s">
        <v>750</v>
      </c>
      <c r="C20" s="60" t="n">
        <f aca="false">IF(C18=1,C12*IF_Util/(INDEX(B4_MixFree,1,1)/INDEX(IF_TokGW_Luna,1,C$7)+INDEX(B4_MixFree,1,2)/INDEX(IF_TokGW_Sol,1,C$7)+INDEX(B4_MixFree,1,3)/INDEX(IF_TokGW_Astra,1,C$7)),"SLO 不可達")</f>
        <v>6733969347.181</v>
      </c>
      <c r="D20" s="60" t="n">
        <f aca="false">IF(D18=1,D12*IF_Util/(INDEX(B4_MixFree,1,1)/INDEX(IF_TokGW_Luna,1,D$7)+INDEX(B4_MixFree,1,2)/INDEX(IF_TokGW_Sol,1,D$7)+INDEX(B4_MixFree,1,3)/INDEX(IF_TokGW_Astra,1,D$7)),"SLO 不可達")</f>
        <v>6733969347.181</v>
      </c>
      <c r="E20" s="60" t="n">
        <f aca="false">IF(E18=1,E12*IF_Util/(INDEX(B4_MixFree,1,1)/INDEX(IF_TokGW_Luna,1,E$7)+INDEX(B4_MixFree,1,2)/INDEX(IF_TokGW_Sol,1,E$7)+INDEX(B4_MixFree,1,3)/INDEX(IF_TokGW_Astra,1,E$7)),"SLO 不可達")</f>
        <v>6733969347.181</v>
      </c>
      <c r="F20" s="60" t="n">
        <f aca="false">IF(F18=1,F12*IF_Util/(INDEX(B4_MixFree,1,1)/INDEX(IF_TokGW_Luna,1,F$7)+INDEX(B4_MixFree,1,2)/INDEX(IF_TokGW_Sol,1,F$7)+INDEX(B4_MixFree,1,3)/INDEX(IF_TokGW_Astra,1,F$7)),"SLO 不可達")</f>
        <v>32852732346.2495</v>
      </c>
      <c r="G20" s="60" t="n">
        <f aca="false">IF(G18=1,G12*IF_Util/(INDEX(B4_MixFree,1,1)/INDEX(IF_TokGW_Luna,1,G$7)+INDEX(B4_MixFree,1,2)/INDEX(IF_TokGW_Sol,1,G$7)+INDEX(B4_MixFree,1,3)/INDEX(IF_TokGW_Astra,1,G$7)),"SLO 不可達")</f>
        <v>32852732346.2495</v>
      </c>
      <c r="H20" s="60" t="n">
        <f aca="false">IF(H18=1,H12*IF_Util/(INDEX(B4_MixFree,1,1)/INDEX(IF_TokGW_Luna,1,H$7)+INDEX(B4_MixFree,1,2)/INDEX(IF_TokGW_Sol,1,H$7)+INDEX(B4_MixFree,1,3)/INDEX(IF_TokGW_Astra,1,H$7)),"SLO 不可達")</f>
        <v>32852732346.2495</v>
      </c>
      <c r="I20" s="60" t="n">
        <f aca="false">IF(I18=1,I12*IF_Util/(INDEX(B4_MixFree,1,1)/INDEX(IF_TokGW_Luna,1,I$7)+INDEX(B4_MixFree,1,2)/INDEX(IF_TokGW_Sol,1,I$7)+INDEX(B4_MixFree,1,3)/INDEX(IF_TokGW_Astra,1,I$7)),"SLO 不可達")</f>
        <v>47829505292.7318</v>
      </c>
      <c r="J20" s="60" t="n">
        <f aca="false">IF(J18=1,J12*IF_Util/(INDEX(B4_MixFree,1,1)/INDEX(IF_TokGW_Luna,1,J$7)+INDEX(B4_MixFree,1,2)/INDEX(IF_TokGW_Sol,1,J$7)+INDEX(B4_MixFree,1,3)/INDEX(IF_TokGW_Astra,1,J$7)),"SLO 不可達")</f>
        <v>47829505292.7318</v>
      </c>
      <c r="K20" s="60" t="n">
        <f aca="false">IF(K18=1,K12*IF_Util/(INDEX(B4_MixFree,1,1)/INDEX(IF_TokGW_Luna,1,K$7)+INDEX(B4_MixFree,1,2)/INDEX(IF_TokGW_Sol,1,K$7)+INDEX(B4_MixFree,1,3)/INDEX(IF_TokGW_Astra,1,K$7)),"SLO 不可達")</f>
        <v>47829505292.7318</v>
      </c>
      <c r="L20" s="60" t="n">
        <f aca="false">IF(L18=1,L12*IF_Util/(INDEX(B4_MixFree,1,1)/INDEX(IF_TokGW_Luna,1,L$7)+INDEX(B4_MixFree,1,2)/INDEX(IF_TokGW_Sol,1,L$7)+INDEX(B4_MixFree,1,3)/INDEX(IF_TokGW_Astra,1,L$7)),"SLO 不可達")</f>
        <v>71346660837.6243</v>
      </c>
      <c r="M20" s="60" t="n">
        <f aca="false">IF(M18=1,M12*IF_Util/(INDEX(B4_MixFree,1,1)/INDEX(IF_TokGW_Luna,1,M$7)+INDEX(B4_MixFree,1,2)/INDEX(IF_TokGW_Sol,1,M$7)+INDEX(B4_MixFree,1,3)/INDEX(IF_TokGW_Astra,1,M$7)),"SLO 不可達")</f>
        <v>71346660837.6243</v>
      </c>
      <c r="N20" s="60" t="n">
        <f aca="false">IF(N18=1,N12*IF_Util/(INDEX(B4_MixFree,1,1)/INDEX(IF_TokGW_Luna,1,N$7)+INDEX(B4_MixFree,1,2)/INDEX(IF_TokGW_Sol,1,N$7)+INDEX(B4_MixFree,1,3)/INDEX(IF_TokGW_Astra,1,N$7)),"SLO 不可達")</f>
        <v>71346660837.6243</v>
      </c>
      <c r="O20" s="60" t="n">
        <f aca="false">IF(O18=1,O12*IF_Util/(INDEX(B4_MixFree,1,1)/INDEX(IF_TokGW_Luna,1,O$7)+INDEX(B4_MixFree,1,2)/INDEX(IF_TokGW_Sol,1,O$7)+INDEX(B4_MixFree,1,3)/INDEX(IF_TokGW_Astra,1,O$7)),"SLO 不可達")</f>
        <v>96855836069.047</v>
      </c>
      <c r="P20" s="60" t="n">
        <f aca="false">IF(P18=1,P12*IF_Util/(INDEX(B4_MixFree,1,1)/INDEX(IF_TokGW_Luna,1,P$7)+INDEX(B4_MixFree,1,2)/INDEX(IF_TokGW_Sol,1,P$7)+INDEX(B4_MixFree,1,3)/INDEX(IF_TokGW_Astra,1,P$7)),"SLO 不可達")</f>
        <v>96855836069.047</v>
      </c>
      <c r="Q20" s="60" t="n">
        <f aca="false">IF(Q18=1,Q12*IF_Util/(INDEX(B4_MixFree,1,1)/INDEX(IF_TokGW_Luna,1,Q$7)+INDEX(B4_MixFree,1,2)/INDEX(IF_TokGW_Sol,1,Q$7)+INDEX(B4_MixFree,1,3)/INDEX(IF_TokGW_Astra,1,Q$7)),"SLO 不可達")</f>
        <v>96855836069.047</v>
      </c>
    </row>
    <row r="21" customFormat="false" ht="15" hidden="false" customHeight="false" outlineLevel="0" collapsed="false">
      <c r="A21" s="6" t="s">
        <v>1301</v>
      </c>
      <c r="B21" s="54" t="s">
        <v>750</v>
      </c>
      <c r="C21" s="60" t="n">
        <f aca="false">IF(C18=1,C19*INDEX(B4_MixPaid,1,1),"SLO 不可達")</f>
        <v>817042419.593355</v>
      </c>
      <c r="D21" s="60" t="n">
        <f aca="false">IF(D18=1,D19*INDEX(B4_MixPaid,1,1),"SLO 不可達")</f>
        <v>817042419.593355</v>
      </c>
      <c r="E21" s="60" t="n">
        <f aca="false">IF(E18=1,E19*INDEX(B4_MixPaid,1,1),"SLO 不可達")</f>
        <v>817042419.593355</v>
      </c>
      <c r="F21" s="60" t="n">
        <f aca="false">IF(F18=1,F19*INDEX(B4_MixPaid,1,1),"SLO 不可達")</f>
        <v>4115849928.14302</v>
      </c>
      <c r="G21" s="60" t="n">
        <f aca="false">IF(G18=1,G19*INDEX(B4_MixPaid,1,1),"SLO 不可達")</f>
        <v>4115849928.14302</v>
      </c>
      <c r="H21" s="60" t="n">
        <f aca="false">IF(H18=1,H19*INDEX(B4_MixPaid,1,1),"SLO 不可達")</f>
        <v>4115849928.14302</v>
      </c>
      <c r="I21" s="60" t="n">
        <f aca="false">IF(I18=1,I19*INDEX(B4_MixPaid,1,1),"SLO 不可達")</f>
        <v>5358405295.61443</v>
      </c>
      <c r="J21" s="60" t="n">
        <f aca="false">IF(J18=1,J19*INDEX(B4_MixPaid,1,1),"SLO 不可達")</f>
        <v>5358405295.61443</v>
      </c>
      <c r="K21" s="60" t="n">
        <f aca="false">IF(K18=1,K19*INDEX(B4_MixPaid,1,1),"SLO 不可達")</f>
        <v>5358405295.61443</v>
      </c>
      <c r="L21" s="60" t="n">
        <f aca="false">IF(L18=1,L19*INDEX(B4_MixPaid,1,1),"SLO 不可達")</f>
        <v>9940186549.66862</v>
      </c>
      <c r="M21" s="60" t="n">
        <f aca="false">IF(M18=1,M19*INDEX(B4_MixPaid,1,1),"SLO 不可達")</f>
        <v>9940186549.66862</v>
      </c>
      <c r="N21" s="60" t="n">
        <f aca="false">IF(N18=1,N19*INDEX(B4_MixPaid,1,1),"SLO 不可達")</f>
        <v>9940186549.66862</v>
      </c>
      <c r="O21" s="60" t="n">
        <f aca="false">IF(O18=1,O19*INDEX(B4_MixPaid,1,1),"SLO 不可達")</f>
        <v>14062015619.0357</v>
      </c>
      <c r="P21" s="60" t="n">
        <f aca="false">IF(P18=1,P19*INDEX(B4_MixPaid,1,1),"SLO 不可達")</f>
        <v>14062015619.0357</v>
      </c>
      <c r="Q21" s="60" t="n">
        <f aca="false">IF(Q18=1,Q19*INDEX(B4_MixPaid,1,1),"SLO 不可達")</f>
        <v>14062015619.0357</v>
      </c>
    </row>
    <row r="22" customFormat="false" ht="15" hidden="false" customHeight="false" outlineLevel="0" collapsed="false">
      <c r="A22" s="6" t="s">
        <v>1302</v>
      </c>
      <c r="B22" s="54" t="s">
        <v>750</v>
      </c>
      <c r="C22" s="60" t="n">
        <f aca="false">IF(C18=1,C20*INDEX(B4_MixFree,1,1),"SLO 不可達")</f>
        <v>6060572412.4629</v>
      </c>
      <c r="D22" s="60" t="n">
        <f aca="false">IF(D18=1,D20*INDEX(B4_MixFree,1,1),"SLO 不可達")</f>
        <v>6060572412.4629</v>
      </c>
      <c r="E22" s="60" t="n">
        <f aca="false">IF(E18=1,E20*INDEX(B4_MixFree,1,1),"SLO 不可達")</f>
        <v>6060572412.4629</v>
      </c>
      <c r="F22" s="60" t="n">
        <f aca="false">IF(F18=1,F20*INDEX(B4_MixFree,1,1),"SLO 不可達")</f>
        <v>29567459111.6246</v>
      </c>
      <c r="G22" s="60" t="n">
        <f aca="false">IF(G18=1,G20*INDEX(B4_MixFree,1,1),"SLO 不可達")</f>
        <v>29567459111.6246</v>
      </c>
      <c r="H22" s="60" t="n">
        <f aca="false">IF(H18=1,H20*INDEX(B4_MixFree,1,1),"SLO 不可達")</f>
        <v>29567459111.6246</v>
      </c>
      <c r="I22" s="60" t="n">
        <f aca="false">IF(I18=1,I20*INDEX(B4_MixFree,1,1),"SLO 不可達")</f>
        <v>43046554763.4586</v>
      </c>
      <c r="J22" s="60" t="n">
        <f aca="false">IF(J18=1,J20*INDEX(B4_MixFree,1,1),"SLO 不可達")</f>
        <v>43046554763.4586</v>
      </c>
      <c r="K22" s="60" t="n">
        <f aca="false">IF(K18=1,K20*INDEX(B4_MixFree,1,1),"SLO 不可達")</f>
        <v>43046554763.4586</v>
      </c>
      <c r="L22" s="60" t="n">
        <f aca="false">IF(L18=1,L20*INDEX(B4_MixFree,1,1),"SLO 不可達")</f>
        <v>64211994753.8619</v>
      </c>
      <c r="M22" s="60" t="n">
        <f aca="false">IF(M18=1,M20*INDEX(B4_MixFree,1,1),"SLO 不可達")</f>
        <v>64211994753.8619</v>
      </c>
      <c r="N22" s="60" t="n">
        <f aca="false">IF(N18=1,N20*INDEX(B4_MixFree,1,1),"SLO 不可達")</f>
        <v>64211994753.8619</v>
      </c>
      <c r="O22" s="60" t="n">
        <f aca="false">IF(O18=1,O20*INDEX(B4_MixFree,1,1),"SLO 不可達")</f>
        <v>87170252462.1423</v>
      </c>
      <c r="P22" s="60" t="n">
        <f aca="false">IF(P18=1,P20*INDEX(B4_MixFree,1,1),"SLO 不可達")</f>
        <v>87170252462.1423</v>
      </c>
      <c r="Q22" s="60" t="n">
        <f aca="false">IF(Q18=1,Q20*INDEX(B4_MixFree,1,1),"SLO 不可達")</f>
        <v>87170252462.1423</v>
      </c>
    </row>
    <row r="23" customFormat="false" ht="15" hidden="false" customHeight="false" outlineLevel="0" collapsed="false">
      <c r="A23" s="6" t="s">
        <v>1303</v>
      </c>
      <c r="B23" s="54" t="s">
        <v>63</v>
      </c>
      <c r="C23" s="107" t="n">
        <f aca="false">IF(C18=1,IF(INDEX(IF_TokGW_Luna,1,C$7)&gt;0,(C21+C22)/(INDEX(IF_TokGW_Luna,1,C$7)*IF_Util),0),"SLO 不可達")</f>
        <v>0.154760588314132</v>
      </c>
      <c r="D23" s="107" t="n">
        <f aca="false">IF(D18=1,IF(INDEX(IF_TokGW_Luna,1,D$7)&gt;0,(D21+D22)/(INDEX(IF_TokGW_Luna,1,D$7)*IF_Util),0),"SLO 不可達")</f>
        <v>0.154760588314132</v>
      </c>
      <c r="E23" s="107" t="n">
        <f aca="false">IF(E18=1,IF(INDEX(IF_TokGW_Luna,1,E$7)&gt;0,(E21+E22)/(INDEX(IF_TokGW_Luna,1,E$7)*IF_Util),0),"SLO 不可達")</f>
        <v>0.154760588314132</v>
      </c>
      <c r="F23" s="107" t="n">
        <f aca="false">IF(F18=1,IF(INDEX(IF_TokGW_Luna,1,F$7)&gt;0,(F21+F22)/(INDEX(IF_TokGW_Luna,1,F$7)*IF_Util),0),"SLO 不可達")</f>
        <v>0.154948330589445</v>
      </c>
      <c r="G23" s="107" t="n">
        <f aca="false">IF(G18=1,IF(INDEX(IF_TokGW_Luna,1,G$7)&gt;0,(G21+G22)/(INDEX(IF_TokGW_Luna,1,G$7)*IF_Util),0),"SLO 不可達")</f>
        <v>0.154948330589445</v>
      </c>
      <c r="H23" s="107" t="n">
        <f aca="false">IF(H18=1,IF(INDEX(IF_TokGW_Luna,1,H$7)&gt;0,(H21+H22)/(INDEX(IF_TokGW_Luna,1,H$7)*IF_Util),0),"SLO 不可達")</f>
        <v>0.154948330589445</v>
      </c>
      <c r="I23" s="107" t="n">
        <f aca="false">IF(I18=1,IF(INDEX(IF_TokGW_Luna,1,I$7)&gt;0,(I21+I22)/(INDEX(IF_TokGW_Luna,1,I$7)*IF_Util),0),"SLO 不可達")</f>
        <v>0.152945824232698</v>
      </c>
      <c r="J23" s="107" t="n">
        <f aca="false">IF(J18=1,IF(INDEX(IF_TokGW_Luna,1,J$7)&gt;0,(J21+J22)/(INDEX(IF_TokGW_Luna,1,J$7)*IF_Util),0),"SLO 不可達")</f>
        <v>0.152945824232698</v>
      </c>
      <c r="K23" s="107" t="n">
        <f aca="false">IF(K18=1,IF(INDEX(IF_TokGW_Luna,1,K$7)&gt;0,(K21+K22)/(INDEX(IF_TokGW_Luna,1,K$7)*IF_Util),0),"SLO 不可達")</f>
        <v>0.152945824232698</v>
      </c>
      <c r="L23" s="107" t="n">
        <f aca="false">IF(L18=1,IF(INDEX(IF_TokGW_Luna,1,L$7)&gt;0,(L21+L22)/(INDEX(IF_TokGW_Luna,1,L$7)*IF_Util),0),"SLO 不可達")</f>
        <v>0.159925495692349</v>
      </c>
      <c r="M23" s="107" t="n">
        <f aca="false">IF(M18=1,IF(INDEX(IF_TokGW_Luna,1,M$7)&gt;0,(M21+M22)/(INDEX(IF_TokGW_Luna,1,M$7)*IF_Util),0),"SLO 不可達")</f>
        <v>0.159925495692349</v>
      </c>
      <c r="N23" s="107" t="n">
        <f aca="false">IF(N18=1,IF(INDEX(IF_TokGW_Luna,1,N$7)&gt;0,(N21+N22)/(INDEX(IF_TokGW_Luna,1,N$7)*IF_Util),0),"SLO 不可達")</f>
        <v>0.159925495692349</v>
      </c>
      <c r="O23" s="107" t="n">
        <f aca="false">IF(O18=1,IF(INDEX(IF_TokGW_Luna,1,O$7)&gt;0,(O21+O22)/(INDEX(IF_TokGW_Luna,1,O$7)*IF_Util),0),"SLO 不可達")</f>
        <v>0.161551793857427</v>
      </c>
      <c r="P23" s="107" t="n">
        <f aca="false">IF(P18=1,IF(INDEX(IF_TokGW_Luna,1,P$7)&gt;0,(P21+P22)/(INDEX(IF_TokGW_Luna,1,P$7)*IF_Util),0),"SLO 不可達")</f>
        <v>0.161551793857427</v>
      </c>
      <c r="Q23" s="107" t="n">
        <f aca="false">IF(Q18=1,IF(INDEX(IF_TokGW_Luna,1,Q$7)&gt;0,(Q21+Q22)/(INDEX(IF_TokGW_Luna,1,Q$7)*IF_Util),0),"SLO 不可達")</f>
        <v>0.161551793857427</v>
      </c>
    </row>
    <row r="24" customFormat="false" ht="15" hidden="false" customHeight="false" outlineLevel="0" collapsed="false">
      <c r="A24" s="6" t="s">
        <v>1304</v>
      </c>
      <c r="B24" s="54" t="s">
        <v>750</v>
      </c>
      <c r="C24" s="60" t="n">
        <f aca="false">IF(C18=1,C19*INDEX(B4_MixPaid,1,2),"SLO 不可達")</f>
        <v>919172722.042524</v>
      </c>
      <c r="D24" s="60" t="n">
        <f aca="false">IF(D18=1,D19*INDEX(B4_MixPaid,1,2),"SLO 不可達")</f>
        <v>919172722.042524</v>
      </c>
      <c r="E24" s="60" t="n">
        <f aca="false">IF(E18=1,E19*INDEX(B4_MixPaid,1,2),"SLO 不可達")</f>
        <v>919172722.042524</v>
      </c>
      <c r="F24" s="60" t="n">
        <f aca="false">IF(F18=1,F19*INDEX(B4_MixPaid,1,2),"SLO 不可達")</f>
        <v>4630331169.1609</v>
      </c>
      <c r="G24" s="60" t="n">
        <f aca="false">IF(G18=1,G19*INDEX(B4_MixPaid,1,2),"SLO 不可達")</f>
        <v>4630331169.1609</v>
      </c>
      <c r="H24" s="60" t="n">
        <f aca="false">IF(H18=1,H19*INDEX(B4_MixPaid,1,2),"SLO 不可達")</f>
        <v>4630331169.1609</v>
      </c>
      <c r="I24" s="60" t="n">
        <f aca="false">IF(I18=1,I19*INDEX(B4_MixPaid,1,2),"SLO 不可達")</f>
        <v>6028205957.56624</v>
      </c>
      <c r="J24" s="60" t="n">
        <f aca="false">IF(J18=1,J19*INDEX(B4_MixPaid,1,2),"SLO 不可達")</f>
        <v>6028205957.56624</v>
      </c>
      <c r="K24" s="60" t="n">
        <f aca="false">IF(K18=1,K19*INDEX(B4_MixPaid,1,2),"SLO 不可達")</f>
        <v>6028205957.56624</v>
      </c>
      <c r="L24" s="60" t="n">
        <f aca="false">IF(L18=1,L19*INDEX(B4_MixPaid,1,2),"SLO 不可達")</f>
        <v>11182709868.3772</v>
      </c>
      <c r="M24" s="60" t="n">
        <f aca="false">IF(M18=1,M19*INDEX(B4_MixPaid,1,2),"SLO 不可達")</f>
        <v>11182709868.3772</v>
      </c>
      <c r="N24" s="60" t="n">
        <f aca="false">IF(N18=1,N19*INDEX(B4_MixPaid,1,2),"SLO 不可達")</f>
        <v>11182709868.3772</v>
      </c>
      <c r="O24" s="60" t="n">
        <f aca="false">IF(O18=1,O19*INDEX(B4_MixPaid,1,2),"SLO 不可達")</f>
        <v>15819767571.4152</v>
      </c>
      <c r="P24" s="60" t="n">
        <f aca="false">IF(P18=1,P19*INDEX(B4_MixPaid,1,2),"SLO 不可達")</f>
        <v>15819767571.4152</v>
      </c>
      <c r="Q24" s="60" t="n">
        <f aca="false">IF(Q18=1,Q19*INDEX(B4_MixPaid,1,2),"SLO 不可達")</f>
        <v>15819767571.4152</v>
      </c>
    </row>
    <row r="25" customFormat="false" ht="15" hidden="false" customHeight="false" outlineLevel="0" collapsed="false">
      <c r="A25" s="6" t="s">
        <v>1305</v>
      </c>
      <c r="B25" s="54" t="s">
        <v>750</v>
      </c>
      <c r="C25" s="60" t="n">
        <f aca="false">IF(C18=1,C20*INDEX(B4_MixFree,1,2),"SLO 不可達")</f>
        <v>673396934.7181</v>
      </c>
      <c r="D25" s="60" t="n">
        <f aca="false">IF(D18=1,D20*INDEX(B4_MixFree,1,2),"SLO 不可達")</f>
        <v>673396934.7181</v>
      </c>
      <c r="E25" s="60" t="n">
        <f aca="false">IF(E18=1,E20*INDEX(B4_MixFree,1,2),"SLO 不可達")</f>
        <v>673396934.7181</v>
      </c>
      <c r="F25" s="60" t="n">
        <f aca="false">IF(F18=1,F20*INDEX(B4_MixFree,1,2),"SLO 不可達")</f>
        <v>3285273234.62495</v>
      </c>
      <c r="G25" s="60" t="n">
        <f aca="false">IF(G18=1,G20*INDEX(B4_MixFree,1,2),"SLO 不可達")</f>
        <v>3285273234.62495</v>
      </c>
      <c r="H25" s="60" t="n">
        <f aca="false">IF(H18=1,H20*INDEX(B4_MixFree,1,2),"SLO 不可達")</f>
        <v>3285273234.62495</v>
      </c>
      <c r="I25" s="60" t="n">
        <f aca="false">IF(I18=1,I20*INDEX(B4_MixFree,1,2),"SLO 不可達")</f>
        <v>4782950529.27318</v>
      </c>
      <c r="J25" s="60" t="n">
        <f aca="false">IF(J18=1,J20*INDEX(B4_MixFree,1,2),"SLO 不可達")</f>
        <v>4782950529.27318</v>
      </c>
      <c r="K25" s="60" t="n">
        <f aca="false">IF(K18=1,K20*INDEX(B4_MixFree,1,2),"SLO 不可達")</f>
        <v>4782950529.27318</v>
      </c>
      <c r="L25" s="60" t="n">
        <f aca="false">IF(L18=1,L20*INDEX(B4_MixFree,1,2),"SLO 不可達")</f>
        <v>7134666083.76243</v>
      </c>
      <c r="M25" s="60" t="n">
        <f aca="false">IF(M18=1,M20*INDEX(B4_MixFree,1,2),"SLO 不可達")</f>
        <v>7134666083.76243</v>
      </c>
      <c r="N25" s="60" t="n">
        <f aca="false">IF(N18=1,N20*INDEX(B4_MixFree,1,2),"SLO 不可達")</f>
        <v>7134666083.76243</v>
      </c>
      <c r="O25" s="60" t="n">
        <f aca="false">IF(O18=1,O20*INDEX(B4_MixFree,1,2),"SLO 不可達")</f>
        <v>9685583606.9047</v>
      </c>
      <c r="P25" s="60" t="n">
        <f aca="false">IF(P18=1,P20*INDEX(B4_MixFree,1,2),"SLO 不可達")</f>
        <v>9685583606.9047</v>
      </c>
      <c r="Q25" s="60" t="n">
        <f aca="false">IF(Q18=1,Q20*INDEX(B4_MixFree,1,2),"SLO 不可達")</f>
        <v>9685583606.9047</v>
      </c>
    </row>
    <row r="26" customFormat="false" ht="15" hidden="false" customHeight="false" outlineLevel="0" collapsed="false">
      <c r="A26" s="6" t="s">
        <v>1306</v>
      </c>
      <c r="B26" s="54" t="s">
        <v>63</v>
      </c>
      <c r="C26" s="107" t="n">
        <f aca="false">IF(C18=1,IF(INDEX(IF_TokGW_Sol,1,C$7)&gt;0,(C24+C25)/(INDEX(IF_TokGW_Sol,1,C$7)*IF_Util),0),"SLO 不可達")</f>
        <v>0.123509990266414</v>
      </c>
      <c r="D26" s="107" t="n">
        <f aca="false">IF(D18=1,IF(INDEX(IF_TokGW_Sol,1,D$7)&gt;0,(D24+D25)/(INDEX(IF_TokGW_Sol,1,D$7)*IF_Util),0),"SLO 不可達")</f>
        <v>0.123509990266414</v>
      </c>
      <c r="E26" s="107" t="n">
        <f aca="false">IF(E18=1,IF(INDEX(IF_TokGW_Sol,1,E$7)&gt;0,(E24+E25)/(INDEX(IF_TokGW_Sol,1,E$7)*IF_Util),0),"SLO 不可達")</f>
        <v>0.123509990266414</v>
      </c>
      <c r="F26" s="107" t="n">
        <f aca="false">IF(F18=1,IF(INDEX(IF_TokGW_Sol,1,F$7)&gt;0,(F24+F25)/(INDEX(IF_TokGW_Sol,1,F$7)*IF_Util),0),"SLO 不可達")</f>
        <v>0.126699862563692</v>
      </c>
      <c r="G26" s="107" t="n">
        <f aca="false">IF(G18=1,IF(INDEX(IF_TokGW_Sol,1,G$7)&gt;0,(G24+G25)/(INDEX(IF_TokGW_Sol,1,G$7)*IF_Util),0),"SLO 不可達")</f>
        <v>0.126699862563692</v>
      </c>
      <c r="H26" s="107" t="n">
        <f aca="false">IF(H18=1,IF(INDEX(IF_TokGW_Sol,1,H$7)&gt;0,(H24+H25)/(INDEX(IF_TokGW_Sol,1,H$7)*IF_Util),0),"SLO 不可達")</f>
        <v>0.126699862563692</v>
      </c>
      <c r="I26" s="107" t="n">
        <f aca="false">IF(I18=1,IF(INDEX(IF_TokGW_Sol,1,I$7)&gt;0,(I24+I25)/(INDEX(IF_TokGW_Sol,1,I$7)*IF_Util),0),"SLO 不可達")</f>
        <v>0.118861121177431</v>
      </c>
      <c r="J26" s="107" t="n">
        <f aca="false">IF(J18=1,IF(INDEX(IF_TokGW_Sol,1,J$7)&gt;0,(J24+J25)/(INDEX(IF_TokGW_Sol,1,J$7)*IF_Util),0),"SLO 不可達")</f>
        <v>0.118861121177431</v>
      </c>
      <c r="K26" s="107" t="n">
        <f aca="false">IF(K18=1,IF(INDEX(IF_TokGW_Sol,1,K$7)&gt;0,(K24+K25)/(INDEX(IF_TokGW_Sol,1,K$7)*IF_Util),0),"SLO 不可達")</f>
        <v>0.118861121177431</v>
      </c>
      <c r="L26" s="107" t="n">
        <f aca="false">IF(L18=1,IF(INDEX(IF_TokGW_Sol,1,L$7)&gt;0,(L24+L25)/(INDEX(IF_TokGW_Sol,1,L$7)*IF_Util),0),"SLO 不可達")</f>
        <v>0.128658191722267</v>
      </c>
      <c r="M26" s="107" t="n">
        <f aca="false">IF(M18=1,IF(INDEX(IF_TokGW_Sol,1,M$7)&gt;0,(M24+M25)/(INDEX(IF_TokGW_Sol,1,M$7)*IF_Util),0),"SLO 不可達")</f>
        <v>0.128658191722267</v>
      </c>
      <c r="N26" s="107" t="n">
        <f aca="false">IF(N18=1,IF(INDEX(IF_TokGW_Sol,1,N$7)&gt;0,(N24+N25)/(INDEX(IF_TokGW_Sol,1,N$7)*IF_Util),0),"SLO 不可達")</f>
        <v>0.128658191722267</v>
      </c>
      <c r="O26" s="107" t="n">
        <f aca="false">IF(O18=1,IF(INDEX(IF_TokGW_Sol,1,O$7)&gt;0,(O24+O25)/(INDEX(IF_TokGW_Sol,1,O$7)*IF_Util),0),"SLO 不可達")</f>
        <v>0.130321232574257</v>
      </c>
      <c r="P26" s="107" t="n">
        <f aca="false">IF(P18=1,IF(INDEX(IF_TokGW_Sol,1,P$7)&gt;0,(P24+P25)/(INDEX(IF_TokGW_Sol,1,P$7)*IF_Util),0),"SLO 不可達")</f>
        <v>0.130321232574257</v>
      </c>
      <c r="Q26" s="107" t="n">
        <f aca="false">IF(Q18=1,IF(INDEX(IF_TokGW_Sol,1,Q$7)&gt;0,(Q24+Q25)/(INDEX(IF_TokGW_Sol,1,Q$7)*IF_Util),0),"SLO 不可達")</f>
        <v>0.130321232574257</v>
      </c>
    </row>
    <row r="27" customFormat="false" ht="15" hidden="false" customHeight="false" outlineLevel="0" collapsed="false">
      <c r="A27" s="6" t="s">
        <v>1307</v>
      </c>
      <c r="B27" s="54" t="s">
        <v>750</v>
      </c>
      <c r="C27" s="60" t="n">
        <f aca="false">IF(C18=1,C19*INDEX(B4_MixPaid,1,3),"SLO 不可達")</f>
        <v>306390907.347508</v>
      </c>
      <c r="D27" s="60" t="n">
        <f aca="false">IF(D18=1,D19*INDEX(B4_MixPaid,1,3),"SLO 不可達")</f>
        <v>306390907.347508</v>
      </c>
      <c r="E27" s="60" t="n">
        <f aca="false">IF(E18=1,E19*INDEX(B4_MixPaid,1,3),"SLO 不可達")</f>
        <v>306390907.347508</v>
      </c>
      <c r="F27" s="60" t="n">
        <f aca="false">IF(F18=1,F19*INDEX(B4_MixPaid,1,3),"SLO 不可達")</f>
        <v>1543443723.05363</v>
      </c>
      <c r="G27" s="60" t="n">
        <f aca="false">IF(G18=1,G19*INDEX(B4_MixPaid,1,3),"SLO 不可達")</f>
        <v>1543443723.05363</v>
      </c>
      <c r="H27" s="60" t="n">
        <f aca="false">IF(H18=1,H19*INDEX(B4_MixPaid,1,3),"SLO 不可達")</f>
        <v>1543443723.05363</v>
      </c>
      <c r="I27" s="60" t="n">
        <f aca="false">IF(I18=1,I19*INDEX(B4_MixPaid,1,3),"SLO 不可達")</f>
        <v>2009401985.85541</v>
      </c>
      <c r="J27" s="60" t="n">
        <f aca="false">IF(J18=1,J19*INDEX(B4_MixPaid,1,3),"SLO 不可達")</f>
        <v>2009401985.85541</v>
      </c>
      <c r="K27" s="60" t="n">
        <f aca="false">IF(K18=1,K19*INDEX(B4_MixPaid,1,3),"SLO 不可達")</f>
        <v>2009401985.85541</v>
      </c>
      <c r="L27" s="60" t="n">
        <f aca="false">IF(L18=1,L19*INDEX(B4_MixPaid,1,3),"SLO 不可達")</f>
        <v>3727569956.12573</v>
      </c>
      <c r="M27" s="60" t="n">
        <f aca="false">IF(M18=1,M19*INDEX(B4_MixPaid,1,3),"SLO 不可達")</f>
        <v>3727569956.12573</v>
      </c>
      <c r="N27" s="60" t="n">
        <f aca="false">IF(N18=1,N19*INDEX(B4_MixPaid,1,3),"SLO 不可達")</f>
        <v>3727569956.12573</v>
      </c>
      <c r="O27" s="60" t="n">
        <f aca="false">IF(O18=1,O19*INDEX(B4_MixPaid,1,3),"SLO 不可達")</f>
        <v>5273255857.1384</v>
      </c>
      <c r="P27" s="60" t="n">
        <f aca="false">IF(P18=1,P19*INDEX(B4_MixPaid,1,3),"SLO 不可達")</f>
        <v>5273255857.1384</v>
      </c>
      <c r="Q27" s="60" t="n">
        <f aca="false">IF(Q18=1,Q19*INDEX(B4_MixPaid,1,3),"SLO 不可達")</f>
        <v>5273255857.1384</v>
      </c>
    </row>
    <row r="28" customFormat="false" ht="15" hidden="false" customHeight="false" outlineLevel="0" collapsed="false">
      <c r="A28" s="6" t="s">
        <v>1308</v>
      </c>
      <c r="B28" s="54" t="s">
        <v>750</v>
      </c>
      <c r="C28" s="60" t="n">
        <f aca="false">IF(C18=1,C20*INDEX(B4_MixFree,1,3),"SLO 不可達")</f>
        <v>0</v>
      </c>
      <c r="D28" s="60" t="n">
        <f aca="false">IF(D18=1,D20*INDEX(B4_MixFree,1,3),"SLO 不可達")</f>
        <v>0</v>
      </c>
      <c r="E28" s="60" t="n">
        <f aca="false">IF(E18=1,E20*INDEX(B4_MixFree,1,3),"SLO 不可達")</f>
        <v>0</v>
      </c>
      <c r="F28" s="60" t="n">
        <f aca="false">IF(F18=1,F20*INDEX(B4_MixFree,1,3),"SLO 不可達")</f>
        <v>0</v>
      </c>
      <c r="G28" s="60" t="n">
        <f aca="false">IF(G18=1,G20*INDEX(B4_MixFree,1,3),"SLO 不可達")</f>
        <v>0</v>
      </c>
      <c r="H28" s="60" t="n">
        <f aca="false">IF(H18=1,H20*INDEX(B4_MixFree,1,3),"SLO 不可達")</f>
        <v>0</v>
      </c>
      <c r="I28" s="60" t="n">
        <f aca="false">IF(I18=1,I20*INDEX(B4_MixFree,1,3),"SLO 不可達")</f>
        <v>0</v>
      </c>
      <c r="J28" s="60" t="n">
        <f aca="false">IF(J18=1,J20*INDEX(B4_MixFree,1,3),"SLO 不可達")</f>
        <v>0</v>
      </c>
      <c r="K28" s="60" t="n">
        <f aca="false">IF(K18=1,K20*INDEX(B4_MixFree,1,3),"SLO 不可達")</f>
        <v>0</v>
      </c>
      <c r="L28" s="60" t="n">
        <f aca="false">IF(L18=1,L20*INDEX(B4_MixFree,1,3),"SLO 不可達")</f>
        <v>0</v>
      </c>
      <c r="M28" s="60" t="n">
        <f aca="false">IF(M18=1,M20*INDEX(B4_MixFree,1,3),"SLO 不可達")</f>
        <v>0</v>
      </c>
      <c r="N28" s="60" t="n">
        <f aca="false">IF(N18=1,N20*INDEX(B4_MixFree,1,3),"SLO 不可達")</f>
        <v>0</v>
      </c>
      <c r="O28" s="60" t="n">
        <f aca="false">IF(O18=1,O20*INDEX(B4_MixFree,1,3),"SLO 不可達")</f>
        <v>0</v>
      </c>
      <c r="P28" s="60" t="n">
        <f aca="false">IF(P18=1,P20*INDEX(B4_MixFree,1,3),"SLO 不可達")</f>
        <v>0</v>
      </c>
      <c r="Q28" s="60" t="n">
        <f aca="false">IF(Q18=1,Q20*INDEX(B4_MixFree,1,3),"SLO 不可達")</f>
        <v>0</v>
      </c>
    </row>
    <row r="29" customFormat="false" ht="15" hidden="false" customHeight="false" outlineLevel="0" collapsed="false">
      <c r="A29" s="6" t="s">
        <v>1309</v>
      </c>
      <c r="B29" s="54" t="s">
        <v>63</v>
      </c>
      <c r="C29" s="107" t="n">
        <f aca="false">IF(C18=1,IF(INDEX(IF_TokGW_Astra,1,C$7)&gt;0,(C27+C28)/(INDEX(IF_TokGW_Astra,1,C$7)*IF_Util),0),"SLO 不可達")</f>
        <v>0.131729421419454</v>
      </c>
      <c r="D29" s="107" t="n">
        <f aca="false">IF(D18=1,IF(INDEX(IF_TokGW_Astra,1,D$7)&gt;0,(D27+D28)/(INDEX(IF_TokGW_Astra,1,D$7)*IF_Util),0),"SLO 不可達")</f>
        <v>0.131729421419454</v>
      </c>
      <c r="E29" s="107" t="n">
        <f aca="false">IF(E18=1,IF(INDEX(IF_TokGW_Astra,1,E$7)&gt;0,(E27+E28)/(INDEX(IF_TokGW_Astra,1,E$7)*IF_Util),0),"SLO 不可達")</f>
        <v>0.131729421419454</v>
      </c>
      <c r="F29" s="107" t="n">
        <f aca="false">IF(F18=1,IF(INDEX(IF_TokGW_Astra,1,F$7)&gt;0,(F27+F28)/(INDEX(IF_TokGW_Astra,1,F$7)*IF_Util),0),"SLO 不可達")</f>
        <v>0.128351806846863</v>
      </c>
      <c r="G29" s="107" t="n">
        <f aca="false">IF(G18=1,IF(INDEX(IF_TokGW_Astra,1,G$7)&gt;0,(G27+G28)/(INDEX(IF_TokGW_Astra,1,G$7)*IF_Util),0),"SLO 不可達")</f>
        <v>0.128351806846863</v>
      </c>
      <c r="H29" s="107" t="n">
        <f aca="false">IF(H18=1,IF(INDEX(IF_TokGW_Astra,1,H$7)&gt;0,(H27+H28)/(INDEX(IF_TokGW_Astra,1,H$7)*IF_Util),0),"SLO 不可達")</f>
        <v>0.128351806846863</v>
      </c>
      <c r="I29" s="107" t="n">
        <f aca="false">IF(I18=1,IF(INDEX(IF_TokGW_Astra,1,I$7)&gt;0,(I27+I28)/(INDEX(IF_TokGW_Astra,1,I$7)*IF_Util),0),"SLO 不可達")</f>
        <v>0.138193054589871</v>
      </c>
      <c r="J29" s="107" t="n">
        <f aca="false">IF(J18=1,IF(INDEX(IF_TokGW_Astra,1,J$7)&gt;0,(J27+J28)/(INDEX(IF_TokGW_Astra,1,J$7)*IF_Util),0),"SLO 不可達")</f>
        <v>0.138193054589871</v>
      </c>
      <c r="K29" s="107" t="n">
        <f aca="false">IF(K18=1,IF(INDEX(IF_TokGW_Astra,1,K$7)&gt;0,(K27+K28)/(INDEX(IF_TokGW_Astra,1,K$7)*IF_Util),0),"SLO 不可達")</f>
        <v>0.138193054589871</v>
      </c>
      <c r="L29" s="107" t="n">
        <f aca="false">IF(L18=1,IF(INDEX(IF_TokGW_Astra,1,L$7)&gt;0,(L27+L28)/(INDEX(IF_TokGW_Astra,1,L$7)*IF_Util),0),"SLO 不可達")</f>
        <v>0.121416312585384</v>
      </c>
      <c r="M29" s="107" t="n">
        <f aca="false">IF(M18=1,IF(INDEX(IF_TokGW_Astra,1,M$7)&gt;0,(M27+M28)/(INDEX(IF_TokGW_Astra,1,M$7)*IF_Util),0),"SLO 不可達")</f>
        <v>0.121416312585384</v>
      </c>
      <c r="N29" s="107" t="n">
        <f aca="false">IF(N18=1,IF(INDEX(IF_TokGW_Astra,1,N$7)&gt;0,(N27+N28)/(INDEX(IF_TokGW_Astra,1,N$7)*IF_Util),0),"SLO 不可達")</f>
        <v>0.121416312585384</v>
      </c>
      <c r="O29" s="107" t="n">
        <f aca="false">IF(O18=1,IF(INDEX(IF_TokGW_Astra,1,O$7)&gt;0,(O27+O28)/(INDEX(IF_TokGW_Astra,1,O$7)*IF_Util),0),"SLO 不可達")</f>
        <v>0.118126973568316</v>
      </c>
      <c r="P29" s="107" t="n">
        <f aca="false">IF(P18=1,IF(INDEX(IF_TokGW_Astra,1,P$7)&gt;0,(P27+P28)/(INDEX(IF_TokGW_Astra,1,P$7)*IF_Util),0),"SLO 不可達")</f>
        <v>0.118126973568316</v>
      </c>
      <c r="Q29" s="107" t="n">
        <f aca="false">IF(Q18=1,IF(INDEX(IF_TokGW_Astra,1,Q$7)&gt;0,(Q27+Q28)/(INDEX(IF_TokGW_Astra,1,Q$7)*IF_Util),0),"SLO 不可達")</f>
        <v>0.118126973568316</v>
      </c>
    </row>
    <row r="30" customFormat="false" ht="15" hidden="false" customHeight="false" outlineLevel="0" collapsed="false">
      <c r="A30" s="5" t="s">
        <v>1310</v>
      </c>
      <c r="B30" s="54" t="s">
        <v>63</v>
      </c>
      <c r="C30" s="145" t="n">
        <f aca="false">IF(C18=1,C23+C26+C29-C10,"SLO 不可達")</f>
        <v>0</v>
      </c>
      <c r="D30" s="145" t="n">
        <f aca="false">IF(D18=1,D23+D26+D29-D10,"SLO 不可達")</f>
        <v>0</v>
      </c>
      <c r="E30" s="145" t="n">
        <f aca="false">IF(E18=1,E23+E26+E29-E10,"SLO 不可達")</f>
        <v>0</v>
      </c>
      <c r="F30" s="145" t="n">
        <f aca="false">IF(F18=1,F23+F26+F29-F10,"SLO 不可達")</f>
        <v>0</v>
      </c>
      <c r="G30" s="145" t="n">
        <f aca="false">IF(G18=1,G23+G26+G29-G10,"SLO 不可達")</f>
        <v>0</v>
      </c>
      <c r="H30" s="145" t="n">
        <f aca="false">IF(H18=1,H23+H26+H29-H10,"SLO 不可達")</f>
        <v>0</v>
      </c>
      <c r="I30" s="145" t="n">
        <f aca="false">IF(I18=1,I23+I26+I29-I10,"SLO 不可達")</f>
        <v>0</v>
      </c>
      <c r="J30" s="145" t="n">
        <f aca="false">IF(J18=1,J23+J26+J29-J10,"SLO 不可達")</f>
        <v>0</v>
      </c>
      <c r="K30" s="145" t="n">
        <f aca="false">IF(K18=1,K23+K26+K29-K10,"SLO 不可達")</f>
        <v>0</v>
      </c>
      <c r="L30" s="145" t="n">
        <f aca="false">IF(L18=1,L23+L26+L29-L10,"SLO 不可達")</f>
        <v>0</v>
      </c>
      <c r="M30" s="145" t="n">
        <f aca="false">IF(M18=1,M23+M26+M29-M10,"SLO 不可達")</f>
        <v>0</v>
      </c>
      <c r="N30" s="145" t="n">
        <f aca="false">IF(N18=1,N23+N26+N29-N10,"SLO 不可達")</f>
        <v>0</v>
      </c>
      <c r="O30" s="145" t="n">
        <f aca="false">IF(O18=1,O23+O26+O29-O10,"SLO 不可達")</f>
        <v>0</v>
      </c>
      <c r="P30" s="145" t="n">
        <f aca="false">IF(P18=1,P23+P26+P29-P10,"SLO 不可達")</f>
        <v>0</v>
      </c>
      <c r="Q30" s="145" t="n">
        <f aca="false">IF(Q18=1,Q23+Q26+Q29-Q10,"SLO 不可達")</f>
        <v>0</v>
      </c>
    </row>
    <row r="32" customFormat="false" ht="15" hidden="false" customHeight="false" outlineLevel="0" collapsed="false">
      <c r="A32" s="68" t="s">
        <v>1311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</row>
    <row r="33" customFormat="false" ht="15" hidden="false" customHeight="false" outlineLevel="0" collapsed="false">
      <c r="A33" s="5" t="s">
        <v>1312</v>
      </c>
      <c r="B33" s="54" t="s">
        <v>71</v>
      </c>
      <c r="C33" s="95" t="n">
        <f aca="false">INDEX(IF_ProgGWyr_Luna,1,C$7)+INDEX(IF_ProgGWyr_Sol,1,C$7)+INDEX(IF_ProgGWyr_Astra,1,C$7)</f>
        <v>0.173958041057628</v>
      </c>
      <c r="D33" s="95" t="n">
        <f aca="false">INDEX(IF_ProgGWyr_Luna,1,D$7)+INDEX(IF_ProgGWyr_Sol,1,D$7)+INDEX(IF_ProgGWyr_Astra,1,D$7)</f>
        <v>0.173958041057628</v>
      </c>
      <c r="E33" s="95" t="n">
        <f aca="false">INDEX(IF_ProgGWyr_Luna,1,E$7)+INDEX(IF_ProgGWyr_Sol,1,E$7)+INDEX(IF_ProgGWyr_Astra,1,E$7)</f>
        <v>0.173958041057628</v>
      </c>
      <c r="F33" s="95" t="n">
        <f aca="false">INDEX(IF_ProgGWyr_Luna,1,F$7)+INDEX(IF_ProgGWyr_Sol,1,F$7)+INDEX(IF_ProgGWyr_Astra,1,F$7)</f>
        <v>0.0853804375916351</v>
      </c>
      <c r="G33" s="95" t="n">
        <f aca="false">INDEX(IF_ProgGWyr_Luna,1,G$7)+INDEX(IF_ProgGWyr_Sol,1,G$7)+INDEX(IF_ProgGWyr_Astra,1,G$7)</f>
        <v>0.0853804375916351</v>
      </c>
      <c r="H33" s="95" t="n">
        <f aca="false">INDEX(IF_ProgGWyr_Luna,1,H$7)+INDEX(IF_ProgGWyr_Sol,1,H$7)+INDEX(IF_ProgGWyr_Astra,1,H$7)</f>
        <v>0.0853804375916351</v>
      </c>
      <c r="I33" s="95" t="n">
        <f aca="false">INDEX(IF_ProgGWyr_Luna,1,I$7)+INDEX(IF_ProgGWyr_Sol,1,I$7)+INDEX(IF_ProgGWyr_Astra,1,I$7)</f>
        <v>0.0791426774667742</v>
      </c>
      <c r="J33" s="95" t="n">
        <f aca="false">INDEX(IF_ProgGWyr_Luna,1,J$7)+INDEX(IF_ProgGWyr_Sol,1,J$7)+INDEX(IF_ProgGWyr_Astra,1,J$7)</f>
        <v>0.0791426774667742</v>
      </c>
      <c r="K33" s="95" t="n">
        <f aca="false">INDEX(IF_ProgGWyr_Luna,1,K$7)+INDEX(IF_ProgGWyr_Sol,1,K$7)+INDEX(IF_ProgGWyr_Astra,1,K$7)</f>
        <v>0.0791426774667742</v>
      </c>
      <c r="L33" s="95" t="n">
        <f aca="false">INDEX(IF_ProgGWyr_Luna,1,L$7)+INDEX(IF_ProgGWyr_Sol,1,L$7)+INDEX(IF_ProgGWyr_Astra,1,L$7)</f>
        <v>0.0443662515430788</v>
      </c>
      <c r="M33" s="95" t="n">
        <f aca="false">INDEX(IF_ProgGWyr_Luna,1,M$7)+INDEX(IF_ProgGWyr_Sol,1,M$7)+INDEX(IF_ProgGWyr_Astra,1,M$7)</f>
        <v>0.0443662515430788</v>
      </c>
      <c r="N33" s="95" t="n">
        <f aca="false">INDEX(IF_ProgGWyr_Luna,1,N$7)+INDEX(IF_ProgGWyr_Sol,1,N$7)+INDEX(IF_ProgGWyr_Astra,1,N$7)</f>
        <v>0.0443662515430788</v>
      </c>
      <c r="O33" s="95" t="n">
        <f aca="false">INDEX(IF_ProgGWyr_Luna,1,O$7)+INDEX(IF_ProgGWyr_Sol,1,O$7)+INDEX(IF_ProgGWyr_Astra,1,O$7)</f>
        <v>0.0329903486184271</v>
      </c>
      <c r="P33" s="95" t="n">
        <f aca="false">INDEX(IF_ProgGWyr_Luna,1,P$7)+INDEX(IF_ProgGWyr_Sol,1,P$7)+INDEX(IF_ProgGWyr_Astra,1,P$7)</f>
        <v>0.0329903486184271</v>
      </c>
      <c r="Q33" s="95" t="n">
        <f aca="false">INDEX(IF_ProgGWyr_Luna,1,Q$7)+INDEX(IF_ProgGWyr_Sol,1,Q$7)+INDEX(IF_ProgGWyr_Astra,1,Q$7)</f>
        <v>0.0329903486184271</v>
      </c>
    </row>
    <row r="34" customFormat="false" ht="15" hidden="false" customHeight="false" outlineLevel="0" collapsed="false">
      <c r="A34" s="5" t="s">
        <v>1313</v>
      </c>
      <c r="B34" s="53" t="s">
        <v>287</v>
      </c>
      <c r="C34" s="81" t="n">
        <f aca="false">C13/C33</f>
        <v>3.39162246489398</v>
      </c>
      <c r="D34" s="81" t="n">
        <f aca="false">D13/D33</f>
        <v>3.39162246489398</v>
      </c>
      <c r="E34" s="81" t="n">
        <f aca="false">E13/E33</f>
        <v>3.39162246489398</v>
      </c>
      <c r="F34" s="81" t="n">
        <f aca="false">F13/F33</f>
        <v>6.91024802217462</v>
      </c>
      <c r="G34" s="81" t="n">
        <f aca="false">G13/G33</f>
        <v>6.91024802217462</v>
      </c>
      <c r="H34" s="81" t="n">
        <f aca="false">H13/H33</f>
        <v>6.91024802217462</v>
      </c>
      <c r="I34" s="81" t="n">
        <f aca="false">I13/I33</f>
        <v>7.45489057086418</v>
      </c>
      <c r="J34" s="81" t="n">
        <f aca="false">J13/J33</f>
        <v>7.45489057086418</v>
      </c>
      <c r="K34" s="81" t="n">
        <f aca="false">K13/K33</f>
        <v>7.45489057086418</v>
      </c>
      <c r="L34" s="81" t="n">
        <f aca="false">L13/L33</f>
        <v>13.2983964044635</v>
      </c>
      <c r="M34" s="81" t="n">
        <f aca="false">M13/M33</f>
        <v>13.2983964044635</v>
      </c>
      <c r="N34" s="81" t="n">
        <f aca="false">N13/N33</f>
        <v>13.2983964044635</v>
      </c>
      <c r="O34" s="81" t="n">
        <f aca="false">O13/O33</f>
        <v>17.8840183480344</v>
      </c>
      <c r="P34" s="81" t="n">
        <f aca="false">P13/P33</f>
        <v>17.8840183480344</v>
      </c>
      <c r="Q34" s="81" t="n">
        <f aca="false">Q13/Q33</f>
        <v>17.8840183480344</v>
      </c>
    </row>
    <row r="35" customFormat="false" ht="15" hidden="false" customHeight="false" outlineLevel="0" collapsed="false">
      <c r="A35" s="66" t="s">
        <v>1314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17.15" hidden="false" customHeight="false" outlineLevel="0" collapsed="false">
      <c r="A1" s="49" t="s">
        <v>1315</v>
      </c>
    </row>
    <row r="2" customFormat="false" ht="15" hidden="false" customHeight="false" outlineLevel="0" collapsed="false">
      <c r="A2" s="66" t="s">
        <v>1316</v>
      </c>
    </row>
    <row r="4" customFormat="false" ht="15" hidden="false" customHeight="false" outlineLevel="0" collapsed="false">
      <c r="A4" s="51" t="s">
        <v>136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51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51" t="s">
        <v>407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51" t="s">
        <v>1274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8" t="s">
        <v>219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" t="s">
        <v>1317</v>
      </c>
      <c r="B10" s="54" t="s">
        <v>828</v>
      </c>
      <c r="C10" s="67" t="n">
        <f aca="false">INDEX(IF_ProgCost_Luna,1,C$7)</f>
        <v>56.9268604304064</v>
      </c>
      <c r="D10" s="67" t="n">
        <f aca="false">INDEX(IF_ProgCost_Luna,1,D$7)</f>
        <v>82.1026248355149</v>
      </c>
      <c r="E10" s="67" t="n">
        <f aca="false">INDEX(IF_ProgCost_Luna,1,E$7)</f>
        <v>141.551601667341</v>
      </c>
      <c r="F10" s="67" t="n">
        <f aca="false">INDEX(IF_ProgCost_Luna,1,F$7)</f>
        <v>25.7898837116518</v>
      </c>
      <c r="G10" s="67" t="n">
        <f aca="false">INDEX(IF_ProgCost_Luna,1,G$7)</f>
        <v>34.7149216909262</v>
      </c>
      <c r="H10" s="67" t="n">
        <f aca="false">INDEX(IF_ProgCost_Luna,1,H$7)</f>
        <v>56.4767902251543</v>
      </c>
      <c r="I10" s="67" t="n">
        <f aca="false">INDEX(IF_ProgCost_Luna,1,I$7)</f>
        <v>28.9868697383642</v>
      </c>
      <c r="J10" s="67" t="n">
        <f aca="false">INDEX(IF_ProgCost_Luna,1,J$7)</f>
        <v>42.3602415833066</v>
      </c>
      <c r="K10" s="67" t="n">
        <f aca="false">INDEX(IF_ProgCost_Luna,1,K$7)</f>
        <v>79.4686294334665</v>
      </c>
      <c r="L10" s="67" t="n">
        <f aca="false">INDEX(IF_ProgCost_Luna,1,L$7)</f>
        <v>18.9645451518437</v>
      </c>
      <c r="M10" s="67" t="n">
        <f aca="false">INDEX(IF_ProgCost_Luna,1,M$7)</f>
        <v>24.6044203494087</v>
      </c>
      <c r="N10" s="67" t="n">
        <f aca="false">INDEX(IF_ProgCost_Luna,1,N$7)</f>
        <v>39.8661475639485</v>
      </c>
      <c r="O10" s="67" t="n">
        <f aca="false">INDEX(IF_ProgCost_Luna,1,O$7)</f>
        <v>14.9513936025791</v>
      </c>
      <c r="P10" s="67" t="n">
        <f aca="false">INDEX(IF_ProgCost_Luna,1,P$7)</f>
        <v>22.9865306132698</v>
      </c>
      <c r="Q10" s="67" t="n">
        <f aca="false">INDEX(IF_ProgCost_Luna,1,Q$7)</f>
        <v>42.1333106919549</v>
      </c>
    </row>
    <row r="11" customFormat="false" ht="15" hidden="false" customHeight="false" outlineLevel="0" collapsed="false">
      <c r="A11" s="5" t="s">
        <v>1318</v>
      </c>
      <c r="B11" s="54" t="s">
        <v>750</v>
      </c>
      <c r="C11" s="55" t="n">
        <f aca="false">IF(AND(ISNUMBER(Fleet_1GW!C21),ISNUMBER(Fleet_1GW!C22)),Fleet_1GW!C21+Fleet_1GW!C22,"SLO 不可達")</f>
        <v>6877614832.05626</v>
      </c>
      <c r="D11" s="55" t="n">
        <f aca="false">IF(AND(ISNUMBER(Fleet_1GW!D21),ISNUMBER(Fleet_1GW!D22)),Fleet_1GW!D21+Fleet_1GW!D22,"SLO 不可達")</f>
        <v>6877614832.05626</v>
      </c>
      <c r="E11" s="55" t="n">
        <f aca="false">IF(AND(ISNUMBER(Fleet_1GW!E21),ISNUMBER(Fleet_1GW!E22)),Fleet_1GW!E21+Fleet_1GW!E22,"SLO 不可達")</f>
        <v>6877614832.05626</v>
      </c>
      <c r="F11" s="55" t="n">
        <f aca="false">IF(AND(ISNUMBER(Fleet_1GW!F21),ISNUMBER(Fleet_1GW!F22)),Fleet_1GW!F21+Fleet_1GW!F22,"SLO 不可達")</f>
        <v>33683309039.7676</v>
      </c>
      <c r="G11" s="55" t="n">
        <f aca="false">IF(AND(ISNUMBER(Fleet_1GW!G21),ISNUMBER(Fleet_1GW!G22)),Fleet_1GW!G21+Fleet_1GW!G22,"SLO 不可達")</f>
        <v>33683309039.7676</v>
      </c>
      <c r="H11" s="55" t="n">
        <f aca="false">IF(AND(ISNUMBER(Fleet_1GW!H21),ISNUMBER(Fleet_1GW!H22)),Fleet_1GW!H21+Fleet_1GW!H22,"SLO 不可達")</f>
        <v>33683309039.7676</v>
      </c>
      <c r="I11" s="55" t="n">
        <f aca="false">IF(AND(ISNUMBER(Fleet_1GW!I21),ISNUMBER(Fleet_1GW!I22)),Fleet_1GW!I21+Fleet_1GW!I22,"SLO 不可達")</f>
        <v>48404960059.073</v>
      </c>
      <c r="J11" s="55" t="n">
        <f aca="false">IF(AND(ISNUMBER(Fleet_1GW!J21),ISNUMBER(Fleet_1GW!J22)),Fleet_1GW!J21+Fleet_1GW!J22,"SLO 不可達")</f>
        <v>48404960059.073</v>
      </c>
      <c r="K11" s="55" t="n">
        <f aca="false">IF(AND(ISNUMBER(Fleet_1GW!K21),ISNUMBER(Fleet_1GW!K22)),Fleet_1GW!K21+Fleet_1GW!K22,"SLO 不可達")</f>
        <v>48404960059.073</v>
      </c>
      <c r="L11" s="55" t="n">
        <f aca="false">IF(AND(ISNUMBER(Fleet_1GW!L21),ISNUMBER(Fleet_1GW!L22)),Fleet_1GW!L21+Fleet_1GW!L22,"SLO 不可達")</f>
        <v>74152181303.5305</v>
      </c>
      <c r="M11" s="55" t="n">
        <f aca="false">IF(AND(ISNUMBER(Fleet_1GW!M21),ISNUMBER(Fleet_1GW!M22)),Fleet_1GW!M21+Fleet_1GW!M22,"SLO 不可達")</f>
        <v>74152181303.5305</v>
      </c>
      <c r="N11" s="55" t="n">
        <f aca="false">IF(AND(ISNUMBER(Fleet_1GW!N21),ISNUMBER(Fleet_1GW!N22)),Fleet_1GW!N21+Fleet_1GW!N22,"SLO 不可達")</f>
        <v>74152181303.5305</v>
      </c>
      <c r="O11" s="55" t="n">
        <f aca="false">IF(AND(ISNUMBER(Fleet_1GW!O21),ISNUMBER(Fleet_1GW!O22)),Fleet_1GW!O21+Fleet_1GW!O22,"SLO 不可達")</f>
        <v>101232268081.178</v>
      </c>
      <c r="P11" s="55" t="n">
        <f aca="false">IF(AND(ISNUMBER(Fleet_1GW!P21),ISNUMBER(Fleet_1GW!P22)),Fleet_1GW!P21+Fleet_1GW!P22,"SLO 不可達")</f>
        <v>101232268081.178</v>
      </c>
      <c r="Q11" s="55" t="n">
        <f aca="false">IF(AND(ISNUMBER(Fleet_1GW!Q21),ISNUMBER(Fleet_1GW!Q22)),Fleet_1GW!Q21+Fleet_1GW!Q22,"SLO 不可達")</f>
        <v>101232268081.178</v>
      </c>
    </row>
    <row r="12" customFormat="false" ht="15" hidden="false" customHeight="false" outlineLevel="0" collapsed="false">
      <c r="A12" s="5" t="s">
        <v>1319</v>
      </c>
      <c r="B12" s="54" t="s">
        <v>1320</v>
      </c>
      <c r="C12" s="60" t="n">
        <f aca="false">IF(ISNUMBER(C11),C11*INDEX(B4_Life,1,1)/12,"SLO 不可達")</f>
        <v>6877614832.05626</v>
      </c>
      <c r="D12" s="60" t="n">
        <f aca="false">IF(ISNUMBER(D11),D11*INDEX(B4_Life,1,1)/12,"SLO 不可達")</f>
        <v>6877614832.05626</v>
      </c>
      <c r="E12" s="60" t="n">
        <f aca="false">IF(ISNUMBER(E11),E11*INDEX(B4_Life,1,1)/12,"SLO 不可達")</f>
        <v>6877614832.05626</v>
      </c>
      <c r="F12" s="60" t="n">
        <f aca="false">IF(ISNUMBER(F11),F11*INDEX(B4_Life,1,1)/12,"SLO 不可達")</f>
        <v>33683309039.7676</v>
      </c>
      <c r="G12" s="60" t="n">
        <f aca="false">IF(ISNUMBER(G11),G11*INDEX(B4_Life,1,1)/12,"SLO 不可達")</f>
        <v>33683309039.7676</v>
      </c>
      <c r="H12" s="60" t="n">
        <f aca="false">IF(ISNUMBER(H11),H11*INDEX(B4_Life,1,1)/12,"SLO 不可達")</f>
        <v>33683309039.7676</v>
      </c>
      <c r="I12" s="60" t="n">
        <f aca="false">IF(ISNUMBER(I11),I11*INDEX(B4_Life,1,1)/12,"SLO 不可達")</f>
        <v>48404960059.073</v>
      </c>
      <c r="J12" s="60" t="n">
        <f aca="false">IF(ISNUMBER(J11),J11*INDEX(B4_Life,1,1)/12,"SLO 不可達")</f>
        <v>48404960059.073</v>
      </c>
      <c r="K12" s="60" t="n">
        <f aca="false">IF(ISNUMBER(K11),K11*INDEX(B4_Life,1,1)/12,"SLO 不可達")</f>
        <v>48404960059.073</v>
      </c>
      <c r="L12" s="60" t="n">
        <f aca="false">IF(ISNUMBER(L11),L11*INDEX(B4_Life,1,1)/12,"SLO 不可達")</f>
        <v>74152181303.5305</v>
      </c>
      <c r="M12" s="60" t="n">
        <f aca="false">IF(ISNUMBER(M11),M11*INDEX(B4_Life,1,1)/12,"SLO 不可達")</f>
        <v>74152181303.5305</v>
      </c>
      <c r="N12" s="60" t="n">
        <f aca="false">IF(ISNUMBER(N11),N11*INDEX(B4_Life,1,1)/12,"SLO 不可達")</f>
        <v>74152181303.5305</v>
      </c>
      <c r="O12" s="60" t="n">
        <f aca="false">IF(ISNUMBER(O11),O11*INDEX(B4_Life,1,1)/12,"SLO 不可達")</f>
        <v>101232268081.178</v>
      </c>
      <c r="P12" s="60" t="n">
        <f aca="false">IF(ISNUMBER(P11),P11*INDEX(B4_Life,1,1)/12,"SLO 不可達")</f>
        <v>101232268081.178</v>
      </c>
      <c r="Q12" s="60" t="n">
        <f aca="false">IF(ISNUMBER(Q11),Q11*INDEX(B4_Life,1,1)/12,"SLO 不可達")</f>
        <v>101232268081.178</v>
      </c>
    </row>
    <row r="13" customFormat="false" ht="15" hidden="false" customHeight="false" outlineLevel="0" collapsed="false">
      <c r="A13" s="5" t="s">
        <v>1321</v>
      </c>
      <c r="B13" s="54" t="s">
        <v>758</v>
      </c>
      <c r="C13" s="147" t="n">
        <f aca="false">IF(ISNUMBER(C12),IF(C12&gt;0,C10*1000000/C12,0),"SLO 不可達")</f>
        <v>0.00827712249384378</v>
      </c>
      <c r="D13" s="147" t="n">
        <f aca="false">IF(ISNUMBER(D12),IF(D12&gt;0,D10*1000000/D12,0),"SLO 不可達")</f>
        <v>0.011937659616069</v>
      </c>
      <c r="E13" s="147" t="n">
        <f aca="false">IF(ISNUMBER(E12),IF(E12&gt;0,E10*1000000/E12,0),"SLO 不可達")</f>
        <v>0.0205814959290211</v>
      </c>
      <c r="F13" s="147" t="n">
        <f aca="false">IF(ISNUMBER(F12),IF(F12&gt;0,F10*1000000/F12,0),"SLO 不可達")</f>
        <v>0.000765657663895297</v>
      </c>
      <c r="G13" s="147" t="n">
        <f aca="false">IF(ISNUMBER(G12),IF(G12&gt;0,G10*1000000/G12,0),"SLO 不可達")</f>
        <v>0.00103062682024325</v>
      </c>
      <c r="H13" s="147" t="n">
        <f aca="false">IF(ISNUMBER(H12),IF(H12&gt;0,H10*1000000/H12,0),"SLO 不可達")</f>
        <v>0.00167669958312219</v>
      </c>
      <c r="I13" s="147" t="n">
        <f aca="false">IF(ISNUMBER(I12),IF(I12&gt;0,I10*1000000/I12,0),"SLO 不可達")</f>
        <v>0.000598840897771404</v>
      </c>
      <c r="J13" s="147" t="n">
        <f aca="false">IF(ISNUMBER(J12),IF(J12&gt;0,J10*1000000/J12,0),"SLO 不可達")</f>
        <v>0.000875121919977013</v>
      </c>
      <c r="K13" s="147" t="n">
        <f aca="false">IF(ISNUMBER(K12),IF(K12&gt;0,K10*1000000/K12,0),"SLO 不可達")</f>
        <v>0.00164174558426417</v>
      </c>
      <c r="L13" s="147" t="n">
        <f aca="false">IF(ISNUMBER(L12),IF(L12&gt;0,L10*1000000/L12,0),"SLO 不可達")</f>
        <v>0.000255751682802361</v>
      </c>
      <c r="M13" s="147" t="n">
        <f aca="false">IF(ISNUMBER(M12),IF(M12&gt;0,M10*1000000/M12,0),"SLO 不可達")</f>
        <v>0.000331809798671928</v>
      </c>
      <c r="N13" s="147" t="n">
        <f aca="false">IF(ISNUMBER(N12),IF(N12&gt;0,N10*1000000/N12,0),"SLO 不可達")</f>
        <v>0.000537626093570499</v>
      </c>
      <c r="O13" s="147" t="n">
        <f aca="false">IF(ISNUMBER(O12),IF(O12&gt;0,O10*1000000/O12,0),"SLO 不可達")</f>
        <v>0.000147693950614538</v>
      </c>
      <c r="P13" s="147" t="n">
        <f aca="false">IF(ISNUMBER(P12),IF(P12&gt;0,P10*1000000/P12,0),"SLO 不可達")</f>
        <v>0.000227067229145128</v>
      </c>
      <c r="Q13" s="147" t="n">
        <f aca="false">IF(ISNUMBER(Q12),IF(Q12&gt;0,Q10*1000000/Q12,0),"SLO 不可達")</f>
        <v>0.000416204353518665</v>
      </c>
    </row>
    <row r="14" customFormat="false" ht="15" hidden="false" customHeight="false" outlineLevel="0" collapsed="false">
      <c r="A14" s="5" t="s">
        <v>1322</v>
      </c>
      <c r="B14" s="54" t="s">
        <v>758</v>
      </c>
      <c r="C14" s="148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0.125052691679538</v>
      </c>
      <c r="D14" s="148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0.180352147257489</v>
      </c>
      <c r="E14" s="148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0.310933924262012</v>
      </c>
      <c r="F14" s="148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0.0268879920083376</v>
      </c>
      <c r="G14" s="148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0.0361893007233086</v>
      </c>
      <c r="H14" s="148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0.0588686280182186</v>
      </c>
      <c r="I14" s="148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0.0236091578591992</v>
      </c>
      <c r="J14" s="148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0.0344964728366824</v>
      </c>
      <c r="K14" s="148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0.0647065583346111</v>
      </c>
      <c r="L14" s="148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0.0180758142881924</v>
      </c>
      <c r="M14" s="148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0.0234481679292898</v>
      </c>
      <c r="N14" s="148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0.0379859711427131</v>
      </c>
      <c r="O14" s="148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0.0142035236403495</v>
      </c>
      <c r="P14" s="148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0.0218309208956915</v>
      </c>
      <c r="Q14" s="148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0.0400061054166888</v>
      </c>
    </row>
    <row r="15" customFormat="false" ht="15" hidden="false" customHeight="false" outlineLevel="0" collapsed="false">
      <c r="A15" s="5" t="s">
        <v>1323</v>
      </c>
      <c r="B15" s="54" t="s">
        <v>758</v>
      </c>
      <c r="C15" s="149" t="n">
        <f aca="false">IF(ISNUMBER(C14),Fleet_1GW!C13/(1-Fleet_1GW!C13)*C14,"SLO 不可達")</f>
        <v>0.179953873392506</v>
      </c>
      <c r="D15" s="149" t="n">
        <f aca="false">IF(ISNUMBER(D14),Fleet_1GW!D13/(1-Fleet_1GW!D13)*D14,"SLO 不可達")</f>
        <v>0.259531138736387</v>
      </c>
      <c r="E15" s="149" t="n">
        <f aca="false">IF(ISNUMBER(E14),Fleet_1GW!E13/(1-Fleet_1GW!E13)*E14,"SLO 不可達")</f>
        <v>0.447441500767285</v>
      </c>
      <c r="F15" s="149" t="n">
        <f aca="false">IF(ISNUMBER(F14),Fleet_1GW!F13/(1-Fleet_1GW!F13)*F14,"SLO 不可達")</f>
        <v>0.0386924763046809</v>
      </c>
      <c r="G15" s="149" t="n">
        <f aca="false">IF(ISNUMBER(G14),Fleet_1GW!G13/(1-Fleet_1GW!G13)*G14,"SLO 不可達")</f>
        <v>0.0520772864067124</v>
      </c>
      <c r="H15" s="149" t="n">
        <f aca="false">IF(ISNUMBER(H14),Fleet_1GW!H13/(1-Fleet_1GW!H13)*H14,"SLO 不可達")</f>
        <v>0.0847133915384122</v>
      </c>
      <c r="I15" s="149" t="n">
        <f aca="false">IF(ISNUMBER(I14),Fleet_1GW!I13/(1-Fleet_1GW!I13)*I14,"SLO 不可達")</f>
        <v>0.0339741539925062</v>
      </c>
      <c r="J15" s="149" t="n">
        <f aca="false">IF(ISNUMBER(J14),Fleet_1GW!J13/(1-Fleet_1GW!J13)*J14,"SLO 不可達")</f>
        <v>0.0496412657893722</v>
      </c>
      <c r="K15" s="149" t="n">
        <f aca="false">IF(ISNUMBER(K14),Fleet_1GW!K13/(1-Fleet_1GW!K13)*K14,"SLO 不可達")</f>
        <v>0.0931143156522453</v>
      </c>
      <c r="L15" s="149" t="n">
        <f aca="false">IF(ISNUMBER(L14),Fleet_1GW!L13/(1-Fleet_1GW!L13)*L14,"SLO 不可達")</f>
        <v>0.0260115376342282</v>
      </c>
      <c r="M15" s="149" t="n">
        <f aca="false">IF(ISNUMBER(M14),Fleet_1GW!M13/(1-Fleet_1GW!M13)*M14,"SLO 不可達")</f>
        <v>0.0337424855567829</v>
      </c>
      <c r="N15" s="149" t="n">
        <f aca="false">IF(ISNUMBER(N14),Fleet_1GW!N13/(1-Fleet_1GW!N13)*N14,"SLO 不可達")</f>
        <v>0.0546627389614651</v>
      </c>
      <c r="O15" s="149" t="n">
        <f aca="false">IF(ISNUMBER(O14),Fleet_1GW!O13/(1-Fleet_1GW!O13)*O14,"SLO 不可達")</f>
        <v>0.0204392169458688</v>
      </c>
      <c r="P15" s="149" t="n">
        <f aca="false">IF(ISNUMBER(P14),Fleet_1GW!P13/(1-Fleet_1GW!P13)*P14,"SLO 不可達")</f>
        <v>0.0314152276303853</v>
      </c>
      <c r="Q15" s="149" t="n">
        <f aca="false">IF(ISNUMBER(Q14),Fleet_1GW!Q13/(1-Fleet_1GW!Q13)*Q14,"SLO 不可達")</f>
        <v>0.0575697614532839</v>
      </c>
    </row>
    <row r="16" customFormat="false" ht="15" hidden="false" customHeight="false" outlineLevel="0" collapsed="false">
      <c r="A16" s="5" t="s">
        <v>1324</v>
      </c>
      <c r="B16" s="54" t="s">
        <v>75</v>
      </c>
      <c r="C16" s="67" t="n">
        <f aca="false">IF(AND(ISNUMBER(C13),ISNUMBER(C15)),IF(C13&gt;0,C15/C13,0),"SLO 不可達")</f>
        <v>21.7411151672998</v>
      </c>
      <c r="D16" s="67" t="n">
        <f aca="false">IF(AND(ISNUMBER(D13),ISNUMBER(D15)),IF(D13&gt;0,D15/D13,0),"SLO 不可達")</f>
        <v>21.7405376835372</v>
      </c>
      <c r="E16" s="67" t="n">
        <f aca="false">IF(AND(ISNUMBER(E13),ISNUMBER(E15)),IF(E13&gt;0,E15/E13,0),"SLO 不可達")</f>
        <v>21.7399892753357</v>
      </c>
      <c r="F16" s="67" t="n">
        <f aca="false">IF(AND(ISNUMBER(F13),ISNUMBER(F15)),IF(F13&gt;0,F15/F13,0),"SLO 不可達")</f>
        <v>50.5349559329587</v>
      </c>
      <c r="G16" s="67" t="n">
        <f aca="false">IF(AND(ISNUMBER(G13),ISNUMBER(G15)),IF(G13&gt;0,G15/G13,0),"SLO 不可達")</f>
        <v>50.5297217031682</v>
      </c>
      <c r="H16" s="67" t="n">
        <f aca="false">IF(AND(ISNUMBER(H13),ISNUMBER(H15)),IF(H13&gt;0,H15/H13,0),"SLO 不可達")</f>
        <v>50.5238937202256</v>
      </c>
      <c r="I16" s="67" t="n">
        <f aca="false">IF(AND(ISNUMBER(I13),ISNUMBER(I15)),IF(I13&gt;0,I15/I13,0),"SLO 不可達")</f>
        <v>56.7331892643632</v>
      </c>
      <c r="J16" s="67" t="n">
        <f aca="false">IF(AND(ISNUMBER(J13),ISNUMBER(J15)),IF(J13&gt;0,J15/J13,0),"SLO 不可達")</f>
        <v>56.7249712939155</v>
      </c>
      <c r="K16" s="67" t="n">
        <f aca="false">IF(AND(ISNUMBER(K13),ISNUMBER(K15)),IF(K13&gt;0,K15/K13,0),"SLO 不可達")</f>
        <v>56.7166536305802</v>
      </c>
      <c r="L16" s="67" t="n">
        <f aca="false">IF(AND(ISNUMBER(L13),ISNUMBER(L15)),IF(L13&gt;0,L15/L13,0),"SLO 不可達")</f>
        <v>101.706222806476</v>
      </c>
      <c r="M16" s="67" t="n">
        <f aca="false">IF(AND(ISNUMBER(M13),ISNUMBER(M15)),IF(M13&gt;0,M15/M13,0),"SLO 不可達")</f>
        <v>101.692251681046</v>
      </c>
      <c r="N16" s="67" t="n">
        <f aca="false">IF(AND(ISNUMBER(N13),ISNUMBER(N15)),IF(N13&gt;0,N15/N13,0),"SLO 不可達")</f>
        <v>101.674266958356</v>
      </c>
      <c r="O16" s="67" t="n">
        <f aca="false">IF(AND(ISNUMBER(O13),ISNUMBER(O15)),IF(O13&gt;0,O15/O13,0),"SLO 不可達")</f>
        <v>138.388991971733</v>
      </c>
      <c r="P16" s="67" t="n">
        <f aca="false">IF(AND(ISNUMBER(P13),ISNUMBER(P15)),IF(P13&gt;0,P15/P13,0),"SLO 不可達")</f>
        <v>138.352098401247</v>
      </c>
      <c r="Q16" s="67" t="n">
        <f aca="false">IF(AND(ISNUMBER(Q13),ISNUMBER(Q15)),IF(Q13&gt;0,Q15/Q13,0),"SLO 不可達")</f>
        <v>138.320901659435</v>
      </c>
    </row>
    <row r="18" customFormat="false" ht="15" hidden="false" customHeight="false" outlineLevel="0" collapsed="false">
      <c r="A18" s="68" t="s">
        <v>220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</row>
    <row r="19" customFormat="false" ht="15" hidden="false" customHeight="false" outlineLevel="0" collapsed="false">
      <c r="A19" s="5" t="s">
        <v>1317</v>
      </c>
      <c r="B19" s="54" t="s">
        <v>828</v>
      </c>
      <c r="C19" s="67" t="n">
        <f aca="false">INDEX(IF_ProgCost_Sol,1,C$7)</f>
        <v>162.025046497687</v>
      </c>
      <c r="D19" s="67" t="n">
        <f aca="false">INDEX(IF_ProgCost_Sol,1,D$7)</f>
        <v>233.680225924616</v>
      </c>
      <c r="E19" s="67" t="n">
        <f aca="false">INDEX(IF_ProgCost_Sol,1,E$7)</f>
        <v>402.883711987089</v>
      </c>
      <c r="F19" s="67" t="n">
        <f aca="false">INDEX(IF_ProgCost_Sol,1,F$7)</f>
        <v>76.2907587747261</v>
      </c>
      <c r="G19" s="67" t="n">
        <f aca="false">INDEX(IF_ProgCost_Sol,1,G$7)</f>
        <v>102.692503239532</v>
      </c>
      <c r="H19" s="67" t="n">
        <f aca="false">INDEX(IF_ProgCost_Sol,1,H$7)</f>
        <v>167.067724213561</v>
      </c>
      <c r="I19" s="67" t="n">
        <f aca="false">INDEX(IF_ProgCost_Sol,1,I$7)</f>
        <v>89.0539546714404</v>
      </c>
      <c r="J19" s="67" t="n">
        <f aca="false">INDEX(IF_ProgCost_Sol,1,J$7)</f>
        <v>130.139855316572</v>
      </c>
      <c r="K19" s="67" t="n">
        <f aca="false">INDEX(IF_ProgCost_Sol,1,K$7)</f>
        <v>244.144876188648</v>
      </c>
      <c r="L19" s="67" t="n">
        <f aca="false">INDEX(IF_ProgCost_Sol,1,L$7)</f>
        <v>56.9962249665752</v>
      </c>
      <c r="M19" s="67" t="n">
        <f aca="false">INDEX(IF_ProgCost_Sol,1,M$7)</f>
        <v>73.946359703267</v>
      </c>
      <c r="N19" s="67" t="n">
        <f aca="false">INDEX(IF_ProgCost_Sol,1,N$7)</f>
        <v>119.814100307309</v>
      </c>
      <c r="O19" s="67" t="n">
        <f aca="false">INDEX(IF_ProgCost_Sol,1,O$7)</f>
        <v>45.0437842873498</v>
      </c>
      <c r="P19" s="67" t="n">
        <f aca="false">INDEX(IF_ProgCost_Sol,1,P$7)</f>
        <v>69.2510915022717</v>
      </c>
      <c r="Q19" s="67" t="n">
        <f aca="false">INDEX(IF_ProgCost_Sol,1,Q$7)</f>
        <v>126.93423827682</v>
      </c>
    </row>
    <row r="20" customFormat="false" ht="15" hidden="false" customHeight="false" outlineLevel="0" collapsed="false">
      <c r="A20" s="5" t="s">
        <v>1318</v>
      </c>
      <c r="B20" s="54" t="s">
        <v>750</v>
      </c>
      <c r="C20" s="55" t="n">
        <f aca="false">IF(AND(ISNUMBER(Fleet_1GW!C24),ISNUMBER(Fleet_1GW!C25)),Fleet_1GW!C24+Fleet_1GW!C25,"SLO 不可達")</f>
        <v>1592569656.76062</v>
      </c>
      <c r="D20" s="55" t="n">
        <f aca="false">IF(AND(ISNUMBER(Fleet_1GW!D24),ISNUMBER(Fleet_1GW!D25)),Fleet_1GW!D24+Fleet_1GW!D25,"SLO 不可達")</f>
        <v>1592569656.76062</v>
      </c>
      <c r="E20" s="55" t="n">
        <f aca="false">IF(AND(ISNUMBER(Fleet_1GW!E24),ISNUMBER(Fleet_1GW!E25)),Fleet_1GW!E24+Fleet_1GW!E25,"SLO 不可達")</f>
        <v>1592569656.76062</v>
      </c>
      <c r="F20" s="55" t="n">
        <f aca="false">IF(AND(ISNUMBER(Fleet_1GW!F24),ISNUMBER(Fleet_1GW!F25)),Fleet_1GW!F24+Fleet_1GW!F25,"SLO 不可達")</f>
        <v>7915604403.78585</v>
      </c>
      <c r="G20" s="55" t="n">
        <f aca="false">IF(AND(ISNUMBER(Fleet_1GW!G24),ISNUMBER(Fleet_1GW!G25)),Fleet_1GW!G24+Fleet_1GW!G25,"SLO 不可達")</f>
        <v>7915604403.78585</v>
      </c>
      <c r="H20" s="55" t="n">
        <f aca="false">IF(AND(ISNUMBER(Fleet_1GW!H24),ISNUMBER(Fleet_1GW!H25)),Fleet_1GW!H24+Fleet_1GW!H25,"SLO 不可達")</f>
        <v>7915604403.78585</v>
      </c>
      <c r="I20" s="55" t="n">
        <f aca="false">IF(AND(ISNUMBER(Fleet_1GW!I24),ISNUMBER(Fleet_1GW!I25)),Fleet_1GW!I24+Fleet_1GW!I25,"SLO 不可達")</f>
        <v>10811156486.8394</v>
      </c>
      <c r="J20" s="55" t="n">
        <f aca="false">IF(AND(ISNUMBER(Fleet_1GW!J24),ISNUMBER(Fleet_1GW!J25)),Fleet_1GW!J24+Fleet_1GW!J25,"SLO 不可達")</f>
        <v>10811156486.8394</v>
      </c>
      <c r="K20" s="55" t="n">
        <f aca="false">IF(AND(ISNUMBER(Fleet_1GW!K24),ISNUMBER(Fleet_1GW!K25)),Fleet_1GW!K24+Fleet_1GW!K25,"SLO 不可達")</f>
        <v>10811156486.8394</v>
      </c>
      <c r="L20" s="55" t="n">
        <f aca="false">IF(AND(ISNUMBER(Fleet_1GW!L24),ISNUMBER(Fleet_1GW!L25)),Fleet_1GW!L24+Fleet_1GW!L25,"SLO 不可達")</f>
        <v>18317375952.1396</v>
      </c>
      <c r="M20" s="55" t="n">
        <f aca="false">IF(AND(ISNUMBER(Fleet_1GW!M24),ISNUMBER(Fleet_1GW!M25)),Fleet_1GW!M24+Fleet_1GW!M25,"SLO 不可達")</f>
        <v>18317375952.1396</v>
      </c>
      <c r="N20" s="55" t="n">
        <f aca="false">IF(AND(ISNUMBER(Fleet_1GW!N24),ISNUMBER(Fleet_1GW!N25)),Fleet_1GW!N24+Fleet_1GW!N25,"SLO 不可達")</f>
        <v>18317375952.1396</v>
      </c>
      <c r="O20" s="55" t="n">
        <f aca="false">IF(AND(ISNUMBER(Fleet_1GW!O24),ISNUMBER(Fleet_1GW!O25)),Fleet_1GW!O24+Fleet_1GW!O25,"SLO 不可達")</f>
        <v>25505351178.3199</v>
      </c>
      <c r="P20" s="55" t="n">
        <f aca="false">IF(AND(ISNUMBER(Fleet_1GW!P24),ISNUMBER(Fleet_1GW!P25)),Fleet_1GW!P24+Fleet_1GW!P25,"SLO 不可達")</f>
        <v>25505351178.3199</v>
      </c>
      <c r="Q20" s="55" t="n">
        <f aca="false">IF(AND(ISNUMBER(Fleet_1GW!Q24),ISNUMBER(Fleet_1GW!Q25)),Fleet_1GW!Q24+Fleet_1GW!Q25,"SLO 不可達")</f>
        <v>25505351178.3199</v>
      </c>
    </row>
    <row r="21" customFormat="false" ht="15" hidden="false" customHeight="false" outlineLevel="0" collapsed="false">
      <c r="A21" s="5" t="s">
        <v>1319</v>
      </c>
      <c r="B21" s="54" t="s">
        <v>1320</v>
      </c>
      <c r="C21" s="60" t="n">
        <f aca="false">IF(ISNUMBER(C20),C20*INDEX(B4_Life,1,2)/12,"SLO 不可達")</f>
        <v>1592569656.76062</v>
      </c>
      <c r="D21" s="60" t="n">
        <f aca="false">IF(ISNUMBER(D20),D20*INDEX(B4_Life,1,2)/12,"SLO 不可達")</f>
        <v>1592569656.76062</v>
      </c>
      <c r="E21" s="60" t="n">
        <f aca="false">IF(ISNUMBER(E20),E20*INDEX(B4_Life,1,2)/12,"SLO 不可達")</f>
        <v>1592569656.76062</v>
      </c>
      <c r="F21" s="60" t="n">
        <f aca="false">IF(ISNUMBER(F20),F20*INDEX(B4_Life,1,2)/12,"SLO 不可達")</f>
        <v>7915604403.78585</v>
      </c>
      <c r="G21" s="60" t="n">
        <f aca="false">IF(ISNUMBER(G20),G20*INDEX(B4_Life,1,2)/12,"SLO 不可達")</f>
        <v>7915604403.78585</v>
      </c>
      <c r="H21" s="60" t="n">
        <f aca="false">IF(ISNUMBER(H20),H20*INDEX(B4_Life,1,2)/12,"SLO 不可達")</f>
        <v>7915604403.78585</v>
      </c>
      <c r="I21" s="60" t="n">
        <f aca="false">IF(ISNUMBER(I20),I20*INDEX(B4_Life,1,2)/12,"SLO 不可達")</f>
        <v>10811156486.8394</v>
      </c>
      <c r="J21" s="60" t="n">
        <f aca="false">IF(ISNUMBER(J20),J20*INDEX(B4_Life,1,2)/12,"SLO 不可達")</f>
        <v>10811156486.8394</v>
      </c>
      <c r="K21" s="60" t="n">
        <f aca="false">IF(ISNUMBER(K20),K20*INDEX(B4_Life,1,2)/12,"SLO 不可達")</f>
        <v>10811156486.8394</v>
      </c>
      <c r="L21" s="60" t="n">
        <f aca="false">IF(ISNUMBER(L20),L20*INDEX(B4_Life,1,2)/12,"SLO 不可達")</f>
        <v>18317375952.1396</v>
      </c>
      <c r="M21" s="60" t="n">
        <f aca="false">IF(ISNUMBER(M20),M20*INDEX(B4_Life,1,2)/12,"SLO 不可達")</f>
        <v>18317375952.1396</v>
      </c>
      <c r="N21" s="60" t="n">
        <f aca="false">IF(ISNUMBER(N20),N20*INDEX(B4_Life,1,2)/12,"SLO 不可達")</f>
        <v>18317375952.1396</v>
      </c>
      <c r="O21" s="60" t="n">
        <f aca="false">IF(ISNUMBER(O20),O20*INDEX(B4_Life,1,2)/12,"SLO 不可達")</f>
        <v>25505351178.3199</v>
      </c>
      <c r="P21" s="60" t="n">
        <f aca="false">IF(ISNUMBER(P20),P20*INDEX(B4_Life,1,2)/12,"SLO 不可達")</f>
        <v>25505351178.3199</v>
      </c>
      <c r="Q21" s="60" t="n">
        <f aca="false">IF(ISNUMBER(Q20),Q20*INDEX(B4_Life,1,2)/12,"SLO 不可達")</f>
        <v>25505351178.3199</v>
      </c>
    </row>
    <row r="22" customFormat="false" ht="15" hidden="false" customHeight="false" outlineLevel="0" collapsed="false">
      <c r="A22" s="5" t="s">
        <v>1325</v>
      </c>
      <c r="B22" s="54" t="s">
        <v>758</v>
      </c>
      <c r="C22" s="147" t="n">
        <f aca="false">IF(ISNUMBER(C21),IF(C21&gt;0,C19*1000000/C21,0),"SLO 不可達")</f>
        <v>0.101738122291778</v>
      </c>
      <c r="D22" s="147" t="n">
        <f aca="false">IF(ISNUMBER(D21),IF(D21&gt;0,D19*1000000/D21,0),"SLO 不可達")</f>
        <v>0.146731557349859</v>
      </c>
      <c r="E22" s="147" t="n">
        <f aca="false">IF(ISNUMBER(E21),IF(E21&gt;0,E19*1000000/E21,0),"SLO 不可達")</f>
        <v>0.252977136840958</v>
      </c>
      <c r="F22" s="147" t="n">
        <f aca="false">IF(ISNUMBER(F21),IF(F21&gt;0,F19*1000000/F21,0),"SLO 不可達")</f>
        <v>0.00963802065932426</v>
      </c>
      <c r="G22" s="147" t="n">
        <f aca="false">IF(ISNUMBER(G21),IF(G21&gt;0,G19*1000000/G21,0),"SLO 不可達")</f>
        <v>0.0129734254014029</v>
      </c>
      <c r="H22" s="147" t="n">
        <f aca="false">IF(ISNUMBER(H21),IF(H21&gt;0,H19*1000000/H21,0),"SLO 不可達")</f>
        <v>0.0211061235113842</v>
      </c>
      <c r="I22" s="147" t="n">
        <f aca="false">IF(ISNUMBER(I21),IF(I21&gt;0,I19*1000000/I21,0),"SLO 不可達")</f>
        <v>0.00823722742149252</v>
      </c>
      <c r="J22" s="147" t="n">
        <f aca="false">IF(ISNUMBER(J21),IF(J21&gt;0,J19*1000000/J21,0),"SLO 不可達")</f>
        <v>0.0120375517156739</v>
      </c>
      <c r="K22" s="147" t="n">
        <f aca="false">IF(ISNUMBER(K21),IF(K21&gt;0,K19*1000000/K21,0),"SLO 不可達")</f>
        <v>0.0225826789655528</v>
      </c>
      <c r="L22" s="147" t="n">
        <f aca="false">IF(ISNUMBER(L21),IF(L21&gt;0,L19*1000000/L21,0),"SLO 不可達")</f>
        <v>0.0031115933371405</v>
      </c>
      <c r="M22" s="147" t="n">
        <f aca="false">IF(ISNUMBER(M21),IF(M21&gt;0,M19*1000000/M21,0),"SLO 不可達")</f>
        <v>0.00403695157518615</v>
      </c>
      <c r="N22" s="147" t="n">
        <f aca="false">IF(ISNUMBER(N21),IF(N21&gt;0,N19*1000000/N21,0),"SLO 不可達")</f>
        <v>0.00654100787254486</v>
      </c>
      <c r="O22" s="147" t="n">
        <f aca="false">IF(ISNUMBER(O21),IF(O21&gt;0,O19*1000000/O21,0),"SLO 不可達")</f>
        <v>0.00176605230692287</v>
      </c>
      <c r="P22" s="147" t="n">
        <f aca="false">IF(ISNUMBER(P21),IF(P21&gt;0,P19*1000000/P21,0),"SLO 不可達")</f>
        <v>0.00271515930198745</v>
      </c>
      <c r="Q22" s="147" t="n">
        <f aca="false">IF(ISNUMBER(Q21),IF(Q21&gt;0,Q19*1000000/Q21,0),"SLO 不可達")</f>
        <v>0.00497676889015811</v>
      </c>
    </row>
    <row r="23" customFormat="false" ht="15" hidden="false" customHeight="false" outlineLevel="0" collapsed="false">
      <c r="A23" s="5" t="s">
        <v>1322</v>
      </c>
      <c r="B23" s="54" t="s">
        <v>758</v>
      </c>
      <c r="C23" s="148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0.430172406039506</v>
      </c>
      <c r="D23" s="148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0.62040830157731</v>
      </c>
      <c r="E23" s="148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1.06962323560783</v>
      </c>
      <c r="F23" s="148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0.0935539691642385</v>
      </c>
      <c r="G23" s="148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0.12592462995954</v>
      </c>
      <c r="H23" s="148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0.204853825132635</v>
      </c>
      <c r="I23" s="148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0.0821340106182361</v>
      </c>
      <c r="J23" s="148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0.120020238676813</v>
      </c>
      <c r="K23" s="148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0.225146818665611</v>
      </c>
      <c r="L23" s="148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0.0581236617150997</v>
      </c>
      <c r="M23" s="148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0.0754045154333219</v>
      </c>
      <c r="N23" s="148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0.122167194791145</v>
      </c>
      <c r="O23" s="148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0.044708473743112</v>
      </c>
      <c r="P23" s="148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0.0687273208367413</v>
      </c>
      <c r="Q23" s="148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0.125961389457278</v>
      </c>
    </row>
    <row r="24" customFormat="false" ht="15" hidden="false" customHeight="false" outlineLevel="0" collapsed="false">
      <c r="A24" s="5" t="s">
        <v>1326</v>
      </c>
      <c r="B24" s="54" t="s">
        <v>758</v>
      </c>
      <c r="C24" s="149" t="n">
        <f aca="false">IF(ISNUMBER(C23),Fleet_1GW!C13/(1-Fleet_1GW!C13)*C23,"SLO 不可達")</f>
        <v>0.619028584300753</v>
      </c>
      <c r="D24" s="149" t="n">
        <f aca="false">IF(ISNUMBER(D23),Fleet_1GW!D13/(1-Fleet_1GW!D13)*D23,"SLO 不可達")</f>
        <v>0.892782677879544</v>
      </c>
      <c r="E24" s="149" t="n">
        <f aca="false">IF(ISNUMBER(E23),Fleet_1GW!E13/(1-Fleet_1GW!E13)*E23,"SLO 不可達")</f>
        <v>1.53921392441127</v>
      </c>
      <c r="F24" s="149" t="n">
        <f aca="false">IF(ISNUMBER(F23),Fleet_1GW!F13/(1-Fleet_1GW!F13)*F23,"SLO 不可達")</f>
        <v>0.134626443431465</v>
      </c>
      <c r="G24" s="149" t="n">
        <f aca="false">IF(ISNUMBER(G23),Fleet_1GW!G13/(1-Fleet_1GW!G13)*G23,"SLO 不可達")</f>
        <v>0.181208613844216</v>
      </c>
      <c r="H24" s="149" t="n">
        <f aca="false">IF(ISNUMBER(H23),Fleet_1GW!H13/(1-Fleet_1GW!H13)*H23,"SLO 不可達")</f>
        <v>0.294789650800622</v>
      </c>
      <c r="I24" s="149" t="n">
        <f aca="false">IF(ISNUMBER(I23),Fleet_1GW!I13/(1-Fleet_1GW!I13)*I23,"SLO 不可達")</f>
        <v>0.118192844548193</v>
      </c>
      <c r="J24" s="149" t="n">
        <f aca="false">IF(ISNUMBER(J23),Fleet_1GW!J13/(1-Fleet_1GW!J13)*J23,"SLO 不可達")</f>
        <v>0.172712050778828</v>
      </c>
      <c r="K24" s="149" t="n">
        <f aca="false">IF(ISNUMBER(K23),Fleet_1GW!K13/(1-Fleet_1GW!K13)*K23,"SLO 不可達")</f>
        <v>0.323991763445636</v>
      </c>
      <c r="L24" s="149" t="n">
        <f aca="false">IF(ISNUMBER(L23),Fleet_1GW!L13/(1-Fleet_1GW!L13)*L23,"SLO 不可達")</f>
        <v>0.0836413668583142</v>
      </c>
      <c r="M24" s="149" t="n">
        <f aca="false">IF(ISNUMBER(M23),Fleet_1GW!M13/(1-Fleet_1GW!M13)*M23,"SLO 不可達")</f>
        <v>0.108508936843073</v>
      </c>
      <c r="N24" s="149" t="n">
        <f aca="false">IF(ISNUMBER(N23),Fleet_1GW!N13/(1-Fleet_1GW!N13)*N23,"SLO 不可達")</f>
        <v>0.175801572992136</v>
      </c>
      <c r="O24" s="149" t="n">
        <f aca="false">IF(ISNUMBER(O23),Fleet_1GW!O13/(1-Fleet_1GW!O13)*O23,"SLO 不可達")</f>
        <v>0.0643365841669173</v>
      </c>
      <c r="P24" s="149" t="n">
        <f aca="false">IF(ISNUMBER(P23),Fleet_1GW!P13/(1-Fleet_1GW!P13)*P23,"SLO 不可達")</f>
        <v>0.0989002909601887</v>
      </c>
      <c r="Q24" s="149" t="n">
        <f aca="false">IF(ISNUMBER(Q23),Fleet_1GW!Q13/(1-Fleet_1GW!Q13)*Q23,"SLO 不可達")</f>
        <v>0.181261511658034</v>
      </c>
    </row>
    <row r="25" customFormat="false" ht="15" hidden="false" customHeight="false" outlineLevel="0" collapsed="false">
      <c r="A25" s="5" t="s">
        <v>1324</v>
      </c>
      <c r="B25" s="54" t="s">
        <v>75</v>
      </c>
      <c r="C25" s="67" t="n">
        <f aca="false">IF(AND(ISNUMBER(C22),ISNUMBER(C24)),IF(C22&gt;0,C24/C22,0),"SLO 不可達")</f>
        <v>6.08452928318669</v>
      </c>
      <c r="D25" s="67" t="n">
        <f aca="false">IF(AND(ISNUMBER(D22),ISNUMBER(D24)),IF(D22&gt;0,D24/D22,0),"SLO 不可達")</f>
        <v>6.08446263369809</v>
      </c>
      <c r="E25" s="67" t="n">
        <f aca="false">IF(AND(ISNUMBER(E22),ISNUMBER(E24)),IF(E22&gt;0,E24/E22,0),"SLO 不可達")</f>
        <v>6.08439933992511</v>
      </c>
      <c r="F25" s="67" t="n">
        <f aca="false">IF(AND(ISNUMBER(F22),ISNUMBER(F24)),IF(F22&gt;0,F24/F22,0),"SLO 不可達")</f>
        <v>13.9682667417009</v>
      </c>
      <c r="G25" s="67" t="n">
        <f aca="false">IF(AND(ISNUMBER(G22),ISNUMBER(G24)),IF(G22&gt;0,G24/G22,0),"SLO 不可達")</f>
        <v>13.9676768654037</v>
      </c>
      <c r="H25" s="67" t="n">
        <f aca="false">IF(AND(ISNUMBER(H22),ISNUMBER(H24)),IF(H22&gt;0,H24/H22,0),"SLO 不可達")</f>
        <v>13.9670200755538</v>
      </c>
      <c r="I25" s="67" t="n">
        <f aca="false">IF(AND(ISNUMBER(I22),ISNUMBER(I24)),IF(I22&gt;0,I24/I22,0),"SLO 不可達")</f>
        <v>14.348619808627</v>
      </c>
      <c r="J25" s="67" t="n">
        <f aca="false">IF(AND(ISNUMBER(J22),ISNUMBER(J24)),IF(J22&gt;0,J24/J22,0),"SLO 不可達")</f>
        <v>14.3477722761468</v>
      </c>
      <c r="K25" s="67" t="n">
        <f aca="false">IF(AND(ISNUMBER(K22),ISNUMBER(K24)),IF(K22&gt;0,K24/K22,0),"SLO 不可達")</f>
        <v>14.346914462179</v>
      </c>
      <c r="L25" s="67" t="n">
        <f aca="false">IF(AND(ISNUMBER(L22),ISNUMBER(L24)),IF(L22&gt;0,L24/L22,0),"SLO 不可達")</f>
        <v>26.8805585421324</v>
      </c>
      <c r="M25" s="67" t="n">
        <f aca="false">IF(AND(ISNUMBER(M22),ISNUMBER(M24)),IF(M22&gt;0,M24/M22,0),"SLO 不可達")</f>
        <v>26.8789295145482</v>
      </c>
      <c r="N25" s="67" t="n">
        <f aca="false">IF(AND(ISNUMBER(N22),ISNUMBER(N24)),IF(N22&gt;0,N24/N22,0),"SLO 不可達")</f>
        <v>26.8768325031442</v>
      </c>
      <c r="O25" s="67" t="n">
        <f aca="false">IF(AND(ISNUMBER(O22),ISNUMBER(O24)),IF(O22&gt;0,O24/O22,0),"SLO 不可達")</f>
        <v>36.4296028575824</v>
      </c>
      <c r="P25" s="67" t="n">
        <f aca="false">IF(AND(ISNUMBER(P22),ISNUMBER(P24)),IF(P22&gt;0,P24/P22,0),"SLO 不可達")</f>
        <v>36.4252259113473</v>
      </c>
      <c r="Q25" s="67" t="n">
        <f aca="false">IF(AND(ISNUMBER(Q22),ISNUMBER(Q24)),IF(Q22&gt;0,Q24/Q22,0),"SLO 不可達")</f>
        <v>36.4215248203489</v>
      </c>
    </row>
    <row r="26" customFormat="false" ht="15" hidden="false" customHeight="false" outlineLevel="0" collapsed="false">
      <c r="A26" s="5" t="s">
        <v>1327</v>
      </c>
      <c r="B26" s="54" t="s">
        <v>71</v>
      </c>
      <c r="C26" s="150" t="n">
        <f aca="false">IF(ISNUMBER(C22),C22/(INDEX(B4_EffRef,1,2)-INDEX(B4_EffRef,1,1)),"SLO 不可達")</f>
        <v>0.0666368115849152</v>
      </c>
      <c r="D26" s="150" t="n">
        <f aca="false">IF(ISNUMBER(D22),D22/(INDEX(B4_EffRef,1,2)-INDEX(B4_EffRef,1,1)),"SLO 不可達")</f>
        <v>0.0961067780732366</v>
      </c>
      <c r="E26" s="150" t="n">
        <f aca="false">IF(ISNUMBER(E22),E22/(INDEX(B4_EffRef,1,2)-INDEX(B4_EffRef,1,1)),"SLO 不可達")</f>
        <v>0.165695900643967</v>
      </c>
      <c r="F26" s="150" t="n">
        <f aca="false">IF(ISNUMBER(F22),F22/(INDEX(B4_EffRef,1,2)-INDEX(B4_EffRef,1,1)),"SLO 不可達")</f>
        <v>0.00631274641461329</v>
      </c>
      <c r="G26" s="150" t="n">
        <f aca="false">IF(ISNUMBER(G22),G22/(INDEX(B4_EffRef,1,2)-INDEX(B4_EffRef,1,1)),"SLO 不可達")</f>
        <v>0.0084973821475188</v>
      </c>
      <c r="H26" s="150" t="n">
        <f aca="false">IF(ISNUMBER(H22),H22/(INDEX(B4_EffRef,1,2)-INDEX(B4_EffRef,1,1)),"SLO 不可達")</f>
        <v>0.0138241668318044</v>
      </c>
      <c r="I26" s="150" t="n">
        <f aca="false">IF(ISNUMBER(I22),I22/(INDEX(B4_EffRef,1,2)-INDEX(B4_EffRef,1,1)),"SLO 不可達")</f>
        <v>0.0053952496793078</v>
      </c>
      <c r="J26" s="150" t="n">
        <f aca="false">IF(ISNUMBER(J22),J22/(INDEX(B4_EffRef,1,2)-INDEX(B4_EffRef,1,1)),"SLO 不可達")</f>
        <v>0.00788440013980734</v>
      </c>
      <c r="K26" s="150" t="n">
        <f aca="false">IF(ISNUMBER(K22),K22/(INDEX(B4_EffRef,1,2)-INDEX(B4_EffRef,1,1)),"SLO 不可達")</f>
        <v>0.0147912865837488</v>
      </c>
      <c r="L26" s="150" t="n">
        <f aca="false">IF(ISNUMBER(L22),L22/(INDEX(B4_EffRef,1,2)-INDEX(B4_EffRef,1,1)),"SLO 不可達")</f>
        <v>0.00203804291120346</v>
      </c>
      <c r="M26" s="150" t="n">
        <f aca="false">IF(ISNUMBER(M22),M22/(INDEX(B4_EffRef,1,2)-INDEX(B4_EffRef,1,1)),"SLO 不可達")</f>
        <v>0.00264413747210318</v>
      </c>
      <c r="N26" s="150" t="n">
        <f aca="false">IF(ISNUMBER(N22),N22/(INDEX(B4_EffRef,1,2)-INDEX(B4_EffRef,1,1)),"SLO 不可達")</f>
        <v>0.0042842535262069</v>
      </c>
      <c r="O26" s="150" t="n">
        <f aca="false">IF(ISNUMBER(O22),O22/(INDEX(B4_EffRef,1,2)-INDEX(B4_EffRef,1,1)),"SLO 不可達")</f>
        <v>0.00115673547117386</v>
      </c>
      <c r="P26" s="150" t="n">
        <f aca="false">IF(ISNUMBER(P22),P22/(INDEX(B4_EffRef,1,2)-INDEX(B4_EffRef,1,1)),"SLO 不可達")</f>
        <v>0.0017783850807731</v>
      </c>
      <c r="Q26" s="150" t="n">
        <f aca="false">IF(ISNUMBER(Q22),Q22/(INDEX(B4_EffRef,1,2)-INDEX(B4_EffRef,1,1)),"SLO 不可達")</f>
        <v>0.00325970249268041</v>
      </c>
    </row>
    <row r="28" customFormat="false" ht="15" hidden="false" customHeight="false" outlineLevel="0" collapsed="false">
      <c r="A28" s="68" t="s">
        <v>221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</row>
    <row r="29" customFormat="false" ht="15" hidden="false" customHeight="false" outlineLevel="0" collapsed="false">
      <c r="A29" s="5" t="s">
        <v>1317</v>
      </c>
      <c r="B29" s="54" t="s">
        <v>828</v>
      </c>
      <c r="C29" s="67" t="n">
        <f aca="false">INDEX(IF_ProgCost_Astra,1,C$7)</f>
        <v>998.761914664494</v>
      </c>
      <c r="D29" s="67" t="n">
        <f aca="false">INDEX(IF_ProgCost_Astra,1,D$7)</f>
        <v>1440.46192183646</v>
      </c>
      <c r="E29" s="67" t="n">
        <f aca="false">INDEX(IF_ProgCost_Astra,1,E$7)</f>
        <v>2483.47348924913</v>
      </c>
      <c r="F29" s="67" t="n">
        <f aca="false">INDEX(IF_ProgCost_Astra,1,F$7)</f>
        <v>479.630533166226</v>
      </c>
      <c r="G29" s="67" t="n">
        <f aca="false">INDEX(IF_ProgCost_Astra,1,G$7)</f>
        <v>645.615024309713</v>
      </c>
      <c r="H29" s="67" t="n">
        <f aca="false">INDEX(IF_ProgCost_Astra,1,H$7)</f>
        <v>1050.33404997362</v>
      </c>
      <c r="I29" s="67" t="n">
        <f aca="false">INDEX(IF_ProgCost_Astra,1,I$7)</f>
        <v>571.091725688534</v>
      </c>
      <c r="J29" s="67" t="n">
        <f aca="false">INDEX(IF_ProgCost_Astra,1,J$7)</f>
        <v>834.570399796434</v>
      </c>
      <c r="K29" s="67" t="n">
        <f aca="false">INDEX(IF_ProgCost_Astra,1,K$7)</f>
        <v>1565.67015103377</v>
      </c>
      <c r="L29" s="67" t="n">
        <f aca="false">INDEX(IF_ProgCost_Astra,1,L$7)</f>
        <v>360.455875896612</v>
      </c>
      <c r="M29" s="67" t="n">
        <f aca="false">INDEX(IF_ProgCost_Astra,1,M$7)</f>
        <v>467.652022074062</v>
      </c>
      <c r="N29" s="67" t="n">
        <f aca="false">INDEX(IF_ProgCost_Astra,1,N$7)</f>
        <v>757.729068835042</v>
      </c>
      <c r="O29" s="67" t="n">
        <f aca="false">INDEX(IF_ProgCost_Astra,1,O$7)</f>
        <v>284.827916650304</v>
      </c>
      <c r="P29" s="67" t="n">
        <f aca="false">INDEX(IF_ProgCost_Astra,1,P$7)</f>
        <v>437.899355714016</v>
      </c>
      <c r="Q29" s="67" t="n">
        <f aca="false">INDEX(IF_ProgCost_Astra,1,Q$7)</f>
        <v>802.650470247758</v>
      </c>
    </row>
    <row r="30" customFormat="false" ht="15" hidden="false" customHeight="false" outlineLevel="0" collapsed="false">
      <c r="A30" s="5" t="s">
        <v>1318</v>
      </c>
      <c r="B30" s="54" t="s">
        <v>750</v>
      </c>
      <c r="C30" s="55" t="n">
        <f aca="false">IF(AND(ISNUMBER(Fleet_1GW!C27),ISNUMBER(Fleet_1GW!C28)),Fleet_1GW!C27+Fleet_1GW!C28,"SLO 不可達")</f>
        <v>306390907.347508</v>
      </c>
      <c r="D30" s="55" t="n">
        <f aca="false">IF(AND(ISNUMBER(Fleet_1GW!D27),ISNUMBER(Fleet_1GW!D28)),Fleet_1GW!D27+Fleet_1GW!D28,"SLO 不可達")</f>
        <v>306390907.347508</v>
      </c>
      <c r="E30" s="55" t="n">
        <f aca="false">IF(AND(ISNUMBER(Fleet_1GW!E27),ISNUMBER(Fleet_1GW!E28)),Fleet_1GW!E27+Fleet_1GW!E28,"SLO 不可達")</f>
        <v>306390907.347508</v>
      </c>
      <c r="F30" s="55" t="n">
        <f aca="false">IF(AND(ISNUMBER(Fleet_1GW!F27),ISNUMBER(Fleet_1GW!F28)),Fleet_1GW!F27+Fleet_1GW!F28,"SLO 不可達")</f>
        <v>1543443723.05363</v>
      </c>
      <c r="G30" s="55" t="n">
        <f aca="false">IF(AND(ISNUMBER(Fleet_1GW!G27),ISNUMBER(Fleet_1GW!G28)),Fleet_1GW!G27+Fleet_1GW!G28,"SLO 不可達")</f>
        <v>1543443723.05363</v>
      </c>
      <c r="H30" s="55" t="n">
        <f aca="false">IF(AND(ISNUMBER(Fleet_1GW!H27),ISNUMBER(Fleet_1GW!H28)),Fleet_1GW!H27+Fleet_1GW!H28,"SLO 不可達")</f>
        <v>1543443723.05363</v>
      </c>
      <c r="I30" s="55" t="n">
        <f aca="false">IF(AND(ISNUMBER(Fleet_1GW!I27),ISNUMBER(Fleet_1GW!I28)),Fleet_1GW!I27+Fleet_1GW!I28,"SLO 不可達")</f>
        <v>2009401985.85541</v>
      </c>
      <c r="J30" s="55" t="n">
        <f aca="false">IF(AND(ISNUMBER(Fleet_1GW!J27),ISNUMBER(Fleet_1GW!J28)),Fleet_1GW!J27+Fleet_1GW!J28,"SLO 不可達")</f>
        <v>2009401985.85541</v>
      </c>
      <c r="K30" s="55" t="n">
        <f aca="false">IF(AND(ISNUMBER(Fleet_1GW!K27),ISNUMBER(Fleet_1GW!K28)),Fleet_1GW!K27+Fleet_1GW!K28,"SLO 不可達")</f>
        <v>2009401985.85541</v>
      </c>
      <c r="L30" s="55" t="n">
        <f aca="false">IF(AND(ISNUMBER(Fleet_1GW!L27),ISNUMBER(Fleet_1GW!L28)),Fleet_1GW!L27+Fleet_1GW!L28,"SLO 不可達")</f>
        <v>3727569956.12573</v>
      </c>
      <c r="M30" s="55" t="n">
        <f aca="false">IF(AND(ISNUMBER(Fleet_1GW!M27),ISNUMBER(Fleet_1GW!M28)),Fleet_1GW!M27+Fleet_1GW!M28,"SLO 不可達")</f>
        <v>3727569956.12573</v>
      </c>
      <c r="N30" s="55" t="n">
        <f aca="false">IF(AND(ISNUMBER(Fleet_1GW!N27),ISNUMBER(Fleet_1GW!N28)),Fleet_1GW!N27+Fleet_1GW!N28,"SLO 不可達")</f>
        <v>3727569956.12573</v>
      </c>
      <c r="O30" s="55" t="n">
        <f aca="false">IF(AND(ISNUMBER(Fleet_1GW!O27),ISNUMBER(Fleet_1GW!O28)),Fleet_1GW!O27+Fleet_1GW!O28,"SLO 不可達")</f>
        <v>5273255857.1384</v>
      </c>
      <c r="P30" s="55" t="n">
        <f aca="false">IF(AND(ISNUMBER(Fleet_1GW!P27),ISNUMBER(Fleet_1GW!P28)),Fleet_1GW!P27+Fleet_1GW!P28,"SLO 不可達")</f>
        <v>5273255857.1384</v>
      </c>
      <c r="Q30" s="55" t="n">
        <f aca="false">IF(AND(ISNUMBER(Fleet_1GW!Q27),ISNUMBER(Fleet_1GW!Q28)),Fleet_1GW!Q27+Fleet_1GW!Q28,"SLO 不可達")</f>
        <v>5273255857.1384</v>
      </c>
    </row>
    <row r="31" customFormat="false" ht="15" hidden="false" customHeight="false" outlineLevel="0" collapsed="false">
      <c r="A31" s="5" t="s">
        <v>1319</v>
      </c>
      <c r="B31" s="54" t="s">
        <v>1320</v>
      </c>
      <c r="C31" s="60" t="n">
        <f aca="false">IF(ISNUMBER(C30),C30*INDEX(B4_Life,1,3)/12,"SLO 不可達")</f>
        <v>229793180.510631</v>
      </c>
      <c r="D31" s="60" t="n">
        <f aca="false">IF(ISNUMBER(D30),D30*INDEX(B4_Life,1,3)/12,"SLO 不可達")</f>
        <v>229793180.510631</v>
      </c>
      <c r="E31" s="60" t="n">
        <f aca="false">IF(ISNUMBER(E30),E30*INDEX(B4_Life,1,3)/12,"SLO 不可達")</f>
        <v>229793180.510631</v>
      </c>
      <c r="F31" s="60" t="n">
        <f aca="false">IF(ISNUMBER(F30),F30*INDEX(B4_Life,1,3)/12,"SLO 不可達")</f>
        <v>1157582792.29023</v>
      </c>
      <c r="G31" s="60" t="n">
        <f aca="false">IF(ISNUMBER(G30),G30*INDEX(B4_Life,1,3)/12,"SLO 不可達")</f>
        <v>1157582792.29023</v>
      </c>
      <c r="H31" s="60" t="n">
        <f aca="false">IF(ISNUMBER(H30),H30*INDEX(B4_Life,1,3)/12,"SLO 不可達")</f>
        <v>1157582792.29023</v>
      </c>
      <c r="I31" s="60" t="n">
        <f aca="false">IF(ISNUMBER(I30),I30*INDEX(B4_Life,1,3)/12,"SLO 不可達")</f>
        <v>1507051489.39156</v>
      </c>
      <c r="J31" s="60" t="n">
        <f aca="false">IF(ISNUMBER(J30),J30*INDEX(B4_Life,1,3)/12,"SLO 不可達")</f>
        <v>1507051489.39156</v>
      </c>
      <c r="K31" s="60" t="n">
        <f aca="false">IF(ISNUMBER(K30),K30*INDEX(B4_Life,1,3)/12,"SLO 不可達")</f>
        <v>1507051489.39156</v>
      </c>
      <c r="L31" s="60" t="n">
        <f aca="false">IF(ISNUMBER(L30),L30*INDEX(B4_Life,1,3)/12,"SLO 不可達")</f>
        <v>2795677467.0943</v>
      </c>
      <c r="M31" s="60" t="n">
        <f aca="false">IF(ISNUMBER(M30),M30*INDEX(B4_Life,1,3)/12,"SLO 不可達")</f>
        <v>2795677467.0943</v>
      </c>
      <c r="N31" s="60" t="n">
        <f aca="false">IF(ISNUMBER(N30),N30*INDEX(B4_Life,1,3)/12,"SLO 不可達")</f>
        <v>2795677467.0943</v>
      </c>
      <c r="O31" s="60" t="n">
        <f aca="false">IF(ISNUMBER(O30),O30*INDEX(B4_Life,1,3)/12,"SLO 不可達")</f>
        <v>3954941892.8538</v>
      </c>
      <c r="P31" s="60" t="n">
        <f aca="false">IF(ISNUMBER(P30),P30*INDEX(B4_Life,1,3)/12,"SLO 不可達")</f>
        <v>3954941892.8538</v>
      </c>
      <c r="Q31" s="60" t="n">
        <f aca="false">IF(ISNUMBER(Q30),Q30*INDEX(B4_Life,1,3)/12,"SLO 不可達")</f>
        <v>3954941892.8538</v>
      </c>
    </row>
    <row r="32" customFormat="false" ht="15" hidden="false" customHeight="false" outlineLevel="0" collapsed="false">
      <c r="A32" s="5" t="s">
        <v>1328</v>
      </c>
      <c r="B32" s="54" t="s">
        <v>758</v>
      </c>
      <c r="C32" s="147" t="n">
        <f aca="false">IF(ISNUMBER(C31),IF(C31&gt;0,C29*1000000/C31,0),"SLO 不可達")</f>
        <v>4.34635141236617</v>
      </c>
      <c r="D32" s="147" t="n">
        <f aca="false">IF(ISNUMBER(D31),IF(D31&gt;0,D29*1000000/D31,0),"SLO 不可達")</f>
        <v>6.26851466451514</v>
      </c>
      <c r="E32" s="147" t="n">
        <f aca="false">IF(ISNUMBER(E31),IF(E31&gt;0,E29*1000000/E31,0),"SLO 不可達")</f>
        <v>10.8074290269647</v>
      </c>
      <c r="F32" s="147" t="n">
        <f aca="false">IF(ISNUMBER(F31),IF(F31&gt;0,F29*1000000/F31,0),"SLO 不可達")</f>
        <v>0.414337994967339</v>
      </c>
      <c r="G32" s="147" t="n">
        <f aca="false">IF(ISNUMBER(G31),IF(G31&gt;0,G29*1000000/G31,0),"SLO 不可達")</f>
        <v>0.557726867235468</v>
      </c>
      <c r="H32" s="147" t="n">
        <f aca="false">IF(ISNUMBER(H31),IF(H31&gt;0,H29*1000000/H31,0),"SLO 不可達")</f>
        <v>0.907351125957547</v>
      </c>
      <c r="I32" s="147" t="n">
        <f aca="false">IF(ISNUMBER(I31),IF(I31&gt;0,I29*1000000/I31,0),"SLO 不可達")</f>
        <v>0.378946392813096</v>
      </c>
      <c r="J32" s="147" t="n">
        <f aca="false">IF(ISNUMBER(J31),IF(J31&gt;0,J29*1000000/J31,0),"SLO 不可達")</f>
        <v>0.553776964935269</v>
      </c>
      <c r="K32" s="147" t="n">
        <f aca="false">IF(ISNUMBER(K31),IF(K31&gt;0,K29*1000000/K31,0),"SLO 不可達")</f>
        <v>1.03889625673366</v>
      </c>
      <c r="L32" s="147" t="n">
        <f aca="false">IF(ISNUMBER(L31),IF(L31&gt;0,L29*1000000/L31,0),"SLO 不可達")</f>
        <v>0.128933283663531</v>
      </c>
      <c r="M32" s="147" t="n">
        <f aca="false">IF(ISNUMBER(M31),IF(M31&gt;0,M29*1000000/M31,0),"SLO 不可達")</f>
        <v>0.16727681486095</v>
      </c>
      <c r="N32" s="147" t="n">
        <f aca="false">IF(ISNUMBER(N31),IF(N31&gt;0,N29*1000000/N31,0),"SLO 不可達")</f>
        <v>0.271035939500772</v>
      </c>
      <c r="O32" s="147" t="n">
        <f aca="false">IF(ISNUMBER(O31),IF(O31&gt;0,O29*1000000/O31,0),"SLO 不可達")</f>
        <v>0.072018230448584</v>
      </c>
      <c r="P32" s="147" t="n">
        <f aca="false">IF(ISNUMBER(P31),IF(P31&gt;0,P29*1000000/P31,0),"SLO 不可達")</f>
        <v>0.110722070659308</v>
      </c>
      <c r="Q32" s="147" t="n">
        <f aca="false">IF(ISNUMBER(Q31),IF(Q31&gt;0,Q29*1000000/Q31,0),"SLO 不可達")</f>
        <v>0.202948739069484</v>
      </c>
    </row>
    <row r="33" customFormat="false" ht="15" hidden="false" customHeight="false" outlineLevel="0" collapsed="false">
      <c r="A33" s="5" t="s">
        <v>1322</v>
      </c>
      <c r="B33" s="54" t="s">
        <v>758</v>
      </c>
      <c r="C33" s="148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2.63597202599186</v>
      </c>
      <c r="D33" s="148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3.80162546344874</v>
      </c>
      <c r="E33" s="148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6.55414979924415</v>
      </c>
      <c r="F33" s="148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0.515486666037647</v>
      </c>
      <c r="G33" s="148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0.693802540800183</v>
      </c>
      <c r="H33" s="148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1.12858910788924</v>
      </c>
      <c r="I33" s="148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0.554105874039754</v>
      </c>
      <c r="J33" s="148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0.809644969199381</v>
      </c>
      <c r="K33" s="148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1.51871400309816</v>
      </c>
      <c r="L33" s="148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0.284580547360262</v>
      </c>
      <c r="M33" s="148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0.369145704577051</v>
      </c>
      <c r="N33" s="148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0.597982392639671</v>
      </c>
      <c r="O33" s="148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0.206075795964474</v>
      </c>
      <c r="P33" s="148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0.316704514581931</v>
      </c>
      <c r="Q33" s="148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0.580319651814432</v>
      </c>
    </row>
    <row r="34" customFormat="false" ht="15" hidden="false" customHeight="false" outlineLevel="0" collapsed="false">
      <c r="A34" s="5" t="s">
        <v>1329</v>
      </c>
      <c r="B34" s="54" t="s">
        <v>758</v>
      </c>
      <c r="C34" s="149" t="n">
        <f aca="false">IF(ISNUMBER(C33),Fleet_1GW!C13/(1-Fleet_1GW!C13)*C33,"SLO 不可達")</f>
        <v>3.79322803740293</v>
      </c>
      <c r="D34" s="149" t="n">
        <f aca="false">IF(ISNUMBER(D33),Fleet_1GW!D13/(1-Fleet_1GW!D13)*D33,"SLO 不可達")</f>
        <v>5.47063176447502</v>
      </c>
      <c r="E34" s="149" t="n">
        <f aca="false">IF(ISNUMBER(E33),Fleet_1GW!E13/(1-Fleet_1GW!E13)*E33,"SLO 不可達")</f>
        <v>9.43158141842451</v>
      </c>
      <c r="F34" s="149" t="n">
        <f aca="false">IF(ISNUMBER(F33),Fleet_1GW!F13/(1-Fleet_1GW!F13)*F33,"SLO 不可達")</f>
        <v>0.741797885273687</v>
      </c>
      <c r="G34" s="149" t="n">
        <f aca="false">IF(ISNUMBER(G33),Fleet_1GW!G13/(1-Fleet_1GW!G13)*G33,"SLO 不可達")</f>
        <v>0.998398778224654</v>
      </c>
      <c r="H34" s="149" t="n">
        <f aca="false">IF(ISNUMBER(H33),Fleet_1GW!H13/(1-Fleet_1GW!H13)*H33,"SLO 不可達")</f>
        <v>1.62406725281622</v>
      </c>
      <c r="I34" s="149" t="n">
        <f aca="false">IF(ISNUMBER(I33),Fleet_1GW!I13/(1-Fleet_1GW!I13)*I33,"SLO 不可達")</f>
        <v>0.797371867520622</v>
      </c>
      <c r="J34" s="149" t="n">
        <f aca="false">IF(ISNUMBER(J33),Fleet_1GW!J13/(1-Fleet_1GW!J13)*J33,"SLO 不可達")</f>
        <v>1.16509885811618</v>
      </c>
      <c r="K34" s="149" t="n">
        <f aca="false">IF(ISNUMBER(K33),Fleet_1GW!K13/(1-Fleet_1GW!K13)*K33,"SLO 不可達")</f>
        <v>2.1854664922632</v>
      </c>
      <c r="L34" s="149" t="n">
        <f aca="false">IF(ISNUMBER(L33),Fleet_1GW!L13/(1-Fleet_1GW!L13)*L33,"SLO 不可達")</f>
        <v>0.409518348640377</v>
      </c>
      <c r="M34" s="149" t="n">
        <f aca="false">IF(ISNUMBER(M33),Fleet_1GW!M13/(1-Fleet_1GW!M13)*M33,"SLO 不可達")</f>
        <v>0.531209672440146</v>
      </c>
      <c r="N34" s="149" t="n">
        <f aca="false">IF(ISNUMBER(N33),Fleet_1GW!N13/(1-Fleet_1GW!N13)*N33,"SLO 不可達")</f>
        <v>0.860511247944892</v>
      </c>
      <c r="O34" s="149" t="n">
        <f aca="false">IF(ISNUMBER(O33),Fleet_1GW!O13/(1-Fleet_1GW!O13)*O33,"SLO 不可達")</f>
        <v>0.296548096631804</v>
      </c>
      <c r="P34" s="149" t="n">
        <f aca="false">IF(ISNUMBER(P33),Fleet_1GW!P13/(1-Fleet_1GW!P13)*P33,"SLO 不可達")</f>
        <v>0.455745520983754</v>
      </c>
      <c r="Q34" s="149" t="n">
        <f aca="false">IF(ISNUMBER(Q33),Fleet_1GW!Q13/(1-Fleet_1GW!Q13)*Q33,"SLO 不可達")</f>
        <v>0.835094133098817</v>
      </c>
    </row>
    <row r="35" customFormat="false" ht="15" hidden="false" customHeight="false" outlineLevel="0" collapsed="false">
      <c r="A35" s="5" t="s">
        <v>1324</v>
      </c>
      <c r="B35" s="54" t="s">
        <v>75</v>
      </c>
      <c r="C35" s="67" t="n">
        <f aca="false">IF(AND(ISNUMBER(C32),ISNUMBER(C34)),IF(C32&gt;0,C34/C32,0),"SLO 不可達")</f>
        <v>0.872738459805735</v>
      </c>
      <c r="D35" s="67" t="n">
        <f aca="false">IF(AND(ISNUMBER(D32),ISNUMBER(D34)),IF(D32&gt;0,D34/D32,0),"SLO 不可達")</f>
        <v>0.872715795887535</v>
      </c>
      <c r="E35" s="67" t="n">
        <f aca="false">IF(AND(ISNUMBER(E32),ISNUMBER(E34)),IF(E32&gt;0,E34/E32,0),"SLO 不可達")</f>
        <v>0.87269427306833</v>
      </c>
      <c r="F35" s="67" t="n">
        <f aca="false">IF(AND(ISNUMBER(F32),ISNUMBER(F34)),IF(F32&gt;0,F34/F32,0),"SLO 不可達")</f>
        <v>1.79032069055642</v>
      </c>
      <c r="G35" s="67" t="n">
        <f aca="false">IF(AND(ISNUMBER(G32),ISNUMBER(G34)),IF(G32&gt;0,G34/G32,0),"SLO 不可達")</f>
        <v>1.79012136025202</v>
      </c>
      <c r="H35" s="67" t="n">
        <f aca="false">IF(AND(ISNUMBER(H32),ISNUMBER(H34)),IF(H32&gt;0,H34/H32,0),"SLO 不可達")</f>
        <v>1.78989941859863</v>
      </c>
      <c r="I35" s="67" t="n">
        <f aca="false">IF(AND(ISNUMBER(I32),ISNUMBER(I34)),IF(I32&gt;0,I34/I32,0),"SLO 不可達")</f>
        <v>2.10418117877138</v>
      </c>
      <c r="J35" s="67" t="n">
        <f aca="false">IF(AND(ISNUMBER(J32),ISNUMBER(J34)),IF(J32&gt;0,J34/J32,0),"SLO 不可達")</f>
        <v>2.10391354622772</v>
      </c>
      <c r="K35" s="67" t="n">
        <f aca="false">IF(AND(ISNUMBER(K32),ISNUMBER(K34)),IF(K32&gt;0,K34/K32,0),"SLO 不可達")</f>
        <v>2.10364266701126</v>
      </c>
      <c r="L35" s="67" t="n">
        <f aca="false">IF(AND(ISNUMBER(L32),ISNUMBER(L34)),IF(L32&gt;0,L34/L32,0),"SLO 不可達")</f>
        <v>3.17620351397449</v>
      </c>
      <c r="M35" s="67" t="n">
        <f aca="false">IF(AND(ISNUMBER(M32),ISNUMBER(M34)),IF(M32&gt;0,M34/M32,0),"SLO 不可達")</f>
        <v>3.17563239640663</v>
      </c>
      <c r="N35" s="67" t="n">
        <f aca="false">IF(AND(ISNUMBER(N32),ISNUMBER(N34)),IF(N32&gt;0,N34/N32,0),"SLO 不可達")</f>
        <v>3.17489720931434</v>
      </c>
      <c r="O35" s="67" t="n">
        <f aca="false">IF(AND(ISNUMBER(O32),ISNUMBER(O34)),IF(O32&gt;0,O34/O32,0),"SLO 不可達")</f>
        <v>4.11768096473183</v>
      </c>
      <c r="P35" s="67" t="n">
        <f aca="false">IF(AND(ISNUMBER(P32),ISNUMBER(P34)),IF(P32&gt;0,P34/P32,0),"SLO 不可達")</f>
        <v>4.11612172956991</v>
      </c>
      <c r="Q35" s="67" t="n">
        <f aca="false">IF(AND(ISNUMBER(Q32),ISNUMBER(Q34)),IF(Q32&gt;0,Q34/Q32,0),"SLO 不可達")</f>
        <v>4.11480325981677</v>
      </c>
    </row>
    <row r="36" customFormat="false" ht="15" hidden="false" customHeight="false" outlineLevel="0" collapsed="false">
      <c r="A36" s="5" t="s">
        <v>1327</v>
      </c>
      <c r="B36" s="54" t="s">
        <v>71</v>
      </c>
      <c r="C36" s="150" t="n">
        <f aca="false">IF(ISNUMBER(C32),C32/(INDEX(B4_EffRef,1,3)-INDEX(B4_EffRef,1,2)),"SLO 不可達")</f>
        <v>0.676112463898221</v>
      </c>
      <c r="D36" s="150" t="n">
        <f aca="false">IF(ISNUMBER(D32),D32/(INDEX(B4_EffRef,1,3)-INDEX(B4_EffRef,1,2)),"SLO 不可達")</f>
        <v>0.975121542806905</v>
      </c>
      <c r="E36" s="150" t="n">
        <f aca="false">IF(ISNUMBER(E32),E32/(INDEX(B4_EffRef,1,3)-INDEX(B4_EffRef,1,2)),"SLO 不可達")</f>
        <v>1.68118883508508</v>
      </c>
      <c r="F36" s="150" t="n">
        <f aca="false">IF(ISNUMBER(F32),F32/(INDEX(B4_EffRef,1,3)-INDEX(B4_EffRef,1,2)),"SLO 不可達")</f>
        <v>0.0644538501573917</v>
      </c>
      <c r="G36" s="150" t="n">
        <f aca="false">IF(ISNUMBER(G32),G32/(INDEX(B4_EffRef,1,3)-INDEX(B4_EffRef,1,2)),"SLO 不可達")</f>
        <v>0.0867592264435704</v>
      </c>
      <c r="H36" s="150" t="n">
        <f aca="false">IF(ISNUMBER(H32),H32/(INDEX(B4_EffRef,1,3)-INDEX(B4_EffRef,1,2)),"SLO 不可達")</f>
        <v>0.141146296557279</v>
      </c>
      <c r="I36" s="150" t="n">
        <f aca="false">IF(ISNUMBER(I32),I32/(INDEX(B4_EffRef,1,3)-INDEX(B4_EffRef,1,2)),"SLO 不可達")</f>
        <v>0.0589483810722805</v>
      </c>
      <c r="J36" s="150" t="n">
        <f aca="false">IF(ISNUMBER(J32),J32/(INDEX(B4_EffRef,1,3)-INDEX(B4_EffRef,1,2)),"SLO 不可達")</f>
        <v>0.086144785059759</v>
      </c>
      <c r="K36" s="150" t="n">
        <f aca="false">IF(ISNUMBER(K32),K32/(INDEX(B4_EffRef,1,3)-INDEX(B4_EffRef,1,2)),"SLO 不可達")</f>
        <v>0.161609276662799</v>
      </c>
      <c r="L36" s="150" t="n">
        <f aca="false">IF(ISNUMBER(L32),L32/(INDEX(B4_EffRef,1,3)-INDEX(B4_EffRef,1,2)),"SLO 不可達")</f>
        <v>0.0200566847513098</v>
      </c>
      <c r="M36" s="150" t="n">
        <f aca="false">IF(ISNUMBER(M32),M32/(INDEX(B4_EffRef,1,3)-INDEX(B4_EffRef,1,2)),"SLO 不可達")</f>
        <v>0.0260213518692711</v>
      </c>
      <c r="N36" s="150" t="n">
        <f aca="false">IF(ISNUMBER(N32),N32/(INDEX(B4_EffRef,1,3)-INDEX(B4_EffRef,1,2)),"SLO 不可達")</f>
        <v>0.0421619789737789</v>
      </c>
      <c r="O36" s="150" t="n">
        <f aca="false">IF(ISNUMBER(O32),O32/(INDEX(B4_EffRef,1,3)-INDEX(B4_EffRef,1,2)),"SLO 不可達")</f>
        <v>0.0112030571425134</v>
      </c>
      <c r="P36" s="150" t="n">
        <f aca="false">IF(ISNUMBER(P32),P32/(INDEX(B4_EffRef,1,3)-INDEX(B4_EffRef,1,2)),"SLO 不可達")</f>
        <v>0.0172237734363553</v>
      </c>
      <c r="Q36" s="150" t="n">
        <f aca="false">IF(ISNUMBER(Q32),Q32/(INDEX(B4_EffRef,1,3)-INDEX(B4_EffRef,1,2)),"SLO 不可達")</f>
        <v>0.0315704274686352</v>
      </c>
    </row>
    <row r="38" customFormat="false" ht="15" hidden="false" customHeight="false" outlineLevel="0" collapsed="false">
      <c r="A38" s="68" t="s">
        <v>1330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</row>
    <row r="39" customFormat="false" ht="15" hidden="false" customHeight="false" outlineLevel="0" collapsed="false">
      <c r="A39" s="5" t="s">
        <v>1331</v>
      </c>
      <c r="B39" s="54" t="s">
        <v>1332</v>
      </c>
      <c r="C39" s="67" t="n">
        <f aca="false">IF(AND(ISNUMBER(C15),ISNUMBER(C24),ISNUMBER(C34)),(C15*C11+C24*C20+C34*C30)/1000000,"SLO 不可達")</f>
        <v>3385.71014891102</v>
      </c>
      <c r="D39" s="67" t="n">
        <f aca="false">IF(AND(ISNUMBER(D15),ISNUMBER(D24),ISNUMBER(D34)),(D15*D11+D24*D20+D34*D30)/1000000,"SLO 不可達")</f>
        <v>4882.92564210788</v>
      </c>
      <c r="E39" s="67" t="n">
        <f aca="false">IF(AND(ISNUMBER(E15),ISNUMBER(E24),ISNUMBER(E34)),(E15*E11+E24*E20+E34*E30)/1000000,"SLO 不可達")</f>
        <v>8418.3864819484</v>
      </c>
      <c r="F39" s="67" t="n">
        <f aca="false">IF(AND(ISNUMBER(F15),ISNUMBER(F24),ISNUMBER(F34)),(F15*F11+F24*F20+F34*F30)/1000000,"SLO 不可達")</f>
        <v>3513.86359517672</v>
      </c>
      <c r="G39" s="67" t="n">
        <f aca="false">IF(AND(ISNUMBER(G15),ISNUMBER(G24),ISNUMBER(G34)),(G15*G11+G24*G20+G34*G30)/1000000,"SLO 不可達")</f>
        <v>4729.48336109425</v>
      </c>
      <c r="H39" s="67" t="n">
        <f aca="false">IF(AND(ISNUMBER(H15),ISNUMBER(H24),ISNUMBER(H34)),(H15*H11+H24*H20+H34*H30)/1000000,"SLO 不可達")</f>
        <v>7693.52201223922</v>
      </c>
      <c r="I39" s="67" t="n">
        <f aca="false">IF(AND(ISNUMBER(I15),ISNUMBER(I24),ISNUMBER(I34)),(I15*I11+I24*I20+I34*I30)/1000000,"SLO 不可達")</f>
        <v>4524.55951914444</v>
      </c>
      <c r="J39" s="67" t="n">
        <f aca="false">IF(AND(ISNUMBER(J15),ISNUMBER(J24),ISNUMBER(J34)),(J15*J11+J24*J20+J34*J30)/1000000,"SLO 不可達")</f>
        <v>6611.25245516579</v>
      </c>
      <c r="K39" s="67" t="n">
        <f aca="false">IF(AND(ISNUMBER(K15),ISNUMBER(K24),ISNUMBER(K34)),(K15*K11+K24*K20+K34*K30)/1000000,"SLO 不可達")</f>
        <v>12401.4010947068</v>
      </c>
      <c r="L39" s="67" t="n">
        <f aca="false">IF(AND(ISNUMBER(L15),ISNUMBER(L24),ISNUMBER(L34)),(L15*L11+L24*L20+L34*L30)/1000000,"SLO 不可達")</f>
        <v>4987.41090940556</v>
      </c>
      <c r="M39" s="67" t="n">
        <f aca="false">IF(AND(ISNUMBER(M15),ISNUMBER(M24),ISNUMBER(M34)),(M15*M11+M24*M20+M34*M30)/1000000,"SLO 不可達")</f>
        <v>6469.79911235115</v>
      </c>
      <c r="N39" s="67" t="n">
        <f aca="false">IF(AND(ISNUMBER(N15),ISNUMBER(N24),ISNUMBER(N34)),(N15*N11+N24*N20+N34*N30)/1000000,"SLO 不可達")</f>
        <v>10481.2007102402</v>
      </c>
      <c r="O39" s="67" t="n">
        <f aca="false">IF(AND(ISNUMBER(O15),ISNUMBER(O24),ISNUMBER(O34)),(O15*O11+O24*O20+O34*O30)/1000000,"SLO 不可達")</f>
        <v>5273.80944951121</v>
      </c>
      <c r="P39" s="67" t="n">
        <f aca="false">IF(AND(ISNUMBER(P15),ISNUMBER(P24),ISNUMBER(P34)),(P15*P11+P24*P20+P34*P30)/1000000,"SLO 不可達")</f>
        <v>8105.98413578019</v>
      </c>
      <c r="Q39" s="67" t="n">
        <f aca="false">IF(AND(ISNUMBER(Q15),ISNUMBER(Q24),ISNUMBER(Q34)),(Q15*Q11+Q24*Q20+Q34*Q30)/1000000,"SLO 不可達")</f>
        <v>14854.7210633848</v>
      </c>
    </row>
    <row r="40" customFormat="false" ht="15" hidden="false" customHeight="false" outlineLevel="0" collapsed="false">
      <c r="A40" s="5" t="s">
        <v>1333</v>
      </c>
      <c r="B40" s="54" t="s">
        <v>1332</v>
      </c>
      <c r="C40" s="67" t="n">
        <f aca="false">C10*12/INDEX(B4_Life,1,1)+C19*12/INDEX(B4_Life,1,2)+C29*12/INDEX(B4_Life,1,3)</f>
        <v>1550.63445981409</v>
      </c>
      <c r="D40" s="67" t="n">
        <f aca="false">D10*12/INDEX(B4_Life,1,1)+D19*12/INDEX(B4_Life,1,2)+D29*12/INDEX(B4_Life,1,3)</f>
        <v>2236.39874654208</v>
      </c>
      <c r="E40" s="67" t="n">
        <f aca="false">E10*12/INDEX(B4_Life,1,1)+E19*12/INDEX(B4_Life,1,2)+E29*12/INDEX(B4_Life,1,3)</f>
        <v>3855.73329931993</v>
      </c>
      <c r="F40" s="67" t="n">
        <f aca="false">F10*12/INDEX(B4_Life,1,1)+F19*12/INDEX(B4_Life,1,2)+F29*12/INDEX(B4_Life,1,3)</f>
        <v>741.588020041346</v>
      </c>
      <c r="G40" s="67" t="n">
        <f aca="false">G10*12/INDEX(B4_Life,1,1)+G19*12/INDEX(B4_Life,1,2)+G29*12/INDEX(B4_Life,1,3)</f>
        <v>998.227457343409</v>
      </c>
      <c r="H40" s="67" t="n">
        <f aca="false">H10*12/INDEX(B4_Life,1,1)+H19*12/INDEX(B4_Life,1,2)+H29*12/INDEX(B4_Life,1,3)</f>
        <v>1623.98991440354</v>
      </c>
      <c r="I40" s="67" t="n">
        <f aca="false">I10*12/INDEX(B4_Life,1,1)+I19*12/INDEX(B4_Life,1,2)+I29*12/INDEX(B4_Life,1,3)</f>
        <v>879.496458661184</v>
      </c>
      <c r="J40" s="67" t="n">
        <f aca="false">J10*12/INDEX(B4_Life,1,1)+J19*12/INDEX(B4_Life,1,2)+J29*12/INDEX(B4_Life,1,3)</f>
        <v>1285.26062996179</v>
      </c>
      <c r="K40" s="67" t="n">
        <f aca="false">K10*12/INDEX(B4_Life,1,1)+K19*12/INDEX(B4_Life,1,2)+K29*12/INDEX(B4_Life,1,3)</f>
        <v>2411.17370700048</v>
      </c>
      <c r="L40" s="67" t="n">
        <f aca="false">L10*12/INDEX(B4_Life,1,1)+L19*12/INDEX(B4_Life,1,2)+L29*12/INDEX(B4_Life,1,3)</f>
        <v>556.568604647235</v>
      </c>
      <c r="M40" s="67" t="n">
        <f aca="false">M10*12/INDEX(B4_Life,1,1)+M19*12/INDEX(B4_Life,1,2)+M29*12/INDEX(B4_Life,1,3)</f>
        <v>722.086809484758</v>
      </c>
      <c r="N40" s="67" t="n">
        <f aca="false">N10*12/INDEX(B4_Life,1,1)+N19*12/INDEX(B4_Life,1,2)+N29*12/INDEX(B4_Life,1,3)</f>
        <v>1169.98567298465</v>
      </c>
      <c r="O40" s="67" t="n">
        <f aca="false">O10*12/INDEX(B4_Life,1,1)+O19*12/INDEX(B4_Life,1,2)+O29*12/INDEX(B4_Life,1,3)</f>
        <v>439.765733423667</v>
      </c>
      <c r="P40" s="67" t="n">
        <f aca="false">P10*12/INDEX(B4_Life,1,1)+P19*12/INDEX(B4_Life,1,2)+P29*12/INDEX(B4_Life,1,3)</f>
        <v>676.10342973423</v>
      </c>
      <c r="Q40" s="67" t="n">
        <f aca="false">Q10*12/INDEX(B4_Life,1,1)+Q19*12/INDEX(B4_Life,1,2)+Q29*12/INDEX(B4_Life,1,3)</f>
        <v>1239.26817596579</v>
      </c>
    </row>
    <row r="41" customFormat="false" ht="15" hidden="false" customHeight="false" outlineLevel="0" collapsed="false">
      <c r="A41" s="5" t="s">
        <v>1334</v>
      </c>
      <c r="B41" s="54" t="s">
        <v>75</v>
      </c>
      <c r="C41" s="97" t="n">
        <f aca="false">IF(ISNUMBER(C39),IF(C40&gt;0,C39/C40,0),"SLO 不可達")</f>
        <v>2.1834353850984</v>
      </c>
      <c r="D41" s="97" t="n">
        <f aca="false">IF(ISNUMBER(D39),IF(D40&gt;0,D39/D40,0),"SLO 不可達")</f>
        <v>2.18338775661445</v>
      </c>
      <c r="E41" s="97" t="n">
        <f aca="false">IF(ISNUMBER(E39),IF(E40&gt;0,E39/E40,0),"SLO 不可達")</f>
        <v>2.18334252616311</v>
      </c>
      <c r="F41" s="97" t="n">
        <f aca="false">IF(ISNUMBER(F39),IF(F40&gt;0,F39/F40,0),"SLO 不可達")</f>
        <v>4.73829606225409</v>
      </c>
      <c r="G41" s="97" t="n">
        <f aca="false">IF(ISNUMBER(G39),IF(G40&gt;0,G39/G40,0),"SLO 不可達")</f>
        <v>4.73788145808057</v>
      </c>
      <c r="H41" s="97" t="n">
        <f aca="false">IF(ISNUMBER(H39),IF(H40&gt;0,H39/H40,0),"SLO 不可達")</f>
        <v>4.73741982262551</v>
      </c>
      <c r="I41" s="97" t="n">
        <f aca="false">IF(ISNUMBER(I39),IF(I40&gt;0,I39/I40,0),"SLO 不可達")</f>
        <v>5.14448861571536</v>
      </c>
      <c r="J41" s="97" t="n">
        <f aca="false">IF(ISNUMBER(J39),IF(J40&gt;0,J39/J40,0),"SLO 不可達")</f>
        <v>5.14390023396448</v>
      </c>
      <c r="K41" s="97" t="n">
        <f aca="false">IF(ISNUMBER(K39),IF(K40&gt;0,K39/K40,0),"SLO 不可達")</f>
        <v>5.14330471450531</v>
      </c>
      <c r="L41" s="97" t="n">
        <f aca="false">IF(ISNUMBER(L39),IF(L40&gt;0,L39/L40,0),"SLO 不可達")</f>
        <v>8.96099935886015</v>
      </c>
      <c r="M41" s="97" t="n">
        <f aca="false">IF(ISNUMBER(M39),IF(M40&gt;0,M39/M40,0),"SLO 不可達")</f>
        <v>8.95986331195781</v>
      </c>
      <c r="N41" s="97" t="n">
        <f aca="false">IF(ISNUMBER(N39),IF(N40&gt;0,N39/N40,0),"SLO 不可達")</f>
        <v>8.95840090375001</v>
      </c>
      <c r="O41" s="97" t="n">
        <f aca="false">IF(ISNUMBER(O39),IF(O40&gt;0,O39/O40,0),"SLO 不可達")</f>
        <v>11.992315564138</v>
      </c>
      <c r="P41" s="97" t="n">
        <f aca="false">IF(ISNUMBER(P39),IF(P40&gt;0,P39/P40,0),"SLO 不可達")</f>
        <v>11.9892664040568</v>
      </c>
      <c r="Q41" s="97" t="n">
        <f aca="false">IF(ISNUMBER(Q39),IF(Q40&gt;0,Q39/Q40,0),"SLO 不可達")</f>
        <v>11.9866880724249</v>
      </c>
    </row>
    <row r="42" customFormat="false" ht="15" hidden="false" customHeight="false" outlineLevel="0" collapsed="false">
      <c r="A42" s="5" t="s">
        <v>1335</v>
      </c>
      <c r="B42" s="54" t="s">
        <v>1332</v>
      </c>
      <c r="C42" s="91" t="n">
        <f aca="false">IF(AND(ISNUMBER(Fleet_1GW!C21),ISNUMBER(Fleet_1GW!C24),ISNUMBER(Fleet_1GW!C27)),(Fleet_1GW!C21*INDEX(B4_EffRef,1,1)+Fleet_1GW!C24*INDEX(B4_EffRef,1,2)+Fleet_1GW!C27*INDEX(B4_EffRef,1,3))/1000000,"SLO 不可達")</f>
        <v>4004.88774987164</v>
      </c>
      <c r="D42" s="91" t="n">
        <f aca="false">IF(AND(ISNUMBER(Fleet_1GW!D21),ISNUMBER(Fleet_1GW!D24),ISNUMBER(Fleet_1GW!D27)),(Fleet_1GW!D21*INDEX(B4_EffRef,1,1)+Fleet_1GW!D24*INDEX(B4_EffRef,1,2)+Fleet_1GW!D27*INDEX(B4_EffRef,1,3))/1000000,"SLO 不可達")</f>
        <v>4004.88774987164</v>
      </c>
      <c r="E42" s="91" t="n">
        <f aca="false">IF(AND(ISNUMBER(Fleet_1GW!E21),ISNUMBER(Fleet_1GW!E24),ISNUMBER(Fleet_1GW!E27)),(Fleet_1GW!E21*INDEX(B4_EffRef,1,1)+Fleet_1GW!E24*INDEX(B4_EffRef,1,2)+Fleet_1GW!E27*INDEX(B4_EffRef,1,3))/1000000,"SLO 不可達")</f>
        <v>4004.88774987164</v>
      </c>
      <c r="F42" s="91" t="n">
        <f aca="false">IF(AND(ISNUMBER(Fleet_1GW!F21),ISNUMBER(Fleet_1GW!F24),ISNUMBER(Fleet_1GW!F27)),(Fleet_1GW!F21*INDEX(B4_EffRef,1,1)+Fleet_1GW!F24*INDEX(B4_EffRef,1,2)+Fleet_1GW!F27*INDEX(B4_EffRef,1,3))/1000000,"SLO 不可達")</f>
        <v>20174.6158611128</v>
      </c>
      <c r="G42" s="91" t="n">
        <f aca="false">IF(AND(ISNUMBER(Fleet_1GW!G21),ISNUMBER(Fleet_1GW!G24),ISNUMBER(Fleet_1GW!G27)),(Fleet_1GW!G21*INDEX(B4_EffRef,1,1)+Fleet_1GW!G24*INDEX(B4_EffRef,1,2)+Fleet_1GW!G27*INDEX(B4_EffRef,1,3))/1000000,"SLO 不可達")</f>
        <v>20174.6158611128</v>
      </c>
      <c r="H42" s="91" t="n">
        <f aca="false">IF(AND(ISNUMBER(Fleet_1GW!H21),ISNUMBER(Fleet_1GW!H24),ISNUMBER(Fleet_1GW!H27)),(Fleet_1GW!H21*INDEX(B4_EffRef,1,1)+Fleet_1GW!H24*INDEX(B4_EffRef,1,2)+Fleet_1GW!H27*INDEX(B4_EffRef,1,3))/1000000,"SLO 不可達")</f>
        <v>20174.6158611128</v>
      </c>
      <c r="I42" s="91" t="n">
        <f aca="false">IF(AND(ISNUMBER(Fleet_1GW!I21),ISNUMBER(Fleet_1GW!I24),ISNUMBER(Fleet_1GW!I27)),(Fleet_1GW!I21*INDEX(B4_EffRef,1,1)+Fleet_1GW!I24*INDEX(B4_EffRef,1,2)+Fleet_1GW!I27*INDEX(B4_EffRef,1,3))/1000000,"SLO 不可達")</f>
        <v>26265.2356996766</v>
      </c>
      <c r="J42" s="91" t="n">
        <f aca="false">IF(AND(ISNUMBER(Fleet_1GW!J21),ISNUMBER(Fleet_1GW!J24),ISNUMBER(Fleet_1GW!J27)),(Fleet_1GW!J21*INDEX(B4_EffRef,1,1)+Fleet_1GW!J24*INDEX(B4_EffRef,1,2)+Fleet_1GW!J27*INDEX(B4_EffRef,1,3))/1000000,"SLO 不可達")</f>
        <v>26265.2356996766</v>
      </c>
      <c r="K42" s="91" t="n">
        <f aca="false">IF(AND(ISNUMBER(Fleet_1GW!K21),ISNUMBER(Fleet_1GW!K24),ISNUMBER(Fleet_1GW!K27)),(Fleet_1GW!K21*INDEX(B4_EffRef,1,1)+Fleet_1GW!K24*INDEX(B4_EffRef,1,2)+Fleet_1GW!K27*INDEX(B4_EffRef,1,3))/1000000,"SLO 不可達")</f>
        <v>26265.2356996766</v>
      </c>
      <c r="L42" s="91" t="n">
        <f aca="false">IF(AND(ISNUMBER(Fleet_1GW!L21),ISNUMBER(Fleet_1GW!L24),ISNUMBER(Fleet_1GW!L27)),(Fleet_1GW!L21*INDEX(B4_EffRef,1,1)+Fleet_1GW!L24*INDEX(B4_EffRef,1,2)+Fleet_1GW!L27*INDEX(B4_EffRef,1,3))/1000000,"SLO 不可達")</f>
        <v>48723.7019639935</v>
      </c>
      <c r="M42" s="91" t="n">
        <f aca="false">IF(AND(ISNUMBER(Fleet_1GW!M21),ISNUMBER(Fleet_1GW!M24),ISNUMBER(Fleet_1GW!M27)),(Fleet_1GW!M21*INDEX(B4_EffRef,1,1)+Fleet_1GW!M24*INDEX(B4_EffRef,1,2)+Fleet_1GW!M27*INDEX(B4_EffRef,1,3))/1000000,"SLO 不可達")</f>
        <v>48723.7019639935</v>
      </c>
      <c r="N42" s="91" t="n">
        <f aca="false">IF(AND(ISNUMBER(Fleet_1GW!N21),ISNUMBER(Fleet_1GW!N24),ISNUMBER(Fleet_1GW!N27)),(Fleet_1GW!N21*INDEX(B4_EffRef,1,1)+Fleet_1GW!N24*INDEX(B4_EffRef,1,2)+Fleet_1GW!N27*INDEX(B4_EffRef,1,3))/1000000,"SLO 不可達")</f>
        <v>48723.7019639935</v>
      </c>
      <c r="O42" s="91" t="n">
        <f aca="false">IF(AND(ISNUMBER(Fleet_1GW!O21),ISNUMBER(Fleet_1GW!O24),ISNUMBER(Fleet_1GW!O27)),(Fleet_1GW!O21*INDEX(B4_EffRef,1,1)+Fleet_1GW!O24*INDEX(B4_EffRef,1,2)+Fleet_1GW!O27*INDEX(B4_EffRef,1,3))/1000000,"SLO 不可達")</f>
        <v>68927.6257152094</v>
      </c>
      <c r="P42" s="91" t="n">
        <f aca="false">IF(AND(ISNUMBER(Fleet_1GW!P21),ISNUMBER(Fleet_1GW!P24),ISNUMBER(Fleet_1GW!P27)),(Fleet_1GW!P21*INDEX(B4_EffRef,1,1)+Fleet_1GW!P24*INDEX(B4_EffRef,1,2)+Fleet_1GW!P27*INDEX(B4_EffRef,1,3))/1000000,"SLO 不可達")</f>
        <v>68927.6257152094</v>
      </c>
      <c r="Q42" s="91" t="n">
        <f aca="false">IF(AND(ISNUMBER(Fleet_1GW!Q21),ISNUMBER(Fleet_1GW!Q24),ISNUMBER(Fleet_1GW!Q27)),(Fleet_1GW!Q21*INDEX(B4_EffRef,1,1)+Fleet_1GW!Q24*INDEX(B4_EffRef,1,2)+Fleet_1GW!Q27*INDEX(B4_EffRef,1,3))/1000000,"SLO 不可達")</f>
        <v>68927.6257152094</v>
      </c>
    </row>
    <row r="43" customFormat="false" ht="25.35" hidden="false" customHeight="false" outlineLevel="0" collapsed="false">
      <c r="A43" s="6" t="s">
        <v>1336</v>
      </c>
      <c r="B43" s="54" t="s">
        <v>758</v>
      </c>
      <c r="C43" s="147" t="n">
        <f aca="false">IF(AND(ISNUMBER(C13),ISNUMBER(C41)),C13*C41,"SLO 不可達")</f>
        <v>0.0180725621398525</v>
      </c>
      <c r="D43" s="147" t="n">
        <f aca="false">IF(AND(ISNUMBER(D13),ISNUMBER(D41)),D13*D41,"SLO 不可達")</f>
        <v>0.0260645398483557</v>
      </c>
      <c r="E43" s="147" t="n">
        <f aca="false">IF(AND(ISNUMBER(E13),ISNUMBER(E41)),E13*E41,"SLO 不可達")</f>
        <v>0.0449364553138847</v>
      </c>
      <c r="F43" s="147" t="n">
        <f aca="false">IF(AND(ISNUMBER(F13),ISNUMBER(F41)),F13*F41,"SLO 不可達")</f>
        <v>0.00362791269386975</v>
      </c>
      <c r="G43" s="147" t="n">
        <f aca="false">IF(AND(ISNUMBER(G13),ISNUMBER(G41)),G13*G41,"SLO 不可達")</f>
        <v>0.00488298770183101</v>
      </c>
      <c r="H43" s="147" t="n">
        <f aca="false">IF(AND(ISNUMBER(H13),ISNUMBER(H41)),H13*H41,"SLO 不可達")</f>
        <v>0.007943229841671</v>
      </c>
      <c r="I43" s="147" t="n">
        <f aca="false">IF(AND(ISNUMBER(I13),ISNUMBER(I41)),I13*I41,"SLO 不可達")</f>
        <v>0.00308073018120975</v>
      </c>
      <c r="J43" s="147" t="n">
        <f aca="false">IF(AND(ISNUMBER(J13),ISNUMBER(J41)),J13*J41,"SLO 不可達")</f>
        <v>0.0045015398489172</v>
      </c>
      <c r="K43" s="147" t="n">
        <f aca="false">IF(AND(ISNUMBER(K13),ISNUMBER(K41)),K13*K41,"SLO 不可達")</f>
        <v>0.00844399780356416</v>
      </c>
      <c r="L43" s="147" t="n">
        <f aca="false">IF(AND(ISNUMBER(L13),ISNUMBER(L41)),L13*L41,"SLO 不可達")</f>
        <v>0.00229179066561936</v>
      </c>
      <c r="M43" s="147" t="n">
        <f aca="false">IF(AND(ISNUMBER(M13),ISNUMBER(M41)),M13*M41,"SLO 不可達")</f>
        <v>0.00297297044166871</v>
      </c>
      <c r="N43" s="147" t="n">
        <f aca="false">IF(AND(ISNUMBER(N13),ISNUMBER(N41)),N13*N41,"SLO 不可達")</f>
        <v>0.00481627008252154</v>
      </c>
      <c r="O43" s="147" t="n">
        <f aca="false">IF(AND(ISNUMBER(O13),ISNUMBER(O41)),O13*O41,"SLO 不可達")</f>
        <v>0.00177119246268375</v>
      </c>
      <c r="P43" s="147" t="n">
        <f aca="false">IF(AND(ISNUMBER(P13),ISNUMBER(P41)),P13*P41,"SLO 不可達")</f>
        <v>0.00272236950185195</v>
      </c>
      <c r="Q43" s="147" t="n">
        <f aca="false">IF(AND(ISNUMBER(Q13),ISNUMBER(Q41)),Q13*Q41,"SLO 不可達")</f>
        <v>0.00498891176001349</v>
      </c>
    </row>
    <row r="44" customFormat="false" ht="15" hidden="false" customHeight="false" outlineLevel="0" collapsed="false">
      <c r="A44" s="6" t="s">
        <v>1337</v>
      </c>
      <c r="B44" s="54" t="s">
        <v>758</v>
      </c>
      <c r="C44" s="151" t="n">
        <f aca="false">IF(AND(ISNUMBER(C42),ISNUMBER(C11)),IF(AND(C42&gt;0,C11&gt;0),C39*(Fleet_1GW!C21*INDEX(B4_EffRef,1,1)/1000000/C42)*1000000/C11,0),"SLO 不可達")</f>
        <v>0.00807015897508771</v>
      </c>
      <c r="D44" s="151" t="n">
        <f aca="false">IF(AND(ISNUMBER(D42),ISNUMBER(D11)),IF(AND(D42&gt;0,D11&gt;0),D39*(Fleet_1GW!D21*INDEX(B4_EffRef,1,1)/1000000/D42)*1000000/D11,0),"SLO 不可達")</f>
        <v>0.0116389130971585</v>
      </c>
      <c r="E44" s="151" t="n">
        <f aca="false">IF(AND(ISNUMBER(E42),ISNUMBER(E11)),IF(AND(E42&gt;0,E11&gt;0),E39*(Fleet_1GW!E21*INDEX(B4_EffRef,1,1)/1000000/E42)*1000000/E11,0),"SLO 不可達")</f>
        <v>0.0200660169462245</v>
      </c>
      <c r="F44" s="151" t="n">
        <f aca="false">IF(AND(ISNUMBER(F42),ISNUMBER(F11)),IF(AND(F42&gt;0,F11&gt;0),F39*(Fleet_1GW!F21*INDEX(B4_EffRef,1,1)/1000000/F42)*1000000/F11,0),"SLO 不可達")</f>
        <v>0.00171017405577331</v>
      </c>
      <c r="G44" s="151" t="n">
        <f aca="false">IF(AND(ISNUMBER(G42),ISNUMBER(G11)),IF(AND(G42&gt;0,G11&gt;0),G39*(Fleet_1GW!G21*INDEX(B4_EffRef,1,1)/1000000/G42)*1000000/G11,0),"SLO 不可達")</f>
        <v>0.00230180811584639</v>
      </c>
      <c r="H44" s="151" t="n">
        <f aca="false">IF(AND(ISNUMBER(H42),ISNUMBER(H11)),IF(AND(H42&gt;0,H11&gt;0),H39*(Fleet_1GW!H21*INDEX(B4_EffRef,1,1)/1000000/H42)*1000000/H11,0),"SLO 不可達")</f>
        <v>0.00374438602594382</v>
      </c>
      <c r="I44" s="151" t="n">
        <f aca="false">IF(AND(ISNUMBER(I42),ISNUMBER(I11)),IF(AND(I42&gt;0,I11&gt;0),I39*(Fleet_1GW!I21*INDEX(B4_EffRef,1,1)/1000000/I42)*1000000/I11,0),"SLO 不可達")</f>
        <v>0.00153234517249265</v>
      </c>
      <c r="J44" s="151" t="n">
        <f aca="false">IF(AND(ISNUMBER(J42),ISNUMBER(J11)),IF(AND(J42&gt;0,J11&gt;0),J39*(Fleet_1GW!J21*INDEX(B4_EffRef,1,1)/1000000/J42)*1000000/J11,0),"SLO 不可達")</f>
        <v>0.00223905128022698</v>
      </c>
      <c r="K44" s="151" t="n">
        <f aca="false">IF(AND(ISNUMBER(K42),ISNUMBER(K11)),IF(AND(K42&gt;0,K11&gt;0),K39*(Fleet_1GW!K21*INDEX(B4_EffRef,1,1)/1000000/K42)*1000000/K11,0),"SLO 不可達")</f>
        <v>0.00420001704457907</v>
      </c>
      <c r="L44" s="151" t="n">
        <f aca="false">IF(AND(ISNUMBER(L42),ISNUMBER(L11)),IF(AND(L42&gt;0,L11&gt;0),L39*(Fleet_1GW!L21*INDEX(B4_EffRef,1,1)/1000000/L42)*1000000/L11,0),"SLO 不可達")</f>
        <v>0.00110260862382111</v>
      </c>
      <c r="M44" s="151" t="n">
        <f aca="false">IF(AND(ISNUMBER(M42),ISNUMBER(M11)),IF(AND(M42&gt;0,M11&gt;0),M39*(Fleet_1GW!M21*INDEX(B4_EffRef,1,1)/1000000/M42)*1000000/M11,0),"SLO 不可達")</f>
        <v>0.00143033257641063</v>
      </c>
      <c r="N44" s="151" t="n">
        <f aca="false">IF(AND(ISNUMBER(N42),ISNUMBER(N11)),IF(AND(N42&gt;0,N11&gt;0),N39*(Fleet_1GW!N21*INDEX(B4_EffRef,1,1)/1000000/N42)*1000000/N11,0),"SLO 不可達")</f>
        <v>0.00231716666242931</v>
      </c>
      <c r="O44" s="151" t="n">
        <f aca="false">IF(AND(ISNUMBER(O42),ISNUMBER(O11)),IF(AND(O42&gt;0,O11&gt;0),O39*(Fleet_1GW!O21*INDEX(B4_EffRef,1,1)/1000000/O42)*1000000/O11,0),"SLO 不可達")</f>
        <v>0.000854034926349857</v>
      </c>
      <c r="P44" s="151" t="n">
        <f aca="false">IF(AND(ISNUMBER(P42),ISNUMBER(P11)),IF(AND(P42&gt;0,P11&gt;0),P39*(Fleet_1GW!P21*INDEX(B4_EffRef,1,1)/1000000/P42)*1000000/P11,0),"SLO 不可達")</f>
        <v>0.00131267419323157</v>
      </c>
      <c r="Q44" s="151" t="n">
        <f aca="false">IF(AND(ISNUMBER(Q42),ISNUMBER(Q11)),IF(AND(Q42&gt;0,Q11&gt;0),Q39*(Fleet_1GW!Q21*INDEX(B4_EffRef,1,1)/1000000/Q42)*1000000/Q11,0),"SLO 不可達")</f>
        <v>0.00240555726003551</v>
      </c>
    </row>
    <row r="45" customFormat="false" ht="25.35" hidden="false" customHeight="false" outlineLevel="0" collapsed="false">
      <c r="A45" s="6" t="s">
        <v>1338</v>
      </c>
      <c r="B45" s="54" t="s">
        <v>758</v>
      </c>
      <c r="C45" s="147" t="n">
        <f aca="false">IF(AND(ISNUMBER(C22),ISNUMBER(C41)),C22*C41,"SLO 不可達")</f>
        <v>0.222138616225337</v>
      </c>
      <c r="D45" s="147" t="n">
        <f aca="false">IF(AND(ISNUMBER(D22),ISNUMBER(D41)),D22*D41,"SLO 不可達")</f>
        <v>0.320371885826652</v>
      </c>
      <c r="E45" s="147" t="n">
        <f aca="false">IF(AND(ISNUMBER(E22),ISNUMBER(E41)),E22*E41,"SLO 不可達")</f>
        <v>0.552335741011847</v>
      </c>
      <c r="F45" s="147" t="n">
        <f aca="false">IF(AND(ISNUMBER(F22),ISNUMBER(F41)),F22*F41,"SLO 不可達")</f>
        <v>0.0456677953379997</v>
      </c>
      <c r="G45" s="147" t="n">
        <f aca="false">IF(AND(ISNUMBER(G22),ISNUMBER(G41)),G22*G41,"SLO 不可達")</f>
        <v>0.0614665516570984</v>
      </c>
      <c r="H45" s="147" t="n">
        <f aca="false">IF(AND(ISNUMBER(H22),ISNUMBER(H41)),H22*H41,"SLO 不可達")</f>
        <v>0.099988567901614</v>
      </c>
      <c r="I45" s="147" t="n">
        <f aca="false">IF(AND(ISNUMBER(I22),ISNUMBER(I41)),I22*I41,"SLO 不可達")</f>
        <v>0.0423763226949267</v>
      </c>
      <c r="J45" s="147" t="n">
        <f aca="false">IF(AND(ISNUMBER(J22),ISNUMBER(J41)),J22*J41,"SLO 不可達")</f>
        <v>0.0619199650866143</v>
      </c>
      <c r="K45" s="147" t="n">
        <f aca="false">IF(AND(ISNUMBER(K22),ISNUMBER(K41)),K22*K41,"SLO 不可達")</f>
        <v>0.116149599189688</v>
      </c>
      <c r="L45" s="147" t="n">
        <f aca="false">IF(AND(ISNUMBER(L22),ISNUMBER(L41)),L22*L41,"SLO 不可達")</f>
        <v>0.0278829858991495</v>
      </c>
      <c r="M45" s="147" t="n">
        <f aca="false">IF(AND(ISNUMBER(M22),ISNUMBER(M41)),M22*M41,"SLO 不可達")</f>
        <v>0.0361705343106607</v>
      </c>
      <c r="N45" s="147" t="n">
        <f aca="false">IF(AND(ISNUMBER(N22),ISNUMBER(N41)),N22*N41,"SLO 不可達")</f>
        <v>0.0585969708368418</v>
      </c>
      <c r="O45" s="147" t="n">
        <f aca="false">IF(AND(ISNUMBER(O22),ISNUMBER(O41)),O22*O41,"SLO 不可達")</f>
        <v>0.021179056567393</v>
      </c>
      <c r="P45" s="147" t="n">
        <f aca="false">IF(AND(ISNUMBER(P22),ISNUMBER(P41)),P22*P41,"SLO 不可達")</f>
        <v>0.0325527682009804</v>
      </c>
      <c r="Q45" s="147" t="n">
        <f aca="false">IF(AND(ISNUMBER(Q22),ISNUMBER(Q41)),Q22*Q41,"SLO 不可達")</f>
        <v>0.0596549762948735</v>
      </c>
    </row>
    <row r="46" customFormat="false" ht="15" hidden="false" customHeight="false" outlineLevel="0" collapsed="false">
      <c r="A46" s="6" t="s">
        <v>1339</v>
      </c>
      <c r="B46" s="54" t="s">
        <v>758</v>
      </c>
      <c r="C46" s="151" t="n">
        <f aca="false">IF(AND(ISNUMBER(C42),ISNUMBER(C20)),IF(AND(C42&gt;0,C20&gt;0),C39*(Fleet_1GW!C24*INDEX(B4_EffRef,1,2)/1000000/C42)*1000000/C20,0),"SLO 不可達")</f>
        <v>0.784158801871672</v>
      </c>
      <c r="D46" s="151" t="n">
        <f aca="false">IF(AND(ISNUMBER(D42),ISNUMBER(D20)),IF(AND(D42&gt;0,D20&gt;0),D39*(Fleet_1GW!D24*INDEX(B4_EffRef,1,2)/1000000/D42)*1000000/D20,0),"SLO 不可達")</f>
        <v>1.13092643868978</v>
      </c>
      <c r="E46" s="151" t="n">
        <f aca="false">IF(AND(ISNUMBER(E42),ISNUMBER(E20)),IF(AND(E42&gt;0,E20&gt;0),E39*(Fleet_1GW!E24*INDEX(B4_EffRef,1,2)/1000000/E42)*1000000/E20,0),"SLO 不可達")</f>
        <v>1.94976875368395</v>
      </c>
      <c r="F46" s="151" t="n">
        <f aca="false">IF(AND(ISNUMBER(F42),ISNUMBER(F20)),IF(AND(F42&gt;0,F20&gt;0),F39*(Fleet_1GW!F24*INDEX(B4_EffRef,1,2)/1000000/F42)*1000000/F20,0),"SLO 不可達")</f>
        <v>0.163739515217464</v>
      </c>
      <c r="G46" s="151" t="n">
        <f aca="false">IF(AND(ISNUMBER(G42),ISNUMBER(G20)),IF(AND(G42&gt;0,G20&gt;0),G39*(Fleet_1GW!G24*INDEX(B4_EffRef,1,2)/1000000/G42)*1000000/G20,0),"SLO 不可達")</f>
        <v>0.220385137840186</v>
      </c>
      <c r="H46" s="151" t="n">
        <f aca="false">IF(AND(ISNUMBER(H42),ISNUMBER(H20)),IF(AND(H42&gt;0,H20&gt;0),H39*(Fleet_1GW!H24*INDEX(B4_EffRef,1,2)/1000000/H42)*1000000/H20,0),"SLO 不可達")</f>
        <v>0.358503832171545</v>
      </c>
      <c r="I46" s="151" t="n">
        <f aca="false">IF(AND(ISNUMBER(I42),ISNUMBER(I20)),IF(AND(I42&gt;0,I20&gt;0),I39*(Fleet_1GW!I24*INDEX(B4_EffRef,1,2)/1000000/I42)*1000000/I20,0),"SLO 不可達")</f>
        <v>0.154367842758916</v>
      </c>
      <c r="J46" s="151" t="n">
        <f aca="false">IF(AND(ISNUMBER(J42),ISNUMBER(J20)),IF(AND(J42&gt;0,J20&gt;0),J39*(Fleet_1GW!J24*INDEX(B4_EffRef,1,2)/1000000/J42)*1000000/J20,0),"SLO 不可達")</f>
        <v>0.225561134762464</v>
      </c>
      <c r="K46" s="151" t="n">
        <f aca="false">IF(AND(ISNUMBER(K42),ISNUMBER(K20)),IF(AND(K42&gt;0,K20&gt;0),K39*(Fleet_1GW!K24*INDEX(B4_EffRef,1,2)/1000000/K42)*1000000/K20,0),"SLO 不可達")</f>
        <v>0.423108045341824</v>
      </c>
      <c r="L46" s="151" t="n">
        <f aca="false">IF(AND(ISNUMBER(L42),ISNUMBER(L20)),IF(AND(L42&gt;0,L20&gt;0),L39*(Fleet_1GW!L24*INDEX(B4_EffRef,1,2)/1000000/L42)*1000000/L20,0),"SLO 不可達")</f>
        <v>0.10043025719765</v>
      </c>
      <c r="M46" s="151" t="n">
        <f aca="false">IF(AND(ISNUMBER(M42),ISNUMBER(M20)),IF(AND(M42&gt;0,M20&gt;0),M39*(Fleet_1GW!M24*INDEX(B4_EffRef,1,2)/1000000/M42)*1000000/M20,0),"SLO 不可達")</f>
        <v>0.130280740984303</v>
      </c>
      <c r="N46" s="151" t="n">
        <f aca="false">IF(AND(ISNUMBER(N42),ISNUMBER(N20)),IF(AND(N42&gt;0,N20&gt;0),N39*(Fleet_1GW!N24*INDEX(B4_EffRef,1,2)/1000000/N42)*1000000/N20,0),"SLO 不可達")</f>
        <v>0.211057340610236</v>
      </c>
      <c r="O46" s="151" t="n">
        <f aca="false">IF(AND(ISNUMBER(O42),ISNUMBER(O20)),IF(AND(O42&gt;0,O20&gt;0),O39*(Fleet_1GW!O24*INDEX(B4_EffRef,1,2)/1000000/O42)*1000000/O20,0),"SLO 不可達")</f>
        <v>0.0762686061538966</v>
      </c>
      <c r="P46" s="151" t="n">
        <f aca="false">IF(AND(ISNUMBER(P42),ISNUMBER(P20)),IF(AND(P42&gt;0,P20&gt;0),P39*(Fleet_1GW!P24*INDEX(B4_EffRef,1,2)/1000000/P42)*1000000/P20,0),"SLO 不可達")</f>
        <v>0.11722685801605</v>
      </c>
      <c r="Q46" s="151" t="n">
        <f aca="false">IF(AND(ISNUMBER(Q42),ISNUMBER(Q20)),IF(AND(Q42&gt;0,Q20&gt;0),Q39*(Fleet_1GW!Q24*INDEX(B4_EffRef,1,2)/1000000/Q42)*1000000/Q20,0),"SLO 不可達")</f>
        <v>0.21482552245309</v>
      </c>
    </row>
    <row r="47" customFormat="false" ht="25.35" hidden="false" customHeight="false" outlineLevel="0" collapsed="false">
      <c r="A47" s="6" t="s">
        <v>1340</v>
      </c>
      <c r="B47" s="54" t="s">
        <v>758</v>
      </c>
      <c r="C47" s="147" t="n">
        <f aca="false">IF(AND(ISNUMBER(C32),ISNUMBER(C41)),C32*C41,"SLO 不可達")</f>
        <v>9.48997746983271</v>
      </c>
      <c r="D47" s="147" t="n">
        <f aca="false">IF(AND(ISNUMBER(D32),ISNUMBER(D41)),D32*D41,"SLO 不可達")</f>
        <v>13.6865981706605</v>
      </c>
      <c r="E47" s="147" t="n">
        <f aca="false">IF(AND(ISNUMBER(E32),ISNUMBER(E41)),E32*E41,"SLO 不可達")</f>
        <v>23.5963193930616</v>
      </c>
      <c r="F47" s="147" t="n">
        <f aca="false">IF(AND(ISNUMBER(F32),ISNUMBER(F41)),F32*F41,"SLO 不可達")</f>
        <v>1.963256089996</v>
      </c>
      <c r="G47" s="147" t="n">
        <f aca="false">IF(AND(ISNUMBER(G32),ISNUMBER(G41)),G32*G41,"SLO 不可達")</f>
        <v>2.64244378294829</v>
      </c>
      <c r="H47" s="147" t="n">
        <f aca="false">IF(AND(ISNUMBER(H32),ISNUMBER(H41)),H32*H41,"SLO 不可達")</f>
        <v>4.29850321019286</v>
      </c>
      <c r="I47" s="147" t="n">
        <f aca="false">IF(AND(ISNUMBER(I32),ISNUMBER(I41)),I32*I41,"SLO 不可達")</f>
        <v>1.94948540379337</v>
      </c>
      <c r="J47" s="147" t="n">
        <f aca="false">IF(AND(ISNUMBER(J32),ISNUMBER(J41)),J32*J41,"SLO 不可達")</f>
        <v>2.84857345949467</v>
      </c>
      <c r="K47" s="147" t="n">
        <f aca="false">IF(AND(ISNUMBER(K32),ISNUMBER(K41)),K32*K41,"SLO 不可達")</f>
        <v>5.34336001514014</v>
      </c>
      <c r="L47" s="147" t="n">
        <f aca="false">IF(AND(ISNUMBER(L32),ISNUMBER(L41)),L32*L41,"SLO 不可達")</f>
        <v>1.15537107224464</v>
      </c>
      <c r="M47" s="147" t="n">
        <f aca="false">IF(AND(ISNUMBER(M32),ISNUMBER(M41)),M32*M41,"SLO 不可達")</f>
        <v>1.49877739641378</v>
      </c>
      <c r="N47" s="147" t="n">
        <f aca="false">IF(AND(ISNUMBER(N32),ISNUMBER(N41)),N32*N41,"SLO 不可達")</f>
        <v>2.42804860537245</v>
      </c>
      <c r="O47" s="147" t="n">
        <f aca="false">IF(AND(ISNUMBER(O32),ISNUMBER(O41)),O32*O41,"SLO 不可達")</f>
        <v>0.863665345910231</v>
      </c>
      <c r="P47" s="147" t="n">
        <f aca="false">IF(AND(ISNUMBER(P32),ISNUMBER(P41)),P32*P41,"SLO 不可達")</f>
        <v>1.32747640194325</v>
      </c>
      <c r="Q47" s="147" t="n">
        <f aca="false">IF(AND(ISNUMBER(Q32),ISNUMBER(Q41)),Q32*Q41,"SLO 不可達")</f>
        <v>2.43268322991786</v>
      </c>
    </row>
    <row r="48" customFormat="false" ht="15" hidden="false" customHeight="false" outlineLevel="0" collapsed="false">
      <c r="A48" s="6" t="s">
        <v>1341</v>
      </c>
      <c r="B48" s="54" t="s">
        <v>758</v>
      </c>
      <c r="C48" s="151" t="n">
        <f aca="false">IF(AND(ISNUMBER(C42),ISNUMBER(C30)),IF(AND(C42&gt;0,C30&gt;0),C39*(Fleet_1GW!C27*INDEX(B4_EffRef,1,3)/1000000/C42)*1000000/C30,0),"SLO 不可達")</f>
        <v>6.79321461567925</v>
      </c>
      <c r="D48" s="151" t="n">
        <f aca="false">IF(AND(ISNUMBER(D42),ISNUMBER(D30)),IF(AND(D42&gt;0,D30&gt;0),D39*(Fleet_1GW!D27*INDEX(B4_EffRef,1,3)/1000000/D42)*1000000/D30,0),"SLO 不可達")</f>
        <v>9.79728340003094</v>
      </c>
      <c r="E48" s="151" t="n">
        <f aca="false">IF(AND(ISNUMBER(E42),ISNUMBER(E30)),IF(AND(E42&gt;0,E30&gt;0),E39*(Fleet_1GW!E27*INDEX(B4_EffRef,1,3)/1000000/E42)*1000000/E30,0),"SLO 不可達")</f>
        <v>16.8909633649538</v>
      </c>
      <c r="F48" s="151" t="n">
        <f aca="false">IF(AND(ISNUMBER(F42),ISNUMBER(F30)),IF(AND(F42&gt;0,F30&gt;0),F39*(Fleet_1GW!F27*INDEX(B4_EffRef,1,3)/1000000/F42)*1000000/F30,0),"SLO 不可達")</f>
        <v>1.39957292510893</v>
      </c>
      <c r="G48" s="151" t="n">
        <f aca="false">IF(AND(ISNUMBER(G42),ISNUMBER(G30)),IF(AND(G42&gt;0,G30&gt;0),G39*(Fleet_1GW!G27*INDEX(B4_EffRef,1,3)/1000000/G42)*1000000/G30,0),"SLO 不可達")</f>
        <v>1.88375464290264</v>
      </c>
      <c r="H48" s="151" t="n">
        <f aca="false">IF(AND(ISNUMBER(H42),ISNUMBER(H30)),IF(AND(H42&gt;0,H30&gt;0),H39*(Fleet_1GW!H27*INDEX(B4_EffRef,1,3)/1000000/H42)*1000000/H30,0),"SLO 不可達")</f>
        <v>3.06433212770118</v>
      </c>
      <c r="I48" s="151" t="n">
        <f aca="false">IF(AND(ISNUMBER(I42),ISNUMBER(I30)),IF(AND(I42&gt;0,I30&gt;0),I39*(Fleet_1GW!I27*INDEX(B4_EffRef,1,3)/1000000/I42)*1000000/I30,0),"SLO 不可達")</f>
        <v>1.3842384586311</v>
      </c>
      <c r="J48" s="151" t="n">
        <f aca="false">IF(AND(ISNUMBER(J42),ISNUMBER(J30)),IF(AND(J42&gt;0,J30&gt;0),J39*(Fleet_1GW!J27*INDEX(B4_EffRef,1,3)/1000000/J42)*1000000/J30,0),"SLO 不可達")</f>
        <v>2.02263886007853</v>
      </c>
      <c r="K48" s="151" t="n">
        <f aca="false">IF(AND(ISNUMBER(K42),ISNUMBER(K30)),IF(AND(K42&gt;0,K30&gt;0),K39*(Fleet_1GW!K27*INDEX(B4_EffRef,1,3)/1000000/K42)*1000000/K30,0),"SLO 不可達")</f>
        <v>3.79407017712279</v>
      </c>
      <c r="L48" s="151" t="n">
        <f aca="false">IF(AND(ISNUMBER(L42),ISNUMBER(L30)),IF(AND(L42&gt;0,L30&gt;0),L39*(Fleet_1GW!L27*INDEX(B4_EffRef,1,3)/1000000/L42)*1000000/L30,0),"SLO 不可達")</f>
        <v>0.822528170591976</v>
      </c>
      <c r="M48" s="151" t="n">
        <f aca="false">IF(AND(ISNUMBER(M42),ISNUMBER(M30)),IF(AND(M42&gt;0,M30&gt;0),M39*(Fleet_1GW!M27*INDEX(B4_EffRef,1,3)/1000000/M42)*1000000/M30,0),"SLO 不可達")</f>
        <v>1.06700492994151</v>
      </c>
      <c r="N48" s="151" t="n">
        <f aca="false">IF(AND(ISNUMBER(N42),ISNUMBER(N30)),IF(AND(N42&gt;0,N30&gt;0),N39*(Fleet_1GW!N27*INDEX(B4_EffRef,1,3)/1000000/N42)*1000000/N30,0),"SLO 不可達")</f>
        <v>1.72856879098192</v>
      </c>
      <c r="O48" s="151" t="n">
        <f aca="false">IF(AND(ISNUMBER(O42),ISNUMBER(O30)),IF(AND(O42&gt;0,O30&gt;0),O39*(Fleet_1GW!O27*INDEX(B4_EffRef,1,3)/1000000/O42)*1000000/O30,0),"SLO 不可達")</f>
        <v>0.614818635942223</v>
      </c>
      <c r="P48" s="151" t="n">
        <f aca="false">IF(AND(ISNUMBER(P42),ISNUMBER(P30)),IF(AND(P42&gt;0,P30&gt;0),P39*(Fleet_1GW!P27*INDEX(B4_EffRef,1,3)/1000000/P42)*1000000/P30,0),"SLO 不可達")</f>
        <v>0.944992449393784</v>
      </c>
      <c r="Q48" s="151" t="n">
        <f aca="false">IF(AND(ISNUMBER(Q42),ISNUMBER(Q30)),IF(AND(Q42&gt;0,Q30&gt;0),Q39*(Fleet_1GW!Q27*INDEX(B4_EffRef,1,3)/1000000/Q42)*1000000/Q30,0),"SLO 不可達")</f>
        <v>1.73175755190377</v>
      </c>
    </row>
    <row r="49" customFormat="false" ht="15" hidden="false" customHeight="false" outlineLevel="0" collapsed="false">
      <c r="A49" s="6" t="s">
        <v>1342</v>
      </c>
      <c r="B49" s="54" t="s">
        <v>71</v>
      </c>
      <c r="C49" s="96" t="n">
        <f aca="false">IF(ISNUMBER(C42),IF(C42&gt;0,C39/C42,0),"SLO 不可達")</f>
        <v>0.845394517991057</v>
      </c>
      <c r="D49" s="96" t="n">
        <f aca="false">IF(ISNUMBER(D42),IF(D42&gt;0,D39/D42,0),"SLO 不可達")</f>
        <v>1.2192415735658</v>
      </c>
      <c r="E49" s="96" t="n">
        <f aca="false">IF(ISNUMBER(E42),IF(E42&gt;0,E39/E42,0),"SLO 不可達")</f>
        <v>2.10202807362534</v>
      </c>
      <c r="F49" s="96" t="n">
        <f aca="false">IF(ISNUMBER(F42),IF(F42&gt;0,F39/F42,0),"SLO 不可達")</f>
        <v>0.174172515569419</v>
      </c>
      <c r="G49" s="96" t="n">
        <f aca="false">IF(ISNUMBER(G42),IF(G42&gt;0,G39/G42,0),"SLO 不可達")</f>
        <v>0.234427430670959</v>
      </c>
      <c r="H49" s="96" t="n">
        <f aca="false">IF(ISNUMBER(H42),IF(H42&gt;0,H39/H42,0),"SLO 不可達")</f>
        <v>0.381346641998212</v>
      </c>
      <c r="I49" s="96" t="n">
        <f aca="false">IF(ISNUMBER(I42),IF(I42&gt;0,I39/I42,0),"SLO 不可達")</f>
        <v>0.172264188712388</v>
      </c>
      <c r="J49" s="96" t="n">
        <f aca="false">IF(ISNUMBER(J42),IF(J42&gt;0,J39/J42,0),"SLO 不可達")</f>
        <v>0.251711141326144</v>
      </c>
      <c r="K49" s="96" t="n">
        <f aca="false">IF(ISNUMBER(K42),IF(K42&gt;0,K39/K42,0),"SLO 不可達")</f>
        <v>0.472160281998135</v>
      </c>
      <c r="L49" s="96" t="n">
        <f aca="false">IF(ISNUMBER(L42),IF(L42&gt;0,L39/L42,0),"SLO 不可達")</f>
        <v>0.102361083176546</v>
      </c>
      <c r="M49" s="96" t="n">
        <f aca="false">IF(ISNUMBER(M42),IF(M42&gt;0,M39/M42,0),"SLO 不可達")</f>
        <v>0.132785458648694</v>
      </c>
      <c r="N49" s="96" t="n">
        <f aca="false">IF(ISNUMBER(N42),IF(N42&gt;0,N39/N42,0),"SLO 不可達")</f>
        <v>0.215115032063569</v>
      </c>
      <c r="O49" s="96" t="n">
        <f aca="false">IF(ISNUMBER(O42),IF(O42&gt;0,O39/O42,0),"SLO 不可達")</f>
        <v>0.0765122749375002</v>
      </c>
      <c r="P49" s="96" t="n">
        <f aca="false">IF(ISNUMBER(P42),IF(P42&gt;0,P39/P42,0),"SLO 不可達")</f>
        <v>0.117601383359293</v>
      </c>
      <c r="Q49" s="96" t="n">
        <f aca="false">IF(ISNUMBER(Q42),IF(Q42&gt;0,Q39/Q42,0),"SLO 不可達")</f>
        <v>0.215511863483599</v>
      </c>
    </row>
    <row r="50" customFormat="false" ht="15" hidden="false" customHeight="false" outlineLevel="0" collapsed="false">
      <c r="A50" s="66" t="s">
        <v>1343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17.15" hidden="false" customHeight="false" outlineLevel="0" collapsed="false">
      <c r="A1" s="49" t="s">
        <v>1344</v>
      </c>
    </row>
    <row r="2" customFormat="false" ht="15" hidden="false" customHeight="false" outlineLevel="0" collapsed="false">
      <c r="A2" s="50" t="s">
        <v>1345</v>
      </c>
    </row>
    <row r="4" customFormat="false" ht="15" hidden="false" customHeight="false" outlineLevel="0" collapsed="false">
      <c r="A4" s="51" t="s">
        <v>136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51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51" t="s">
        <v>407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51" t="s">
        <v>1274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8" t="s">
        <v>1346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" t="s">
        <v>1347</v>
      </c>
      <c r="B10" s="54" t="s">
        <v>750</v>
      </c>
      <c r="C10" s="60" t="n">
        <f aca="false">INDEX(IF_TokGW_Luna,1,C$7)*IF_Util</f>
        <v>44440350782.9534</v>
      </c>
      <c r="D10" s="60" t="n">
        <f aca="false">INDEX(IF_TokGW_Luna,1,D$7)*IF_Util</f>
        <v>44440350782.9534</v>
      </c>
      <c r="E10" s="60" t="n">
        <f aca="false">INDEX(IF_TokGW_Luna,1,E$7)*IF_Util</f>
        <v>44440350782.9534</v>
      </c>
      <c r="F10" s="60" t="n">
        <f aca="false">INDEX(IF_TokGW_Luna,1,F$7)*IF_Util</f>
        <v>217384136451.368</v>
      </c>
      <c r="G10" s="60" t="n">
        <f aca="false">INDEX(IF_TokGW_Luna,1,G$7)*IF_Util</f>
        <v>217384136451.368</v>
      </c>
      <c r="H10" s="60" t="n">
        <f aca="false">INDEX(IF_TokGW_Luna,1,H$7)*IF_Util</f>
        <v>217384136451.368</v>
      </c>
      <c r="I10" s="60" t="n">
        <f aca="false">INDEX(IF_TokGW_Luna,1,I$7)*IF_Util</f>
        <v>316484351906.383</v>
      </c>
      <c r="J10" s="60" t="n">
        <f aca="false">INDEX(IF_TokGW_Luna,1,J$7)*IF_Util</f>
        <v>316484351906.383</v>
      </c>
      <c r="K10" s="60" t="n">
        <f aca="false">INDEX(IF_TokGW_Luna,1,K$7)*IF_Util</f>
        <v>316484351906.383</v>
      </c>
      <c r="L10" s="60" t="n">
        <f aca="false">INDEX(IF_TokGW_Luna,1,L$7)*IF_Util</f>
        <v>463667040596.067</v>
      </c>
      <c r="M10" s="60" t="n">
        <f aca="false">INDEX(IF_TokGW_Luna,1,M$7)*IF_Util</f>
        <v>463667040596.067</v>
      </c>
      <c r="N10" s="60" t="n">
        <f aca="false">INDEX(IF_TokGW_Luna,1,N$7)*IF_Util</f>
        <v>463667040596.067</v>
      </c>
      <c r="O10" s="60" t="n">
        <f aca="false">INDEX(IF_TokGW_Luna,1,O$7)*IF_Util</f>
        <v>626624227834.433</v>
      </c>
      <c r="P10" s="60" t="n">
        <f aca="false">INDEX(IF_TokGW_Luna,1,P$7)*IF_Util</f>
        <v>626624227834.433</v>
      </c>
      <c r="Q10" s="60" t="n">
        <f aca="false">INDEX(IF_TokGW_Luna,1,Q$7)*IF_Util</f>
        <v>626624227834.433</v>
      </c>
    </row>
    <row r="11" customFormat="false" ht="15" hidden="false" customHeight="false" outlineLevel="0" collapsed="false">
      <c r="A11" s="5" t="s">
        <v>1348</v>
      </c>
      <c r="B11" s="54" t="s">
        <v>1349</v>
      </c>
      <c r="C11" s="105" t="n">
        <f aca="false">C10*INDEX(B4_EffRef,1,1)/1000000000</f>
        <v>3.57102907624799</v>
      </c>
      <c r="D11" s="105" t="n">
        <f aca="false">D10*INDEX(B4_EffRef,1,1)/1000000000</f>
        <v>3.57102907624799</v>
      </c>
      <c r="E11" s="105" t="n">
        <f aca="false">E10*INDEX(B4_EffRef,1,1)/1000000000</f>
        <v>3.57102907624799</v>
      </c>
      <c r="F11" s="105" t="n">
        <f aca="false">F10*INDEX(B4_EffRef,1,1)/1000000000</f>
        <v>17.4680230535144</v>
      </c>
      <c r="G11" s="105" t="n">
        <f aca="false">G10*INDEX(B4_EffRef,1,1)/1000000000</f>
        <v>17.4680230535144</v>
      </c>
      <c r="H11" s="105" t="n">
        <f aca="false">H10*INDEX(B4_EffRef,1,1)/1000000000</f>
        <v>17.4680230535144</v>
      </c>
      <c r="I11" s="105" t="n">
        <f aca="false">I10*INDEX(B4_EffRef,1,1)/1000000000</f>
        <v>25.4312759220773</v>
      </c>
      <c r="J11" s="105" t="n">
        <f aca="false">J10*INDEX(B4_EffRef,1,1)/1000000000</f>
        <v>25.4312759220773</v>
      </c>
      <c r="K11" s="105" t="n">
        <f aca="false">K10*INDEX(B4_EffRef,1,1)/1000000000</f>
        <v>25.4312759220773</v>
      </c>
      <c r="L11" s="105" t="n">
        <f aca="false">L10*INDEX(B4_EffRef,1,1)/1000000000</f>
        <v>37.2582226398973</v>
      </c>
      <c r="M11" s="105" t="n">
        <f aca="false">M10*INDEX(B4_EffRef,1,1)/1000000000</f>
        <v>37.2582226398973</v>
      </c>
      <c r="N11" s="105" t="n">
        <f aca="false">N10*INDEX(B4_EffRef,1,1)/1000000000</f>
        <v>37.2582226398973</v>
      </c>
      <c r="O11" s="105" t="n">
        <f aca="false">O10*INDEX(B4_EffRef,1,1)/1000000000</f>
        <v>50.3527379522069</v>
      </c>
      <c r="P11" s="105" t="n">
        <f aca="false">P10*INDEX(B4_EffRef,1,1)/1000000000</f>
        <v>50.3527379522069</v>
      </c>
      <c r="Q11" s="105" t="n">
        <f aca="false">Q10*INDEX(B4_EffRef,1,1)/1000000000</f>
        <v>50.3527379522069</v>
      </c>
    </row>
    <row r="12" customFormat="false" ht="15" hidden="false" customHeight="false" outlineLevel="0" collapsed="false">
      <c r="A12" s="5" t="s">
        <v>1350</v>
      </c>
      <c r="B12" s="54" t="s">
        <v>1349</v>
      </c>
      <c r="C12" s="67" t="n">
        <f aca="false">C10*INDEX(B4_FrontRef,1,1)/1000000000</f>
        <v>3.57102907624799</v>
      </c>
      <c r="D12" s="67" t="n">
        <f aca="false">D10*INDEX(B4_FrontRef,1,1)/1000000000</f>
        <v>3.57102907624799</v>
      </c>
      <c r="E12" s="67" t="n">
        <f aca="false">E10*INDEX(B4_FrontRef,1,1)/1000000000</f>
        <v>3.57102907624799</v>
      </c>
      <c r="F12" s="67" t="n">
        <f aca="false">F10*INDEX(B4_FrontRef,1,1)/1000000000</f>
        <v>17.4680230535144</v>
      </c>
      <c r="G12" s="67" t="n">
        <f aca="false">G10*INDEX(B4_FrontRef,1,1)/1000000000</f>
        <v>17.4680230535144</v>
      </c>
      <c r="H12" s="67" t="n">
        <f aca="false">H10*INDEX(B4_FrontRef,1,1)/1000000000</f>
        <v>17.4680230535144</v>
      </c>
      <c r="I12" s="67" t="n">
        <f aca="false">I10*INDEX(B4_FrontRef,1,1)/1000000000</f>
        <v>25.4312759220773</v>
      </c>
      <c r="J12" s="67" t="n">
        <f aca="false">J10*INDEX(B4_FrontRef,1,1)/1000000000</f>
        <v>25.4312759220773</v>
      </c>
      <c r="K12" s="67" t="n">
        <f aca="false">K10*INDEX(B4_FrontRef,1,1)/1000000000</f>
        <v>25.4312759220773</v>
      </c>
      <c r="L12" s="67" t="n">
        <f aca="false">L10*INDEX(B4_FrontRef,1,1)/1000000000</f>
        <v>37.2582226398973</v>
      </c>
      <c r="M12" s="67" t="n">
        <f aca="false">M10*INDEX(B4_FrontRef,1,1)/1000000000</f>
        <v>37.2582226398973</v>
      </c>
      <c r="N12" s="67" t="n">
        <f aca="false">N10*INDEX(B4_FrontRef,1,1)/1000000000</f>
        <v>37.2582226398973</v>
      </c>
      <c r="O12" s="67" t="n">
        <f aca="false">O10*INDEX(B4_FrontRef,1,1)/1000000000</f>
        <v>50.3527379522069</v>
      </c>
      <c r="P12" s="67" t="n">
        <f aca="false">P10*INDEX(B4_FrontRef,1,1)/1000000000</f>
        <v>50.3527379522069</v>
      </c>
      <c r="Q12" s="67" t="n">
        <f aca="false">Q10*INDEX(B4_FrontRef,1,1)/1000000000</f>
        <v>50.3527379522069</v>
      </c>
    </row>
    <row r="13" customFormat="false" ht="15" hidden="false" customHeight="false" outlineLevel="0" collapsed="false">
      <c r="A13" s="5" t="s">
        <v>1351</v>
      </c>
      <c r="B13" s="54" t="s">
        <v>1349</v>
      </c>
      <c r="C13" s="67" t="n">
        <f aca="false">INDEX(IF_TokGW_Luna,1,C$7)*INDEX(B4_EffRef,1,1)/1000000000</f>
        <v>5.95171512707998</v>
      </c>
      <c r="D13" s="67" t="n">
        <f aca="false">INDEX(IF_TokGW_Luna,1,D$7)*INDEX(B4_EffRef,1,1)/1000000000</f>
        <v>5.95171512707998</v>
      </c>
      <c r="E13" s="67" t="n">
        <f aca="false">INDEX(IF_TokGW_Luna,1,E$7)*INDEX(B4_EffRef,1,1)/1000000000</f>
        <v>5.95171512707998</v>
      </c>
      <c r="F13" s="67" t="n">
        <f aca="false">INDEX(IF_TokGW_Luna,1,F$7)*INDEX(B4_EffRef,1,1)/1000000000</f>
        <v>29.1133717558573</v>
      </c>
      <c r="G13" s="67" t="n">
        <f aca="false">INDEX(IF_TokGW_Luna,1,G$7)*INDEX(B4_EffRef,1,1)/1000000000</f>
        <v>29.1133717558573</v>
      </c>
      <c r="H13" s="67" t="n">
        <f aca="false">INDEX(IF_TokGW_Luna,1,H$7)*INDEX(B4_EffRef,1,1)/1000000000</f>
        <v>29.1133717558573</v>
      </c>
      <c r="I13" s="67" t="n">
        <f aca="false">INDEX(IF_TokGW_Luna,1,I$7)*INDEX(B4_EffRef,1,1)/1000000000</f>
        <v>42.3854598701289</v>
      </c>
      <c r="J13" s="67" t="n">
        <f aca="false">INDEX(IF_TokGW_Luna,1,J$7)*INDEX(B4_EffRef,1,1)/1000000000</f>
        <v>42.3854598701289</v>
      </c>
      <c r="K13" s="67" t="n">
        <f aca="false">INDEX(IF_TokGW_Luna,1,K$7)*INDEX(B4_EffRef,1,1)/1000000000</f>
        <v>42.3854598701289</v>
      </c>
      <c r="L13" s="67" t="n">
        <f aca="false">INDEX(IF_TokGW_Luna,1,L$7)*INDEX(B4_EffRef,1,1)/1000000000</f>
        <v>62.0970377331622</v>
      </c>
      <c r="M13" s="67" t="n">
        <f aca="false">INDEX(IF_TokGW_Luna,1,M$7)*INDEX(B4_EffRef,1,1)/1000000000</f>
        <v>62.0970377331622</v>
      </c>
      <c r="N13" s="67" t="n">
        <f aca="false">INDEX(IF_TokGW_Luna,1,N$7)*INDEX(B4_EffRef,1,1)/1000000000</f>
        <v>62.0970377331622</v>
      </c>
      <c r="O13" s="67" t="n">
        <f aca="false">INDEX(IF_TokGW_Luna,1,O$7)*INDEX(B4_EffRef,1,1)/1000000000</f>
        <v>83.9212299203448</v>
      </c>
      <c r="P13" s="67" t="n">
        <f aca="false">INDEX(IF_TokGW_Luna,1,P$7)*INDEX(B4_EffRef,1,1)/1000000000</f>
        <v>83.9212299203448</v>
      </c>
      <c r="Q13" s="67" t="n">
        <f aca="false">INDEX(IF_TokGW_Luna,1,Q$7)*INDEX(B4_EffRef,1,1)/1000000000</f>
        <v>83.9212299203448</v>
      </c>
    </row>
    <row r="14" customFormat="false" ht="15" hidden="false" customHeight="false" outlineLevel="0" collapsed="false">
      <c r="A14" s="5" t="s">
        <v>1352</v>
      </c>
      <c r="B14" s="54" t="s">
        <v>1349</v>
      </c>
      <c r="C14" s="67" t="n">
        <f aca="false">INDEX(IF_HoldEcon,1,C$7)</f>
        <v>7.0000433103819</v>
      </c>
      <c r="D14" s="67" t="n">
        <f aca="false">INDEX(IF_HoldEcon,1,D$7)</f>
        <v>10.0957952959174</v>
      </c>
      <c r="E14" s="67" t="n">
        <f aca="false">INDEX(IF_HoldEcon,1,E$7)</f>
        <v>17.4059720636914</v>
      </c>
      <c r="F14" s="67" t="n">
        <f aca="false">INDEX(IF_HoldEcon,1,F$7)</f>
        <v>6.81316695089878</v>
      </c>
      <c r="G14" s="67" t="n">
        <f aca="false">INDEX(IF_HoldEcon,1,G$7)</f>
        <v>9.17098191725462</v>
      </c>
      <c r="H14" s="67" t="n">
        <f aca="false">INDEX(IF_HoldEcon,1,H$7)</f>
        <v>14.9200285257983</v>
      </c>
      <c r="I14" s="67" t="n">
        <f aca="false">INDEX(IF_HoldEcon,1,I$7)</f>
        <v>8.70747076237914</v>
      </c>
      <c r="J14" s="67" t="n">
        <f aca="false">INDEX(IF_HoldEcon,1,J$7)</f>
        <v>12.7247463559608</v>
      </c>
      <c r="K14" s="67" t="n">
        <f aca="false">INDEX(IF_HoldEcon,1,K$7)</f>
        <v>23.87186935202</v>
      </c>
      <c r="L14" s="67" t="n">
        <f aca="false">INDEX(IF_HoldEcon,1,L$7)</f>
        <v>9.83668060375303</v>
      </c>
      <c r="M14" s="67" t="n">
        <f aca="false">INDEX(IF_HoldEcon,1,M$7)</f>
        <v>12.7620157762701</v>
      </c>
      <c r="N14" s="67" t="n">
        <f aca="false">INDEX(IF_HoldEcon,1,N$7)</f>
        <v>20.6780894215396</v>
      </c>
      <c r="O14" s="67" t="n">
        <f aca="false">INDEX(IF_HoldEcon,1,O$7)</f>
        <v>10.4522416094636</v>
      </c>
      <c r="P14" s="67" t="n">
        <f aca="false">INDEX(IF_HoldEcon,1,P$7)</f>
        <v>16.0694566753819</v>
      </c>
      <c r="Q14" s="67" t="n">
        <f aca="false">INDEX(IF_HoldEcon,1,Q$7)</f>
        <v>29.454615058956</v>
      </c>
    </row>
    <row r="15" customFormat="false" ht="15" hidden="false" customHeight="false" outlineLevel="0" collapsed="false">
      <c r="A15" s="5" t="s">
        <v>1353</v>
      </c>
      <c r="B15" s="54" t="s">
        <v>75</v>
      </c>
      <c r="C15" s="81" t="n">
        <f aca="false">C11/C14</f>
        <v>0.510143854531832</v>
      </c>
      <c r="D15" s="81" t="n">
        <f aca="false">D11/D14</f>
        <v>0.353714489208401</v>
      </c>
      <c r="E15" s="81" t="n">
        <f aca="false">E11/E14</f>
        <v>0.205161140278807</v>
      </c>
      <c r="F15" s="81" t="n">
        <f aca="false">F11/F14</f>
        <v>2.56386247091891</v>
      </c>
      <c r="G15" s="81" t="n">
        <f aca="false">G11/G14</f>
        <v>1.90470586586257</v>
      </c>
      <c r="H15" s="81" t="n">
        <f aca="false">H11/H14</f>
        <v>1.1707767866067</v>
      </c>
      <c r="I15" s="81" t="n">
        <f aca="false">I11/I14</f>
        <v>2.92062719658547</v>
      </c>
      <c r="J15" s="81" t="n">
        <f aca="false">J11/J14</f>
        <v>1.99856839662382</v>
      </c>
      <c r="K15" s="81" t="n">
        <f aca="false">K11/K14</f>
        <v>1.06532402415002</v>
      </c>
      <c r="L15" s="81" t="n">
        <f aca="false">L11/L14</f>
        <v>3.78768246533104</v>
      </c>
      <c r="M15" s="81" t="n">
        <f aca="false">M11/M14</f>
        <v>2.91946219884604</v>
      </c>
      <c r="N15" s="81" t="n">
        <f aca="false">N11/N14</f>
        <v>1.80182133273333</v>
      </c>
      <c r="O15" s="81" t="n">
        <f aca="false">O11/O14</f>
        <v>4.81741044969885</v>
      </c>
      <c r="P15" s="81" t="n">
        <f aca="false">P11/P14</f>
        <v>3.13344371059829</v>
      </c>
      <c r="Q15" s="81" t="n">
        <f aca="false">Q11/Q14</f>
        <v>1.70950249566737</v>
      </c>
    </row>
    <row r="16" customFormat="false" ht="15" hidden="false" customHeight="false" outlineLevel="0" collapsed="false">
      <c r="A16" s="5" t="s">
        <v>1354</v>
      </c>
      <c r="B16" s="54" t="s">
        <v>75</v>
      </c>
      <c r="C16" s="79" t="n">
        <f aca="false">C12/C14</f>
        <v>0.510143854531832</v>
      </c>
      <c r="D16" s="79" t="n">
        <f aca="false">D12/D14</f>
        <v>0.353714489208401</v>
      </c>
      <c r="E16" s="79" t="n">
        <f aca="false">E12/E14</f>
        <v>0.205161140278806</v>
      </c>
      <c r="F16" s="79" t="n">
        <f aca="false">F12/F14</f>
        <v>2.56386247091891</v>
      </c>
      <c r="G16" s="79" t="n">
        <f aca="false">G12/G14</f>
        <v>1.90470586586256</v>
      </c>
      <c r="H16" s="79" t="n">
        <f aca="false">H12/H14</f>
        <v>1.1707767866067</v>
      </c>
      <c r="I16" s="79" t="n">
        <f aca="false">I12/I14</f>
        <v>2.92062719658547</v>
      </c>
      <c r="J16" s="79" t="n">
        <f aca="false">J12/J14</f>
        <v>1.99856839662382</v>
      </c>
      <c r="K16" s="79" t="n">
        <f aca="false">K12/K14</f>
        <v>1.06532402415002</v>
      </c>
      <c r="L16" s="79" t="n">
        <f aca="false">L12/L14</f>
        <v>3.78768246533104</v>
      </c>
      <c r="M16" s="79" t="n">
        <f aca="false">M12/M14</f>
        <v>2.91946219884604</v>
      </c>
      <c r="N16" s="79" t="n">
        <f aca="false">N12/N14</f>
        <v>1.80182133273333</v>
      </c>
      <c r="O16" s="79" t="n">
        <f aca="false">O12/O14</f>
        <v>4.81741044969885</v>
      </c>
      <c r="P16" s="79" t="n">
        <f aca="false">P12/P14</f>
        <v>3.13344371059829</v>
      </c>
      <c r="Q16" s="79" t="n">
        <f aca="false">Q12/Q14</f>
        <v>1.70950249566736</v>
      </c>
    </row>
    <row r="17" customFormat="false" ht="15" hidden="false" customHeight="false" outlineLevel="0" collapsed="false">
      <c r="A17" s="5" t="s">
        <v>1355</v>
      </c>
      <c r="B17" s="54" t="s">
        <v>758</v>
      </c>
      <c r="C17" s="148" t="n">
        <f aca="false">Amortize!C14</f>
        <v>0.125052691679538</v>
      </c>
      <c r="D17" s="148" t="n">
        <f aca="false">Amortize!D14</f>
        <v>0.180352147257489</v>
      </c>
      <c r="E17" s="148" t="n">
        <f aca="false">Amortize!E14</f>
        <v>0.310933924262012</v>
      </c>
      <c r="F17" s="148" t="n">
        <f aca="false">Amortize!F14</f>
        <v>0.0268879920083376</v>
      </c>
      <c r="G17" s="148" t="n">
        <f aca="false">Amortize!G14</f>
        <v>0.0361893007233086</v>
      </c>
      <c r="H17" s="148" t="n">
        <f aca="false">Amortize!H14</f>
        <v>0.0588686280182186</v>
      </c>
      <c r="I17" s="148" t="n">
        <f aca="false">Amortize!I14</f>
        <v>0.0236091578591992</v>
      </c>
      <c r="J17" s="148" t="n">
        <f aca="false">Amortize!J14</f>
        <v>0.0344964728366824</v>
      </c>
      <c r="K17" s="148" t="n">
        <f aca="false">Amortize!K14</f>
        <v>0.0647065583346111</v>
      </c>
      <c r="L17" s="148" t="n">
        <f aca="false">Amortize!L14</f>
        <v>0.0180758142881924</v>
      </c>
      <c r="M17" s="148" t="n">
        <f aca="false">Amortize!M14</f>
        <v>0.0234481679292898</v>
      </c>
      <c r="N17" s="148" t="n">
        <f aca="false">Amortize!N14</f>
        <v>0.0379859711427131</v>
      </c>
      <c r="O17" s="148" t="n">
        <f aca="false">Amortize!O14</f>
        <v>0.0142035236403495</v>
      </c>
      <c r="P17" s="148" t="n">
        <f aca="false">Amortize!P14</f>
        <v>0.0218309208956915</v>
      </c>
      <c r="Q17" s="148" t="n">
        <f aca="false">Amortize!Q14</f>
        <v>0.0400061054166888</v>
      </c>
    </row>
    <row r="18" customFormat="false" ht="15" hidden="false" customHeight="false" outlineLevel="0" collapsed="false">
      <c r="A18" s="5" t="s">
        <v>1356</v>
      </c>
      <c r="B18" s="54" t="s">
        <v>758</v>
      </c>
      <c r="C18" s="149" t="n">
        <f aca="false">IF(AND(ISNUMBER(C17),ISNUMBER(Amortize!C13)),C17+Amortize!C13,"SLO 不可達")</f>
        <v>0.133329814173381</v>
      </c>
      <c r="D18" s="149" t="n">
        <f aca="false">IF(AND(ISNUMBER(D17),ISNUMBER(Amortize!D13)),D17+Amortize!D13,"SLO 不可達")</f>
        <v>0.192289806873558</v>
      </c>
      <c r="E18" s="149" t="n">
        <f aca="false">IF(AND(ISNUMBER(E17),ISNUMBER(Amortize!E13)),E17+Amortize!E13,"SLO 不可達")</f>
        <v>0.331515420191033</v>
      </c>
      <c r="F18" s="149" t="n">
        <f aca="false">IF(AND(ISNUMBER(F17),ISNUMBER(Amortize!F13)),F17+Amortize!F13,"SLO 不可達")</f>
        <v>0.0276536496722329</v>
      </c>
      <c r="G18" s="149" t="n">
        <f aca="false">IF(AND(ISNUMBER(G17),ISNUMBER(Amortize!G13)),G17+Amortize!G13,"SLO 不可達")</f>
        <v>0.0372199275435518</v>
      </c>
      <c r="H18" s="149" t="n">
        <f aca="false">IF(AND(ISNUMBER(H17),ISNUMBER(Amortize!H13)),H17+Amortize!H13,"SLO 不可達")</f>
        <v>0.0605453276013408</v>
      </c>
      <c r="I18" s="149" t="n">
        <f aca="false">IF(AND(ISNUMBER(I17),ISNUMBER(Amortize!I13)),I17+Amortize!I13,"SLO 不可達")</f>
        <v>0.0242079987569706</v>
      </c>
      <c r="J18" s="149" t="n">
        <f aca="false">IF(AND(ISNUMBER(J17),ISNUMBER(Amortize!J13)),J17+Amortize!J13,"SLO 不可達")</f>
        <v>0.0353715947566594</v>
      </c>
      <c r="K18" s="149" t="n">
        <f aca="false">IF(AND(ISNUMBER(K17),ISNUMBER(Amortize!K13)),K17+Amortize!K13,"SLO 不可達")</f>
        <v>0.0663483039188753</v>
      </c>
      <c r="L18" s="149" t="n">
        <f aca="false">IF(AND(ISNUMBER(L17),ISNUMBER(Amortize!L13)),L17+Amortize!L13,"SLO 不可達")</f>
        <v>0.0183315659709948</v>
      </c>
      <c r="M18" s="149" t="n">
        <f aca="false">IF(AND(ISNUMBER(M17),ISNUMBER(Amortize!M13)),M17+Amortize!M13,"SLO 不可達")</f>
        <v>0.0237799777279617</v>
      </c>
      <c r="N18" s="149" t="n">
        <f aca="false">IF(AND(ISNUMBER(N17),ISNUMBER(Amortize!N13)),N17+Amortize!N13,"SLO 不可達")</f>
        <v>0.0385235972362836</v>
      </c>
      <c r="O18" s="149" t="n">
        <f aca="false">IF(AND(ISNUMBER(O17),ISNUMBER(Amortize!O13)),O17+Amortize!O13,"SLO 不可達")</f>
        <v>0.014351217590964</v>
      </c>
      <c r="P18" s="149" t="n">
        <f aca="false">IF(AND(ISNUMBER(P17),ISNUMBER(Amortize!P13)),P17+Amortize!P13,"SLO 不可達")</f>
        <v>0.0220579881248366</v>
      </c>
      <c r="Q18" s="149" t="n">
        <f aca="false">IF(AND(ISNUMBER(Q17),ISNUMBER(Amortize!Q13)),Q17+Amortize!Q13,"SLO 不可達")</f>
        <v>0.0404223097702075</v>
      </c>
    </row>
    <row r="19" customFormat="false" ht="15" hidden="false" customHeight="false" outlineLevel="0" collapsed="false">
      <c r="A19" s="5" t="s">
        <v>1357</v>
      </c>
      <c r="B19" s="54" t="s">
        <v>758</v>
      </c>
      <c r="C19" s="148" t="n">
        <f aca="false">IF(AND(ISNUMBER(C17),ISNUMBER(Amortize!C15)),C17+Amortize!C15,"SLO 不可達")</f>
        <v>0.305006565072043</v>
      </c>
      <c r="D19" s="148" t="n">
        <f aca="false">IF(AND(ISNUMBER(D17),ISNUMBER(Amortize!D15)),D17+Amortize!D15,"SLO 不可達")</f>
        <v>0.439883285993876</v>
      </c>
      <c r="E19" s="148" t="n">
        <f aca="false">IF(AND(ISNUMBER(E17),ISNUMBER(Amortize!E15)),E17+Amortize!E15,"SLO 不可達")</f>
        <v>0.758375425029296</v>
      </c>
      <c r="F19" s="148" t="n">
        <f aca="false">IF(AND(ISNUMBER(F17),ISNUMBER(Amortize!F15)),F17+Amortize!F15,"SLO 不可達")</f>
        <v>0.0655804683130185</v>
      </c>
      <c r="G19" s="148" t="n">
        <f aca="false">IF(AND(ISNUMBER(G17),ISNUMBER(Amortize!G15)),G17+Amortize!G15,"SLO 不可達")</f>
        <v>0.088266587130021</v>
      </c>
      <c r="H19" s="148" t="n">
        <f aca="false">IF(AND(ISNUMBER(H17),ISNUMBER(Amortize!H15)),H17+Amortize!H15,"SLO 不可達")</f>
        <v>0.143582019556631</v>
      </c>
      <c r="I19" s="148" t="n">
        <f aca="false">IF(AND(ISNUMBER(I17),ISNUMBER(Amortize!I15)),I17+Amortize!I15,"SLO 不可達")</f>
        <v>0.0575833118517054</v>
      </c>
      <c r="J19" s="148" t="n">
        <f aca="false">IF(AND(ISNUMBER(J17),ISNUMBER(Amortize!J15)),J17+Amortize!J15,"SLO 不可達")</f>
        <v>0.0841377386260546</v>
      </c>
      <c r="K19" s="148" t="n">
        <f aca="false">IF(AND(ISNUMBER(K17),ISNUMBER(Amortize!K15)),K17+Amortize!K15,"SLO 不可達")</f>
        <v>0.157820873986856</v>
      </c>
      <c r="L19" s="148" t="n">
        <f aca="false">IF(AND(ISNUMBER(L17),ISNUMBER(Amortize!L15)),L17+Amortize!L15,"SLO 不可達")</f>
        <v>0.0440873519224206</v>
      </c>
      <c r="M19" s="148" t="n">
        <f aca="false">IF(AND(ISNUMBER(M17),ISNUMBER(Amortize!M15)),M17+Amortize!M15,"SLO 不可達")</f>
        <v>0.0571906534860727</v>
      </c>
      <c r="N19" s="148" t="n">
        <f aca="false">IF(AND(ISNUMBER(N17),ISNUMBER(Amortize!N15)),N17+Amortize!N15,"SLO 不可達")</f>
        <v>0.0926487101041782</v>
      </c>
      <c r="O19" s="148" t="n">
        <f aca="false">IF(AND(ISNUMBER(O17),ISNUMBER(Amortize!O15)),O17+Amortize!O15,"SLO 不可達")</f>
        <v>0.0346427405862183</v>
      </c>
      <c r="P19" s="148" t="n">
        <f aca="false">IF(AND(ISNUMBER(P17),ISNUMBER(Amortize!P15)),P17+Amortize!P15,"SLO 不可達")</f>
        <v>0.0532461485260767</v>
      </c>
      <c r="Q19" s="148" t="n">
        <f aca="false">IF(AND(ISNUMBER(Q17),ISNUMBER(Amortize!Q15)),Q17+Amortize!Q15,"SLO 不可達")</f>
        <v>0.0975758668699727</v>
      </c>
    </row>
    <row r="20" customFormat="false" ht="15" hidden="false" customHeight="false" outlineLevel="0" collapsed="false">
      <c r="A20" s="5" t="s">
        <v>1358</v>
      </c>
      <c r="B20" s="54" t="s">
        <v>758</v>
      </c>
      <c r="C20" s="149" t="n">
        <f aca="false">IF(AND(ISNUMBER(C17),ISNUMBER(Amortize!C43)),C17+Amortize!C43,"SLO 不可達")</f>
        <v>0.14312525381939</v>
      </c>
      <c r="D20" s="149" t="n">
        <f aca="false">IF(AND(ISNUMBER(D17),ISNUMBER(Amortize!D43)),D17+Amortize!D43,"SLO 不可達")</f>
        <v>0.206416687105845</v>
      </c>
      <c r="E20" s="149" t="n">
        <f aca="false">IF(AND(ISNUMBER(E17),ISNUMBER(Amortize!E43)),E17+Amortize!E43,"SLO 不可達")</f>
        <v>0.355870379575896</v>
      </c>
      <c r="F20" s="149" t="n">
        <f aca="false">IF(AND(ISNUMBER(F17),ISNUMBER(Amortize!F43)),F17+Amortize!F43,"SLO 不可達")</f>
        <v>0.0305159047022073</v>
      </c>
      <c r="G20" s="149" t="n">
        <f aca="false">IF(AND(ISNUMBER(G17),ISNUMBER(Amortize!G43)),G17+Amortize!G43,"SLO 不可達")</f>
        <v>0.0410722884251396</v>
      </c>
      <c r="H20" s="149" t="n">
        <f aca="false">IF(AND(ISNUMBER(H17),ISNUMBER(Amortize!H43)),H17+Amortize!H43,"SLO 不可達")</f>
        <v>0.0668118578598896</v>
      </c>
      <c r="I20" s="149" t="n">
        <f aca="false">IF(AND(ISNUMBER(I17),ISNUMBER(Amortize!I43)),I17+Amortize!I43,"SLO 不可達")</f>
        <v>0.026689888040409</v>
      </c>
      <c r="J20" s="149" t="n">
        <f aca="false">IF(AND(ISNUMBER(J17),ISNUMBER(Amortize!J43)),J17+Amortize!J43,"SLO 不可達")</f>
        <v>0.0389980126855996</v>
      </c>
      <c r="K20" s="149" t="n">
        <f aca="false">IF(AND(ISNUMBER(K17),ISNUMBER(Amortize!K43)),K17+Amortize!K43,"SLO 不可達")</f>
        <v>0.0731505561381752</v>
      </c>
      <c r="L20" s="149" t="n">
        <f aca="false">IF(AND(ISNUMBER(L17),ISNUMBER(Amortize!L43)),L17+Amortize!L43,"SLO 不可達")</f>
        <v>0.0203676049538118</v>
      </c>
      <c r="M20" s="149" t="n">
        <f aca="false">IF(AND(ISNUMBER(M17),ISNUMBER(Amortize!M43)),M17+Amortize!M43,"SLO 不可達")</f>
        <v>0.0264211383709585</v>
      </c>
      <c r="N20" s="149" t="n">
        <f aca="false">IF(AND(ISNUMBER(N17),ISNUMBER(Amortize!N43)),N17+Amortize!N43,"SLO 不可達")</f>
        <v>0.0428022412252346</v>
      </c>
      <c r="O20" s="149" t="n">
        <f aca="false">IF(AND(ISNUMBER(O17),ISNUMBER(Amortize!O43)),O17+Amortize!O43,"SLO 不可達")</f>
        <v>0.0159747161030332</v>
      </c>
      <c r="P20" s="149" t="n">
        <f aca="false">IF(AND(ISNUMBER(P17),ISNUMBER(Amortize!P43)),P17+Amortize!P43,"SLO 不可達")</f>
        <v>0.0245532903975434</v>
      </c>
      <c r="Q20" s="149" t="n">
        <f aca="false">IF(AND(ISNUMBER(Q17),ISNUMBER(Amortize!Q43)),Q17+Amortize!Q43,"SLO 不可達")</f>
        <v>0.0449950171767023</v>
      </c>
    </row>
    <row r="21" customFormat="false" ht="15" hidden="false" customHeight="false" outlineLevel="0" collapsed="false">
      <c r="A21" s="5" t="s">
        <v>1359</v>
      </c>
      <c r="B21" s="54" t="s">
        <v>71</v>
      </c>
      <c r="C21" s="78" t="n">
        <f aca="false">IF(ISNUMBER(C17),1-C17/INDEX(B4_EffRef,1,1),"SLO 不可達")</f>
        <v>-0.556242014817255</v>
      </c>
      <c r="D21" s="78" t="n">
        <f aca="false">IF(ISNUMBER(D17),1-D17/INDEX(B4_EffRef,1,1),"SLO 不可達")</f>
        <v>-1.2444266113349</v>
      </c>
      <c r="E21" s="78" t="n">
        <f aca="false">IF(ISNUMBER(E17),1-E17/INDEX(B4_EffRef,1,1),"SLO 不可達")</f>
        <v>-2.86947638047304</v>
      </c>
      <c r="F21" s="78" t="n">
        <f aca="false">IF(ISNUMBER(F17),1-F17/INDEX(B4_EffRef,1,1),"SLO 不可達")</f>
        <v>0.665387267595357</v>
      </c>
      <c r="G21" s="78" t="n">
        <f aca="false">IF(ISNUMBER(G17),1-G17/INDEX(B4_EffRef,1,1),"SLO 不可達")</f>
        <v>0.54963536157387</v>
      </c>
      <c r="H21" s="78" t="n">
        <f aca="false">IF(ISNUMBER(H17),1-H17/INDEX(B4_EffRef,1,1),"SLO 不可達")</f>
        <v>0.267398157959116</v>
      </c>
      <c r="I21" s="78" t="n">
        <f aca="false">IF(ISNUMBER(I17),1-I17/INDEX(B4_EffRef,1,1),"SLO 不可達")</f>
        <v>0.706191343013284</v>
      </c>
      <c r="J21" s="78" t="n">
        <f aca="false">IF(ISNUMBER(J17),1-J17/INDEX(B4_EffRef,1,1),"SLO 不可達")</f>
        <v>0.570702080295712</v>
      </c>
      <c r="K21" s="78" t="n">
        <f aca="false">IF(ISNUMBER(K17),1-K17/INDEX(B4_EffRef,1,1),"SLO 不可達")</f>
        <v>0.194746923380117</v>
      </c>
      <c r="L21" s="78" t="n">
        <f aca="false">IF(ISNUMBER(L17),1-L17/INDEX(B4_EffRef,1,1),"SLO 不可達")</f>
        <v>0.775052089886986</v>
      </c>
      <c r="M21" s="78" t="n">
        <f aca="false">IF(ISNUMBER(M17),1-M17/INDEX(B4_EffRef,1,1),"SLO 不可達")</f>
        <v>0.708194812826869</v>
      </c>
      <c r="N21" s="78" t="n">
        <f aca="false">IF(ISNUMBER(N17),1-N17/INDEX(B4_EffRef,1,1),"SLO 不可達")</f>
        <v>0.527276354695219</v>
      </c>
      <c r="O21" s="78" t="n">
        <f aca="false">IF(ISNUMBER(O17),1-O17/INDEX(B4_EffRef,1,1),"SLO 不可達")</f>
        <v>0.823241547617332</v>
      </c>
      <c r="P21" s="78" t="n">
        <f aca="false">IF(ISNUMBER(P17),1-P17/INDEX(B4_EffRef,1,1),"SLO 不可達")</f>
        <v>0.728320951242778</v>
      </c>
      <c r="Q21" s="78" t="n">
        <f aca="false">IF(ISNUMBER(Q17),1-Q17/INDEX(B4_EffRef,1,1),"SLO 不可達")</f>
        <v>0.502136409360897</v>
      </c>
    </row>
    <row r="22" customFormat="false" ht="15" hidden="false" customHeight="false" outlineLevel="0" collapsed="false">
      <c r="A22" s="5" t="s">
        <v>1360</v>
      </c>
      <c r="B22" s="54" t="s">
        <v>71</v>
      </c>
      <c r="C22" s="78" t="n">
        <f aca="false">IF(ISNUMBER(C18),1-C18/INDEX(B4_EffRef,1,1),"SLO 不可達")</f>
        <v>-0.659248240542634</v>
      </c>
      <c r="D22" s="78" t="n">
        <f aca="false">IF(ISNUMBER(D18),1-D18/INDEX(B4_EffRef,1,1),"SLO 不可達")</f>
        <v>-1.39298708775169</v>
      </c>
      <c r="E22" s="78" t="n">
        <f aca="false">IF(ISNUMBER(E18),1-E18/INDEX(B4_EffRef,1,1),"SLO 不可達")</f>
        <v>-3.12560672251009</v>
      </c>
      <c r="F22" s="78" t="n">
        <f aca="false">IF(ISNUMBER(F18),1-F18/INDEX(B4_EffRef,1,1),"SLO 不可達")</f>
        <v>0.655858895118783</v>
      </c>
      <c r="G22" s="78" t="n">
        <f aca="false">IF(ISNUMBER(G18),1-G18/INDEX(B4_EffRef,1,1),"SLO 不可達")</f>
        <v>0.536809530016639</v>
      </c>
      <c r="H22" s="78" t="n">
        <f aca="false">IF(ISNUMBER(H18),1-H18/INDEX(B4_EffRef,1,1),"SLO 不可達")</f>
        <v>0.246532150978889</v>
      </c>
      <c r="I22" s="78" t="n">
        <f aca="false">IF(ISNUMBER(I18),1-I18/INDEX(B4_EffRef,1,1),"SLO 不可達")</f>
        <v>0.698738953522213</v>
      </c>
      <c r="J22" s="78" t="n">
        <f aca="false">IF(ISNUMBER(J18),1-J18/INDEX(B4_EffRef,1,1),"SLO 不可達")</f>
        <v>0.559811459057059</v>
      </c>
      <c r="K22" s="78" t="n">
        <f aca="false">IF(ISNUMBER(K18),1-K18/INDEX(B4_EffRef,1,1),"SLO 不可達")</f>
        <v>0.174315908089218</v>
      </c>
      <c r="L22" s="78" t="n">
        <f aca="false">IF(ISNUMBER(L18),1-L18/INDEX(B4_EffRef,1,1),"SLO 不可達")</f>
        <v>0.771869339409633</v>
      </c>
      <c r="M22" s="78" t="n">
        <f aca="false">IF(ISNUMBER(M18),1-M18/INDEX(B4_EffRef,1,1),"SLO 不可達")</f>
        <v>0.704065542655344</v>
      </c>
      <c r="N22" s="78" t="n">
        <f aca="false">IF(ISNUMBER(N18),1-N18/INDEX(B4_EffRef,1,1),"SLO 不可達")</f>
        <v>0.520585764482091</v>
      </c>
      <c r="O22" s="78" t="n">
        <f aca="false">IF(ISNUMBER(O18),1-O18/INDEX(B4_EffRef,1,1),"SLO 不可達")</f>
        <v>0.821403542147848</v>
      </c>
      <c r="P22" s="78" t="n">
        <f aca="false">IF(ISNUMBER(P18),1-P18/INDEX(B4_EffRef,1,1),"SLO 不可達")</f>
        <v>0.725495169906625</v>
      </c>
      <c r="Q22" s="78" t="n">
        <f aca="false">IF(ISNUMBER(Q18),1-Q18/INDEX(B4_EffRef,1,1),"SLO 不可達")</f>
        <v>0.496956875094211</v>
      </c>
    </row>
    <row r="23" customFormat="false" ht="15" hidden="false" customHeight="false" outlineLevel="0" collapsed="false">
      <c r="A23" s="5" t="s">
        <v>1361</v>
      </c>
      <c r="B23" s="54" t="s">
        <v>71</v>
      </c>
      <c r="C23" s="78" t="n">
        <f aca="false">IF(ISNUMBER(C19),1-C19/INDEX(B4_EffRef,1,1),"SLO 不可達")</f>
        <v>-2.7957122312616</v>
      </c>
      <c r="D23" s="78" t="n">
        <f aca="false">IF(ISNUMBER(D19),1-D19/INDEX(B4_EffRef,1,1),"SLO 不可達")</f>
        <v>-4.47421124715831</v>
      </c>
      <c r="E23" s="78" t="n">
        <f aca="false">IF(ISNUMBER(E19),1-E19/INDEX(B4_EffRef,1,1),"SLO 不可達")</f>
        <v>-8.43774726944644</v>
      </c>
      <c r="F23" s="78" t="n">
        <f aca="false">IF(ISNUMBER(F19),1-F19/INDEX(B4_EffRef,1,1),"SLO 不可達")</f>
        <v>0.183871384378918</v>
      </c>
      <c r="G23" s="78" t="n">
        <f aca="false">IF(ISNUMBER(G19),1-G19/INDEX(B4_EffRef,1,1),"SLO 不可達")</f>
        <v>-0.0984503376247075</v>
      </c>
      <c r="H23" s="78" t="n">
        <f aca="false">IF(ISNUMBER(H19),1-H19/INDEX(B4_EffRef,1,1),"SLO 不可達")</f>
        <v>-0.786833761075328</v>
      </c>
      <c r="I23" s="78" t="n">
        <f aca="false">IF(ISNUMBER(I19),1-I19/INDEX(B4_EffRef,1,1),"SLO 不可達")</f>
        <v>0.283393519544596</v>
      </c>
      <c r="J23" s="78" t="n">
        <f aca="false">IF(ISNUMBER(J19),1-J19/INDEX(B4_EffRef,1,1),"SLO 不可達")</f>
        <v>-0.0470680968397286</v>
      </c>
      <c r="K23" s="78" t="n">
        <f aca="false">IF(ISNUMBER(K19),1-K19/INDEX(B4_EffRef,1,1),"SLO 不可達")</f>
        <v>-0.964031894194838</v>
      </c>
      <c r="L23" s="78" t="n">
        <f aca="false">IF(ISNUMBER(L19),1-L19/INDEX(B4_EffRef,1,1),"SLO 不可達")</f>
        <v>0.451346560699965</v>
      </c>
      <c r="M23" s="78" t="n">
        <f aca="false">IF(ISNUMBER(M19),1-M19/INDEX(B4_EffRef,1,1),"SLO 不可達")</f>
        <v>0.288280031285047</v>
      </c>
      <c r="N23" s="78" t="n">
        <f aca="false">IF(ISNUMBER(N19),1-N19/INDEX(B4_EffRef,1,1),"SLO 不可達")</f>
        <v>-0.152984500743368</v>
      </c>
      <c r="O23" s="78" t="n">
        <f aca="false">IF(ISNUMBER(O19),1-O19/INDEX(B4_EffRef,1,1),"SLO 不可達")</f>
        <v>0.568881823456908</v>
      </c>
      <c r="P23" s="78" t="n">
        <f aca="false">IF(ISNUMBER(P19),1-P19/INDEX(B4_EffRef,1,1),"SLO 不可達")</f>
        <v>0.337368173762873</v>
      </c>
      <c r="Q23" s="78" t="n">
        <f aca="false">IF(ISNUMBER(Q19),1-Q19/INDEX(B4_EffRef,1,1),"SLO 不可達")</f>
        <v>-0.214301440583177</v>
      </c>
    </row>
    <row r="24" customFormat="false" ht="15" hidden="false" customHeight="false" outlineLevel="0" collapsed="false">
      <c r="A24" s="5" t="s">
        <v>1362</v>
      </c>
      <c r="B24" s="54" t="s">
        <v>71</v>
      </c>
      <c r="C24" s="111" t="n">
        <f aca="false">IF(ISNUMBER(C20),1-C20/INDEX(B4_EffRef,1,1),"SLO 不可達")</f>
        <v>-0.781149452951481</v>
      </c>
      <c r="D24" s="111" t="n">
        <f aca="false">IF(ISNUMBER(D20),1-D20/INDEX(B4_EffRef,1,1),"SLO 不可達")</f>
        <v>-1.56879173666013</v>
      </c>
      <c r="E24" s="111" t="n">
        <f aca="false">IF(ISNUMBER(E20),1-E20/INDEX(B4_EffRef,1,1),"SLO 不可達")</f>
        <v>-3.42869664848322</v>
      </c>
      <c r="F24" s="111" t="n">
        <f aca="false">IF(ISNUMBER(F20),1-F20/INDEX(B4_EffRef,1,1),"SLO 不可達")</f>
        <v>0.62023901780992</v>
      </c>
      <c r="G24" s="111" t="n">
        <f aca="false">IF(ISNUMBER(G20),1-G20/INDEX(B4_EffRef,1,1),"SLO 不可達")</f>
        <v>0.488868092054402</v>
      </c>
      <c r="H24" s="111" t="n">
        <f aca="false">IF(ISNUMBER(H20),1-H20/INDEX(B4_EffRef,1,1),"SLO 不可達")</f>
        <v>0.168547122871949</v>
      </c>
      <c r="I24" s="111" t="n">
        <f aca="false">IF(ISNUMBER(I20),1-I20/INDEX(B4_EffRef,1,1),"SLO 不可達")</f>
        <v>0.667852610116592</v>
      </c>
      <c r="J24" s="111" t="n">
        <f aca="false">IF(ISNUMBER(J20),1-J20/INDEX(B4_EffRef,1,1),"SLO 不可達")</f>
        <v>0.514681811158191</v>
      </c>
      <c r="K24" s="111" t="n">
        <f aca="false">IF(ISNUMBER(K20),1-K20/INDEX(B4_EffRef,1,1),"SLO 不可達")</f>
        <v>0.0896639861123105</v>
      </c>
      <c r="L24" s="111" t="n">
        <f aca="false">IF(ISNUMBER(L20),1-L20/INDEX(B4_EffRef,1,1),"SLO 不可達")</f>
        <v>0.746531464900019</v>
      </c>
      <c r="M24" s="111" t="n">
        <f aca="false">IF(ISNUMBER(M20),1-M20/INDEX(B4_EffRef,1,1),"SLO 不可達")</f>
        <v>0.671197116511855</v>
      </c>
      <c r="N24" s="111" t="n">
        <f aca="false">IF(ISNUMBER(N20),1-N20/INDEX(B4_EffRef,1,1),"SLO 不可達")</f>
        <v>0.467339365283308</v>
      </c>
      <c r="O24" s="111" t="n">
        <f aca="false">IF(ISNUMBER(O20),1-O20/INDEX(B4_EffRef,1,1),"SLO 不可達")</f>
        <v>0.801199606018668</v>
      </c>
      <c r="P24" s="111" t="n">
        <f aca="false">IF(ISNUMBER(P20),1-P20/INDEX(B4_EffRef,1,1),"SLO 不可達")</f>
        <v>0.694441906004023</v>
      </c>
      <c r="Q24" s="111" t="n">
        <f aca="false">IF(ISNUMBER(Q20),1-Q20/INDEX(B4_EffRef,1,1),"SLO 不可達")</f>
        <v>0.440050947745685</v>
      </c>
    </row>
    <row r="25" customFormat="false" ht="15" hidden="false" customHeight="false" outlineLevel="0" collapsed="false">
      <c r="A25" s="5" t="s">
        <v>1363</v>
      </c>
      <c r="B25" s="54" t="s">
        <v>71</v>
      </c>
      <c r="C25" s="78" t="n">
        <f aca="false">IF(ISNUMBER(C19),1-C19/INDEX(B4_FrontRef,1,1),"SLO 不可達")</f>
        <v>-2.7957122312616</v>
      </c>
      <c r="D25" s="78" t="n">
        <f aca="false">IF(ISNUMBER(D19),1-D19/INDEX(B4_FrontRef,1,1),"SLO 不可達")</f>
        <v>-4.47421124715831</v>
      </c>
      <c r="E25" s="78" t="n">
        <f aca="false">IF(ISNUMBER(E19),1-E19/INDEX(B4_FrontRef,1,1),"SLO 不可達")</f>
        <v>-8.43774726944644</v>
      </c>
      <c r="F25" s="78" t="n">
        <f aca="false">IF(ISNUMBER(F19),1-F19/INDEX(B4_FrontRef,1,1),"SLO 不可達")</f>
        <v>0.183871384378918</v>
      </c>
      <c r="G25" s="78" t="n">
        <f aca="false">IF(ISNUMBER(G19),1-G19/INDEX(B4_FrontRef,1,1),"SLO 不可達")</f>
        <v>-0.0984503376247077</v>
      </c>
      <c r="H25" s="78" t="n">
        <f aca="false">IF(ISNUMBER(H19),1-H19/INDEX(B4_FrontRef,1,1),"SLO 不可達")</f>
        <v>-0.786833761075328</v>
      </c>
      <c r="I25" s="78" t="n">
        <f aca="false">IF(ISNUMBER(I19),1-I19/INDEX(B4_FrontRef,1,1),"SLO 不可達")</f>
        <v>0.283393519544596</v>
      </c>
      <c r="J25" s="78" t="n">
        <f aca="false">IF(ISNUMBER(J19),1-J19/INDEX(B4_FrontRef,1,1),"SLO 不可達")</f>
        <v>-0.0470680968397288</v>
      </c>
      <c r="K25" s="78" t="n">
        <f aca="false">IF(ISNUMBER(K19),1-K19/INDEX(B4_FrontRef,1,1),"SLO 不可達")</f>
        <v>-0.964031894194839</v>
      </c>
      <c r="L25" s="78" t="n">
        <f aca="false">IF(ISNUMBER(L19),1-L19/INDEX(B4_FrontRef,1,1),"SLO 不可達")</f>
        <v>0.451346560699965</v>
      </c>
      <c r="M25" s="78" t="n">
        <f aca="false">IF(ISNUMBER(M19),1-M19/INDEX(B4_FrontRef,1,1),"SLO 不可達")</f>
        <v>0.288280031285047</v>
      </c>
      <c r="N25" s="78" t="n">
        <f aca="false">IF(ISNUMBER(N19),1-N19/INDEX(B4_FrontRef,1,1),"SLO 不可達")</f>
        <v>-0.152984500743368</v>
      </c>
      <c r="O25" s="78" t="n">
        <f aca="false">IF(ISNUMBER(O19),1-O19/INDEX(B4_FrontRef,1,1),"SLO 不可達")</f>
        <v>0.568881823456908</v>
      </c>
      <c r="P25" s="78" t="n">
        <f aca="false">IF(ISNUMBER(P19),1-P19/INDEX(B4_FrontRef,1,1),"SLO 不可達")</f>
        <v>0.337368173762873</v>
      </c>
      <c r="Q25" s="78" t="n">
        <f aca="false">IF(ISNUMBER(Q19),1-Q19/INDEX(B4_FrontRef,1,1),"SLO 不可達")</f>
        <v>-0.214301440583178</v>
      </c>
    </row>
    <row r="27" customFormat="false" ht="15" hidden="false" customHeight="false" outlineLevel="0" collapsed="false">
      <c r="A27" s="68" t="s">
        <v>1364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5" t="s">
        <v>1347</v>
      </c>
      <c r="B28" s="54" t="s">
        <v>750</v>
      </c>
      <c r="C28" s="60" t="n">
        <f aca="false">INDEX(IF_TokGW_Sol,1,C$7)*IF_Util</f>
        <v>12894257811.2541</v>
      </c>
      <c r="D28" s="60" t="n">
        <f aca="false">INDEX(IF_TokGW_Sol,1,D$7)*IF_Util</f>
        <v>12894257811.2541</v>
      </c>
      <c r="E28" s="60" t="n">
        <f aca="false">INDEX(IF_TokGW_Sol,1,E$7)*IF_Util</f>
        <v>12894257811.2541</v>
      </c>
      <c r="F28" s="60" t="n">
        <f aca="false">INDEX(IF_TokGW_Sol,1,F$7)*IF_Util</f>
        <v>62475240648.4001</v>
      </c>
      <c r="G28" s="60" t="n">
        <f aca="false">INDEX(IF_TokGW_Sol,1,G$7)*IF_Util</f>
        <v>62475240648.4001</v>
      </c>
      <c r="H28" s="60" t="n">
        <f aca="false">INDEX(IF_TokGW_Sol,1,H$7)*IF_Util</f>
        <v>62475240648.4001</v>
      </c>
      <c r="I28" s="60" t="n">
        <f aca="false">INDEX(IF_TokGW_Sol,1,I$7)*IF_Util</f>
        <v>90956204852.7288</v>
      </c>
      <c r="J28" s="60" t="n">
        <f aca="false">INDEX(IF_TokGW_Sol,1,J$7)*IF_Util</f>
        <v>90956204852.7288</v>
      </c>
      <c r="K28" s="60" t="n">
        <f aca="false">INDEX(IF_TokGW_Sol,1,K$7)*IF_Util</f>
        <v>90956204852.7288</v>
      </c>
      <c r="L28" s="60" t="n">
        <f aca="false">INDEX(IF_TokGW_Sol,1,L$7)*IF_Util</f>
        <v>142372403240.994</v>
      </c>
      <c r="M28" s="60" t="n">
        <f aca="false">INDEX(IF_TokGW_Sol,1,M$7)*IF_Util</f>
        <v>142372403240.994</v>
      </c>
      <c r="N28" s="60" t="n">
        <f aca="false">INDEX(IF_TokGW_Sol,1,N$7)*IF_Util</f>
        <v>142372403240.994</v>
      </c>
      <c r="O28" s="60" t="n">
        <f aca="false">INDEX(IF_TokGW_Sol,1,O$7)*IF_Util</f>
        <v>195711402313.41</v>
      </c>
      <c r="P28" s="60" t="n">
        <f aca="false">INDEX(IF_TokGW_Sol,1,P$7)*IF_Util</f>
        <v>195711402313.41</v>
      </c>
      <c r="Q28" s="60" t="n">
        <f aca="false">INDEX(IF_TokGW_Sol,1,Q$7)*IF_Util</f>
        <v>195711402313.41</v>
      </c>
    </row>
    <row r="29" customFormat="false" ht="15" hidden="false" customHeight="false" outlineLevel="0" collapsed="false">
      <c r="A29" s="5" t="s">
        <v>1365</v>
      </c>
      <c r="B29" s="54" t="s">
        <v>1349</v>
      </c>
      <c r="C29" s="105" t="n">
        <f aca="false">C28*INDEX(B4_EffRef,1,2)/1000000000</f>
        <v>20.7225049979976</v>
      </c>
      <c r="D29" s="105" t="n">
        <f aca="false">D28*INDEX(B4_EffRef,1,2)/1000000000</f>
        <v>20.7225049979976</v>
      </c>
      <c r="E29" s="105" t="n">
        <f aca="false">E28*INDEX(B4_EffRef,1,2)/1000000000</f>
        <v>20.7225049979976</v>
      </c>
      <c r="F29" s="105" t="n">
        <f aca="false">F28*INDEX(B4_EffRef,1,2)/1000000000</f>
        <v>100.404653415384</v>
      </c>
      <c r="G29" s="105" t="n">
        <f aca="false">G28*INDEX(B4_EffRef,1,2)/1000000000</f>
        <v>100.404653415384</v>
      </c>
      <c r="H29" s="105" t="n">
        <f aca="false">H28*INDEX(B4_EffRef,1,2)/1000000000</f>
        <v>100.404653415384</v>
      </c>
      <c r="I29" s="105" t="n">
        <f aca="false">I28*INDEX(B4_EffRef,1,2)/1000000000</f>
        <v>146.176727443319</v>
      </c>
      <c r="J29" s="105" t="n">
        <f aca="false">J28*INDEX(B4_EffRef,1,2)/1000000000</f>
        <v>146.176727443319</v>
      </c>
      <c r="K29" s="105" t="n">
        <f aca="false">K28*INDEX(B4_EffRef,1,2)/1000000000</f>
        <v>146.176727443319</v>
      </c>
      <c r="L29" s="105" t="n">
        <f aca="false">L28*INDEX(B4_EffRef,1,2)/1000000000</f>
        <v>228.808271164193</v>
      </c>
      <c r="M29" s="105" t="n">
        <f aca="false">M28*INDEX(B4_EffRef,1,2)/1000000000</f>
        <v>228.808271164193</v>
      </c>
      <c r="N29" s="105" t="n">
        <f aca="false">N28*INDEX(B4_EffRef,1,2)/1000000000</f>
        <v>228.808271164193</v>
      </c>
      <c r="O29" s="105" t="n">
        <f aca="false">O28*INDEX(B4_EffRef,1,2)/1000000000</f>
        <v>314.529969229019</v>
      </c>
      <c r="P29" s="105" t="n">
        <f aca="false">P28*INDEX(B4_EffRef,1,2)/1000000000</f>
        <v>314.529969229019</v>
      </c>
      <c r="Q29" s="105" t="n">
        <f aca="false">Q28*INDEX(B4_EffRef,1,2)/1000000000</f>
        <v>314.529969229019</v>
      </c>
    </row>
    <row r="30" customFormat="false" ht="15" hidden="false" customHeight="false" outlineLevel="0" collapsed="false">
      <c r="A30" s="5" t="s">
        <v>1366</v>
      </c>
      <c r="B30" s="54" t="s">
        <v>1349</v>
      </c>
      <c r="C30" s="67" t="n">
        <f aca="false">C28*INDEX(B4_FrontRef,1,2)/1000000000</f>
        <v>20.7225049979976</v>
      </c>
      <c r="D30" s="67" t="n">
        <f aca="false">D28*INDEX(B4_FrontRef,1,2)/1000000000</f>
        <v>20.7225049979976</v>
      </c>
      <c r="E30" s="67" t="n">
        <f aca="false">E28*INDEX(B4_FrontRef,1,2)/1000000000</f>
        <v>20.7225049979976</v>
      </c>
      <c r="F30" s="67" t="n">
        <f aca="false">F28*INDEX(B4_FrontRef,1,2)/1000000000</f>
        <v>100.404653415384</v>
      </c>
      <c r="G30" s="67" t="n">
        <f aca="false">G28*INDEX(B4_FrontRef,1,2)/1000000000</f>
        <v>100.404653415384</v>
      </c>
      <c r="H30" s="67" t="n">
        <f aca="false">H28*INDEX(B4_FrontRef,1,2)/1000000000</f>
        <v>100.404653415384</v>
      </c>
      <c r="I30" s="67" t="n">
        <f aca="false">I28*INDEX(B4_FrontRef,1,2)/1000000000</f>
        <v>146.176727443319</v>
      </c>
      <c r="J30" s="67" t="n">
        <f aca="false">J28*INDEX(B4_FrontRef,1,2)/1000000000</f>
        <v>146.176727443319</v>
      </c>
      <c r="K30" s="67" t="n">
        <f aca="false">K28*INDEX(B4_FrontRef,1,2)/1000000000</f>
        <v>146.176727443319</v>
      </c>
      <c r="L30" s="67" t="n">
        <f aca="false">L28*INDEX(B4_FrontRef,1,2)/1000000000</f>
        <v>228.808271164193</v>
      </c>
      <c r="M30" s="67" t="n">
        <f aca="false">M28*INDEX(B4_FrontRef,1,2)/1000000000</f>
        <v>228.808271164193</v>
      </c>
      <c r="N30" s="67" t="n">
        <f aca="false">N28*INDEX(B4_FrontRef,1,2)/1000000000</f>
        <v>228.808271164193</v>
      </c>
      <c r="O30" s="67" t="n">
        <f aca="false">O28*INDEX(B4_FrontRef,1,2)/1000000000</f>
        <v>314.529969229019</v>
      </c>
      <c r="P30" s="67" t="n">
        <f aca="false">P28*INDEX(B4_FrontRef,1,2)/1000000000</f>
        <v>314.529969229019</v>
      </c>
      <c r="Q30" s="67" t="n">
        <f aca="false">Q28*INDEX(B4_FrontRef,1,2)/1000000000</f>
        <v>314.529969229019</v>
      </c>
    </row>
    <row r="31" customFormat="false" ht="15" hidden="false" customHeight="false" outlineLevel="0" collapsed="false">
      <c r="A31" s="5" t="s">
        <v>1351</v>
      </c>
      <c r="B31" s="54" t="s">
        <v>1349</v>
      </c>
      <c r="C31" s="67" t="n">
        <f aca="false">INDEX(IF_TokGW_Sol,1,C$7)*INDEX(B4_EffRef,1,2)/1000000000</f>
        <v>34.5375083299961</v>
      </c>
      <c r="D31" s="67" t="n">
        <f aca="false">INDEX(IF_TokGW_Sol,1,D$7)*INDEX(B4_EffRef,1,2)/1000000000</f>
        <v>34.5375083299961</v>
      </c>
      <c r="E31" s="67" t="n">
        <f aca="false">INDEX(IF_TokGW_Sol,1,E$7)*INDEX(B4_EffRef,1,2)/1000000000</f>
        <v>34.5375083299961</v>
      </c>
      <c r="F31" s="67" t="n">
        <f aca="false">INDEX(IF_TokGW_Sol,1,F$7)*INDEX(B4_EffRef,1,2)/1000000000</f>
        <v>167.34108902564</v>
      </c>
      <c r="G31" s="67" t="n">
        <f aca="false">INDEX(IF_TokGW_Sol,1,G$7)*INDEX(B4_EffRef,1,2)/1000000000</f>
        <v>167.34108902564</v>
      </c>
      <c r="H31" s="67" t="n">
        <f aca="false">INDEX(IF_TokGW_Sol,1,H$7)*INDEX(B4_EffRef,1,2)/1000000000</f>
        <v>167.34108902564</v>
      </c>
      <c r="I31" s="67" t="n">
        <f aca="false">INDEX(IF_TokGW_Sol,1,I$7)*INDEX(B4_EffRef,1,2)/1000000000</f>
        <v>243.627879072198</v>
      </c>
      <c r="J31" s="67" t="n">
        <f aca="false">INDEX(IF_TokGW_Sol,1,J$7)*INDEX(B4_EffRef,1,2)/1000000000</f>
        <v>243.627879072198</v>
      </c>
      <c r="K31" s="67" t="n">
        <f aca="false">INDEX(IF_TokGW_Sol,1,K$7)*INDEX(B4_EffRef,1,2)/1000000000</f>
        <v>243.627879072198</v>
      </c>
      <c r="L31" s="67" t="n">
        <f aca="false">INDEX(IF_TokGW_Sol,1,L$7)*INDEX(B4_EffRef,1,2)/1000000000</f>
        <v>381.347118606988</v>
      </c>
      <c r="M31" s="67" t="n">
        <f aca="false">INDEX(IF_TokGW_Sol,1,M$7)*INDEX(B4_EffRef,1,2)/1000000000</f>
        <v>381.347118606988</v>
      </c>
      <c r="N31" s="67" t="n">
        <f aca="false">INDEX(IF_TokGW_Sol,1,N$7)*INDEX(B4_EffRef,1,2)/1000000000</f>
        <v>381.347118606988</v>
      </c>
      <c r="O31" s="67" t="n">
        <f aca="false">INDEX(IF_TokGW_Sol,1,O$7)*INDEX(B4_EffRef,1,2)/1000000000</f>
        <v>524.216615381698</v>
      </c>
      <c r="P31" s="67" t="n">
        <f aca="false">INDEX(IF_TokGW_Sol,1,P$7)*INDEX(B4_EffRef,1,2)/1000000000</f>
        <v>524.216615381698</v>
      </c>
      <c r="Q31" s="67" t="n">
        <f aca="false">INDEX(IF_TokGW_Sol,1,Q$7)*INDEX(B4_EffRef,1,2)/1000000000</f>
        <v>524.216615381698</v>
      </c>
    </row>
    <row r="32" customFormat="false" ht="15" hidden="false" customHeight="false" outlineLevel="0" collapsed="false">
      <c r="A32" s="5" t="s">
        <v>1352</v>
      </c>
      <c r="B32" s="54" t="s">
        <v>1349</v>
      </c>
      <c r="C32" s="67" t="n">
        <f aca="false">INDEX(IF_HoldEcon,1,C$7)</f>
        <v>7.0000433103819</v>
      </c>
      <c r="D32" s="67" t="n">
        <f aca="false">INDEX(IF_HoldEcon,1,D$7)</f>
        <v>10.0957952959174</v>
      </c>
      <c r="E32" s="67" t="n">
        <f aca="false">INDEX(IF_HoldEcon,1,E$7)</f>
        <v>17.4059720636914</v>
      </c>
      <c r="F32" s="67" t="n">
        <f aca="false">INDEX(IF_HoldEcon,1,F$7)</f>
        <v>6.81316695089878</v>
      </c>
      <c r="G32" s="67" t="n">
        <f aca="false">INDEX(IF_HoldEcon,1,G$7)</f>
        <v>9.17098191725462</v>
      </c>
      <c r="H32" s="67" t="n">
        <f aca="false">INDEX(IF_HoldEcon,1,H$7)</f>
        <v>14.9200285257983</v>
      </c>
      <c r="I32" s="67" t="n">
        <f aca="false">INDEX(IF_HoldEcon,1,I$7)</f>
        <v>8.70747076237914</v>
      </c>
      <c r="J32" s="67" t="n">
        <f aca="false">INDEX(IF_HoldEcon,1,J$7)</f>
        <v>12.7247463559608</v>
      </c>
      <c r="K32" s="67" t="n">
        <f aca="false">INDEX(IF_HoldEcon,1,K$7)</f>
        <v>23.87186935202</v>
      </c>
      <c r="L32" s="67" t="n">
        <f aca="false">INDEX(IF_HoldEcon,1,L$7)</f>
        <v>9.83668060375303</v>
      </c>
      <c r="M32" s="67" t="n">
        <f aca="false">INDEX(IF_HoldEcon,1,M$7)</f>
        <v>12.7620157762701</v>
      </c>
      <c r="N32" s="67" t="n">
        <f aca="false">INDEX(IF_HoldEcon,1,N$7)</f>
        <v>20.6780894215396</v>
      </c>
      <c r="O32" s="67" t="n">
        <f aca="false">INDEX(IF_HoldEcon,1,O$7)</f>
        <v>10.4522416094636</v>
      </c>
      <c r="P32" s="67" t="n">
        <f aca="false">INDEX(IF_HoldEcon,1,P$7)</f>
        <v>16.0694566753819</v>
      </c>
      <c r="Q32" s="67" t="n">
        <f aca="false">INDEX(IF_HoldEcon,1,Q$7)</f>
        <v>29.454615058956</v>
      </c>
    </row>
    <row r="33" customFormat="false" ht="15" hidden="false" customHeight="false" outlineLevel="0" collapsed="false">
      <c r="A33" s="5" t="s">
        <v>1353</v>
      </c>
      <c r="B33" s="54" t="s">
        <v>75</v>
      </c>
      <c r="C33" s="81" t="n">
        <f aca="false">C29/C32</f>
        <v>2.96033954065165</v>
      </c>
      <c r="D33" s="81" t="n">
        <f aca="false">D29/D32</f>
        <v>2.05258767542341</v>
      </c>
      <c r="E33" s="81" t="n">
        <f aca="false">E29/E32</f>
        <v>1.19053994354182</v>
      </c>
      <c r="F33" s="81" t="n">
        <f aca="false">F29/F32</f>
        <v>14.7368549954789</v>
      </c>
      <c r="G33" s="81" t="n">
        <f aca="false">G29/G32</f>
        <v>10.9480810584175</v>
      </c>
      <c r="H33" s="81" t="n">
        <f aca="false">H29/H32</f>
        <v>6.72952154493367</v>
      </c>
      <c r="I33" s="81" t="n">
        <f aca="false">I29/I32</f>
        <v>16.7875071226055</v>
      </c>
      <c r="J33" s="81" t="n">
        <f aca="false">J29/J32</f>
        <v>11.4875945935727</v>
      </c>
      <c r="K33" s="81" t="n">
        <f aca="false">K29/K32</f>
        <v>6.12338838185497</v>
      </c>
      <c r="L33" s="81" t="n">
        <f aca="false">L29/L32</f>
        <v>23.2607197876176</v>
      </c>
      <c r="M33" s="81" t="n">
        <f aca="false">M29/M32</f>
        <v>17.928850361527</v>
      </c>
      <c r="N33" s="81" t="n">
        <f aca="false">N29/N32</f>
        <v>11.0652520404449</v>
      </c>
      <c r="O33" s="81" t="n">
        <f aca="false">O29/O32</f>
        <v>30.0921066486102</v>
      </c>
      <c r="P33" s="81" t="n">
        <f aca="false">P29/P32</f>
        <v>19.5731551839505</v>
      </c>
      <c r="Q33" s="81" t="n">
        <f aca="false">Q29/Q32</f>
        <v>10.6784613752194</v>
      </c>
    </row>
    <row r="34" customFormat="false" ht="15" hidden="false" customHeight="false" outlineLevel="0" collapsed="false">
      <c r="A34" s="5" t="s">
        <v>1354</v>
      </c>
      <c r="B34" s="54" t="s">
        <v>75</v>
      </c>
      <c r="C34" s="79" t="n">
        <f aca="false">C30/C32</f>
        <v>2.96033954065165</v>
      </c>
      <c r="D34" s="79" t="n">
        <f aca="false">D30/D32</f>
        <v>2.05258767542341</v>
      </c>
      <c r="E34" s="79" t="n">
        <f aca="false">E30/E32</f>
        <v>1.19053994354182</v>
      </c>
      <c r="F34" s="79" t="n">
        <f aca="false">F30/F32</f>
        <v>14.7368549954789</v>
      </c>
      <c r="G34" s="79" t="n">
        <f aca="false">G30/G32</f>
        <v>10.9480810584175</v>
      </c>
      <c r="H34" s="79" t="n">
        <f aca="false">H30/H32</f>
        <v>6.72952154493367</v>
      </c>
      <c r="I34" s="79" t="n">
        <f aca="false">I30/I32</f>
        <v>16.7875071226055</v>
      </c>
      <c r="J34" s="79" t="n">
        <f aca="false">J30/J32</f>
        <v>11.4875945935727</v>
      </c>
      <c r="K34" s="79" t="n">
        <f aca="false">K30/K32</f>
        <v>6.12338838185497</v>
      </c>
      <c r="L34" s="79" t="n">
        <f aca="false">L30/L32</f>
        <v>23.2607197876176</v>
      </c>
      <c r="M34" s="79" t="n">
        <f aca="false">M30/M32</f>
        <v>17.928850361527</v>
      </c>
      <c r="N34" s="79" t="n">
        <f aca="false">N30/N32</f>
        <v>11.0652520404449</v>
      </c>
      <c r="O34" s="79" t="n">
        <f aca="false">O30/O32</f>
        <v>30.0921066486102</v>
      </c>
      <c r="P34" s="79" t="n">
        <f aca="false">P30/P32</f>
        <v>19.5731551839505</v>
      </c>
      <c r="Q34" s="79" t="n">
        <f aca="false">Q30/Q32</f>
        <v>10.6784613752194</v>
      </c>
    </row>
    <row r="35" customFormat="false" ht="15" hidden="false" customHeight="false" outlineLevel="0" collapsed="false">
      <c r="A35" s="5" t="s">
        <v>1355</v>
      </c>
      <c r="B35" s="54" t="s">
        <v>758</v>
      </c>
      <c r="C35" s="148" t="n">
        <f aca="false">Amortize!C23</f>
        <v>0.430172406039506</v>
      </c>
      <c r="D35" s="148" t="n">
        <f aca="false">Amortize!D23</f>
        <v>0.62040830157731</v>
      </c>
      <c r="E35" s="148" t="n">
        <f aca="false">Amortize!E23</f>
        <v>1.06962323560783</v>
      </c>
      <c r="F35" s="148" t="n">
        <f aca="false">Amortize!F23</f>
        <v>0.0935539691642385</v>
      </c>
      <c r="G35" s="148" t="n">
        <f aca="false">Amortize!G23</f>
        <v>0.12592462995954</v>
      </c>
      <c r="H35" s="148" t="n">
        <f aca="false">Amortize!H23</f>
        <v>0.204853825132635</v>
      </c>
      <c r="I35" s="148" t="n">
        <f aca="false">Amortize!I23</f>
        <v>0.0821340106182361</v>
      </c>
      <c r="J35" s="148" t="n">
        <f aca="false">Amortize!J23</f>
        <v>0.120020238676813</v>
      </c>
      <c r="K35" s="148" t="n">
        <f aca="false">Amortize!K23</f>
        <v>0.225146818665611</v>
      </c>
      <c r="L35" s="148" t="n">
        <f aca="false">Amortize!L23</f>
        <v>0.0581236617150997</v>
      </c>
      <c r="M35" s="148" t="n">
        <f aca="false">Amortize!M23</f>
        <v>0.0754045154333219</v>
      </c>
      <c r="N35" s="148" t="n">
        <f aca="false">Amortize!N23</f>
        <v>0.122167194791145</v>
      </c>
      <c r="O35" s="148" t="n">
        <f aca="false">Amortize!O23</f>
        <v>0.044708473743112</v>
      </c>
      <c r="P35" s="148" t="n">
        <f aca="false">Amortize!P23</f>
        <v>0.0687273208367413</v>
      </c>
      <c r="Q35" s="148" t="n">
        <f aca="false">Amortize!Q23</f>
        <v>0.125961389457278</v>
      </c>
    </row>
    <row r="36" customFormat="false" ht="15" hidden="false" customHeight="false" outlineLevel="0" collapsed="false">
      <c r="A36" s="5" t="s">
        <v>1367</v>
      </c>
      <c r="B36" s="54" t="s">
        <v>758</v>
      </c>
      <c r="C36" s="149" t="n">
        <f aca="false">IF(AND(ISNUMBER(C35),ISNUMBER(Amortize!C22)),C35+Amortize!C22,"SLO 不可達")</f>
        <v>0.531910528331284</v>
      </c>
      <c r="D36" s="149" t="n">
        <f aca="false">IF(AND(ISNUMBER(D35),ISNUMBER(Amortize!D22)),D35+Amortize!D22,"SLO 不可達")</f>
        <v>0.767139858927169</v>
      </c>
      <c r="E36" s="149" t="n">
        <f aca="false">IF(AND(ISNUMBER(E35),ISNUMBER(Amortize!E22)),E35+Amortize!E22,"SLO 不可達")</f>
        <v>1.32260037244879</v>
      </c>
      <c r="F36" s="149" t="n">
        <f aca="false">IF(AND(ISNUMBER(F35),ISNUMBER(Amortize!F22)),F35+Amortize!F22,"SLO 不可達")</f>
        <v>0.103191989823563</v>
      </c>
      <c r="G36" s="149" t="n">
        <f aca="false">IF(AND(ISNUMBER(G35),ISNUMBER(Amortize!G22)),G35+Amortize!G22,"SLO 不可達")</f>
        <v>0.138898055360943</v>
      </c>
      <c r="H36" s="149" t="n">
        <f aca="false">IF(AND(ISNUMBER(H35),ISNUMBER(Amortize!H22)),H35+Amortize!H22,"SLO 不可達")</f>
        <v>0.22595994864402</v>
      </c>
      <c r="I36" s="149" t="n">
        <f aca="false">IF(AND(ISNUMBER(I35),ISNUMBER(Amortize!I22)),I35+Amortize!I22,"SLO 不可達")</f>
        <v>0.0903712380397286</v>
      </c>
      <c r="J36" s="149" t="n">
        <f aca="false">IF(AND(ISNUMBER(J35),ISNUMBER(Amortize!J22)),J35+Amortize!J22,"SLO 不可達")</f>
        <v>0.132057790392487</v>
      </c>
      <c r="K36" s="149" t="n">
        <f aca="false">IF(AND(ISNUMBER(K35),ISNUMBER(Amortize!K22)),K35+Amortize!K22,"SLO 不可達")</f>
        <v>0.247729497631164</v>
      </c>
      <c r="L36" s="149" t="n">
        <f aca="false">IF(AND(ISNUMBER(L35),ISNUMBER(Amortize!L22)),L35+Amortize!L22,"SLO 不可達")</f>
        <v>0.0612352550522402</v>
      </c>
      <c r="M36" s="149" t="n">
        <f aca="false">IF(AND(ISNUMBER(M35),ISNUMBER(Amortize!M22)),M35+Amortize!M22,"SLO 不可達")</f>
        <v>0.0794414670085081</v>
      </c>
      <c r="N36" s="149" t="n">
        <f aca="false">IF(AND(ISNUMBER(N35),ISNUMBER(Amortize!N22)),N35+Amortize!N22,"SLO 不可達")</f>
        <v>0.12870820266369</v>
      </c>
      <c r="O36" s="149" t="n">
        <f aca="false">IF(AND(ISNUMBER(O35),ISNUMBER(Amortize!O22)),O35+Amortize!O22,"SLO 不可達")</f>
        <v>0.0464745260500349</v>
      </c>
      <c r="P36" s="149" t="n">
        <f aca="false">IF(AND(ISNUMBER(P35),ISNUMBER(Amortize!P22)),P35+Amortize!P22,"SLO 不可達")</f>
        <v>0.0714424801387287</v>
      </c>
      <c r="Q36" s="149" t="n">
        <f aca="false">IF(AND(ISNUMBER(Q35),ISNUMBER(Amortize!Q22)),Q35+Amortize!Q22,"SLO 不可達")</f>
        <v>0.130938158347436</v>
      </c>
    </row>
    <row r="37" customFormat="false" ht="15" hidden="false" customHeight="false" outlineLevel="0" collapsed="false">
      <c r="A37" s="5" t="s">
        <v>1357</v>
      </c>
      <c r="B37" s="54" t="s">
        <v>758</v>
      </c>
      <c r="C37" s="148" t="n">
        <f aca="false">IF(AND(ISNUMBER(C35),ISNUMBER(Amortize!C24)),C35+Amortize!C24,"SLO 不可達")</f>
        <v>1.04920099034026</v>
      </c>
      <c r="D37" s="148" t="n">
        <f aca="false">IF(AND(ISNUMBER(D35),ISNUMBER(Amortize!D24)),D35+Amortize!D24,"SLO 不可達")</f>
        <v>1.51319097945685</v>
      </c>
      <c r="E37" s="148" t="n">
        <f aca="false">IF(AND(ISNUMBER(E35),ISNUMBER(Amortize!E24)),E35+Amortize!E24,"SLO 不可達")</f>
        <v>2.6088371600191</v>
      </c>
      <c r="F37" s="148" t="n">
        <f aca="false">IF(AND(ISNUMBER(F35),ISNUMBER(Amortize!F24)),F35+Amortize!F24,"SLO 不可達")</f>
        <v>0.228180412595704</v>
      </c>
      <c r="G37" s="148" t="n">
        <f aca="false">IF(AND(ISNUMBER(G35),ISNUMBER(Amortize!G24)),G35+Amortize!G24,"SLO 不可達")</f>
        <v>0.307133243803756</v>
      </c>
      <c r="H37" s="148" t="n">
        <f aca="false">IF(AND(ISNUMBER(H35),ISNUMBER(Amortize!H24)),H35+Amortize!H24,"SLO 不可達")</f>
        <v>0.499643475933257</v>
      </c>
      <c r="I37" s="148" t="n">
        <f aca="false">IF(AND(ISNUMBER(I35),ISNUMBER(Amortize!I24)),I35+Amortize!I24,"SLO 不可達")</f>
        <v>0.20032685516643</v>
      </c>
      <c r="J37" s="148" t="n">
        <f aca="false">IF(AND(ISNUMBER(J35),ISNUMBER(Amortize!J24)),J35+Amortize!J24,"SLO 不可達")</f>
        <v>0.292732289455641</v>
      </c>
      <c r="K37" s="148" t="n">
        <f aca="false">IF(AND(ISNUMBER(K35),ISNUMBER(Amortize!K24)),K35+Amortize!K24,"SLO 不可達")</f>
        <v>0.549138582111247</v>
      </c>
      <c r="L37" s="148" t="n">
        <f aca="false">IF(AND(ISNUMBER(L35),ISNUMBER(Amortize!L24)),L35+Amortize!L24,"SLO 不可達")</f>
        <v>0.141765028573414</v>
      </c>
      <c r="M37" s="148" t="n">
        <f aca="false">IF(AND(ISNUMBER(M35),ISNUMBER(Amortize!M24)),M35+Amortize!M24,"SLO 不可達")</f>
        <v>0.183913452276395</v>
      </c>
      <c r="N37" s="148" t="n">
        <f aca="false">IF(AND(ISNUMBER(N35),ISNUMBER(Amortize!N24)),N35+Amortize!N24,"SLO 不可達")</f>
        <v>0.29796876778328</v>
      </c>
      <c r="O37" s="148" t="n">
        <f aca="false">IF(AND(ISNUMBER(O35),ISNUMBER(Amortize!O24)),O35+Amortize!O24,"SLO 不可達")</f>
        <v>0.109045057910029</v>
      </c>
      <c r="P37" s="148" t="n">
        <f aca="false">IF(AND(ISNUMBER(P35),ISNUMBER(Amortize!P24)),P35+Amortize!P24,"SLO 不可達")</f>
        <v>0.16762761179693</v>
      </c>
      <c r="Q37" s="148" t="n">
        <f aca="false">IF(AND(ISNUMBER(Q35),ISNUMBER(Amortize!Q24)),Q35+Amortize!Q24,"SLO 不可達")</f>
        <v>0.307222901115312</v>
      </c>
    </row>
    <row r="38" customFormat="false" ht="15" hidden="false" customHeight="false" outlineLevel="0" collapsed="false">
      <c r="A38" s="5" t="s">
        <v>1368</v>
      </c>
      <c r="B38" s="54" t="s">
        <v>758</v>
      </c>
      <c r="C38" s="149" t="n">
        <f aca="false">IF(AND(ISNUMBER(C35),ISNUMBER(Amortize!C45)),C35+Amortize!C45,"SLO 不可達")</f>
        <v>0.652311022264843</v>
      </c>
      <c r="D38" s="149" t="n">
        <f aca="false">IF(AND(ISNUMBER(D35),ISNUMBER(Amortize!D45)),D35+Amortize!D45,"SLO 不可達")</f>
        <v>0.940780187403963</v>
      </c>
      <c r="E38" s="149" t="n">
        <f aca="false">IF(AND(ISNUMBER(E35),ISNUMBER(Amortize!E45)),E35+Amortize!E45,"SLO 不可達")</f>
        <v>1.62195897661968</v>
      </c>
      <c r="F38" s="149" t="n">
        <f aca="false">IF(AND(ISNUMBER(F35),ISNUMBER(Amortize!F45)),F35+Amortize!F45,"SLO 不可達")</f>
        <v>0.139221764502238</v>
      </c>
      <c r="G38" s="149" t="n">
        <f aca="false">IF(AND(ISNUMBER(G35),ISNUMBER(Amortize!G45)),G35+Amortize!G45,"SLO 不可達")</f>
        <v>0.187391181616638</v>
      </c>
      <c r="H38" s="149" t="n">
        <f aca="false">IF(AND(ISNUMBER(H35),ISNUMBER(Amortize!H45)),H35+Amortize!H45,"SLO 不可達")</f>
        <v>0.304842393034249</v>
      </c>
      <c r="I38" s="149" t="n">
        <f aca="false">IF(AND(ISNUMBER(I35),ISNUMBER(Amortize!I45)),I35+Amortize!I45,"SLO 不可達")</f>
        <v>0.124510333313163</v>
      </c>
      <c r="J38" s="149" t="n">
        <f aca="false">IF(AND(ISNUMBER(J35),ISNUMBER(Amortize!J45)),J35+Amortize!J45,"SLO 不可達")</f>
        <v>0.181940203763427</v>
      </c>
      <c r="K38" s="149" t="n">
        <f aca="false">IF(AND(ISNUMBER(K35),ISNUMBER(Amortize!K45)),K35+Amortize!K45,"SLO 不可達")</f>
        <v>0.341296417855299</v>
      </c>
      <c r="L38" s="149" t="n">
        <f aca="false">IF(AND(ISNUMBER(L35),ISNUMBER(Amortize!L45)),L35+Amortize!L45,"SLO 不可達")</f>
        <v>0.0860066476142492</v>
      </c>
      <c r="M38" s="149" t="n">
        <f aca="false">IF(AND(ISNUMBER(M35),ISNUMBER(Amortize!M45)),M35+Amortize!M45,"SLO 不可達")</f>
        <v>0.111575049743983</v>
      </c>
      <c r="N38" s="149" t="n">
        <f aca="false">IF(AND(ISNUMBER(N35),ISNUMBER(Amortize!N45)),N35+Amortize!N45,"SLO 不可達")</f>
        <v>0.180764165627987</v>
      </c>
      <c r="O38" s="149" t="n">
        <f aca="false">IF(AND(ISNUMBER(O35),ISNUMBER(Amortize!O45)),O35+Amortize!O45,"SLO 不可達")</f>
        <v>0.0658875303105049</v>
      </c>
      <c r="P38" s="149" t="n">
        <f aca="false">IF(AND(ISNUMBER(P35),ISNUMBER(Amortize!P45)),P35+Amortize!P45,"SLO 不可達")</f>
        <v>0.101280089037722</v>
      </c>
      <c r="Q38" s="149" t="n">
        <f aca="false">IF(AND(ISNUMBER(Q35),ISNUMBER(Amortize!Q45)),Q35+Amortize!Q45,"SLO 不可達")</f>
        <v>0.185616365752151</v>
      </c>
    </row>
    <row r="39" customFormat="false" ht="15" hidden="false" customHeight="false" outlineLevel="0" collapsed="false">
      <c r="A39" s="5" t="s">
        <v>1359</v>
      </c>
      <c r="B39" s="54" t="s">
        <v>71</v>
      </c>
      <c r="C39" s="78" t="n">
        <f aca="false">IF(ISNUMBER(C35),1-C35/INDEX(B4_EffRef,1,2),"SLO 不可達")</f>
        <v>0.732331882303958</v>
      </c>
      <c r="D39" s="78" t="n">
        <f aca="false">IF(ISNUMBER(D35),1-D35/INDEX(B4_EffRef,1,2),"SLO 不可達")</f>
        <v>0.613960542436685</v>
      </c>
      <c r="E39" s="78" t="n">
        <f aca="false">IF(ISNUMBER(E35),1-E35/INDEX(B4_EffRef,1,2),"SLO 不可達")</f>
        <v>0.334443506604641</v>
      </c>
      <c r="F39" s="78" t="n">
        <f aca="false">IF(ISNUMBER(F35),1-F35/INDEX(B4_EffRef,1,2),"SLO 不可達")</f>
        <v>0.941787491532208</v>
      </c>
      <c r="G39" s="78" t="n">
        <f aca="false">IF(ISNUMBER(G35),1-G35/INDEX(B4_EffRef,1,2),"SLO 不可達")</f>
        <v>0.921645349167875</v>
      </c>
      <c r="H39" s="78" t="n">
        <f aca="false">IF(ISNUMBER(H35),1-H35/INDEX(B4_EffRef,1,2),"SLO 不可達")</f>
        <v>0.872532879826209</v>
      </c>
      <c r="I39" s="78" t="n">
        <f aca="false">IF(ISNUMBER(I35),1-I35/INDEX(B4_EffRef,1,2),"SLO 不可達")</f>
        <v>0.948893383879693</v>
      </c>
      <c r="J39" s="78" t="n">
        <f aca="false">IF(ISNUMBER(J35),1-J35/INDEX(B4_EffRef,1,2),"SLO 不可達")</f>
        <v>0.925319265203864</v>
      </c>
      <c r="K39" s="78" t="n">
        <f aca="false">IF(ISNUMBER(K35),1-K35/INDEX(B4_EffRef,1,2),"SLO 不可達")</f>
        <v>0.859905878872338</v>
      </c>
      <c r="L39" s="78" t="n">
        <f aca="false">IF(ISNUMBER(L35),1-L35/INDEX(B4_EffRef,1,2),"SLO 不可達")</f>
        <v>0.963833451642983</v>
      </c>
      <c r="M39" s="78" t="n">
        <f aca="false">IF(ISNUMBER(M35),1-M35/INDEX(B4_EffRef,1,2),"SLO 不可達")</f>
        <v>0.95308070804066</v>
      </c>
      <c r="N39" s="78" t="n">
        <f aca="false">IF(ISNUMBER(N35),1-N35/INDEX(B4_EffRef,1,2),"SLO 不可達")</f>
        <v>0.923983355011041</v>
      </c>
      <c r="O39" s="78" t="n">
        <f aca="false">IF(ISNUMBER(O35),1-O35/INDEX(B4_EffRef,1,2),"SLO 不可達")</f>
        <v>0.972180844601216</v>
      </c>
      <c r="P39" s="78" t="n">
        <f aca="false">IF(ISNUMBER(P35),1-P35/INDEX(B4_EffRef,1,2),"SLO 不可達")</f>
        <v>0.957235488970501</v>
      </c>
      <c r="Q39" s="78" t="n">
        <f aca="false">IF(ISNUMBER(Q35),1-Q35/INDEX(B4_EffRef,1,2),"SLO 不可達")</f>
        <v>0.921622476139692</v>
      </c>
    </row>
    <row r="40" customFormat="false" ht="15" hidden="false" customHeight="false" outlineLevel="0" collapsed="false">
      <c r="A40" s="5" t="s">
        <v>1360</v>
      </c>
      <c r="B40" s="54" t="s">
        <v>71</v>
      </c>
      <c r="C40" s="78" t="n">
        <f aca="false">IF(ISNUMBER(C36),1-C36/INDEX(B4_EffRef,1,2),"SLO 不可達")</f>
        <v>0.669026911298288</v>
      </c>
      <c r="D40" s="78" t="n">
        <f aca="false">IF(ISNUMBER(D36),1-D36/INDEX(B4_EffRef,1,2),"SLO 不可達")</f>
        <v>0.52265910326711</v>
      </c>
      <c r="E40" s="78" t="n">
        <f aca="false">IF(ISNUMBER(E36),1-E36/INDEX(B4_EffRef,1,2),"SLO 不可達")</f>
        <v>0.177032400992873</v>
      </c>
      <c r="F40" s="78" t="n">
        <f aca="false">IF(ISNUMBER(F36),1-F36/INDEX(B4_EffRef,1,2),"SLO 不可達")</f>
        <v>0.935790382438325</v>
      </c>
      <c r="G40" s="78" t="n">
        <f aca="false">IF(ISNUMBER(G36),1-G36/INDEX(B4_EffRef,1,2),"SLO 不可達")</f>
        <v>0.913572836127732</v>
      </c>
      <c r="H40" s="78" t="n">
        <f aca="false">IF(ISNUMBER(H36),1-H36/INDEX(B4_EffRef,1,2),"SLO 不可達")</f>
        <v>0.859399921335994</v>
      </c>
      <c r="I40" s="78" t="n">
        <f aca="false">IF(ISNUMBER(I36),1-I36/INDEX(B4_EffRef,1,2),"SLO 不可達")</f>
        <v>0.94376789668435</v>
      </c>
      <c r="J40" s="78" t="n">
        <f aca="false">IF(ISNUMBER(J36),1-J36/INDEX(B4_EffRef,1,2),"SLO 不可達")</f>
        <v>0.917829085071047</v>
      </c>
      <c r="K40" s="78" t="n">
        <f aca="false">IF(ISNUMBER(K36),1-K36/INDEX(B4_EffRef,1,2),"SLO 不可達")</f>
        <v>0.845854156617777</v>
      </c>
      <c r="L40" s="78" t="n">
        <f aca="false">IF(ISNUMBER(L36),1-L36/INDEX(B4_EffRef,1,2),"SLO 不可達")</f>
        <v>0.96189731087734</v>
      </c>
      <c r="M40" s="78" t="n">
        <f aca="false">IF(ISNUMBER(M36),1-M36/INDEX(B4_EffRef,1,2),"SLO 不可達")</f>
        <v>0.950568777442162</v>
      </c>
      <c r="N40" s="78" t="n">
        <f aca="false">IF(ISNUMBER(N36),1-N36/INDEX(B4_EffRef,1,2),"SLO 不可達")</f>
        <v>0.919913314161144</v>
      </c>
      <c r="O40" s="78" t="n">
        <f aca="false">IF(ISNUMBER(O36),1-O36/INDEX(B4_EffRef,1,2),"SLO 不可達")</f>
        <v>0.971081945903601</v>
      </c>
      <c r="P40" s="78" t="n">
        <f aca="false">IF(ISNUMBER(P36),1-P36/INDEX(B4_EffRef,1,2),"SLO 不可達")</f>
        <v>0.955546023143767</v>
      </c>
      <c r="Q40" s="78" t="n">
        <f aca="false">IF(ISNUMBER(Q36),1-Q36/INDEX(B4_EffRef,1,2),"SLO 不可達")</f>
        <v>0.918525758771645</v>
      </c>
    </row>
    <row r="41" customFormat="false" ht="15" hidden="false" customHeight="false" outlineLevel="0" collapsed="false">
      <c r="A41" s="5" t="s">
        <v>1361</v>
      </c>
      <c r="B41" s="54" t="s">
        <v>71</v>
      </c>
      <c r="C41" s="78" t="n">
        <f aca="false">IF(ISNUMBER(C37),1-C37/INDEX(B4_EffRef,1,2),"SLO 不可達")</f>
        <v>0.347150932448678</v>
      </c>
      <c r="D41" s="78" t="n">
        <f aca="false">IF(ISNUMBER(D37),1-D37/INDEX(B4_EffRef,1,2),"SLO 不可達")</f>
        <v>0.0584403474065479</v>
      </c>
      <c r="E41" s="78" t="n">
        <f aca="false">IF(ISNUMBER(E37),1-E37/INDEX(B4_EffRef,1,2),"SLO 不可達")</f>
        <v>-0.623308520476485</v>
      </c>
      <c r="F41" s="78" t="n">
        <f aca="false">IF(ISNUMBER(F37),1-F37/INDEX(B4_EffRef,1,2),"SLO 不可達")</f>
        <v>0.858018272029775</v>
      </c>
      <c r="G41" s="78" t="n">
        <f aca="false">IF(ISNUMBER(G37),1-G37/INDEX(B4_EffRef,1,2),"SLO 不可達")</f>
        <v>0.808891095531402</v>
      </c>
      <c r="H41" s="78" t="n">
        <f aca="false">IF(ISNUMBER(H37),1-H37/INDEX(B4_EffRef,1,2),"SLO 不可達")</f>
        <v>0.689104584941972</v>
      </c>
      <c r="I41" s="78" t="n">
        <f aca="false">IF(ISNUMBER(I37),1-I37/INDEX(B4_EffRef,1,2),"SLO 不可達")</f>
        <v>0.875349716779738</v>
      </c>
      <c r="J41" s="78" t="n">
        <f aca="false">IF(ISNUMBER(J37),1-J37/INDEX(B4_EffRef,1,2),"SLO 不可達")</f>
        <v>0.817851866350887</v>
      </c>
      <c r="K41" s="78" t="n">
        <f aca="false">IF(ISNUMBER(K37),1-K37/INDEX(B4_EffRef,1,2),"SLO 不可達")</f>
        <v>0.658307021639849</v>
      </c>
      <c r="L41" s="78" t="n">
        <f aca="false">IF(ISNUMBER(L37),1-L37/INDEX(B4_EffRef,1,2),"SLO 不可達")</f>
        <v>0.9117889064463</v>
      </c>
      <c r="M41" s="78" t="n">
        <f aca="false">IF(ISNUMBER(M37),1-M37/INDEX(B4_EffRef,1,2),"SLO 不可達")</f>
        <v>0.885562702538195</v>
      </c>
      <c r="N41" s="78" t="n">
        <f aca="false">IF(ISNUMBER(N37),1-N37/INDEX(B4_EffRef,1,2),"SLO 不可達")</f>
        <v>0.814593548807417</v>
      </c>
      <c r="O41" s="78" t="n">
        <f aca="false">IF(ISNUMBER(O37),1-O37/INDEX(B4_EffRef,1,2),"SLO 不可達")</f>
        <v>0.932148401466381</v>
      </c>
      <c r="P41" s="78" t="n">
        <f aca="false">IF(ISNUMBER(P37),1-P37/INDEX(B4_EffRef,1,2),"SLO 不可達")</f>
        <v>0.895696314562198</v>
      </c>
      <c r="Q41" s="78" t="n">
        <f aca="false">IF(ISNUMBER(Q37),1-Q37/INDEX(B4_EffRef,1,2),"SLO 不可達")</f>
        <v>0.808835307657784</v>
      </c>
    </row>
    <row r="42" customFormat="false" ht="15" hidden="false" customHeight="false" outlineLevel="0" collapsed="false">
      <c r="A42" s="5" t="s">
        <v>1362</v>
      </c>
      <c r="B42" s="54" t="s">
        <v>71</v>
      </c>
      <c r="C42" s="111" t="n">
        <f aca="false">IF(ISNUMBER(C38),1-C38/INDEX(B4_EffRef,1,2),"SLO 不可達")</f>
        <v>0.594109568557551</v>
      </c>
      <c r="D42" s="111" t="n">
        <f aca="false">IF(ISNUMBER(D38),1-D38/INDEX(B4_EffRef,1,2),"SLO 不可達")</f>
        <v>0.414614097992557</v>
      </c>
      <c r="E42" s="111" t="n">
        <f aca="false">IF(ISNUMBER(E38),1-E38/INDEX(B4_EffRef,1,2),"SLO 不可達")</f>
        <v>-0.00923885436788496</v>
      </c>
      <c r="F42" s="111" t="n">
        <f aca="false">IF(ISNUMBER(F38),1-F38/INDEX(B4_EffRef,1,2),"SLO 不可達")</f>
        <v>0.913371413127756</v>
      </c>
      <c r="G42" s="111" t="n">
        <f aca="false">IF(ISNUMBER(G38),1-G38/INDEX(B4_EffRef,1,2),"SLO 不可達")</f>
        <v>0.883398739314868</v>
      </c>
      <c r="H42" s="111" t="n">
        <f aca="false">IF(ISNUMBER(H38),1-H38/INDEX(B4_EffRef,1,2),"SLO 不可達")</f>
        <v>0.81031654194495</v>
      </c>
      <c r="I42" s="111" t="n">
        <f aca="false">IF(ISNUMBER(I38),1-I38/INDEX(B4_EffRef,1,2),"SLO 不可達")</f>
        <v>0.922525373353259</v>
      </c>
      <c r="J42" s="111" t="n">
        <f aca="false">IF(ISNUMBER(J38),1-J38/INDEX(B4_EffRef,1,2),"SLO 不可達")</f>
        <v>0.88679052586623</v>
      </c>
      <c r="K42" s="111" t="n">
        <f aca="false">IF(ISNUMBER(K38),1-K38/INDEX(B4_EffRef,1,2),"SLO 不可達")</f>
        <v>0.787633589553534</v>
      </c>
      <c r="L42" s="111" t="n">
        <f aca="false">IF(ISNUMBER(L38),1-L38/INDEX(B4_EffRef,1,2),"SLO 不可達")</f>
        <v>0.94648369548339</v>
      </c>
      <c r="M42" s="111" t="n">
        <f aca="false">IF(ISNUMBER(M38),1-M38/INDEX(B4_EffRef,1,2),"SLO 不可達")</f>
        <v>0.930574153228993</v>
      </c>
      <c r="N42" s="111" t="n">
        <f aca="false">IF(ISNUMBER(N38),1-N38/INDEX(B4_EffRef,1,2),"SLO 不可達")</f>
        <v>0.887522297383028</v>
      </c>
      <c r="O42" s="111" t="n">
        <f aca="false">IF(ISNUMBER(O38),1-O38/INDEX(B4_EffRef,1,2),"SLO 不可達")</f>
        <v>0.959002504646395</v>
      </c>
      <c r="P42" s="111" t="n">
        <f aca="false">IF(ISNUMBER(P38),1-P38/INDEX(B4_EffRef,1,2),"SLO 不可達")</f>
        <v>0.936980033093232</v>
      </c>
      <c r="Q42" s="111" t="n">
        <f aca="false">IF(ISNUMBER(Q38),1-Q38/INDEX(B4_EffRef,1,2),"SLO 不可達")</f>
        <v>0.884503091000459</v>
      </c>
    </row>
    <row r="43" customFormat="false" ht="15" hidden="false" customHeight="false" outlineLevel="0" collapsed="false">
      <c r="A43" s="5" t="s">
        <v>1363</v>
      </c>
      <c r="B43" s="54" t="s">
        <v>71</v>
      </c>
      <c r="C43" s="78" t="n">
        <f aca="false">IF(ISNUMBER(C37),1-C37/INDEX(B4_FrontRef,1,2),"SLO 不可達")</f>
        <v>0.347150932448678</v>
      </c>
      <c r="D43" s="78" t="n">
        <f aca="false">IF(ISNUMBER(D37),1-D37/INDEX(B4_FrontRef,1,2),"SLO 不可達")</f>
        <v>0.0584403474065478</v>
      </c>
      <c r="E43" s="78" t="n">
        <f aca="false">IF(ISNUMBER(E37),1-E37/INDEX(B4_FrontRef,1,2),"SLO 不可達")</f>
        <v>-0.623308520476485</v>
      </c>
      <c r="F43" s="78" t="n">
        <f aca="false">IF(ISNUMBER(F37),1-F37/INDEX(B4_FrontRef,1,2),"SLO 不可達")</f>
        <v>0.858018272029775</v>
      </c>
      <c r="G43" s="78" t="n">
        <f aca="false">IF(ISNUMBER(G37),1-G37/INDEX(B4_FrontRef,1,2),"SLO 不可達")</f>
        <v>0.808891095531402</v>
      </c>
      <c r="H43" s="78" t="n">
        <f aca="false">IF(ISNUMBER(H37),1-H37/INDEX(B4_FrontRef,1,2),"SLO 不可達")</f>
        <v>0.689104584941972</v>
      </c>
      <c r="I43" s="78" t="n">
        <f aca="false">IF(ISNUMBER(I37),1-I37/INDEX(B4_FrontRef,1,2),"SLO 不可達")</f>
        <v>0.875349716779738</v>
      </c>
      <c r="J43" s="78" t="n">
        <f aca="false">IF(ISNUMBER(J37),1-J37/INDEX(B4_FrontRef,1,2),"SLO 不可達")</f>
        <v>0.817851866350887</v>
      </c>
      <c r="K43" s="78" t="n">
        <f aca="false">IF(ISNUMBER(K37),1-K37/INDEX(B4_FrontRef,1,2),"SLO 不可達")</f>
        <v>0.658307021639849</v>
      </c>
      <c r="L43" s="78" t="n">
        <f aca="false">IF(ISNUMBER(L37),1-L37/INDEX(B4_FrontRef,1,2),"SLO 不可達")</f>
        <v>0.9117889064463</v>
      </c>
      <c r="M43" s="78" t="n">
        <f aca="false">IF(ISNUMBER(M37),1-M37/INDEX(B4_FrontRef,1,2),"SLO 不可達")</f>
        <v>0.885562702538195</v>
      </c>
      <c r="N43" s="78" t="n">
        <f aca="false">IF(ISNUMBER(N37),1-N37/INDEX(B4_FrontRef,1,2),"SLO 不可達")</f>
        <v>0.814593548807417</v>
      </c>
      <c r="O43" s="78" t="n">
        <f aca="false">IF(ISNUMBER(O37),1-O37/INDEX(B4_FrontRef,1,2),"SLO 不可達")</f>
        <v>0.932148401466381</v>
      </c>
      <c r="P43" s="78" t="n">
        <f aca="false">IF(ISNUMBER(P37),1-P37/INDEX(B4_FrontRef,1,2),"SLO 不可達")</f>
        <v>0.895696314562198</v>
      </c>
      <c r="Q43" s="78" t="n">
        <f aca="false">IF(ISNUMBER(Q37),1-Q37/INDEX(B4_FrontRef,1,2),"SLO 不可達")</f>
        <v>0.808835307657784</v>
      </c>
    </row>
    <row r="45" customFormat="false" ht="15" hidden="false" customHeight="false" outlineLevel="0" collapsed="false">
      <c r="A45" s="68" t="s">
        <v>1369</v>
      </c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</row>
    <row r="46" customFormat="false" ht="15" hidden="false" customHeight="false" outlineLevel="0" collapsed="false">
      <c r="A46" s="5" t="s">
        <v>1347</v>
      </c>
      <c r="B46" s="54" t="s">
        <v>750</v>
      </c>
      <c r="C46" s="60" t="n">
        <f aca="false">INDEX(IF_TokGW_Astra,1,C$7)*IF_Util</f>
        <v>2325910977.56283</v>
      </c>
      <c r="D46" s="60" t="n">
        <f aca="false">INDEX(IF_TokGW_Astra,1,D$7)*IF_Util</f>
        <v>2325910977.56283</v>
      </c>
      <c r="E46" s="60" t="n">
        <f aca="false">INDEX(IF_TokGW_Astra,1,E$7)*IF_Util</f>
        <v>2325910977.56283</v>
      </c>
      <c r="F46" s="60" t="n">
        <f aca="false">INDEX(IF_TokGW_Astra,1,F$7)*IF_Util</f>
        <v>12025103198.548</v>
      </c>
      <c r="G46" s="60" t="n">
        <f aca="false">INDEX(IF_TokGW_Astra,1,G$7)*IF_Util</f>
        <v>12025103198.548</v>
      </c>
      <c r="H46" s="60" t="n">
        <f aca="false">INDEX(IF_TokGW_Astra,1,H$7)*IF_Util</f>
        <v>12025103198.548</v>
      </c>
      <c r="I46" s="60" t="n">
        <f aca="false">INDEX(IF_TokGW_Astra,1,I$7)*IF_Util</f>
        <v>14540542517.2698</v>
      </c>
      <c r="J46" s="60" t="n">
        <f aca="false">INDEX(IF_TokGW_Astra,1,J$7)*IF_Util</f>
        <v>14540542517.2698</v>
      </c>
      <c r="K46" s="60" t="n">
        <f aca="false">INDEX(IF_TokGW_Astra,1,K$7)*IF_Util</f>
        <v>14540542517.2698</v>
      </c>
      <c r="L46" s="60" t="n">
        <f aca="false">INDEX(IF_TokGW_Astra,1,L$7)*IF_Util</f>
        <v>30700734330.9357</v>
      </c>
      <c r="M46" s="60" t="n">
        <f aca="false">INDEX(IF_TokGW_Astra,1,M$7)*IF_Util</f>
        <v>30700734330.9357</v>
      </c>
      <c r="N46" s="60" t="n">
        <f aca="false">INDEX(IF_TokGW_Astra,1,N$7)*IF_Util</f>
        <v>30700734330.9357</v>
      </c>
      <c r="O46" s="60" t="n">
        <f aca="false">INDEX(IF_TokGW_Astra,1,O$7)*IF_Util</f>
        <v>44640573595.0624</v>
      </c>
      <c r="P46" s="60" t="n">
        <f aca="false">INDEX(IF_TokGW_Astra,1,P$7)*IF_Util</f>
        <v>44640573595.0624</v>
      </c>
      <c r="Q46" s="60" t="n">
        <f aca="false">INDEX(IF_TokGW_Astra,1,Q$7)*IF_Util</f>
        <v>44640573595.0624</v>
      </c>
    </row>
    <row r="47" customFormat="false" ht="15" hidden="false" customHeight="false" outlineLevel="0" collapsed="false">
      <c r="A47" s="5" t="s">
        <v>1370</v>
      </c>
      <c r="B47" s="54" t="s">
        <v>1349</v>
      </c>
      <c r="C47" s="105" t="n">
        <f aca="false">C46*INDEX(B4_EffRef,1,3)/1000000000</f>
        <v>18.6899868774826</v>
      </c>
      <c r="D47" s="105" t="n">
        <f aca="false">D46*INDEX(B4_EffRef,1,3)/1000000000</f>
        <v>18.6899868774826</v>
      </c>
      <c r="E47" s="105" t="n">
        <f aca="false">E46*INDEX(B4_EffRef,1,3)/1000000000</f>
        <v>18.6899868774826</v>
      </c>
      <c r="F47" s="105" t="n">
        <f aca="false">F46*INDEX(B4_EffRef,1,3)/1000000000</f>
        <v>96.6283848132214</v>
      </c>
      <c r="G47" s="105" t="n">
        <f aca="false">G46*INDEX(B4_EffRef,1,3)/1000000000</f>
        <v>96.6283848132214</v>
      </c>
      <c r="H47" s="105" t="n">
        <f aca="false">H46*INDEX(B4_EffRef,1,3)/1000000000</f>
        <v>96.6283848132214</v>
      </c>
      <c r="I47" s="105" t="n">
        <f aca="false">I46*INDEX(B4_EffRef,1,3)/1000000000</f>
        <v>116.841337205439</v>
      </c>
      <c r="J47" s="105" t="n">
        <f aca="false">J46*INDEX(B4_EffRef,1,3)/1000000000</f>
        <v>116.841337205439</v>
      </c>
      <c r="K47" s="105" t="n">
        <f aca="false">K46*INDEX(B4_EffRef,1,3)/1000000000</f>
        <v>116.841337205439</v>
      </c>
      <c r="L47" s="105" t="n">
        <f aca="false">L46*INDEX(B4_EffRef,1,3)/1000000000</f>
        <v>246.697456312585</v>
      </c>
      <c r="M47" s="105" t="n">
        <f aca="false">M46*INDEX(B4_EffRef,1,3)/1000000000</f>
        <v>246.697456312585</v>
      </c>
      <c r="N47" s="105" t="n">
        <f aca="false">N46*INDEX(B4_EffRef,1,3)/1000000000</f>
        <v>246.697456312585</v>
      </c>
      <c r="O47" s="105" t="n">
        <f aca="false">O46*INDEX(B4_EffRef,1,3)/1000000000</f>
        <v>358.71180915499</v>
      </c>
      <c r="P47" s="105" t="n">
        <f aca="false">P46*INDEX(B4_EffRef,1,3)/1000000000</f>
        <v>358.71180915499</v>
      </c>
      <c r="Q47" s="105" t="n">
        <f aca="false">Q46*INDEX(B4_EffRef,1,3)/1000000000</f>
        <v>358.71180915499</v>
      </c>
    </row>
    <row r="48" customFormat="false" ht="15" hidden="false" customHeight="false" outlineLevel="0" collapsed="false">
      <c r="A48" s="5" t="s">
        <v>1371</v>
      </c>
      <c r="B48" s="54" t="s">
        <v>1349</v>
      </c>
      <c r="C48" s="67" t="n">
        <f aca="false">C46*INDEX(B4_FrontRef,1,3)/1000000000</f>
        <v>18.0077196573975</v>
      </c>
      <c r="D48" s="67" t="n">
        <f aca="false">D46*INDEX(B4_FrontRef,1,3)/1000000000</f>
        <v>18.0077196573975</v>
      </c>
      <c r="E48" s="67" t="n">
        <f aca="false">E46*INDEX(B4_FrontRef,1,3)/1000000000</f>
        <v>18.0077196573975</v>
      </c>
      <c r="F48" s="67" t="n">
        <f aca="false">F46*INDEX(B4_FrontRef,1,3)/1000000000</f>
        <v>93.101021208314</v>
      </c>
      <c r="G48" s="67" t="n">
        <f aca="false">G46*INDEX(B4_FrontRef,1,3)/1000000000</f>
        <v>93.101021208314</v>
      </c>
      <c r="H48" s="67" t="n">
        <f aca="false">H46*INDEX(B4_FrontRef,1,3)/1000000000</f>
        <v>93.101021208314</v>
      </c>
      <c r="I48" s="67" t="n">
        <f aca="false">I46*INDEX(B4_FrontRef,1,3)/1000000000</f>
        <v>112.576111400374</v>
      </c>
      <c r="J48" s="67" t="n">
        <f aca="false">J46*INDEX(B4_FrontRef,1,3)/1000000000</f>
        <v>112.576111400374</v>
      </c>
      <c r="K48" s="67" t="n">
        <f aca="false">K46*INDEX(B4_FrontRef,1,3)/1000000000</f>
        <v>112.576111400374</v>
      </c>
      <c r="L48" s="67" t="n">
        <f aca="false">L46*INDEX(B4_FrontRef,1,3)/1000000000</f>
        <v>237.691907575511</v>
      </c>
      <c r="M48" s="67" t="n">
        <f aca="false">M46*INDEX(B4_FrontRef,1,3)/1000000000</f>
        <v>237.691907575511</v>
      </c>
      <c r="N48" s="67" t="n">
        <f aca="false">N46*INDEX(B4_FrontRef,1,3)/1000000000</f>
        <v>237.691907575511</v>
      </c>
      <c r="O48" s="67" t="n">
        <f aca="false">O46*INDEX(B4_FrontRef,1,3)/1000000000</f>
        <v>345.617240900439</v>
      </c>
      <c r="P48" s="67" t="n">
        <f aca="false">P46*INDEX(B4_FrontRef,1,3)/1000000000</f>
        <v>345.617240900439</v>
      </c>
      <c r="Q48" s="67" t="n">
        <f aca="false">Q46*INDEX(B4_FrontRef,1,3)/1000000000</f>
        <v>345.617240900439</v>
      </c>
    </row>
    <row r="49" customFormat="false" ht="15" hidden="false" customHeight="false" outlineLevel="0" collapsed="false">
      <c r="A49" s="5" t="s">
        <v>1351</v>
      </c>
      <c r="B49" s="54" t="s">
        <v>1349</v>
      </c>
      <c r="C49" s="67" t="n">
        <f aca="false">INDEX(IF_TokGW_Astra,1,C$7)*INDEX(B4_EffRef,1,3)/1000000000</f>
        <v>31.1499781291377</v>
      </c>
      <c r="D49" s="67" t="n">
        <f aca="false">INDEX(IF_TokGW_Astra,1,D$7)*INDEX(B4_EffRef,1,3)/1000000000</f>
        <v>31.1499781291377</v>
      </c>
      <c r="E49" s="67" t="n">
        <f aca="false">INDEX(IF_TokGW_Astra,1,E$7)*INDEX(B4_EffRef,1,3)/1000000000</f>
        <v>31.1499781291377</v>
      </c>
      <c r="F49" s="67" t="n">
        <f aca="false">INDEX(IF_TokGW_Astra,1,F$7)*INDEX(B4_EffRef,1,3)/1000000000</f>
        <v>161.047308022036</v>
      </c>
      <c r="G49" s="67" t="n">
        <f aca="false">INDEX(IF_TokGW_Astra,1,G$7)*INDEX(B4_EffRef,1,3)/1000000000</f>
        <v>161.047308022036</v>
      </c>
      <c r="H49" s="67" t="n">
        <f aca="false">INDEX(IF_TokGW_Astra,1,H$7)*INDEX(B4_EffRef,1,3)/1000000000</f>
        <v>161.047308022036</v>
      </c>
      <c r="I49" s="67" t="n">
        <f aca="false">INDEX(IF_TokGW_Astra,1,I$7)*INDEX(B4_EffRef,1,3)/1000000000</f>
        <v>194.735562009066</v>
      </c>
      <c r="J49" s="67" t="n">
        <f aca="false">INDEX(IF_TokGW_Astra,1,J$7)*INDEX(B4_EffRef,1,3)/1000000000</f>
        <v>194.735562009066</v>
      </c>
      <c r="K49" s="67" t="n">
        <f aca="false">INDEX(IF_TokGW_Astra,1,K$7)*INDEX(B4_EffRef,1,3)/1000000000</f>
        <v>194.735562009066</v>
      </c>
      <c r="L49" s="67" t="n">
        <f aca="false">INDEX(IF_TokGW_Astra,1,L$7)*INDEX(B4_EffRef,1,3)/1000000000</f>
        <v>411.162427187643</v>
      </c>
      <c r="M49" s="67" t="n">
        <f aca="false">INDEX(IF_TokGW_Astra,1,M$7)*INDEX(B4_EffRef,1,3)/1000000000</f>
        <v>411.162427187643</v>
      </c>
      <c r="N49" s="67" t="n">
        <f aca="false">INDEX(IF_TokGW_Astra,1,N$7)*INDEX(B4_EffRef,1,3)/1000000000</f>
        <v>411.162427187643</v>
      </c>
      <c r="O49" s="67" t="n">
        <f aca="false">INDEX(IF_TokGW_Astra,1,O$7)*INDEX(B4_EffRef,1,3)/1000000000</f>
        <v>597.853015258317</v>
      </c>
      <c r="P49" s="67" t="n">
        <f aca="false">INDEX(IF_TokGW_Astra,1,P$7)*INDEX(B4_EffRef,1,3)/1000000000</f>
        <v>597.853015258317</v>
      </c>
      <c r="Q49" s="67" t="n">
        <f aca="false">INDEX(IF_TokGW_Astra,1,Q$7)*INDEX(B4_EffRef,1,3)/1000000000</f>
        <v>597.853015258317</v>
      </c>
    </row>
    <row r="50" customFormat="false" ht="15" hidden="false" customHeight="false" outlineLevel="0" collapsed="false">
      <c r="A50" s="5" t="s">
        <v>1352</v>
      </c>
      <c r="B50" s="54" t="s">
        <v>1349</v>
      </c>
      <c r="C50" s="67" t="n">
        <f aca="false">INDEX(IF_HoldEcon,1,C$7)</f>
        <v>7.0000433103819</v>
      </c>
      <c r="D50" s="67" t="n">
        <f aca="false">INDEX(IF_HoldEcon,1,D$7)</f>
        <v>10.0957952959174</v>
      </c>
      <c r="E50" s="67" t="n">
        <f aca="false">INDEX(IF_HoldEcon,1,E$7)</f>
        <v>17.4059720636914</v>
      </c>
      <c r="F50" s="67" t="n">
        <f aca="false">INDEX(IF_HoldEcon,1,F$7)</f>
        <v>6.81316695089878</v>
      </c>
      <c r="G50" s="67" t="n">
        <f aca="false">INDEX(IF_HoldEcon,1,G$7)</f>
        <v>9.17098191725462</v>
      </c>
      <c r="H50" s="67" t="n">
        <f aca="false">INDEX(IF_HoldEcon,1,H$7)</f>
        <v>14.9200285257983</v>
      </c>
      <c r="I50" s="67" t="n">
        <f aca="false">INDEX(IF_HoldEcon,1,I$7)</f>
        <v>8.70747076237914</v>
      </c>
      <c r="J50" s="67" t="n">
        <f aca="false">INDEX(IF_HoldEcon,1,J$7)</f>
        <v>12.7247463559608</v>
      </c>
      <c r="K50" s="67" t="n">
        <f aca="false">INDEX(IF_HoldEcon,1,K$7)</f>
        <v>23.87186935202</v>
      </c>
      <c r="L50" s="67" t="n">
        <f aca="false">INDEX(IF_HoldEcon,1,L$7)</f>
        <v>9.83668060375303</v>
      </c>
      <c r="M50" s="67" t="n">
        <f aca="false">INDEX(IF_HoldEcon,1,M$7)</f>
        <v>12.7620157762701</v>
      </c>
      <c r="N50" s="67" t="n">
        <f aca="false">INDEX(IF_HoldEcon,1,N$7)</f>
        <v>20.6780894215396</v>
      </c>
      <c r="O50" s="67" t="n">
        <f aca="false">INDEX(IF_HoldEcon,1,O$7)</f>
        <v>10.4522416094636</v>
      </c>
      <c r="P50" s="67" t="n">
        <f aca="false">INDEX(IF_HoldEcon,1,P$7)</f>
        <v>16.0694566753819</v>
      </c>
      <c r="Q50" s="67" t="n">
        <f aca="false">INDEX(IF_HoldEcon,1,Q$7)</f>
        <v>29.454615058956</v>
      </c>
    </row>
    <row r="51" customFormat="false" ht="15" hidden="false" customHeight="false" outlineLevel="0" collapsed="false">
      <c r="A51" s="5" t="s">
        <v>1353</v>
      </c>
      <c r="B51" s="54" t="s">
        <v>75</v>
      </c>
      <c r="C51" s="81" t="n">
        <f aca="false">C47/C50</f>
        <v>2.66998160565137</v>
      </c>
      <c r="D51" s="81" t="n">
        <f aca="false">D47/D50</f>
        <v>1.85126444521322</v>
      </c>
      <c r="E51" s="81" t="n">
        <f aca="false">E47/E50</f>
        <v>1.07376863579309</v>
      </c>
      <c r="F51" s="81" t="n">
        <f aca="false">F47/F50</f>
        <v>14.1825946009549</v>
      </c>
      <c r="G51" s="81" t="n">
        <f aca="false">G47/G50</f>
        <v>10.5363183228419</v>
      </c>
      <c r="H51" s="81" t="n">
        <f aca="false">H47/H50</f>
        <v>6.4764209160955</v>
      </c>
      <c r="I51" s="81" t="n">
        <f aca="false">I47/I50</f>
        <v>13.4185161677781</v>
      </c>
      <c r="J51" s="81" t="n">
        <f aca="false">J47/J50</f>
        <v>9.18221345533591</v>
      </c>
      <c r="K51" s="81" t="n">
        <f aca="false">K47/K50</f>
        <v>4.89451979995662</v>
      </c>
      <c r="L51" s="81" t="n">
        <f aca="false">L47/L50</f>
        <v>25.0793398962717</v>
      </c>
      <c r="M51" s="81" t="n">
        <f aca="false">M47/M50</f>
        <v>19.3306026757387</v>
      </c>
      <c r="N51" s="81" t="n">
        <f aca="false">N47/N50</f>
        <v>11.9303796053619</v>
      </c>
      <c r="O51" s="81" t="n">
        <f aca="false">O47/O50</f>
        <v>34.3191271841831</v>
      </c>
      <c r="P51" s="81" t="n">
        <f aca="false">P47/P50</f>
        <v>22.3225847893495</v>
      </c>
      <c r="Q51" s="81" t="n">
        <f aca="false">Q47/Q50</f>
        <v>12.1784585687844</v>
      </c>
    </row>
    <row r="52" customFormat="false" ht="15" hidden="false" customHeight="false" outlineLevel="0" collapsed="false">
      <c r="A52" s="5" t="s">
        <v>1354</v>
      </c>
      <c r="B52" s="54" t="s">
        <v>75</v>
      </c>
      <c r="C52" s="79" t="n">
        <f aca="false">C48/C50</f>
        <v>2.5725154629672</v>
      </c>
      <c r="D52" s="79" t="n">
        <f aca="false">D48/D50</f>
        <v>1.78368510152734</v>
      </c>
      <c r="E52" s="79" t="n">
        <f aca="false">E48/E50</f>
        <v>1.03457132939799</v>
      </c>
      <c r="F52" s="79" t="n">
        <f aca="false">F48/F50</f>
        <v>13.6648671431767</v>
      </c>
      <c r="G52" s="79" t="n">
        <f aca="false">G48/G50</f>
        <v>10.1516960831806</v>
      </c>
      <c r="H52" s="79" t="n">
        <f aca="false">H48/H50</f>
        <v>6.2400028959283</v>
      </c>
      <c r="I52" s="79" t="n">
        <f aca="false">I48/I50</f>
        <v>12.9286809536888</v>
      </c>
      <c r="J52" s="79" t="n">
        <f aca="false">J48/J50</f>
        <v>8.84702203495307</v>
      </c>
      <c r="K52" s="79" t="n">
        <f aca="false">K48/K50</f>
        <v>4.71584817009095</v>
      </c>
      <c r="L52" s="79" t="n">
        <f aca="false">L48/L50</f>
        <v>24.1638330195273</v>
      </c>
      <c r="M52" s="79" t="n">
        <f aca="false">M48/M50</f>
        <v>18.6249501444341</v>
      </c>
      <c r="N52" s="79" t="n">
        <f aca="false">N48/N50</f>
        <v>11.4948679604759</v>
      </c>
      <c r="O52" s="79" t="n">
        <f aca="false">O48/O50</f>
        <v>33.0663271874153</v>
      </c>
      <c r="P52" s="79" t="n">
        <f aca="false">P48/P50</f>
        <v>21.5077116720392</v>
      </c>
      <c r="Q52" s="79" t="n">
        <f aca="false">Q48/Q50</f>
        <v>11.733890944039</v>
      </c>
    </row>
    <row r="53" customFormat="false" ht="15" hidden="false" customHeight="false" outlineLevel="0" collapsed="false">
      <c r="A53" s="5" t="s">
        <v>1355</v>
      </c>
      <c r="B53" s="54" t="s">
        <v>758</v>
      </c>
      <c r="C53" s="148" t="n">
        <f aca="false">Amortize!C33</f>
        <v>2.63597202599186</v>
      </c>
      <c r="D53" s="148" t="n">
        <f aca="false">Amortize!D33</f>
        <v>3.80162546344874</v>
      </c>
      <c r="E53" s="148" t="n">
        <f aca="false">Amortize!E33</f>
        <v>6.55414979924415</v>
      </c>
      <c r="F53" s="148" t="n">
        <f aca="false">Amortize!F33</f>
        <v>0.515486666037647</v>
      </c>
      <c r="G53" s="148" t="n">
        <f aca="false">Amortize!G33</f>
        <v>0.693802540800183</v>
      </c>
      <c r="H53" s="148" t="n">
        <f aca="false">Amortize!H33</f>
        <v>1.12858910788924</v>
      </c>
      <c r="I53" s="148" t="n">
        <f aca="false">Amortize!I33</f>
        <v>0.554105874039754</v>
      </c>
      <c r="J53" s="148" t="n">
        <f aca="false">Amortize!J33</f>
        <v>0.809644969199381</v>
      </c>
      <c r="K53" s="148" t="n">
        <f aca="false">Amortize!K33</f>
        <v>1.51871400309816</v>
      </c>
      <c r="L53" s="148" t="n">
        <f aca="false">Amortize!L33</f>
        <v>0.284580547360262</v>
      </c>
      <c r="M53" s="148" t="n">
        <f aca="false">Amortize!M33</f>
        <v>0.369145704577051</v>
      </c>
      <c r="N53" s="148" t="n">
        <f aca="false">Amortize!N33</f>
        <v>0.597982392639671</v>
      </c>
      <c r="O53" s="148" t="n">
        <f aca="false">Amortize!O33</f>
        <v>0.206075795964474</v>
      </c>
      <c r="P53" s="148" t="n">
        <f aca="false">Amortize!P33</f>
        <v>0.316704514581931</v>
      </c>
      <c r="Q53" s="148" t="n">
        <f aca="false">Amortize!Q33</f>
        <v>0.580319651814432</v>
      </c>
    </row>
    <row r="54" customFormat="false" ht="15" hidden="false" customHeight="false" outlineLevel="0" collapsed="false">
      <c r="A54" s="5" t="s">
        <v>1372</v>
      </c>
      <c r="B54" s="54" t="s">
        <v>758</v>
      </c>
      <c r="C54" s="149" t="n">
        <f aca="false">IF(AND(ISNUMBER(C53),ISNUMBER(Amortize!C32)),C53+Amortize!C32,"SLO 不可達")</f>
        <v>6.98232343835803</v>
      </c>
      <c r="D54" s="149" t="n">
        <f aca="false">IF(AND(ISNUMBER(D53),ISNUMBER(Amortize!D32)),D53+Amortize!D32,"SLO 不可達")</f>
        <v>10.0701401279639</v>
      </c>
      <c r="E54" s="149" t="n">
        <f aca="false">IF(AND(ISNUMBER(E53),ISNUMBER(Amortize!E32)),E53+Amortize!E32,"SLO 不可達")</f>
        <v>17.3615788262088</v>
      </c>
      <c r="F54" s="149" t="n">
        <f aca="false">IF(AND(ISNUMBER(F53),ISNUMBER(Amortize!F32)),F53+Amortize!F32,"SLO 不可達")</f>
        <v>0.929824661004986</v>
      </c>
      <c r="G54" s="149" t="n">
        <f aca="false">IF(AND(ISNUMBER(G53),ISNUMBER(Amortize!G32)),G53+Amortize!G32,"SLO 不可達")</f>
        <v>1.25152940803565</v>
      </c>
      <c r="H54" s="149" t="n">
        <f aca="false">IF(AND(ISNUMBER(H53),ISNUMBER(Amortize!H32)),H53+Amortize!H32,"SLO 不可達")</f>
        <v>2.03594023384679</v>
      </c>
      <c r="I54" s="149" t="n">
        <f aca="false">IF(AND(ISNUMBER(I53),ISNUMBER(Amortize!I32)),I53+Amortize!I32,"SLO 不可達")</f>
        <v>0.933052266852849</v>
      </c>
      <c r="J54" s="149" t="n">
        <f aca="false">IF(AND(ISNUMBER(J53),ISNUMBER(Amortize!J32)),J53+Amortize!J32,"SLO 不可達")</f>
        <v>1.36342193413465</v>
      </c>
      <c r="K54" s="149" t="n">
        <f aca="false">IF(AND(ISNUMBER(K53),ISNUMBER(Amortize!K32)),K53+Amortize!K32,"SLO 不可達")</f>
        <v>2.55761025983181</v>
      </c>
      <c r="L54" s="149" t="n">
        <f aca="false">IF(AND(ISNUMBER(L53),ISNUMBER(Amortize!L32)),L53+Amortize!L32,"SLO 不可達")</f>
        <v>0.413513831023793</v>
      </c>
      <c r="M54" s="149" t="n">
        <f aca="false">IF(AND(ISNUMBER(M53),ISNUMBER(Amortize!M32)),M53+Amortize!M32,"SLO 不可達")</f>
        <v>0.536422519438001</v>
      </c>
      <c r="N54" s="149" t="n">
        <f aca="false">IF(AND(ISNUMBER(N53),ISNUMBER(Amortize!N32)),N53+Amortize!N32,"SLO 不可達")</f>
        <v>0.869018332140443</v>
      </c>
      <c r="O54" s="149" t="n">
        <f aca="false">IF(AND(ISNUMBER(O53),ISNUMBER(Amortize!O32)),O53+Amortize!O32,"SLO 不可達")</f>
        <v>0.278094026413058</v>
      </c>
      <c r="P54" s="149" t="n">
        <f aca="false">IF(AND(ISNUMBER(P53),ISNUMBER(Amortize!P32)),P53+Amortize!P32,"SLO 不可達")</f>
        <v>0.427426585241239</v>
      </c>
      <c r="Q54" s="149" t="n">
        <f aca="false">IF(AND(ISNUMBER(Q53),ISNUMBER(Amortize!Q32)),Q53+Amortize!Q32,"SLO 不可達")</f>
        <v>0.783268390883916</v>
      </c>
    </row>
    <row r="55" customFormat="false" ht="15" hidden="false" customHeight="false" outlineLevel="0" collapsed="false">
      <c r="A55" s="5" t="s">
        <v>1357</v>
      </c>
      <c r="B55" s="54" t="s">
        <v>758</v>
      </c>
      <c r="C55" s="148" t="n">
        <f aca="false">IF(AND(ISNUMBER(C53),ISNUMBER(Amortize!C34)),C53+Amortize!C34,"SLO 不可達")</f>
        <v>6.42920006339479</v>
      </c>
      <c r="D55" s="148" t="n">
        <f aca="false">IF(AND(ISNUMBER(D53),ISNUMBER(Amortize!D34)),D53+Amortize!D34,"SLO 不可達")</f>
        <v>9.27225722792376</v>
      </c>
      <c r="E55" s="148" t="n">
        <f aca="false">IF(AND(ISNUMBER(E53),ISNUMBER(Amortize!E34)),E53+Amortize!E34,"SLO 不可達")</f>
        <v>15.9857312176687</v>
      </c>
      <c r="F55" s="148" t="n">
        <f aca="false">IF(AND(ISNUMBER(F53),ISNUMBER(Amortize!F34)),F53+Amortize!F34,"SLO 不可達")</f>
        <v>1.25728455131133</v>
      </c>
      <c r="G55" s="148" t="n">
        <f aca="false">IF(AND(ISNUMBER(G53),ISNUMBER(Amortize!G34)),G53+Amortize!G34,"SLO 不可達")</f>
        <v>1.69220131902484</v>
      </c>
      <c r="H55" s="148" t="n">
        <f aca="false">IF(AND(ISNUMBER(H53),ISNUMBER(Amortize!H34)),H53+Amortize!H34,"SLO 不可達")</f>
        <v>2.75265636070546</v>
      </c>
      <c r="I55" s="148" t="n">
        <f aca="false">IF(AND(ISNUMBER(I53),ISNUMBER(Amortize!I34)),I53+Amortize!I34,"SLO 不可達")</f>
        <v>1.35147774156038</v>
      </c>
      <c r="J55" s="148" t="n">
        <f aca="false">IF(AND(ISNUMBER(J53),ISNUMBER(Amortize!J34)),J53+Amortize!J34,"SLO 不可達")</f>
        <v>1.97474382731556</v>
      </c>
      <c r="K55" s="148" t="n">
        <f aca="false">IF(AND(ISNUMBER(K53),ISNUMBER(Amortize!K34)),K53+Amortize!K34,"SLO 不可達")</f>
        <v>3.70418049536136</v>
      </c>
      <c r="L55" s="148" t="n">
        <f aca="false">IF(AND(ISNUMBER(L53),ISNUMBER(Amortize!L34)),L53+Amortize!L34,"SLO 不可達")</f>
        <v>0.694098896000639</v>
      </c>
      <c r="M55" s="148" t="n">
        <f aca="false">IF(AND(ISNUMBER(M53),ISNUMBER(Amortize!M34)),M53+Amortize!M34,"SLO 不可達")</f>
        <v>0.900355377017197</v>
      </c>
      <c r="N55" s="148" t="n">
        <f aca="false">IF(AND(ISNUMBER(N53),ISNUMBER(Amortize!N34)),N53+Amortize!N34,"SLO 不可達")</f>
        <v>1.45849364058456</v>
      </c>
      <c r="O55" s="148" t="n">
        <f aca="false">IF(AND(ISNUMBER(O53),ISNUMBER(Amortize!O34)),O53+Amortize!O34,"SLO 不可達")</f>
        <v>0.502623892596278</v>
      </c>
      <c r="P55" s="148" t="n">
        <f aca="false">IF(AND(ISNUMBER(P53),ISNUMBER(Amortize!P34)),P53+Amortize!P34,"SLO 不可達")</f>
        <v>0.772450035565685</v>
      </c>
      <c r="Q55" s="148" t="n">
        <f aca="false">IF(AND(ISNUMBER(Q53),ISNUMBER(Amortize!Q34)),Q53+Amortize!Q34,"SLO 不可達")</f>
        <v>1.41541378491325</v>
      </c>
    </row>
    <row r="56" customFormat="false" ht="15" hidden="false" customHeight="false" outlineLevel="0" collapsed="false">
      <c r="A56" s="5" t="s">
        <v>1373</v>
      </c>
      <c r="B56" s="54" t="s">
        <v>758</v>
      </c>
      <c r="C56" s="149" t="n">
        <f aca="false">IF(AND(ISNUMBER(C53),ISNUMBER(Amortize!C47)),C53+Amortize!C47,"SLO 不可達")</f>
        <v>12.1259494958246</v>
      </c>
      <c r="D56" s="149" t="n">
        <f aca="false">IF(AND(ISNUMBER(D53),ISNUMBER(Amortize!D47)),D53+Amortize!D47,"SLO 不可達")</f>
        <v>17.4882236341092</v>
      </c>
      <c r="E56" s="149" t="n">
        <f aca="false">IF(AND(ISNUMBER(E53),ISNUMBER(Amortize!E47)),E53+Amortize!E47,"SLO 不可達")</f>
        <v>30.1504691923057</v>
      </c>
      <c r="F56" s="149" t="n">
        <f aca="false">IF(AND(ISNUMBER(F53),ISNUMBER(Amortize!F47)),F53+Amortize!F47,"SLO 不可達")</f>
        <v>2.47874275603365</v>
      </c>
      <c r="G56" s="149" t="n">
        <f aca="false">IF(AND(ISNUMBER(G53),ISNUMBER(Amortize!G47)),G53+Amortize!G47,"SLO 不可達")</f>
        <v>3.33624632374847</v>
      </c>
      <c r="H56" s="149" t="n">
        <f aca="false">IF(AND(ISNUMBER(H53),ISNUMBER(Amortize!H47)),H53+Amortize!H47,"SLO 不可達")</f>
        <v>5.42709231808209</v>
      </c>
      <c r="I56" s="149" t="n">
        <f aca="false">IF(AND(ISNUMBER(I53),ISNUMBER(Amortize!I47)),I53+Amortize!I47,"SLO 不可達")</f>
        <v>2.50359127783313</v>
      </c>
      <c r="J56" s="149" t="n">
        <f aca="false">IF(AND(ISNUMBER(J53),ISNUMBER(Amortize!J47)),J53+Amortize!J47,"SLO 不可達")</f>
        <v>3.65821842869405</v>
      </c>
      <c r="K56" s="149" t="n">
        <f aca="false">IF(AND(ISNUMBER(K53),ISNUMBER(Amortize!K47)),K53+Amortize!K47,"SLO 不可達")</f>
        <v>6.86207401823829</v>
      </c>
      <c r="L56" s="149" t="n">
        <f aca="false">IF(AND(ISNUMBER(L53),ISNUMBER(Amortize!L47)),L53+Amortize!L47,"SLO 不可達")</f>
        <v>1.4399516196049</v>
      </c>
      <c r="M56" s="149" t="n">
        <f aca="false">IF(AND(ISNUMBER(M53),ISNUMBER(Amortize!M47)),M53+Amortize!M47,"SLO 不可達")</f>
        <v>1.86792310099083</v>
      </c>
      <c r="N56" s="149" t="n">
        <f aca="false">IF(AND(ISNUMBER(N53),ISNUMBER(Amortize!N47)),N53+Amortize!N47,"SLO 不可達")</f>
        <v>3.02603099801212</v>
      </c>
      <c r="O56" s="149" t="n">
        <f aca="false">IF(AND(ISNUMBER(O53),ISNUMBER(Amortize!O47)),O53+Amortize!O47,"SLO 不可達")</f>
        <v>1.06974114187471</v>
      </c>
      <c r="P56" s="149" t="n">
        <f aca="false">IF(AND(ISNUMBER(P53),ISNUMBER(Amortize!P47)),P53+Amortize!P47,"SLO 不可達")</f>
        <v>1.64418091652518</v>
      </c>
      <c r="Q56" s="149" t="n">
        <f aca="false">IF(AND(ISNUMBER(Q53),ISNUMBER(Amortize!Q47)),Q53+Amortize!Q47,"SLO 不可達")</f>
        <v>3.01300288173229</v>
      </c>
    </row>
    <row r="57" customFormat="false" ht="15" hidden="false" customHeight="false" outlineLevel="0" collapsed="false">
      <c r="A57" s="5" t="s">
        <v>1359</v>
      </c>
      <c r="B57" s="54" t="s">
        <v>71</v>
      </c>
      <c r="C57" s="78" t="n">
        <f aca="false">IF(ISNUMBER(C53),1-C53/INDEX(B4_EffRef,1,3),"SLO 不可達")</f>
        <v>0.671961445880437</v>
      </c>
      <c r="D57" s="78" t="n">
        <f aca="false">IF(ISNUMBER(D53),1-D53/INDEX(B4_EffRef,1,3),"SLO 不可達")</f>
        <v>0.52689948601993</v>
      </c>
      <c r="E57" s="78" t="n">
        <f aca="false">IF(ISNUMBER(E53),1-E53/INDEX(B4_EffRef,1,3),"SLO 不可達")</f>
        <v>0.184356357948046</v>
      </c>
      <c r="F57" s="78" t="n">
        <f aca="false">IF(ISNUMBER(F53),1-F53/INDEX(B4_EffRef,1,3),"SLO 不可達")</f>
        <v>0.935849281051731</v>
      </c>
      <c r="G57" s="78" t="n">
        <f aca="false">IF(ISNUMBER(G53),1-G53/INDEX(B4_EffRef,1,3),"SLO 不可達")</f>
        <v>0.91365842274334</v>
      </c>
      <c r="H57" s="78" t="n">
        <f aca="false">IF(ISNUMBER(H53),1-H53/INDEX(B4_EffRef,1,3),"SLO 不可達")</f>
        <v>0.859550581153165</v>
      </c>
      <c r="I57" s="78" t="n">
        <f aca="false">IF(ISNUMBER(I53),1-I53/INDEX(B4_EffRef,1,3),"SLO 不可達")</f>
        <v>0.931043240232885</v>
      </c>
      <c r="J57" s="78" t="n">
        <f aca="false">IF(ISNUMBER(J53),1-J53/INDEX(B4_EffRef,1,3),"SLO 不可達")</f>
        <v>0.899242191333042</v>
      </c>
      <c r="K57" s="78" t="n">
        <f aca="false">IF(ISNUMBER(K53),1-K53/INDEX(B4_EffRef,1,3),"SLO 不可達")</f>
        <v>0.81100074629586</v>
      </c>
      <c r="L57" s="78" t="n">
        <f aca="false">IF(ISNUMBER(L53),1-L53/INDEX(B4_EffRef,1,3),"SLO 不可達")</f>
        <v>0.964584832325189</v>
      </c>
      <c r="M57" s="78" t="n">
        <f aca="false">IF(ISNUMBER(M53),1-M53/INDEX(B4_EffRef,1,3),"SLO 不可達")</f>
        <v>0.954060960437037</v>
      </c>
      <c r="N57" s="78" t="n">
        <f aca="false">IF(ISNUMBER(N53),1-N53/INDEX(B4_EffRef,1,3),"SLO 不可達")</f>
        <v>0.925582943393846</v>
      </c>
      <c r="O57" s="78" t="n">
        <f aca="false">IF(ISNUMBER(O53),1-O53/INDEX(B4_EffRef,1,3),"SLO 不可達")</f>
        <v>0.974354505480085</v>
      </c>
      <c r="P57" s="78" t="n">
        <f aca="false">IF(ISNUMBER(P53),1-P53/INDEX(B4_EffRef,1,3),"SLO 不可達")</f>
        <v>0.960587104103466</v>
      </c>
      <c r="Q57" s="78" t="n">
        <f aca="false">IF(ISNUMBER(Q53),1-Q53/INDEX(B4_EffRef,1,3),"SLO 不可達")</f>
        <v>0.927781016781943</v>
      </c>
    </row>
    <row r="58" customFormat="false" ht="15" hidden="false" customHeight="false" outlineLevel="0" collapsed="false">
      <c r="A58" s="5" t="s">
        <v>1360</v>
      </c>
      <c r="B58" s="54" t="s">
        <v>71</v>
      </c>
      <c r="C58" s="78" t="n">
        <f aca="false">IF(ISNUMBER(C54),1-C54/INDEX(B4_EffRef,1,3),"SLO 不可達")</f>
        <v>0.13107147476186</v>
      </c>
      <c r="D58" s="78" t="n">
        <f aca="false">IF(ISNUMBER(D54),1-D54/INDEX(B4_EffRef,1,3),"SLO 不可達")</f>
        <v>-0.253197748225594</v>
      </c>
      <c r="E58" s="78" t="n">
        <f aca="false">IF(ISNUMBER(E54),1-E54/INDEX(B4_EffRef,1,3),"SLO 不可達")</f>
        <v>-1.16059471012002</v>
      </c>
      <c r="F58" s="78" t="n">
        <f aca="false">IF(ISNUMBER(F54),1-F54/INDEX(B4_EffRef,1,3),"SLO 不可達")</f>
        <v>0.884286200925818</v>
      </c>
      <c r="G58" s="78" t="n">
        <f aca="false">IF(ISNUMBER(G54),1-G54/INDEX(B4_EffRef,1,3),"SLO 不可達")</f>
        <v>0.844251041588484</v>
      </c>
      <c r="H58" s="78" t="n">
        <f aca="false">IF(ISNUMBER(H54),1-H54/INDEX(B4_EffRef,1,3),"SLO 不可達")</f>
        <v>0.746633543907341</v>
      </c>
      <c r="I58" s="78" t="n">
        <f aca="false">IF(ISNUMBER(I54),1-I54/INDEX(B4_EffRef,1,3),"SLO 不可達")</f>
        <v>0.88388453537506</v>
      </c>
      <c r="J58" s="78" t="n">
        <f aca="false">IF(ISNUMBER(J54),1-J54/INDEX(B4_EffRef,1,3),"SLO 不可達")</f>
        <v>0.830326363285234</v>
      </c>
      <c r="K58" s="78" t="n">
        <f aca="false">IF(ISNUMBER(K54),1-K54/INDEX(B4_EffRef,1,3),"SLO 不可達")</f>
        <v>0.681713324965621</v>
      </c>
      <c r="L58" s="78" t="n">
        <f aca="false">IF(ISNUMBER(L54),1-L54/INDEX(B4_EffRef,1,3),"SLO 不可達")</f>
        <v>0.948539484524141</v>
      </c>
      <c r="M58" s="78" t="n">
        <f aca="false">IF(ISNUMBER(M54),1-M54/INDEX(B4_EffRef,1,3),"SLO 不可達")</f>
        <v>0.933243878941621</v>
      </c>
      <c r="N58" s="78" t="n">
        <f aca="false">IF(ISNUMBER(N54),1-N54/INDEX(B4_EffRef,1,3),"SLO 不可達")</f>
        <v>0.891853360214823</v>
      </c>
      <c r="O58" s="78" t="n">
        <f aca="false">IF(ISNUMBER(O54),1-O54/INDEX(B4_EffRef,1,3),"SLO 不可達")</f>
        <v>0.965392059766074</v>
      </c>
      <c r="P58" s="78" t="n">
        <f aca="false">IF(ISNUMBER(P54),1-P54/INDEX(B4_EffRef,1,3),"SLO 不可達")</f>
        <v>0.946808085354381</v>
      </c>
      <c r="Q58" s="78" t="n">
        <f aca="false">IF(ISNUMBER(Q54),1-Q54/INDEX(B4_EffRef,1,3),"SLO 不可達")</f>
        <v>0.902524674807035</v>
      </c>
    </row>
    <row r="59" customFormat="false" ht="15" hidden="false" customHeight="false" outlineLevel="0" collapsed="false">
      <c r="A59" s="5" t="s">
        <v>1361</v>
      </c>
      <c r="B59" s="54" t="s">
        <v>71</v>
      </c>
      <c r="C59" s="78" t="n">
        <f aca="false">IF(ISNUMBER(C55),1-C55/INDEX(B4_EffRef,1,3),"SLO 不可達")</f>
        <v>0.199905965562042</v>
      </c>
      <c r="D59" s="78" t="n">
        <f aca="false">IF(ISNUMBER(D55),1-D55/INDEX(B4_EffRef,1,3),"SLO 不可達")</f>
        <v>-0.153903692634318</v>
      </c>
      <c r="E59" s="78" t="n">
        <f aca="false">IF(ISNUMBER(E55),1-E55/INDEX(B4_EffRef,1,3),"SLO 不可達")</f>
        <v>-0.989374736712084</v>
      </c>
      <c r="F59" s="78" t="n">
        <f aca="false">IF(ISNUMBER(F55),1-F55/INDEX(B4_EffRef,1,3),"SLO 不可達")</f>
        <v>0.84353483183349</v>
      </c>
      <c r="G59" s="78" t="n">
        <f aca="false">IF(ISNUMBER(G55),1-G55/INDEX(B4_EffRef,1,3),"SLO 不可達")</f>
        <v>0.789410787178878</v>
      </c>
      <c r="H59" s="78" t="n">
        <f aca="false">IF(ISNUMBER(H55),1-H55/INDEX(B4_EffRef,1,3),"SLO 不可達")</f>
        <v>0.657440441836986</v>
      </c>
      <c r="I59" s="78" t="n">
        <f aca="false">IF(ISNUMBER(I55),1-I55/INDEX(B4_EffRef,1,3),"SLO 不可達")</f>
        <v>0.831812781055816</v>
      </c>
      <c r="J59" s="78" t="n">
        <f aca="false">IF(ISNUMBER(J55),1-J55/INDEX(B4_EffRef,1,3),"SLO 不可達")</f>
        <v>0.75424924715376</v>
      </c>
      <c r="K59" s="78" t="n">
        <f aca="false">IF(ISNUMBER(K55),1-K55/INDEX(B4_EffRef,1,3),"SLO 不可達")</f>
        <v>0.539026210477707</v>
      </c>
      <c r="L59" s="78" t="n">
        <f aca="false">IF(ISNUMBER(L55),1-L55/INDEX(B4_EffRef,1,3),"SLO 不可達")</f>
        <v>0.913621542256558</v>
      </c>
      <c r="M59" s="78" t="n">
        <f aca="false">IF(ISNUMBER(M55),1-M55/INDEX(B4_EffRef,1,3),"SLO 不可達")</f>
        <v>0.887953562041555</v>
      </c>
      <c r="N59" s="78" t="n">
        <f aca="false">IF(ISNUMBER(N55),1-N55/INDEX(B4_EffRef,1,3),"SLO 不可達")</f>
        <v>0.81849498388743</v>
      </c>
      <c r="O59" s="78" t="n">
        <f aca="false">IF(ISNUMBER(O55),1-O55/INDEX(B4_EffRef,1,3),"SLO 不可達")</f>
        <v>0.937450013366061</v>
      </c>
      <c r="P59" s="78" t="n">
        <f aca="false">IF(ISNUMBER(P55),1-P55/INDEX(B4_EffRef,1,3),"SLO 不可達")</f>
        <v>0.903870985618208</v>
      </c>
      <c r="Q59" s="78" t="n">
        <f aca="false">IF(ISNUMBER(Q55),1-Q55/INDEX(B4_EffRef,1,3),"SLO 不可達")</f>
        <v>0.823856138492544</v>
      </c>
    </row>
    <row r="60" customFormat="false" ht="15" hidden="false" customHeight="false" outlineLevel="0" collapsed="false">
      <c r="A60" s="5" t="s">
        <v>1362</v>
      </c>
      <c r="B60" s="54" t="s">
        <v>71</v>
      </c>
      <c r="C60" s="111" t="n">
        <f aca="false">IF(ISNUMBER(C56),1-C56/INDEX(B4_EffRef,1,3),"SLO 不可達")</f>
        <v>-0.509036856504717</v>
      </c>
      <c r="D60" s="111" t="n">
        <f aca="false">IF(ISNUMBER(D56),1-D56/INDEX(B4_EffRef,1,3),"SLO 不可達")</f>
        <v>-1.17635526420054</v>
      </c>
      <c r="E60" s="111" t="n">
        <f aca="false">IF(ISNUMBER(E56),1-E56/INDEX(B4_EffRef,1,3),"SLO 不可達")</f>
        <v>-2.75213250457344</v>
      </c>
      <c r="F60" s="111" t="n">
        <f aca="false">IF(ISNUMBER(F56),1-F56/INDEX(B4_EffRef,1,3),"SLO 不可達")</f>
        <v>0.691528141533424</v>
      </c>
      <c r="G60" s="111" t="n">
        <f aca="false">IF(ISNUMBER(G56),1-G56/INDEX(B4_EffRef,1,3),"SLO 不可達")</f>
        <v>0.584814478515816</v>
      </c>
      <c r="H60" s="111" t="n">
        <f aca="false">IF(ISNUMBER(H56),1-H56/INDEX(B4_EffRef,1,3),"SLO 不可達")</f>
        <v>0.32461517059266</v>
      </c>
      <c r="I60" s="111" t="n">
        <f aca="false">IF(ISNUMBER(I56),1-I56/INDEX(B4_EffRef,1,3),"SLO 不可達")</f>
        <v>0.688435819959926</v>
      </c>
      <c r="J60" s="111" t="n">
        <f aca="false">IF(ISNUMBER(J56),1-J56/INDEX(B4_EffRef,1,3),"SLO 不可達")</f>
        <v>0.54474604731407</v>
      </c>
      <c r="K60" s="111" t="n">
        <f aca="false">IF(ISNUMBER(K56),1-K56/INDEX(B4_EffRef,1,3),"SLO 不可達")</f>
        <v>0.146036142641805</v>
      </c>
      <c r="L60" s="111" t="n">
        <f aca="false">IF(ISNUMBER(L56),1-L56/INDEX(B4_EffRef,1,3),"SLO 不可達")</f>
        <v>0.820802480967311</v>
      </c>
      <c r="M60" s="111" t="n">
        <f aca="false">IF(ISNUMBER(M56),1-M56/INDEX(B4_EffRef,1,3),"SLO 不可達")</f>
        <v>0.767542755684216</v>
      </c>
      <c r="N60" s="111" t="n">
        <f aca="false">IF(ISNUMBER(N56),1-N56/INDEX(B4_EffRef,1,3),"SLO 不可達")</f>
        <v>0.623419814959775</v>
      </c>
      <c r="O60" s="111" t="n">
        <f aca="false">IF(ISNUMBER(O56),1-O56/INDEX(B4_EffRef,1,3),"SLO 不可達")</f>
        <v>0.866874028251212</v>
      </c>
      <c r="P60" s="111" t="n">
        <f aca="false">IF(ISNUMBER(P56),1-P56/INDEX(B4_EffRef,1,3),"SLO 不可達")</f>
        <v>0.795386777534201</v>
      </c>
      <c r="Q60" s="111" t="n">
        <f aca="false">IF(ISNUMBER(Q56),1-Q56/INDEX(B4_EffRef,1,3),"SLO 不可達")</f>
        <v>0.625041123678227</v>
      </c>
    </row>
    <row r="61" customFormat="false" ht="15" hidden="false" customHeight="false" outlineLevel="0" collapsed="false">
      <c r="A61" s="5" t="s">
        <v>1363</v>
      </c>
      <c r="B61" s="54" t="s">
        <v>71</v>
      </c>
      <c r="C61" s="78" t="n">
        <f aca="false">IF(ISNUMBER(C55),1-C55/INDEX(B4_FrontRef,1,3),"SLO 不可達")</f>
        <v>0.16959241431468</v>
      </c>
      <c r="D61" s="78" t="n">
        <f aca="false">IF(ISNUMBER(D55),1-D55/INDEX(B4_FrontRef,1,3),"SLO 不可達")</f>
        <v>-0.197622202228959</v>
      </c>
      <c r="E61" s="78" t="n">
        <f aca="false">IF(ISNUMBER(E55),1-E55/INDEX(B4_FrontRef,1,3),"SLO 不可達")</f>
        <v>-1.06474714349911</v>
      </c>
      <c r="F61" s="78" t="n">
        <f aca="false">IF(ISNUMBER(F55),1-F55/INDEX(B4_FrontRef,1,3),"SLO 不可達")</f>
        <v>0.837606760020063</v>
      </c>
      <c r="G61" s="78" t="n">
        <f aca="false">IF(ISNUMBER(G55),1-G55/INDEX(B4_FrontRef,1,3),"SLO 不可達")</f>
        <v>0.781432091400351</v>
      </c>
      <c r="H61" s="78" t="n">
        <f aca="false">IF(ISNUMBER(H55),1-H55/INDEX(B4_FrontRef,1,3),"SLO 不可達")</f>
        <v>0.644461721493267</v>
      </c>
      <c r="I61" s="78" t="n">
        <f aca="false">IF(ISNUMBER(I55),1-I55/INDEX(B4_FrontRef,1,3),"SLO 不可達")</f>
        <v>0.825440590211777</v>
      </c>
      <c r="J61" s="78" t="n">
        <f aca="false">IF(ISNUMBER(J55),1-J55/INDEX(B4_FrontRef,1,3),"SLO 不可達")</f>
        <v>0.744938369032146</v>
      </c>
      <c r="K61" s="78" t="n">
        <f aca="false">IF(ISNUMBER(K55),1-K55/INDEX(B4_FrontRef,1,3),"SLO 不可達")</f>
        <v>0.521561072642764</v>
      </c>
      <c r="L61" s="78" t="n">
        <f aca="false">IF(ISNUMBER(L55),1-L55/INDEX(B4_FrontRef,1,3),"SLO 不可達")</f>
        <v>0.910348879678448</v>
      </c>
      <c r="M61" s="78" t="n">
        <f aca="false">IF(ISNUMBER(M55),1-M55/INDEX(B4_FrontRef,1,3),"SLO 不可達")</f>
        <v>0.883708404231418</v>
      </c>
      <c r="N61" s="78" t="n">
        <f aca="false">IF(ISNUMBER(N55),1-N55/INDEX(B4_FrontRef,1,3),"SLO 不可達")</f>
        <v>0.811618215194302</v>
      </c>
      <c r="O61" s="78" t="n">
        <f aca="false">IF(ISNUMBER(O55),1-O55/INDEX(B4_FrontRef,1,3),"SLO 不可達")</f>
        <v>0.935080151645142</v>
      </c>
      <c r="P61" s="78" t="n">
        <f aca="false">IF(ISNUMBER(P55),1-P55/INDEX(B4_FrontRef,1,3),"SLO 不可達")</f>
        <v>0.900228898965397</v>
      </c>
      <c r="Q61" s="78" t="n">
        <f aca="false">IF(ISNUMBER(Q55),1-Q55/INDEX(B4_FrontRef,1,3),"SLO 不可達")</f>
        <v>0.817182490467577</v>
      </c>
    </row>
    <row r="63" customFormat="false" ht="15" hidden="false" customHeight="false" outlineLevel="0" collapsed="false">
      <c r="A63" s="68" t="s">
        <v>1374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</row>
    <row r="64" customFormat="false" ht="15" hidden="false" customHeight="false" outlineLevel="0" collapsed="false">
      <c r="A64" s="6" t="s">
        <v>1375</v>
      </c>
      <c r="B64" s="54" t="s">
        <v>1349</v>
      </c>
      <c r="C64" s="88" t="n">
        <f aca="false">IF(Fleet_1GW!C18=1,Fleet_1GW!C21*INDEX(B4_EffRef,1,1)/1000000000,"SLO 不可達")</f>
        <v>0.0656538975388793</v>
      </c>
      <c r="D64" s="88" t="n">
        <f aca="false">IF(Fleet_1GW!D18=1,Fleet_1GW!D21*INDEX(B4_EffRef,1,1)/1000000000,"SLO 不可達")</f>
        <v>0.0656538975388793</v>
      </c>
      <c r="E64" s="88" t="n">
        <f aca="false">IF(Fleet_1GW!E18=1,Fleet_1GW!E21*INDEX(B4_EffRef,1,1)/1000000000,"SLO 不可達")</f>
        <v>0.0656538975388793</v>
      </c>
      <c r="F64" s="88" t="n">
        <f aca="false">IF(Fleet_1GW!F18=1,Fleet_1GW!F21*INDEX(B4_EffRef,1,1)/1000000000,"SLO 不可達")</f>
        <v>0.330731407559226</v>
      </c>
      <c r="G64" s="88" t="n">
        <f aca="false">IF(Fleet_1GW!G18=1,Fleet_1GW!G21*INDEX(B4_EffRef,1,1)/1000000000,"SLO 不可達")</f>
        <v>0.330731407559226</v>
      </c>
      <c r="H64" s="88" t="n">
        <f aca="false">IF(Fleet_1GW!H18=1,Fleet_1GW!H21*INDEX(B4_EffRef,1,1)/1000000000,"SLO 不可達")</f>
        <v>0.330731407559226</v>
      </c>
      <c r="I64" s="88" t="n">
        <f aca="false">IF(Fleet_1GW!I18=1,Fleet_1GW!I21*INDEX(B4_EffRef,1,1)/1000000000,"SLO 不可達")</f>
        <v>0.430577634420929</v>
      </c>
      <c r="J64" s="88" t="n">
        <f aca="false">IF(Fleet_1GW!J18=1,Fleet_1GW!J21*INDEX(B4_EffRef,1,1)/1000000000,"SLO 不可達")</f>
        <v>0.430577634420929</v>
      </c>
      <c r="K64" s="88" t="n">
        <f aca="false">IF(Fleet_1GW!K18=1,Fleet_1GW!K21*INDEX(B4_EffRef,1,1)/1000000000,"SLO 不可達")</f>
        <v>0.430577634420929</v>
      </c>
      <c r="L64" s="88" t="n">
        <f aca="false">IF(Fleet_1GW!L18=1,Fleet_1GW!L21*INDEX(B4_EffRef,1,1)/1000000000,"SLO 不可達")</f>
        <v>0.798749212524483</v>
      </c>
      <c r="M64" s="88" t="n">
        <f aca="false">IF(Fleet_1GW!M18=1,Fleet_1GW!M21*INDEX(B4_EffRef,1,1)/1000000000,"SLO 不可達")</f>
        <v>0.798749212524483</v>
      </c>
      <c r="N64" s="88" t="n">
        <f aca="false">IF(Fleet_1GW!N18=1,Fleet_1GW!N21*INDEX(B4_EffRef,1,1)/1000000000,"SLO 不可達")</f>
        <v>0.798749212524483</v>
      </c>
      <c r="O64" s="88" t="n">
        <f aca="false">IF(Fleet_1GW!O18=1,Fleet_1GW!O21*INDEX(B4_EffRef,1,1)/1000000000,"SLO 不可達")</f>
        <v>1.12996107729852</v>
      </c>
      <c r="P64" s="88" t="n">
        <f aca="false">IF(Fleet_1GW!P18=1,Fleet_1GW!P21*INDEX(B4_EffRef,1,1)/1000000000,"SLO 不可達")</f>
        <v>1.12996107729852</v>
      </c>
      <c r="Q64" s="88" t="n">
        <f aca="false">IF(Fleet_1GW!Q18=1,Fleet_1GW!Q21*INDEX(B4_EffRef,1,1)/1000000000,"SLO 不可達")</f>
        <v>1.12996107729852</v>
      </c>
    </row>
    <row r="65" customFormat="false" ht="15" hidden="false" customHeight="false" outlineLevel="0" collapsed="false">
      <c r="A65" s="6" t="s">
        <v>1376</v>
      </c>
      <c r="B65" s="54" t="s">
        <v>1349</v>
      </c>
      <c r="C65" s="88" t="n">
        <f aca="false">IF(Fleet_1GW!C18=1,Fleet_1GW!C24*INDEX(B4_EffRef,1,2)/1000000000,"SLO 不可達")</f>
        <v>1.47721269462479</v>
      </c>
      <c r="D65" s="88" t="n">
        <f aca="false">IF(Fleet_1GW!D18=1,Fleet_1GW!D24*INDEX(B4_EffRef,1,2)/1000000000,"SLO 不可達")</f>
        <v>1.47721269462479</v>
      </c>
      <c r="E65" s="88" t="n">
        <f aca="false">IF(Fleet_1GW!E18=1,Fleet_1GW!E24*INDEX(B4_EffRef,1,2)/1000000000,"SLO 不可達")</f>
        <v>1.47721269462479</v>
      </c>
      <c r="F65" s="88" t="n">
        <f aca="false">IF(Fleet_1GW!F18=1,Fleet_1GW!F24*INDEX(B4_EffRef,1,2)/1000000000,"SLO 不可達")</f>
        <v>7.44145667008259</v>
      </c>
      <c r="G65" s="88" t="n">
        <f aca="false">IF(Fleet_1GW!G18=1,Fleet_1GW!G24*INDEX(B4_EffRef,1,2)/1000000000,"SLO 不可達")</f>
        <v>7.44145667008259</v>
      </c>
      <c r="H65" s="88" t="n">
        <f aca="false">IF(Fleet_1GW!H18=1,Fleet_1GW!H24*INDEX(B4_EffRef,1,2)/1000000000,"SLO 不可達")</f>
        <v>7.44145667008259</v>
      </c>
      <c r="I65" s="88" t="n">
        <f aca="false">IF(Fleet_1GW!I18=1,Fleet_1GW!I24*INDEX(B4_EffRef,1,2)/1000000000,"SLO 不可達")</f>
        <v>9.6879967744709</v>
      </c>
      <c r="J65" s="88" t="n">
        <f aca="false">IF(Fleet_1GW!J18=1,Fleet_1GW!J24*INDEX(B4_EffRef,1,2)/1000000000,"SLO 不可達")</f>
        <v>9.6879967744709</v>
      </c>
      <c r="K65" s="88" t="n">
        <f aca="false">IF(Fleet_1GW!K18=1,Fleet_1GW!K24*INDEX(B4_EffRef,1,2)/1000000000,"SLO 不可達")</f>
        <v>9.6879967744709</v>
      </c>
      <c r="L65" s="88" t="n">
        <f aca="false">IF(Fleet_1GW!L18=1,Fleet_1GW!L24*INDEX(B4_EffRef,1,2)/1000000000,"SLO 不可達")</f>
        <v>17.9718572818009</v>
      </c>
      <c r="M65" s="88" t="n">
        <f aca="false">IF(Fleet_1GW!M18=1,Fleet_1GW!M24*INDEX(B4_EffRef,1,2)/1000000000,"SLO 不可達")</f>
        <v>17.9718572818009</v>
      </c>
      <c r="N65" s="88" t="n">
        <f aca="false">IF(Fleet_1GW!N18=1,Fleet_1GW!N24*INDEX(B4_EffRef,1,2)/1000000000,"SLO 不可達")</f>
        <v>17.9718572818009</v>
      </c>
      <c r="O65" s="88" t="n">
        <f aca="false">IF(Fleet_1GW!O18=1,Fleet_1GW!O24*INDEX(B4_EffRef,1,2)/1000000000,"SLO 不可達")</f>
        <v>25.4241242392166</v>
      </c>
      <c r="P65" s="88" t="n">
        <f aca="false">IF(Fleet_1GW!P18=1,Fleet_1GW!P24*INDEX(B4_EffRef,1,2)/1000000000,"SLO 不可達")</f>
        <v>25.4241242392166</v>
      </c>
      <c r="Q65" s="88" t="n">
        <f aca="false">IF(Fleet_1GW!Q18=1,Fleet_1GW!Q24*INDEX(B4_EffRef,1,2)/1000000000,"SLO 不可達")</f>
        <v>25.4241242392166</v>
      </c>
    </row>
    <row r="66" customFormat="false" ht="15" hidden="false" customHeight="false" outlineLevel="0" collapsed="false">
      <c r="A66" s="6" t="s">
        <v>1377</v>
      </c>
      <c r="B66" s="54" t="s">
        <v>1349</v>
      </c>
      <c r="C66" s="88" t="n">
        <f aca="false">IF(Fleet_1GW!C18=1,Fleet_1GW!C27*INDEX(B4_EffRef,1,3)/1000000000,"SLO 不可達")</f>
        <v>2.46202115770797</v>
      </c>
      <c r="D66" s="88" t="n">
        <f aca="false">IF(Fleet_1GW!D18=1,Fleet_1GW!D27*INDEX(B4_EffRef,1,3)/1000000000,"SLO 不可達")</f>
        <v>2.46202115770797</v>
      </c>
      <c r="E66" s="88" t="n">
        <f aca="false">IF(Fleet_1GW!E18=1,Fleet_1GW!E27*INDEX(B4_EffRef,1,3)/1000000000,"SLO 不可達")</f>
        <v>2.46202115770797</v>
      </c>
      <c r="F66" s="88" t="n">
        <f aca="false">IF(Fleet_1GW!F18=1,Fleet_1GW!F27*INDEX(B4_EffRef,1,3)/1000000000,"SLO 不可達")</f>
        <v>12.402427783471</v>
      </c>
      <c r="G66" s="88" t="n">
        <f aca="false">IF(Fleet_1GW!G18=1,Fleet_1GW!G27*INDEX(B4_EffRef,1,3)/1000000000,"SLO 不可達")</f>
        <v>12.402427783471</v>
      </c>
      <c r="H66" s="88" t="n">
        <f aca="false">IF(Fleet_1GW!H18=1,Fleet_1GW!H27*INDEX(B4_EffRef,1,3)/1000000000,"SLO 不可達")</f>
        <v>12.402427783471</v>
      </c>
      <c r="I66" s="88" t="n">
        <f aca="false">IF(Fleet_1GW!I18=1,Fleet_1GW!I27*INDEX(B4_EffRef,1,3)/1000000000,"SLO 不可達")</f>
        <v>16.1466612907848</v>
      </c>
      <c r="J66" s="88" t="n">
        <f aca="false">IF(Fleet_1GW!J18=1,Fleet_1GW!J27*INDEX(B4_EffRef,1,3)/1000000000,"SLO 不可達")</f>
        <v>16.1466612907848</v>
      </c>
      <c r="K66" s="88" t="n">
        <f aca="false">IF(Fleet_1GW!K18=1,Fleet_1GW!K27*INDEX(B4_EffRef,1,3)/1000000000,"SLO 不可達")</f>
        <v>16.1466612907848</v>
      </c>
      <c r="L66" s="88" t="n">
        <f aca="false">IF(Fleet_1GW!L18=1,Fleet_1GW!L27*INDEX(B4_EffRef,1,3)/1000000000,"SLO 不可達")</f>
        <v>29.9530954696681</v>
      </c>
      <c r="M66" s="88" t="n">
        <f aca="false">IF(Fleet_1GW!M18=1,Fleet_1GW!M27*INDEX(B4_EffRef,1,3)/1000000000,"SLO 不可達")</f>
        <v>29.9530954696681</v>
      </c>
      <c r="N66" s="88" t="n">
        <f aca="false">IF(Fleet_1GW!N18=1,Fleet_1GW!N27*INDEX(B4_EffRef,1,3)/1000000000,"SLO 不可達")</f>
        <v>29.9530954696681</v>
      </c>
      <c r="O66" s="88" t="n">
        <f aca="false">IF(Fleet_1GW!O18=1,Fleet_1GW!O27*INDEX(B4_EffRef,1,3)/1000000000,"SLO 不可達")</f>
        <v>42.3735403986943</v>
      </c>
      <c r="P66" s="88" t="n">
        <f aca="false">IF(Fleet_1GW!P18=1,Fleet_1GW!P27*INDEX(B4_EffRef,1,3)/1000000000,"SLO 不可達")</f>
        <v>42.3735403986943</v>
      </c>
      <c r="Q66" s="88" t="n">
        <f aca="false">IF(Fleet_1GW!Q18=1,Fleet_1GW!Q27*INDEX(B4_EffRef,1,3)/1000000000,"SLO 不可達")</f>
        <v>42.3735403986943</v>
      </c>
    </row>
    <row r="67" customFormat="false" ht="26.85" hidden="false" customHeight="false" outlineLevel="0" collapsed="false">
      <c r="A67" s="5" t="s">
        <v>1378</v>
      </c>
      <c r="B67" s="54" t="s">
        <v>1349</v>
      </c>
      <c r="C67" s="152" t="n">
        <f aca="false">IF(Fleet_1GW!C18=1,(Fleet_1GW!C21*INDEX(B4_EffRef,1,1)+Fleet_1GW!C24*INDEX(B4_EffRef,1,2)+Fleet_1GW!C27*INDEX(B4_EffRef,1,3))/1000000000,"SLO 不可達")</f>
        <v>4.00488774987164</v>
      </c>
      <c r="D67" s="152" t="n">
        <f aca="false">IF(Fleet_1GW!D18=1,(Fleet_1GW!D21*INDEX(B4_EffRef,1,1)+Fleet_1GW!D24*INDEX(B4_EffRef,1,2)+Fleet_1GW!D27*INDEX(B4_EffRef,1,3))/1000000000,"SLO 不可達")</f>
        <v>4.00488774987164</v>
      </c>
      <c r="E67" s="152" t="n">
        <f aca="false">IF(Fleet_1GW!E18=1,(Fleet_1GW!E21*INDEX(B4_EffRef,1,1)+Fleet_1GW!E24*INDEX(B4_EffRef,1,2)+Fleet_1GW!E27*INDEX(B4_EffRef,1,3))/1000000000,"SLO 不可達")</f>
        <v>4.00488774987164</v>
      </c>
      <c r="F67" s="152" t="n">
        <f aca="false">IF(Fleet_1GW!F18=1,(Fleet_1GW!F21*INDEX(B4_EffRef,1,1)+Fleet_1GW!F24*INDEX(B4_EffRef,1,2)+Fleet_1GW!F27*INDEX(B4_EffRef,1,3))/1000000000,"SLO 不可達")</f>
        <v>20.1746158611128</v>
      </c>
      <c r="G67" s="152" t="n">
        <f aca="false">IF(Fleet_1GW!G18=1,(Fleet_1GW!G21*INDEX(B4_EffRef,1,1)+Fleet_1GW!G24*INDEX(B4_EffRef,1,2)+Fleet_1GW!G27*INDEX(B4_EffRef,1,3))/1000000000,"SLO 不可達")</f>
        <v>20.1746158611128</v>
      </c>
      <c r="H67" s="152" t="n">
        <f aca="false">IF(Fleet_1GW!H18=1,(Fleet_1GW!H21*INDEX(B4_EffRef,1,1)+Fleet_1GW!H24*INDEX(B4_EffRef,1,2)+Fleet_1GW!H27*INDEX(B4_EffRef,1,3))/1000000000,"SLO 不可達")</f>
        <v>20.1746158611128</v>
      </c>
      <c r="I67" s="152" t="n">
        <f aca="false">IF(Fleet_1GW!I18=1,(Fleet_1GW!I21*INDEX(B4_EffRef,1,1)+Fleet_1GW!I24*INDEX(B4_EffRef,1,2)+Fleet_1GW!I27*INDEX(B4_EffRef,1,3))/1000000000,"SLO 不可達")</f>
        <v>26.2652356996766</v>
      </c>
      <c r="J67" s="152" t="n">
        <f aca="false">IF(Fleet_1GW!J18=1,(Fleet_1GW!J21*INDEX(B4_EffRef,1,1)+Fleet_1GW!J24*INDEX(B4_EffRef,1,2)+Fleet_1GW!J27*INDEX(B4_EffRef,1,3))/1000000000,"SLO 不可達")</f>
        <v>26.2652356996766</v>
      </c>
      <c r="K67" s="152" t="n">
        <f aca="false">IF(Fleet_1GW!K18=1,(Fleet_1GW!K21*INDEX(B4_EffRef,1,1)+Fleet_1GW!K24*INDEX(B4_EffRef,1,2)+Fleet_1GW!K27*INDEX(B4_EffRef,1,3))/1000000000,"SLO 不可達")</f>
        <v>26.2652356996766</v>
      </c>
      <c r="L67" s="152" t="n">
        <f aca="false">IF(Fleet_1GW!L18=1,(Fleet_1GW!L21*INDEX(B4_EffRef,1,1)+Fleet_1GW!L24*INDEX(B4_EffRef,1,2)+Fleet_1GW!L27*INDEX(B4_EffRef,1,3))/1000000000,"SLO 不可達")</f>
        <v>48.7237019639935</v>
      </c>
      <c r="M67" s="152" t="n">
        <f aca="false">IF(Fleet_1GW!M18=1,(Fleet_1GW!M21*INDEX(B4_EffRef,1,1)+Fleet_1GW!M24*INDEX(B4_EffRef,1,2)+Fleet_1GW!M27*INDEX(B4_EffRef,1,3))/1000000000,"SLO 不可達")</f>
        <v>48.7237019639935</v>
      </c>
      <c r="N67" s="152" t="n">
        <f aca="false">IF(Fleet_1GW!N18=1,(Fleet_1GW!N21*INDEX(B4_EffRef,1,1)+Fleet_1GW!N24*INDEX(B4_EffRef,1,2)+Fleet_1GW!N27*INDEX(B4_EffRef,1,3))/1000000000,"SLO 不可達")</f>
        <v>48.7237019639935</v>
      </c>
      <c r="O67" s="152" t="n">
        <f aca="false">IF(Fleet_1GW!O18=1,(Fleet_1GW!O21*INDEX(B4_EffRef,1,1)+Fleet_1GW!O24*INDEX(B4_EffRef,1,2)+Fleet_1GW!O27*INDEX(B4_EffRef,1,3))/1000000000,"SLO 不可達")</f>
        <v>68.9276257152094</v>
      </c>
      <c r="P67" s="152" t="n">
        <f aca="false">IF(Fleet_1GW!P18=1,(Fleet_1GW!P21*INDEX(B4_EffRef,1,1)+Fleet_1GW!P24*INDEX(B4_EffRef,1,2)+Fleet_1GW!P27*INDEX(B4_EffRef,1,3))/1000000000,"SLO 不可達")</f>
        <v>68.9276257152094</v>
      </c>
      <c r="Q67" s="152" t="n">
        <f aca="false">IF(Fleet_1GW!Q18=1,(Fleet_1GW!Q21*INDEX(B4_EffRef,1,1)+Fleet_1GW!Q24*INDEX(B4_EffRef,1,2)+Fleet_1GW!Q27*INDEX(B4_EffRef,1,3))/1000000000,"SLO 不可達")</f>
        <v>68.9276257152094</v>
      </c>
    </row>
    <row r="68" customFormat="false" ht="15" hidden="false" customHeight="false" outlineLevel="0" collapsed="false">
      <c r="A68" s="6" t="s">
        <v>1379</v>
      </c>
      <c r="B68" s="54" t="s">
        <v>1349</v>
      </c>
      <c r="C68" s="88" t="n">
        <f aca="false">IF(Fleet_1GW!C18=1,Fleet_1GW!C21*INDEX(B4_FrontRef,1,1)/1000000000,"SLO 不可達")</f>
        <v>0.0656538975388793</v>
      </c>
      <c r="D68" s="88" t="n">
        <f aca="false">IF(Fleet_1GW!D18=1,Fleet_1GW!D21*INDEX(B4_FrontRef,1,1)/1000000000,"SLO 不可達")</f>
        <v>0.0656538975388793</v>
      </c>
      <c r="E68" s="88" t="n">
        <f aca="false">IF(Fleet_1GW!E18=1,Fleet_1GW!E21*INDEX(B4_FrontRef,1,1)/1000000000,"SLO 不可達")</f>
        <v>0.0656538975388793</v>
      </c>
      <c r="F68" s="88" t="n">
        <f aca="false">IF(Fleet_1GW!F18=1,Fleet_1GW!F21*INDEX(B4_FrontRef,1,1)/1000000000,"SLO 不可達")</f>
        <v>0.330731407559226</v>
      </c>
      <c r="G68" s="88" t="n">
        <f aca="false">IF(Fleet_1GW!G18=1,Fleet_1GW!G21*INDEX(B4_FrontRef,1,1)/1000000000,"SLO 不可達")</f>
        <v>0.330731407559226</v>
      </c>
      <c r="H68" s="88" t="n">
        <f aca="false">IF(Fleet_1GW!H18=1,Fleet_1GW!H21*INDEX(B4_FrontRef,1,1)/1000000000,"SLO 不可達")</f>
        <v>0.330731407559226</v>
      </c>
      <c r="I68" s="88" t="n">
        <f aca="false">IF(Fleet_1GW!I18=1,Fleet_1GW!I21*INDEX(B4_FrontRef,1,1)/1000000000,"SLO 不可達")</f>
        <v>0.430577634420929</v>
      </c>
      <c r="J68" s="88" t="n">
        <f aca="false">IF(Fleet_1GW!J18=1,Fleet_1GW!J21*INDEX(B4_FrontRef,1,1)/1000000000,"SLO 不可達")</f>
        <v>0.430577634420929</v>
      </c>
      <c r="K68" s="88" t="n">
        <f aca="false">IF(Fleet_1GW!K18=1,Fleet_1GW!K21*INDEX(B4_FrontRef,1,1)/1000000000,"SLO 不可達")</f>
        <v>0.430577634420929</v>
      </c>
      <c r="L68" s="88" t="n">
        <f aca="false">IF(Fleet_1GW!L18=1,Fleet_1GW!L21*INDEX(B4_FrontRef,1,1)/1000000000,"SLO 不可達")</f>
        <v>0.798749212524483</v>
      </c>
      <c r="M68" s="88" t="n">
        <f aca="false">IF(Fleet_1GW!M18=1,Fleet_1GW!M21*INDEX(B4_FrontRef,1,1)/1000000000,"SLO 不可達")</f>
        <v>0.798749212524483</v>
      </c>
      <c r="N68" s="88" t="n">
        <f aca="false">IF(Fleet_1GW!N18=1,Fleet_1GW!N21*INDEX(B4_FrontRef,1,1)/1000000000,"SLO 不可達")</f>
        <v>0.798749212524483</v>
      </c>
      <c r="O68" s="88" t="n">
        <f aca="false">IF(Fleet_1GW!O18=1,Fleet_1GW!O21*INDEX(B4_FrontRef,1,1)/1000000000,"SLO 不可達")</f>
        <v>1.12996107729852</v>
      </c>
      <c r="P68" s="88" t="n">
        <f aca="false">IF(Fleet_1GW!P18=1,Fleet_1GW!P21*INDEX(B4_FrontRef,1,1)/1000000000,"SLO 不可達")</f>
        <v>1.12996107729852</v>
      </c>
      <c r="Q68" s="88" t="n">
        <f aca="false">IF(Fleet_1GW!Q18=1,Fleet_1GW!Q21*INDEX(B4_FrontRef,1,1)/1000000000,"SLO 不可達")</f>
        <v>1.12996107729852</v>
      </c>
    </row>
    <row r="69" customFormat="false" ht="15" hidden="false" customHeight="false" outlineLevel="0" collapsed="false">
      <c r="A69" s="6" t="s">
        <v>1380</v>
      </c>
      <c r="B69" s="54" t="s">
        <v>1349</v>
      </c>
      <c r="C69" s="88" t="n">
        <f aca="false">IF(Fleet_1GW!C18=1,Fleet_1GW!C24*INDEX(B4_FrontRef,1,2)/1000000000,"SLO 不可達")</f>
        <v>1.47721269462478</v>
      </c>
      <c r="D69" s="88" t="n">
        <f aca="false">IF(Fleet_1GW!D18=1,Fleet_1GW!D24*INDEX(B4_FrontRef,1,2)/1000000000,"SLO 不可達")</f>
        <v>1.47721269462478</v>
      </c>
      <c r="E69" s="88" t="n">
        <f aca="false">IF(Fleet_1GW!E18=1,Fleet_1GW!E24*INDEX(B4_FrontRef,1,2)/1000000000,"SLO 不可達")</f>
        <v>1.47721269462478</v>
      </c>
      <c r="F69" s="88" t="n">
        <f aca="false">IF(Fleet_1GW!F18=1,Fleet_1GW!F24*INDEX(B4_FrontRef,1,2)/1000000000,"SLO 不可達")</f>
        <v>7.44145667008259</v>
      </c>
      <c r="G69" s="88" t="n">
        <f aca="false">IF(Fleet_1GW!G18=1,Fleet_1GW!G24*INDEX(B4_FrontRef,1,2)/1000000000,"SLO 不可達")</f>
        <v>7.44145667008259</v>
      </c>
      <c r="H69" s="88" t="n">
        <f aca="false">IF(Fleet_1GW!H18=1,Fleet_1GW!H24*INDEX(B4_FrontRef,1,2)/1000000000,"SLO 不可達")</f>
        <v>7.44145667008259</v>
      </c>
      <c r="I69" s="88" t="n">
        <f aca="false">IF(Fleet_1GW!I18=1,Fleet_1GW!I24*INDEX(B4_FrontRef,1,2)/1000000000,"SLO 不可達")</f>
        <v>9.68799677447089</v>
      </c>
      <c r="J69" s="88" t="n">
        <f aca="false">IF(Fleet_1GW!J18=1,Fleet_1GW!J24*INDEX(B4_FrontRef,1,2)/1000000000,"SLO 不可達")</f>
        <v>9.68799677447089</v>
      </c>
      <c r="K69" s="88" t="n">
        <f aca="false">IF(Fleet_1GW!K18=1,Fleet_1GW!K24*INDEX(B4_FrontRef,1,2)/1000000000,"SLO 不可達")</f>
        <v>9.68799677447089</v>
      </c>
      <c r="L69" s="88" t="n">
        <f aca="false">IF(Fleet_1GW!L18=1,Fleet_1GW!L24*INDEX(B4_FrontRef,1,2)/1000000000,"SLO 不可達")</f>
        <v>17.9718572818009</v>
      </c>
      <c r="M69" s="88" t="n">
        <f aca="false">IF(Fleet_1GW!M18=1,Fleet_1GW!M24*INDEX(B4_FrontRef,1,2)/1000000000,"SLO 不可達")</f>
        <v>17.9718572818009</v>
      </c>
      <c r="N69" s="88" t="n">
        <f aca="false">IF(Fleet_1GW!N18=1,Fleet_1GW!N24*INDEX(B4_FrontRef,1,2)/1000000000,"SLO 不可達")</f>
        <v>17.9718572818009</v>
      </c>
      <c r="O69" s="88" t="n">
        <f aca="false">IF(Fleet_1GW!O18=1,Fleet_1GW!O24*INDEX(B4_FrontRef,1,2)/1000000000,"SLO 不可達")</f>
        <v>25.4241242392166</v>
      </c>
      <c r="P69" s="88" t="n">
        <f aca="false">IF(Fleet_1GW!P18=1,Fleet_1GW!P24*INDEX(B4_FrontRef,1,2)/1000000000,"SLO 不可達")</f>
        <v>25.4241242392166</v>
      </c>
      <c r="Q69" s="88" t="n">
        <f aca="false">IF(Fleet_1GW!Q18=1,Fleet_1GW!Q24*INDEX(B4_FrontRef,1,2)/1000000000,"SLO 不可達")</f>
        <v>25.4241242392166</v>
      </c>
    </row>
    <row r="70" customFormat="false" ht="15" hidden="false" customHeight="false" outlineLevel="0" collapsed="false">
      <c r="A70" s="6" t="s">
        <v>1381</v>
      </c>
      <c r="B70" s="54" t="s">
        <v>1349</v>
      </c>
      <c r="C70" s="88" t="n">
        <f aca="false">IF(Fleet_1GW!C18=1,Fleet_1GW!C27*INDEX(B4_FrontRef,1,3)/1000000000,"SLO 不可達")</f>
        <v>2.37214649155271</v>
      </c>
      <c r="D70" s="88" t="n">
        <f aca="false">IF(Fleet_1GW!D18=1,Fleet_1GW!D27*INDEX(B4_FrontRef,1,3)/1000000000,"SLO 不可達")</f>
        <v>2.37214649155271</v>
      </c>
      <c r="E70" s="88" t="n">
        <f aca="false">IF(Fleet_1GW!E18=1,Fleet_1GW!E27*INDEX(B4_FrontRef,1,3)/1000000000,"SLO 不可達")</f>
        <v>2.37214649155271</v>
      </c>
      <c r="F70" s="88" t="n">
        <f aca="false">IF(Fleet_1GW!F18=1,Fleet_1GW!F27*INDEX(B4_FrontRef,1,3)/1000000000,"SLO 不可達")</f>
        <v>11.9496842913752</v>
      </c>
      <c r="G70" s="88" t="n">
        <f aca="false">IF(Fleet_1GW!G18=1,Fleet_1GW!G27*INDEX(B4_FrontRef,1,3)/1000000000,"SLO 不可達")</f>
        <v>11.9496842913752</v>
      </c>
      <c r="H70" s="88" t="n">
        <f aca="false">IF(Fleet_1GW!H18=1,Fleet_1GW!H27*INDEX(B4_FrontRef,1,3)/1000000000,"SLO 不可達")</f>
        <v>11.9496842913752</v>
      </c>
      <c r="I70" s="88" t="n">
        <f aca="false">IF(Fleet_1GW!I18=1,Fleet_1GW!I27*INDEX(B4_FrontRef,1,3)/1000000000,"SLO 不可達")</f>
        <v>15.5572367082672</v>
      </c>
      <c r="J70" s="88" t="n">
        <f aca="false">IF(Fleet_1GW!J18=1,Fleet_1GW!J27*INDEX(B4_FrontRef,1,3)/1000000000,"SLO 不可達")</f>
        <v>15.5572367082672</v>
      </c>
      <c r="K70" s="88" t="n">
        <f aca="false">IF(Fleet_1GW!K18=1,Fleet_1GW!K27*INDEX(B4_FrontRef,1,3)/1000000000,"SLO 不可達")</f>
        <v>15.5572367082672</v>
      </c>
      <c r="L70" s="88" t="n">
        <f aca="false">IF(Fleet_1GW!L18=1,Fleet_1GW!L27*INDEX(B4_FrontRef,1,3)/1000000000,"SLO 不可達")</f>
        <v>28.8596749492046</v>
      </c>
      <c r="M70" s="88" t="n">
        <f aca="false">IF(Fleet_1GW!M18=1,Fleet_1GW!M27*INDEX(B4_FrontRef,1,3)/1000000000,"SLO 不可達")</f>
        <v>28.8596749492046</v>
      </c>
      <c r="N70" s="88" t="n">
        <f aca="false">IF(Fleet_1GW!N18=1,Fleet_1GW!N27*INDEX(B4_FrontRef,1,3)/1000000000,"SLO 不可達")</f>
        <v>28.8596749492046</v>
      </c>
      <c r="O70" s="88" t="n">
        <f aca="false">IF(Fleet_1GW!O18=1,Fleet_1GW!O27*INDEX(B4_FrontRef,1,3)/1000000000,"SLO 不可達")</f>
        <v>40.8267186806004</v>
      </c>
      <c r="P70" s="88" t="n">
        <f aca="false">IF(Fleet_1GW!P18=1,Fleet_1GW!P27*INDEX(B4_FrontRef,1,3)/1000000000,"SLO 不可達")</f>
        <v>40.8267186806004</v>
      </c>
      <c r="Q70" s="88" t="n">
        <f aca="false">IF(Fleet_1GW!Q18=1,Fleet_1GW!Q27*INDEX(B4_FrontRef,1,3)/1000000000,"SLO 不可達")</f>
        <v>40.8267186806004</v>
      </c>
    </row>
    <row r="71" customFormat="false" ht="15" hidden="false" customHeight="false" outlineLevel="0" collapsed="false">
      <c r="A71" s="5" t="s">
        <v>1382</v>
      </c>
      <c r="B71" s="54" t="s">
        <v>1349</v>
      </c>
      <c r="C71" s="91" t="n">
        <f aca="false">IF(Fleet_1GW!C18=1,(Fleet_1GW!C21*INDEX(B4_FrontRef,1,1)+Fleet_1GW!C24*INDEX(B4_FrontRef,1,2)+Fleet_1GW!C27*INDEX(B4_FrontRef,1,3))/1000000000,"SLO 不可達")</f>
        <v>3.91501308371637</v>
      </c>
      <c r="D71" s="91" t="n">
        <f aca="false">IF(Fleet_1GW!D18=1,(Fleet_1GW!D21*INDEX(B4_FrontRef,1,1)+Fleet_1GW!D24*INDEX(B4_FrontRef,1,2)+Fleet_1GW!D27*INDEX(B4_FrontRef,1,3))/1000000000,"SLO 不可達")</f>
        <v>3.91501308371637</v>
      </c>
      <c r="E71" s="91" t="n">
        <f aca="false">IF(Fleet_1GW!E18=1,(Fleet_1GW!E21*INDEX(B4_FrontRef,1,1)+Fleet_1GW!E24*INDEX(B4_FrontRef,1,2)+Fleet_1GW!E27*INDEX(B4_FrontRef,1,3))/1000000000,"SLO 不可達")</f>
        <v>3.91501308371637</v>
      </c>
      <c r="F71" s="91" t="n">
        <f aca="false">IF(Fleet_1GW!F18=1,(Fleet_1GW!F21*INDEX(B4_FrontRef,1,1)+Fleet_1GW!F24*INDEX(B4_FrontRef,1,2)+Fleet_1GW!F27*INDEX(B4_FrontRef,1,3))/1000000000,"SLO 不可達")</f>
        <v>19.7218723690171</v>
      </c>
      <c r="G71" s="91" t="n">
        <f aca="false">IF(Fleet_1GW!G18=1,(Fleet_1GW!G21*INDEX(B4_FrontRef,1,1)+Fleet_1GW!G24*INDEX(B4_FrontRef,1,2)+Fleet_1GW!G27*INDEX(B4_FrontRef,1,3))/1000000000,"SLO 不可達")</f>
        <v>19.7218723690171</v>
      </c>
      <c r="H71" s="91" t="n">
        <f aca="false">IF(Fleet_1GW!H18=1,(Fleet_1GW!H21*INDEX(B4_FrontRef,1,1)+Fleet_1GW!H24*INDEX(B4_FrontRef,1,2)+Fleet_1GW!H27*INDEX(B4_FrontRef,1,3))/1000000000,"SLO 不可達")</f>
        <v>19.7218723690171</v>
      </c>
      <c r="I71" s="91" t="n">
        <f aca="false">IF(Fleet_1GW!I18=1,(Fleet_1GW!I21*INDEX(B4_FrontRef,1,1)+Fleet_1GW!I24*INDEX(B4_FrontRef,1,2)+Fleet_1GW!I27*INDEX(B4_FrontRef,1,3))/1000000000,"SLO 不可達")</f>
        <v>25.6758111171591</v>
      </c>
      <c r="J71" s="91" t="n">
        <f aca="false">IF(Fleet_1GW!J18=1,(Fleet_1GW!J21*INDEX(B4_FrontRef,1,1)+Fleet_1GW!J24*INDEX(B4_FrontRef,1,2)+Fleet_1GW!J27*INDEX(B4_FrontRef,1,3))/1000000000,"SLO 不可達")</f>
        <v>25.6758111171591</v>
      </c>
      <c r="K71" s="91" t="n">
        <f aca="false">IF(Fleet_1GW!K18=1,(Fleet_1GW!K21*INDEX(B4_FrontRef,1,1)+Fleet_1GW!K24*INDEX(B4_FrontRef,1,2)+Fleet_1GW!K27*INDEX(B4_FrontRef,1,3))/1000000000,"SLO 不可達")</f>
        <v>25.6758111171591</v>
      </c>
      <c r="L71" s="91" t="n">
        <f aca="false">IF(Fleet_1GW!L18=1,(Fleet_1GW!L21*INDEX(B4_FrontRef,1,1)+Fleet_1GW!L24*INDEX(B4_FrontRef,1,2)+Fleet_1GW!L27*INDEX(B4_FrontRef,1,3))/1000000000,"SLO 不可達")</f>
        <v>47.6302814435299</v>
      </c>
      <c r="M71" s="91" t="n">
        <f aca="false">IF(Fleet_1GW!M18=1,(Fleet_1GW!M21*INDEX(B4_FrontRef,1,1)+Fleet_1GW!M24*INDEX(B4_FrontRef,1,2)+Fleet_1GW!M27*INDEX(B4_FrontRef,1,3))/1000000000,"SLO 不可達")</f>
        <v>47.6302814435299</v>
      </c>
      <c r="N71" s="91" t="n">
        <f aca="false">IF(Fleet_1GW!N18=1,(Fleet_1GW!N21*INDEX(B4_FrontRef,1,1)+Fleet_1GW!N24*INDEX(B4_FrontRef,1,2)+Fleet_1GW!N27*INDEX(B4_FrontRef,1,3))/1000000000,"SLO 不可達")</f>
        <v>47.6302814435299</v>
      </c>
      <c r="O71" s="91" t="n">
        <f aca="false">IF(Fleet_1GW!O18=1,(Fleet_1GW!O21*INDEX(B4_FrontRef,1,1)+Fleet_1GW!O24*INDEX(B4_FrontRef,1,2)+Fleet_1GW!O27*INDEX(B4_FrontRef,1,3))/1000000000,"SLO 不可達")</f>
        <v>67.3808039971155</v>
      </c>
      <c r="P71" s="91" t="n">
        <f aca="false">IF(Fleet_1GW!P18=1,(Fleet_1GW!P21*INDEX(B4_FrontRef,1,1)+Fleet_1GW!P24*INDEX(B4_FrontRef,1,2)+Fleet_1GW!P27*INDEX(B4_FrontRef,1,3))/1000000000,"SLO 不可達")</f>
        <v>67.3808039971155</v>
      </c>
      <c r="Q71" s="91" t="n">
        <f aca="false">IF(Fleet_1GW!Q18=1,(Fleet_1GW!Q21*INDEX(B4_FrontRef,1,1)+Fleet_1GW!Q24*INDEX(B4_FrontRef,1,2)+Fleet_1GW!Q27*INDEX(B4_FrontRef,1,3))/1000000000,"SLO 不可達")</f>
        <v>67.3808039971155</v>
      </c>
    </row>
    <row r="72" customFormat="false" ht="15" hidden="false" customHeight="false" outlineLevel="0" collapsed="false">
      <c r="A72" s="5" t="s">
        <v>1383</v>
      </c>
      <c r="B72" s="54" t="s">
        <v>1349</v>
      </c>
      <c r="C72" s="67" t="n">
        <f aca="false">INDEX(IF_HoldEcon,1,C$7)</f>
        <v>7.0000433103819</v>
      </c>
      <c r="D72" s="67" t="n">
        <f aca="false">INDEX(IF_HoldEcon,1,D$7)</f>
        <v>10.0957952959174</v>
      </c>
      <c r="E72" s="67" t="n">
        <f aca="false">INDEX(IF_HoldEcon,1,E$7)</f>
        <v>17.4059720636914</v>
      </c>
      <c r="F72" s="67" t="n">
        <f aca="false">INDEX(IF_HoldEcon,1,F$7)</f>
        <v>6.81316695089878</v>
      </c>
      <c r="G72" s="67" t="n">
        <f aca="false">INDEX(IF_HoldEcon,1,G$7)</f>
        <v>9.17098191725462</v>
      </c>
      <c r="H72" s="67" t="n">
        <f aca="false">INDEX(IF_HoldEcon,1,H$7)</f>
        <v>14.9200285257983</v>
      </c>
      <c r="I72" s="67" t="n">
        <f aca="false">INDEX(IF_HoldEcon,1,I$7)</f>
        <v>8.70747076237914</v>
      </c>
      <c r="J72" s="67" t="n">
        <f aca="false">INDEX(IF_HoldEcon,1,J$7)</f>
        <v>12.7247463559608</v>
      </c>
      <c r="K72" s="67" t="n">
        <f aca="false">INDEX(IF_HoldEcon,1,K$7)</f>
        <v>23.87186935202</v>
      </c>
      <c r="L72" s="67" t="n">
        <f aca="false">INDEX(IF_HoldEcon,1,L$7)</f>
        <v>9.83668060375303</v>
      </c>
      <c r="M72" s="67" t="n">
        <f aca="false">INDEX(IF_HoldEcon,1,M$7)</f>
        <v>12.7620157762701</v>
      </c>
      <c r="N72" s="67" t="n">
        <f aca="false">INDEX(IF_HoldEcon,1,N$7)</f>
        <v>20.6780894215396</v>
      </c>
      <c r="O72" s="67" t="n">
        <f aca="false">INDEX(IF_HoldEcon,1,O$7)</f>
        <v>10.4522416094636</v>
      </c>
      <c r="P72" s="67" t="n">
        <f aca="false">INDEX(IF_HoldEcon,1,P$7)</f>
        <v>16.0694566753819</v>
      </c>
      <c r="Q72" s="67" t="n">
        <f aca="false">INDEX(IF_HoldEcon,1,Q$7)</f>
        <v>29.454615058956</v>
      </c>
    </row>
    <row r="73" customFormat="false" ht="15" hidden="false" customHeight="false" outlineLevel="0" collapsed="false">
      <c r="A73" s="5" t="s">
        <v>1384</v>
      </c>
      <c r="B73" s="54" t="s">
        <v>75</v>
      </c>
      <c r="C73" s="97" t="n">
        <f aca="false">IF(ISNUMBER(C67),C67/C72,"SLO 不可達")</f>
        <v>0.572123281570546</v>
      </c>
      <c r="D73" s="97" t="n">
        <f aca="false">IF(ISNUMBER(D67),D67/D72,"SLO 不可達")</f>
        <v>0.396688684000079</v>
      </c>
      <c r="E73" s="97" t="n">
        <f aca="false">IF(ISNUMBER(E67),E67/E72,"SLO 不可達")</f>
        <v>0.230086991707046</v>
      </c>
      <c r="F73" s="97" t="n">
        <f aca="false">IF(ISNUMBER(F67),F67/F72,"SLO 不可達")</f>
        <v>2.96112160563619</v>
      </c>
      <c r="G73" s="97" t="n">
        <f aca="false">IF(ISNUMBER(G67),G67/G72,"SLO 不可達")</f>
        <v>2.19983160398076</v>
      </c>
      <c r="H73" s="97" t="n">
        <f aca="false">IF(ISNUMBER(H67),H67/H72,"SLO 不可達")</f>
        <v>1.35218346441019</v>
      </c>
      <c r="I73" s="97" t="n">
        <f aca="false">IF(ISNUMBER(I67),I67/I72,"SLO 不可達")</f>
        <v>3.01640239932315</v>
      </c>
      <c r="J73" s="97" t="n">
        <f aca="false">IF(ISNUMBER(J67),J67/J72,"SLO 不可達")</f>
        <v>2.06410681713691</v>
      </c>
      <c r="K73" s="97" t="n">
        <f aca="false">IF(ISNUMBER(K67),K67/K72,"SLO 不可達")</f>
        <v>1.10025885750142</v>
      </c>
      <c r="L73" s="97" t="n">
        <f aca="false">IF(ISNUMBER(L67),L67/L72,"SLO 不可達")</f>
        <v>4.95326664824348</v>
      </c>
      <c r="M73" s="97" t="n">
        <f aca="false">IF(ISNUMBER(M67),M67/M72,"SLO 不可達")</f>
        <v>3.81786880835794</v>
      </c>
      <c r="N73" s="97" t="n">
        <f aca="false">IF(ISNUMBER(N67),N67/N72,"SLO 不可達")</f>
        <v>2.35629612440112</v>
      </c>
      <c r="O73" s="97" t="n">
        <f aca="false">IF(ISNUMBER(O67),O67/O72,"SLO 不可達")</f>
        <v>6.59453046443183</v>
      </c>
      <c r="P73" s="97" t="n">
        <f aca="false">IF(ISNUMBER(P67),P67/P72,"SLO 不可達")</f>
        <v>4.28935633031112</v>
      </c>
      <c r="Q73" s="97" t="n">
        <f aca="false">IF(ISNUMBER(Q67),Q67/Q72,"SLO 不可達")</f>
        <v>2.34012991095774</v>
      </c>
    </row>
    <row r="74" customFormat="false" ht="15" hidden="false" customHeight="false" outlineLevel="0" collapsed="false">
      <c r="A74" s="5" t="s">
        <v>1385</v>
      </c>
      <c r="B74" s="54" t="s">
        <v>758</v>
      </c>
      <c r="C74" s="87" t="n">
        <f aca="false">IF(Fleet_1GW!C18=1,(Fleet_1GW!C21*INDEX(B4_EffRef,1,1)+Fleet_1GW!C24*INDEX(B4_EffRef,1,2)+Fleet_1GW!C27*INDEX(B4_EffRef,1,3))/(Fleet_1GW!C19+Fleet_1GW!C20),"SLO 不可達")</f>
        <v>0.456315540982179</v>
      </c>
      <c r="D74" s="87" t="n">
        <f aca="false">IF(Fleet_1GW!D18=1,(Fleet_1GW!D21*INDEX(B4_EffRef,1,1)+Fleet_1GW!D24*INDEX(B4_EffRef,1,2)+Fleet_1GW!D27*INDEX(B4_EffRef,1,3))/(Fleet_1GW!D19+Fleet_1GW!D20),"SLO 不可達")</f>
        <v>0.456315540982179</v>
      </c>
      <c r="E74" s="87" t="n">
        <f aca="false">IF(Fleet_1GW!E18=1,(Fleet_1GW!E21*INDEX(B4_EffRef,1,1)+Fleet_1GW!E24*INDEX(B4_EffRef,1,2)+Fleet_1GW!E27*INDEX(B4_EffRef,1,3))/(Fleet_1GW!E19+Fleet_1GW!E20),"SLO 不可達")</f>
        <v>0.456315540982179</v>
      </c>
      <c r="F74" s="87" t="n">
        <f aca="false">IF(Fleet_1GW!F18=1,(Fleet_1GW!F21*INDEX(B4_EffRef,1,1)+Fleet_1GW!F24*INDEX(B4_EffRef,1,2)+Fleet_1GW!F27*INDEX(B4_EffRef,1,3))/(Fleet_1GW!F19+Fleet_1GW!F20),"SLO 不可達")</f>
        <v>0.4676289657332</v>
      </c>
      <c r="G74" s="87" t="n">
        <f aca="false">IF(Fleet_1GW!G18=1,(Fleet_1GW!G21*INDEX(B4_EffRef,1,1)+Fleet_1GW!G24*INDEX(B4_EffRef,1,2)+Fleet_1GW!G27*INDEX(B4_EffRef,1,3))/(Fleet_1GW!G19+Fleet_1GW!G20),"SLO 不可達")</f>
        <v>0.4676289657332</v>
      </c>
      <c r="H74" s="87" t="n">
        <f aca="false">IF(Fleet_1GW!H18=1,(Fleet_1GW!H21*INDEX(B4_EffRef,1,1)+Fleet_1GW!H24*INDEX(B4_EffRef,1,2)+Fleet_1GW!H27*INDEX(B4_EffRef,1,3))/(Fleet_1GW!H19+Fleet_1GW!H20),"SLO 不可達")</f>
        <v>0.4676289657332</v>
      </c>
      <c r="I74" s="87" t="n">
        <f aca="false">IF(Fleet_1GW!I18=1,(Fleet_1GW!I21*INDEX(B4_EffRef,1,1)+Fleet_1GW!I24*INDEX(B4_EffRef,1,2)+Fleet_1GW!I27*INDEX(B4_EffRef,1,3))/(Fleet_1GW!I19+Fleet_1GW!I20),"SLO 不可達")</f>
        <v>0.428991641549732</v>
      </c>
      <c r="J74" s="87" t="n">
        <f aca="false">IF(Fleet_1GW!J18=1,(Fleet_1GW!J21*INDEX(B4_EffRef,1,1)+Fleet_1GW!J24*INDEX(B4_EffRef,1,2)+Fleet_1GW!J27*INDEX(B4_EffRef,1,3))/(Fleet_1GW!J19+Fleet_1GW!J20),"SLO 不可達")</f>
        <v>0.428991641549732</v>
      </c>
      <c r="K74" s="87" t="n">
        <f aca="false">IF(Fleet_1GW!K18=1,(Fleet_1GW!K21*INDEX(B4_EffRef,1,1)+Fleet_1GW!K24*INDEX(B4_EffRef,1,2)+Fleet_1GW!K27*INDEX(B4_EffRef,1,3))/(Fleet_1GW!K19+Fleet_1GW!K20),"SLO 不可達")</f>
        <v>0.428991641549732</v>
      </c>
      <c r="L74" s="87" t="n">
        <f aca="false">IF(Fleet_1GW!L18=1,(Fleet_1GW!L21*INDEX(B4_EffRef,1,1)+Fleet_1GW!L24*INDEX(B4_EffRef,1,2)+Fleet_1GW!L27*INDEX(B4_EffRef,1,3))/(Fleet_1GW!L19+Fleet_1GW!L20),"SLO 不可達")</f>
        <v>0.506498513793652</v>
      </c>
      <c r="M74" s="87" t="n">
        <f aca="false">IF(Fleet_1GW!M18=1,(Fleet_1GW!M21*INDEX(B4_EffRef,1,1)+Fleet_1GW!M24*INDEX(B4_EffRef,1,2)+Fleet_1GW!M27*INDEX(B4_EffRef,1,3))/(Fleet_1GW!M19+Fleet_1GW!M20),"SLO 不可達")</f>
        <v>0.506498513793652</v>
      </c>
      <c r="N74" s="87" t="n">
        <f aca="false">IF(Fleet_1GW!N18=1,(Fleet_1GW!N21*INDEX(B4_EffRef,1,1)+Fleet_1GW!N24*INDEX(B4_EffRef,1,2)+Fleet_1GW!N27*INDEX(B4_EffRef,1,3))/(Fleet_1GW!N19+Fleet_1GW!N20),"SLO 不可達")</f>
        <v>0.506498513793652</v>
      </c>
      <c r="O74" s="87" t="n">
        <f aca="false">IF(Fleet_1GW!O18=1,(Fleet_1GW!O21*INDEX(B4_EffRef,1,1)+Fleet_1GW!O24*INDEX(B4_EffRef,1,2)+Fleet_1GW!O27*INDEX(B4_EffRef,1,3))/(Fleet_1GW!O19+Fleet_1GW!O20),"SLO 不可達")</f>
        <v>0.522135965346108</v>
      </c>
      <c r="P74" s="87" t="n">
        <f aca="false">IF(Fleet_1GW!P18=1,(Fleet_1GW!P21*INDEX(B4_EffRef,1,1)+Fleet_1GW!P24*INDEX(B4_EffRef,1,2)+Fleet_1GW!P27*INDEX(B4_EffRef,1,3))/(Fleet_1GW!P19+Fleet_1GW!P20),"SLO 不可達")</f>
        <v>0.522135965346108</v>
      </c>
      <c r="Q74" s="87" t="n">
        <f aca="false">IF(Fleet_1GW!Q18=1,(Fleet_1GW!Q21*INDEX(B4_EffRef,1,1)+Fleet_1GW!Q24*INDEX(B4_EffRef,1,2)+Fleet_1GW!Q27*INDEX(B4_EffRef,1,3))/(Fleet_1GW!Q19+Fleet_1GW!Q20),"SLO 不可達")</f>
        <v>0.522135965346108</v>
      </c>
    </row>
    <row r="76" customFormat="false" ht="15" hidden="false" customHeight="false" outlineLevel="0" collapsed="false">
      <c r="A76" s="68" t="s">
        <v>1386</v>
      </c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</row>
    <row r="77" customFormat="false" ht="15" hidden="false" customHeight="false" outlineLevel="0" collapsed="false">
      <c r="A77" s="51" t="s">
        <v>1387</v>
      </c>
      <c r="C77" s="74" t="str">
        <f aca="false">Workload!C4</f>
        <v>一般聊天</v>
      </c>
      <c r="D77" s="74" t="str">
        <f aca="false">Workload!D4</f>
        <v>推理聊天</v>
      </c>
      <c r="E77" s="74" t="str">
        <f aca="false">Workload!E4</f>
        <v>單代理（工具迴圈）</v>
      </c>
      <c r="F77" s="74" t="str">
        <f aca="false">Workload!F4</f>
        <v>多代理研究</v>
      </c>
      <c r="G77" s="74" t="str">
        <f aca="false">Workload!G4</f>
        <v>Coding agent（長程）</v>
      </c>
    </row>
    <row r="78" customFormat="false" ht="15" hidden="false" customHeight="false" outlineLevel="0" collapsed="false">
      <c r="A78" s="54" t="s">
        <v>1388</v>
      </c>
      <c r="B78" s="54" t="s">
        <v>390</v>
      </c>
      <c r="C78" s="153" t="n">
        <f aca="false">(Workload!C32*INDEX(B4_EffIn,1,1)+Workload!C33*INDEX(B4_EffCache,1,1)+Workload!C34*INDEX(B4_EffOut,1,1))/1000000</f>
        <v>0.000328</v>
      </c>
      <c r="D78" s="153" t="n">
        <f aca="false">(Workload!D32*INDEX(B4_EffIn,1,1)+Workload!D33*INDEX(B4_EffCache,1,1)+Workload!D34*INDEX(B4_EffOut,1,1))/1000000</f>
        <v>0.001608</v>
      </c>
      <c r="E78" s="153" t="n">
        <f aca="false">(Workload!E32*INDEX(B4_EffIn,1,1)+Workload!E33*INDEX(B4_EffCache,1,1)+Workload!E34*INDEX(B4_EffOut,1,1))/1000000</f>
        <v>0.00165408</v>
      </c>
      <c r="F78" s="153" t="n">
        <f aca="false">(Workload!F32*INDEX(B4_EffIn,1,1)+Workload!F33*INDEX(B4_EffCache,1,1)+Workload!F34*INDEX(B4_EffOut,1,1))/1000000</f>
        <v>0.00661632</v>
      </c>
      <c r="G78" s="153" t="n">
        <f aca="false">(Workload!G32*INDEX(B4_EffIn,1,1)+Workload!G33*INDEX(B4_EffCache,1,1)+Workload!G34*INDEX(B4_EffOut,1,1))/1000000</f>
        <v>0.0381408</v>
      </c>
    </row>
    <row r="79" customFormat="false" ht="15" hidden="false" customHeight="false" outlineLevel="0" collapsed="false">
      <c r="A79" s="54" t="s">
        <v>1389</v>
      </c>
      <c r="B79" s="54" t="s">
        <v>390</v>
      </c>
      <c r="C79" s="153" t="n">
        <f aca="false">(Workload!C32*INDEX(B4_EffIn,1,2)+Workload!C33*INDEX(B4_EffCache,1,2)+Workload!C34*INDEX(B4_EffOut,1,2))/1000000</f>
        <v>0.00656</v>
      </c>
      <c r="D79" s="153" t="n">
        <f aca="false">(Workload!D32*INDEX(B4_EffIn,1,2)+Workload!D33*INDEX(B4_EffCache,1,2)+Workload!D34*INDEX(B4_EffOut,1,2))/1000000</f>
        <v>0.03216</v>
      </c>
      <c r="E79" s="153" t="n">
        <f aca="false">(Workload!E32*INDEX(B4_EffIn,1,2)+Workload!E33*INDEX(B4_EffCache,1,2)+Workload!E34*INDEX(B4_EffOut,1,2))/1000000</f>
        <v>0.0330816</v>
      </c>
      <c r="F79" s="153" t="n">
        <f aca="false">(Workload!F32*INDEX(B4_EffIn,1,2)+Workload!F33*INDEX(B4_EffCache,1,2)+Workload!F34*INDEX(B4_EffOut,1,2))/1000000</f>
        <v>0.1323264</v>
      </c>
      <c r="G79" s="153" t="n">
        <f aca="false">(Workload!G32*INDEX(B4_EffIn,1,2)+Workload!G33*INDEX(B4_EffCache,1,2)+Workload!G34*INDEX(B4_EffOut,1,2))/1000000</f>
        <v>0.762816</v>
      </c>
    </row>
    <row r="80" customFormat="false" ht="15" hidden="false" customHeight="false" outlineLevel="0" collapsed="false">
      <c r="A80" s="54" t="s">
        <v>1390</v>
      </c>
      <c r="B80" s="54" t="s">
        <v>390</v>
      </c>
      <c r="C80" s="153" t="n">
        <f aca="false">(Workload!C32*INDEX(B4_EffIn,1,3)+Workload!C33*INDEX(B4_EffCache,1,3)+Workload!C34*INDEX(B4_EffOut,1,3))/1000000</f>
        <v>0.0328</v>
      </c>
      <c r="D80" s="153" t="n">
        <f aca="false">(Workload!D32*INDEX(B4_EffIn,1,3)+Workload!D33*INDEX(B4_EffCache,1,3)+Workload!D34*INDEX(B4_EffOut,1,3))/1000000</f>
        <v>0.1608</v>
      </c>
      <c r="E80" s="153" t="n">
        <f aca="false">(Workload!E32*INDEX(B4_EffIn,1,3)+Workload!E33*INDEX(B4_EffCache,1,3)+Workload!E34*INDEX(B4_EffOut,1,3))/1000000</f>
        <v>0.165408</v>
      </c>
      <c r="F80" s="153" t="n">
        <f aca="false">(Workload!F32*INDEX(B4_EffIn,1,3)+Workload!F33*INDEX(B4_EffCache,1,3)+Workload!F34*INDEX(B4_EffOut,1,3))/1000000</f>
        <v>0.661632</v>
      </c>
      <c r="G80" s="153" t="n">
        <f aca="false">(Workload!G32*INDEX(B4_EffIn,1,3)+Workload!G33*INDEX(B4_EffCache,1,3)+Workload!G34*INDEX(B4_EffOut,1,3))/1000000</f>
        <v>3.81408</v>
      </c>
    </row>
    <row r="81" customFormat="false" ht="15" hidden="false" customHeight="false" outlineLevel="0" collapsed="false">
      <c r="A81" s="54" t="s">
        <v>1391</v>
      </c>
      <c r="B81" s="54" t="s">
        <v>75</v>
      </c>
      <c r="C81" s="101" t="n">
        <f aca="false">IF(ISNUMBER(Workload!C43),IF(Workload!C43&gt;0,C78/Workload!C43,0),"SLO 不可達")</f>
        <v>3.18869797383642</v>
      </c>
      <c r="D81" s="101" t="n">
        <f aca="false">IF(ISNUMBER(Workload!D43),IF(Workload!D43&gt;0,D78/Workload!D43,0),"SLO 不可達")</f>
        <v>2.365034657172</v>
      </c>
      <c r="E81" s="101" t="n">
        <f aca="false">IF(ISNUMBER(Workload!E43),IF(Workload!E43&gt;0,E78/Workload!E43,0),"SLO 不可達")</f>
        <v>3.36477271852384</v>
      </c>
      <c r="F81" s="101" t="n">
        <f aca="false">IF(ISNUMBER(Workload!F43),IF(Workload!F43&gt;0,F78/Workload!F43,0),"SLO 不可達")</f>
        <v>3.36477271852384</v>
      </c>
      <c r="G81" s="101" t="n">
        <f aca="false">IF(ISNUMBER(Workload!G43),IF(Workload!G43&gt;0,G78/Workload!G43,0),"SLO 不可達")</f>
        <v>5.31240848689792</v>
      </c>
    </row>
    <row r="82" customFormat="false" ht="15" hidden="false" customHeight="false" outlineLevel="0" collapsed="false">
      <c r="A82" s="54" t="s">
        <v>1392</v>
      </c>
      <c r="B82" s="54" t="s">
        <v>75</v>
      </c>
      <c r="C82" s="101" t="n">
        <f aca="false">IF(ISNUMBER(Workload!C44),IF(Workload!C44&gt;0,C79/Workload!C44,0),"SLO 不可達")</f>
        <v>19.8565309561024</v>
      </c>
      <c r="D82" s="101" t="n">
        <f aca="false">IF(ISNUMBER(Workload!D44),IF(Workload!D44&gt;0,D79/Workload!D44,0),"SLO 不可達")</f>
        <v>14.8650108808066</v>
      </c>
      <c r="E82" s="101" t="n">
        <f aca="false">IF(ISNUMBER(Workload!E44),IF(Workload!E44&gt;0,E79/Workload!E44,0),"SLO 不可達")</f>
        <v>20.9842996774754</v>
      </c>
      <c r="F82" s="101" t="n">
        <f aca="false">IF(ISNUMBER(Workload!F44),IF(Workload!F44&gt;0,F79/Workload!F44,0),"SLO 不可達")</f>
        <v>20.9842996774754</v>
      </c>
      <c r="G82" s="101" t="n">
        <f aca="false">IF(ISNUMBER(Workload!G44),IF(Workload!G44&gt;0,G79/Workload!G44,0),"SLO 不可達")</f>
        <v>32.9362875437746</v>
      </c>
    </row>
    <row r="83" customFormat="false" ht="15" hidden="false" customHeight="false" outlineLevel="0" collapsed="false">
      <c r="A83" s="54" t="s">
        <v>1393</v>
      </c>
      <c r="B83" s="54" t="s">
        <v>75</v>
      </c>
      <c r="C83" s="101" t="n">
        <f aca="false">IF(ISNUMBER(Workload!C45),IF(Workload!C45&gt;0,C80/Workload!C45,0),"SLO 不可達")</f>
        <v>20.1294315310118</v>
      </c>
      <c r="D83" s="101" t="n">
        <f aca="false">IF(ISNUMBER(Workload!D45),IF(Workload!D45&gt;0,D80/Workload!D45,0),"SLO 不可達")</f>
        <v>14.4626451759415</v>
      </c>
      <c r="E83" s="101" t="n">
        <f aca="false">IF(ISNUMBER(Workload!E45),IF(Workload!E45&gt;0,E80/Workload!E45,0),"SLO 不可達")</f>
        <v>21.1938662945425</v>
      </c>
      <c r="F83" s="101" t="n">
        <f aca="false">IF(ISNUMBER(Workload!F45),IF(Workload!F45&gt;0,F80/Workload!F45,0),"SLO 不可達")</f>
        <v>21.1938662945425</v>
      </c>
      <c r="G83" s="101" t="n">
        <f aca="false">IF(ISNUMBER(Workload!G45),IF(Workload!G45&gt;0,G80/Workload!G45,0),"SLO 不可達")</f>
        <v>34.6488197308815</v>
      </c>
    </row>
    <row r="84" customFormat="false" ht="15" hidden="false" customHeight="false" outlineLevel="0" collapsed="false">
      <c r="A84" s="54" t="s">
        <v>1394</v>
      </c>
      <c r="B84" s="54" t="s">
        <v>75</v>
      </c>
      <c r="C84" s="101" t="n">
        <f aca="false">IF(ISNUMBER(Workload!C46),IF(Workload!C46&gt;0,C78/Workload!C46,0),"SLO 不可達")</f>
        <v>2.16334685884832</v>
      </c>
      <c r="D84" s="101" t="n">
        <f aca="false">IF(ISNUMBER(Workload!D46),IF(Workload!D46&gt;0,D78/Workload!D46,0),"SLO 不可達")</f>
        <v>1.59364175029565</v>
      </c>
      <c r="E84" s="101" t="n">
        <f aca="false">IF(ISNUMBER(Workload!E46),IF(Workload!E46&gt;0,E78/Workload!E46,0),"SLO 不可達")</f>
        <v>2.28445778351273</v>
      </c>
      <c r="F84" s="101" t="n">
        <f aca="false">IF(ISNUMBER(Workload!F46),IF(Workload!F46&gt;0,F78/Workload!F46,0),"SLO 不可達")</f>
        <v>2.28445778351273</v>
      </c>
      <c r="G84" s="101" t="n">
        <f aca="false">IF(ISNUMBER(Workload!G46),IF(Workload!G46&gt;0,G78/Workload!G46,0),"SLO 不可達")</f>
        <v>3.6534672916099</v>
      </c>
    </row>
    <row r="85" customFormat="false" ht="15" hidden="false" customHeight="false" outlineLevel="0" collapsed="false">
      <c r="A85" s="54" t="s">
        <v>1395</v>
      </c>
      <c r="B85" s="54" t="s">
        <v>75</v>
      </c>
      <c r="C85" s="101" t="n">
        <f aca="false">IF(ISNUMBER(Workload!C47),IF(Workload!C47&gt;0,C79/Workload!C47,0),"SLO 不可達")</f>
        <v>12.4305612640246</v>
      </c>
      <c r="D85" s="101" t="n">
        <f aca="false">IF(ISNUMBER(Workload!D47),IF(Workload!D47&gt;0,D79/Workload!D47,0),"SLO 不可達")</f>
        <v>9.15280849662508</v>
      </c>
      <c r="E85" s="101" t="n">
        <f aca="false">IF(ISNUMBER(Workload!E47),IF(Workload!E47&gt;0,E79/Workload!E47,0),"SLO 不可達")</f>
        <v>13.1318682658814</v>
      </c>
      <c r="F85" s="101" t="n">
        <f aca="false">IF(ISNUMBER(Workload!F47),IF(Workload!F47&gt;0,F79/Workload!F47,0),"SLO 不可達")</f>
        <v>13.1318682658814</v>
      </c>
      <c r="G85" s="101" t="n">
        <f aca="false">IF(ISNUMBER(Workload!G47),IF(Workload!G47&gt;0,G79/Workload!G47,0),"SLO 不可達")</f>
        <v>21.0557141662056</v>
      </c>
    </row>
    <row r="86" customFormat="false" ht="15" hidden="false" customHeight="false" outlineLevel="0" collapsed="false">
      <c r="A86" s="54" t="s">
        <v>1396</v>
      </c>
      <c r="B86" s="54" t="s">
        <v>75</v>
      </c>
      <c r="C86" s="101" t="n">
        <f aca="false">IF(ISNUMBER(Workload!C48),IF(Workload!C48&gt;0,C80/Workload!C48,0),"SLO 不可達")</f>
        <v>9.10886238518314</v>
      </c>
      <c r="D86" s="101" t="n">
        <f aca="false">IF(ISNUMBER(Workload!D48),IF(Workload!D48&gt;0,D80/Workload!D48,0),"SLO 不可達")</f>
        <v>6.3447622451793</v>
      </c>
      <c r="E86" s="101" t="n">
        <f aca="false">IF(ISNUMBER(Workload!E48),IF(Workload!E48&gt;0,E80/Workload!E48,0),"SLO 不可達")</f>
        <v>9.59087899607946</v>
      </c>
      <c r="F86" s="101" t="n">
        <f aca="false">IF(ISNUMBER(Workload!F48),IF(Workload!F48&gt;0,F80/Workload!F48,0),"SLO 不可達")</f>
        <v>9.59087899607946</v>
      </c>
      <c r="G86" s="101" t="n">
        <f aca="false">IF(ISNUMBER(Workload!G48),IF(Workload!G48&gt;0,G80/Workload!G48,0),"SLO 不可達")</f>
        <v>16.4446257348065</v>
      </c>
    </row>
    <row r="87" customFormat="false" ht="15" hidden="false" customHeight="false" outlineLevel="0" collapsed="false">
      <c r="A87" s="66" t="s">
        <v>1397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17.15" hidden="false" customHeight="false" outlineLevel="0" collapsed="false">
      <c r="A1" s="49" t="s">
        <v>1398</v>
      </c>
    </row>
    <row r="2" customFormat="false" ht="15" hidden="false" customHeight="false" outlineLevel="0" collapsed="false">
      <c r="A2" s="66" t="s">
        <v>1399</v>
      </c>
    </row>
    <row r="4" customFormat="false" ht="15" hidden="false" customHeight="false" outlineLevel="0" collapsed="false">
      <c r="A4" s="76" t="s">
        <v>1400</v>
      </c>
      <c r="B4" s="76" t="s">
        <v>295</v>
      </c>
      <c r="C4" s="77" t="s">
        <v>1401</v>
      </c>
      <c r="D4" s="76" t="s">
        <v>1402</v>
      </c>
      <c r="E4" s="76" t="s">
        <v>1403</v>
      </c>
      <c r="F4" s="76" t="s">
        <v>1402</v>
      </c>
      <c r="G4" s="76" t="s">
        <v>296</v>
      </c>
    </row>
    <row r="5" customFormat="false" ht="15" hidden="false" customHeight="false" outlineLevel="0" collapsed="false">
      <c r="A5" s="53" t="s">
        <v>57</v>
      </c>
      <c r="B5" s="104" t="s">
        <v>571</v>
      </c>
      <c r="C5" s="144" t="n">
        <f aca="false">Theory_Rev!M33*D5</f>
        <v>17.928850361527</v>
      </c>
      <c r="D5" s="69" t="n">
        <f aca="false">1</f>
        <v>1</v>
      </c>
      <c r="E5" s="154" t="n">
        <f aca="false">Theory_Rev!M73*F5</f>
        <v>3.81786880835794</v>
      </c>
      <c r="F5" s="69" t="n">
        <f aca="false">1</f>
        <v>1</v>
      </c>
      <c r="G5" s="80" t="s">
        <v>1404</v>
      </c>
    </row>
    <row r="6" customFormat="false" ht="15" hidden="false" customHeight="false" outlineLevel="0" collapsed="false">
      <c r="A6" s="53" t="s">
        <v>1405</v>
      </c>
      <c r="B6" s="58" t="n">
        <v>0.4</v>
      </c>
      <c r="C6" s="144" t="n">
        <f aca="false">Theory_Rev!M33*D6</f>
        <v>11.9525669076847</v>
      </c>
      <c r="D6" s="69" t="n">
        <f aca="false">B6/IF_Util</f>
        <v>0.666666666666667</v>
      </c>
      <c r="E6" s="154" t="n">
        <f aca="false">Theory_Rev!M73*F6</f>
        <v>2.54524587223863</v>
      </c>
      <c r="F6" s="69" t="n">
        <f aca="false">B6/IF_Util</f>
        <v>0.666666666666667</v>
      </c>
      <c r="G6" s="86" t="s">
        <v>1406</v>
      </c>
    </row>
    <row r="7" customFormat="false" ht="15" hidden="false" customHeight="false" outlineLevel="0" collapsed="false">
      <c r="A7" s="53" t="s">
        <v>1407</v>
      </c>
      <c r="B7" s="58" t="n">
        <v>0.8</v>
      </c>
      <c r="C7" s="144" t="n">
        <f aca="false">Theory_Rev!M33*D7</f>
        <v>23.9051338153693</v>
      </c>
      <c r="D7" s="69" t="n">
        <f aca="false">B7/IF_Util</f>
        <v>1.33333333333333</v>
      </c>
      <c r="E7" s="154" t="n">
        <f aca="false">Theory_Rev!M73*F7</f>
        <v>5.09049174447725</v>
      </c>
      <c r="F7" s="69" t="n">
        <f aca="false">B7/IF_Util</f>
        <v>1.33333333333333</v>
      </c>
      <c r="G7" s="86"/>
    </row>
    <row r="8" customFormat="false" ht="15" hidden="false" customHeight="false" outlineLevel="0" collapsed="false">
      <c r="A8" s="53" t="s">
        <v>1408</v>
      </c>
      <c r="B8" s="58" t="n">
        <v>0.1</v>
      </c>
      <c r="C8" s="144" t="n">
        <f aca="false">Theory_Rev!M33*D8</f>
        <v>20.1699566567179</v>
      </c>
      <c r="D8" s="69" t="n">
        <f aca="false">(1-B8)/(1-B4_Disc)</f>
        <v>1.125</v>
      </c>
      <c r="E8" s="154" t="n">
        <f aca="false">Theory_Rev!M73*F8</f>
        <v>4.29510240940268</v>
      </c>
      <c r="F8" s="69" t="n">
        <f aca="false">(1-B8)/(1-B4_Disc)</f>
        <v>1.125</v>
      </c>
      <c r="G8" s="86"/>
    </row>
    <row r="9" customFormat="false" ht="15" hidden="false" customHeight="false" outlineLevel="0" collapsed="false">
      <c r="A9" s="53" t="s">
        <v>1409</v>
      </c>
      <c r="B9" s="58" t="n">
        <v>0.3</v>
      </c>
      <c r="C9" s="144" t="n">
        <f aca="false">Theory_Rev!M33*D9</f>
        <v>15.6877440663361</v>
      </c>
      <c r="D9" s="69" t="n">
        <f aca="false">(1-B9)/(1-B4_Disc)</f>
        <v>0.875</v>
      </c>
      <c r="E9" s="154" t="n">
        <f aca="false">Theory_Rev!M73*F9</f>
        <v>3.3406352073132</v>
      </c>
      <c r="F9" s="69" t="n">
        <f aca="false">(1-B9)/(1-B4_Disc)</f>
        <v>0.875</v>
      </c>
      <c r="G9" s="86"/>
    </row>
    <row r="10" customFormat="false" ht="15" hidden="false" customHeight="false" outlineLevel="0" collapsed="false">
      <c r="A10" s="53" t="s">
        <v>1410</v>
      </c>
      <c r="B10" s="58" t="n">
        <v>0.3</v>
      </c>
      <c r="C10" s="144" t="n">
        <f aca="false">Theory_Rev!M33*D10</f>
        <v>21.4987541945744</v>
      </c>
      <c r="D10" s="69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54" t="s">
        <v>571</v>
      </c>
      <c r="F10" s="54" t="s">
        <v>571</v>
      </c>
      <c r="G10" s="86" t="s">
        <v>1411</v>
      </c>
    </row>
    <row r="11" customFormat="false" ht="15" hidden="false" customHeight="false" outlineLevel="0" collapsed="false">
      <c r="A11" s="53" t="s">
        <v>1412</v>
      </c>
      <c r="B11" s="58" t="n">
        <v>0.75</v>
      </c>
      <c r="C11" s="144" t="n">
        <f aca="false">Theory_Rev!M33*D11</f>
        <v>15.0729272950891</v>
      </c>
      <c r="D11" s="69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54" t="s">
        <v>571</v>
      </c>
      <c r="F11" s="54" t="s">
        <v>571</v>
      </c>
      <c r="G11" s="86"/>
    </row>
    <row r="12" customFormat="false" ht="15" hidden="false" customHeight="false" outlineLevel="0" collapsed="false">
      <c r="A12" s="53" t="s">
        <v>1413</v>
      </c>
      <c r="B12" s="58" t="n">
        <v>0.3</v>
      </c>
      <c r="C12" s="144" t="n">
        <f aca="false">Theory_Rev!M33*D12</f>
        <v>17.928850361527</v>
      </c>
      <c r="D12" s="69" t="n">
        <f aca="false">1</f>
        <v>1</v>
      </c>
      <c r="E12" s="154" t="n">
        <f aca="false">Theory_Rev!M73*F12</f>
        <v>2.79356254270093</v>
      </c>
      <c r="F12" s="69" t="n">
        <f aca="false">B12/B4_Serve</f>
        <v>0.731707317073171</v>
      </c>
      <c r="G12" s="86" t="s">
        <v>1414</v>
      </c>
    </row>
    <row r="13" customFormat="false" ht="15" hidden="false" customHeight="false" outlineLevel="0" collapsed="false">
      <c r="A13" s="53" t="s">
        <v>1415</v>
      </c>
      <c r="B13" s="58" t="n">
        <v>0.6</v>
      </c>
      <c r="C13" s="144" t="n">
        <f aca="false">Theory_Rev!M33*D13</f>
        <v>17.928850361527</v>
      </c>
      <c r="D13" s="69" t="n">
        <f aca="false">1</f>
        <v>1</v>
      </c>
      <c r="E13" s="154" t="n">
        <f aca="false">Theory_Rev!M73*F13</f>
        <v>5.58712508540186</v>
      </c>
      <c r="F13" s="69" t="n">
        <f aca="false">B13/B4_Serve</f>
        <v>1.46341463414634</v>
      </c>
      <c r="G13" s="86"/>
    </row>
    <row r="14" customFormat="false" ht="15" hidden="false" customHeight="false" outlineLevel="0" collapsed="false">
      <c r="A14" s="53" t="s">
        <v>1416</v>
      </c>
      <c r="B14" s="58" t="n">
        <v>0.35</v>
      </c>
      <c r="C14" s="144" t="n">
        <f aca="false">Theory_Rev!M33*D14</f>
        <v>17.928850361527</v>
      </c>
      <c r="D14" s="69" t="n">
        <f aca="false">1</f>
        <v>1</v>
      </c>
      <c r="E14" s="154" t="n">
        <f aca="false">Theory_Rev!M73*F14</f>
        <v>4.5955828248753</v>
      </c>
      <c r="F14" s="69" t="n">
        <f aca="false">(1-B14)/(1-B4_Free)</f>
        <v>1.2037037037037</v>
      </c>
      <c r="G14" s="86"/>
    </row>
    <row r="15" customFormat="false" ht="15" hidden="false" customHeight="false" outlineLevel="0" collapsed="false">
      <c r="A15" s="53" t="s">
        <v>1417</v>
      </c>
      <c r="B15" s="58" t="n">
        <v>0.6</v>
      </c>
      <c r="C15" s="144" t="n">
        <f aca="false">Theory_Rev!M33*D15</f>
        <v>17.928850361527</v>
      </c>
      <c r="D15" s="69" t="n">
        <f aca="false">1</f>
        <v>1</v>
      </c>
      <c r="E15" s="154" t="n">
        <f aca="false">Theory_Rev!M73*F15</f>
        <v>2.82805096915403</v>
      </c>
      <c r="F15" s="69" t="n">
        <f aca="false">(1-B15)/(1-B4_Free)</f>
        <v>0.740740740740741</v>
      </c>
      <c r="G15" s="86"/>
    </row>
    <row r="16" customFormat="false" ht="15" hidden="false" customHeight="false" outlineLevel="0" collapsed="false">
      <c r="A16" s="53" t="s">
        <v>1418</v>
      </c>
      <c r="B16" s="104" t="s">
        <v>571</v>
      </c>
      <c r="C16" s="144" t="n">
        <f aca="false">Theory_Rev!M33*D16</f>
        <v>17.928850361527</v>
      </c>
      <c r="D16" s="69" t="n">
        <f aca="false">INDEX(B4_FrontRef,1,2)/INDEX(B4_EffRef,1,2)</f>
        <v>1</v>
      </c>
      <c r="E16" s="54" t="s">
        <v>571</v>
      </c>
      <c r="F16" s="54" t="s">
        <v>571</v>
      </c>
      <c r="G16" s="80" t="s">
        <v>1419</v>
      </c>
    </row>
    <row r="17" customFormat="false" ht="15" hidden="false" customHeight="false" outlineLevel="0" collapsed="false">
      <c r="A17" s="54" t="s">
        <v>1420</v>
      </c>
      <c r="B17" s="59" t="n">
        <v>7</v>
      </c>
      <c r="C17" s="144" t="n">
        <f aca="false">Theory_Rev!M33*D17</f>
        <v>47.4352793498909</v>
      </c>
      <c r="D17" s="90" t="n">
        <f aca="false">EXP(CST_Eps*LN(B17))/Price_Frontier!D38</f>
        <v>2.64575131106459</v>
      </c>
      <c r="E17" s="154" t="n">
        <f aca="false">Theory_Rev!M73*F17</f>
        <v>10.1011314051856</v>
      </c>
      <c r="F17" s="90" t="n">
        <f aca="false">EXP(CST_Eps*LN(B17))/Price_Frontier!D38</f>
        <v>2.64575131106459</v>
      </c>
      <c r="G17" s="80" t="s">
        <v>1421</v>
      </c>
    </row>
    <row r="18" customFormat="false" ht="15" hidden="false" customHeight="false" outlineLevel="0" collapsed="false">
      <c r="A18" s="54" t="s">
        <v>1422</v>
      </c>
      <c r="B18" s="73" t="n">
        <v>0.5</v>
      </c>
      <c r="G18" s="86" t="s">
        <v>1423</v>
      </c>
    </row>
    <row r="19" customFormat="false" ht="15" hidden="false" customHeight="false" outlineLevel="0" collapsed="false">
      <c r="A19" s="51" t="s">
        <v>1424</v>
      </c>
    </row>
    <row r="20" customFormat="false" ht="15" hidden="false" customHeight="false" outlineLevel="0" collapsed="false">
      <c r="A20" s="53" t="s">
        <v>1425</v>
      </c>
      <c r="B20" s="59" t="n">
        <v>6</v>
      </c>
      <c r="C20" s="155" t="n">
        <f aca="false">Amortize!M22*INDEX(B4_Life,1,2)/B20</f>
        <v>0.0080739031503723</v>
      </c>
      <c r="D20" s="90" t="n">
        <f aca="false">C20/Amortize!M22</f>
        <v>2</v>
      </c>
      <c r="G20" s="50" t="s">
        <v>1426</v>
      </c>
    </row>
    <row r="21" customFormat="false" ht="15" hidden="false" customHeight="false" outlineLevel="0" collapsed="false">
      <c r="A21" s="53" t="s">
        <v>1427</v>
      </c>
      <c r="B21" s="59" t="n">
        <v>24</v>
      </c>
      <c r="C21" s="155" t="n">
        <f aca="false">Amortize!M22*INDEX(B4_Life,1,2)/B21</f>
        <v>0.00201847578759308</v>
      </c>
      <c r="D21" s="90" t="n">
        <f aca="false">C21/Amortize!M22</f>
        <v>0.5</v>
      </c>
      <c r="G21" s="50" t="s">
        <v>1426</v>
      </c>
    </row>
    <row r="23" customFormat="false" ht="15" hidden="false" customHeight="false" outlineLevel="0" collapsed="false">
      <c r="A23" s="66" t="s">
        <v>1428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49" t="s">
        <v>1429</v>
      </c>
    </row>
    <row r="2" customFormat="false" ht="15" hidden="false" customHeight="false" outlineLevel="0" collapsed="false">
      <c r="A2" s="66" t="s">
        <v>1430</v>
      </c>
    </row>
    <row r="4" customFormat="false" ht="15" hidden="false" customHeight="false" outlineLevel="0" collapsed="false">
      <c r="A4" s="68" t="s">
        <v>1431</v>
      </c>
      <c r="B4" s="62"/>
      <c r="C4" s="62"/>
      <c r="D4" s="62"/>
      <c r="E4" s="62"/>
      <c r="F4" s="62"/>
      <c r="G4" s="62"/>
      <c r="H4" s="62"/>
      <c r="I4" s="62"/>
    </row>
    <row r="5" customFormat="false" ht="15" hidden="false" customHeight="false" outlineLevel="0" collapsed="false">
      <c r="A5" s="53" t="s">
        <v>1432</v>
      </c>
      <c r="B5" s="53" t="s">
        <v>67</v>
      </c>
      <c r="C5" s="59" t="n">
        <v>2</v>
      </c>
      <c r="H5" s="50" t="s">
        <v>64</v>
      </c>
      <c r="I5" s="66" t="s">
        <v>1433</v>
      </c>
    </row>
    <row r="6" customFormat="false" ht="15" hidden="false" customHeight="false" outlineLevel="0" collapsed="false">
      <c r="A6" s="53" t="s">
        <v>1434</v>
      </c>
      <c r="C6" s="53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53" t="s">
        <v>1435</v>
      </c>
      <c r="B7" s="54" t="s">
        <v>75</v>
      </c>
      <c r="C7" s="154" t="n">
        <f aca="false">Tech_Registry!O16*Tech_Registry!N16</f>
        <v>0</v>
      </c>
      <c r="I7" s="50" t="s">
        <v>1436</v>
      </c>
    </row>
    <row r="8" customFormat="false" ht="15" hidden="false" customHeight="false" outlineLevel="0" collapsed="false">
      <c r="A8" s="53" t="s">
        <v>1437</v>
      </c>
      <c r="B8" s="54" t="s">
        <v>71</v>
      </c>
      <c r="C8" s="58" t="n">
        <v>0.5</v>
      </c>
      <c r="H8" s="50" t="s">
        <v>64</v>
      </c>
      <c r="I8" s="50" t="s">
        <v>1438</v>
      </c>
    </row>
    <row r="9" customFormat="false" ht="15" hidden="false" customHeight="false" outlineLevel="0" collapsed="false">
      <c r="A9" s="68" t="s">
        <v>1439</v>
      </c>
      <c r="B9" s="62"/>
      <c r="C9" s="62"/>
      <c r="D9" s="62"/>
      <c r="E9" s="62"/>
      <c r="F9" s="62"/>
      <c r="G9" s="62"/>
      <c r="H9" s="62"/>
      <c r="I9" s="62"/>
    </row>
    <row r="10" customFormat="false" ht="15" hidden="false" customHeight="false" outlineLevel="0" collapsed="false">
      <c r="A10" s="51" t="s">
        <v>1440</v>
      </c>
    </row>
    <row r="11" customFormat="false" ht="30" hidden="false" customHeight="true" outlineLevel="0" collapsed="false">
      <c r="A11" s="51" t="s">
        <v>54</v>
      </c>
      <c r="B11" s="51" t="s">
        <v>55</v>
      </c>
      <c r="C11" s="156" t="str">
        <f aca="false">Workload!C4</f>
        <v>一般聊天</v>
      </c>
      <c r="D11" s="156" t="str">
        <f aca="false">Workload!D4</f>
        <v>推理聊天</v>
      </c>
      <c r="E11" s="156" t="str">
        <f aca="false">Workload!E4</f>
        <v>單代理（工具迴圈）</v>
      </c>
      <c r="F11" s="156" t="str">
        <f aca="false">Workload!F4</f>
        <v>多代理研究</v>
      </c>
      <c r="G11" s="156" t="str">
        <f aca="false">Workload!G4</f>
        <v>Coding agent（長程）</v>
      </c>
      <c r="H11" s="51" t="s">
        <v>59</v>
      </c>
      <c r="I11" s="51" t="s">
        <v>296</v>
      </c>
    </row>
    <row r="12" customFormat="false" ht="15" hidden="false" customHeight="false" outlineLevel="0" collapsed="false">
      <c r="A12" s="53" t="s">
        <v>1441</v>
      </c>
      <c r="B12" s="54" t="s">
        <v>75</v>
      </c>
      <c r="C12" s="71" t="n">
        <v>1</v>
      </c>
      <c r="D12" s="71" t="n">
        <v>1</v>
      </c>
      <c r="E12" s="71" t="n">
        <v>0.7</v>
      </c>
      <c r="F12" s="71" t="n">
        <v>0.7</v>
      </c>
      <c r="G12" s="71" t="n">
        <v>0.7</v>
      </c>
      <c r="H12" s="50" t="s">
        <v>72</v>
      </c>
      <c r="I12" s="86" t="s">
        <v>1442</v>
      </c>
    </row>
    <row r="13" customFormat="false" ht="15" hidden="false" customHeight="false" outlineLevel="0" collapsed="false">
      <c r="A13" s="53" t="s">
        <v>1443</v>
      </c>
      <c r="B13" s="54" t="s">
        <v>71</v>
      </c>
      <c r="C13" s="58" t="n">
        <v>0</v>
      </c>
      <c r="D13" s="58" t="n">
        <v>0</v>
      </c>
      <c r="E13" s="58" t="n">
        <v>1</v>
      </c>
      <c r="F13" s="58" t="n">
        <v>1</v>
      </c>
      <c r="G13" s="58" t="n">
        <v>1</v>
      </c>
      <c r="H13" s="50" t="s">
        <v>1444</v>
      </c>
      <c r="I13" s="80" t="s">
        <v>1445</v>
      </c>
    </row>
    <row r="14" customFormat="false" ht="15" hidden="false" customHeight="false" outlineLevel="0" collapsed="false">
      <c r="A14" s="53" t="s">
        <v>1446</v>
      </c>
      <c r="B14" s="54" t="s">
        <v>75</v>
      </c>
      <c r="C14" s="71" t="n">
        <v>1</v>
      </c>
      <c r="D14" s="71" t="n">
        <v>1</v>
      </c>
      <c r="E14" s="71" t="n">
        <v>0.8</v>
      </c>
      <c r="F14" s="71" t="n">
        <v>0.8</v>
      </c>
      <c r="G14" s="71" t="n">
        <v>0.8</v>
      </c>
      <c r="H14" s="50" t="s">
        <v>72</v>
      </c>
      <c r="I14" s="86" t="s">
        <v>1447</v>
      </c>
    </row>
    <row r="15" customFormat="false" ht="15" hidden="false" customHeight="false" outlineLevel="0" collapsed="false">
      <c r="A15" s="53" t="s">
        <v>1448</v>
      </c>
      <c r="B15" s="54" t="s">
        <v>75</v>
      </c>
      <c r="C15" s="71" t="n">
        <v>1</v>
      </c>
      <c r="D15" s="71" t="n">
        <v>1</v>
      </c>
      <c r="E15" s="71" t="n">
        <v>0.7</v>
      </c>
      <c r="F15" s="71" t="n">
        <v>0.7</v>
      </c>
      <c r="G15" s="71" t="n">
        <v>0.7</v>
      </c>
      <c r="H15" s="50" t="s">
        <v>72</v>
      </c>
      <c r="I15" s="86" t="s">
        <v>1449</v>
      </c>
    </row>
    <row r="16" customFormat="false" ht="15" hidden="false" customHeight="false" outlineLevel="0" collapsed="false">
      <c r="A16" s="53" t="s">
        <v>1450</v>
      </c>
      <c r="B16" s="53" t="s">
        <v>1451</v>
      </c>
      <c r="C16" s="58" t="n">
        <v>0</v>
      </c>
      <c r="D16" s="58" t="n">
        <v>0</v>
      </c>
      <c r="E16" s="58" t="n">
        <v>0</v>
      </c>
      <c r="F16" s="58" t="n">
        <v>0</v>
      </c>
      <c r="G16" s="58" t="n">
        <v>0</v>
      </c>
      <c r="H16" s="50" t="s">
        <v>72</v>
      </c>
      <c r="I16" s="86" t="s">
        <v>1452</v>
      </c>
    </row>
    <row r="17" customFormat="false" ht="15" hidden="false" customHeight="false" outlineLevel="0" collapsed="false">
      <c r="A17" s="53" t="s">
        <v>1453</v>
      </c>
      <c r="B17" s="53" t="s">
        <v>287</v>
      </c>
      <c r="C17" s="59" t="n">
        <v>0</v>
      </c>
      <c r="D17" s="59" t="n">
        <v>0</v>
      </c>
      <c r="E17" s="59" t="n">
        <v>0</v>
      </c>
      <c r="F17" s="59" t="n">
        <v>0</v>
      </c>
      <c r="G17" s="59" t="n">
        <v>0</v>
      </c>
      <c r="H17" s="50" t="s">
        <v>72</v>
      </c>
      <c r="I17" s="86" t="s">
        <v>1454</v>
      </c>
    </row>
    <row r="18" customFormat="false" ht="15" hidden="false" customHeight="false" outlineLevel="0" collapsed="false">
      <c r="A18" s="53" t="s">
        <v>1455</v>
      </c>
      <c r="B18" s="54" t="s">
        <v>1112</v>
      </c>
      <c r="C18" s="141" t="n">
        <v>0.0833333333333333</v>
      </c>
      <c r="D18" s="141" t="n">
        <v>0.0833333333333333</v>
      </c>
      <c r="E18" s="141" t="n">
        <v>0.67</v>
      </c>
      <c r="F18" s="141" t="n">
        <v>0.67</v>
      </c>
      <c r="G18" s="141" t="n">
        <v>0.67</v>
      </c>
      <c r="H18" s="50" t="s">
        <v>76</v>
      </c>
      <c r="I18" s="80" t="s">
        <v>1456</v>
      </c>
    </row>
    <row r="19" customFormat="false" ht="25.35" hidden="false" customHeight="false" outlineLevel="0" collapsed="false">
      <c r="A19" s="53" t="s">
        <v>1457</v>
      </c>
      <c r="B19" s="54" t="s">
        <v>75</v>
      </c>
      <c r="C19" s="71" t="n">
        <v>1</v>
      </c>
      <c r="D19" s="71" t="n">
        <v>1</v>
      </c>
      <c r="E19" s="71" t="n">
        <v>1.2</v>
      </c>
      <c r="F19" s="71" t="n">
        <v>2</v>
      </c>
      <c r="G19" s="71" t="n">
        <v>2</v>
      </c>
      <c r="H19" s="50" t="s">
        <v>72</v>
      </c>
      <c r="I19" s="80" t="s">
        <v>1458</v>
      </c>
    </row>
    <row r="20" customFormat="false" ht="15" hidden="false" customHeight="false" outlineLevel="0" collapsed="false">
      <c r="A20" s="53" t="s">
        <v>1459</v>
      </c>
      <c r="B20" s="53" t="s">
        <v>1298</v>
      </c>
      <c r="C20" s="59" t="n">
        <v>1</v>
      </c>
      <c r="D20" s="59" t="n">
        <v>1</v>
      </c>
      <c r="E20" s="59" t="n">
        <v>1</v>
      </c>
      <c r="F20" s="59" t="n">
        <v>1</v>
      </c>
      <c r="G20" s="59" t="n">
        <v>1</v>
      </c>
      <c r="H20" s="50" t="s">
        <v>107</v>
      </c>
      <c r="I20" s="86" t="s">
        <v>1460</v>
      </c>
    </row>
    <row r="22" customFormat="false" ht="15" hidden="false" customHeight="false" outlineLevel="0" collapsed="false">
      <c r="A22" s="51" t="s">
        <v>1461</v>
      </c>
    </row>
    <row r="23" customFormat="false" ht="30" hidden="false" customHeight="true" outlineLevel="0" collapsed="false">
      <c r="A23" s="51" t="s">
        <v>54</v>
      </c>
      <c r="B23" s="51" t="s">
        <v>55</v>
      </c>
      <c r="C23" s="156" t="str">
        <f aca="false">Workload!C4</f>
        <v>一般聊天</v>
      </c>
      <c r="D23" s="156" t="str">
        <f aca="false">Workload!D4</f>
        <v>推理聊天</v>
      </c>
      <c r="E23" s="156" t="str">
        <f aca="false">Workload!E4</f>
        <v>單代理（工具迴圈）</v>
      </c>
      <c r="F23" s="156" t="str">
        <f aca="false">Workload!F4</f>
        <v>多代理研究</v>
      </c>
      <c r="G23" s="156" t="str">
        <f aca="false">Workload!G4</f>
        <v>Coding agent（長程）</v>
      </c>
      <c r="H23" s="51" t="s">
        <v>59</v>
      </c>
      <c r="I23" s="51" t="s">
        <v>296</v>
      </c>
    </row>
    <row r="24" customFormat="false" ht="15" hidden="false" customHeight="false" outlineLevel="0" collapsed="false">
      <c r="A24" s="53" t="s">
        <v>1441</v>
      </c>
      <c r="B24" s="54" t="s">
        <v>75</v>
      </c>
      <c r="C24" s="71" t="n">
        <v>1</v>
      </c>
      <c r="D24" s="71" t="n">
        <v>1</v>
      </c>
      <c r="E24" s="71" t="n">
        <v>1</v>
      </c>
      <c r="F24" s="71" t="n">
        <v>1</v>
      </c>
      <c r="G24" s="71" t="n">
        <v>1</v>
      </c>
      <c r="H24" s="50" t="s">
        <v>72</v>
      </c>
      <c r="I24" s="86"/>
    </row>
    <row r="25" customFormat="false" ht="15" hidden="false" customHeight="false" outlineLevel="0" collapsed="false">
      <c r="A25" s="53" t="s">
        <v>1443</v>
      </c>
      <c r="B25" s="54" t="s">
        <v>71</v>
      </c>
      <c r="C25" s="58" t="n">
        <v>0</v>
      </c>
      <c r="D25" s="58" t="n">
        <v>0</v>
      </c>
      <c r="E25" s="58" t="n">
        <v>0</v>
      </c>
      <c r="F25" s="58" t="n">
        <v>0</v>
      </c>
      <c r="G25" s="58" t="n">
        <v>0</v>
      </c>
      <c r="H25" s="50" t="s">
        <v>72</v>
      </c>
      <c r="I25" s="86"/>
    </row>
    <row r="26" customFormat="false" ht="15" hidden="false" customHeight="false" outlineLevel="0" collapsed="false">
      <c r="A26" s="53" t="s">
        <v>1446</v>
      </c>
      <c r="B26" s="54" t="s">
        <v>75</v>
      </c>
      <c r="C26" s="71" t="n">
        <v>1</v>
      </c>
      <c r="D26" s="71" t="n">
        <v>1</v>
      </c>
      <c r="E26" s="71" t="n">
        <v>1</v>
      </c>
      <c r="F26" s="71" t="n">
        <v>1</v>
      </c>
      <c r="G26" s="71" t="n">
        <v>1</v>
      </c>
      <c r="H26" s="50" t="s">
        <v>72</v>
      </c>
      <c r="I26" s="86"/>
    </row>
    <row r="27" customFormat="false" ht="15" hidden="false" customHeight="false" outlineLevel="0" collapsed="false">
      <c r="A27" s="53" t="s">
        <v>1448</v>
      </c>
      <c r="B27" s="54" t="s">
        <v>75</v>
      </c>
      <c r="C27" s="71" t="n">
        <v>1</v>
      </c>
      <c r="D27" s="71" t="n">
        <v>1</v>
      </c>
      <c r="E27" s="71" t="n">
        <v>1</v>
      </c>
      <c r="F27" s="71" t="n">
        <v>1</v>
      </c>
      <c r="G27" s="71" t="n">
        <v>1</v>
      </c>
      <c r="H27" s="50" t="s">
        <v>72</v>
      </c>
      <c r="I27" s="86"/>
    </row>
    <row r="28" customFormat="false" ht="15" hidden="false" customHeight="false" outlineLevel="0" collapsed="false">
      <c r="A28" s="53" t="s">
        <v>1450</v>
      </c>
      <c r="B28" s="53" t="s">
        <v>1451</v>
      </c>
      <c r="C28" s="58" t="n">
        <v>0</v>
      </c>
      <c r="D28" s="58" t="n">
        <v>0</v>
      </c>
      <c r="E28" s="58" t="n">
        <v>0</v>
      </c>
      <c r="F28" s="58" t="n">
        <v>0</v>
      </c>
      <c r="G28" s="58" t="n">
        <v>0</v>
      </c>
      <c r="H28" s="50" t="s">
        <v>72</v>
      </c>
      <c r="I28" s="86"/>
    </row>
    <row r="29" customFormat="false" ht="15" hidden="false" customHeight="false" outlineLevel="0" collapsed="false">
      <c r="A29" s="53" t="s">
        <v>1453</v>
      </c>
      <c r="B29" s="53" t="s">
        <v>287</v>
      </c>
      <c r="C29" s="59" t="n">
        <v>0</v>
      </c>
      <c r="D29" s="59" t="n">
        <v>0</v>
      </c>
      <c r="E29" s="59" t="n">
        <v>3</v>
      </c>
      <c r="F29" s="59" t="n">
        <v>0</v>
      </c>
      <c r="G29" s="59" t="n">
        <v>3</v>
      </c>
      <c r="H29" s="50" t="s">
        <v>76</v>
      </c>
      <c r="I29" s="80" t="s">
        <v>1462</v>
      </c>
    </row>
    <row r="30" customFormat="false" ht="15" hidden="false" customHeight="false" outlineLevel="0" collapsed="false">
      <c r="A30" s="53" t="s">
        <v>1455</v>
      </c>
      <c r="B30" s="54" t="s">
        <v>1112</v>
      </c>
      <c r="C30" s="141" t="n">
        <v>0.0833333333333333</v>
      </c>
      <c r="D30" s="141" t="n">
        <v>0.0833333333333333</v>
      </c>
      <c r="E30" s="141" t="n">
        <v>0.0833333333333333</v>
      </c>
      <c r="F30" s="141" t="n">
        <v>0.0833333333333333</v>
      </c>
      <c r="G30" s="141" t="n">
        <v>0.0833333333333333</v>
      </c>
      <c r="H30" s="50" t="s">
        <v>72</v>
      </c>
      <c r="I30" s="86"/>
    </row>
    <row r="31" customFormat="false" ht="15" hidden="false" customHeight="false" outlineLevel="0" collapsed="false">
      <c r="A31" s="53" t="s">
        <v>1457</v>
      </c>
      <c r="B31" s="54" t="s">
        <v>75</v>
      </c>
      <c r="C31" s="71" t="n">
        <v>1</v>
      </c>
      <c r="D31" s="71" t="n">
        <v>1</v>
      </c>
      <c r="E31" s="71" t="n">
        <v>1.2</v>
      </c>
      <c r="F31" s="71" t="n">
        <v>1.5</v>
      </c>
      <c r="G31" s="71" t="n">
        <v>1.5</v>
      </c>
      <c r="H31" s="50" t="s">
        <v>72</v>
      </c>
      <c r="I31" s="80" t="s">
        <v>1463</v>
      </c>
    </row>
    <row r="32" customFormat="false" ht="15" hidden="false" customHeight="false" outlineLevel="0" collapsed="false">
      <c r="A32" s="53" t="s">
        <v>1459</v>
      </c>
      <c r="B32" s="53" t="s">
        <v>1298</v>
      </c>
      <c r="C32" s="59" t="n">
        <v>0</v>
      </c>
      <c r="D32" s="59" t="n">
        <v>0</v>
      </c>
      <c r="E32" s="59" t="n">
        <v>0</v>
      </c>
      <c r="F32" s="59" t="n">
        <v>0</v>
      </c>
      <c r="G32" s="59" t="n">
        <v>0</v>
      </c>
      <c r="H32" s="50" t="s">
        <v>72</v>
      </c>
      <c r="I32" s="86" t="s">
        <v>1464</v>
      </c>
    </row>
    <row r="34" customFormat="false" ht="15" hidden="false" customHeight="false" outlineLevel="0" collapsed="false">
      <c r="A34" s="51" t="s">
        <v>1465</v>
      </c>
    </row>
    <row r="35" customFormat="false" ht="30" hidden="false" customHeight="true" outlineLevel="0" collapsed="false">
      <c r="A35" s="51" t="s">
        <v>54</v>
      </c>
      <c r="B35" s="51" t="s">
        <v>55</v>
      </c>
      <c r="C35" s="156" t="str">
        <f aca="false">Workload!C4</f>
        <v>一般聊天</v>
      </c>
      <c r="D35" s="156" t="str">
        <f aca="false">Workload!D4</f>
        <v>推理聊天</v>
      </c>
      <c r="E35" s="156" t="str">
        <f aca="false">Workload!E4</f>
        <v>單代理（工具迴圈）</v>
      </c>
      <c r="F35" s="156" t="str">
        <f aca="false">Workload!F4</f>
        <v>多代理研究</v>
      </c>
      <c r="G35" s="156" t="str">
        <f aca="false">Workload!G4</f>
        <v>Coding agent（長程）</v>
      </c>
    </row>
    <row r="36" customFormat="false" ht="15" hidden="false" customHeight="false" outlineLevel="0" collapsed="false">
      <c r="A36" s="53" t="s">
        <v>1441</v>
      </c>
      <c r="B36" s="54" t="s">
        <v>75</v>
      </c>
      <c r="C36" s="69" t="n">
        <f aca="false">CHOOSE(B5_Profile-1,C12,C24)</f>
        <v>1</v>
      </c>
      <c r="D36" s="69" t="n">
        <f aca="false">CHOOSE(B5_Profile-1,D12,D24)</f>
        <v>1</v>
      </c>
      <c r="E36" s="69" t="n">
        <f aca="false">CHOOSE(B5_Profile-1,E12,E24)</f>
        <v>0.7</v>
      </c>
      <c r="F36" s="69" t="n">
        <f aca="false">CHOOSE(B5_Profile-1,F12,F24)</f>
        <v>0.7</v>
      </c>
      <c r="G36" s="69" t="n">
        <f aca="false">CHOOSE(B5_Profile-1,G12,G24)</f>
        <v>0.7</v>
      </c>
    </row>
    <row r="37" customFormat="false" ht="15" hidden="false" customHeight="false" outlineLevel="0" collapsed="false">
      <c r="A37" s="53" t="s">
        <v>1443</v>
      </c>
      <c r="B37" s="54" t="s">
        <v>71</v>
      </c>
      <c r="C37" s="78" t="n">
        <f aca="false">CHOOSE(B5_Profile-1,C13,C25)</f>
        <v>0</v>
      </c>
      <c r="D37" s="78" t="n">
        <f aca="false">CHOOSE(B5_Profile-1,D13,D25)</f>
        <v>0</v>
      </c>
      <c r="E37" s="78" t="n">
        <f aca="false">CHOOSE(B5_Profile-1,E13,E25)</f>
        <v>1</v>
      </c>
      <c r="F37" s="78" t="n">
        <f aca="false">CHOOSE(B5_Profile-1,F13,F25)</f>
        <v>1</v>
      </c>
      <c r="G37" s="78" t="n">
        <f aca="false">CHOOSE(B5_Profile-1,G13,G25)</f>
        <v>1</v>
      </c>
    </row>
    <row r="38" customFormat="false" ht="15" hidden="false" customHeight="false" outlineLevel="0" collapsed="false">
      <c r="A38" s="53" t="s">
        <v>1446</v>
      </c>
      <c r="B38" s="54" t="s">
        <v>75</v>
      </c>
      <c r="C38" s="69" t="n">
        <f aca="false">CHOOSE(B5_Profile-1,C14,C26)</f>
        <v>1</v>
      </c>
      <c r="D38" s="69" t="n">
        <f aca="false">CHOOSE(B5_Profile-1,D14,D26)</f>
        <v>1</v>
      </c>
      <c r="E38" s="69" t="n">
        <f aca="false">CHOOSE(B5_Profile-1,E14,E26)</f>
        <v>0.8</v>
      </c>
      <c r="F38" s="69" t="n">
        <f aca="false">CHOOSE(B5_Profile-1,F14,F26)</f>
        <v>0.8</v>
      </c>
      <c r="G38" s="69" t="n">
        <f aca="false">CHOOSE(B5_Profile-1,G14,G26)</f>
        <v>0.8</v>
      </c>
    </row>
    <row r="39" customFormat="false" ht="15" hidden="false" customHeight="false" outlineLevel="0" collapsed="false">
      <c r="A39" s="53" t="s">
        <v>1448</v>
      </c>
      <c r="B39" s="54" t="s">
        <v>75</v>
      </c>
      <c r="C39" s="69" t="n">
        <f aca="false">CHOOSE(B5_Profile-1,C15,C27)</f>
        <v>1</v>
      </c>
      <c r="D39" s="69" t="n">
        <f aca="false">CHOOSE(B5_Profile-1,D15,D27)</f>
        <v>1</v>
      </c>
      <c r="E39" s="69" t="n">
        <f aca="false">CHOOSE(B5_Profile-1,E15,E27)</f>
        <v>0.7</v>
      </c>
      <c r="F39" s="69" t="n">
        <f aca="false">CHOOSE(B5_Profile-1,F15,F27)</f>
        <v>0.7</v>
      </c>
      <c r="G39" s="69" t="n">
        <f aca="false">CHOOSE(B5_Profile-1,G15,G27)</f>
        <v>0.7</v>
      </c>
    </row>
    <row r="40" customFormat="false" ht="15" hidden="false" customHeight="false" outlineLevel="0" collapsed="false">
      <c r="A40" s="53" t="s">
        <v>1450</v>
      </c>
      <c r="B40" s="53" t="s">
        <v>1451</v>
      </c>
      <c r="C40" s="78" t="n">
        <f aca="false">CHOOSE(B5_Profile-1,C16,C28)</f>
        <v>0</v>
      </c>
      <c r="D40" s="78" t="n">
        <f aca="false">CHOOSE(B5_Profile-1,D16,D28)</f>
        <v>0</v>
      </c>
      <c r="E40" s="78" t="n">
        <f aca="false">CHOOSE(B5_Profile-1,E16,E28)</f>
        <v>0</v>
      </c>
      <c r="F40" s="78" t="n">
        <f aca="false">CHOOSE(B5_Profile-1,F16,F28)</f>
        <v>0</v>
      </c>
      <c r="G40" s="78" t="n">
        <f aca="false">CHOOSE(B5_Profile-1,G16,G28)</f>
        <v>0</v>
      </c>
    </row>
    <row r="41" customFormat="false" ht="15" hidden="false" customHeight="false" outlineLevel="0" collapsed="false">
      <c r="A41" s="53" t="s">
        <v>1453</v>
      </c>
      <c r="B41" s="53" t="s">
        <v>287</v>
      </c>
      <c r="C41" s="104" t="n">
        <f aca="false">CHOOSE(B5_Profile-1,C17,C29)</f>
        <v>0</v>
      </c>
      <c r="D41" s="104" t="n">
        <f aca="false">CHOOSE(B5_Profile-1,D17,D29)</f>
        <v>0</v>
      </c>
      <c r="E41" s="104" t="n">
        <f aca="false">CHOOSE(B5_Profile-1,E17,E29)</f>
        <v>0</v>
      </c>
      <c r="F41" s="104" t="n">
        <f aca="false">CHOOSE(B5_Profile-1,F17,F29)</f>
        <v>0</v>
      </c>
      <c r="G41" s="104" t="n">
        <f aca="false">CHOOSE(B5_Profile-1,G17,G29)</f>
        <v>0</v>
      </c>
    </row>
    <row r="42" customFormat="false" ht="15" hidden="false" customHeight="false" outlineLevel="0" collapsed="false">
      <c r="A42" s="53" t="s">
        <v>1455</v>
      </c>
      <c r="B42" s="54" t="s">
        <v>1112</v>
      </c>
      <c r="C42" s="107" t="n">
        <f aca="false">CHOOSE(B5_Profile-1,C18,C30)</f>
        <v>0.0833333333333333</v>
      </c>
      <c r="D42" s="107" t="n">
        <f aca="false">CHOOSE(B5_Profile-1,D18,D30)</f>
        <v>0.0833333333333333</v>
      </c>
      <c r="E42" s="107" t="n">
        <f aca="false">CHOOSE(B5_Profile-1,E18,E30)</f>
        <v>0.67</v>
      </c>
      <c r="F42" s="107" t="n">
        <f aca="false">CHOOSE(B5_Profile-1,F18,F30)</f>
        <v>0.67</v>
      </c>
      <c r="G42" s="107" t="n">
        <f aca="false">CHOOSE(B5_Profile-1,G18,G30)</f>
        <v>0.67</v>
      </c>
    </row>
    <row r="43" customFormat="false" ht="15" hidden="false" customHeight="false" outlineLevel="0" collapsed="false">
      <c r="A43" s="53" t="s">
        <v>1457</v>
      </c>
      <c r="B43" s="54" t="s">
        <v>75</v>
      </c>
      <c r="C43" s="69" t="n">
        <f aca="false">CHOOSE(B5_Profile-1,C19,C31)</f>
        <v>1</v>
      </c>
      <c r="D43" s="69" t="n">
        <f aca="false">CHOOSE(B5_Profile-1,D19,D31)</f>
        <v>1</v>
      </c>
      <c r="E43" s="69" t="n">
        <f aca="false">CHOOSE(B5_Profile-1,E19,E31)</f>
        <v>1.2</v>
      </c>
      <c r="F43" s="69" t="n">
        <f aca="false">CHOOSE(B5_Profile-1,F19,F31)</f>
        <v>2</v>
      </c>
      <c r="G43" s="69" t="n">
        <f aca="false">CHOOSE(B5_Profile-1,G19,G31)</f>
        <v>2</v>
      </c>
    </row>
    <row r="44" customFormat="false" ht="15" hidden="false" customHeight="false" outlineLevel="0" collapsed="false">
      <c r="A44" s="53" t="s">
        <v>1459</v>
      </c>
      <c r="B44" s="53" t="s">
        <v>1298</v>
      </c>
      <c r="C44" s="104" t="n">
        <f aca="false">CHOOSE(B5_Profile-1,C20,C32)</f>
        <v>1</v>
      </c>
      <c r="D44" s="104" t="n">
        <f aca="false">CHOOSE(B5_Profile-1,D20,D32)</f>
        <v>1</v>
      </c>
      <c r="E44" s="104" t="n">
        <f aca="false">CHOOSE(B5_Profile-1,E20,E32)</f>
        <v>1</v>
      </c>
      <c r="F44" s="104" t="n">
        <f aca="false">CHOOSE(B5_Profile-1,F20,F32)</f>
        <v>1</v>
      </c>
      <c r="G44" s="104" t="n">
        <f aca="false">CHOOSE(B5_Profile-1,G20,G32)</f>
        <v>1</v>
      </c>
    </row>
    <row r="46" customFormat="false" ht="15" hidden="false" customHeight="false" outlineLevel="0" collapsed="false">
      <c r="A46" s="68" t="s">
        <v>1466</v>
      </c>
      <c r="B46" s="62"/>
      <c r="C46" s="62"/>
      <c r="D46" s="62"/>
      <c r="E46" s="62"/>
      <c r="F46" s="62"/>
      <c r="G46" s="62"/>
      <c r="H46" s="62"/>
      <c r="I46" s="62"/>
    </row>
    <row r="47" customFormat="false" ht="15" hidden="false" customHeight="false" outlineLevel="0" collapsed="false">
      <c r="A47" s="51" t="s">
        <v>328</v>
      </c>
      <c r="B47" s="51" t="s">
        <v>55</v>
      </c>
      <c r="C47" s="52" t="s">
        <v>219</v>
      </c>
      <c r="D47" s="52" t="s">
        <v>220</v>
      </c>
      <c r="E47" s="52" t="s">
        <v>221</v>
      </c>
      <c r="H47" s="51" t="s">
        <v>59</v>
      </c>
      <c r="I47" s="51" t="s">
        <v>296</v>
      </c>
    </row>
    <row r="48" customFormat="false" ht="25.35" hidden="false" customHeight="false" outlineLevel="0" collapsed="false">
      <c r="A48" s="54" t="s">
        <v>1467</v>
      </c>
      <c r="B48" s="54" t="s">
        <v>1112</v>
      </c>
      <c r="C48" s="70" t="n">
        <v>1.5</v>
      </c>
      <c r="D48" s="70" t="n">
        <v>8</v>
      </c>
      <c r="E48" s="70" t="n">
        <v>16</v>
      </c>
      <c r="H48" s="50" t="s">
        <v>76</v>
      </c>
      <c r="I48" s="80" t="s">
        <v>1468</v>
      </c>
    </row>
    <row r="49" customFormat="false" ht="15" hidden="false" customHeight="false" outlineLevel="0" collapsed="false">
      <c r="A49" s="54" t="s">
        <v>1469</v>
      </c>
      <c r="B49" s="54" t="s">
        <v>1112</v>
      </c>
      <c r="C49" s="70" t="n">
        <v>0.5</v>
      </c>
      <c r="D49" s="70" t="n">
        <v>4</v>
      </c>
      <c r="E49" s="70" t="n">
        <v>11</v>
      </c>
      <c r="H49" s="50" t="s">
        <v>76</v>
      </c>
      <c r="I49" s="86"/>
    </row>
    <row r="50" customFormat="false" ht="15" hidden="false" customHeight="false" outlineLevel="0" collapsed="false">
      <c r="A50" s="54" t="s">
        <v>1470</v>
      </c>
      <c r="B50" s="54" t="s">
        <v>1112</v>
      </c>
      <c r="C50" s="70" t="n">
        <v>4</v>
      </c>
      <c r="D50" s="70" t="n">
        <v>12</v>
      </c>
      <c r="E50" s="70" t="n">
        <v>40</v>
      </c>
      <c r="H50" s="50" t="s">
        <v>76</v>
      </c>
      <c r="I50" s="80" t="s">
        <v>1471</v>
      </c>
    </row>
    <row r="51" customFormat="false" ht="25.35" hidden="false" customHeight="false" outlineLevel="0" collapsed="false">
      <c r="A51" s="53" t="s">
        <v>1472</v>
      </c>
      <c r="B51" s="54" t="s">
        <v>75</v>
      </c>
      <c r="C51" s="71" t="n">
        <v>0.75</v>
      </c>
      <c r="D51" s="71" t="n">
        <v>0.65</v>
      </c>
      <c r="E51" s="71" t="n">
        <v>1</v>
      </c>
      <c r="H51" s="50" t="s">
        <v>250</v>
      </c>
      <c r="I51" s="86" t="s">
        <v>1473</v>
      </c>
    </row>
    <row r="52" customFormat="false" ht="30" hidden="false" customHeight="true" outlineLevel="0" collapsed="false">
      <c r="A52" s="51" t="s">
        <v>1474</v>
      </c>
      <c r="B52" s="51" t="s">
        <v>55</v>
      </c>
      <c r="C52" s="156" t="str">
        <f aca="false">Workload!C4</f>
        <v>一般聊天</v>
      </c>
      <c r="D52" s="156" t="str">
        <f aca="false">Workload!D4</f>
        <v>推理聊天</v>
      </c>
      <c r="E52" s="156" t="str">
        <f aca="false">Workload!E4</f>
        <v>單代理（工具迴圈）</v>
      </c>
      <c r="F52" s="156" t="str">
        <f aca="false">Workload!F4</f>
        <v>多代理研究</v>
      </c>
      <c r="G52" s="156" t="str">
        <f aca="false">Workload!G4</f>
        <v>Coding agent（長程）</v>
      </c>
    </row>
    <row r="53" customFormat="false" ht="15" hidden="false" customHeight="false" outlineLevel="0" collapsed="false">
      <c r="A53" s="53" t="s">
        <v>1475</v>
      </c>
      <c r="B53" s="54" t="s">
        <v>1112</v>
      </c>
      <c r="C53" s="71" t="n">
        <v>0.02</v>
      </c>
      <c r="D53" s="71" t="n">
        <v>0.1</v>
      </c>
      <c r="E53" s="71" t="n">
        <v>0.5</v>
      </c>
      <c r="F53" s="71" t="n">
        <v>2</v>
      </c>
      <c r="G53" s="71" t="n">
        <v>8</v>
      </c>
      <c r="H53" s="50" t="s">
        <v>72</v>
      </c>
      <c r="I53" s="66" t="s">
        <v>1476</v>
      </c>
    </row>
    <row r="54" customFormat="false" ht="15" hidden="false" customHeight="false" outlineLevel="0" collapsed="false">
      <c r="A54" s="53" t="s">
        <v>1477</v>
      </c>
      <c r="B54" s="53"/>
      <c r="C54" s="98" t="s">
        <v>1478</v>
      </c>
      <c r="D54" s="98" t="s">
        <v>1478</v>
      </c>
      <c r="E54" s="98" t="s">
        <v>1478</v>
      </c>
      <c r="F54" s="98" t="s">
        <v>1479</v>
      </c>
      <c r="G54" s="98" t="s">
        <v>1479</v>
      </c>
      <c r="I54" s="50" t="s">
        <v>1480</v>
      </c>
    </row>
    <row r="55" customFormat="false" ht="15" hidden="false" customHeight="false" outlineLevel="0" collapsed="false">
      <c r="A55" s="53" t="s">
        <v>1481</v>
      </c>
      <c r="B55" s="54" t="s">
        <v>71</v>
      </c>
      <c r="C55" s="58"/>
      <c r="D55" s="58"/>
      <c r="E55" s="58"/>
      <c r="F55" s="58"/>
      <c r="G55" s="58"/>
      <c r="I55" s="66" t="s">
        <v>1482</v>
      </c>
    </row>
    <row r="56" customFormat="false" ht="15" hidden="false" customHeight="false" outlineLevel="0" collapsed="false">
      <c r="A56" s="53" t="s">
        <v>1483</v>
      </c>
      <c r="B56" s="54" t="s">
        <v>71</v>
      </c>
      <c r="C56" s="58"/>
      <c r="D56" s="58"/>
      <c r="E56" s="58"/>
      <c r="F56" s="58"/>
      <c r="G56" s="58"/>
      <c r="I56" s="66" t="s">
        <v>1482</v>
      </c>
    </row>
    <row r="57" customFormat="false" ht="15" hidden="false" customHeight="false" outlineLevel="0" collapsed="false">
      <c r="A57" s="53" t="s">
        <v>1484</v>
      </c>
      <c r="B57" s="54" t="s">
        <v>71</v>
      </c>
      <c r="C57" s="58"/>
      <c r="D57" s="58"/>
      <c r="E57" s="58"/>
      <c r="F57" s="58"/>
      <c r="G57" s="58"/>
      <c r="I57" s="66" t="s">
        <v>1482</v>
      </c>
    </row>
    <row r="59" customFormat="false" ht="15" hidden="false" customHeight="false" outlineLevel="0" collapsed="false">
      <c r="A59" s="68" t="s">
        <v>1485</v>
      </c>
      <c r="B59" s="62"/>
      <c r="C59" s="62"/>
      <c r="D59" s="62"/>
      <c r="E59" s="62"/>
      <c r="F59" s="62"/>
      <c r="G59" s="62"/>
      <c r="H59" s="62"/>
      <c r="I59" s="62"/>
    </row>
    <row r="60" customFormat="false" ht="15" hidden="false" customHeight="false" outlineLevel="0" collapsed="false">
      <c r="A60" s="51" t="s">
        <v>54</v>
      </c>
      <c r="C60" s="51" t="s">
        <v>1099</v>
      </c>
      <c r="D60" s="51" t="s">
        <v>1100</v>
      </c>
      <c r="I60" s="51" t="s">
        <v>296</v>
      </c>
    </row>
    <row r="61" customFormat="false" ht="15" hidden="false" customHeight="false" outlineLevel="0" collapsed="false">
      <c r="A61" s="53" t="s">
        <v>1441</v>
      </c>
      <c r="C61" s="71" t="n">
        <v>0.5</v>
      </c>
      <c r="D61" s="71" t="n">
        <v>1</v>
      </c>
      <c r="H61" s="50" t="s">
        <v>72</v>
      </c>
      <c r="I61" s="66"/>
    </row>
    <row r="62" customFormat="false" ht="15" hidden="false" customHeight="false" outlineLevel="0" collapsed="false">
      <c r="A62" s="53" t="s">
        <v>1446</v>
      </c>
      <c r="C62" s="71" t="n">
        <v>0.6</v>
      </c>
      <c r="D62" s="71" t="n">
        <v>1</v>
      </c>
      <c r="H62" s="50" t="s">
        <v>72</v>
      </c>
      <c r="I62" s="66"/>
    </row>
    <row r="63" customFormat="false" ht="15" hidden="false" customHeight="false" outlineLevel="0" collapsed="false">
      <c r="A63" s="53" t="s">
        <v>1443</v>
      </c>
      <c r="C63" s="58" t="n">
        <v>0.5</v>
      </c>
      <c r="D63" s="58" t="n">
        <v>1</v>
      </c>
      <c r="H63" s="50" t="s">
        <v>72</v>
      </c>
      <c r="I63" s="66"/>
    </row>
    <row r="64" customFormat="false" ht="15" hidden="false" customHeight="false" outlineLevel="0" collapsed="false">
      <c r="A64" s="53" t="s">
        <v>1486</v>
      </c>
      <c r="C64" s="71" t="n">
        <v>0.5</v>
      </c>
      <c r="D64" s="71" t="n">
        <v>1</v>
      </c>
      <c r="H64" s="50" t="s">
        <v>72</v>
      </c>
      <c r="I64" s="66"/>
    </row>
    <row r="65" customFormat="false" ht="15" hidden="false" customHeight="false" outlineLevel="0" collapsed="false">
      <c r="A65" s="53" t="s">
        <v>1487</v>
      </c>
      <c r="C65" s="71" t="n">
        <v>1</v>
      </c>
      <c r="D65" s="71" t="n">
        <v>4</v>
      </c>
      <c r="H65" s="50" t="s">
        <v>72</v>
      </c>
      <c r="I65" s="50" t="s">
        <v>1488</v>
      </c>
    </row>
    <row r="66" customFormat="false" ht="15" hidden="false" customHeight="false" outlineLevel="0" collapsed="false">
      <c r="A66" s="53" t="s">
        <v>1455</v>
      </c>
      <c r="C66" s="141" t="n">
        <v>0.0833333333333333</v>
      </c>
      <c r="D66" s="141" t="n">
        <v>2</v>
      </c>
      <c r="H66" s="50" t="s">
        <v>72</v>
      </c>
      <c r="I66" s="50" t="s">
        <v>1112</v>
      </c>
    </row>
    <row r="68" customFormat="false" ht="15" hidden="false" customHeight="false" outlineLevel="0" collapsed="false">
      <c r="A68" s="68" t="s">
        <v>1489</v>
      </c>
      <c r="B68" s="62"/>
      <c r="C68" s="62"/>
      <c r="D68" s="62"/>
      <c r="E68" s="62"/>
      <c r="F68" s="62"/>
      <c r="G68" s="62"/>
      <c r="H68" s="62"/>
      <c r="I68" s="62"/>
    </row>
    <row r="69" customFormat="false" ht="15" hidden="false" customHeight="false" outlineLevel="0" collapsed="false">
      <c r="A69" s="51" t="s">
        <v>1490</v>
      </c>
      <c r="B69" s="51" t="s">
        <v>55</v>
      </c>
      <c r="C69" s="51" t="s">
        <v>1491</v>
      </c>
      <c r="D69" s="51" t="s">
        <v>1492</v>
      </c>
      <c r="E69" s="52" t="s">
        <v>1493</v>
      </c>
      <c r="H69" s="51" t="s">
        <v>59</v>
      </c>
      <c r="I69" s="51" t="s">
        <v>60</v>
      </c>
    </row>
    <row r="70" customFormat="false" ht="25.35" hidden="false" customHeight="false" outlineLevel="0" collapsed="false">
      <c r="A70" s="6" t="s">
        <v>1494</v>
      </c>
      <c r="C70" s="102" t="n">
        <f aca="false">SRC_HAR_003</f>
        <v>0.627</v>
      </c>
      <c r="D70" s="55" t="n">
        <f aca="false">SRC_HAR_004</f>
        <v>26098</v>
      </c>
      <c r="H70" s="80" t="s">
        <v>1495</v>
      </c>
      <c r="I70" s="80" t="s">
        <v>1496</v>
      </c>
    </row>
    <row r="71" customFormat="false" ht="25.35" hidden="false" customHeight="false" outlineLevel="0" collapsed="false">
      <c r="A71" s="6" t="s">
        <v>1497</v>
      </c>
      <c r="C71" s="102" t="n">
        <f aca="false">SRC_HAR_005</f>
        <v>0.986</v>
      </c>
      <c r="D71" s="55" t="n">
        <f aca="false">SRC_HAR_006</f>
        <v>17332</v>
      </c>
      <c r="H71" s="80" t="s">
        <v>1498</v>
      </c>
      <c r="I71" s="80" t="s">
        <v>1496</v>
      </c>
    </row>
    <row r="72" customFormat="false" ht="25.35" hidden="false" customHeight="false" outlineLevel="0" collapsed="false">
      <c r="A72" s="6" t="s">
        <v>1499</v>
      </c>
      <c r="C72" s="102" t="n">
        <f aca="false">SRC_HAR_007</f>
        <v>0.999</v>
      </c>
      <c r="D72" s="55" t="n">
        <f aca="false">SRC_HAR_008</f>
        <v>18817</v>
      </c>
      <c r="E72" s="90" t="n">
        <f aca="false">SRC_HAR_010</f>
        <v>0.51</v>
      </c>
      <c r="H72" s="80" t="s">
        <v>1498</v>
      </c>
      <c r="I72" s="80" t="s">
        <v>1500</v>
      </c>
    </row>
    <row r="73" customFormat="false" ht="25.35" hidden="false" customHeight="false" outlineLevel="0" collapsed="false">
      <c r="A73" s="6" t="s">
        <v>1501</v>
      </c>
      <c r="C73" s="102" t="n">
        <f aca="false">SRC_HAR_012</f>
        <v>0.302</v>
      </c>
      <c r="H73" s="80" t="s">
        <v>1498</v>
      </c>
      <c r="I73" s="80" t="s">
        <v>1496</v>
      </c>
    </row>
    <row r="74" customFormat="false" ht="15" hidden="false" customHeight="false" outlineLevel="0" collapsed="false">
      <c r="A74" s="6" t="s">
        <v>1502</v>
      </c>
      <c r="C74" s="102" t="n">
        <f aca="false">SRC_HAR_015</f>
        <v>1</v>
      </c>
      <c r="H74" s="80" t="s">
        <v>1503</v>
      </c>
      <c r="I74" s="80" t="s">
        <v>1504</v>
      </c>
    </row>
    <row r="75" customFormat="false" ht="23.85" hidden="false" customHeight="false" outlineLevel="0" collapsed="false">
      <c r="A75" s="6" t="s">
        <v>1505</v>
      </c>
      <c r="E75" s="90" t="n">
        <f aca="false">SRC_HAR_002/SRC_HAR_001</f>
        <v>3.75</v>
      </c>
      <c r="H75" s="80" t="s">
        <v>1506</v>
      </c>
      <c r="I75" s="80" t="s">
        <v>1507</v>
      </c>
    </row>
    <row r="76" customFormat="false" ht="15" hidden="false" customHeight="false" outlineLevel="0" collapsed="false">
      <c r="A76" s="52" t="s">
        <v>1508</v>
      </c>
      <c r="B76" s="51"/>
      <c r="C76" s="52" t="s">
        <v>1509</v>
      </c>
      <c r="D76" s="52" t="s">
        <v>1510</v>
      </c>
      <c r="E76" s="51" t="s">
        <v>1511</v>
      </c>
      <c r="F76" s="51" t="s">
        <v>1512</v>
      </c>
      <c r="H76" s="51" t="s">
        <v>59</v>
      </c>
      <c r="I76" s="51" t="s">
        <v>418</v>
      </c>
    </row>
    <row r="77" customFormat="false" ht="15" hidden="false" customHeight="false" outlineLevel="0" collapsed="false">
      <c r="A77" s="54" t="s">
        <v>1513</v>
      </c>
      <c r="C77" s="90" t="n">
        <f aca="false">SRC_CAP_012</f>
        <v>3.5667</v>
      </c>
      <c r="D77" s="90" t="n">
        <f aca="false">SRC_CAP_013</f>
        <v>0.5333</v>
      </c>
      <c r="E77" s="79" t="n">
        <f aca="false">C77/D77</f>
        <v>6.68798049878117</v>
      </c>
      <c r="F77" s="69" t="n">
        <f aca="false">LN(4)/LN(E77)</f>
        <v>0.729508833472708</v>
      </c>
      <c r="H77" s="50" t="s">
        <v>1514</v>
      </c>
      <c r="I77" s="50" t="s">
        <v>1515</v>
      </c>
    </row>
    <row r="78" customFormat="false" ht="15" hidden="false" customHeight="false" outlineLevel="0" collapsed="false">
      <c r="A78" s="54" t="s">
        <v>1516</v>
      </c>
      <c r="C78" s="90" t="n">
        <f aca="false">SRC_CAP_014</f>
        <v>6.5667</v>
      </c>
      <c r="D78" s="90" t="n">
        <f aca="false">SRC_CAP_015</f>
        <v>0.9167</v>
      </c>
      <c r="E78" s="79" t="n">
        <f aca="false">C78/D78</f>
        <v>7.16341223955493</v>
      </c>
      <c r="F78" s="69" t="n">
        <f aca="false">LN(4)/LN(E78)</f>
        <v>0.704064962010379</v>
      </c>
      <c r="H78" s="50" t="s">
        <v>1514</v>
      </c>
      <c r="I78" s="50" t="s">
        <v>1515</v>
      </c>
    </row>
    <row r="79" customFormat="false" ht="15" hidden="false" customHeight="false" outlineLevel="0" collapsed="false">
      <c r="A79" s="54" t="s">
        <v>1517</v>
      </c>
      <c r="C79" s="90" t="n">
        <f aca="false">SRC_CAP_016</f>
        <v>5.7</v>
      </c>
      <c r="D79" s="90" t="n">
        <f aca="false">SRC_CAP_017</f>
        <v>0.9</v>
      </c>
      <c r="E79" s="79" t="n">
        <f aca="false">C79/D79</f>
        <v>6.33333333333333</v>
      </c>
      <c r="F79" s="69" t="n">
        <f aca="false">LN(4)/LN(E79)</f>
        <v>0.751042537338987</v>
      </c>
      <c r="H79" s="50" t="s">
        <v>1514</v>
      </c>
      <c r="I79" s="50" t="s">
        <v>1515</v>
      </c>
    </row>
    <row r="80" customFormat="false" ht="15" hidden="false" customHeight="false" outlineLevel="0" collapsed="false">
      <c r="A80" s="54" t="s">
        <v>1518</v>
      </c>
      <c r="C80" s="90" t="n">
        <f aca="false">SRC_CAP_018</f>
        <v>5.8333</v>
      </c>
      <c r="D80" s="90" t="n">
        <f aca="false">SRC_CAP_019</f>
        <v>1.5</v>
      </c>
      <c r="E80" s="79" t="n">
        <f aca="false">C80/D80</f>
        <v>3.88886666666667</v>
      </c>
      <c r="F80" s="69" t="n">
        <f aca="false">LN(4)/LN(E80)</f>
        <v>1.02074679522957</v>
      </c>
      <c r="H80" s="50" t="s">
        <v>1514</v>
      </c>
      <c r="I80" s="50" t="s">
        <v>1515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49" t="s">
        <v>1519</v>
      </c>
    </row>
    <row r="2" customFormat="false" ht="15" hidden="false" customHeight="false" outlineLevel="0" collapsed="false">
      <c r="A2" s="66" t="s">
        <v>1520</v>
      </c>
    </row>
    <row r="4" customFormat="false" ht="30" hidden="false" customHeight="true" outlineLevel="0" collapsed="false">
      <c r="A4" s="51" t="s">
        <v>328</v>
      </c>
      <c r="B4" s="51" t="s">
        <v>55</v>
      </c>
      <c r="C4" s="156" t="str">
        <f aca="false">Workload!C4</f>
        <v>一般聊天</v>
      </c>
      <c r="D4" s="156" t="str">
        <f aca="false">Workload!D4</f>
        <v>推理聊天</v>
      </c>
      <c r="E4" s="156" t="str">
        <f aca="false">Workload!E4</f>
        <v>單代理（工具迴圈）</v>
      </c>
      <c r="F4" s="156" t="str">
        <f aca="false">Workload!F4</f>
        <v>多代理研究</v>
      </c>
      <c r="G4" s="156" t="str">
        <f aca="false">Workload!G4</f>
        <v>Coding agent（長程）</v>
      </c>
    </row>
    <row r="5" customFormat="false" ht="15" hidden="false" customHeight="false" outlineLevel="0" collapsed="false">
      <c r="A5" s="68" t="s">
        <v>1521</v>
      </c>
      <c r="B5" s="62"/>
      <c r="C5" s="62"/>
      <c r="D5" s="62"/>
      <c r="E5" s="62"/>
      <c r="F5" s="62"/>
      <c r="G5" s="62"/>
      <c r="H5" s="62"/>
    </row>
    <row r="6" customFormat="false" ht="15" hidden="false" customHeight="false" outlineLevel="0" collapsed="false">
      <c r="A6" s="51" t="s">
        <v>1522</v>
      </c>
    </row>
    <row r="7" customFormat="false" ht="15" hidden="false" customHeight="false" outlineLevel="0" collapsed="false">
      <c r="A7" s="5" t="s">
        <v>346</v>
      </c>
      <c r="B7" s="53" t="s">
        <v>347</v>
      </c>
      <c r="C7" s="91" t="n">
        <f aca="false">Workload!C5</f>
        <v>1</v>
      </c>
      <c r="D7" s="91" t="n">
        <f aca="false">Workload!D5</f>
        <v>1</v>
      </c>
      <c r="E7" s="91" t="n">
        <f aca="false">Workload!E5</f>
        <v>4</v>
      </c>
      <c r="F7" s="91" t="n">
        <f aca="false">Workload!F5</f>
        <v>4</v>
      </c>
      <c r="G7" s="91" t="n">
        <f aca="false">Workload!G5</f>
        <v>30</v>
      </c>
    </row>
    <row r="8" customFormat="false" ht="15" hidden="false" customHeight="false" outlineLevel="0" collapsed="false">
      <c r="A8" s="5" t="s">
        <v>1523</v>
      </c>
      <c r="B8" s="54" t="s">
        <v>249</v>
      </c>
      <c r="C8" s="55" t="n">
        <f aca="false">Workload!C8</f>
        <v>0</v>
      </c>
      <c r="D8" s="55" t="n">
        <f aca="false">Workload!D8</f>
        <v>3000</v>
      </c>
      <c r="E8" s="55" t="n">
        <f aca="false">Workload!E8</f>
        <v>400</v>
      </c>
      <c r="F8" s="55" t="n">
        <f aca="false">Workload!F8</f>
        <v>400</v>
      </c>
      <c r="G8" s="55" t="n">
        <f aca="false">Workload!G8</f>
        <v>600</v>
      </c>
    </row>
    <row r="9" customFormat="false" ht="15" hidden="false" customHeight="false" outlineLevel="0" collapsed="false">
      <c r="A9" s="5" t="s">
        <v>1443</v>
      </c>
      <c r="B9" s="54" t="s">
        <v>71</v>
      </c>
      <c r="C9" s="57" t="n">
        <f aca="false">Workload!C10</f>
        <v>0</v>
      </c>
      <c r="D9" s="57" t="n">
        <f aca="false">Workload!D10</f>
        <v>0</v>
      </c>
      <c r="E9" s="57" t="n">
        <f aca="false">Workload!E10</f>
        <v>0</v>
      </c>
      <c r="F9" s="57" t="n">
        <f aca="false">Workload!F10</f>
        <v>0</v>
      </c>
      <c r="G9" s="57" t="n">
        <f aca="false">Workload!G10</f>
        <v>0</v>
      </c>
    </row>
    <row r="10" customFormat="false" ht="15" hidden="false" customHeight="false" outlineLevel="0" collapsed="false">
      <c r="A10" s="5" t="s">
        <v>1524</v>
      </c>
      <c r="B10" s="54" t="s">
        <v>71</v>
      </c>
      <c r="C10" s="57" t="n">
        <f aca="false">Workload!C11</f>
        <v>0.5</v>
      </c>
      <c r="D10" s="57" t="n">
        <f aca="false">Workload!D11</f>
        <v>0.5</v>
      </c>
      <c r="E10" s="57" t="n">
        <f aca="false">Workload!E11</f>
        <v>0.9</v>
      </c>
      <c r="F10" s="57" t="n">
        <f aca="false">Workload!F11</f>
        <v>0.9</v>
      </c>
      <c r="G10" s="57" t="n">
        <f aca="false">Workload!G11</f>
        <v>0.9</v>
      </c>
    </row>
    <row r="11" customFormat="false" ht="15" hidden="false" customHeight="false" outlineLevel="0" collapsed="false">
      <c r="A11" s="5" t="s">
        <v>1525</v>
      </c>
      <c r="B11" s="53" t="s">
        <v>287</v>
      </c>
      <c r="C11" s="101" t="n">
        <f aca="false">Workload!C12</f>
        <v>0</v>
      </c>
      <c r="D11" s="101" t="n">
        <f aca="false">Workload!D12</f>
        <v>0</v>
      </c>
      <c r="E11" s="101" t="n">
        <f aca="false">Workload!E12</f>
        <v>0</v>
      </c>
      <c r="F11" s="101" t="n">
        <f aca="false">Workload!F12</f>
        <v>3</v>
      </c>
      <c r="G11" s="101" t="n">
        <f aca="false">Workload!G12</f>
        <v>0</v>
      </c>
    </row>
    <row r="12" customFormat="false" ht="15" hidden="false" customHeight="false" outlineLevel="0" collapsed="false">
      <c r="A12" s="5" t="s">
        <v>1486</v>
      </c>
      <c r="B12" s="54" t="s">
        <v>75</v>
      </c>
      <c r="C12" s="90" t="n">
        <f aca="false">Workload!C14</f>
        <v>1</v>
      </c>
      <c r="D12" s="90" t="n">
        <f aca="false">Workload!D14</f>
        <v>1</v>
      </c>
      <c r="E12" s="90" t="n">
        <f aca="false">Workload!E14</f>
        <v>1</v>
      </c>
      <c r="F12" s="90" t="n">
        <f aca="false">Workload!F14</f>
        <v>1</v>
      </c>
      <c r="G12" s="90" t="n">
        <f aca="false">Workload!G14</f>
        <v>1</v>
      </c>
    </row>
    <row r="13" customFormat="false" ht="15" hidden="false" customHeight="false" outlineLevel="0" collapsed="false">
      <c r="A13" s="5" t="s">
        <v>372</v>
      </c>
      <c r="B13" s="54" t="s">
        <v>249</v>
      </c>
      <c r="C13" s="55" t="n">
        <f aca="false">Workload!C7+Workload!C9+C9*C8</f>
        <v>1000</v>
      </c>
      <c r="D13" s="55" t="n">
        <f aca="false">Workload!D7+Workload!D9+D9*D8</f>
        <v>1200</v>
      </c>
      <c r="E13" s="55" t="n">
        <f aca="false">Workload!E7+Workload!E9+E9*E8</f>
        <v>1400</v>
      </c>
      <c r="F13" s="55" t="n">
        <f aca="false">Workload!F7+Workload!F9+F9*F8</f>
        <v>1400</v>
      </c>
      <c r="G13" s="55" t="n">
        <f aca="false">Workload!G7+Workload!G9+G9*G8</f>
        <v>2400</v>
      </c>
    </row>
    <row r="14" customFormat="false" ht="15" hidden="false" customHeight="false" outlineLevel="0" collapsed="false">
      <c r="A14" s="5" t="s">
        <v>373</v>
      </c>
      <c r="B14" s="54" t="s">
        <v>249</v>
      </c>
      <c r="C14" s="55" t="n">
        <f aca="false">C7*(Workload!C6+Workload!C7)+C12*C13*C7*(C7-1)/2</f>
        <v>2500</v>
      </c>
      <c r="D14" s="55" t="n">
        <f aca="false">D7*(Workload!D6+Workload!D7)+D12*D13*D7*(D7-1)/2</f>
        <v>2500</v>
      </c>
      <c r="E14" s="55" t="n">
        <f aca="false">E7*(Workload!E6+Workload!E7)+E12*E13*E7*(E7-1)/2</f>
        <v>25200</v>
      </c>
      <c r="F14" s="55" t="n">
        <f aca="false">F7*(Workload!F6+Workload!F7)+F12*F13*F7*(F7-1)/2</f>
        <v>25200</v>
      </c>
      <c r="G14" s="55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1526</v>
      </c>
      <c r="B15" s="54" t="s">
        <v>249</v>
      </c>
      <c r="C15" s="55" t="n">
        <f aca="false">C10*(C7*Workload!C6+C12*C13*C7*(C7-1)/2)</f>
        <v>1000</v>
      </c>
      <c r="D15" s="55" t="n">
        <f aca="false">D10*(D7*Workload!D6+D12*D13*D7*(D7-1)/2)</f>
        <v>1000</v>
      </c>
      <c r="E15" s="55" t="n">
        <f aca="false">E10*(E7*Workload!E6+E12*E13*E7*(E7-1)/2)</f>
        <v>18360</v>
      </c>
      <c r="F15" s="55" t="n">
        <f aca="false">F10*(F7*Workload!F6+F12*F13*F7*(F7-1)/2)</f>
        <v>18360</v>
      </c>
      <c r="G15" s="55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1527</v>
      </c>
      <c r="B16" s="54" t="s">
        <v>249</v>
      </c>
      <c r="C16" s="55" t="n">
        <f aca="false">C7*(C8+Workload!C9)</f>
        <v>500</v>
      </c>
      <c r="D16" s="55" t="n">
        <f aca="false">D7*(D8+Workload!D9)</f>
        <v>3700</v>
      </c>
      <c r="E16" s="55" t="n">
        <f aca="false">E7*(E8+Workload!E9)</f>
        <v>2400</v>
      </c>
      <c r="F16" s="55" t="n">
        <f aca="false">F7*(F8+Workload!F9)</f>
        <v>2400</v>
      </c>
      <c r="G16" s="55" t="n">
        <f aca="false">G7*(G8+Workload!G9)</f>
        <v>30000</v>
      </c>
    </row>
    <row r="17" customFormat="false" ht="15" hidden="false" customHeight="false" outlineLevel="0" collapsed="false">
      <c r="A17" s="5" t="s">
        <v>1528</v>
      </c>
      <c r="B17" s="54" t="s">
        <v>75</v>
      </c>
      <c r="C17" s="90" t="n">
        <f aca="false">(1+C11)*Workload!C13</f>
        <v>1</v>
      </c>
      <c r="D17" s="90" t="n">
        <f aca="false">(1+D11)*Workload!D13</f>
        <v>1</v>
      </c>
      <c r="E17" s="90" t="n">
        <f aca="false">(1+E11)*Workload!E13</f>
        <v>1</v>
      </c>
      <c r="F17" s="90" t="n">
        <f aca="false">(1+F11)*Workload!F13</f>
        <v>4</v>
      </c>
      <c r="G17" s="90" t="n">
        <f aca="false">(1+G11)*Workload!G13</f>
        <v>1</v>
      </c>
    </row>
    <row r="18" customFormat="false" ht="15" hidden="false" customHeight="false" outlineLevel="0" collapsed="false">
      <c r="A18" s="5" t="s">
        <v>378</v>
      </c>
      <c r="B18" s="54" t="s">
        <v>249</v>
      </c>
      <c r="C18" s="60" t="n">
        <f aca="false">(C14-C15)*C17</f>
        <v>1500</v>
      </c>
      <c r="D18" s="60" t="n">
        <f aca="false">(D14-D15)*D17</f>
        <v>1500</v>
      </c>
      <c r="E18" s="60" t="n">
        <f aca="false">(E14-E15)*E17</f>
        <v>6840</v>
      </c>
      <c r="F18" s="60" t="n">
        <f aca="false">(F14-F15)*F17</f>
        <v>27360</v>
      </c>
      <c r="G18" s="60" t="n">
        <f aca="false">(G14-G15)*G17</f>
        <v>200400</v>
      </c>
    </row>
    <row r="19" customFormat="false" ht="15" hidden="false" customHeight="false" outlineLevel="0" collapsed="false">
      <c r="A19" s="5" t="s">
        <v>379</v>
      </c>
      <c r="B19" s="54" t="s">
        <v>249</v>
      </c>
      <c r="C19" s="60" t="n">
        <f aca="false">C15*C17</f>
        <v>1000</v>
      </c>
      <c r="D19" s="60" t="n">
        <f aca="false">D15*D17</f>
        <v>1000</v>
      </c>
      <c r="E19" s="60" t="n">
        <f aca="false">E15*E17</f>
        <v>18360</v>
      </c>
      <c r="F19" s="60" t="n">
        <f aca="false">F15*F17</f>
        <v>73440</v>
      </c>
      <c r="G19" s="60" t="n">
        <f aca="false">G15*G17</f>
        <v>1263600</v>
      </c>
    </row>
    <row r="20" customFormat="false" ht="15" hidden="false" customHeight="false" outlineLevel="0" collapsed="false">
      <c r="A20" s="5" t="s">
        <v>380</v>
      </c>
      <c r="B20" s="54" t="s">
        <v>249</v>
      </c>
      <c r="C20" s="60" t="n">
        <f aca="false">C16*C17</f>
        <v>500</v>
      </c>
      <c r="D20" s="60" t="n">
        <f aca="false">D16*D17</f>
        <v>3700</v>
      </c>
      <c r="E20" s="60" t="n">
        <f aca="false">E16*E17</f>
        <v>2400</v>
      </c>
      <c r="F20" s="60" t="n">
        <f aca="false">F16*F17</f>
        <v>9600</v>
      </c>
      <c r="G20" s="60" t="n">
        <f aca="false">G16*G17</f>
        <v>30000</v>
      </c>
    </row>
    <row r="21" customFormat="false" ht="15" hidden="false" customHeight="false" outlineLevel="0" collapsed="false">
      <c r="A21" s="5" t="s">
        <v>381</v>
      </c>
      <c r="B21" s="54" t="s">
        <v>249</v>
      </c>
      <c r="C21" s="63" t="n">
        <f aca="false">C18+C19+C20</f>
        <v>3000</v>
      </c>
      <c r="D21" s="63" t="n">
        <f aca="false">D18+D19+D20</f>
        <v>6200</v>
      </c>
      <c r="E21" s="63" t="n">
        <f aca="false">E18+E19+E20</f>
        <v>27600</v>
      </c>
      <c r="F21" s="63" t="n">
        <f aca="false">F18+F19+F20</f>
        <v>110400</v>
      </c>
      <c r="G21" s="63" t="n">
        <f aca="false">G18+G19+G20</f>
        <v>1494000</v>
      </c>
    </row>
    <row r="23" customFormat="false" ht="15" hidden="false" customHeight="false" outlineLevel="0" collapsed="false">
      <c r="A23" s="51" t="s">
        <v>1529</v>
      </c>
    </row>
    <row r="24" customFormat="false" ht="15" hidden="false" customHeight="false" outlineLevel="0" collapsed="false">
      <c r="A24" s="5" t="s">
        <v>346</v>
      </c>
      <c r="B24" s="53" t="s">
        <v>347</v>
      </c>
      <c r="C24" s="91" t="n">
        <f aca="false">Workload!C5*INDEX(B5_SelT,1,1)</f>
        <v>1</v>
      </c>
      <c r="D24" s="91" t="n">
        <f aca="false">Workload!D5*INDEX(B5_SelT,1,2)</f>
        <v>1</v>
      </c>
      <c r="E24" s="91" t="n">
        <f aca="false">Workload!E5*INDEX(B5_SelT,1,3)</f>
        <v>2.8</v>
      </c>
      <c r="F24" s="91" t="n">
        <f aca="false">Workload!F5*INDEX(B5_SelT,1,4)</f>
        <v>2.8</v>
      </c>
      <c r="G24" s="91" t="n">
        <f aca="false">Workload!G5*INDEX(B5_SelT,1,5)</f>
        <v>21</v>
      </c>
    </row>
    <row r="25" customFormat="false" ht="15" hidden="false" customHeight="false" outlineLevel="0" collapsed="false">
      <c r="A25" s="5" t="s">
        <v>1523</v>
      </c>
      <c r="B25" s="54" t="s">
        <v>249</v>
      </c>
      <c r="C25" s="55" t="n">
        <f aca="false">Workload!C8*INDEX(B5_SelH,1,1)</f>
        <v>0</v>
      </c>
      <c r="D25" s="55" t="n">
        <f aca="false">Workload!D8*INDEX(B5_SelH,1,2)</f>
        <v>3000</v>
      </c>
      <c r="E25" s="55" t="n">
        <f aca="false">Workload!E8*INDEX(B5_SelH,1,3)</f>
        <v>320</v>
      </c>
      <c r="F25" s="55" t="n">
        <f aca="false">Workload!F8*INDEX(B5_SelH,1,4)</f>
        <v>320</v>
      </c>
      <c r="G25" s="55" t="n">
        <f aca="false">Workload!G8*INDEX(B5_SelH,1,5)</f>
        <v>480</v>
      </c>
    </row>
    <row r="26" customFormat="false" ht="15" hidden="false" customHeight="false" outlineLevel="0" collapsed="false">
      <c r="A26" s="5" t="s">
        <v>1443</v>
      </c>
      <c r="B26" s="54" t="s">
        <v>71</v>
      </c>
      <c r="C26" s="78" t="n">
        <f aca="false">INDEX(B5_Selrho,1,1)</f>
        <v>0</v>
      </c>
      <c r="D26" s="78" t="n">
        <f aca="false">INDEX(B5_Selrho,1,2)</f>
        <v>0</v>
      </c>
      <c r="E26" s="78" t="n">
        <f aca="false">INDEX(B5_Selrho,1,3)</f>
        <v>1</v>
      </c>
      <c r="F26" s="78" t="n">
        <f aca="false">INDEX(B5_Selrho,1,4)</f>
        <v>1</v>
      </c>
      <c r="G26" s="78" t="n">
        <f aca="false">INDEX(B5_Selrho,1,5)</f>
        <v>1</v>
      </c>
    </row>
    <row r="27" customFormat="false" ht="15" hidden="false" customHeight="false" outlineLevel="0" collapsed="false">
      <c r="A27" s="5" t="s">
        <v>1524</v>
      </c>
      <c r="B27" s="54" t="s">
        <v>71</v>
      </c>
      <c r="C27" s="57" t="n">
        <f aca="false">MIN(1,MAX(0,Workload!C11+INDEX(B5_SelDChi,1,1)))</f>
        <v>0.5</v>
      </c>
      <c r="D27" s="57" t="n">
        <f aca="false">MIN(1,MAX(0,Workload!D11+INDEX(B5_SelDChi,1,2)))</f>
        <v>0.5</v>
      </c>
      <c r="E27" s="57" t="n">
        <f aca="false">MIN(1,MAX(0,Workload!E11+INDEX(B5_SelDChi,1,3)))</f>
        <v>0.9</v>
      </c>
      <c r="F27" s="57" t="n">
        <f aca="false">MIN(1,MAX(0,Workload!F11+INDEX(B5_SelDChi,1,4)))</f>
        <v>0.9</v>
      </c>
      <c r="G27" s="57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1525</v>
      </c>
      <c r="B28" s="53" t="s">
        <v>287</v>
      </c>
      <c r="C28" s="101" t="n">
        <f aca="false">Workload!C12+INDEX(B5_SelDM,1,1)</f>
        <v>0</v>
      </c>
      <c r="D28" s="101" t="n">
        <f aca="false">Workload!D12+INDEX(B5_SelDM,1,2)</f>
        <v>0</v>
      </c>
      <c r="E28" s="101" t="n">
        <f aca="false">Workload!E12+INDEX(B5_SelDM,1,3)</f>
        <v>0</v>
      </c>
      <c r="F28" s="101" t="n">
        <f aca="false">Workload!F12+INDEX(B5_SelDM,1,4)</f>
        <v>3</v>
      </c>
      <c r="G28" s="101" t="n">
        <f aca="false">Workload!G12+INDEX(B5_SelDM,1,5)</f>
        <v>0</v>
      </c>
    </row>
    <row r="29" customFormat="false" ht="15" hidden="false" customHeight="false" outlineLevel="0" collapsed="false">
      <c r="A29" s="5" t="s">
        <v>1486</v>
      </c>
      <c r="B29" s="54" t="s">
        <v>75</v>
      </c>
      <c r="C29" s="69" t="n">
        <f aca="false">INDEX(B5_SelC,1,1)</f>
        <v>1</v>
      </c>
      <c r="D29" s="69" t="n">
        <f aca="false">INDEX(B5_SelC,1,2)</f>
        <v>1</v>
      </c>
      <c r="E29" s="69" t="n">
        <f aca="false">INDEX(B5_SelC,1,3)</f>
        <v>0.7</v>
      </c>
      <c r="F29" s="69" t="n">
        <f aca="false">INDEX(B5_SelC,1,4)</f>
        <v>0.7</v>
      </c>
      <c r="G29" s="69" t="n">
        <f aca="false">INDEX(B5_SelC,1,5)</f>
        <v>0.7</v>
      </c>
    </row>
    <row r="30" customFormat="false" ht="15" hidden="false" customHeight="false" outlineLevel="0" collapsed="false">
      <c r="A30" s="5" t="s">
        <v>372</v>
      </c>
      <c r="B30" s="54" t="s">
        <v>249</v>
      </c>
      <c r="C30" s="55" t="n">
        <f aca="false">Workload!C7+Workload!C9+C26*C25</f>
        <v>1000</v>
      </c>
      <c r="D30" s="55" t="n">
        <f aca="false">Workload!D7+Workload!D9+D26*D25</f>
        <v>1200</v>
      </c>
      <c r="E30" s="55" t="n">
        <f aca="false">Workload!E7+Workload!E9+E26*E25</f>
        <v>1720</v>
      </c>
      <c r="F30" s="55" t="n">
        <f aca="false">Workload!F7+Workload!F9+F26*F25</f>
        <v>1720</v>
      </c>
      <c r="G30" s="55" t="n">
        <f aca="false">Workload!G7+Workload!G9+G26*G25</f>
        <v>2880</v>
      </c>
    </row>
    <row r="31" customFormat="false" ht="15" hidden="false" customHeight="false" outlineLevel="0" collapsed="false">
      <c r="A31" s="5" t="s">
        <v>373</v>
      </c>
      <c r="B31" s="54" t="s">
        <v>249</v>
      </c>
      <c r="C31" s="55" t="n">
        <f aca="false">C24*(Workload!C6+Workload!C7)+C29*C30*C24*(C24-1)/2</f>
        <v>2500</v>
      </c>
      <c r="D31" s="55" t="n">
        <f aca="false">D24*(Workload!D6+Workload!D7)+D29*D30*D24*(D24-1)/2</f>
        <v>2500</v>
      </c>
      <c r="E31" s="55" t="n">
        <f aca="false">E24*(Workload!E6+Workload!E7)+E29*E30*E24*(E24-1)/2</f>
        <v>14794.08</v>
      </c>
      <c r="F31" s="55" t="n">
        <f aca="false">F24*(Workload!F6+Workload!F7)+F29*F30*F24*(F24-1)/2</f>
        <v>14794.08</v>
      </c>
      <c r="G31" s="55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1526</v>
      </c>
      <c r="B32" s="54" t="s">
        <v>249</v>
      </c>
      <c r="C32" s="55" t="n">
        <f aca="false">C27*(C24*Workload!C6+C29*C30*C24*(C24-1)/2)</f>
        <v>1000</v>
      </c>
      <c r="D32" s="55" t="n">
        <f aca="false">D27*(D24*Workload!D6+D29*D30*D24*(D24-1)/2)</f>
        <v>1000</v>
      </c>
      <c r="E32" s="55" t="n">
        <f aca="false">E27*(E24*Workload!E6+E29*E30*E24*(E24-1)/2)</f>
        <v>10290.672</v>
      </c>
      <c r="F32" s="55" t="n">
        <f aca="false">F27*(F24*Workload!F6+F29*F30*F24*(F24-1)/2)</f>
        <v>10290.672</v>
      </c>
      <c r="G32" s="55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1527</v>
      </c>
      <c r="B33" s="54" t="s">
        <v>249</v>
      </c>
      <c r="C33" s="55" t="n">
        <f aca="false">C24*(C25+Workload!C9)</f>
        <v>500</v>
      </c>
      <c r="D33" s="55" t="n">
        <f aca="false">D24*(D25+Workload!D9)</f>
        <v>3700</v>
      </c>
      <c r="E33" s="55" t="n">
        <f aca="false">E24*(E25+Workload!E9)</f>
        <v>1456</v>
      </c>
      <c r="F33" s="55" t="n">
        <f aca="false">F24*(F25+Workload!F9)</f>
        <v>1456</v>
      </c>
      <c r="G33" s="55" t="n">
        <f aca="false">G24*(G25+Workload!G9)</f>
        <v>18480</v>
      </c>
    </row>
    <row r="34" customFormat="false" ht="15" hidden="false" customHeight="false" outlineLevel="0" collapsed="false">
      <c r="A34" s="5" t="s">
        <v>1528</v>
      </c>
      <c r="B34" s="54" t="s">
        <v>75</v>
      </c>
      <c r="C34" s="90" t="n">
        <f aca="false">(1+C28)*Workload!C13</f>
        <v>1</v>
      </c>
      <c r="D34" s="90" t="n">
        <f aca="false">(1+D28)*Workload!D13</f>
        <v>1</v>
      </c>
      <c r="E34" s="90" t="n">
        <f aca="false">(1+E28)*Workload!E13</f>
        <v>1</v>
      </c>
      <c r="F34" s="90" t="n">
        <f aca="false">(1+F28)*Workload!F13</f>
        <v>4</v>
      </c>
      <c r="G34" s="90" t="n">
        <f aca="false">(1+G28)*Workload!G13</f>
        <v>1</v>
      </c>
    </row>
    <row r="35" customFormat="false" ht="15" hidden="false" customHeight="false" outlineLevel="0" collapsed="false">
      <c r="A35" s="5" t="s">
        <v>378</v>
      </c>
      <c r="B35" s="54" t="s">
        <v>249</v>
      </c>
      <c r="C35" s="60" t="n">
        <f aca="false">(C31-C32)*C34</f>
        <v>1500</v>
      </c>
      <c r="D35" s="60" t="n">
        <f aca="false">(D31-D32)*D34</f>
        <v>1500</v>
      </c>
      <c r="E35" s="60" t="n">
        <f aca="false">(E31-E32)*E34</f>
        <v>4503.408</v>
      </c>
      <c r="F35" s="60" t="n">
        <f aca="false">(F31-F32)*F34</f>
        <v>18013.632</v>
      </c>
      <c r="G35" s="60" t="n">
        <f aca="false">(G31-G32)*G34</f>
        <v>109536</v>
      </c>
    </row>
    <row r="36" customFormat="false" ht="15" hidden="false" customHeight="false" outlineLevel="0" collapsed="false">
      <c r="A36" s="5" t="s">
        <v>379</v>
      </c>
      <c r="B36" s="54" t="s">
        <v>249</v>
      </c>
      <c r="C36" s="60" t="n">
        <f aca="false">C32*C34</f>
        <v>1000</v>
      </c>
      <c r="D36" s="60" t="n">
        <f aca="false">D32*D34</f>
        <v>1000</v>
      </c>
      <c r="E36" s="60" t="n">
        <f aca="false">E32*E34</f>
        <v>10290.672</v>
      </c>
      <c r="F36" s="60" t="n">
        <f aca="false">F32*F34</f>
        <v>41162.688</v>
      </c>
      <c r="G36" s="60" t="n">
        <f aca="false">G32*G34</f>
        <v>607824</v>
      </c>
    </row>
    <row r="37" customFormat="false" ht="15" hidden="false" customHeight="false" outlineLevel="0" collapsed="false">
      <c r="A37" s="5" t="s">
        <v>380</v>
      </c>
      <c r="B37" s="54" t="s">
        <v>249</v>
      </c>
      <c r="C37" s="60" t="n">
        <f aca="false">C33*C34</f>
        <v>500</v>
      </c>
      <c r="D37" s="60" t="n">
        <f aca="false">D33*D34</f>
        <v>3700</v>
      </c>
      <c r="E37" s="60" t="n">
        <f aca="false">E33*E34</f>
        <v>1456</v>
      </c>
      <c r="F37" s="60" t="n">
        <f aca="false">F33*F34</f>
        <v>5824</v>
      </c>
      <c r="G37" s="60" t="n">
        <f aca="false">G33*G34</f>
        <v>18480</v>
      </c>
    </row>
    <row r="38" customFormat="false" ht="15" hidden="false" customHeight="false" outlineLevel="0" collapsed="false">
      <c r="A38" s="5" t="s">
        <v>381</v>
      </c>
      <c r="B38" s="54" t="s">
        <v>249</v>
      </c>
      <c r="C38" s="63" t="n">
        <f aca="false">C35+C36+C37</f>
        <v>3000</v>
      </c>
      <c r="D38" s="63" t="n">
        <f aca="false">D35+D36+D37</f>
        <v>6200</v>
      </c>
      <c r="E38" s="63" t="n">
        <f aca="false">E35+E36+E37</f>
        <v>16250.08</v>
      </c>
      <c r="F38" s="63" t="n">
        <f aca="false">F35+F36+F37</f>
        <v>65000.32</v>
      </c>
      <c r="G38" s="63" t="n">
        <f aca="false">G35+G36+G37</f>
        <v>735840</v>
      </c>
    </row>
    <row r="40" customFormat="false" ht="15" hidden="false" customHeight="false" outlineLevel="0" collapsed="false">
      <c r="A40" s="51" t="s">
        <v>1530</v>
      </c>
    </row>
    <row r="41" customFormat="false" ht="15" hidden="false" customHeight="false" outlineLevel="0" collapsed="false">
      <c r="A41" s="5" t="s">
        <v>378</v>
      </c>
      <c r="B41" s="54" t="s">
        <v>249</v>
      </c>
      <c r="C41" s="55" t="n">
        <f aca="false">Workload!C32</f>
        <v>1500</v>
      </c>
      <c r="D41" s="55" t="n">
        <f aca="false">Workload!D32</f>
        <v>1500</v>
      </c>
      <c r="E41" s="55" t="n">
        <f aca="false">Workload!E32</f>
        <v>6840</v>
      </c>
      <c r="F41" s="55" t="n">
        <f aca="false">Workload!F32</f>
        <v>27360</v>
      </c>
      <c r="G41" s="55" t="n">
        <f aca="false">Workload!G32</f>
        <v>200400</v>
      </c>
    </row>
    <row r="42" customFormat="false" ht="15" hidden="false" customHeight="false" outlineLevel="0" collapsed="false">
      <c r="A42" s="5" t="s">
        <v>379</v>
      </c>
      <c r="B42" s="54" t="s">
        <v>249</v>
      </c>
      <c r="C42" s="55" t="n">
        <f aca="false">Workload!C33</f>
        <v>1000</v>
      </c>
      <c r="D42" s="55" t="n">
        <f aca="false">Workload!D33</f>
        <v>1000</v>
      </c>
      <c r="E42" s="55" t="n">
        <f aca="false">Workload!E33</f>
        <v>18360</v>
      </c>
      <c r="F42" s="55" t="n">
        <f aca="false">Workload!F33</f>
        <v>73440</v>
      </c>
      <c r="G42" s="55" t="n">
        <f aca="false">Workload!G33</f>
        <v>1263600</v>
      </c>
    </row>
    <row r="43" customFormat="false" ht="15" hidden="false" customHeight="false" outlineLevel="0" collapsed="false">
      <c r="A43" s="5" t="s">
        <v>380</v>
      </c>
      <c r="B43" s="54" t="s">
        <v>249</v>
      </c>
      <c r="C43" s="55" t="n">
        <f aca="false">Workload!C34</f>
        <v>500</v>
      </c>
      <c r="D43" s="55" t="n">
        <f aca="false">Workload!D34</f>
        <v>3700</v>
      </c>
      <c r="E43" s="55" t="n">
        <f aca="false">Workload!E34</f>
        <v>2400</v>
      </c>
      <c r="F43" s="55" t="n">
        <f aca="false">Workload!F34</f>
        <v>9600</v>
      </c>
      <c r="G43" s="55" t="n">
        <f aca="false">Workload!G34</f>
        <v>30000</v>
      </c>
    </row>
    <row r="44" customFormat="false" ht="15" hidden="false" customHeight="false" outlineLevel="0" collapsed="false">
      <c r="A44" s="5" t="s">
        <v>381</v>
      </c>
      <c r="B44" s="54" t="s">
        <v>249</v>
      </c>
      <c r="C44" s="157" t="n">
        <f aca="false">Workload!C35</f>
        <v>3000</v>
      </c>
      <c r="D44" s="157" t="n">
        <f aca="false">Workload!D35</f>
        <v>6200</v>
      </c>
      <c r="E44" s="157" t="n">
        <f aca="false">Workload!E35</f>
        <v>27600</v>
      </c>
      <c r="F44" s="157" t="n">
        <f aca="false">Workload!F35</f>
        <v>110400</v>
      </c>
      <c r="G44" s="157" t="n">
        <f aca="false">Workload!G35</f>
        <v>1494000</v>
      </c>
    </row>
    <row r="45" customFormat="false" ht="15" hidden="false" customHeight="false" outlineLevel="0" collapsed="false">
      <c r="A45" s="5" t="s">
        <v>1531</v>
      </c>
      <c r="B45" s="54" t="s">
        <v>75</v>
      </c>
      <c r="C45" s="97" t="n">
        <f aca="false">C38/C21</f>
        <v>1</v>
      </c>
      <c r="D45" s="97" t="n">
        <f aca="false">D38/D21</f>
        <v>1</v>
      </c>
      <c r="E45" s="97" t="n">
        <f aca="false">E38/E21</f>
        <v>0.588771014492754</v>
      </c>
      <c r="F45" s="97" t="n">
        <f aca="false">F38/F21</f>
        <v>0.588771014492754</v>
      </c>
      <c r="G45" s="97" t="n">
        <f aca="false">G38/G21</f>
        <v>0.492530120481928</v>
      </c>
      <c r="H45" s="80" t="s">
        <v>1532</v>
      </c>
    </row>
    <row r="47" customFormat="false" ht="15" hidden="false" customHeight="false" outlineLevel="0" collapsed="false">
      <c r="A47" s="68" t="s">
        <v>1533</v>
      </c>
      <c r="B47" s="62"/>
      <c r="C47" s="62"/>
      <c r="D47" s="62"/>
      <c r="E47" s="62"/>
      <c r="F47" s="62"/>
      <c r="G47" s="62"/>
      <c r="H47" s="62"/>
    </row>
    <row r="48" customFormat="false" ht="15" hidden="false" customHeight="false" outlineLevel="0" collapsed="false">
      <c r="A48" s="5" t="s">
        <v>1534</v>
      </c>
      <c r="B48" s="54" t="s">
        <v>1112</v>
      </c>
      <c r="C48" s="107" t="n">
        <f aca="false">B4_Retain</f>
        <v>0.0833333333333333</v>
      </c>
      <c r="D48" s="107" t="n">
        <f aca="false">B4_Retain</f>
        <v>0.0833333333333333</v>
      </c>
      <c r="E48" s="107" t="n">
        <f aca="false">B4_Retain</f>
        <v>0.0833333333333333</v>
      </c>
      <c r="F48" s="107" t="n">
        <f aca="false">B4_Retain</f>
        <v>0.0833333333333333</v>
      </c>
      <c r="G48" s="107" t="n">
        <f aca="false">B4_Retain</f>
        <v>0.0833333333333333</v>
      </c>
    </row>
    <row r="49" customFormat="false" ht="15" hidden="false" customHeight="false" outlineLevel="0" collapsed="false">
      <c r="A49" s="5" t="s">
        <v>1535</v>
      </c>
      <c r="B49" s="54" t="s">
        <v>1112</v>
      </c>
      <c r="C49" s="107" t="n">
        <f aca="false">B4_Retain+B5_W*(INDEX(B5_SelRet,1,1)-B4_Retain)</f>
        <v>0.0833333333333333</v>
      </c>
      <c r="D49" s="107" t="n">
        <f aca="false">B4_Retain+B5_W*(INDEX(B5_SelRet,1,2)-B4_Retain)</f>
        <v>0.0833333333333333</v>
      </c>
      <c r="E49" s="107" t="n">
        <f aca="false">B4_Retain+B5_W*(INDEX(B5_SelRet,1,3)-B4_Retain)</f>
        <v>0.0833333333333333</v>
      </c>
      <c r="F49" s="107" t="n">
        <f aca="false">B4_Retain+B5_W*(INDEX(B5_SelRet,1,4)-B4_Retain)</f>
        <v>0.0833333333333333</v>
      </c>
      <c r="G49" s="107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1536</v>
      </c>
      <c r="B50" s="54" t="s">
        <v>1112</v>
      </c>
      <c r="C50" s="107" t="n">
        <f aca="false">INDEX(B5_SelRet,1,1)</f>
        <v>0.0833333333333333</v>
      </c>
      <c r="D50" s="107" t="n">
        <f aca="false">INDEX(B5_SelRet,1,2)</f>
        <v>0.0833333333333333</v>
      </c>
      <c r="E50" s="107" t="n">
        <f aca="false">INDEX(B5_SelRet,1,3)</f>
        <v>0.67</v>
      </c>
      <c r="F50" s="107" t="n">
        <f aca="false">INDEX(B5_SelRet,1,4)</f>
        <v>0.67</v>
      </c>
      <c r="G50" s="107" t="n">
        <f aca="false">INDEX(B5_SelRet,1,5)</f>
        <v>0.67</v>
      </c>
    </row>
    <row r="51" customFormat="false" ht="15" hidden="false" customHeight="false" outlineLevel="0" collapsed="false">
      <c r="A51" s="5" t="s">
        <v>1537</v>
      </c>
      <c r="B51" s="54" t="s">
        <v>75</v>
      </c>
      <c r="C51" s="69" t="n">
        <f aca="false">1</f>
        <v>1</v>
      </c>
      <c r="D51" s="69" t="n">
        <f aca="false">1</f>
        <v>1</v>
      </c>
      <c r="E51" s="69" t="n">
        <f aca="false">1</f>
        <v>1</v>
      </c>
      <c r="F51" s="69" t="n">
        <f aca="false">1</f>
        <v>1</v>
      </c>
      <c r="G51" s="69" t="n">
        <f aca="false">1</f>
        <v>1</v>
      </c>
    </row>
    <row r="52" customFormat="false" ht="15" hidden="false" customHeight="false" outlineLevel="0" collapsed="false">
      <c r="A52" s="5" t="s">
        <v>1538</v>
      </c>
      <c r="B52" s="54" t="s">
        <v>75</v>
      </c>
      <c r="C52" s="69" t="n">
        <f aca="false">1+B5_W*(INDEX(B5_SelHz,1,1)-1)</f>
        <v>1</v>
      </c>
      <c r="D52" s="69" t="n">
        <f aca="false">1+B5_W*(INDEX(B5_SelHz,1,2)-1)</f>
        <v>1</v>
      </c>
      <c r="E52" s="69" t="n">
        <f aca="false">1+B5_W*(INDEX(B5_SelHz,1,3)-1)</f>
        <v>1</v>
      </c>
      <c r="F52" s="69" t="n">
        <f aca="false">1+B5_W*(INDEX(B5_SelHz,1,4)-1)</f>
        <v>1</v>
      </c>
      <c r="G52" s="69" t="n">
        <f aca="false">1+B5_W*(INDEX(B5_SelHz,1,5)-1)</f>
        <v>1</v>
      </c>
    </row>
    <row r="53" customFormat="false" ht="15" hidden="false" customHeight="false" outlineLevel="0" collapsed="false">
      <c r="A53" s="5" t="s">
        <v>1539</v>
      </c>
      <c r="B53" s="54" t="s">
        <v>75</v>
      </c>
      <c r="C53" s="69" t="n">
        <f aca="false">INDEX(B5_SelHz,1,1)</f>
        <v>1</v>
      </c>
      <c r="D53" s="69" t="n">
        <f aca="false">INDEX(B5_SelHz,1,2)</f>
        <v>1</v>
      </c>
      <c r="E53" s="69" t="n">
        <f aca="false">INDEX(B5_SelHz,1,3)</f>
        <v>1.2</v>
      </c>
      <c r="F53" s="69" t="n">
        <f aca="false">INDEX(B5_SelHz,1,4)</f>
        <v>2</v>
      </c>
      <c r="G53" s="69" t="n">
        <f aca="false">INDEX(B5_SelHz,1,5)</f>
        <v>2</v>
      </c>
    </row>
    <row r="55" customFormat="false" ht="15" hidden="false" customHeight="false" outlineLevel="0" collapsed="false">
      <c r="A55" s="68" t="s">
        <v>1540</v>
      </c>
      <c r="B55" s="62"/>
      <c r="C55" s="62"/>
      <c r="D55" s="62"/>
      <c r="E55" s="62"/>
      <c r="F55" s="62"/>
      <c r="G55" s="62"/>
      <c r="H55" s="62"/>
    </row>
    <row r="56" customFormat="false" ht="15" hidden="false" customHeight="false" outlineLevel="0" collapsed="false">
      <c r="A56" s="6" t="s">
        <v>1541</v>
      </c>
      <c r="B56" s="54" t="s">
        <v>71</v>
      </c>
      <c r="C56" s="96" t="n">
        <f aca="false">IF(ISNUMBER(INDEX(B5_SuccOvr_Luna,1,1)),INDEX(B5_SuccOvr_Luna,1,1),1/(1+(INDEX(B5_TaskLen,1,1)/(INDEX(B5_H50,1,1)*C51))^B5_Beta))</f>
        <v>0.962243725044712</v>
      </c>
      <c r="D56" s="96" t="n">
        <f aca="false">IF(ISNUMBER(INDEX(B5_SuccOvr_Luna,1,2)),INDEX(B5_SuccOvr_Luna,1,2),1/(1+(INDEX(B5_TaskLen,1,2)/(INDEX(B5_H50,1,1)*D51))^B5_Beta))</f>
        <v>0.884017511243649</v>
      </c>
      <c r="E56" s="96" t="n">
        <f aca="false">IF(ISNUMBER(INDEX(B5_SuccOvr_Luna,1,3)),INDEX(B5_SuccOvr_Luna,1,3),1/(1+(INDEX(B5_TaskLen,1,3)/(INDEX(B5_H50,1,1)*E51))^B5_Beta))</f>
        <v>0.695076124968439</v>
      </c>
      <c r="F56" s="96" t="n">
        <f aca="false">IF(ISNUMBER(INDEX(B5_SuccOvr_Luna,1,4)),INDEX(B5_SuccOvr_Luna,1,4),1/(1+(INDEX(B5_TaskLen,1,4)/(INDEX(B5_H50,1,1)*F51))^B5_Beta))</f>
        <v>0.446267899285204</v>
      </c>
      <c r="G56" s="96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1542</v>
      </c>
      <c r="B57" s="54" t="s">
        <v>71</v>
      </c>
      <c r="C57" s="94" t="n">
        <f aca="false">IF(ISNUMBER(INDEX(B5_SuccOvr_Luna,1,1)),INDEX(B5_SuccOvr_Luna,1,1),1/(1+(INDEX(B5_TaskLen,1,1)/(INDEX(B5_H50,1,1)*C52))^B5_Beta))</f>
        <v>0.962243725044712</v>
      </c>
      <c r="D57" s="94" t="n">
        <f aca="false">IF(ISNUMBER(INDEX(B5_SuccOvr_Luna,1,2)),INDEX(B5_SuccOvr_Luna,1,2),1/(1+(INDEX(B5_TaskLen,1,2)/(INDEX(B5_H50,1,1)*D52))^B5_Beta))</f>
        <v>0.884017511243649</v>
      </c>
      <c r="E57" s="94" t="n">
        <f aca="false">IF(ISNUMBER(INDEX(B5_SuccOvr_Luna,1,3)),INDEX(B5_SuccOvr_Luna,1,3),1/(1+(INDEX(B5_TaskLen,1,3)/(INDEX(B5_H50,1,1)*E52))^B5_Beta))</f>
        <v>0.695076124968439</v>
      </c>
      <c r="F57" s="94" t="n">
        <f aca="false">IF(ISNUMBER(INDEX(B5_SuccOvr_Luna,1,4)),INDEX(B5_SuccOvr_Luna,1,4),1/(1+(INDEX(B5_TaskLen,1,4)/(INDEX(B5_H50,1,1)*F52))^B5_Beta))</f>
        <v>0.446267899285204</v>
      </c>
      <c r="G57" s="94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1543</v>
      </c>
      <c r="B58" s="54" t="s">
        <v>71</v>
      </c>
      <c r="C58" s="96" t="n">
        <f aca="false">IF(ISNUMBER(INDEX(B5_SuccOvr_Luna,1,1)),INDEX(B5_SuccOvr_Luna,1,1),1/(1+(INDEX(B5_TaskLen,1,1)/(INDEX(B5_H50,1,1)*C53))^B5_Beta))</f>
        <v>0.962243725044712</v>
      </c>
      <c r="D58" s="96" t="n">
        <f aca="false">IF(ISNUMBER(INDEX(B5_SuccOvr_Luna,1,2)),INDEX(B5_SuccOvr_Luna,1,2),1/(1+(INDEX(B5_TaskLen,1,2)/(INDEX(B5_H50,1,1)*D53))^B5_Beta))</f>
        <v>0.884017511243649</v>
      </c>
      <c r="E58" s="96" t="n">
        <f aca="false">IF(ISNUMBER(INDEX(B5_SuccOvr_Luna,1,3)),INDEX(B5_SuccOvr_Luna,1,3),1/(1+(INDEX(B5_TaskLen,1,3)/(INDEX(B5_H50,1,1)*E53))^B5_Beta))</f>
        <v>0.723262011773013</v>
      </c>
      <c r="F58" s="96" t="n">
        <f aca="false">IF(ISNUMBER(INDEX(B5_SuccOvr_Luna,1,4)),INDEX(B5_SuccOvr_Luna,1,4),1/(1+(INDEX(B5_TaskLen,1,4)/(INDEX(B5_H50,1,1)*F53))^B5_Beta))</f>
        <v>0.575444203093429</v>
      </c>
      <c r="G58" s="96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1544</v>
      </c>
      <c r="B59" s="54" t="s">
        <v>71</v>
      </c>
      <c r="C59" s="96" t="n">
        <f aca="false">IF(ISNUMBER(INDEX(B5_SuccOvr_Sol,1,1)),INDEX(B5_SuccOvr_Sol,1,1),1/(1+(INDEX(B5_TaskLen,1,1)/(INDEX(B5_H50,1,2)*C51))^B5_Beta))</f>
        <v>0.988943278022254</v>
      </c>
      <c r="D59" s="96" t="n">
        <f aca="false">IF(ISNUMBER(INDEX(B5_SuccOvr_Sol,1,2)),INDEX(B5_SuccOvr_Sol,1,2),1/(1+(INDEX(B5_TaskLen,1,2)/(INDEX(B5_H50,1,2)*D51))^B5_Beta))</f>
        <v>0.963963460360214</v>
      </c>
      <c r="E59" s="96" t="n">
        <f aca="false">IF(ISNUMBER(INDEX(B5_SuccOvr_Sol,1,3)),INDEX(B5_SuccOvr_Sol,1,3),1/(1+(INDEX(B5_TaskLen,1,3)/(INDEX(B5_H50,1,2)*E51))^B5_Beta))</f>
        <v>0.888888888888889</v>
      </c>
      <c r="F59" s="96" t="n">
        <f aca="false">IF(ISNUMBER(INDEX(B5_SuccOvr_Sol,1,4)),INDEX(B5_SuccOvr_Sol,1,4),1/(1+(INDEX(B5_TaskLen,1,4)/(INDEX(B5_H50,1,2)*F51))^B5_Beta))</f>
        <v>0.738796125036259</v>
      </c>
      <c r="G59" s="96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1545</v>
      </c>
      <c r="B60" s="54" t="s">
        <v>71</v>
      </c>
      <c r="C60" s="94" t="n">
        <f aca="false">IF(ISNUMBER(INDEX(B5_SuccOvr_Sol,1,1)),INDEX(B5_SuccOvr_Sol,1,1),1/(1+(INDEX(B5_TaskLen,1,1)/(INDEX(B5_H50,1,2)*C52))^B5_Beta))</f>
        <v>0.988943278022254</v>
      </c>
      <c r="D60" s="94" t="n">
        <f aca="false">IF(ISNUMBER(INDEX(B5_SuccOvr_Sol,1,2)),INDEX(B5_SuccOvr_Sol,1,2),1/(1+(INDEX(B5_TaskLen,1,2)/(INDEX(B5_H50,1,2)*D52))^B5_Beta))</f>
        <v>0.963963460360214</v>
      </c>
      <c r="E60" s="94" t="n">
        <f aca="false">IF(ISNUMBER(INDEX(B5_SuccOvr_Sol,1,3)),INDEX(B5_SuccOvr_Sol,1,3),1/(1+(INDEX(B5_TaskLen,1,3)/(INDEX(B5_H50,1,2)*E52))^B5_Beta))</f>
        <v>0.888888888888889</v>
      </c>
      <c r="F60" s="94" t="n">
        <f aca="false">IF(ISNUMBER(INDEX(B5_SuccOvr_Sol,1,4)),INDEX(B5_SuccOvr_Sol,1,4),1/(1+(INDEX(B5_TaskLen,1,4)/(INDEX(B5_H50,1,2)*F52))^B5_Beta))</f>
        <v>0.738796125036259</v>
      </c>
      <c r="G60" s="94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1546</v>
      </c>
      <c r="B61" s="54" t="s">
        <v>71</v>
      </c>
      <c r="C61" s="96" t="n">
        <f aca="false">IF(ISNUMBER(INDEX(B5_SuccOvr_Sol,1,1)),INDEX(B5_SuccOvr_Sol,1,1),1/(1+(INDEX(B5_TaskLen,1,1)/(INDEX(B5_H50,1,2)*C53))^B5_Beta))</f>
        <v>0.988943278022254</v>
      </c>
      <c r="D61" s="96" t="n">
        <f aca="false">IF(ISNUMBER(INDEX(B5_SuccOvr_Sol,1,2)),INDEX(B5_SuccOvr_Sol,1,2),1/(1+(INDEX(B5_TaskLen,1,2)/(INDEX(B5_H50,1,2)*D53))^B5_Beta))</f>
        <v>0.963963460360214</v>
      </c>
      <c r="E61" s="96" t="n">
        <f aca="false">IF(ISNUMBER(INDEX(B5_SuccOvr_Sol,1,3)),INDEX(B5_SuccOvr_Sol,1,3),1/(1+(INDEX(B5_TaskLen,1,3)/(INDEX(B5_H50,1,2)*E53))^B5_Beta))</f>
        <v>0.901693340131513</v>
      </c>
      <c r="F61" s="96" t="n">
        <f aca="false">IF(ISNUMBER(INDEX(B5_SuccOvr_Sol,1,4)),INDEX(B5_SuccOvr_Sol,1,4),1/(1+(INDEX(B5_TaskLen,1,4)/(INDEX(B5_H50,1,2)*F53))^B5_Beta))</f>
        <v>0.826293243415818</v>
      </c>
      <c r="G61" s="96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1547</v>
      </c>
      <c r="B62" s="54" t="s">
        <v>71</v>
      </c>
      <c r="C62" s="96" t="n">
        <f aca="false">IF(ISNUMBER(INDEX(B5_SuccOvr_Astra,1,1)),INDEX(B5_SuccOvr_Astra,1,1),1/(1+(INDEX(B5_TaskLen,1,1)/(INDEX(B5_H50,1,3)*C51))^B5_Beta))</f>
        <v>0.993396032445753</v>
      </c>
      <c r="D62" s="96" t="n">
        <f aca="false">IF(ISNUMBER(INDEX(B5_SuccOvr_Astra,1,2)),INDEX(B5_SuccOvr_Astra,1,2),1/(1+(INDEX(B5_TaskLen,1,2)/(INDEX(B5_H50,1,3)*D51))^B5_Beta))</f>
        <v>0.978254868861662</v>
      </c>
      <c r="E62" s="96" t="n">
        <f aca="false">IF(ISNUMBER(INDEX(B5_SuccOvr_Astra,1,3)),INDEX(B5_SuccOvr_Astra,1,3),1/(1+(INDEX(B5_TaskLen,1,3)/(INDEX(B5_H50,1,3)*E51))^B5_Beta))</f>
        <v>0.930816639357101</v>
      </c>
      <c r="F62" s="96" t="n">
        <f aca="false">IF(ISNUMBER(INDEX(B5_SuccOvr_Astra,1,4)),INDEX(B5_SuccOvr_Astra,1,4),1/(1+(INDEX(B5_TaskLen,1,4)/(INDEX(B5_H50,1,3)*F51))^B5_Beta))</f>
        <v>0.826293243415818</v>
      </c>
      <c r="G62" s="96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1548</v>
      </c>
      <c r="B63" s="54" t="s">
        <v>71</v>
      </c>
      <c r="C63" s="94" t="n">
        <f aca="false">IF(ISNUMBER(INDEX(B5_SuccOvr_Astra,1,1)),INDEX(B5_SuccOvr_Astra,1,1),1/(1+(INDEX(B5_TaskLen,1,1)/(INDEX(B5_H50,1,3)*C52))^B5_Beta))</f>
        <v>0.993396032445753</v>
      </c>
      <c r="D63" s="94" t="n">
        <f aca="false">IF(ISNUMBER(INDEX(B5_SuccOvr_Astra,1,2)),INDEX(B5_SuccOvr_Astra,1,2),1/(1+(INDEX(B5_TaskLen,1,2)/(INDEX(B5_H50,1,3)*D52))^B5_Beta))</f>
        <v>0.978254868861662</v>
      </c>
      <c r="E63" s="94" t="n">
        <f aca="false">IF(ISNUMBER(INDEX(B5_SuccOvr_Astra,1,3)),INDEX(B5_SuccOvr_Astra,1,3),1/(1+(INDEX(B5_TaskLen,1,3)/(INDEX(B5_H50,1,3)*E52))^B5_Beta))</f>
        <v>0.930816639357101</v>
      </c>
      <c r="F63" s="94" t="n">
        <f aca="false">IF(ISNUMBER(INDEX(B5_SuccOvr_Astra,1,4)),INDEX(B5_SuccOvr_Astra,1,4),1/(1+(INDEX(B5_TaskLen,1,4)/(INDEX(B5_H50,1,3)*F52))^B5_Beta))</f>
        <v>0.826293243415818</v>
      </c>
      <c r="G63" s="94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1549</v>
      </c>
      <c r="B64" s="54" t="s">
        <v>71</v>
      </c>
      <c r="C64" s="96" t="n">
        <f aca="false">IF(ISNUMBER(INDEX(B5_SuccOvr_Astra,1,1)),INDEX(B5_SuccOvr_Astra,1,1),1/(1+(INDEX(B5_TaskLen,1,1)/(INDEX(B5_H50,1,3)*C53))^B5_Beta))</f>
        <v>0.993396032445753</v>
      </c>
      <c r="D64" s="96" t="n">
        <f aca="false">IF(ISNUMBER(INDEX(B5_SuccOvr_Astra,1,2)),INDEX(B5_SuccOvr_Astra,1,2),1/(1+(INDEX(B5_TaskLen,1,2)/(INDEX(B5_H50,1,3)*D53))^B5_Beta))</f>
        <v>0.978254868861662</v>
      </c>
      <c r="E64" s="96" t="n">
        <f aca="false">IF(ISNUMBER(INDEX(B5_SuccOvr_Astra,1,3)),INDEX(B5_SuccOvr_Astra,1,3),1/(1+(INDEX(B5_TaskLen,1,3)/(INDEX(B5_H50,1,3)*E53))^B5_Beta))</f>
        <v>0.939120259663704</v>
      </c>
      <c r="F64" s="96" t="n">
        <f aca="false">IF(ISNUMBER(INDEX(B5_SuccOvr_Astra,1,4)),INDEX(B5_SuccOvr_Astra,1,4),1/(1+(INDEX(B5_TaskLen,1,4)/(INDEX(B5_H50,1,3)*F53))^B5_Beta))</f>
        <v>0.888888888888889</v>
      </c>
      <c r="G64" s="96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68" t="s">
        <v>1550</v>
      </c>
      <c r="B66" s="62"/>
      <c r="C66" s="62"/>
      <c r="D66" s="62"/>
      <c r="E66" s="62"/>
      <c r="F66" s="62"/>
      <c r="G66" s="62"/>
      <c r="H66" s="62"/>
    </row>
    <row r="67" customFormat="false" ht="15" hidden="false" customHeight="false" outlineLevel="0" collapsed="false">
      <c r="A67" s="6" t="s">
        <v>1551</v>
      </c>
      <c r="B67" s="54" t="s">
        <v>390</v>
      </c>
      <c r="C67" s="83" t="n">
        <f aca="false">IF(ISNUMBER(Unit_Cost!M21),(C18*Unit_Cost!M19+C19*(Unit_Cost!M20+Cache_Store!M17*C48/B4_Retain)+C20*Unit_Cost!M21)/1000000,"SLO 不可達")</f>
        <v>0.000102876595493106</v>
      </c>
      <c r="D67" s="83" t="n">
        <f aca="false">IF(ISNUMBER(Unit_Cost!M21),(D18*Unit_Cost!M19+D19*(Unit_Cost!M20+Cache_Store!M17*D48/B4_Retain)+D20*Unit_Cost!M21)/1000000,"SLO 不可達")</f>
        <v>0.00067991876426652</v>
      </c>
      <c r="E67" s="83" t="n">
        <f aca="false">IF(ISNUMBER(Unit_Cost!M21),(E18*Unit_Cost!M19+E19*(Unit_Cost!M20+Cache_Store!M17*E48/B4_Retain)+E20*Unit_Cost!M21)/1000000,"SLO 不可達")</f>
        <v>0.000491831521859105</v>
      </c>
      <c r="F67" s="83" t="n">
        <f aca="false">IF(ISNUMBER(Unit_Cost!M21),(F18*Unit_Cost!M19+F19*(Unit_Cost!M20+Cache_Store!M17*F48/B4_Retain)+F20*Unit_Cost!M21)/1000000,"SLO 不可達")</f>
        <v>0.00196732608743642</v>
      </c>
      <c r="G67" s="83" t="n">
        <f aca="false">IF(ISNUMBER(Unit_Cost!M21),(G18*Unit_Cost!M19+G19*(Unit_Cost!M20+Cache_Store!M17*G48/B4_Retain)+G20*Unit_Cost!M21)/1000000,"SLO 不可達")</f>
        <v>0.00719636709684973</v>
      </c>
    </row>
    <row r="68" customFormat="false" ht="15" hidden="false" customHeight="false" outlineLevel="0" collapsed="false">
      <c r="A68" s="6" t="s">
        <v>1552</v>
      </c>
      <c r="B68" s="54" t="s">
        <v>390</v>
      </c>
      <c r="C68" s="83" t="n">
        <f aca="false">IF(ISNUMBER(Unit_Cost!M21),(C41*Unit_Cost!M19+C42*(Unit_Cost!M20+Cache_Store!M17*C49/B4_Retain)+C43*Unit_Cost!M21)/1000000,"SLO 不可達")</f>
        <v>0.000102876595493106</v>
      </c>
      <c r="D68" s="83" t="n">
        <f aca="false">IF(ISNUMBER(Unit_Cost!M21),(D41*Unit_Cost!M19+D42*(Unit_Cost!M20+Cache_Store!M17*D49/B4_Retain)+D43*Unit_Cost!M21)/1000000,"SLO 不可達")</f>
        <v>0.00067991876426652</v>
      </c>
      <c r="E68" s="83" t="n">
        <f aca="false">IF(ISNUMBER(Unit_Cost!M21),(E41*Unit_Cost!M19+E42*(Unit_Cost!M20+Cache_Store!M17*E49/B4_Retain)+E43*Unit_Cost!M21)/1000000,"SLO 不可達")</f>
        <v>0.000491831521859105</v>
      </c>
      <c r="F68" s="83" t="n">
        <f aca="false">IF(ISNUMBER(Unit_Cost!M21),(F41*Unit_Cost!M19+F42*(Unit_Cost!M20+Cache_Store!M17*F49/B4_Retain)+F43*Unit_Cost!M21)/1000000,"SLO 不可達")</f>
        <v>0.00196732608743642</v>
      </c>
      <c r="G68" s="83" t="n">
        <f aca="false">IF(ISNUMBER(Unit_Cost!M21),(G41*Unit_Cost!M19+G42*(Unit_Cost!M20+Cache_Store!M17*G49/B4_Retain)+G43*Unit_Cost!M21)/1000000,"SLO 不可達")</f>
        <v>0.00719636709684973</v>
      </c>
    </row>
    <row r="69" customFormat="false" ht="15" hidden="false" customHeight="false" outlineLevel="0" collapsed="false">
      <c r="A69" s="6" t="s">
        <v>1553</v>
      </c>
      <c r="B69" s="54" t="s">
        <v>390</v>
      </c>
      <c r="C69" s="83" t="n">
        <f aca="false">IF(ISNUMBER(Unit_Cost!M21),(C35*Unit_Cost!M19+C36*(Unit_Cost!M20+Cache_Store!M17*C50/B4_Retain)+C37*Unit_Cost!M21)/1000000,"SLO 不可達")</f>
        <v>0.000102876595493106</v>
      </c>
      <c r="D69" s="83" t="n">
        <f aca="false">IF(ISNUMBER(Unit_Cost!M21),(D35*Unit_Cost!M19+D36*(Unit_Cost!M20+Cache_Store!M17*D50/B4_Retain)+D37*Unit_Cost!M21)/1000000,"SLO 不可達")</f>
        <v>0.00067991876426652</v>
      </c>
      <c r="E69" s="83" t="n">
        <f aca="false">IF(ISNUMBER(Unit_Cost!M21),(E35*Unit_Cost!M19+E36*(Unit_Cost!M20+Cache_Store!M17*E50/B4_Retain)+E37*Unit_Cost!M21)/1000000,"SLO 不可達")</f>
        <v>0.000302255310748767</v>
      </c>
      <c r="F69" s="83" t="n">
        <f aca="false">IF(ISNUMBER(Unit_Cost!M21),(F35*Unit_Cost!M19+F36*(Unit_Cost!M20+Cache_Store!M17*F50/B4_Retain)+F37*Unit_Cost!M21)/1000000,"SLO 不可達")</f>
        <v>0.00120902124299507</v>
      </c>
      <c r="G69" s="83" t="n">
        <f aca="false">IF(ISNUMBER(Unit_Cost!M21),(G35*Unit_Cost!M19+G36*(Unit_Cost!M20+Cache_Store!M17*G50/B4_Retain)+G37*Unit_Cost!M21)/1000000,"SLO 不可達")</f>
        <v>0.00435938194630206</v>
      </c>
    </row>
    <row r="70" customFormat="false" ht="15" hidden="false" customHeight="false" outlineLevel="0" collapsed="false">
      <c r="A70" s="6" t="s">
        <v>1554</v>
      </c>
      <c r="B70" s="54" t="s">
        <v>390</v>
      </c>
      <c r="C70" s="83" t="n">
        <f aca="false">IF(ISNUMBER(Unit_Cost!M34),(C18*Unit_Cost!M32+C19*(Unit_Cost!M33+Cache_Store!M23*C48/B4_Retain)+C20*Unit_Cost!M34)/1000000,"SLO 不可達")</f>
        <v>0.000330388752030202</v>
      </c>
      <c r="D70" s="83" t="n">
        <f aca="false">IF(ISNUMBER(Unit_Cost!M34),(D18*Unit_Cost!M32+D19*(Unit_Cost!M33+Cache_Store!M23*D48/B4_Retain)+D20*Unit_Cost!M34)/1000000,"SLO 不可達")</f>
        <v>0.00216348851696387</v>
      </c>
      <c r="E70" s="83" t="n">
        <f aca="false">IF(ISNUMBER(Unit_Cost!M34),(E18*Unit_Cost!M32+E19*(Unit_Cost!M33+Cache_Store!M23*E48/B4_Retain)+E20*Unit_Cost!M34)/1000000,"SLO 不可達")</f>
        <v>0.00157683918462817</v>
      </c>
      <c r="F70" s="83" t="n">
        <f aca="false">IF(ISNUMBER(Unit_Cost!M34),(F18*Unit_Cost!M32+F19*(Unit_Cost!M33+Cache_Store!M23*F48/B4_Retain)+F20*Unit_Cost!M34)/1000000,"SLO 不可達")</f>
        <v>0.00630735673851268</v>
      </c>
      <c r="G70" s="83" t="n">
        <f aca="false">IF(ISNUMBER(Unit_Cost!M34),(G18*Unit_Cost!M32+G19*(Unit_Cost!M33+Cache_Store!M23*G48/B4_Retain)+G20*Unit_Cost!M34)/1000000,"SLO 不可達")</f>
        <v>0.0231841823389574</v>
      </c>
    </row>
    <row r="71" customFormat="false" ht="15" hidden="false" customHeight="false" outlineLevel="0" collapsed="false">
      <c r="A71" s="6" t="s">
        <v>1555</v>
      </c>
      <c r="B71" s="54" t="s">
        <v>390</v>
      </c>
      <c r="C71" s="83" t="n">
        <f aca="false">IF(ISNUMBER(Unit_Cost!M34),(C41*Unit_Cost!M32+C42*(Unit_Cost!M33+Cache_Store!M23*C49/B4_Retain)+C43*Unit_Cost!M34)/1000000,"SLO 不可達")</f>
        <v>0.000330388752030202</v>
      </c>
      <c r="D71" s="83" t="n">
        <f aca="false">IF(ISNUMBER(Unit_Cost!M34),(D41*Unit_Cost!M32+D42*(Unit_Cost!M33+Cache_Store!M23*D49/B4_Retain)+D43*Unit_Cost!M34)/1000000,"SLO 不可達")</f>
        <v>0.00216348851696387</v>
      </c>
      <c r="E71" s="83" t="n">
        <f aca="false">IF(ISNUMBER(Unit_Cost!M34),(E41*Unit_Cost!M32+E42*(Unit_Cost!M33+Cache_Store!M23*E49/B4_Retain)+E43*Unit_Cost!M34)/1000000,"SLO 不可達")</f>
        <v>0.00157683918462817</v>
      </c>
      <c r="F71" s="83" t="n">
        <f aca="false">IF(ISNUMBER(Unit_Cost!M34),(F41*Unit_Cost!M32+F42*(Unit_Cost!M33+Cache_Store!M23*F49/B4_Retain)+F43*Unit_Cost!M34)/1000000,"SLO 不可達")</f>
        <v>0.00630735673851268</v>
      </c>
      <c r="G71" s="83" t="n">
        <f aca="false">IF(ISNUMBER(Unit_Cost!M34),(G41*Unit_Cost!M32+G42*(Unit_Cost!M33+Cache_Store!M23*G49/B4_Retain)+G43*Unit_Cost!M34)/1000000,"SLO 不可達")</f>
        <v>0.0231841823389574</v>
      </c>
    </row>
    <row r="72" customFormat="false" ht="15" hidden="false" customHeight="false" outlineLevel="0" collapsed="false">
      <c r="A72" s="6" t="s">
        <v>1556</v>
      </c>
      <c r="B72" s="54" t="s">
        <v>390</v>
      </c>
      <c r="C72" s="83" t="n">
        <f aca="false">IF(ISNUMBER(Unit_Cost!M34),(C35*Unit_Cost!M32+C36*(Unit_Cost!M33+Cache_Store!M23*C50/B4_Retain)+C37*Unit_Cost!M34)/1000000,"SLO 不可達")</f>
        <v>0.000330388752030202</v>
      </c>
      <c r="D72" s="83" t="n">
        <f aca="false">IF(ISNUMBER(Unit_Cost!M34),(D35*Unit_Cost!M32+D36*(Unit_Cost!M33+Cache_Store!M23*D50/B4_Retain)+D37*Unit_Cost!M34)/1000000,"SLO 不可達")</f>
        <v>0.00216348851696387</v>
      </c>
      <c r="E72" s="83" t="n">
        <f aca="false">IF(ISNUMBER(Unit_Cost!M34),(E35*Unit_Cost!M32+E36*(Unit_Cost!M33+Cache_Store!M23*E50/B4_Retain)+E37*Unit_Cost!M34)/1000000,"SLO 不可達")</f>
        <v>0.000968232866093556</v>
      </c>
      <c r="F72" s="83" t="n">
        <f aca="false">IF(ISNUMBER(Unit_Cost!M34),(F35*Unit_Cost!M32+F36*(Unit_Cost!M33+Cache_Store!M23*F50/B4_Retain)+F37*Unit_Cost!M34)/1000000,"SLO 不可達")</f>
        <v>0.00387293146437422</v>
      </c>
      <c r="G72" s="83" t="n">
        <f aca="false">IF(ISNUMBER(Unit_Cost!M34),(G35*Unit_Cost!M32+G36*(Unit_Cost!M33+Cache_Store!M23*G50/B4_Retain)+G37*Unit_Cost!M34)/1000000,"SLO 不可達")</f>
        <v>0.0139366002979953</v>
      </c>
    </row>
    <row r="73" customFormat="false" ht="15" hidden="false" customHeight="false" outlineLevel="0" collapsed="false">
      <c r="A73" s="6" t="s">
        <v>1557</v>
      </c>
      <c r="B73" s="54" t="s">
        <v>390</v>
      </c>
      <c r="C73" s="83" t="n">
        <f aca="false">IF(ISNUMBER(Unit_Cost!M47),(C18*Unit_Cost!M45+C19*(Unit_Cost!M46+Cache_Store!M29*C48/B4_Retain)+C20*Unit_Cost!M47)/1000000,"SLO 不可達")</f>
        <v>0.00162972883075249</v>
      </c>
      <c r="D73" s="83" t="n">
        <f aca="false">IF(ISNUMBER(Unit_Cost!M47),(D18*Unit_Cost!M45+D19*(Unit_Cost!M46+Cache_Store!M29*D48/B4_Retain)+D20*Unit_Cost!M47)/1000000,"SLO 不可達")</f>
        <v>0.0111185720462836</v>
      </c>
      <c r="E73" s="83" t="n">
        <f aca="false">IF(ISNUMBER(Unit_Cost!M47),(E18*Unit_Cost!M45+E19*(Unit_Cost!M46+Cache_Store!M29*E48/B4_Retain)+E20*Unit_Cost!M47)/1000000,"SLO 不可達")</f>
        <v>0.00780955233700573</v>
      </c>
      <c r="F73" s="83" t="n">
        <f aca="false">IF(ISNUMBER(Unit_Cost!M47),(F18*Unit_Cost!M45+F19*(Unit_Cost!M46+Cache_Store!M29*F48/B4_Retain)+F20*Unit_Cost!M47)/1000000,"SLO 不可達")</f>
        <v>0.0312382093480229</v>
      </c>
      <c r="G73" s="83" t="n">
        <f aca="false">IF(ISNUMBER(Unit_Cost!M47),(G18*Unit_Cost!M45+G19*(Unit_Cost!M46+Cache_Store!M29*G48/B4_Retain)+G20*Unit_Cost!M47)/1000000,"SLO 不可達")</f>
        <v>0.110424400205354</v>
      </c>
    </row>
    <row r="74" customFormat="false" ht="15" hidden="false" customHeight="false" outlineLevel="0" collapsed="false">
      <c r="A74" s="6" t="s">
        <v>1558</v>
      </c>
      <c r="B74" s="54" t="s">
        <v>390</v>
      </c>
      <c r="C74" s="83" t="n">
        <f aca="false">IF(ISNUMBER(Unit_Cost!M47),(C41*Unit_Cost!M45+C42*(Unit_Cost!M46+Cache_Store!M29*C49/B4_Retain)+C43*Unit_Cost!M47)/1000000,"SLO 不可達")</f>
        <v>0.00162972883075249</v>
      </c>
      <c r="D74" s="83" t="n">
        <f aca="false">IF(ISNUMBER(Unit_Cost!M47),(D41*Unit_Cost!M45+D42*(Unit_Cost!M46+Cache_Store!M29*D49/B4_Retain)+D43*Unit_Cost!M47)/1000000,"SLO 不可達")</f>
        <v>0.0111185720462836</v>
      </c>
      <c r="E74" s="83" t="n">
        <f aca="false">IF(ISNUMBER(Unit_Cost!M47),(E41*Unit_Cost!M45+E42*(Unit_Cost!M46+Cache_Store!M29*E49/B4_Retain)+E43*Unit_Cost!M47)/1000000,"SLO 不可達")</f>
        <v>0.00780955233700573</v>
      </c>
      <c r="F74" s="83" t="n">
        <f aca="false">IF(ISNUMBER(Unit_Cost!M47),(F41*Unit_Cost!M45+F42*(Unit_Cost!M46+Cache_Store!M29*F49/B4_Retain)+F43*Unit_Cost!M47)/1000000,"SLO 不可達")</f>
        <v>0.0312382093480229</v>
      </c>
      <c r="G74" s="83" t="n">
        <f aca="false">IF(ISNUMBER(Unit_Cost!M47),(G41*Unit_Cost!M45+G42*(Unit_Cost!M46+Cache_Store!M29*G49/B4_Retain)+G43*Unit_Cost!M47)/1000000,"SLO 不可達")</f>
        <v>0.110424400205354</v>
      </c>
    </row>
    <row r="75" customFormat="false" ht="15" hidden="false" customHeight="false" outlineLevel="0" collapsed="false">
      <c r="A75" s="6" t="s">
        <v>1559</v>
      </c>
      <c r="B75" s="54" t="s">
        <v>390</v>
      </c>
      <c r="C75" s="83" t="n">
        <f aca="false">IF(ISNUMBER(Unit_Cost!M47),(C35*Unit_Cost!M45+C36*(Unit_Cost!M46+Cache_Store!M29*C50/B4_Retain)+C37*Unit_Cost!M47)/1000000,"SLO 不可達")</f>
        <v>0.00162972883075249</v>
      </c>
      <c r="D75" s="83" t="n">
        <f aca="false">IF(ISNUMBER(Unit_Cost!M47),(D35*Unit_Cost!M45+D36*(Unit_Cost!M46+Cache_Store!M29*D50/B4_Retain)+D37*Unit_Cost!M47)/1000000,"SLO 不可達")</f>
        <v>0.0111185720462836</v>
      </c>
      <c r="E75" s="83" t="n">
        <f aca="false">IF(ISNUMBER(Unit_Cost!M47),(E35*Unit_Cost!M45+E36*(Unit_Cost!M46+Cache_Store!M29*E50/B4_Retain)+E37*Unit_Cost!M47)/1000000,"SLO 不可達")</f>
        <v>0.00479059965067675</v>
      </c>
      <c r="F75" s="83" t="n">
        <f aca="false">IF(ISNUMBER(Unit_Cost!M47),(F35*Unit_Cost!M45+F36*(Unit_Cost!M46+Cache_Store!M29*F50/B4_Retain)+F37*Unit_Cost!M47)/1000000,"SLO 不可達")</f>
        <v>0.019162398602707</v>
      </c>
      <c r="G75" s="83" t="n">
        <f aca="false">IF(ISNUMBER(Unit_Cost!M47),(G35*Unit_Cost!M45+G36*(Unit_Cost!M46+Cache_Store!M29*G50/B4_Retain)+G37*Unit_Cost!M47)/1000000,"SLO 不可達")</f>
        <v>0.0675707112126206</v>
      </c>
    </row>
    <row r="76" customFormat="false" ht="15" hidden="false" customHeight="false" outlineLevel="0" collapsed="false">
      <c r="A76" s="6" t="s">
        <v>1560</v>
      </c>
      <c r="B76" s="54" t="s">
        <v>390</v>
      </c>
      <c r="C76" s="83" t="n">
        <f aca="false">IF(ISNUMBER(Unit_Cost!J21),(C18*Unit_Cost!J19+C19*(Unit_Cost!J20+Cache_Store!J17*C48/B4_Retain)+C20*Unit_Cost!J21)/1000000,"SLO 不可達")</f>
        <v>0.000151630220048163</v>
      </c>
      <c r="D76" s="83" t="n">
        <f aca="false">IF(ISNUMBER(Unit_Cost!J21),(D18*Unit_Cost!J19+D19*(Unit_Cost!J20+Cache_Store!J17*D48/B4_Retain)+D20*Unit_Cost!J21)/1000000,"SLO 不可達")</f>
        <v>0.00100902300413595</v>
      </c>
      <c r="E76" s="83" t="n">
        <f aca="false">IF(ISNUMBER(Unit_Cost!J21),(E18*Unit_Cost!J19+E19*(Unit_Cost!J20+Cache_Store!J17*E48/B4_Retain)+E20*Unit_Cost!J21)/1000000,"SLO 不可達")</f>
        <v>0.000724302112876121</v>
      </c>
      <c r="F76" s="83" t="n">
        <f aca="false">IF(ISNUMBER(Unit_Cost!J21),(F18*Unit_Cost!J19+F19*(Unit_Cost!J20+Cache_Store!J17*F48/B4_Retain)+F20*Unit_Cost!J21)/1000000,"SLO 不可達")</f>
        <v>0.00289720845150449</v>
      </c>
      <c r="G76" s="83" t="n">
        <f aca="false">IF(ISNUMBER(Unit_Cost!J21),(G18*Unit_Cost!J19+G19*(Unit_Cost!J20+Cache_Store!J17*G48/B4_Retain)+G20*Unit_Cost!J21)/1000000,"SLO 不可達")</f>
        <v>0.0104564159220137</v>
      </c>
    </row>
    <row r="77" customFormat="false" ht="15" hidden="false" customHeight="false" outlineLevel="0" collapsed="false">
      <c r="A77" s="6" t="s">
        <v>1561</v>
      </c>
      <c r="B77" s="54" t="s">
        <v>390</v>
      </c>
      <c r="C77" s="83" t="n">
        <f aca="false">IF(ISNUMBER(Unit_Cost!J21),(C41*Unit_Cost!J19+C42*(Unit_Cost!J20+Cache_Store!J17*C49/B4_Retain)+C43*Unit_Cost!J21)/1000000,"SLO 不可達")</f>
        <v>0.000151630220048163</v>
      </c>
      <c r="D77" s="83" t="n">
        <f aca="false">IF(ISNUMBER(Unit_Cost!J21),(D41*Unit_Cost!J19+D42*(Unit_Cost!J20+Cache_Store!J17*D49/B4_Retain)+D43*Unit_Cost!J21)/1000000,"SLO 不可達")</f>
        <v>0.00100902300413595</v>
      </c>
      <c r="E77" s="83" t="n">
        <f aca="false">IF(ISNUMBER(Unit_Cost!J21),(E41*Unit_Cost!J19+E42*(Unit_Cost!J20+Cache_Store!J17*E49/B4_Retain)+E43*Unit_Cost!J21)/1000000,"SLO 不可達")</f>
        <v>0.000724302112876121</v>
      </c>
      <c r="F77" s="83" t="n">
        <f aca="false">IF(ISNUMBER(Unit_Cost!J21),(F41*Unit_Cost!J19+F42*(Unit_Cost!J20+Cache_Store!J17*F49/B4_Retain)+F43*Unit_Cost!J21)/1000000,"SLO 不可達")</f>
        <v>0.00289720845150449</v>
      </c>
      <c r="G77" s="83" t="n">
        <f aca="false">IF(ISNUMBER(Unit_Cost!J21),(G41*Unit_Cost!J19+G42*(Unit_Cost!J20+Cache_Store!J17*G49/B4_Retain)+G43*Unit_Cost!J21)/1000000,"SLO 不可達")</f>
        <v>0.0104564159220137</v>
      </c>
    </row>
    <row r="78" customFormat="false" ht="15" hidden="false" customHeight="false" outlineLevel="0" collapsed="false">
      <c r="A78" s="6" t="s">
        <v>1562</v>
      </c>
      <c r="B78" s="54" t="s">
        <v>390</v>
      </c>
      <c r="C78" s="83" t="n">
        <f aca="false">IF(ISNUMBER(Unit_Cost!J21),(C35*Unit_Cost!J19+C36*(Unit_Cost!J20+Cache_Store!J17*C50/B4_Retain)+C37*Unit_Cost!J21)/1000000,"SLO 不可達")</f>
        <v>0.000151630220048163</v>
      </c>
      <c r="D78" s="83" t="n">
        <f aca="false">IF(ISNUMBER(Unit_Cost!J21),(D35*Unit_Cost!J19+D36*(Unit_Cost!J20+Cache_Store!J17*D50/B4_Retain)+D37*Unit_Cost!J21)/1000000,"SLO 不可達")</f>
        <v>0.00100902300413595</v>
      </c>
      <c r="E78" s="83" t="n">
        <f aca="false">IF(ISNUMBER(Unit_Cost!J21),(E35*Unit_Cost!J19+E36*(Unit_Cost!J20+Cache_Store!J17*E50/B4_Retain)+E37*Unit_Cost!J21)/1000000,"SLO 不可達")</f>
        <v>0.00044448295828365</v>
      </c>
      <c r="F78" s="83" t="n">
        <f aca="false">IF(ISNUMBER(Unit_Cost!J21),(F35*Unit_Cost!J19+F36*(Unit_Cost!J20+Cache_Store!J17*F50/B4_Retain)+F37*Unit_Cost!J21)/1000000,"SLO 不可達")</f>
        <v>0.0017779318331346</v>
      </c>
      <c r="G78" s="83" t="n">
        <f aca="false">IF(ISNUMBER(Unit_Cost!J21),(G35*Unit_Cost!J19+G36*(Unit_Cost!J20+Cache_Store!J17*G50/B4_Retain)+G37*Unit_Cost!J21)/1000000,"SLO 不可達")</f>
        <v>0.00632587506263354</v>
      </c>
    </row>
    <row r="79" customFormat="false" ht="15" hidden="false" customHeight="false" outlineLevel="0" collapsed="false">
      <c r="A79" s="6" t="s">
        <v>1563</v>
      </c>
      <c r="B79" s="54" t="s">
        <v>390</v>
      </c>
      <c r="C79" s="83" t="n">
        <f aca="false">IF(ISNUMBER(Unit_Cost!J34),(C18*Unit_Cost!J32+C19*(Unit_Cost!J33+Cache_Store!J23*C48/B4_Retain)+C20*Unit_Cost!J34)/1000000,"SLO 不可達")</f>
        <v>0.000527750460624653</v>
      </c>
      <c r="D79" s="83" t="n">
        <f aca="false">IF(ISNUMBER(Unit_Cost!J34),(D18*Unit_Cost!J32+D19*(Unit_Cost!J33+Cache_Store!J23*D48/B4_Retain)+D20*Unit_Cost!J34)/1000000,"SLO 不可達")</f>
        <v>0.00351369447184696</v>
      </c>
      <c r="E79" s="83" t="n">
        <f aca="false">IF(ISNUMBER(Unit_Cost!J34),(E18*Unit_Cost!J32+E19*(Unit_Cost!J33+Cache_Store!J23*E48/B4_Retain)+E20*Unit_Cost!J34)/1000000,"SLO 不可達")</f>
        <v>0.00251953083536334</v>
      </c>
      <c r="F79" s="83" t="n">
        <f aca="false">IF(ISNUMBER(Unit_Cost!J34),(F18*Unit_Cost!J32+F19*(Unit_Cost!J33+Cache_Store!J23*F48/B4_Retain)+F20*Unit_Cost!J34)/1000000,"SLO 不可達")</f>
        <v>0.0100781233414534</v>
      </c>
      <c r="G79" s="83" t="n">
        <f aca="false">IF(ISNUMBER(Unit_Cost!J34),(G18*Unit_Cost!J32+G19*(Unit_Cost!J33+Cache_Store!J23*G48/B4_Retain)+G20*Unit_Cost!J34)/1000000,"SLO 不可達")</f>
        <v>0.0362522860609998</v>
      </c>
    </row>
    <row r="80" customFormat="false" ht="15" hidden="false" customHeight="false" outlineLevel="0" collapsed="false">
      <c r="A80" s="6" t="s">
        <v>1564</v>
      </c>
      <c r="B80" s="54" t="s">
        <v>390</v>
      </c>
      <c r="C80" s="83" t="n">
        <f aca="false">IF(ISNUMBER(Unit_Cost!J34),(C41*Unit_Cost!J32+C42*(Unit_Cost!J33+Cache_Store!J23*C49/B4_Retain)+C43*Unit_Cost!J34)/1000000,"SLO 不可達")</f>
        <v>0.000527750460624653</v>
      </c>
      <c r="D80" s="83" t="n">
        <f aca="false">IF(ISNUMBER(Unit_Cost!J34),(D41*Unit_Cost!J32+D42*(Unit_Cost!J33+Cache_Store!J23*D49/B4_Retain)+D43*Unit_Cost!J34)/1000000,"SLO 不可達")</f>
        <v>0.00351369447184696</v>
      </c>
      <c r="E80" s="83" t="n">
        <f aca="false">IF(ISNUMBER(Unit_Cost!J34),(E41*Unit_Cost!J32+E42*(Unit_Cost!J33+Cache_Store!J23*E49/B4_Retain)+E43*Unit_Cost!J34)/1000000,"SLO 不可達")</f>
        <v>0.00251953083536334</v>
      </c>
      <c r="F80" s="83" t="n">
        <f aca="false">IF(ISNUMBER(Unit_Cost!J34),(F41*Unit_Cost!J32+F42*(Unit_Cost!J33+Cache_Store!J23*F49/B4_Retain)+F43*Unit_Cost!J34)/1000000,"SLO 不可達")</f>
        <v>0.0100781233414534</v>
      </c>
      <c r="G80" s="83" t="n">
        <f aca="false">IF(ISNUMBER(Unit_Cost!J34),(G41*Unit_Cost!J32+G42*(Unit_Cost!J33+Cache_Store!J23*G49/B4_Retain)+G43*Unit_Cost!J34)/1000000,"SLO 不可達")</f>
        <v>0.0362522860609998</v>
      </c>
    </row>
    <row r="81" customFormat="false" ht="15" hidden="false" customHeight="false" outlineLevel="0" collapsed="false">
      <c r="A81" s="6" t="s">
        <v>1565</v>
      </c>
      <c r="B81" s="54" t="s">
        <v>390</v>
      </c>
      <c r="C81" s="83" t="n">
        <f aca="false">IF(ISNUMBER(Unit_Cost!J34),(C35*Unit_Cost!J32+C36*(Unit_Cost!J33+Cache_Store!J23*C50/B4_Retain)+C37*Unit_Cost!J34)/1000000,"SLO 不可達")</f>
        <v>0.000527750460624653</v>
      </c>
      <c r="D81" s="83" t="n">
        <f aca="false">IF(ISNUMBER(Unit_Cost!J34),(D35*Unit_Cost!J32+D36*(Unit_Cost!J33+Cache_Store!J23*D50/B4_Retain)+D37*Unit_Cost!J34)/1000000,"SLO 不可達")</f>
        <v>0.00351369447184696</v>
      </c>
      <c r="E81" s="83" t="n">
        <f aca="false">IF(ISNUMBER(Unit_Cost!J34),(E35*Unit_Cost!J32+E36*(Unit_Cost!J33+Cache_Store!J23*E50/B4_Retain)+E37*Unit_Cost!J34)/1000000,"SLO 不可達")</f>
        <v>0.00154423649272186</v>
      </c>
      <c r="F81" s="83" t="n">
        <f aca="false">IF(ISNUMBER(Unit_Cost!J34),(F35*Unit_Cost!J32+F36*(Unit_Cost!J33+Cache_Store!J23*F50/B4_Retain)+F37*Unit_Cost!J34)/1000000,"SLO 不可達")</f>
        <v>0.00617694597088744</v>
      </c>
      <c r="G81" s="83" t="n">
        <f aca="false">IF(ISNUMBER(Unit_Cost!J34),(G35*Unit_Cost!J32+G36*(Unit_Cost!J33+Cache_Store!J23*G50/B4_Retain)+G37*Unit_Cost!J34)/1000000,"SLO 不可達")</f>
        <v>0.0218327232948691</v>
      </c>
    </row>
    <row r="82" customFormat="false" ht="15" hidden="false" customHeight="false" outlineLevel="0" collapsed="false">
      <c r="A82" s="6" t="s">
        <v>1566</v>
      </c>
      <c r="B82" s="54" t="s">
        <v>390</v>
      </c>
      <c r="C82" s="83" t="n">
        <f aca="false">IF(ISNUMBER(Unit_Cost!J47),(C18*Unit_Cost!J45+C19*(Unit_Cost!J46+Cache_Store!J29*C48/B4_Retain)+C20*Unit_Cost!J47)/1000000,"SLO 不可達")</f>
        <v>0.00360116271293039</v>
      </c>
      <c r="D82" s="83" t="n">
        <f aca="false">IF(ISNUMBER(Unit_Cost!J47),(D18*Unit_Cost!J45+D19*(Unit_Cost!J46+Cache_Store!J29*D48/B4_Retain)+D20*Unit_Cost!J47)/1000000,"SLO 不可達")</f>
        <v>0.0253440132312605</v>
      </c>
      <c r="E82" s="83" t="n">
        <f aca="false">IF(ISNUMBER(Unit_Cost!J47),(E18*Unit_Cost!J45+E19*(Unit_Cost!J46+Cache_Store!J29*E48/B4_Retain)+E20*Unit_Cost!J47)/1000000,"SLO 不可達")</f>
        <v>0.0172514160071047</v>
      </c>
      <c r="F82" s="83" t="n">
        <f aca="false">IF(ISNUMBER(Unit_Cost!J47),(F18*Unit_Cost!J45+F19*(Unit_Cost!J46+Cache_Store!J29*F48/B4_Retain)+F20*Unit_Cost!J47)/1000000,"SLO 不可達")</f>
        <v>0.0690056640284188</v>
      </c>
      <c r="G82" s="83" t="n">
        <f aca="false">IF(ISNUMBER(Unit_Cost!J47),(G18*Unit_Cost!J45+G19*(Unit_Cost!J46+Cache_Store!J29*G48/B4_Retain)+G20*Unit_Cost!J47)/1000000,"SLO 不可達")</f>
        <v>0.232280932133542</v>
      </c>
    </row>
    <row r="83" customFormat="false" ht="15" hidden="false" customHeight="false" outlineLevel="0" collapsed="false">
      <c r="A83" s="6" t="s">
        <v>1567</v>
      </c>
      <c r="B83" s="54" t="s">
        <v>390</v>
      </c>
      <c r="C83" s="83" t="n">
        <f aca="false">IF(ISNUMBER(Unit_Cost!J47),(C41*Unit_Cost!J45+C42*(Unit_Cost!J46+Cache_Store!J29*C49/B4_Retain)+C43*Unit_Cost!J47)/1000000,"SLO 不可達")</f>
        <v>0.00360116271293039</v>
      </c>
      <c r="D83" s="83" t="n">
        <f aca="false">IF(ISNUMBER(Unit_Cost!J47),(D41*Unit_Cost!J45+D42*(Unit_Cost!J46+Cache_Store!J29*D49/B4_Retain)+D43*Unit_Cost!J47)/1000000,"SLO 不可達")</f>
        <v>0.0253440132312605</v>
      </c>
      <c r="E83" s="83" t="n">
        <f aca="false">IF(ISNUMBER(Unit_Cost!J47),(E41*Unit_Cost!J45+E42*(Unit_Cost!J46+Cache_Store!J29*E49/B4_Retain)+E43*Unit_Cost!J47)/1000000,"SLO 不可達")</f>
        <v>0.0172514160071047</v>
      </c>
      <c r="F83" s="83" t="n">
        <f aca="false">IF(ISNUMBER(Unit_Cost!J47),(F41*Unit_Cost!J45+F42*(Unit_Cost!J46+Cache_Store!J29*F49/B4_Retain)+F43*Unit_Cost!J47)/1000000,"SLO 不可達")</f>
        <v>0.0690056640284188</v>
      </c>
      <c r="G83" s="83" t="n">
        <f aca="false">IF(ISNUMBER(Unit_Cost!J47),(G41*Unit_Cost!J45+G42*(Unit_Cost!J46+Cache_Store!J29*G49/B4_Retain)+G43*Unit_Cost!J47)/1000000,"SLO 不可達")</f>
        <v>0.232280932133542</v>
      </c>
    </row>
    <row r="84" customFormat="false" ht="15" hidden="false" customHeight="false" outlineLevel="0" collapsed="false">
      <c r="A84" s="6" t="s">
        <v>1568</v>
      </c>
      <c r="B84" s="54" t="s">
        <v>390</v>
      </c>
      <c r="C84" s="83" t="n">
        <f aca="false">IF(ISNUMBER(Unit_Cost!J47),(C35*Unit_Cost!J45+C36*(Unit_Cost!J46+Cache_Store!J29*C50/B4_Retain)+C37*Unit_Cost!J47)/1000000,"SLO 不可達")</f>
        <v>0.00360116271293039</v>
      </c>
      <c r="D84" s="83" t="n">
        <f aca="false">IF(ISNUMBER(Unit_Cost!J47),(D35*Unit_Cost!J45+D36*(Unit_Cost!J46+Cache_Store!J29*D50/B4_Retain)+D37*Unit_Cost!J47)/1000000,"SLO 不可達")</f>
        <v>0.0253440132312605</v>
      </c>
      <c r="E84" s="83" t="n">
        <f aca="false">IF(ISNUMBER(Unit_Cost!J47),(E35*Unit_Cost!J45+E36*(Unit_Cost!J46+Cache_Store!J29*E50/B4_Retain)+E37*Unit_Cost!J47)/1000000,"SLO 不可達")</f>
        <v>0.0105326292932803</v>
      </c>
      <c r="F84" s="83" t="n">
        <f aca="false">IF(ISNUMBER(Unit_Cost!J47),(F35*Unit_Cost!J45+F36*(Unit_Cost!J46+Cache_Store!J29*F50/B4_Retain)+F37*Unit_Cost!J47)/1000000,"SLO 不可達")</f>
        <v>0.0421305171731213</v>
      </c>
      <c r="G84" s="83" t="n">
        <f aca="false">IF(ISNUMBER(Unit_Cost!J47),(G35*Unit_Cost!J45+G36*(Unit_Cost!J46+Cache_Store!J29*G50/B4_Retain)+G37*Unit_Cost!J47)/1000000,"SLO 不可達")</f>
        <v>0.142194586935147</v>
      </c>
    </row>
    <row r="86" customFormat="false" ht="15" hidden="false" customHeight="false" outlineLevel="0" collapsed="false">
      <c r="A86" s="68" t="s">
        <v>1569</v>
      </c>
      <c r="B86" s="62"/>
      <c r="C86" s="62"/>
      <c r="D86" s="62"/>
      <c r="E86" s="62"/>
      <c r="F86" s="62"/>
      <c r="G86" s="62"/>
      <c r="H86" s="62"/>
    </row>
    <row r="87" customFormat="false" ht="15" hidden="false" customHeight="false" outlineLevel="0" collapsed="false">
      <c r="A87" s="6" t="s">
        <v>1551</v>
      </c>
      <c r="B87" s="54" t="s">
        <v>390</v>
      </c>
      <c r="C87" s="158" t="n">
        <f aca="false">IF(AND(ISNUMBER(C67),C56&gt;0),C67/C56,"SLO 不可達")</f>
        <v>0.000106913241225165</v>
      </c>
      <c r="D87" s="158" t="n">
        <f aca="false">IF(AND(ISNUMBER(D67),D56&gt;0),D67/D56,"SLO 不可達")</f>
        <v>0.000769123637958258</v>
      </c>
      <c r="E87" s="158" t="n">
        <f aca="false">IF(AND(ISNUMBER(E67),E56&gt;0),E67/E56,"SLO 不可達")</f>
        <v>0.000707593750082319</v>
      </c>
      <c r="F87" s="158" t="n">
        <f aca="false">IF(AND(ISNUMBER(F67),F56&gt;0),F67/F56,"SLO 不可達")</f>
        <v>0.00440839704264529</v>
      </c>
      <c r="G87" s="158" t="n">
        <f aca="false">IF(AND(ISNUMBER(G67),G56&gt;0),G67/G56,"SLO 不可達")</f>
        <v>0.0324522383603972</v>
      </c>
    </row>
    <row r="88" customFormat="false" ht="15" hidden="false" customHeight="false" outlineLevel="0" collapsed="false">
      <c r="A88" s="6" t="s">
        <v>1552</v>
      </c>
      <c r="B88" s="54" t="s">
        <v>390</v>
      </c>
      <c r="C88" s="159" t="n">
        <f aca="false">IF(AND(ISNUMBER(C68),C57&gt;0),C68/C57,"SLO 不可達")</f>
        <v>0.000106913241225165</v>
      </c>
      <c r="D88" s="159" t="n">
        <f aca="false">IF(AND(ISNUMBER(D68),D57&gt;0),D68/D57,"SLO 不可達")</f>
        <v>0.000769123637958258</v>
      </c>
      <c r="E88" s="159" t="n">
        <f aca="false">IF(AND(ISNUMBER(E68),E57&gt;0),E68/E57,"SLO 不可達")</f>
        <v>0.000707593750082319</v>
      </c>
      <c r="F88" s="159" t="n">
        <f aca="false">IF(AND(ISNUMBER(F68),F57&gt;0),F68/F57,"SLO 不可達")</f>
        <v>0.00440839704264529</v>
      </c>
      <c r="G88" s="159" t="n">
        <f aca="false">IF(AND(ISNUMBER(G68),G57&gt;0),G68/G57,"SLO 不可達")</f>
        <v>0.0324522383603972</v>
      </c>
    </row>
    <row r="89" customFormat="false" ht="15" hidden="false" customHeight="false" outlineLevel="0" collapsed="false">
      <c r="A89" s="6" t="s">
        <v>1553</v>
      </c>
      <c r="B89" s="54" t="s">
        <v>390</v>
      </c>
      <c r="C89" s="158" t="n">
        <f aca="false">IF(AND(ISNUMBER(C69),C58&gt;0),C69/C58,"SLO 不可達")</f>
        <v>0.000106913241225165</v>
      </c>
      <c r="D89" s="158" t="n">
        <f aca="false">IF(AND(ISNUMBER(D69),D58&gt;0),D69/D58,"SLO 不可達")</f>
        <v>0.000769123637958258</v>
      </c>
      <c r="E89" s="158" t="n">
        <f aca="false">IF(AND(ISNUMBER(E69),E58&gt;0),E69/E58,"SLO 不可達")</f>
        <v>0.000417905690923563</v>
      </c>
      <c r="F89" s="158" t="n">
        <f aca="false">IF(AND(ISNUMBER(F69),F58&gt;0),F69/F58,"SLO 不可達")</f>
        <v>0.00210102254309924</v>
      </c>
      <c r="G89" s="158" t="n">
        <f aca="false">IF(AND(ISNUMBER(G69),G58&gt;0),G69/G58,"SLO 不可達")</f>
        <v>0.0134564505633784</v>
      </c>
    </row>
    <row r="90" customFormat="false" ht="15" hidden="false" customHeight="false" outlineLevel="0" collapsed="false">
      <c r="A90" s="6" t="s">
        <v>1554</v>
      </c>
      <c r="B90" s="54" t="s">
        <v>390</v>
      </c>
      <c r="C90" s="158" t="n">
        <f aca="false">IF(AND(ISNUMBER(C70),C59&gt;0),C70/C59,"SLO 不可達")</f>
        <v>0.000334082610572906</v>
      </c>
      <c r="D90" s="158" t="n">
        <f aca="false">IF(AND(ISNUMBER(D70),D59&gt;0),D70/D59,"SLO 不可達")</f>
        <v>0.00224436776488957</v>
      </c>
      <c r="E90" s="158" t="n">
        <f aca="false">IF(AND(ISNUMBER(E70),E59&gt;0),E70/E59,"SLO 不可達")</f>
        <v>0.00177394408270669</v>
      </c>
      <c r="F90" s="158" t="n">
        <f aca="false">IF(AND(ISNUMBER(F70),F59&gt;0),F70/F59,"SLO 不可達")</f>
        <v>0.00853734409909517</v>
      </c>
      <c r="G90" s="158" t="n">
        <f aca="false">IF(AND(ISNUMBER(G70),G59&gt;0),G70/G59,"SLO 不可達")</f>
        <v>0.0463683646779148</v>
      </c>
    </row>
    <row r="91" customFormat="false" ht="15" hidden="false" customHeight="false" outlineLevel="0" collapsed="false">
      <c r="A91" s="6" t="s">
        <v>1555</v>
      </c>
      <c r="B91" s="54" t="s">
        <v>390</v>
      </c>
      <c r="C91" s="159" t="n">
        <f aca="false">IF(AND(ISNUMBER(C71),C60&gt;0),C71/C60,"SLO 不可達")</f>
        <v>0.000334082610572906</v>
      </c>
      <c r="D91" s="159" t="n">
        <f aca="false">IF(AND(ISNUMBER(D71),D60&gt;0),D71/D60,"SLO 不可達")</f>
        <v>0.00224436776488957</v>
      </c>
      <c r="E91" s="159" t="n">
        <f aca="false">IF(AND(ISNUMBER(E71),E60&gt;0),E71/E60,"SLO 不可達")</f>
        <v>0.00177394408270669</v>
      </c>
      <c r="F91" s="159" t="n">
        <f aca="false">IF(AND(ISNUMBER(F71),F60&gt;0),F71/F60,"SLO 不可達")</f>
        <v>0.00853734409909517</v>
      </c>
      <c r="G91" s="159" t="n">
        <f aca="false">IF(AND(ISNUMBER(G71),G60&gt;0),G71/G60,"SLO 不可達")</f>
        <v>0.0463683646779148</v>
      </c>
    </row>
    <row r="92" customFormat="false" ht="15" hidden="false" customHeight="false" outlineLevel="0" collapsed="false">
      <c r="A92" s="6" t="s">
        <v>1556</v>
      </c>
      <c r="B92" s="54" t="s">
        <v>390</v>
      </c>
      <c r="C92" s="158" t="n">
        <f aca="false">IF(AND(ISNUMBER(C72),C61&gt;0),C72/C61,"SLO 不可達")</f>
        <v>0.000334082610572906</v>
      </c>
      <c r="D92" s="158" t="n">
        <f aca="false">IF(AND(ISNUMBER(D72),D61&gt;0),D72/D61,"SLO 不可達")</f>
        <v>0.00224436776488957</v>
      </c>
      <c r="E92" s="158" t="n">
        <f aca="false">IF(AND(ISNUMBER(E72),E61&gt;0),E72/E61,"SLO 不可達")</f>
        <v>0.00107379396409021</v>
      </c>
      <c r="F92" s="158" t="n">
        <f aca="false">IF(AND(ISNUMBER(F72),F61&gt;0),F72/F61,"SLO 不可達")</f>
        <v>0.00468711501060313</v>
      </c>
      <c r="G92" s="158" t="n">
        <f aca="false">IF(AND(ISNUMBER(G72),G61&gt;0),G72/G61,"SLO 不可達")</f>
        <v>0.0222233524146578</v>
      </c>
    </row>
    <row r="93" customFormat="false" ht="15" hidden="false" customHeight="false" outlineLevel="0" collapsed="false">
      <c r="A93" s="6" t="s">
        <v>1557</v>
      </c>
      <c r="B93" s="54" t="s">
        <v>390</v>
      </c>
      <c r="C93" s="158" t="n">
        <f aca="false">IF(AND(ISNUMBER(C73),C62&gt;0),C73/C62,"SLO 不可達")</f>
        <v>0.00164056305594464</v>
      </c>
      <c r="D93" s="158" t="n">
        <f aca="false">IF(AND(ISNUMBER(D73),D62&gt;0),D73/D62,"SLO 不可達")</f>
        <v>0.0113657211430203</v>
      </c>
      <c r="E93" s="158" t="n">
        <f aca="false">IF(AND(ISNUMBER(E73),E62&gt;0),E73/E62,"SLO 不可達")</f>
        <v>0.00839000078726531</v>
      </c>
      <c r="F93" s="158" t="n">
        <f aca="false">IF(AND(ISNUMBER(F73),F62&gt;0),F73/F62,"SLO 不可達")</f>
        <v>0.0378052339129473</v>
      </c>
      <c r="G93" s="158" t="n">
        <f aca="false">IF(AND(ISNUMBER(G73),G62&gt;0),G73/G62,"SLO 不可達")</f>
        <v>0.176083141402411</v>
      </c>
    </row>
    <row r="94" customFormat="false" ht="15" hidden="false" customHeight="false" outlineLevel="0" collapsed="false">
      <c r="A94" s="6" t="s">
        <v>1558</v>
      </c>
      <c r="B94" s="54" t="s">
        <v>390</v>
      </c>
      <c r="C94" s="159" t="n">
        <f aca="false">IF(AND(ISNUMBER(C74),C63&gt;0),C74/C63,"SLO 不可達")</f>
        <v>0.00164056305594464</v>
      </c>
      <c r="D94" s="159" t="n">
        <f aca="false">IF(AND(ISNUMBER(D74),D63&gt;0),D74/D63,"SLO 不可達")</f>
        <v>0.0113657211430203</v>
      </c>
      <c r="E94" s="159" t="n">
        <f aca="false">IF(AND(ISNUMBER(E74),E63&gt;0),E74/E63,"SLO 不可達")</f>
        <v>0.00839000078726531</v>
      </c>
      <c r="F94" s="159" t="n">
        <f aca="false">IF(AND(ISNUMBER(F74),F63&gt;0),F74/F63,"SLO 不可達")</f>
        <v>0.0378052339129473</v>
      </c>
      <c r="G94" s="159" t="n">
        <f aca="false">IF(AND(ISNUMBER(G74),G63&gt;0),G74/G63,"SLO 不可達")</f>
        <v>0.176083141402411</v>
      </c>
    </row>
    <row r="95" customFormat="false" ht="15" hidden="false" customHeight="false" outlineLevel="0" collapsed="false">
      <c r="A95" s="6" t="s">
        <v>1559</v>
      </c>
      <c r="B95" s="54" t="s">
        <v>390</v>
      </c>
      <c r="C95" s="158" t="n">
        <f aca="false">IF(AND(ISNUMBER(C75),C64&gt;0),C75/C64,"SLO 不可達")</f>
        <v>0.00164056305594464</v>
      </c>
      <c r="D95" s="158" t="n">
        <f aca="false">IF(AND(ISNUMBER(D75),D64&gt;0),D75/D64,"SLO 不可達")</f>
        <v>0.0113657211430203</v>
      </c>
      <c r="E95" s="158" t="n">
        <f aca="false">IF(AND(ISNUMBER(E75),E64&gt;0),E75/E64,"SLO 不可達")</f>
        <v>0.00510115674896871</v>
      </c>
      <c r="F95" s="158" t="n">
        <f aca="false">IF(AND(ISNUMBER(F75),F64&gt;0),F75/F64,"SLO 不可達")</f>
        <v>0.0215576984280454</v>
      </c>
      <c r="G95" s="158" t="n">
        <f aca="false">IF(AND(ISNUMBER(G75),G64&gt;0),G75/G64,"SLO 不可達")</f>
        <v>0.0914605652666415</v>
      </c>
    </row>
    <row r="96" customFormat="false" ht="15" hidden="false" customHeight="false" outlineLevel="0" collapsed="false">
      <c r="A96" s="6" t="s">
        <v>1560</v>
      </c>
      <c r="B96" s="54" t="s">
        <v>390</v>
      </c>
      <c r="C96" s="158" t="n">
        <f aca="false">IF(AND(ISNUMBER(C76),C56&gt;0),C76/C56,"SLO 不可達")</f>
        <v>0.000157579848121241</v>
      </c>
      <c r="D96" s="158" t="n">
        <f aca="false">IF(AND(ISNUMBER(D76),D56&gt;0),D76/D56,"SLO 不可達")</f>
        <v>0.0011414061274832</v>
      </c>
      <c r="E96" s="158" t="n">
        <f aca="false">IF(AND(ISNUMBER(E76),E56&gt;0),E76/E56,"SLO 不可達")</f>
        <v>0.00104204717563707</v>
      </c>
      <c r="F96" s="158" t="n">
        <f aca="false">IF(AND(ISNUMBER(F76),F56&gt;0),F76/F56,"SLO 不可達")</f>
        <v>0.00649208346857348</v>
      </c>
      <c r="G96" s="158" t="n">
        <f aca="false">IF(AND(ISNUMBER(G76),G56&gt;0),G76/G56,"SLO 不可達")</f>
        <v>0.0471535286249069</v>
      </c>
    </row>
    <row r="97" customFormat="false" ht="15" hidden="false" customHeight="false" outlineLevel="0" collapsed="false">
      <c r="A97" s="6" t="s">
        <v>1561</v>
      </c>
      <c r="B97" s="54" t="s">
        <v>390</v>
      </c>
      <c r="C97" s="158" t="n">
        <f aca="false">IF(AND(ISNUMBER(C77),C57&gt;0),C77/C57,"SLO 不可達")</f>
        <v>0.000157579848121241</v>
      </c>
      <c r="D97" s="158" t="n">
        <f aca="false">IF(AND(ISNUMBER(D77),D57&gt;0),D77/D57,"SLO 不可達")</f>
        <v>0.0011414061274832</v>
      </c>
      <c r="E97" s="158" t="n">
        <f aca="false">IF(AND(ISNUMBER(E77),E57&gt;0),E77/E57,"SLO 不可達")</f>
        <v>0.00104204717563707</v>
      </c>
      <c r="F97" s="158" t="n">
        <f aca="false">IF(AND(ISNUMBER(F77),F57&gt;0),F77/F57,"SLO 不可達")</f>
        <v>0.00649208346857348</v>
      </c>
      <c r="G97" s="158" t="n">
        <f aca="false">IF(AND(ISNUMBER(G77),G57&gt;0),G77/G57,"SLO 不可達")</f>
        <v>0.0471535286249069</v>
      </c>
    </row>
    <row r="98" customFormat="false" ht="15" hidden="false" customHeight="false" outlineLevel="0" collapsed="false">
      <c r="A98" s="6" t="s">
        <v>1562</v>
      </c>
      <c r="B98" s="54" t="s">
        <v>390</v>
      </c>
      <c r="C98" s="158" t="n">
        <f aca="false">IF(AND(ISNUMBER(C78),C58&gt;0),C78/C58,"SLO 不可達")</f>
        <v>0.000157579848121241</v>
      </c>
      <c r="D98" s="158" t="n">
        <f aca="false">IF(AND(ISNUMBER(D78),D58&gt;0),D78/D58,"SLO 不可達")</f>
        <v>0.0011414061274832</v>
      </c>
      <c r="E98" s="158" t="n">
        <f aca="false">IF(AND(ISNUMBER(E78),E58&gt;0),E78/E58,"SLO 不可達")</f>
        <v>0.000614553164757041</v>
      </c>
      <c r="F98" s="158" t="n">
        <f aca="false">IF(AND(ISNUMBER(F78),F58&gt;0),F78/F58,"SLO 不可達")</f>
        <v>0.00308966850926107</v>
      </c>
      <c r="G98" s="158" t="n">
        <f aca="false">IF(AND(ISNUMBER(G78),G58&gt;0),G78/G58,"SLO 不可達")</f>
        <v>0.0195265810839641</v>
      </c>
    </row>
    <row r="99" customFormat="false" ht="15" hidden="false" customHeight="false" outlineLevel="0" collapsed="false">
      <c r="A99" s="6" t="s">
        <v>1563</v>
      </c>
      <c r="B99" s="54" t="s">
        <v>390</v>
      </c>
      <c r="C99" s="158" t="n">
        <f aca="false">IF(AND(ISNUMBER(C79),C59&gt;0),C79/C59,"SLO 不可達")</f>
        <v>0.000533650890150221</v>
      </c>
      <c r="D99" s="158" t="n">
        <f aca="false">IF(AND(ISNUMBER(D79),D59&gt;0),D79/D59,"SLO 不可達")</f>
        <v>0.00364504944049846</v>
      </c>
      <c r="E99" s="158" t="n">
        <f aca="false">IF(AND(ISNUMBER(E79),E59&gt;0),E79/E59,"SLO 不可達")</f>
        <v>0.00283447218978376</v>
      </c>
      <c r="F99" s="158" t="n">
        <f aca="false">IF(AND(ISNUMBER(F79),F59&gt;0),F79/F59,"SLO 不可達")</f>
        <v>0.0136412780196414</v>
      </c>
      <c r="G99" s="158" t="n">
        <f aca="false">IF(AND(ISNUMBER(G79),G59&gt;0),G79/G59,"SLO 不可達")</f>
        <v>0.0725045721219997</v>
      </c>
    </row>
    <row r="100" customFormat="false" ht="15" hidden="false" customHeight="false" outlineLevel="0" collapsed="false">
      <c r="A100" s="6" t="s">
        <v>1564</v>
      </c>
      <c r="B100" s="54" t="s">
        <v>390</v>
      </c>
      <c r="C100" s="158" t="n">
        <f aca="false">IF(AND(ISNUMBER(C80),C60&gt;0),C80/C60,"SLO 不可達")</f>
        <v>0.000533650890150221</v>
      </c>
      <c r="D100" s="158" t="n">
        <f aca="false">IF(AND(ISNUMBER(D80),D60&gt;0),D80/D60,"SLO 不可達")</f>
        <v>0.00364504944049846</v>
      </c>
      <c r="E100" s="158" t="n">
        <f aca="false">IF(AND(ISNUMBER(E80),E60&gt;0),E80/E60,"SLO 不可達")</f>
        <v>0.00283447218978376</v>
      </c>
      <c r="F100" s="158" t="n">
        <f aca="false">IF(AND(ISNUMBER(F80),F60&gt;0),F80/F60,"SLO 不可達")</f>
        <v>0.0136412780196414</v>
      </c>
      <c r="G100" s="158" t="n">
        <f aca="false">IF(AND(ISNUMBER(G80),G60&gt;0),G80/G60,"SLO 不可達")</f>
        <v>0.0725045721219997</v>
      </c>
    </row>
    <row r="101" customFormat="false" ht="15" hidden="false" customHeight="false" outlineLevel="0" collapsed="false">
      <c r="A101" s="6" t="s">
        <v>1565</v>
      </c>
      <c r="B101" s="54" t="s">
        <v>390</v>
      </c>
      <c r="C101" s="158" t="n">
        <f aca="false">IF(AND(ISNUMBER(C81),C61&gt;0),C81/C61,"SLO 不可達")</f>
        <v>0.000533650890150221</v>
      </c>
      <c r="D101" s="158" t="n">
        <f aca="false">IF(AND(ISNUMBER(D81),D61&gt;0),D81/D61,"SLO 不可達")</f>
        <v>0.00364504944049846</v>
      </c>
      <c r="E101" s="158" t="n">
        <f aca="false">IF(AND(ISNUMBER(E81),E61&gt;0),E81/E61,"SLO 不可達")</f>
        <v>0.00171259609447335</v>
      </c>
      <c r="F101" s="158" t="n">
        <f aca="false">IF(AND(ISNUMBER(F81),F61&gt;0),F81/F61,"SLO 不可達")</f>
        <v>0.00747548890192122</v>
      </c>
      <c r="G101" s="158" t="n">
        <f aca="false">IF(AND(ISNUMBER(G81),G61&gt;0),G81/G61,"SLO 不可達")</f>
        <v>0.0348145382359412</v>
      </c>
    </row>
    <row r="102" customFormat="false" ht="15" hidden="false" customHeight="false" outlineLevel="0" collapsed="false">
      <c r="A102" s="6" t="s">
        <v>1566</v>
      </c>
      <c r="B102" s="54" t="s">
        <v>390</v>
      </c>
      <c r="C102" s="158" t="n">
        <f aca="false">IF(AND(ISNUMBER(C82),C62&gt;0),C82/C62,"SLO 不可達")</f>
        <v>0.0036251027740309</v>
      </c>
      <c r="D102" s="158" t="n">
        <f aca="false">IF(AND(ISNUMBER(D82),D62&gt;0),D82/D62,"SLO 不可達")</f>
        <v>0.0259073724424718</v>
      </c>
      <c r="E102" s="158" t="n">
        <f aca="false">IF(AND(ISNUMBER(E82),E62&gt;0),E82/E62,"SLO 不可達")</f>
        <v>0.0185336351733247</v>
      </c>
      <c r="F102" s="158" t="n">
        <f aca="false">IF(AND(ISNUMBER(F82),F62&gt;0),F82/F62,"SLO 不可達")</f>
        <v>0.0835123179068436</v>
      </c>
      <c r="G102" s="158" t="n">
        <f aca="false">IF(AND(ISNUMBER(G82),G62&gt;0),G82/G62,"SLO 不可達")</f>
        <v>0.370396000719878</v>
      </c>
    </row>
    <row r="103" customFormat="false" ht="15" hidden="false" customHeight="false" outlineLevel="0" collapsed="false">
      <c r="A103" s="6" t="s">
        <v>1567</v>
      </c>
      <c r="B103" s="54" t="s">
        <v>390</v>
      </c>
      <c r="C103" s="158" t="n">
        <f aca="false">IF(AND(ISNUMBER(C83),C63&gt;0),C83/C63,"SLO 不可達")</f>
        <v>0.0036251027740309</v>
      </c>
      <c r="D103" s="158" t="n">
        <f aca="false">IF(AND(ISNUMBER(D83),D63&gt;0),D83/D63,"SLO 不可達")</f>
        <v>0.0259073724424718</v>
      </c>
      <c r="E103" s="158" t="n">
        <f aca="false">IF(AND(ISNUMBER(E83),E63&gt;0),E83/E63,"SLO 不可達")</f>
        <v>0.0185336351733247</v>
      </c>
      <c r="F103" s="158" t="n">
        <f aca="false">IF(AND(ISNUMBER(F83),F63&gt;0),F83/F63,"SLO 不可達")</f>
        <v>0.0835123179068436</v>
      </c>
      <c r="G103" s="158" t="n">
        <f aca="false">IF(AND(ISNUMBER(G83),G63&gt;0),G83/G63,"SLO 不可達")</f>
        <v>0.370396000719878</v>
      </c>
    </row>
    <row r="104" customFormat="false" ht="15" hidden="false" customHeight="false" outlineLevel="0" collapsed="false">
      <c r="A104" s="6" t="s">
        <v>1568</v>
      </c>
      <c r="B104" s="54" t="s">
        <v>390</v>
      </c>
      <c r="C104" s="158" t="n">
        <f aca="false">IF(AND(ISNUMBER(C84),C64&gt;0),C84/C64,"SLO 不可達")</f>
        <v>0.0036251027740309</v>
      </c>
      <c r="D104" s="158" t="n">
        <f aca="false">IF(AND(ISNUMBER(D84),D64&gt;0),D84/D64,"SLO 不可達")</f>
        <v>0.0259073724424718</v>
      </c>
      <c r="E104" s="158" t="n">
        <f aca="false">IF(AND(ISNUMBER(E84),E64&gt;0),E84/E64,"SLO 不可達")</f>
        <v>0.0112154212252348</v>
      </c>
      <c r="F104" s="158" t="n">
        <f aca="false">IF(AND(ISNUMBER(F84),F64&gt;0),F84/F64,"SLO 不可達")</f>
        <v>0.0473968318197615</v>
      </c>
      <c r="G104" s="158" t="n">
        <f aca="false">IF(AND(ISNUMBER(G84),G64&gt;0),G84/G64,"SLO 不可達")</f>
        <v>0.192467965270079</v>
      </c>
    </row>
    <row r="105" customFormat="false" ht="15" hidden="false" customHeight="false" outlineLevel="0" collapsed="false">
      <c r="A105" s="5" t="s">
        <v>1570</v>
      </c>
      <c r="B105" s="54" t="s">
        <v>249</v>
      </c>
      <c r="C105" s="60" t="n">
        <f aca="false">IF(C56&gt;0,C21/C56,0)</f>
        <v>3117.71323825531</v>
      </c>
      <c r="D105" s="60" t="n">
        <f aca="false">IF(D56&gt;0,D21/D56,0)</f>
        <v>7013.43573078971</v>
      </c>
      <c r="E105" s="60" t="n">
        <f aca="false">IF(E56&gt;0,E21/E56,0)</f>
        <v>39707.8809191629</v>
      </c>
      <c r="F105" s="60" t="n">
        <f aca="false">IF(F56&gt;0,F21/F56,0)</f>
        <v>247385.035259829</v>
      </c>
      <c r="G105" s="60" t="n">
        <f aca="false">IF(G56&gt;0,G21/G56,0)</f>
        <v>6737238.86760273</v>
      </c>
    </row>
    <row r="106" customFormat="false" ht="15" hidden="false" customHeight="false" outlineLevel="0" collapsed="false">
      <c r="A106" s="5" t="s">
        <v>1571</v>
      </c>
      <c r="B106" s="54" t="s">
        <v>249</v>
      </c>
      <c r="C106" s="60" t="n">
        <f aca="false">IF(C57&gt;0,C44/C57,0)</f>
        <v>3117.71323825531</v>
      </c>
      <c r="D106" s="60" t="n">
        <f aca="false">IF(D57&gt;0,D44/D57,0)</f>
        <v>7013.43573078971</v>
      </c>
      <c r="E106" s="60" t="n">
        <f aca="false">IF(E57&gt;0,E44/E57,0)</f>
        <v>39707.8809191629</v>
      </c>
      <c r="F106" s="60" t="n">
        <f aca="false">IF(F57&gt;0,F44/F57,0)</f>
        <v>247385.035259829</v>
      </c>
      <c r="G106" s="60" t="n">
        <f aca="false">IF(G57&gt;0,G44/G57,0)</f>
        <v>6737238.86760273</v>
      </c>
    </row>
    <row r="107" customFormat="false" ht="15" hidden="false" customHeight="false" outlineLevel="0" collapsed="false">
      <c r="A107" s="5" t="s">
        <v>1572</v>
      </c>
      <c r="B107" s="54" t="s">
        <v>249</v>
      </c>
      <c r="C107" s="60" t="n">
        <f aca="false">IF(C58&gt;0,C38/C58,0)</f>
        <v>3117.71323825531</v>
      </c>
      <c r="D107" s="60" t="n">
        <f aca="false">IF(D58&gt;0,D38/D58,0)</f>
        <v>7013.43573078971</v>
      </c>
      <c r="E107" s="60" t="n">
        <f aca="false">IF(E58&gt;0,E38/E58,0)</f>
        <v>22467.7637363593</v>
      </c>
      <c r="F107" s="60" t="n">
        <f aca="false">IF(F58&gt;0,F38/F58,0)</f>
        <v>112956.77261249</v>
      </c>
      <c r="G107" s="60" t="n">
        <f aca="false">IF(G58&gt;0,G38/G58,0)</f>
        <v>2271375.7832015</v>
      </c>
    </row>
    <row r="108" customFormat="false" ht="15" hidden="false" customHeight="false" outlineLevel="0" collapsed="false">
      <c r="A108" s="5" t="s">
        <v>1573</v>
      </c>
      <c r="B108" s="54" t="s">
        <v>249</v>
      </c>
      <c r="C108" s="60" t="n">
        <f aca="false">IF(C59&gt;0,C21/C59,0)</f>
        <v>3033.5410196625</v>
      </c>
      <c r="D108" s="60" t="n">
        <f aca="false">IF(D59&gt;0,D21/D59,0)</f>
        <v>6431.77906108929</v>
      </c>
      <c r="E108" s="60" t="n">
        <f aca="false">IF(E59&gt;0,E21/E59,0)</f>
        <v>31050</v>
      </c>
      <c r="F108" s="60" t="n">
        <f aca="false">IF(F59&gt;0,F21/F59,0)</f>
        <v>149432.294321497</v>
      </c>
      <c r="G108" s="60" t="n">
        <f aca="false">IF(G59&gt;0,G21/G59,0)</f>
        <v>2988000</v>
      </c>
    </row>
    <row r="109" customFormat="false" ht="15" hidden="false" customHeight="false" outlineLevel="0" collapsed="false">
      <c r="A109" s="5" t="s">
        <v>1574</v>
      </c>
      <c r="B109" s="54" t="s">
        <v>249</v>
      </c>
      <c r="C109" s="60" t="n">
        <f aca="false">IF(C60&gt;0,C44/C60,0)</f>
        <v>3033.5410196625</v>
      </c>
      <c r="D109" s="60" t="n">
        <f aca="false">IF(D60&gt;0,D44/D60,0)</f>
        <v>6431.77906108929</v>
      </c>
      <c r="E109" s="60" t="n">
        <f aca="false">IF(E60&gt;0,E44/E60,0)</f>
        <v>31050</v>
      </c>
      <c r="F109" s="60" t="n">
        <f aca="false">IF(F60&gt;0,F44/F60,0)</f>
        <v>149432.294321497</v>
      </c>
      <c r="G109" s="60" t="n">
        <f aca="false">IF(G60&gt;0,G44/G60,0)</f>
        <v>2988000</v>
      </c>
    </row>
    <row r="110" customFormat="false" ht="15" hidden="false" customHeight="false" outlineLevel="0" collapsed="false">
      <c r="A110" s="5" t="s">
        <v>1575</v>
      </c>
      <c r="B110" s="54" t="s">
        <v>249</v>
      </c>
      <c r="C110" s="60" t="n">
        <f aca="false">IF(C61&gt;0,C38/C61,0)</f>
        <v>3033.5410196625</v>
      </c>
      <c r="D110" s="60" t="n">
        <f aca="false">IF(D61&gt;0,D38/D61,0)</f>
        <v>6431.77906108929</v>
      </c>
      <c r="E110" s="60" t="n">
        <f aca="false">IF(E61&gt;0,E38/E61,0)</f>
        <v>18021.736744368</v>
      </c>
      <c r="F110" s="60" t="n">
        <f aca="false">IF(F61&gt;0,F38/F61,0)</f>
        <v>78664.9540195861</v>
      </c>
      <c r="G110" s="60" t="n">
        <f aca="false">IF(G61&gt;0,G38/G61,0)</f>
        <v>1173373.0817518</v>
      </c>
    </row>
    <row r="111" customFormat="false" ht="15" hidden="false" customHeight="false" outlineLevel="0" collapsed="false">
      <c r="A111" s="5" t="s">
        <v>1576</v>
      </c>
      <c r="B111" s="54" t="s">
        <v>249</v>
      </c>
      <c r="C111" s="60" t="n">
        <f aca="false">IF(C62&gt;0,C21/C62,0)</f>
        <v>3019.94360961354</v>
      </c>
      <c r="D111" s="60" t="n">
        <f aca="false">IF(D62&gt;0,D21/D62,0)</f>
        <v>6337.81665427802</v>
      </c>
      <c r="E111" s="60" t="n">
        <f aca="false">IF(E62&gt;0,E21/E62,0)</f>
        <v>29651.3822733797</v>
      </c>
      <c r="F111" s="60" t="n">
        <f aca="false">IF(F62&gt;0,F21/F62,0)</f>
        <v>133608.741061003</v>
      </c>
      <c r="G111" s="60" t="n">
        <f aca="false">IF(G62&gt;0,G21/G62,0)</f>
        <v>2382337.71490703</v>
      </c>
    </row>
    <row r="112" customFormat="false" ht="15" hidden="false" customHeight="false" outlineLevel="0" collapsed="false">
      <c r="A112" s="5" t="s">
        <v>1577</v>
      </c>
      <c r="B112" s="54" t="s">
        <v>249</v>
      </c>
      <c r="C112" s="60" t="n">
        <f aca="false">IF(C63&gt;0,C44/C63,0)</f>
        <v>3019.94360961354</v>
      </c>
      <c r="D112" s="60" t="n">
        <f aca="false">IF(D63&gt;0,D44/D63,0)</f>
        <v>6337.81665427802</v>
      </c>
      <c r="E112" s="60" t="n">
        <f aca="false">IF(E63&gt;0,E44/E63,0)</f>
        <v>29651.3822733797</v>
      </c>
      <c r="F112" s="60" t="n">
        <f aca="false">IF(F63&gt;0,F44/F63,0)</f>
        <v>133608.741061003</v>
      </c>
      <c r="G112" s="60" t="n">
        <f aca="false">IF(G63&gt;0,G44/G63,0)</f>
        <v>2382337.71490703</v>
      </c>
    </row>
    <row r="113" customFormat="false" ht="15" hidden="false" customHeight="false" outlineLevel="0" collapsed="false">
      <c r="A113" s="5" t="s">
        <v>1578</v>
      </c>
      <c r="B113" s="54" t="s">
        <v>249</v>
      </c>
      <c r="C113" s="60" t="n">
        <f aca="false">IF(C64&gt;0,C38/C64,0)</f>
        <v>3019.94360961354</v>
      </c>
      <c r="D113" s="60" t="n">
        <f aca="false">IF(D64&gt;0,D38/D64,0)</f>
        <v>6337.81665427802</v>
      </c>
      <c r="E113" s="60" t="n">
        <f aca="false">IF(E64&gt;0,E38/E64,0)</f>
        <v>17303.5134028725</v>
      </c>
      <c r="F113" s="60" t="n">
        <f aca="false">IF(F64&gt;0,F38/F64,0)</f>
        <v>73125.36</v>
      </c>
      <c r="G113" s="60" t="n">
        <f aca="false">IF(G64&gt;0,G38/G64,0)</f>
        <v>995998.726934155</v>
      </c>
    </row>
    <row r="115" customFormat="false" ht="15" hidden="false" customHeight="false" outlineLevel="0" collapsed="false">
      <c r="A115" s="68" t="s">
        <v>1579</v>
      </c>
      <c r="B115" s="62"/>
      <c r="C115" s="62"/>
      <c r="D115" s="62"/>
      <c r="E115" s="62"/>
      <c r="F115" s="62"/>
      <c r="G115" s="62"/>
      <c r="H115" s="62"/>
    </row>
    <row r="116" customFormat="false" ht="15" hidden="false" customHeight="false" outlineLevel="0" collapsed="false">
      <c r="A116" s="5" t="s">
        <v>1580</v>
      </c>
      <c r="B116" s="54" t="s">
        <v>390</v>
      </c>
      <c r="C116" s="158" t="n">
        <f aca="false">(C18*INDEX(B4_EffIn,1,1)+C19*INDEX(B4_EffCache,1,1)+C20*INDEX(B4_EffOut,1,1))/1000000</f>
        <v>0.000328</v>
      </c>
      <c r="D116" s="158" t="n">
        <f aca="false">(D18*INDEX(B4_EffIn,1,1)+D19*INDEX(B4_EffCache,1,1)+D20*INDEX(B4_EffOut,1,1))/1000000</f>
        <v>0.001608</v>
      </c>
      <c r="E116" s="158" t="n">
        <f aca="false">(E18*INDEX(B4_EffIn,1,1)+E19*INDEX(B4_EffCache,1,1)+E20*INDEX(B4_EffOut,1,1))/1000000</f>
        <v>0.00165408</v>
      </c>
      <c r="F116" s="158" t="n">
        <f aca="false">(F18*INDEX(B4_EffIn,1,1)+F19*INDEX(B4_EffCache,1,1)+F20*INDEX(B4_EffOut,1,1))/1000000</f>
        <v>0.00661632</v>
      </c>
      <c r="G116" s="158" t="n">
        <f aca="false">(G18*INDEX(B4_EffIn,1,1)+G19*INDEX(B4_EffCache,1,1)+G20*INDEX(B4_EffOut,1,1))/1000000</f>
        <v>0.0381408</v>
      </c>
    </row>
    <row r="117" customFormat="false" ht="15" hidden="false" customHeight="false" outlineLevel="0" collapsed="false">
      <c r="A117" s="5" t="s">
        <v>1581</v>
      </c>
      <c r="B117" s="54" t="s">
        <v>390</v>
      </c>
      <c r="C117" s="158" t="n">
        <f aca="false">(C41*INDEX(B4_EffIn,1,1)+C42*INDEX(B4_EffCache,1,1)+C43*INDEX(B4_EffOut,1,1))/1000000</f>
        <v>0.000328</v>
      </c>
      <c r="D117" s="158" t="n">
        <f aca="false">(D41*INDEX(B4_EffIn,1,1)+D42*INDEX(B4_EffCache,1,1)+D43*INDEX(B4_EffOut,1,1))/1000000</f>
        <v>0.001608</v>
      </c>
      <c r="E117" s="158" t="n">
        <f aca="false">(E41*INDEX(B4_EffIn,1,1)+E42*INDEX(B4_EffCache,1,1)+E43*INDEX(B4_EffOut,1,1))/1000000</f>
        <v>0.00165408</v>
      </c>
      <c r="F117" s="158" t="n">
        <f aca="false">(F41*INDEX(B4_EffIn,1,1)+F42*INDEX(B4_EffCache,1,1)+F43*INDEX(B4_EffOut,1,1))/1000000</f>
        <v>0.00661632</v>
      </c>
      <c r="G117" s="158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 t="s">
        <v>1582</v>
      </c>
      <c r="B118" s="54" t="s">
        <v>390</v>
      </c>
      <c r="C118" s="158" t="n">
        <f aca="false">(C35*INDEX(B4_EffIn,1,1)+C36*INDEX(B4_EffCache,1,1)+C37*INDEX(B4_EffOut,1,1))/1000000</f>
        <v>0.000328</v>
      </c>
      <c r="D118" s="158" t="n">
        <f aca="false">(D35*INDEX(B4_EffIn,1,1)+D36*INDEX(B4_EffCache,1,1)+D37*INDEX(B4_EffOut,1,1))/1000000</f>
        <v>0.001608</v>
      </c>
      <c r="E118" s="158" t="n">
        <f aca="false">(E35*INDEX(B4_EffIn,1,1)+E36*INDEX(B4_EffCache,1,1)+E37*INDEX(B4_EffOut,1,1))/1000000</f>
        <v>0.001024998016</v>
      </c>
      <c r="F118" s="158" t="n">
        <f aca="false">(F35*INDEX(B4_EffIn,1,1)+F36*INDEX(B4_EffCache,1,1)+F37*INDEX(B4_EffOut,1,1))/1000000</f>
        <v>0.004099992064</v>
      </c>
      <c r="G118" s="158" t="n">
        <f aca="false">(G35*INDEX(B4_EffIn,1,1)+G36*INDEX(B4_EffCache,1,1)+G37*INDEX(B4_EffOut,1,1))/1000000</f>
        <v>0.021017472</v>
      </c>
    </row>
    <row r="119" customFormat="false" ht="15" hidden="false" customHeight="false" outlineLevel="0" collapsed="false">
      <c r="A119" s="5" t="s">
        <v>1583</v>
      </c>
      <c r="B119" s="54" t="s">
        <v>390</v>
      </c>
      <c r="C119" s="158" t="n">
        <f aca="false">(C18*INDEX(B4_EffIn,1,2)+C19*INDEX(B4_EffCache,1,2)+C20*INDEX(B4_EffOut,1,2))/1000000</f>
        <v>0.00656</v>
      </c>
      <c r="D119" s="158" t="n">
        <f aca="false">(D18*INDEX(B4_EffIn,1,2)+D19*INDEX(B4_EffCache,1,2)+D20*INDEX(B4_EffOut,1,2))/1000000</f>
        <v>0.03216</v>
      </c>
      <c r="E119" s="158" t="n">
        <f aca="false">(E18*INDEX(B4_EffIn,1,2)+E19*INDEX(B4_EffCache,1,2)+E20*INDEX(B4_EffOut,1,2))/1000000</f>
        <v>0.0330816</v>
      </c>
      <c r="F119" s="158" t="n">
        <f aca="false">(F18*INDEX(B4_EffIn,1,2)+F19*INDEX(B4_EffCache,1,2)+F20*INDEX(B4_EffOut,1,2))/1000000</f>
        <v>0.1323264</v>
      </c>
      <c r="G119" s="158" t="n">
        <f aca="false">(G18*INDEX(B4_EffIn,1,2)+G19*INDEX(B4_EffCache,1,2)+G20*INDEX(B4_EffOut,1,2))/1000000</f>
        <v>0.762816</v>
      </c>
    </row>
    <row r="120" customFormat="false" ht="15" hidden="false" customHeight="false" outlineLevel="0" collapsed="false">
      <c r="A120" s="5" t="s">
        <v>1584</v>
      </c>
      <c r="B120" s="54" t="s">
        <v>390</v>
      </c>
      <c r="C120" s="158" t="n">
        <f aca="false">(C41*INDEX(B4_EffIn,1,2)+C42*INDEX(B4_EffCache,1,2)+C43*INDEX(B4_EffOut,1,2))/1000000</f>
        <v>0.00656</v>
      </c>
      <c r="D120" s="158" t="n">
        <f aca="false">(D41*INDEX(B4_EffIn,1,2)+D42*INDEX(B4_EffCache,1,2)+D43*INDEX(B4_EffOut,1,2))/1000000</f>
        <v>0.03216</v>
      </c>
      <c r="E120" s="158" t="n">
        <f aca="false">(E41*INDEX(B4_EffIn,1,2)+E42*INDEX(B4_EffCache,1,2)+E43*INDEX(B4_EffOut,1,2))/1000000</f>
        <v>0.0330816</v>
      </c>
      <c r="F120" s="158" t="n">
        <f aca="false">(F41*INDEX(B4_EffIn,1,2)+F42*INDEX(B4_EffCache,1,2)+F43*INDEX(B4_EffOut,1,2))/1000000</f>
        <v>0.1323264</v>
      </c>
      <c r="G120" s="158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 t="s">
        <v>1585</v>
      </c>
      <c r="B121" s="54" t="s">
        <v>390</v>
      </c>
      <c r="C121" s="158" t="n">
        <f aca="false">(C35*INDEX(B4_EffIn,1,2)+C36*INDEX(B4_EffCache,1,2)+C37*INDEX(B4_EffOut,1,2))/1000000</f>
        <v>0.00656</v>
      </c>
      <c r="D121" s="158" t="n">
        <f aca="false">(D35*INDEX(B4_EffIn,1,2)+D36*INDEX(B4_EffCache,1,2)+D37*INDEX(B4_EffOut,1,2))/1000000</f>
        <v>0.03216</v>
      </c>
      <c r="E121" s="158" t="n">
        <f aca="false">(E35*INDEX(B4_EffIn,1,2)+E36*INDEX(B4_EffCache,1,2)+E37*INDEX(B4_EffOut,1,2))/1000000</f>
        <v>0.02049996032</v>
      </c>
      <c r="F121" s="158" t="n">
        <f aca="false">(F35*INDEX(B4_EffIn,1,2)+F36*INDEX(B4_EffCache,1,2)+F37*INDEX(B4_EffOut,1,2))/1000000</f>
        <v>0.08199984128</v>
      </c>
      <c r="G121" s="158" t="n">
        <f aca="false">(G35*INDEX(B4_EffIn,1,2)+G36*INDEX(B4_EffCache,1,2)+G37*INDEX(B4_EffOut,1,2))/1000000</f>
        <v>0.42034944</v>
      </c>
    </row>
    <row r="122" customFormat="false" ht="15" hidden="false" customHeight="false" outlineLevel="0" collapsed="false">
      <c r="A122" s="5" t="s">
        <v>1586</v>
      </c>
      <c r="B122" s="54" t="s">
        <v>390</v>
      </c>
      <c r="C122" s="158" t="n">
        <f aca="false">(C18*INDEX(B4_EffIn,1,3)+C19*INDEX(B4_EffCache,1,3)+C20*INDEX(B4_EffOut,1,3))/1000000</f>
        <v>0.0328</v>
      </c>
      <c r="D122" s="158" t="n">
        <f aca="false">(D18*INDEX(B4_EffIn,1,3)+D19*INDEX(B4_EffCache,1,3)+D20*INDEX(B4_EffOut,1,3))/1000000</f>
        <v>0.1608</v>
      </c>
      <c r="E122" s="158" t="n">
        <f aca="false">(E18*INDEX(B4_EffIn,1,3)+E19*INDEX(B4_EffCache,1,3)+E20*INDEX(B4_EffOut,1,3))/1000000</f>
        <v>0.165408</v>
      </c>
      <c r="F122" s="158" t="n">
        <f aca="false">(F18*INDEX(B4_EffIn,1,3)+F19*INDEX(B4_EffCache,1,3)+F20*INDEX(B4_EffOut,1,3))/1000000</f>
        <v>0.661632</v>
      </c>
      <c r="G122" s="158" t="n">
        <f aca="false">(G18*INDEX(B4_EffIn,1,3)+G19*INDEX(B4_EffCache,1,3)+G20*INDEX(B4_EffOut,1,3))/1000000</f>
        <v>3.81408</v>
      </c>
    </row>
    <row r="123" customFormat="false" ht="15" hidden="false" customHeight="false" outlineLevel="0" collapsed="false">
      <c r="A123" s="5" t="s">
        <v>1587</v>
      </c>
      <c r="B123" s="54" t="s">
        <v>390</v>
      </c>
      <c r="C123" s="158" t="n">
        <f aca="false">(C41*INDEX(B4_EffIn,1,3)+C42*INDEX(B4_EffCache,1,3)+C43*INDEX(B4_EffOut,1,3))/1000000</f>
        <v>0.0328</v>
      </c>
      <c r="D123" s="158" t="n">
        <f aca="false">(D41*INDEX(B4_EffIn,1,3)+D42*INDEX(B4_EffCache,1,3)+D43*INDEX(B4_EffOut,1,3))/1000000</f>
        <v>0.1608</v>
      </c>
      <c r="E123" s="158" t="n">
        <f aca="false">(E41*INDEX(B4_EffIn,1,3)+E42*INDEX(B4_EffCache,1,3)+E43*INDEX(B4_EffOut,1,3))/1000000</f>
        <v>0.165408</v>
      </c>
      <c r="F123" s="158" t="n">
        <f aca="false">(F41*INDEX(B4_EffIn,1,3)+F42*INDEX(B4_EffCache,1,3)+F43*INDEX(B4_EffOut,1,3))/1000000</f>
        <v>0.661632</v>
      </c>
      <c r="G123" s="158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 t="s">
        <v>1588</v>
      </c>
      <c r="B124" s="54" t="s">
        <v>390</v>
      </c>
      <c r="C124" s="158" t="n">
        <f aca="false">(C35*INDEX(B4_EffIn,1,3)+C36*INDEX(B4_EffCache,1,3)+C37*INDEX(B4_EffOut,1,3))/1000000</f>
        <v>0.0328</v>
      </c>
      <c r="D124" s="158" t="n">
        <f aca="false">(D35*INDEX(B4_EffIn,1,3)+D36*INDEX(B4_EffCache,1,3)+D37*INDEX(B4_EffOut,1,3))/1000000</f>
        <v>0.1608</v>
      </c>
      <c r="E124" s="158" t="n">
        <f aca="false">(E35*INDEX(B4_EffIn,1,3)+E36*INDEX(B4_EffCache,1,3)+E37*INDEX(B4_EffOut,1,3))/1000000</f>
        <v>0.1024998016</v>
      </c>
      <c r="F124" s="158" t="n">
        <f aca="false">(F35*INDEX(B4_EffIn,1,3)+F36*INDEX(B4_EffCache,1,3)+F37*INDEX(B4_EffOut,1,3))/1000000</f>
        <v>0.4099992064</v>
      </c>
      <c r="G124" s="158" t="n">
        <f aca="false">(G35*INDEX(B4_EffIn,1,3)+G36*INDEX(B4_EffCache,1,3)+G37*INDEX(B4_EffOut,1,3))/1000000</f>
        <v>2.1017472</v>
      </c>
    </row>
    <row r="125" customFormat="false" ht="15" hidden="false" customHeight="false" outlineLevel="0" collapsed="false">
      <c r="A125" s="5" t="s">
        <v>1589</v>
      </c>
      <c r="B125" s="54" t="s">
        <v>390</v>
      </c>
      <c r="C125" s="158" t="n">
        <f aca="false">IF(C56&gt;0,C116/C56,0)</f>
        <v>0.000340869980715914</v>
      </c>
      <c r="D125" s="158" t="n">
        <f aca="false">IF(D56&gt;0,D116/D56,0)</f>
        <v>0.00181896849275965</v>
      </c>
      <c r="E125" s="158" t="n">
        <f aca="false">IF(E56&gt;0,E116/E56,0)</f>
        <v>0.00237971056778149</v>
      </c>
      <c r="F125" s="158" t="n">
        <f aca="false">IF(F56&gt;0,F116/F56,0)</f>
        <v>0.0148258927218325</v>
      </c>
      <c r="G125" s="158" t="n">
        <f aca="false">IF(G56&gt;0,G116/G56,0)</f>
        <v>0.171997108568582</v>
      </c>
    </row>
    <row r="126" customFormat="false" ht="15" hidden="false" customHeight="false" outlineLevel="0" collapsed="false">
      <c r="A126" s="5" t="s">
        <v>1590</v>
      </c>
      <c r="B126" s="54" t="s">
        <v>390</v>
      </c>
      <c r="C126" s="158" t="n">
        <f aca="false">IF(C57&gt;0,C117/C57,0)</f>
        <v>0.000340869980715914</v>
      </c>
      <c r="D126" s="158" t="n">
        <f aca="false">IF(D57&gt;0,D117/D57,0)</f>
        <v>0.00181896849275965</v>
      </c>
      <c r="E126" s="158" t="n">
        <f aca="false">IF(E57&gt;0,E117/E57,0)</f>
        <v>0.00237971056778149</v>
      </c>
      <c r="F126" s="158" t="n">
        <f aca="false">IF(F57&gt;0,F117/F57,0)</f>
        <v>0.0148258927218325</v>
      </c>
      <c r="G126" s="158" t="n">
        <f aca="false">IF(G57&gt;0,G117/G57,0)</f>
        <v>0.171997108568582</v>
      </c>
    </row>
    <row r="127" customFormat="false" ht="15" hidden="false" customHeight="false" outlineLevel="0" collapsed="false">
      <c r="A127" s="5" t="s">
        <v>1591</v>
      </c>
      <c r="B127" s="54" t="s">
        <v>390</v>
      </c>
      <c r="C127" s="158" t="n">
        <f aca="false">IF(C58&gt;0,C118/C58,0)</f>
        <v>0.000340869980715914</v>
      </c>
      <c r="D127" s="158" t="n">
        <f aca="false">IF(D58&gt;0,D118/D58,0)</f>
        <v>0.00181896849275965</v>
      </c>
      <c r="E127" s="158" t="n">
        <f aca="false">IF(E58&gt;0,E118/E58,0)</f>
        <v>0.00141718768484371</v>
      </c>
      <c r="F127" s="158" t="n">
        <f aca="false">IF(F58&gt;0,F118/F58,0)</f>
        <v>0.00712491678942907</v>
      </c>
      <c r="G127" s="158" t="n">
        <f aca="false">IF(G58&gt;0,G118/G58,0)</f>
        <v>0.0648763004524294</v>
      </c>
    </row>
    <row r="128" customFormat="false" ht="15" hidden="false" customHeight="false" outlineLevel="0" collapsed="false">
      <c r="A128" s="5" t="s">
        <v>1592</v>
      </c>
      <c r="B128" s="54" t="s">
        <v>390</v>
      </c>
      <c r="C128" s="158" t="n">
        <f aca="false">IF(C59&gt;0,C119/C59,0)</f>
        <v>0.00663334302966199</v>
      </c>
      <c r="D128" s="158" t="n">
        <f aca="false">IF(D59&gt;0,D119/D59,0)</f>
        <v>0.0333622604201019</v>
      </c>
      <c r="E128" s="158" t="n">
        <f aca="false">IF(E59&gt;0,E119/E59,0)</f>
        <v>0.0372168</v>
      </c>
      <c r="F128" s="158" t="n">
        <f aca="false">IF(F59&gt;0,F119/F59,0)</f>
        <v>0.179110847385002</v>
      </c>
      <c r="G128" s="158" t="n">
        <f aca="false">IF(G59&gt;0,G119/G59,0)</f>
        <v>1.525632</v>
      </c>
    </row>
    <row r="129" customFormat="false" ht="15" hidden="false" customHeight="false" outlineLevel="0" collapsed="false">
      <c r="A129" s="5" t="s">
        <v>1593</v>
      </c>
      <c r="B129" s="54" t="s">
        <v>390</v>
      </c>
      <c r="C129" s="158" t="n">
        <f aca="false">IF(C60&gt;0,C120/C60,0)</f>
        <v>0.00663334302966199</v>
      </c>
      <c r="D129" s="158" t="n">
        <f aca="false">IF(D60&gt;0,D120/D60,0)</f>
        <v>0.0333622604201019</v>
      </c>
      <c r="E129" s="158" t="n">
        <f aca="false">IF(E60&gt;0,E120/E60,0)</f>
        <v>0.0372168</v>
      </c>
      <c r="F129" s="158" t="n">
        <f aca="false">IF(F60&gt;0,F120/F60,0)</f>
        <v>0.179110847385002</v>
      </c>
      <c r="G129" s="158" t="n">
        <f aca="false">IF(G60&gt;0,G120/G60,0)</f>
        <v>1.525632</v>
      </c>
    </row>
    <row r="130" customFormat="false" ht="15" hidden="false" customHeight="false" outlineLevel="0" collapsed="false">
      <c r="A130" s="5" t="s">
        <v>1594</v>
      </c>
      <c r="B130" s="54" t="s">
        <v>390</v>
      </c>
      <c r="C130" s="158" t="n">
        <f aca="false">IF(C61&gt;0,C121/C61,0)</f>
        <v>0.00663334302966199</v>
      </c>
      <c r="D130" s="158" t="n">
        <f aca="false">IF(D61&gt;0,D121/D61,0)</f>
        <v>0.0333622604201019</v>
      </c>
      <c r="E130" s="158" t="n">
        <f aca="false">IF(E61&gt;0,E121/E61,0)</f>
        <v>0.022734958114485</v>
      </c>
      <c r="F130" s="158" t="n">
        <f aca="false">IF(F61&gt;0,F121/F61,0)</f>
        <v>0.0992381844259314</v>
      </c>
      <c r="G130" s="158" t="n">
        <f aca="false">IF(G61&gt;0,G121/G61,0)</f>
        <v>0.670290712417705</v>
      </c>
    </row>
    <row r="131" customFormat="false" ht="15" hidden="false" customHeight="false" outlineLevel="0" collapsed="false">
      <c r="A131" s="5" t="s">
        <v>1595</v>
      </c>
      <c r="B131" s="54" t="s">
        <v>390</v>
      </c>
      <c r="C131" s="158" t="n">
        <f aca="false">IF(C62&gt;0,C122/C62,0)</f>
        <v>0.0330180501317747</v>
      </c>
      <c r="D131" s="158" t="n">
        <f aca="false">IF(D62&gt;0,D122/D62,0)</f>
        <v>0.164374341614178</v>
      </c>
      <c r="E131" s="158" t="n">
        <f aca="false">IF(E62&gt;0,E122/E62,0)</f>
        <v>0.177702023154898</v>
      </c>
      <c r="F131" s="158" t="n">
        <f aca="false">IF(F62&gt;0,F122/F62,0)</f>
        <v>0.800722994254286</v>
      </c>
      <c r="G131" s="158" t="n">
        <f aca="false">IF(G62&gt;0,G122/G62,0)</f>
        <v>6.08194553659479</v>
      </c>
    </row>
    <row r="132" customFormat="false" ht="15" hidden="false" customHeight="false" outlineLevel="0" collapsed="false">
      <c r="A132" s="5" t="s">
        <v>1596</v>
      </c>
      <c r="B132" s="54" t="s">
        <v>390</v>
      </c>
      <c r="C132" s="158" t="n">
        <f aca="false">IF(C63&gt;0,C123/C63,0)</f>
        <v>0.0330180501317747</v>
      </c>
      <c r="D132" s="158" t="n">
        <f aca="false">IF(D63&gt;0,D123/D63,0)</f>
        <v>0.164374341614178</v>
      </c>
      <c r="E132" s="158" t="n">
        <f aca="false">IF(E63&gt;0,E123/E63,0)</f>
        <v>0.177702023154898</v>
      </c>
      <c r="F132" s="158" t="n">
        <f aca="false">IF(F63&gt;0,F123/F63,0)</f>
        <v>0.800722994254286</v>
      </c>
      <c r="G132" s="158" t="n">
        <f aca="false">IF(G63&gt;0,G123/G63,0)</f>
        <v>6.08194553659479</v>
      </c>
    </row>
    <row r="133" customFormat="false" ht="15" hidden="false" customHeight="false" outlineLevel="0" collapsed="false">
      <c r="A133" s="5" t="s">
        <v>1597</v>
      </c>
      <c r="B133" s="54" t="s">
        <v>390</v>
      </c>
      <c r="C133" s="158" t="n">
        <f aca="false">IF(C64&gt;0,C124/C64,0)</f>
        <v>0.0330180501317747</v>
      </c>
      <c r="D133" s="158" t="n">
        <f aca="false">IF(D64&gt;0,D124/D64,0)</f>
        <v>0.164374341614178</v>
      </c>
      <c r="E133" s="158" t="n">
        <f aca="false">IF(E64&gt;0,E124/E64,0)</f>
        <v>0.109144489798042</v>
      </c>
      <c r="F133" s="158" t="n">
        <f aca="false">IF(F64&gt;0,F124/F64,0)</f>
        <v>0.4612491072</v>
      </c>
      <c r="G133" s="158" t="n">
        <f aca="false">IF(G64&gt;0,G124/G64,0)</f>
        <v>2.84482704872992</v>
      </c>
    </row>
    <row r="135" customFormat="false" ht="15" hidden="false" customHeight="false" outlineLevel="0" collapsed="false">
      <c r="A135" s="68" t="s">
        <v>1598</v>
      </c>
      <c r="B135" s="62"/>
      <c r="C135" s="62"/>
      <c r="D135" s="62"/>
      <c r="E135" s="62"/>
      <c r="F135" s="62"/>
      <c r="G135" s="62"/>
      <c r="H135" s="62"/>
    </row>
    <row r="136" customFormat="false" ht="15" hidden="false" customHeight="false" outlineLevel="0" collapsed="false">
      <c r="A136" s="6" t="s">
        <v>1599</v>
      </c>
      <c r="B136" s="54" t="s">
        <v>75</v>
      </c>
      <c r="C136" s="97" t="n">
        <f aca="false">IF(AND(ISNUMBER(C89),ISNUMBER(C87)),C89/C87,"SLO 不可達")</f>
        <v>1</v>
      </c>
      <c r="D136" s="97" t="n">
        <f aca="false">IF(AND(ISNUMBER(D89),ISNUMBER(D87)),D89/D87,"SLO 不可達")</f>
        <v>1</v>
      </c>
      <c r="E136" s="97" t="n">
        <f aca="false">IF(AND(ISNUMBER(E89),ISNUMBER(E87)),E89/E87,"SLO 不可達")</f>
        <v>0.5906011618601</v>
      </c>
      <c r="F136" s="97" t="n">
        <f aca="false">IF(AND(ISNUMBER(F89),ISNUMBER(F87)),F89/F87,"SLO 不可達")</f>
        <v>0.476595579475868</v>
      </c>
      <c r="G136" s="97" t="n">
        <f aca="false">IF(AND(ISNUMBER(G89),ISNUMBER(G87)),G89/G87,"SLO 不可達")</f>
        <v>0.414654003644933</v>
      </c>
    </row>
    <row r="137" customFormat="false" ht="15" hidden="false" customHeight="false" outlineLevel="0" collapsed="false">
      <c r="A137" s="6" t="s">
        <v>1600</v>
      </c>
      <c r="B137" s="54" t="s">
        <v>75</v>
      </c>
      <c r="C137" s="97" t="n">
        <f aca="false">IF(AND(ISNUMBER(C92),ISNUMBER(C90)),C92/C90,"SLO 不可達")</f>
        <v>1</v>
      </c>
      <c r="D137" s="97" t="n">
        <f aca="false">IF(AND(ISNUMBER(D92),ISNUMBER(D90)),D92/D90,"SLO 不可達")</f>
        <v>1</v>
      </c>
      <c r="E137" s="97" t="n">
        <f aca="false">IF(AND(ISNUMBER(E92),ISNUMBER(E90)),E92/E90,"SLO 不可達")</f>
        <v>0.605314437223865</v>
      </c>
      <c r="F137" s="97" t="n">
        <f aca="false">IF(AND(ISNUMBER(F92),ISNUMBER(F90)),F92/F90,"SLO 不可達")</f>
        <v>0.549013247703099</v>
      </c>
      <c r="G137" s="97" t="n">
        <f aca="false">IF(AND(ISNUMBER(G92),ISNUMBER(G90)),G92/G90,"SLO 不可達")</f>
        <v>0.479278330582203</v>
      </c>
    </row>
    <row r="138" customFormat="false" ht="15" hidden="false" customHeight="false" outlineLevel="0" collapsed="false">
      <c r="A138" s="6" t="s">
        <v>1601</v>
      </c>
      <c r="B138" s="54" t="s">
        <v>75</v>
      </c>
      <c r="C138" s="97" t="n">
        <f aca="false">IF(AND(ISNUMBER(C95),ISNUMBER(C93)),C95/C93,"SLO 不可達")</f>
        <v>1</v>
      </c>
      <c r="D138" s="97" t="n">
        <f aca="false">IF(AND(ISNUMBER(D95),ISNUMBER(D93)),D95/D93,"SLO 不可達")</f>
        <v>1</v>
      </c>
      <c r="E138" s="97" t="n">
        <f aca="false">IF(AND(ISNUMBER(E95),ISNUMBER(E93)),E95/E93,"SLO 不可達")</f>
        <v>0.608004323040286</v>
      </c>
      <c r="F138" s="97" t="n">
        <f aca="false">IF(AND(ISNUMBER(F95),ISNUMBER(F93)),F95/F93,"SLO 不可達")</f>
        <v>0.570230526219875</v>
      </c>
      <c r="G138" s="97" t="n">
        <f aca="false">IF(AND(ISNUMBER(G95),ISNUMBER(G93)),G95/G93,"SLO 不可達")</f>
        <v>0.519416933036323</v>
      </c>
    </row>
    <row r="139" customFormat="false" ht="15" hidden="false" customHeight="false" outlineLevel="0" collapsed="false">
      <c r="A139" s="6" t="s">
        <v>1602</v>
      </c>
      <c r="B139" s="54" t="s">
        <v>75</v>
      </c>
      <c r="C139" s="69" t="n">
        <f aca="false">IF(AND(ISNUMBER(C98),ISNUMBER(C96)),C98/C96,"SLO 不可達")</f>
        <v>1</v>
      </c>
      <c r="D139" s="69" t="n">
        <f aca="false">IF(AND(ISNUMBER(D98),ISNUMBER(D96)),D98/D96,"SLO 不可達")</f>
        <v>1</v>
      </c>
      <c r="E139" s="69" t="n">
        <f aca="false">IF(AND(ISNUMBER(E98),ISNUMBER(E96)),E98/E96,"SLO 不可達")</f>
        <v>0.589755607159844</v>
      </c>
      <c r="F139" s="69" t="n">
        <f aca="false">IF(AND(ISNUMBER(F98),ISNUMBER(F96)),F98/F96,"SLO 不可達")</f>
        <v>0.475913244833861</v>
      </c>
      <c r="G139" s="69" t="n">
        <f aca="false">IF(AND(ISNUMBER(G98),ISNUMBER(G96)),G98/G96,"SLO 不可達")</f>
        <v>0.414106465696184</v>
      </c>
    </row>
    <row r="140" customFormat="false" ht="15" hidden="false" customHeight="false" outlineLevel="0" collapsed="false">
      <c r="A140" s="6" t="s">
        <v>1603</v>
      </c>
      <c r="B140" s="54" t="s">
        <v>75</v>
      </c>
      <c r="C140" s="69" t="n">
        <f aca="false">IF(AND(ISNUMBER(C101),ISNUMBER(C99)),C101/C99,"SLO 不可達")</f>
        <v>1</v>
      </c>
      <c r="D140" s="69" t="n">
        <f aca="false">IF(AND(ISNUMBER(D101),ISNUMBER(D99)),D101/D99,"SLO 不可達")</f>
        <v>1</v>
      </c>
      <c r="E140" s="69" t="n">
        <f aca="false">IF(AND(ISNUMBER(E101),ISNUMBER(E99)),E101/E99,"SLO 不可達")</f>
        <v>0.604202821479792</v>
      </c>
      <c r="F140" s="69" t="n">
        <f aca="false">IF(AND(ISNUMBER(F101),ISNUMBER(F99)),F101/F99,"SLO 不可達")</f>
        <v>0.548005024980623</v>
      </c>
      <c r="G140" s="69" t="n">
        <f aca="false">IF(AND(ISNUMBER(G101),ISNUMBER(G99)),G101/G99,"SLO 不可達")</f>
        <v>0.480170246055112</v>
      </c>
    </row>
    <row r="141" customFormat="false" ht="15" hidden="false" customHeight="false" outlineLevel="0" collapsed="false">
      <c r="A141" s="6" t="s">
        <v>1604</v>
      </c>
      <c r="B141" s="54" t="s">
        <v>75</v>
      </c>
      <c r="C141" s="69" t="n">
        <f aca="false">IF(AND(ISNUMBER(C104),ISNUMBER(C102)),C104/C102,"SLO 不可達")</f>
        <v>1</v>
      </c>
      <c r="D141" s="69" t="n">
        <f aca="false">IF(AND(ISNUMBER(D104),ISNUMBER(D102)),D104/D102,"SLO 不可達")</f>
        <v>1</v>
      </c>
      <c r="E141" s="69" t="n">
        <f aca="false">IF(AND(ISNUMBER(E104),ISNUMBER(E102)),E104/E102,"SLO 不可達")</f>
        <v>0.605138771770853</v>
      </c>
      <c r="F141" s="69" t="n">
        <f aca="false">IF(AND(ISNUMBER(F104),ISNUMBER(F102)),F104/F102,"SLO 不可達")</f>
        <v>0.567543004525772</v>
      </c>
      <c r="G141" s="69" t="n">
        <f aca="false">IF(AND(ISNUMBER(G104),ISNUMBER(G102)),G104/G102,"SLO 不可達")</f>
        <v>0.519627546992977</v>
      </c>
    </row>
    <row r="142" customFormat="false" ht="15" hidden="false" customHeight="false" outlineLevel="0" collapsed="false">
      <c r="A142" s="5" t="s">
        <v>1605</v>
      </c>
      <c r="B142" s="54" t="s">
        <v>75</v>
      </c>
      <c r="C142" s="69" t="n">
        <f aca="false">C58/C56</f>
        <v>1</v>
      </c>
      <c r="D142" s="69" t="n">
        <f aca="false">D58/D56</f>
        <v>1</v>
      </c>
      <c r="E142" s="69" t="n">
        <f aca="false">E58/E56</f>
        <v>1.04055079118975</v>
      </c>
      <c r="F142" s="69" t="n">
        <f aca="false">F58/F56</f>
        <v>1.28945909848127</v>
      </c>
      <c r="G142" s="69" t="n">
        <f aca="false">G58/G56</f>
        <v>1.46091769390038</v>
      </c>
    </row>
    <row r="143" customFormat="false" ht="15" hidden="false" customHeight="false" outlineLevel="0" collapsed="false">
      <c r="A143" s="5" t="s">
        <v>1606</v>
      </c>
      <c r="B143" s="54" t="s">
        <v>75</v>
      </c>
      <c r="C143" s="69" t="n">
        <f aca="false">C61/C59</f>
        <v>1</v>
      </c>
      <c r="D143" s="69" t="n">
        <f aca="false">D61/D59</f>
        <v>1</v>
      </c>
      <c r="E143" s="69" t="n">
        <f aca="false">E61/E59</f>
        <v>1.01440500764795</v>
      </c>
      <c r="F143" s="69" t="n">
        <f aca="false">F61/F59</f>
        <v>1.11843202124979</v>
      </c>
      <c r="G143" s="69" t="n">
        <f aca="false">G61/G59</f>
        <v>1.25423023835082</v>
      </c>
    </row>
    <row r="144" customFormat="false" ht="15" hidden="false" customHeight="false" outlineLevel="0" collapsed="false">
      <c r="A144" s="5" t="s">
        <v>1607</v>
      </c>
      <c r="B144" s="54" t="s">
        <v>75</v>
      </c>
      <c r="C144" s="69" t="n">
        <f aca="false">C64/C62</f>
        <v>1</v>
      </c>
      <c r="D144" s="69" t="n">
        <f aca="false">D64/D62</f>
        <v>1</v>
      </c>
      <c r="E144" s="69" t="n">
        <f aca="false">E64/E62</f>
        <v>1.00892079057841</v>
      </c>
      <c r="F144" s="69" t="n">
        <f aca="false">F64/F62</f>
        <v>1.07575475894527</v>
      </c>
      <c r="G144" s="69" t="n">
        <f aca="false">G64/G62</f>
        <v>1.17808692925104</v>
      </c>
    </row>
    <row r="146" customFormat="false" ht="15" hidden="false" customHeight="false" outlineLevel="0" collapsed="false">
      <c r="A146" s="68" t="s">
        <v>1608</v>
      </c>
      <c r="B146" s="62"/>
      <c r="C146" s="62"/>
      <c r="D146" s="62"/>
      <c r="E146" s="62"/>
      <c r="F146" s="62"/>
      <c r="G146" s="62"/>
      <c r="H146" s="62"/>
    </row>
    <row r="147" customFormat="false" ht="15" hidden="false" customHeight="false" outlineLevel="0" collapsed="false">
      <c r="A147" s="5" t="s">
        <v>1609</v>
      </c>
      <c r="B147" s="54" t="s">
        <v>390</v>
      </c>
      <c r="C147" s="158" t="n">
        <f aca="false">MIN(C87,C90,C93,C89,C92,C95)</f>
        <v>0.000106913241225165</v>
      </c>
      <c r="D147" s="158" t="n">
        <f aca="false">MIN(D87,D90,D93,D89,D92,D95)</f>
        <v>0.000769123637958258</v>
      </c>
      <c r="E147" s="158" t="n">
        <f aca="false">MIN(E87,E90,E93,E89,E92,E95)</f>
        <v>0.000417905690923563</v>
      </c>
      <c r="F147" s="158" t="n">
        <f aca="false">MIN(F87,F90,F93,F89,F92,F95)</f>
        <v>0.00210102254309924</v>
      </c>
      <c r="G147" s="158" t="n">
        <f aca="false">MIN(G87,G90,G93,G89,G92,G95)</f>
        <v>0.0134564505633784</v>
      </c>
    </row>
    <row r="148" customFormat="false" ht="15" hidden="false" customHeight="false" outlineLevel="0" collapsed="false">
      <c r="A148" s="5" t="s">
        <v>1610</v>
      </c>
      <c r="B148" s="53"/>
      <c r="C148" s="53" t="str">
        <f aca="false">IF(C87=C147,"Luna｜標準",IF(C90=C147,"Sol｜標準",IF(C93=C147,"Astra｜標準",IF(C89=C147,"Luna｜選定",IF(C92=C147,"Sol｜選定",IF(C95=C147,"Astra｜選定","—"))))))</f>
        <v>Luna｜標準</v>
      </c>
      <c r="D148" s="53" t="str">
        <f aca="false">IF(D87=D147,"Luna｜標準",IF(D90=D147,"Sol｜標準",IF(D93=D147,"Astra｜標準",IF(D89=D147,"Luna｜選定",IF(D92=D147,"Sol｜選定",IF(D95=D147,"Astra｜選定","—"))))))</f>
        <v>Luna｜標準</v>
      </c>
      <c r="E148" s="53" t="str">
        <f aca="false">IF(E87=E147,"Luna｜標準",IF(E90=E147,"Sol｜標準",IF(E93=E147,"Astra｜標準",IF(E89=E147,"Luna｜選定",IF(E92=E147,"Sol｜選定",IF(E95=E147,"Astra｜選定","—"))))))</f>
        <v>Luna｜選定</v>
      </c>
      <c r="F148" s="53" t="str">
        <f aca="false">IF(F87=F147,"Luna｜標準",IF(F90=F147,"Sol｜標準",IF(F93=F147,"Astra｜標準",IF(F89=F147,"Luna｜選定",IF(F92=F147,"Sol｜選定",IF(F95=F147,"Astra｜選定","—"))))))</f>
        <v>Luna｜選定</v>
      </c>
      <c r="G148" s="53" t="str">
        <f aca="false">IF(G87=G147,"Luna｜標準",IF(G90=G147,"Sol｜標準",IF(G93=G147,"Astra｜標準",IF(G89=G147,"Luna｜選定",IF(G92=G147,"Sol｜選定",IF(G95=G147,"Astra｜選定","—"))))))</f>
        <v>Luna｜選定</v>
      </c>
    </row>
    <row r="149" customFormat="false" ht="15" hidden="false" customHeight="false" outlineLevel="0" collapsed="false">
      <c r="A149" s="5" t="s">
        <v>1611</v>
      </c>
      <c r="B149" s="54" t="s">
        <v>390</v>
      </c>
      <c r="C149" s="158" t="n">
        <f aca="false">MIN(C96,C99,C102,C98,C101,C104)</f>
        <v>0.000157579848121241</v>
      </c>
      <c r="D149" s="158" t="n">
        <f aca="false">MIN(D96,D99,D102,D98,D101,D104)</f>
        <v>0.0011414061274832</v>
      </c>
      <c r="E149" s="158" t="n">
        <f aca="false">MIN(E96,E99,E102,E98,E101,E104)</f>
        <v>0.000614553164757041</v>
      </c>
      <c r="F149" s="158" t="n">
        <f aca="false">MIN(F96,F99,F102,F98,F101,F104)</f>
        <v>0.00308966850926107</v>
      </c>
      <c r="G149" s="158" t="n">
        <f aca="false">MIN(G96,G99,G102,G98,G101,G104)</f>
        <v>0.0195265810839641</v>
      </c>
    </row>
    <row r="150" customFormat="false" ht="15" hidden="false" customHeight="false" outlineLevel="0" collapsed="false">
      <c r="A150" s="5" t="s">
        <v>1612</v>
      </c>
      <c r="B150" s="53"/>
      <c r="C150" s="53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53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53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53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53" t="str">
        <f aca="false">IF(G96=G149,"Luna｜標準",IF(G99=G149,"Sol｜標準",IF(G102=G149,"Astra｜標準",IF(G98=G149,"Luna｜選定",IF(G101=G149,"Sol｜選定",IF(G104=G149,"Astra｜選定","—"))))))</f>
        <v>Luna｜選定</v>
      </c>
    </row>
    <row r="151" customFormat="false" ht="15" hidden="false" customHeight="false" outlineLevel="0" collapsed="false">
      <c r="A151" s="6" t="s">
        <v>1613</v>
      </c>
      <c r="B151" s="54" t="s">
        <v>390</v>
      </c>
      <c r="C151" s="159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0.000106913241225165</v>
      </c>
      <c r="D151" s="159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0.000769123637958258</v>
      </c>
      <c r="E151" s="159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0.000417905690923563</v>
      </c>
      <c r="F151" s="159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0.00210102254309924</v>
      </c>
      <c r="G151" s="159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0.0222233524146578</v>
      </c>
    </row>
    <row r="152" customFormat="false" ht="15" hidden="false" customHeight="false" outlineLevel="0" collapsed="false">
      <c r="A152" s="6" t="s">
        <v>1614</v>
      </c>
      <c r="B152" s="53"/>
      <c r="C152" s="106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06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06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06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06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1615</v>
      </c>
      <c r="B153" s="54" t="s">
        <v>71</v>
      </c>
      <c r="C153" s="96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96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96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96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96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1616</v>
      </c>
      <c r="B154" s="54" t="s">
        <v>390</v>
      </c>
      <c r="C154" s="159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0.000157579848121241</v>
      </c>
      <c r="D154" s="159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0.0011414061274832</v>
      </c>
      <c r="E154" s="159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0.000614553164757041</v>
      </c>
      <c r="F154" s="159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0.00308966850926107</v>
      </c>
      <c r="G154" s="159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0.0348145382359412</v>
      </c>
    </row>
    <row r="155" customFormat="false" ht="15" hidden="false" customHeight="false" outlineLevel="0" collapsed="false">
      <c r="A155" s="6" t="s">
        <v>1617</v>
      </c>
      <c r="B155" s="53"/>
      <c r="C155" s="106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06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06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06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06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</row>
    <row r="156" customFormat="false" ht="15" hidden="false" customHeight="false" outlineLevel="0" collapsed="false">
      <c r="A156" s="6" t="s">
        <v>1618</v>
      </c>
      <c r="B156" s="54" t="s">
        <v>71</v>
      </c>
      <c r="C156" s="96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96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96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96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96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</row>
    <row r="157" customFormat="false" ht="15" hidden="false" customHeight="false" outlineLevel="0" collapsed="false">
      <c r="A157" s="66" t="s">
        <v>1619</v>
      </c>
    </row>
    <row r="159" customFormat="false" ht="15" hidden="false" customHeight="false" outlineLevel="0" collapsed="false">
      <c r="A159" s="68" t="s">
        <v>1620</v>
      </c>
      <c r="B159" s="62"/>
      <c r="C159" s="62"/>
      <c r="D159" s="62"/>
      <c r="E159" s="62"/>
      <c r="F159" s="62"/>
      <c r="G159" s="62"/>
      <c r="H159" s="62"/>
    </row>
    <row r="160" customFormat="false" ht="15" hidden="false" customHeight="false" outlineLevel="0" collapsed="false">
      <c r="A160" s="5" t="s">
        <v>1621</v>
      </c>
      <c r="B160" s="54" t="s">
        <v>1112</v>
      </c>
      <c r="C160" s="69" t="n">
        <f aca="false">INDEX(B5_H50,1,1)*C52</f>
        <v>1.5</v>
      </c>
      <c r="D160" s="69" t="n">
        <f aca="false">INDEX(B5_H50,1,1)*D52</f>
        <v>1.5</v>
      </c>
      <c r="E160" s="69" t="n">
        <f aca="false">INDEX(B5_H50,1,1)*E52</f>
        <v>1.5</v>
      </c>
      <c r="F160" s="69" t="n">
        <f aca="false">INDEX(B5_H50,1,1)*F52</f>
        <v>1.5</v>
      </c>
      <c r="G160" s="69" t="n">
        <f aca="false">INDEX(B5_H50,1,1)*G52</f>
        <v>1.5</v>
      </c>
    </row>
    <row r="161" customFormat="false" ht="15" hidden="false" customHeight="false" outlineLevel="0" collapsed="false">
      <c r="A161" s="5" t="s">
        <v>1622</v>
      </c>
      <c r="B161" s="54" t="s">
        <v>1112</v>
      </c>
      <c r="C161" s="69" t="n">
        <f aca="false">INDEX(B5_H50,1,2)*C52</f>
        <v>8</v>
      </c>
      <c r="D161" s="69" t="n">
        <f aca="false">INDEX(B5_H50,1,2)*D52</f>
        <v>8</v>
      </c>
      <c r="E161" s="69" t="n">
        <f aca="false">INDEX(B5_H50,1,2)*E52</f>
        <v>8</v>
      </c>
      <c r="F161" s="69" t="n">
        <f aca="false">INDEX(B5_H50,1,2)*F52</f>
        <v>8</v>
      </c>
      <c r="G161" s="69" t="n">
        <f aca="false">INDEX(B5_H50,1,2)*G52</f>
        <v>8</v>
      </c>
    </row>
    <row r="162" customFormat="false" ht="15" hidden="false" customHeight="false" outlineLevel="0" collapsed="false">
      <c r="A162" s="5" t="s">
        <v>1623</v>
      </c>
      <c r="B162" s="54" t="s">
        <v>1112</v>
      </c>
      <c r="C162" s="69" t="n">
        <f aca="false">INDEX(B5_H50,1,3)*C52</f>
        <v>16</v>
      </c>
      <c r="D162" s="69" t="n">
        <f aca="false">INDEX(B5_H50,1,3)*D52</f>
        <v>16</v>
      </c>
      <c r="E162" s="69" t="n">
        <f aca="false">INDEX(B5_H50,1,3)*E52</f>
        <v>16</v>
      </c>
      <c r="F162" s="69" t="n">
        <f aca="false">INDEX(B5_H50,1,3)*F52</f>
        <v>16</v>
      </c>
      <c r="G162" s="69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17.15" hidden="false" customHeight="false" outlineLevel="0" collapsed="false">
      <c r="A1" s="49" t="s">
        <v>1624</v>
      </c>
    </row>
    <row r="2" customFormat="false" ht="15" hidden="false" customHeight="false" outlineLevel="0" collapsed="false">
      <c r="A2" s="66" t="s">
        <v>1625</v>
      </c>
    </row>
    <row r="4" customFormat="false" ht="42" hidden="false" customHeight="true" outlineLevel="0" collapsed="false">
      <c r="A4" s="51" t="s">
        <v>780</v>
      </c>
      <c r="C4" s="76" t="s">
        <v>57</v>
      </c>
      <c r="D4" s="76" t="s">
        <v>1626</v>
      </c>
      <c r="E4" s="76" t="s">
        <v>1627</v>
      </c>
      <c r="F4" s="76" t="s">
        <v>1628</v>
      </c>
      <c r="G4" s="76" t="s">
        <v>1629</v>
      </c>
      <c r="H4" s="76" t="s">
        <v>1630</v>
      </c>
      <c r="I4" s="76" t="s">
        <v>1631</v>
      </c>
      <c r="J4" s="76" t="s">
        <v>1632</v>
      </c>
      <c r="K4" s="76" t="s">
        <v>1633</v>
      </c>
      <c r="L4" s="76" t="s">
        <v>1634</v>
      </c>
      <c r="M4" s="76" t="s">
        <v>1635</v>
      </c>
      <c r="N4" s="76" t="s">
        <v>1636</v>
      </c>
      <c r="O4" s="76" t="s">
        <v>1637</v>
      </c>
      <c r="P4" s="77" t="s">
        <v>1638</v>
      </c>
      <c r="Q4" s="77" t="s">
        <v>1639</v>
      </c>
      <c r="R4" s="77" t="s">
        <v>1640</v>
      </c>
      <c r="S4" s="77" t="s">
        <v>1641</v>
      </c>
    </row>
    <row r="5" customFormat="false" ht="15" hidden="false" customHeight="false" outlineLevel="0" collapsed="false">
      <c r="A5" s="53" t="s">
        <v>1441</v>
      </c>
      <c r="C5" s="69" t="n">
        <f aca="false">INDEX(B5_SelT,1,5)</f>
        <v>0.7</v>
      </c>
      <c r="D5" s="90" t="n">
        <f aca="false">Har_In!$C$61</f>
        <v>0.5</v>
      </c>
      <c r="E5" s="90" t="n">
        <f aca="false">Har_In!$D$61</f>
        <v>1</v>
      </c>
      <c r="F5" s="69" t="n">
        <f aca="false">INDEX(B5_SelT,1,5)</f>
        <v>0.7</v>
      </c>
      <c r="G5" s="69" t="n">
        <f aca="false">INDEX(B5_SelT,1,5)</f>
        <v>0.7</v>
      </c>
      <c r="H5" s="69" t="n">
        <f aca="false">INDEX(B5_SelT,1,5)</f>
        <v>0.7</v>
      </c>
      <c r="I5" s="69" t="n">
        <f aca="false">INDEX(B5_SelT,1,5)</f>
        <v>0.7</v>
      </c>
      <c r="J5" s="69" t="n">
        <f aca="false">INDEX(B5_SelT,1,5)</f>
        <v>0.7</v>
      </c>
      <c r="K5" s="69" t="n">
        <f aca="false">INDEX(B5_SelT,1,5)</f>
        <v>0.7</v>
      </c>
      <c r="L5" s="69" t="n">
        <f aca="false">INDEX(B5_SelT,1,5)</f>
        <v>0.7</v>
      </c>
      <c r="M5" s="69" t="n">
        <f aca="false">INDEX(B5_SelT,1,5)</f>
        <v>0.7</v>
      </c>
      <c r="N5" s="69" t="n">
        <f aca="false">INDEX(B5_SelT,1,5)</f>
        <v>0.7</v>
      </c>
      <c r="O5" s="69" t="n">
        <f aca="false">INDEX(B5_SelT,1,5)</f>
        <v>0.7</v>
      </c>
      <c r="P5" s="69" t="n">
        <f aca="false">INDEX(B5_SelT,1,5)</f>
        <v>0.7</v>
      </c>
      <c r="Q5" s="69" t="n">
        <f aca="false">INDEX(B5_SelT,1,5)</f>
        <v>0.7</v>
      </c>
      <c r="R5" s="69" t="n">
        <f aca="false">INDEX(B5_SelT,1,5)</f>
        <v>0.7</v>
      </c>
      <c r="S5" s="69" t="n">
        <f aca="false">INDEX(B5_SelT,1,5)</f>
        <v>0.7</v>
      </c>
    </row>
    <row r="6" customFormat="false" ht="15" hidden="false" customHeight="false" outlineLevel="0" collapsed="false">
      <c r="A6" s="53" t="s">
        <v>1446</v>
      </c>
      <c r="C6" s="69" t="n">
        <f aca="false">INDEX(B5_SelH,1,5)</f>
        <v>0.8</v>
      </c>
      <c r="D6" s="69" t="n">
        <f aca="false">INDEX(B5_SelH,1,5)</f>
        <v>0.8</v>
      </c>
      <c r="E6" s="69" t="n">
        <f aca="false">INDEX(B5_SelH,1,5)</f>
        <v>0.8</v>
      </c>
      <c r="F6" s="90" t="n">
        <f aca="false">Har_In!$C$62</f>
        <v>0.6</v>
      </c>
      <c r="G6" s="90" t="n">
        <f aca="false">Har_In!$D$62</f>
        <v>1</v>
      </c>
      <c r="H6" s="69" t="n">
        <f aca="false">INDEX(B5_SelH,1,5)</f>
        <v>0.8</v>
      </c>
      <c r="I6" s="69" t="n">
        <f aca="false">INDEX(B5_SelH,1,5)</f>
        <v>0.8</v>
      </c>
      <c r="J6" s="69" t="n">
        <f aca="false">INDEX(B5_SelH,1,5)</f>
        <v>0.8</v>
      </c>
      <c r="K6" s="69" t="n">
        <f aca="false">INDEX(B5_SelH,1,5)</f>
        <v>0.8</v>
      </c>
      <c r="L6" s="69" t="n">
        <f aca="false">INDEX(B5_SelH,1,5)</f>
        <v>0.8</v>
      </c>
      <c r="M6" s="69" t="n">
        <f aca="false">INDEX(B5_SelH,1,5)</f>
        <v>0.8</v>
      </c>
      <c r="N6" s="69" t="n">
        <f aca="false">INDEX(B5_SelH,1,5)</f>
        <v>0.8</v>
      </c>
      <c r="O6" s="69" t="n">
        <f aca="false">INDEX(B5_SelH,1,5)</f>
        <v>0.8</v>
      </c>
      <c r="P6" s="69" t="n">
        <f aca="false">INDEX(B5_SelH,1,5)</f>
        <v>0.8</v>
      </c>
      <c r="Q6" s="69" t="n">
        <f aca="false">INDEX(B5_SelH,1,5)</f>
        <v>0.8</v>
      </c>
      <c r="R6" s="69" t="n">
        <f aca="false">INDEX(B5_SelH,1,5)</f>
        <v>0.8</v>
      </c>
      <c r="S6" s="69" t="n">
        <f aca="false">INDEX(B5_SelH,1,5)</f>
        <v>0.8</v>
      </c>
    </row>
    <row r="7" customFormat="false" ht="15" hidden="false" customHeight="false" outlineLevel="0" collapsed="false">
      <c r="A7" s="53" t="s">
        <v>1443</v>
      </c>
      <c r="C7" s="78" t="n">
        <f aca="false">INDEX(B5_Selrho,1,5)</f>
        <v>1</v>
      </c>
      <c r="D7" s="78" t="n">
        <f aca="false">INDEX(B5_Selrho,1,5)</f>
        <v>1</v>
      </c>
      <c r="E7" s="78" t="n">
        <f aca="false">INDEX(B5_Selrho,1,5)</f>
        <v>1</v>
      </c>
      <c r="F7" s="78" t="n">
        <f aca="false">INDEX(B5_Selrho,1,5)</f>
        <v>1</v>
      </c>
      <c r="G7" s="78" t="n">
        <f aca="false">INDEX(B5_Selrho,1,5)</f>
        <v>1</v>
      </c>
      <c r="H7" s="57" t="n">
        <f aca="false">Har_In!$C$63</f>
        <v>0.5</v>
      </c>
      <c r="I7" s="57" t="n">
        <f aca="false">Har_In!$D$63</f>
        <v>1</v>
      </c>
      <c r="J7" s="78" t="n">
        <f aca="false">INDEX(B5_Selrho,1,5)</f>
        <v>1</v>
      </c>
      <c r="K7" s="78" t="n">
        <f aca="false">INDEX(B5_Selrho,1,5)</f>
        <v>1</v>
      </c>
      <c r="L7" s="78" t="n">
        <f aca="false">INDEX(B5_Selrho,1,5)</f>
        <v>1</v>
      </c>
      <c r="M7" s="78" t="n">
        <f aca="false">INDEX(B5_Selrho,1,5)</f>
        <v>1</v>
      </c>
      <c r="N7" s="78" t="n">
        <f aca="false">INDEX(B5_Selrho,1,5)</f>
        <v>1</v>
      </c>
      <c r="O7" s="78" t="n">
        <f aca="false">INDEX(B5_Selrho,1,5)</f>
        <v>1</v>
      </c>
      <c r="P7" s="78" t="n">
        <f aca="false">INDEX(B5_Selrho,1,5)</f>
        <v>1</v>
      </c>
      <c r="Q7" s="78" t="n">
        <f aca="false">INDEX(B5_Selrho,1,5)</f>
        <v>1</v>
      </c>
      <c r="R7" s="78" t="n">
        <f aca="false">INDEX(B5_Selrho,1,5)</f>
        <v>1</v>
      </c>
      <c r="S7" s="78" t="n">
        <f aca="false">INDEX(B5_Selrho,1,5)</f>
        <v>1</v>
      </c>
    </row>
    <row r="8" customFormat="false" ht="15" hidden="false" customHeight="false" outlineLevel="0" collapsed="false">
      <c r="A8" s="53" t="s">
        <v>1486</v>
      </c>
      <c r="C8" s="69" t="n">
        <f aca="false">INDEX(B5_SelC,1,5)</f>
        <v>0.7</v>
      </c>
      <c r="D8" s="69" t="n">
        <f aca="false">INDEX(B5_SelC,1,5)</f>
        <v>0.7</v>
      </c>
      <c r="E8" s="69" t="n">
        <f aca="false">INDEX(B5_SelC,1,5)</f>
        <v>0.7</v>
      </c>
      <c r="F8" s="69" t="n">
        <f aca="false">INDEX(B5_SelC,1,5)</f>
        <v>0.7</v>
      </c>
      <c r="G8" s="69" t="n">
        <f aca="false">INDEX(B5_SelC,1,5)</f>
        <v>0.7</v>
      </c>
      <c r="H8" s="69" t="n">
        <f aca="false">INDEX(B5_SelC,1,5)</f>
        <v>0.7</v>
      </c>
      <c r="I8" s="69" t="n">
        <f aca="false">INDEX(B5_SelC,1,5)</f>
        <v>0.7</v>
      </c>
      <c r="J8" s="90" t="n">
        <f aca="false">Har_In!$C$64</f>
        <v>0.5</v>
      </c>
      <c r="K8" s="90" t="n">
        <f aca="false">Har_In!$D$64</f>
        <v>1</v>
      </c>
      <c r="L8" s="69" t="n">
        <f aca="false">INDEX(B5_SelC,1,5)</f>
        <v>0.7</v>
      </c>
      <c r="M8" s="69" t="n">
        <f aca="false">INDEX(B5_SelC,1,5)</f>
        <v>0.7</v>
      </c>
      <c r="N8" s="69" t="n">
        <f aca="false">INDEX(B5_SelC,1,5)</f>
        <v>0.7</v>
      </c>
      <c r="O8" s="69" t="n">
        <f aca="false">INDEX(B5_SelC,1,5)</f>
        <v>0.7</v>
      </c>
      <c r="P8" s="69" t="n">
        <f aca="false">INDEX(B5_SelC,1,5)</f>
        <v>0.7</v>
      </c>
      <c r="Q8" s="69" t="n">
        <f aca="false">INDEX(B5_SelC,1,5)</f>
        <v>0.7</v>
      </c>
      <c r="R8" s="69" t="n">
        <f aca="false">INDEX(B5_SelC,1,5)</f>
        <v>0.7</v>
      </c>
      <c r="S8" s="69" t="n">
        <f aca="false">INDEX(B5_SelC,1,5)</f>
        <v>0.7</v>
      </c>
    </row>
    <row r="9" customFormat="false" ht="15" hidden="false" customHeight="false" outlineLevel="0" collapsed="false">
      <c r="A9" s="53" t="s">
        <v>1642</v>
      </c>
      <c r="C9" s="69" t="n">
        <f aca="false">INDEX(B5_SelHz,1,5)</f>
        <v>2</v>
      </c>
      <c r="D9" s="69" t="n">
        <f aca="false">INDEX(B5_SelHz,1,5)</f>
        <v>2</v>
      </c>
      <c r="E9" s="69" t="n">
        <f aca="false">INDEX(B5_SelHz,1,5)</f>
        <v>2</v>
      </c>
      <c r="F9" s="69" t="n">
        <f aca="false">INDEX(B5_SelHz,1,5)</f>
        <v>2</v>
      </c>
      <c r="G9" s="69" t="n">
        <f aca="false">INDEX(B5_SelHz,1,5)</f>
        <v>2</v>
      </c>
      <c r="H9" s="69" t="n">
        <f aca="false">INDEX(B5_SelHz,1,5)</f>
        <v>2</v>
      </c>
      <c r="I9" s="69" t="n">
        <f aca="false">INDEX(B5_SelHz,1,5)</f>
        <v>2</v>
      </c>
      <c r="J9" s="69" t="n">
        <f aca="false">INDEX(B5_SelHz,1,5)</f>
        <v>2</v>
      </c>
      <c r="K9" s="69" t="n">
        <f aca="false">INDEX(B5_SelHz,1,5)</f>
        <v>2</v>
      </c>
      <c r="L9" s="90" t="n">
        <f aca="false">Har_In!$C$65</f>
        <v>1</v>
      </c>
      <c r="M9" s="90" t="n">
        <f aca="false">Har_In!$D$65</f>
        <v>4</v>
      </c>
      <c r="N9" s="69" t="n">
        <f aca="false">INDEX(B5_SelHz,1,5)</f>
        <v>2</v>
      </c>
      <c r="O9" s="69" t="n">
        <f aca="false">INDEX(B5_SelHz,1,5)</f>
        <v>2</v>
      </c>
      <c r="P9" s="69" t="n">
        <f aca="false">INDEX(B5_SelHz,1,5)</f>
        <v>2</v>
      </c>
      <c r="Q9" s="69" t="n">
        <f aca="false">INDEX(B5_SelHz,1,5)</f>
        <v>2</v>
      </c>
      <c r="R9" s="69" t="n">
        <f aca="false">INDEX(B5_SelHz,1,5)</f>
        <v>2</v>
      </c>
      <c r="S9" s="69" t="n">
        <f aca="false">INDEX(B5_SelHz,1,5)</f>
        <v>2</v>
      </c>
    </row>
    <row r="10" customFormat="false" ht="15" hidden="false" customHeight="false" outlineLevel="0" collapsed="false">
      <c r="A10" s="53" t="s">
        <v>1643</v>
      </c>
      <c r="C10" s="107" t="n">
        <f aca="false">INDEX(B5_SelRet,1,5)</f>
        <v>0.67</v>
      </c>
      <c r="D10" s="107" t="n">
        <f aca="false">INDEX(B5_SelRet,1,5)</f>
        <v>0.67</v>
      </c>
      <c r="E10" s="107" t="n">
        <f aca="false">INDEX(B5_SelRet,1,5)</f>
        <v>0.67</v>
      </c>
      <c r="F10" s="107" t="n">
        <f aca="false">INDEX(B5_SelRet,1,5)</f>
        <v>0.67</v>
      </c>
      <c r="G10" s="107" t="n">
        <f aca="false">INDEX(B5_SelRet,1,5)</f>
        <v>0.67</v>
      </c>
      <c r="H10" s="107" t="n">
        <f aca="false">INDEX(B5_SelRet,1,5)</f>
        <v>0.67</v>
      </c>
      <c r="I10" s="107" t="n">
        <f aca="false">INDEX(B5_SelRet,1,5)</f>
        <v>0.67</v>
      </c>
      <c r="J10" s="107" t="n">
        <f aca="false">INDEX(B5_SelRet,1,5)</f>
        <v>0.67</v>
      </c>
      <c r="K10" s="107" t="n">
        <f aca="false">INDEX(B5_SelRet,1,5)</f>
        <v>0.67</v>
      </c>
      <c r="L10" s="107" t="n">
        <f aca="false">INDEX(B5_SelRet,1,5)</f>
        <v>0.67</v>
      </c>
      <c r="M10" s="107" t="n">
        <f aca="false">INDEX(B5_SelRet,1,5)</f>
        <v>0.67</v>
      </c>
      <c r="N10" s="110" t="n">
        <f aca="false">Har_In!$C$66</f>
        <v>0.0833333333333333</v>
      </c>
      <c r="O10" s="110" t="n">
        <f aca="false">Har_In!$D$66</f>
        <v>2</v>
      </c>
      <c r="P10" s="107" t="n">
        <f aca="false">INDEX(B5_SelRet,1,5)</f>
        <v>0.67</v>
      </c>
      <c r="Q10" s="107" t="n">
        <f aca="false">INDEX(B5_SelRet,1,5)</f>
        <v>0.67</v>
      </c>
      <c r="R10" s="107" t="n">
        <f aca="false">INDEX(B5_SelRet,1,5)</f>
        <v>0.67</v>
      </c>
      <c r="S10" s="107" t="n">
        <f aca="false">INDEX(B5_SelRet,1,5)</f>
        <v>0.67</v>
      </c>
    </row>
    <row r="11" customFormat="false" ht="15" hidden="false" customHeight="false" outlineLevel="0" collapsed="false">
      <c r="A11" s="54" t="s">
        <v>1644</v>
      </c>
      <c r="C11" s="69" t="n">
        <f aca="false">B5_Beta</f>
        <v>0.75</v>
      </c>
      <c r="D11" s="69" t="n">
        <f aca="false">B5_Beta</f>
        <v>0.75</v>
      </c>
      <c r="E11" s="69" t="n">
        <f aca="false">B5_Beta</f>
        <v>0.75</v>
      </c>
      <c r="F11" s="69" t="n">
        <f aca="false">B5_Beta</f>
        <v>0.75</v>
      </c>
      <c r="G11" s="69" t="n">
        <f aca="false">B5_Beta</f>
        <v>0.75</v>
      </c>
      <c r="H11" s="69" t="n">
        <f aca="false">B5_Beta</f>
        <v>0.75</v>
      </c>
      <c r="I11" s="69" t="n">
        <f aca="false">B5_Beta</f>
        <v>0.75</v>
      </c>
      <c r="J11" s="69" t="n">
        <f aca="false">B5_Beta</f>
        <v>0.75</v>
      </c>
      <c r="K11" s="69" t="n">
        <f aca="false">B5_Beta</f>
        <v>0.75</v>
      </c>
      <c r="L11" s="69" t="n">
        <f aca="false">B5_Beta</f>
        <v>0.75</v>
      </c>
      <c r="M11" s="69" t="n">
        <f aca="false">B5_Beta</f>
        <v>0.75</v>
      </c>
      <c r="N11" s="69" t="n">
        <f aca="false">B5_Beta</f>
        <v>0.75</v>
      </c>
      <c r="O11" s="69" t="n">
        <f aca="false">B5_Beta</f>
        <v>0.75</v>
      </c>
      <c r="P11" s="90" t="n">
        <f aca="false">Har_In!$D$51</f>
        <v>0.65</v>
      </c>
      <c r="Q11" s="90" t="n">
        <f aca="false">Har_In!$E$51</f>
        <v>1</v>
      </c>
      <c r="R11" s="69" t="n">
        <f aca="false">B5_Beta</f>
        <v>0.75</v>
      </c>
      <c r="S11" s="69" t="n">
        <f aca="false">B5_Beta</f>
        <v>0.75</v>
      </c>
    </row>
    <row r="12" customFormat="false" ht="15" hidden="false" customHeight="false" outlineLevel="0" collapsed="false">
      <c r="A12" s="54" t="s">
        <v>1645</v>
      </c>
      <c r="C12" s="79" t="n">
        <f aca="false">INDEX(B5_H50,1,1)</f>
        <v>1.5</v>
      </c>
      <c r="D12" s="79" t="n">
        <f aca="false">INDEX(B5_H50,1,1)</f>
        <v>1.5</v>
      </c>
      <c r="E12" s="79" t="n">
        <f aca="false">INDEX(B5_H50,1,1)</f>
        <v>1.5</v>
      </c>
      <c r="F12" s="79" t="n">
        <f aca="false">INDEX(B5_H50,1,1)</f>
        <v>1.5</v>
      </c>
      <c r="G12" s="79" t="n">
        <f aca="false">INDEX(B5_H50,1,1)</f>
        <v>1.5</v>
      </c>
      <c r="H12" s="79" t="n">
        <f aca="false">INDEX(B5_H50,1,1)</f>
        <v>1.5</v>
      </c>
      <c r="I12" s="79" t="n">
        <f aca="false">INDEX(B5_H50,1,1)</f>
        <v>1.5</v>
      </c>
      <c r="J12" s="79" t="n">
        <f aca="false">INDEX(B5_H50,1,1)</f>
        <v>1.5</v>
      </c>
      <c r="K12" s="79" t="n">
        <f aca="false">INDEX(B5_H50,1,1)</f>
        <v>1.5</v>
      </c>
      <c r="L12" s="79" t="n">
        <f aca="false">INDEX(B5_H50,1,1)</f>
        <v>1.5</v>
      </c>
      <c r="M12" s="79" t="n">
        <f aca="false">INDEX(B5_H50,1,1)</f>
        <v>1.5</v>
      </c>
      <c r="N12" s="79" t="n">
        <f aca="false">INDEX(B5_H50,1,1)</f>
        <v>1.5</v>
      </c>
      <c r="O12" s="79" t="n">
        <f aca="false">INDEX(B5_H50,1,1)</f>
        <v>1.5</v>
      </c>
      <c r="P12" s="79" t="n">
        <f aca="false">INDEX(B5_H50,1,1)</f>
        <v>1.5</v>
      </c>
      <c r="Q12" s="79" t="n">
        <f aca="false">INDEX(B5_H50,1,1)</f>
        <v>1.5</v>
      </c>
      <c r="R12" s="79" t="n">
        <f aca="false">INDEX(B5_H50Lo,1,1)</f>
        <v>0.5</v>
      </c>
      <c r="S12" s="79" t="n">
        <f aca="false">INDEX(B5_H50Hi,1,1)</f>
        <v>4</v>
      </c>
    </row>
    <row r="13" customFormat="false" ht="15" hidden="false" customHeight="false" outlineLevel="0" collapsed="false">
      <c r="A13" s="54" t="s">
        <v>1646</v>
      </c>
      <c r="C13" s="79" t="n">
        <f aca="false">INDEX(B5_H50,1,2)</f>
        <v>8</v>
      </c>
      <c r="D13" s="79" t="n">
        <f aca="false">INDEX(B5_H50,1,2)</f>
        <v>8</v>
      </c>
      <c r="E13" s="79" t="n">
        <f aca="false">INDEX(B5_H50,1,2)</f>
        <v>8</v>
      </c>
      <c r="F13" s="79" t="n">
        <f aca="false">INDEX(B5_H50,1,2)</f>
        <v>8</v>
      </c>
      <c r="G13" s="79" t="n">
        <f aca="false">INDEX(B5_H50,1,2)</f>
        <v>8</v>
      </c>
      <c r="H13" s="79" t="n">
        <f aca="false">INDEX(B5_H50,1,2)</f>
        <v>8</v>
      </c>
      <c r="I13" s="79" t="n">
        <f aca="false">INDEX(B5_H50,1,2)</f>
        <v>8</v>
      </c>
      <c r="J13" s="79" t="n">
        <f aca="false">INDEX(B5_H50,1,2)</f>
        <v>8</v>
      </c>
      <c r="K13" s="79" t="n">
        <f aca="false">INDEX(B5_H50,1,2)</f>
        <v>8</v>
      </c>
      <c r="L13" s="79" t="n">
        <f aca="false">INDEX(B5_H50,1,2)</f>
        <v>8</v>
      </c>
      <c r="M13" s="79" t="n">
        <f aca="false">INDEX(B5_H50,1,2)</f>
        <v>8</v>
      </c>
      <c r="N13" s="79" t="n">
        <f aca="false">INDEX(B5_H50,1,2)</f>
        <v>8</v>
      </c>
      <c r="O13" s="79" t="n">
        <f aca="false">INDEX(B5_H50,1,2)</f>
        <v>8</v>
      </c>
      <c r="P13" s="79" t="n">
        <f aca="false">INDEX(B5_H50,1,2)</f>
        <v>8</v>
      </c>
      <c r="Q13" s="79" t="n">
        <f aca="false">INDEX(B5_H50,1,2)</f>
        <v>8</v>
      </c>
      <c r="R13" s="79" t="n">
        <f aca="false">INDEX(B5_H50Lo,1,2)</f>
        <v>4</v>
      </c>
      <c r="S13" s="79" t="n">
        <f aca="false">INDEX(B5_H50Hi,1,2)</f>
        <v>12</v>
      </c>
    </row>
    <row r="14" customFormat="false" ht="15" hidden="false" customHeight="false" outlineLevel="0" collapsed="false">
      <c r="A14" s="54" t="s">
        <v>1647</v>
      </c>
      <c r="C14" s="79" t="n">
        <f aca="false">INDEX(B5_H50,1,3)</f>
        <v>16</v>
      </c>
      <c r="D14" s="79" t="n">
        <f aca="false">INDEX(B5_H50,1,3)</f>
        <v>16</v>
      </c>
      <c r="E14" s="79" t="n">
        <f aca="false">INDEX(B5_H50,1,3)</f>
        <v>16</v>
      </c>
      <c r="F14" s="79" t="n">
        <f aca="false">INDEX(B5_H50,1,3)</f>
        <v>16</v>
      </c>
      <c r="G14" s="79" t="n">
        <f aca="false">INDEX(B5_H50,1,3)</f>
        <v>16</v>
      </c>
      <c r="H14" s="79" t="n">
        <f aca="false">INDEX(B5_H50,1,3)</f>
        <v>16</v>
      </c>
      <c r="I14" s="79" t="n">
        <f aca="false">INDEX(B5_H50,1,3)</f>
        <v>16</v>
      </c>
      <c r="J14" s="79" t="n">
        <f aca="false">INDEX(B5_H50,1,3)</f>
        <v>16</v>
      </c>
      <c r="K14" s="79" t="n">
        <f aca="false">INDEX(B5_H50,1,3)</f>
        <v>16</v>
      </c>
      <c r="L14" s="79" t="n">
        <f aca="false">INDEX(B5_H50,1,3)</f>
        <v>16</v>
      </c>
      <c r="M14" s="79" t="n">
        <f aca="false">INDEX(B5_H50,1,3)</f>
        <v>16</v>
      </c>
      <c r="N14" s="79" t="n">
        <f aca="false">INDEX(B5_H50,1,3)</f>
        <v>16</v>
      </c>
      <c r="O14" s="79" t="n">
        <f aca="false">INDEX(B5_H50,1,3)</f>
        <v>16</v>
      </c>
      <c r="P14" s="79" t="n">
        <f aca="false">INDEX(B5_H50,1,3)</f>
        <v>16</v>
      </c>
      <c r="Q14" s="79" t="n">
        <f aca="false">INDEX(B5_H50,1,3)</f>
        <v>16</v>
      </c>
      <c r="R14" s="79" t="n">
        <f aca="false">INDEX(B5_H50Lo,1,3)</f>
        <v>11</v>
      </c>
      <c r="S14" s="79" t="n">
        <f aca="false">INDEX(B5_H50Hi,1,3)</f>
        <v>40</v>
      </c>
    </row>
    <row r="16" customFormat="false" ht="15" hidden="false" customHeight="false" outlineLevel="0" collapsed="false">
      <c r="A16" s="53" t="s">
        <v>1648</v>
      </c>
      <c r="C16" s="101" t="n">
        <f aca="false">Workload!$G$5*C5</f>
        <v>21</v>
      </c>
      <c r="D16" s="101" t="n">
        <f aca="false">Workload!$G$5*D5</f>
        <v>15</v>
      </c>
      <c r="E16" s="101" t="n">
        <f aca="false">Workload!$G$5*E5</f>
        <v>30</v>
      </c>
      <c r="F16" s="101" t="n">
        <f aca="false">Workload!$G$5*F5</f>
        <v>21</v>
      </c>
      <c r="G16" s="101" t="n">
        <f aca="false">Workload!$G$5*G5</f>
        <v>21</v>
      </c>
      <c r="H16" s="101" t="n">
        <f aca="false">Workload!$G$5*H5</f>
        <v>21</v>
      </c>
      <c r="I16" s="101" t="n">
        <f aca="false">Workload!$G$5*I5</f>
        <v>21</v>
      </c>
      <c r="J16" s="101" t="n">
        <f aca="false">Workload!$G$5*J5</f>
        <v>21</v>
      </c>
      <c r="K16" s="101" t="n">
        <f aca="false">Workload!$G$5*K5</f>
        <v>21</v>
      </c>
      <c r="L16" s="101" t="n">
        <f aca="false">Workload!$G$5*L5</f>
        <v>21</v>
      </c>
      <c r="M16" s="101" t="n">
        <f aca="false">Workload!$G$5*M5</f>
        <v>21</v>
      </c>
      <c r="N16" s="101" t="n">
        <f aca="false">Workload!$G$5*N5</f>
        <v>21</v>
      </c>
      <c r="O16" s="101" t="n">
        <f aca="false">Workload!$G$5*O5</f>
        <v>21</v>
      </c>
      <c r="P16" s="101" t="n">
        <f aca="false">Workload!$G$5*P5</f>
        <v>21</v>
      </c>
      <c r="Q16" s="101" t="n">
        <f aca="false">Workload!$G$5*Q5</f>
        <v>21</v>
      </c>
      <c r="R16" s="101" t="n">
        <f aca="false">Workload!$G$5*R5</f>
        <v>21</v>
      </c>
      <c r="S16" s="101" t="n">
        <f aca="false">Workload!$G$5*S5</f>
        <v>21</v>
      </c>
    </row>
    <row r="17" customFormat="false" ht="15" hidden="false" customHeight="false" outlineLevel="0" collapsed="false">
      <c r="A17" s="53" t="s">
        <v>1649</v>
      </c>
      <c r="C17" s="55" t="n">
        <f aca="false">Workload!$G$8*C6</f>
        <v>480</v>
      </c>
      <c r="D17" s="55" t="n">
        <f aca="false">Workload!$G$8*D6</f>
        <v>480</v>
      </c>
      <c r="E17" s="55" t="n">
        <f aca="false">Workload!$G$8*E6</f>
        <v>480</v>
      </c>
      <c r="F17" s="55" t="n">
        <f aca="false">Workload!$G$8*F6</f>
        <v>360</v>
      </c>
      <c r="G17" s="55" t="n">
        <f aca="false">Workload!$G$8*G6</f>
        <v>600</v>
      </c>
      <c r="H17" s="55" t="n">
        <f aca="false">Workload!$G$8*H6</f>
        <v>480</v>
      </c>
      <c r="I17" s="55" t="n">
        <f aca="false">Workload!$G$8*I6</f>
        <v>480</v>
      </c>
      <c r="J17" s="55" t="n">
        <f aca="false">Workload!$G$8*J6</f>
        <v>480</v>
      </c>
      <c r="K17" s="55" t="n">
        <f aca="false">Workload!$G$8*K6</f>
        <v>480</v>
      </c>
      <c r="L17" s="55" t="n">
        <f aca="false">Workload!$G$8*L6</f>
        <v>480</v>
      </c>
      <c r="M17" s="55" t="n">
        <f aca="false">Workload!$G$8*M6</f>
        <v>480</v>
      </c>
      <c r="N17" s="55" t="n">
        <f aca="false">Workload!$G$8*N6</f>
        <v>480</v>
      </c>
      <c r="O17" s="55" t="n">
        <f aca="false">Workload!$G$8*O6</f>
        <v>480</v>
      </c>
      <c r="P17" s="55" t="n">
        <f aca="false">Workload!$G$8*P6</f>
        <v>480</v>
      </c>
      <c r="Q17" s="55" t="n">
        <f aca="false">Workload!$G$8*Q6</f>
        <v>480</v>
      </c>
      <c r="R17" s="55" t="n">
        <f aca="false">Workload!$G$8*R6</f>
        <v>480</v>
      </c>
      <c r="S17" s="55" t="n">
        <f aca="false">Workload!$G$8*S6</f>
        <v>480</v>
      </c>
    </row>
    <row r="18" customFormat="false" ht="15" hidden="false" customHeight="false" outlineLevel="0" collapsed="false">
      <c r="A18" s="53" t="s">
        <v>1650</v>
      </c>
      <c r="C18" s="55" t="n">
        <f aca="false">Workload!$G$7+Workload!$G$9+C7*C17</f>
        <v>2880</v>
      </c>
      <c r="D18" s="55" t="n">
        <f aca="false">Workload!$G$7+Workload!$G$9+D7*D17</f>
        <v>2880</v>
      </c>
      <c r="E18" s="55" t="n">
        <f aca="false">Workload!$G$7+Workload!$G$9+E7*E17</f>
        <v>2880</v>
      </c>
      <c r="F18" s="55" t="n">
        <f aca="false">Workload!$G$7+Workload!$G$9+F7*F17</f>
        <v>2760</v>
      </c>
      <c r="G18" s="55" t="n">
        <f aca="false">Workload!$G$7+Workload!$G$9+G7*G17</f>
        <v>3000</v>
      </c>
      <c r="H18" s="55" t="n">
        <f aca="false">Workload!$G$7+Workload!$G$9+H7*H17</f>
        <v>2640</v>
      </c>
      <c r="I18" s="55" t="n">
        <f aca="false">Workload!$G$7+Workload!$G$9+I7*I17</f>
        <v>2880</v>
      </c>
      <c r="J18" s="55" t="n">
        <f aca="false">Workload!$G$7+Workload!$G$9+J7*J17</f>
        <v>2880</v>
      </c>
      <c r="K18" s="55" t="n">
        <f aca="false">Workload!$G$7+Workload!$G$9+K7*K17</f>
        <v>2880</v>
      </c>
      <c r="L18" s="55" t="n">
        <f aca="false">Workload!$G$7+Workload!$G$9+L7*L17</f>
        <v>2880</v>
      </c>
      <c r="M18" s="55" t="n">
        <f aca="false">Workload!$G$7+Workload!$G$9+M7*M17</f>
        <v>2880</v>
      </c>
      <c r="N18" s="55" t="n">
        <f aca="false">Workload!$G$7+Workload!$G$9+N7*N17</f>
        <v>2880</v>
      </c>
      <c r="O18" s="55" t="n">
        <f aca="false">Workload!$G$7+Workload!$G$9+O7*O17</f>
        <v>2880</v>
      </c>
      <c r="P18" s="55" t="n">
        <f aca="false">Workload!$G$7+Workload!$G$9+P7*P17</f>
        <v>2880</v>
      </c>
      <c r="Q18" s="55" t="n">
        <f aca="false">Workload!$G$7+Workload!$G$9+Q7*Q17</f>
        <v>2880</v>
      </c>
      <c r="R18" s="55" t="n">
        <f aca="false">Workload!$G$7+Workload!$G$9+R7*R17</f>
        <v>2880</v>
      </c>
      <c r="S18" s="55" t="n">
        <f aca="false">Workload!$G$7+Workload!$G$9+S7*S17</f>
        <v>2880</v>
      </c>
    </row>
    <row r="19" customFormat="false" ht="15" hidden="false" customHeight="false" outlineLevel="0" collapsed="false">
      <c r="A19" s="53" t="s">
        <v>1651</v>
      </c>
      <c r="C19" s="55" t="n">
        <f aca="false">C16*(Workload!$G$6+Workload!$G$7)+C8*C18*C16*(C16-1)/2</f>
        <v>717360</v>
      </c>
      <c r="D19" s="55" t="n">
        <f aca="false">D16*(Workload!$G$6+Workload!$G$7)+D8*D18*D16*(D16-1)/2</f>
        <v>421680</v>
      </c>
      <c r="E19" s="55" t="n">
        <f aca="false">E16*(Workload!$G$6+Workload!$G$7)+E8*E18*E16*(E16-1)/2</f>
        <v>1296960</v>
      </c>
      <c r="F19" s="55" t="n">
        <f aca="false">F16*(Workload!$G$6+Workload!$G$7)+F8*F18*F16*(F16-1)/2</f>
        <v>699720</v>
      </c>
      <c r="G19" s="55" t="n">
        <f aca="false">G16*(Workload!$G$6+Workload!$G$7)+G8*G18*G16*(G16-1)/2</f>
        <v>735000</v>
      </c>
      <c r="H19" s="55" t="n">
        <f aca="false">H16*(Workload!$G$6+Workload!$G$7)+H8*H18*H16*(H16-1)/2</f>
        <v>682080</v>
      </c>
      <c r="I19" s="55" t="n">
        <f aca="false">I16*(Workload!$G$6+Workload!$G$7)+I8*I18*I16*(I16-1)/2</f>
        <v>717360</v>
      </c>
      <c r="J19" s="55" t="n">
        <f aca="false">J16*(Workload!$G$6+Workload!$G$7)+J8*J18*J16*(J16-1)/2</f>
        <v>596400</v>
      </c>
      <c r="K19" s="55" t="n">
        <f aca="false">K16*(Workload!$G$6+Workload!$G$7)+K8*K18*K16*(K16-1)/2</f>
        <v>898800</v>
      </c>
      <c r="L19" s="55" t="n">
        <f aca="false">L16*(Workload!$G$6+Workload!$G$7)+L8*L18*L16*(L16-1)/2</f>
        <v>717360</v>
      </c>
      <c r="M19" s="55" t="n">
        <f aca="false">M16*(Workload!$G$6+Workload!$G$7)+M8*M18*M16*(M16-1)/2</f>
        <v>717360</v>
      </c>
      <c r="N19" s="55" t="n">
        <f aca="false">N16*(Workload!$G$6+Workload!$G$7)+N8*N18*N16*(N16-1)/2</f>
        <v>717360</v>
      </c>
      <c r="O19" s="55" t="n">
        <f aca="false">O16*(Workload!$G$6+Workload!$G$7)+O8*O18*O16*(O16-1)/2</f>
        <v>717360</v>
      </c>
      <c r="P19" s="55" t="n">
        <f aca="false">P16*(Workload!$G$6+Workload!$G$7)+P8*P18*P16*(P16-1)/2</f>
        <v>717360</v>
      </c>
      <c r="Q19" s="55" t="n">
        <f aca="false">Q16*(Workload!$G$6+Workload!$G$7)+Q8*Q18*Q16*(Q16-1)/2</f>
        <v>717360</v>
      </c>
      <c r="R19" s="55" t="n">
        <f aca="false">R16*(Workload!$G$6+Workload!$G$7)+R8*R18*R16*(R16-1)/2</f>
        <v>717360</v>
      </c>
      <c r="S19" s="55" t="n">
        <f aca="false">S16*(Workload!$G$6+Workload!$G$7)+S8*S18*S16*(S16-1)/2</f>
        <v>717360</v>
      </c>
    </row>
    <row r="20" customFormat="false" ht="15" hidden="false" customHeight="false" outlineLevel="0" collapsed="false">
      <c r="A20" s="53" t="s">
        <v>1652</v>
      </c>
      <c r="C20" s="55" t="n">
        <f aca="false">MIN(1,MAX(0,Workload!$G$11+INDEX(B5_SelDChi,1,5)))*(C16*Workload!$G$6+C8*C18*C16*(C16-1)/2)</f>
        <v>607824</v>
      </c>
      <c r="D20" s="55" t="n">
        <f aca="false">MIN(1,MAX(0,Workload!$G$11+INDEX(B5_SelDChi,1,5)))*(D16*Workload!$G$6+D8*D18*D16*(D16-1)/2)</f>
        <v>352512</v>
      </c>
      <c r="E20" s="55" t="n">
        <f aca="false">MIN(1,MAX(0,Workload!$G$11+INDEX(B5_SelDChi,1,5)))*(E16*Workload!$G$6+E8*E18*E16*(E16-1)/2)</f>
        <v>1113264</v>
      </c>
      <c r="F20" s="55" t="n">
        <f aca="false">MIN(1,MAX(0,Workload!$G$11+INDEX(B5_SelDChi,1,5)))*(F16*Workload!$G$6+F8*F18*F16*(F16-1)/2)</f>
        <v>591948</v>
      </c>
      <c r="G20" s="55" t="n">
        <f aca="false">MIN(1,MAX(0,Workload!$G$11+INDEX(B5_SelDChi,1,5)))*(G16*Workload!$G$6+G8*G18*G16*(G16-1)/2)</f>
        <v>623700</v>
      </c>
      <c r="H20" s="55" t="n">
        <f aca="false">MIN(1,MAX(0,Workload!$G$11+INDEX(B5_SelDChi,1,5)))*(H16*Workload!$G$6+H8*H18*H16*(H16-1)/2)</f>
        <v>576072</v>
      </c>
      <c r="I20" s="55" t="n">
        <f aca="false">MIN(1,MAX(0,Workload!$G$11+INDEX(B5_SelDChi,1,5)))*(I16*Workload!$G$6+I8*I18*I16*(I16-1)/2)</f>
        <v>607824</v>
      </c>
      <c r="J20" s="55" t="n">
        <f aca="false">MIN(1,MAX(0,Workload!$G$11+INDEX(B5_SelDChi,1,5)))*(J16*Workload!$G$6+J8*J18*J16*(J16-1)/2)</f>
        <v>498960</v>
      </c>
      <c r="K20" s="55" t="n">
        <f aca="false">MIN(1,MAX(0,Workload!$G$11+INDEX(B5_SelDChi,1,5)))*(K16*Workload!$G$6+K8*K18*K16*(K16-1)/2)</f>
        <v>771120</v>
      </c>
      <c r="L20" s="55" t="n">
        <f aca="false">MIN(1,MAX(0,Workload!$G$11+INDEX(B5_SelDChi,1,5)))*(L16*Workload!$G$6+L8*L18*L16*(L16-1)/2)</f>
        <v>607824</v>
      </c>
      <c r="M20" s="55" t="n">
        <f aca="false">MIN(1,MAX(0,Workload!$G$11+INDEX(B5_SelDChi,1,5)))*(M16*Workload!$G$6+M8*M18*M16*(M16-1)/2)</f>
        <v>607824</v>
      </c>
      <c r="N20" s="55" t="n">
        <f aca="false">MIN(1,MAX(0,Workload!$G$11+INDEX(B5_SelDChi,1,5)))*(N16*Workload!$G$6+N8*N18*N16*(N16-1)/2)</f>
        <v>607824</v>
      </c>
      <c r="O20" s="55" t="n">
        <f aca="false">MIN(1,MAX(0,Workload!$G$11+INDEX(B5_SelDChi,1,5)))*(O16*Workload!$G$6+O8*O18*O16*(O16-1)/2)</f>
        <v>607824</v>
      </c>
      <c r="P20" s="55" t="n">
        <f aca="false">MIN(1,MAX(0,Workload!$G$11+INDEX(B5_SelDChi,1,5)))*(P16*Workload!$G$6+P8*P18*P16*(P16-1)/2)</f>
        <v>607824</v>
      </c>
      <c r="Q20" s="55" t="n">
        <f aca="false">MIN(1,MAX(0,Workload!$G$11+INDEX(B5_SelDChi,1,5)))*(Q16*Workload!$G$6+Q8*Q18*Q16*(Q16-1)/2)</f>
        <v>607824</v>
      </c>
      <c r="R20" s="55" t="n">
        <f aca="false">MIN(1,MAX(0,Workload!$G$11+INDEX(B5_SelDChi,1,5)))*(R16*Workload!$G$6+R8*R18*R16*(R16-1)/2)</f>
        <v>607824</v>
      </c>
      <c r="S20" s="55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53" t="s">
        <v>1653</v>
      </c>
      <c r="C21" s="55" t="n">
        <f aca="false">(C19-C20)*(1+Workload!$G$12+INDEX(B5_SelDM,1,5))*Workload!$G$13</f>
        <v>109536</v>
      </c>
      <c r="D21" s="55" t="n">
        <f aca="false">(D19-D20)*(1+Workload!$G$12+INDEX(B5_SelDM,1,5))*Workload!$G$13</f>
        <v>69168</v>
      </c>
      <c r="E21" s="55" t="n">
        <f aca="false">(E19-E20)*(1+Workload!$G$12+INDEX(B5_SelDM,1,5))*Workload!$G$13</f>
        <v>183696</v>
      </c>
      <c r="F21" s="55" t="n">
        <f aca="false">(F19-F20)*(1+Workload!$G$12+INDEX(B5_SelDM,1,5))*Workload!$G$13</f>
        <v>107772</v>
      </c>
      <c r="G21" s="55" t="n">
        <f aca="false">(G19-G20)*(1+Workload!$G$12+INDEX(B5_SelDM,1,5))*Workload!$G$13</f>
        <v>111300</v>
      </c>
      <c r="H21" s="55" t="n">
        <f aca="false">(H19-H20)*(1+Workload!$G$12+INDEX(B5_SelDM,1,5))*Workload!$G$13</f>
        <v>106008</v>
      </c>
      <c r="I21" s="55" t="n">
        <f aca="false">(I19-I20)*(1+Workload!$G$12+INDEX(B5_SelDM,1,5))*Workload!$G$13</f>
        <v>109536</v>
      </c>
      <c r="J21" s="55" t="n">
        <f aca="false">(J19-J20)*(1+Workload!$G$12+INDEX(B5_SelDM,1,5))*Workload!$G$13</f>
        <v>97440</v>
      </c>
      <c r="K21" s="55" t="n">
        <f aca="false">(K19-K20)*(1+Workload!$G$12+INDEX(B5_SelDM,1,5))*Workload!$G$13</f>
        <v>127680</v>
      </c>
      <c r="L21" s="55" t="n">
        <f aca="false">(L19-L20)*(1+Workload!$G$12+INDEX(B5_SelDM,1,5))*Workload!$G$13</f>
        <v>109536</v>
      </c>
      <c r="M21" s="55" t="n">
        <f aca="false">(M19-M20)*(1+Workload!$G$12+INDEX(B5_SelDM,1,5))*Workload!$G$13</f>
        <v>109536</v>
      </c>
      <c r="N21" s="55" t="n">
        <f aca="false">(N19-N20)*(1+Workload!$G$12+INDEX(B5_SelDM,1,5))*Workload!$G$13</f>
        <v>109536</v>
      </c>
      <c r="O21" s="55" t="n">
        <f aca="false">(O19-O20)*(1+Workload!$G$12+INDEX(B5_SelDM,1,5))*Workload!$G$13</f>
        <v>109536</v>
      </c>
      <c r="P21" s="55" t="n">
        <f aca="false">(P19-P20)*(1+Workload!$G$12+INDEX(B5_SelDM,1,5))*Workload!$G$13</f>
        <v>109536</v>
      </c>
      <c r="Q21" s="55" t="n">
        <f aca="false">(Q19-Q20)*(1+Workload!$G$12+INDEX(B5_SelDM,1,5))*Workload!$G$13</f>
        <v>109536</v>
      </c>
      <c r="R21" s="55" t="n">
        <f aca="false">(R19-R20)*(1+Workload!$G$12+INDEX(B5_SelDM,1,5))*Workload!$G$13</f>
        <v>109536</v>
      </c>
      <c r="S21" s="55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53" t="s">
        <v>1654</v>
      </c>
      <c r="C22" s="55" t="n">
        <f aca="false">C20*(1+Workload!$G$12+INDEX(B5_SelDM,1,5))*Workload!$G$13</f>
        <v>607824</v>
      </c>
      <c r="D22" s="55" t="n">
        <f aca="false">D20*(1+Workload!$G$12+INDEX(B5_SelDM,1,5))*Workload!$G$13</f>
        <v>352512</v>
      </c>
      <c r="E22" s="55" t="n">
        <f aca="false">E20*(1+Workload!$G$12+INDEX(B5_SelDM,1,5))*Workload!$G$13</f>
        <v>1113264</v>
      </c>
      <c r="F22" s="55" t="n">
        <f aca="false">F20*(1+Workload!$G$12+INDEX(B5_SelDM,1,5))*Workload!$G$13</f>
        <v>591948</v>
      </c>
      <c r="G22" s="55" t="n">
        <f aca="false">G20*(1+Workload!$G$12+INDEX(B5_SelDM,1,5))*Workload!$G$13</f>
        <v>623700</v>
      </c>
      <c r="H22" s="55" t="n">
        <f aca="false">H20*(1+Workload!$G$12+INDEX(B5_SelDM,1,5))*Workload!$G$13</f>
        <v>576072</v>
      </c>
      <c r="I22" s="55" t="n">
        <f aca="false">I20*(1+Workload!$G$12+INDEX(B5_SelDM,1,5))*Workload!$G$13</f>
        <v>607824</v>
      </c>
      <c r="J22" s="55" t="n">
        <f aca="false">J20*(1+Workload!$G$12+INDEX(B5_SelDM,1,5))*Workload!$G$13</f>
        <v>498960</v>
      </c>
      <c r="K22" s="55" t="n">
        <f aca="false">K20*(1+Workload!$G$12+INDEX(B5_SelDM,1,5))*Workload!$G$13</f>
        <v>771120</v>
      </c>
      <c r="L22" s="55" t="n">
        <f aca="false">L20*(1+Workload!$G$12+INDEX(B5_SelDM,1,5))*Workload!$G$13</f>
        <v>607824</v>
      </c>
      <c r="M22" s="55" t="n">
        <f aca="false">M20*(1+Workload!$G$12+INDEX(B5_SelDM,1,5))*Workload!$G$13</f>
        <v>607824</v>
      </c>
      <c r="N22" s="55" t="n">
        <f aca="false">N20*(1+Workload!$G$12+INDEX(B5_SelDM,1,5))*Workload!$G$13</f>
        <v>607824</v>
      </c>
      <c r="O22" s="55" t="n">
        <f aca="false">O20*(1+Workload!$G$12+INDEX(B5_SelDM,1,5))*Workload!$G$13</f>
        <v>607824</v>
      </c>
      <c r="P22" s="55" t="n">
        <f aca="false">P20*(1+Workload!$G$12+INDEX(B5_SelDM,1,5))*Workload!$G$13</f>
        <v>607824</v>
      </c>
      <c r="Q22" s="55" t="n">
        <f aca="false">Q20*(1+Workload!$G$12+INDEX(B5_SelDM,1,5))*Workload!$G$13</f>
        <v>607824</v>
      </c>
      <c r="R22" s="55" t="n">
        <f aca="false">R20*(1+Workload!$G$12+INDEX(B5_SelDM,1,5))*Workload!$G$13</f>
        <v>607824</v>
      </c>
      <c r="S22" s="55" t="n">
        <f aca="false">S20*(1+Workload!$G$12+INDEX(B5_SelDM,1,5))*Workload!$G$13</f>
        <v>607824</v>
      </c>
    </row>
    <row r="23" customFormat="false" ht="15" hidden="false" customHeight="false" outlineLevel="0" collapsed="false">
      <c r="A23" s="53" t="s">
        <v>1655</v>
      </c>
      <c r="C23" s="55" t="n">
        <f aca="false">C16*(C17+Workload!$G$9)*(1+Workload!$G$12+INDEX(B5_SelDM,1,5))*Workload!$G$13</f>
        <v>18480</v>
      </c>
      <c r="D23" s="55" t="n">
        <f aca="false">D16*(D17+Workload!$G$9)*(1+Workload!$G$12+INDEX(B5_SelDM,1,5))*Workload!$G$13</f>
        <v>13200</v>
      </c>
      <c r="E23" s="55" t="n">
        <f aca="false">E16*(E17+Workload!$G$9)*(1+Workload!$G$12+INDEX(B5_SelDM,1,5))*Workload!$G$13</f>
        <v>26400</v>
      </c>
      <c r="F23" s="55" t="n">
        <f aca="false">F16*(F17+Workload!$G$9)*(1+Workload!$G$12+INDEX(B5_SelDM,1,5))*Workload!$G$13</f>
        <v>15960</v>
      </c>
      <c r="G23" s="55" t="n">
        <f aca="false">G16*(G17+Workload!$G$9)*(1+Workload!$G$12+INDEX(B5_SelDM,1,5))*Workload!$G$13</f>
        <v>21000</v>
      </c>
      <c r="H23" s="55" t="n">
        <f aca="false">H16*(H17+Workload!$G$9)*(1+Workload!$G$12+INDEX(B5_SelDM,1,5))*Workload!$G$13</f>
        <v>18480</v>
      </c>
      <c r="I23" s="55" t="n">
        <f aca="false">I16*(I17+Workload!$G$9)*(1+Workload!$G$12+INDEX(B5_SelDM,1,5))*Workload!$G$13</f>
        <v>18480</v>
      </c>
      <c r="J23" s="55" t="n">
        <f aca="false">J16*(J17+Workload!$G$9)*(1+Workload!$G$12+INDEX(B5_SelDM,1,5))*Workload!$G$13</f>
        <v>18480</v>
      </c>
      <c r="K23" s="55" t="n">
        <f aca="false">K16*(K17+Workload!$G$9)*(1+Workload!$G$12+INDEX(B5_SelDM,1,5))*Workload!$G$13</f>
        <v>18480</v>
      </c>
      <c r="L23" s="55" t="n">
        <f aca="false">L16*(L17+Workload!$G$9)*(1+Workload!$G$12+INDEX(B5_SelDM,1,5))*Workload!$G$13</f>
        <v>18480</v>
      </c>
      <c r="M23" s="55" t="n">
        <f aca="false">M16*(M17+Workload!$G$9)*(1+Workload!$G$12+INDEX(B5_SelDM,1,5))*Workload!$G$13</f>
        <v>18480</v>
      </c>
      <c r="N23" s="55" t="n">
        <f aca="false">N16*(N17+Workload!$G$9)*(1+Workload!$G$12+INDEX(B5_SelDM,1,5))*Workload!$G$13</f>
        <v>18480</v>
      </c>
      <c r="O23" s="55" t="n">
        <f aca="false">O16*(O17+Workload!$G$9)*(1+Workload!$G$12+INDEX(B5_SelDM,1,5))*Workload!$G$13</f>
        <v>18480</v>
      </c>
      <c r="P23" s="55" t="n">
        <f aca="false">P16*(P17+Workload!$G$9)*(1+Workload!$G$12+INDEX(B5_SelDM,1,5))*Workload!$G$13</f>
        <v>18480</v>
      </c>
      <c r="Q23" s="55" t="n">
        <f aca="false">Q16*(Q17+Workload!$G$9)*(1+Workload!$G$12+INDEX(B5_SelDM,1,5))*Workload!$G$13</f>
        <v>18480</v>
      </c>
      <c r="R23" s="55" t="n">
        <f aca="false">R16*(R17+Workload!$G$9)*(1+Workload!$G$12+INDEX(B5_SelDM,1,5))*Workload!$G$13</f>
        <v>18480</v>
      </c>
      <c r="S23" s="55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54" t="s">
        <v>1656</v>
      </c>
      <c r="C24" s="90" t="n">
        <f aca="false">(C21+C22+C23)/Harness!$G$21</f>
        <v>0.492530120481928</v>
      </c>
      <c r="D24" s="90" t="n">
        <f aca="false">(D21+D22+D23)/Harness!$G$21</f>
        <v>0.291084337349398</v>
      </c>
      <c r="E24" s="90" t="n">
        <f aca="false">(E21+E22+E23)/Harness!$G$21</f>
        <v>0.885783132530121</v>
      </c>
      <c r="F24" s="90" t="n">
        <f aca="false">(F21+F22+F23)/Harness!$G$21</f>
        <v>0.479036144578313</v>
      </c>
      <c r="G24" s="90" t="n">
        <f aca="false">(G21+G22+G23)/Harness!$G$21</f>
        <v>0.506024096385542</v>
      </c>
      <c r="H24" s="90" t="n">
        <f aca="false">(H21+H22+H23)/Harness!$G$21</f>
        <v>0.468915662650602</v>
      </c>
      <c r="I24" s="90" t="n">
        <f aca="false">(I21+I22+I23)/Harness!$G$21</f>
        <v>0.492530120481928</v>
      </c>
      <c r="J24" s="90" t="n">
        <f aca="false">(J21+J22+J23)/Harness!$G$21</f>
        <v>0.411566265060241</v>
      </c>
      <c r="K24" s="90" t="n">
        <f aca="false">(K21+K22+K23)/Harness!$G$21</f>
        <v>0.613975903614458</v>
      </c>
      <c r="L24" s="90" t="n">
        <f aca="false">(L21+L22+L23)/Harness!$G$21</f>
        <v>0.492530120481928</v>
      </c>
      <c r="M24" s="90" t="n">
        <f aca="false">(M21+M22+M23)/Harness!$G$21</f>
        <v>0.492530120481928</v>
      </c>
      <c r="N24" s="90" t="n">
        <f aca="false">(N21+N22+N23)/Harness!$G$21</f>
        <v>0.492530120481928</v>
      </c>
      <c r="O24" s="90" t="n">
        <f aca="false">(O21+O22+O23)/Harness!$G$21</f>
        <v>0.492530120481928</v>
      </c>
      <c r="P24" s="90" t="n">
        <f aca="false">(P21+P22+P23)/Harness!$G$21</f>
        <v>0.492530120481928</v>
      </c>
      <c r="Q24" s="90" t="n">
        <f aca="false">(Q21+Q22+Q23)/Harness!$G$21</f>
        <v>0.492530120481928</v>
      </c>
      <c r="R24" s="90" t="n">
        <f aca="false">(R21+R22+R23)/Harness!$G$21</f>
        <v>0.492530120481928</v>
      </c>
      <c r="S24" s="90" t="n">
        <f aca="false">(S21+S22+S23)/Harness!$G$21</f>
        <v>0.492530120481928</v>
      </c>
    </row>
    <row r="26" customFormat="false" ht="15" hidden="false" customHeight="false" outlineLevel="0" collapsed="false">
      <c r="A26" s="54" t="s">
        <v>1657</v>
      </c>
      <c r="C26" s="83" t="n">
        <f aca="false">IF(ISNUMBER(Unit_Cost!$M$21),(C21*Unit_Cost!$M$19+C22*(Unit_Cost!$M$20+Cache_Store!$M$17*C10/B4_Retain)+C23*Unit_Cost!$M$21)/1000000,"SLO 不可達")</f>
        <v>0.00435938194630206</v>
      </c>
      <c r="D26" s="83" t="n">
        <f aca="false">IF(ISNUMBER(Unit_Cost!$M$21),(D21*Unit_Cost!$M$19+D22*(Unit_Cost!$M$20+Cache_Store!$M$17*D10/B4_Retain)+D23*Unit_Cost!$M$21)/1000000,"SLO 不可達")</f>
        <v>0.00302341980593734</v>
      </c>
      <c r="E26" s="83" t="n">
        <f aca="false">IF(ISNUMBER(Unit_Cost!$M$21),(E21*Unit_Cost!$M$19+E22*(Unit_Cost!$M$20+Cache_Store!$M$17*E10/B4_Retain)+E23*Unit_Cost!$M$21)/1000000,"SLO 不可達")</f>
        <v>0.00649896181898107</v>
      </c>
      <c r="F26" s="83" t="n">
        <f aca="false">IF(ISNUMBER(Unit_Cost!$M$21),(F21*Unit_Cost!$M$19+F22*(Unit_Cost!$M$20+Cache_Store!$M$17*F10/B4_Retain)+F23*Unit_Cost!$M$21)/1000000,"SLO 不可達")</f>
        <v>0.00388737870811664</v>
      </c>
      <c r="G26" s="83" t="n">
        <f aca="false">IF(ISNUMBER(Unit_Cost!$M$21),(G21*Unit_Cost!$M$19+G22*(Unit_Cost!$M$20+Cache_Store!$M$17*G10/B4_Retain)+G23*Unit_Cost!$M$21)/1000000,"SLO 不可達")</f>
        <v>0.00483138518448749</v>
      </c>
      <c r="H26" s="83" t="n">
        <f aca="false">IF(ISNUMBER(Unit_Cost!$M$21),(H21*Unit_Cost!$M$19+H22*(Unit_Cost!$M$20+Cache_Store!$M$17*H10/B4_Retain)+H23*Unit_Cost!$M$21)/1000000,"SLO 不可達")</f>
        <v>0.00432421688574934</v>
      </c>
      <c r="I26" s="83" t="n">
        <f aca="false">IF(ISNUMBER(Unit_Cost!$M$21),(I21*Unit_Cost!$M$19+I22*(Unit_Cost!$M$20+Cache_Store!$M$17*I10/B4_Retain)+I23*Unit_Cost!$M$21)/1000000,"SLO 不可達")</f>
        <v>0.00435938194630206</v>
      </c>
      <c r="J26" s="83" t="n">
        <f aca="false">IF(ISNUMBER(Unit_Cost!$M$21),(J21*Unit_Cost!$M$19+J22*(Unit_Cost!$M$20+Cache_Store!$M$17*J10/B4_Retain)+J23*Unit_Cost!$M$21)/1000000,"SLO 不可達")</f>
        <v>0.00423881602440702</v>
      </c>
      <c r="K26" s="83" t="n">
        <f aca="false">IF(ISNUMBER(Unit_Cost!$M$21),(K21*Unit_Cost!$M$19+K22*(Unit_Cost!$M$20+Cache_Store!$M$17*K10/B4_Retain)+K23*Unit_Cost!$M$21)/1000000,"SLO 不可達")</f>
        <v>0.00454023082914463</v>
      </c>
      <c r="L26" s="83" t="n">
        <f aca="false">IF(ISNUMBER(Unit_Cost!$M$21),(L21*Unit_Cost!$M$19+L22*(Unit_Cost!$M$20+Cache_Store!$M$17*L10/B4_Retain)+L23*Unit_Cost!$M$21)/1000000,"SLO 不可達")</f>
        <v>0.00435938194630206</v>
      </c>
      <c r="M26" s="83" t="n">
        <f aca="false">IF(ISNUMBER(Unit_Cost!$M$21),(M21*Unit_Cost!$M$19+M22*(Unit_Cost!$M$20+Cache_Store!$M$17*M10/B4_Retain)+M23*Unit_Cost!$M$21)/1000000,"SLO 不可達")</f>
        <v>0.00435938194630206</v>
      </c>
      <c r="N26" s="83" t="n">
        <f aca="false">IF(ISNUMBER(Unit_Cost!$M$21),(N21*Unit_Cost!$M$19+N22*(Unit_Cost!$M$20+Cache_Store!$M$17*N10/B4_Retain)+N23*Unit_Cost!$M$21)/1000000,"SLO 不可達")</f>
        <v>0.00430249443068563</v>
      </c>
      <c r="O26" s="83" t="n">
        <f aca="false">IF(ISNUMBER(Unit_Cost!$M$21),(O21*Unit_Cost!$M$19+O22*(Unit_Cost!$M$20+Cache_Store!$M$17*O10/B4_Retain)+O23*Unit_Cost!$M$21)/1000000,"SLO 不可達")</f>
        <v>0.00448834853000069</v>
      </c>
      <c r="P26" s="83" t="n">
        <f aca="false">IF(ISNUMBER(Unit_Cost!$M$21),(P21*Unit_Cost!$M$19+P22*(Unit_Cost!$M$20+Cache_Store!$M$17*P10/B4_Retain)+P23*Unit_Cost!$M$21)/1000000,"SLO 不可達")</f>
        <v>0.00435938194630206</v>
      </c>
      <c r="Q26" s="83" t="n">
        <f aca="false">IF(ISNUMBER(Unit_Cost!$M$21),(Q21*Unit_Cost!$M$19+Q22*(Unit_Cost!$M$20+Cache_Store!$M$17*Q10/B4_Retain)+Q23*Unit_Cost!$M$21)/1000000,"SLO 不可達")</f>
        <v>0.00435938194630206</v>
      </c>
      <c r="R26" s="83" t="n">
        <f aca="false">IF(ISNUMBER(Unit_Cost!$M$21),(R21*Unit_Cost!$M$19+R22*(Unit_Cost!$M$20+Cache_Store!$M$17*R10/B4_Retain)+R23*Unit_Cost!$M$21)/1000000,"SLO 不可達")</f>
        <v>0.00435938194630206</v>
      </c>
      <c r="S26" s="83" t="n">
        <f aca="false">IF(ISNUMBER(Unit_Cost!$M$21),(S21*Unit_Cost!$M$19+S22*(Unit_Cost!$M$20+Cache_Store!$M$17*S10/B4_Retain)+S23*Unit_Cost!$M$21)/1000000,"SLO 不可達")</f>
        <v>0.00435938194630206</v>
      </c>
    </row>
    <row r="27" customFormat="false" ht="15" hidden="false" customHeight="false" outlineLevel="0" collapsed="false">
      <c r="A27" s="54" t="s">
        <v>1658</v>
      </c>
      <c r="C27" s="96" t="n">
        <f aca="false">IF(ISNUMBER(INDEX(B5_SuccOvr_Luna,1,5)),INDEX(B5_SuccOvr_Luna,1,5),1/(1+(INDEX(B5_TaskLen,1,5)/C12)^C11))</f>
        <v>0.221752565013566</v>
      </c>
      <c r="D27" s="96" t="n">
        <f aca="false">IF(ISNUMBER(INDEX(B5_SuccOvr_Luna,1,5)),INDEX(B5_SuccOvr_Luna,1,5),1/(1+(INDEX(B5_TaskLen,1,5)/D12)^D11))</f>
        <v>0.221752565013566</v>
      </c>
      <c r="E27" s="96" t="n">
        <f aca="false">IF(ISNUMBER(INDEX(B5_SuccOvr_Luna,1,5)),INDEX(B5_SuccOvr_Luna,1,5),1/(1+(INDEX(B5_TaskLen,1,5)/E12)^E11))</f>
        <v>0.221752565013566</v>
      </c>
      <c r="F27" s="96" t="n">
        <f aca="false">IF(ISNUMBER(INDEX(B5_SuccOvr_Luna,1,5)),INDEX(B5_SuccOvr_Luna,1,5),1/(1+(INDEX(B5_TaskLen,1,5)/F12)^F11))</f>
        <v>0.221752565013566</v>
      </c>
      <c r="G27" s="96" t="n">
        <f aca="false">IF(ISNUMBER(INDEX(B5_SuccOvr_Luna,1,5)),INDEX(B5_SuccOvr_Luna,1,5),1/(1+(INDEX(B5_TaskLen,1,5)/G12)^G11))</f>
        <v>0.221752565013566</v>
      </c>
      <c r="H27" s="96" t="n">
        <f aca="false">IF(ISNUMBER(INDEX(B5_SuccOvr_Luna,1,5)),INDEX(B5_SuccOvr_Luna,1,5),1/(1+(INDEX(B5_TaskLen,1,5)/H12)^H11))</f>
        <v>0.221752565013566</v>
      </c>
      <c r="I27" s="96" t="n">
        <f aca="false">IF(ISNUMBER(INDEX(B5_SuccOvr_Luna,1,5)),INDEX(B5_SuccOvr_Luna,1,5),1/(1+(INDEX(B5_TaskLen,1,5)/I12)^I11))</f>
        <v>0.221752565013566</v>
      </c>
      <c r="J27" s="96" t="n">
        <f aca="false">IF(ISNUMBER(INDEX(B5_SuccOvr_Luna,1,5)),INDEX(B5_SuccOvr_Luna,1,5),1/(1+(INDEX(B5_TaskLen,1,5)/J12)^J11))</f>
        <v>0.221752565013566</v>
      </c>
      <c r="K27" s="96" t="n">
        <f aca="false">IF(ISNUMBER(INDEX(B5_SuccOvr_Luna,1,5)),INDEX(B5_SuccOvr_Luna,1,5),1/(1+(INDEX(B5_TaskLen,1,5)/K12)^K11))</f>
        <v>0.221752565013566</v>
      </c>
      <c r="L27" s="96" t="n">
        <f aca="false">IF(ISNUMBER(INDEX(B5_SuccOvr_Luna,1,5)),INDEX(B5_SuccOvr_Luna,1,5),1/(1+(INDEX(B5_TaskLen,1,5)/L12)^L11))</f>
        <v>0.221752565013566</v>
      </c>
      <c r="M27" s="96" t="n">
        <f aca="false">IF(ISNUMBER(INDEX(B5_SuccOvr_Luna,1,5)),INDEX(B5_SuccOvr_Luna,1,5),1/(1+(INDEX(B5_TaskLen,1,5)/M12)^M11))</f>
        <v>0.221752565013566</v>
      </c>
      <c r="N27" s="96" t="n">
        <f aca="false">IF(ISNUMBER(INDEX(B5_SuccOvr_Luna,1,5)),INDEX(B5_SuccOvr_Luna,1,5),1/(1+(INDEX(B5_TaskLen,1,5)/N12)^N11))</f>
        <v>0.221752565013566</v>
      </c>
      <c r="O27" s="96" t="n">
        <f aca="false">IF(ISNUMBER(INDEX(B5_SuccOvr_Luna,1,5)),INDEX(B5_SuccOvr_Luna,1,5),1/(1+(INDEX(B5_TaskLen,1,5)/O12)^O11))</f>
        <v>0.221752565013566</v>
      </c>
      <c r="P27" s="96" t="n">
        <f aca="false">IF(ISNUMBER(INDEX(B5_SuccOvr_Luna,1,5)),INDEX(B5_SuccOvr_Luna,1,5),1/(1+(INDEX(B5_TaskLen,1,5)/P12)^P11))</f>
        <v>0.251979116845894</v>
      </c>
      <c r="Q27" s="96" t="n">
        <f aca="false">IF(ISNUMBER(INDEX(B5_SuccOvr_Luna,1,5)),INDEX(B5_SuccOvr_Luna,1,5),1/(1+(INDEX(B5_TaskLen,1,5)/Q12)^Q11))</f>
        <v>0.157894736842105</v>
      </c>
      <c r="R27" s="96" t="n">
        <f aca="false">IF(ISNUMBER(INDEX(B5_SuccOvr_Luna,1,5)),INDEX(B5_SuccOvr_Luna,1,5),1/(1+(INDEX(B5_TaskLen,1,5)/R12)^R11))</f>
        <v>0.111111111111111</v>
      </c>
      <c r="S27" s="96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54" t="s">
        <v>1659</v>
      </c>
      <c r="C28" s="96" t="n">
        <f aca="false">IF(ISNUMBER(INDEX(B5_SuccOvr_Luna,1,5)),INDEX(B5_SuccOvr_Luna,1,5),1/(1+(INDEX(B5_TaskLen,1,5)/(C12*C9))^C11))</f>
        <v>0.323962245896112</v>
      </c>
      <c r="D28" s="96" t="n">
        <f aca="false">IF(ISNUMBER(INDEX(B5_SuccOvr_Luna,1,5)),INDEX(B5_SuccOvr_Luna,1,5),1/(1+(INDEX(B5_TaskLen,1,5)/(D12*D9))^D11))</f>
        <v>0.323962245896112</v>
      </c>
      <c r="E28" s="96" t="n">
        <f aca="false">IF(ISNUMBER(INDEX(B5_SuccOvr_Luna,1,5)),INDEX(B5_SuccOvr_Luna,1,5),1/(1+(INDEX(B5_TaskLen,1,5)/(E12*E9))^E11))</f>
        <v>0.323962245896112</v>
      </c>
      <c r="F28" s="96" t="n">
        <f aca="false">IF(ISNUMBER(INDEX(B5_SuccOvr_Luna,1,5)),INDEX(B5_SuccOvr_Luna,1,5),1/(1+(INDEX(B5_TaskLen,1,5)/(F12*F9))^F11))</f>
        <v>0.323962245896112</v>
      </c>
      <c r="G28" s="96" t="n">
        <f aca="false">IF(ISNUMBER(INDEX(B5_SuccOvr_Luna,1,5)),INDEX(B5_SuccOvr_Luna,1,5),1/(1+(INDEX(B5_TaskLen,1,5)/(G12*G9))^G11))</f>
        <v>0.323962245896112</v>
      </c>
      <c r="H28" s="96" t="n">
        <f aca="false">IF(ISNUMBER(INDEX(B5_SuccOvr_Luna,1,5)),INDEX(B5_SuccOvr_Luna,1,5),1/(1+(INDEX(B5_TaskLen,1,5)/(H12*H9))^H11))</f>
        <v>0.323962245896112</v>
      </c>
      <c r="I28" s="96" t="n">
        <f aca="false">IF(ISNUMBER(INDEX(B5_SuccOvr_Luna,1,5)),INDEX(B5_SuccOvr_Luna,1,5),1/(1+(INDEX(B5_TaskLen,1,5)/(I12*I9))^I11))</f>
        <v>0.323962245896112</v>
      </c>
      <c r="J28" s="96" t="n">
        <f aca="false">IF(ISNUMBER(INDEX(B5_SuccOvr_Luna,1,5)),INDEX(B5_SuccOvr_Luna,1,5),1/(1+(INDEX(B5_TaskLen,1,5)/(J12*J9))^J11))</f>
        <v>0.323962245896112</v>
      </c>
      <c r="K28" s="96" t="n">
        <f aca="false">IF(ISNUMBER(INDEX(B5_SuccOvr_Luna,1,5)),INDEX(B5_SuccOvr_Luna,1,5),1/(1+(INDEX(B5_TaskLen,1,5)/(K12*K9))^K11))</f>
        <v>0.323962245896112</v>
      </c>
      <c r="L28" s="96" t="n">
        <f aca="false">IF(ISNUMBER(INDEX(B5_SuccOvr_Luna,1,5)),INDEX(B5_SuccOvr_Luna,1,5),1/(1+(INDEX(B5_TaskLen,1,5)/(L12*L9))^L11))</f>
        <v>0.221752565013566</v>
      </c>
      <c r="M28" s="96" t="n">
        <f aca="false">IF(ISNUMBER(INDEX(B5_SuccOvr_Luna,1,5)),INDEX(B5_SuccOvr_Luna,1,5),1/(1+(INDEX(B5_TaskLen,1,5)/(M12*M9))^M11))</f>
        <v>0.446267899285204</v>
      </c>
      <c r="N28" s="96" t="n">
        <f aca="false">IF(ISNUMBER(INDEX(B5_SuccOvr_Luna,1,5)),INDEX(B5_SuccOvr_Luna,1,5),1/(1+(INDEX(B5_TaskLen,1,5)/(N12*N9))^N11))</f>
        <v>0.323962245896112</v>
      </c>
      <c r="O28" s="96" t="n">
        <f aca="false">IF(ISNUMBER(INDEX(B5_SuccOvr_Luna,1,5)),INDEX(B5_SuccOvr_Luna,1,5),1/(1+(INDEX(B5_TaskLen,1,5)/(O12*O9))^O11))</f>
        <v>0.323962245896112</v>
      </c>
      <c r="P28" s="96" t="n">
        <f aca="false">IF(ISNUMBER(INDEX(B5_SuccOvr_Luna,1,5)),INDEX(B5_SuccOvr_Luna,1,5),1/(1+(INDEX(B5_TaskLen,1,5)/(P12*P9))^P11))</f>
        <v>0.345803060206164</v>
      </c>
      <c r="Q28" s="96" t="n">
        <f aca="false">IF(ISNUMBER(INDEX(B5_SuccOvr_Luna,1,5)),INDEX(B5_SuccOvr_Luna,1,5),1/(1+(INDEX(B5_TaskLen,1,5)/(Q12*Q9))^Q11))</f>
        <v>0.272727272727273</v>
      </c>
      <c r="R28" s="96" t="n">
        <f aca="false">IF(ISNUMBER(INDEX(B5_SuccOvr_Luna,1,5)),INDEX(B5_SuccOvr_Luna,1,5),1/(1+(INDEX(B5_TaskLen,1,5)/(R12*R9))^R11))</f>
        <v>0.173706756584182</v>
      </c>
      <c r="S28" s="96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54" t="s">
        <v>1660</v>
      </c>
      <c r="C29" s="90" t="n">
        <f aca="false">IF(AND(ISNUMBER(C26),ISNUMBER(Harness!$G$67)),(C26/C28)/(Harness!$G$67/C27),"SLO 不可達")</f>
        <v>0.414654003644933</v>
      </c>
      <c r="D29" s="90" t="n">
        <f aca="false">IF(AND(ISNUMBER(D26),ISNUMBER(Harness!$G$67)),(D26/D28)/(Harness!$G$67/D27),"SLO 不可達")</f>
        <v>0.287580474175877</v>
      </c>
      <c r="E29" s="90" t="n">
        <f aca="false">IF(AND(ISNUMBER(E26),ISNUMBER(Harness!$G$67)),(E26/E28)/(Harness!$G$67/E27),"SLO 不可達")</f>
        <v>0.618165733347131</v>
      </c>
      <c r="F29" s="90" t="n">
        <f aca="false">IF(AND(ISNUMBER(F26),ISNUMBER(Harness!$G$67)),(F26/F28)/(Harness!$G$67/F27),"SLO 不可達")</f>
        <v>0.369758182435007</v>
      </c>
      <c r="G29" s="90" t="n">
        <f aca="false">IF(AND(ISNUMBER(G26),ISNUMBER(Harness!$G$67)),(G26/G28)/(Harness!$G$67/G27),"SLO 不可達")</f>
        <v>0.45954982485486</v>
      </c>
      <c r="H29" s="90" t="n">
        <f aca="false">IF(AND(ISNUMBER(H26),ISNUMBER(Harness!$G$67)),(H26/H28)/(Harness!$G$67/H27),"SLO 不可達")</f>
        <v>0.411309187034181</v>
      </c>
      <c r="I29" s="90" t="n">
        <f aca="false">IF(AND(ISNUMBER(I26),ISNUMBER(Harness!$G$67)),(I26/I28)/(Harness!$G$67/I27),"SLO 不可達")</f>
        <v>0.414654003644933</v>
      </c>
      <c r="J29" s="90" t="n">
        <f aca="false">IF(AND(ISNUMBER(J26),ISNUMBER(Harness!$G$67)),(J26/J28)/(Harness!$G$67/J27),"SLO 不可達")</f>
        <v>0.403186060979499</v>
      </c>
      <c r="K29" s="90" t="n">
        <f aca="false">IF(AND(ISNUMBER(K26),ISNUMBER(Harness!$G$67)),(K26/K28)/(Harness!$G$67/K27),"SLO 不可達")</f>
        <v>0.431855917643084</v>
      </c>
      <c r="L29" s="90" t="n">
        <f aca="false">IF(AND(ISNUMBER(L26),ISNUMBER(Harness!$G$67)),(L26/L28)/(Harness!$G$67/L27),"SLO 不可達")</f>
        <v>0.605775370771513</v>
      </c>
      <c r="M29" s="90" t="n">
        <f aca="false">IF(AND(ISNUMBER(M26),ISNUMBER(Harness!$G$67)),(M26/M28)/(Harness!$G$67/M27),"SLO 不可達")</f>
        <v>0.301012558836945</v>
      </c>
      <c r="N29" s="90" t="n">
        <f aca="false">IF(AND(ISNUMBER(N26),ISNUMBER(Harness!$G$67)),(N26/N28)/(Harness!$G$67/N27),"SLO 不可達")</f>
        <v>0.409242998966213</v>
      </c>
      <c r="O29" s="90" t="n">
        <f aca="false">IF(AND(ISNUMBER(O26),ISNUMBER(Harness!$G$67)),(O26/O28)/(Harness!$G$67/O27),"SLO 不可達")</f>
        <v>0.42692099720635</v>
      </c>
      <c r="P29" s="90" t="n">
        <f aca="false">IF(AND(ISNUMBER(P26),ISNUMBER(Harness!$G$67)),(P26/P28)/(Harness!$G$67/P27),"SLO 不可達")</f>
        <v>0.441415246131703</v>
      </c>
      <c r="Q29" s="90" t="n">
        <f aca="false">IF(AND(ISNUMBER(Q26),ISNUMBER(Harness!$G$67)),(Q26/Q28)/(Harness!$G$67/Q27),"SLO 不可達")</f>
        <v>0.350712056762455</v>
      </c>
      <c r="R29" s="90" t="n">
        <f aca="false">IF(AND(ISNUMBER(R26),ISNUMBER(Harness!$G$67)),(R26/R28)/(Harness!$G$67/R27),"SLO 不可達")</f>
        <v>0.387482766092344</v>
      </c>
      <c r="S29" s="90" t="n">
        <f aca="false">IF(AND(ISNUMBER(S26),ISNUMBER(Harness!$G$67)),(S26/S28)/(Harness!$G$67/S27),"SLO 不可達")</f>
        <v>0.451768953873214</v>
      </c>
    </row>
    <row r="30" customFormat="false" ht="15" hidden="false" customHeight="false" outlineLevel="0" collapsed="false">
      <c r="A30" s="54" t="s">
        <v>1661</v>
      </c>
      <c r="C30" s="83" t="n">
        <f aca="false">IF(ISNUMBER(Unit_Cost!$M$34),(C21*Unit_Cost!$M$32+C22*(Unit_Cost!$M$33+Cache_Store!$M$23*C10/B4_Retain)+C23*Unit_Cost!$M$34)/1000000,"SLO 不可達")</f>
        <v>0.0139366002979953</v>
      </c>
      <c r="D30" s="83" t="n">
        <f aca="false">IF(ISNUMBER(Unit_Cost!$M$34),(D21*Unit_Cost!$M$32+D22*(Unit_Cost!$M$33+Cache_Store!$M$23*D10/B4_Retain)+D23*Unit_Cost!$M$34)/1000000,"SLO 不可達")</f>
        <v>0.00966960655476658</v>
      </c>
      <c r="E30" s="83" t="n">
        <f aca="false">IF(ISNUMBER(Unit_Cost!$M$34),(E21*Unit_Cost!$M$32+E22*(Unit_Cost!$M$33+Cache_Store!$M$23*E10/B4_Retain)+E23*Unit_Cost!$M$34)/1000000,"SLO 不可達")</f>
        <v>0.0207647528285406</v>
      </c>
      <c r="F30" s="83" t="n">
        <f aca="false">IF(ISNUMBER(Unit_Cost!$M$34),(F21*Unit_Cost!$M$32+F22*(Unit_Cost!$M$33+Cache_Store!$M$23*F10/B4_Retain)+F23*Unit_Cost!$M$34)/1000000,"SLO 不可達")</f>
        <v>0.0124375965773708</v>
      </c>
      <c r="G30" s="83" t="n">
        <f aca="false">IF(ISNUMBER(Unit_Cost!$M$34),(G21*Unit_Cost!$M$32+G22*(Unit_Cost!$M$33+Cache_Store!$M$23*G10/B4_Retain)+G23*Unit_Cost!$M$34)/1000000,"SLO 不可達")</f>
        <v>0.0154356040186197</v>
      </c>
      <c r="H30" s="83" t="n">
        <f aca="false">IF(ISNUMBER(Unit_Cost!$M$34),(H21*Unit_Cost!$M$32+H22*(Unit_Cost!$M$33+Cache_Store!$M$23*H10/B4_Retain)+H23*Unit_Cost!$M$34)/1000000,"SLO 不可達")</f>
        <v>0.0138257249865169</v>
      </c>
      <c r="I30" s="83" t="n">
        <f aca="false">IF(ISNUMBER(Unit_Cost!$M$34),(I21*Unit_Cost!$M$32+I22*(Unit_Cost!$M$33+Cache_Store!$M$23*I10/B4_Retain)+I23*Unit_Cost!$M$34)/1000000,"SLO 不可達")</f>
        <v>0.0139366002979953</v>
      </c>
      <c r="J30" s="83" t="n">
        <f aca="false">IF(ISNUMBER(Unit_Cost!$M$34),(J21*Unit_Cost!$M$32+J22*(Unit_Cost!$M$33+Cache_Store!$M$23*J10/B4_Retain)+J23*Unit_Cost!$M$34)/1000000,"SLO 不可達")</f>
        <v>0.0135564563729266</v>
      </c>
      <c r="K30" s="83" t="n">
        <f aca="false">IF(ISNUMBER(Unit_Cost!$M$34),(K21*Unit_Cost!$M$32+K22*(Unit_Cost!$M$33+Cache_Store!$M$23*K10/B4_Retain)+K23*Unit_Cost!$M$34)/1000000,"SLO 不可達")</f>
        <v>0.0145068161855982</v>
      </c>
      <c r="L30" s="83" t="n">
        <f aca="false">IF(ISNUMBER(Unit_Cost!$M$34),(L21*Unit_Cost!$M$32+L22*(Unit_Cost!$M$33+Cache_Store!$M$23*L10/B4_Retain)+L23*Unit_Cost!$M$34)/1000000,"SLO 不可達")</f>
        <v>0.0139366002979953</v>
      </c>
      <c r="M30" s="83" t="n">
        <f aca="false">IF(ISNUMBER(Unit_Cost!$M$34),(M21*Unit_Cost!$M$32+M22*(Unit_Cost!$M$33+Cache_Store!$M$23*M10/B4_Retain)+M23*Unit_Cost!$M$34)/1000000,"SLO 不可達")</f>
        <v>0.0139366002979953</v>
      </c>
      <c r="N30" s="83" t="n">
        <f aca="false">IF(ISNUMBER(Unit_Cost!$M$34),(N21*Unit_Cost!$M$32+N22*(Unit_Cost!$M$33+Cache_Store!$M$23*N10/B4_Retain)+N23*Unit_Cost!$M$34)/1000000,"SLO 不可達")</f>
        <v>0.0138558994037487</v>
      </c>
      <c r="O30" s="83" t="n">
        <f aca="false">IF(ISNUMBER(Unit_Cost!$M$34),(O21*Unit_Cost!$M$32+O22*(Unit_Cost!$M$33+Cache_Store!$M$23*O10/B4_Retain)+O23*Unit_Cost!$M$34)/1000000,"SLO 不可達")</f>
        <v>0.0141195528934747</v>
      </c>
      <c r="P30" s="83" t="n">
        <f aca="false">IF(ISNUMBER(Unit_Cost!$M$34),(P21*Unit_Cost!$M$32+P22*(Unit_Cost!$M$33+Cache_Store!$M$23*P10/B4_Retain)+P23*Unit_Cost!$M$34)/1000000,"SLO 不可達")</f>
        <v>0.0139366002979953</v>
      </c>
      <c r="Q30" s="83" t="n">
        <f aca="false">IF(ISNUMBER(Unit_Cost!$M$34),(Q21*Unit_Cost!$M$32+Q22*(Unit_Cost!$M$33+Cache_Store!$M$23*Q10/B4_Retain)+Q23*Unit_Cost!$M$34)/1000000,"SLO 不可達")</f>
        <v>0.0139366002979953</v>
      </c>
      <c r="R30" s="83" t="n">
        <f aca="false">IF(ISNUMBER(Unit_Cost!$M$34),(R21*Unit_Cost!$M$32+R22*(Unit_Cost!$M$33+Cache_Store!$M$23*R10/B4_Retain)+R23*Unit_Cost!$M$34)/1000000,"SLO 不可達")</f>
        <v>0.0139366002979953</v>
      </c>
      <c r="S30" s="83" t="n">
        <f aca="false">IF(ISNUMBER(Unit_Cost!$M$34),(S21*Unit_Cost!$M$32+S22*(Unit_Cost!$M$33+Cache_Store!$M$23*S10/B4_Retain)+S23*Unit_Cost!$M$34)/1000000,"SLO 不可達")</f>
        <v>0.0139366002979953</v>
      </c>
    </row>
    <row r="31" customFormat="false" ht="15" hidden="false" customHeight="false" outlineLevel="0" collapsed="false">
      <c r="A31" s="54" t="s">
        <v>1662</v>
      </c>
      <c r="C31" s="96" t="n">
        <f aca="false">IF(ISNUMBER(INDEX(B5_SuccOvr_Sol,1,5)),INDEX(B5_SuccOvr_Sol,1,5),1/(1+(INDEX(B5_TaskLen,1,5)/C13)^C11))</f>
        <v>0.5</v>
      </c>
      <c r="D31" s="96" t="n">
        <f aca="false">IF(ISNUMBER(INDEX(B5_SuccOvr_Sol,1,5)),INDEX(B5_SuccOvr_Sol,1,5),1/(1+(INDEX(B5_TaskLen,1,5)/D13)^D11))</f>
        <v>0.5</v>
      </c>
      <c r="E31" s="96" t="n">
        <f aca="false">IF(ISNUMBER(INDEX(B5_SuccOvr_Sol,1,5)),INDEX(B5_SuccOvr_Sol,1,5),1/(1+(INDEX(B5_TaskLen,1,5)/E13)^E11))</f>
        <v>0.5</v>
      </c>
      <c r="F31" s="96" t="n">
        <f aca="false">IF(ISNUMBER(INDEX(B5_SuccOvr_Sol,1,5)),INDEX(B5_SuccOvr_Sol,1,5),1/(1+(INDEX(B5_TaskLen,1,5)/F13)^F11))</f>
        <v>0.5</v>
      </c>
      <c r="G31" s="96" t="n">
        <f aca="false">IF(ISNUMBER(INDEX(B5_SuccOvr_Sol,1,5)),INDEX(B5_SuccOvr_Sol,1,5),1/(1+(INDEX(B5_TaskLen,1,5)/G13)^G11))</f>
        <v>0.5</v>
      </c>
      <c r="H31" s="96" t="n">
        <f aca="false">IF(ISNUMBER(INDEX(B5_SuccOvr_Sol,1,5)),INDEX(B5_SuccOvr_Sol,1,5),1/(1+(INDEX(B5_TaskLen,1,5)/H13)^H11))</f>
        <v>0.5</v>
      </c>
      <c r="I31" s="96" t="n">
        <f aca="false">IF(ISNUMBER(INDEX(B5_SuccOvr_Sol,1,5)),INDEX(B5_SuccOvr_Sol,1,5),1/(1+(INDEX(B5_TaskLen,1,5)/I13)^I11))</f>
        <v>0.5</v>
      </c>
      <c r="J31" s="96" t="n">
        <f aca="false">IF(ISNUMBER(INDEX(B5_SuccOvr_Sol,1,5)),INDEX(B5_SuccOvr_Sol,1,5),1/(1+(INDEX(B5_TaskLen,1,5)/J13)^J11))</f>
        <v>0.5</v>
      </c>
      <c r="K31" s="96" t="n">
        <f aca="false">IF(ISNUMBER(INDEX(B5_SuccOvr_Sol,1,5)),INDEX(B5_SuccOvr_Sol,1,5),1/(1+(INDEX(B5_TaskLen,1,5)/K13)^K11))</f>
        <v>0.5</v>
      </c>
      <c r="L31" s="96" t="n">
        <f aca="false">IF(ISNUMBER(INDEX(B5_SuccOvr_Sol,1,5)),INDEX(B5_SuccOvr_Sol,1,5),1/(1+(INDEX(B5_TaskLen,1,5)/L13)^L11))</f>
        <v>0.5</v>
      </c>
      <c r="M31" s="96" t="n">
        <f aca="false">IF(ISNUMBER(INDEX(B5_SuccOvr_Sol,1,5)),INDEX(B5_SuccOvr_Sol,1,5),1/(1+(INDEX(B5_TaskLen,1,5)/M13)^M11))</f>
        <v>0.5</v>
      </c>
      <c r="N31" s="96" t="n">
        <f aca="false">IF(ISNUMBER(INDEX(B5_SuccOvr_Sol,1,5)),INDEX(B5_SuccOvr_Sol,1,5),1/(1+(INDEX(B5_TaskLen,1,5)/N13)^N11))</f>
        <v>0.5</v>
      </c>
      <c r="O31" s="96" t="n">
        <f aca="false">IF(ISNUMBER(INDEX(B5_SuccOvr_Sol,1,5)),INDEX(B5_SuccOvr_Sol,1,5),1/(1+(INDEX(B5_TaskLen,1,5)/O13)^O11))</f>
        <v>0.5</v>
      </c>
      <c r="P31" s="96" t="n">
        <f aca="false">IF(ISNUMBER(INDEX(B5_SuccOvr_Sol,1,5)),INDEX(B5_SuccOvr_Sol,1,5),1/(1+(INDEX(B5_TaskLen,1,5)/P13)^P11))</f>
        <v>0.5</v>
      </c>
      <c r="Q31" s="96" t="n">
        <f aca="false">IF(ISNUMBER(INDEX(B5_SuccOvr_Sol,1,5)),INDEX(B5_SuccOvr_Sol,1,5),1/(1+(INDEX(B5_TaskLen,1,5)/Q13)^Q11))</f>
        <v>0.5</v>
      </c>
      <c r="R31" s="96" t="n">
        <f aca="false">IF(ISNUMBER(INDEX(B5_SuccOvr_Sol,1,5)),INDEX(B5_SuccOvr_Sol,1,5),1/(1+(INDEX(B5_TaskLen,1,5)/R13)^R11))</f>
        <v>0.372884880824589</v>
      </c>
      <c r="S31" s="96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54" t="s">
        <v>1663</v>
      </c>
      <c r="C32" s="96" t="n">
        <f aca="false">IF(ISNUMBER(INDEX(B5_SuccOvr_Sol,1,5)),INDEX(B5_SuccOvr_Sol,1,5),1/(1+(INDEX(B5_TaskLen,1,5)/(C13*C9))^C11))</f>
        <v>0.627115119175411</v>
      </c>
      <c r="D32" s="96" t="n">
        <f aca="false">IF(ISNUMBER(INDEX(B5_SuccOvr_Sol,1,5)),INDEX(B5_SuccOvr_Sol,1,5),1/(1+(INDEX(B5_TaskLen,1,5)/(D13*D9))^D11))</f>
        <v>0.627115119175411</v>
      </c>
      <c r="E32" s="96" t="n">
        <f aca="false">IF(ISNUMBER(INDEX(B5_SuccOvr_Sol,1,5)),INDEX(B5_SuccOvr_Sol,1,5),1/(1+(INDEX(B5_TaskLen,1,5)/(E13*E9))^E11))</f>
        <v>0.627115119175411</v>
      </c>
      <c r="F32" s="96" t="n">
        <f aca="false">IF(ISNUMBER(INDEX(B5_SuccOvr_Sol,1,5)),INDEX(B5_SuccOvr_Sol,1,5),1/(1+(INDEX(B5_TaskLen,1,5)/(F13*F9))^F11))</f>
        <v>0.627115119175411</v>
      </c>
      <c r="G32" s="96" t="n">
        <f aca="false">IF(ISNUMBER(INDEX(B5_SuccOvr_Sol,1,5)),INDEX(B5_SuccOvr_Sol,1,5),1/(1+(INDEX(B5_TaskLen,1,5)/(G13*G9))^G11))</f>
        <v>0.627115119175411</v>
      </c>
      <c r="H32" s="96" t="n">
        <f aca="false">IF(ISNUMBER(INDEX(B5_SuccOvr_Sol,1,5)),INDEX(B5_SuccOvr_Sol,1,5),1/(1+(INDEX(B5_TaskLen,1,5)/(H13*H9))^H11))</f>
        <v>0.627115119175411</v>
      </c>
      <c r="I32" s="96" t="n">
        <f aca="false">IF(ISNUMBER(INDEX(B5_SuccOvr_Sol,1,5)),INDEX(B5_SuccOvr_Sol,1,5),1/(1+(INDEX(B5_TaskLen,1,5)/(I13*I9))^I11))</f>
        <v>0.627115119175411</v>
      </c>
      <c r="J32" s="96" t="n">
        <f aca="false">IF(ISNUMBER(INDEX(B5_SuccOvr_Sol,1,5)),INDEX(B5_SuccOvr_Sol,1,5),1/(1+(INDEX(B5_TaskLen,1,5)/(J13*J9))^J11))</f>
        <v>0.627115119175411</v>
      </c>
      <c r="K32" s="96" t="n">
        <f aca="false">IF(ISNUMBER(INDEX(B5_SuccOvr_Sol,1,5)),INDEX(B5_SuccOvr_Sol,1,5),1/(1+(INDEX(B5_TaskLen,1,5)/(K13*K9))^K11))</f>
        <v>0.627115119175411</v>
      </c>
      <c r="L32" s="96" t="n">
        <f aca="false">IF(ISNUMBER(INDEX(B5_SuccOvr_Sol,1,5)),INDEX(B5_SuccOvr_Sol,1,5),1/(1+(INDEX(B5_TaskLen,1,5)/(L13*L9))^L11))</f>
        <v>0.5</v>
      </c>
      <c r="M32" s="96" t="n">
        <f aca="false">IF(ISNUMBER(INDEX(B5_SuccOvr_Sol,1,5)),INDEX(B5_SuccOvr_Sol,1,5),1/(1+(INDEX(B5_TaskLen,1,5)/(M13*M9))^M11))</f>
        <v>0.738796125036259</v>
      </c>
      <c r="N32" s="96" t="n">
        <f aca="false">IF(ISNUMBER(INDEX(B5_SuccOvr_Sol,1,5)),INDEX(B5_SuccOvr_Sol,1,5),1/(1+(INDEX(B5_TaskLen,1,5)/(N13*N9))^N11))</f>
        <v>0.627115119175411</v>
      </c>
      <c r="O32" s="96" t="n">
        <f aca="false">IF(ISNUMBER(INDEX(B5_SuccOvr_Sol,1,5)),INDEX(B5_SuccOvr_Sol,1,5),1/(1+(INDEX(B5_TaskLen,1,5)/(O13*O9))^O11))</f>
        <v>0.627115119175411</v>
      </c>
      <c r="P32" s="96" t="n">
        <f aca="false">IF(ISNUMBER(INDEX(B5_SuccOvr_Sol,1,5)),INDEX(B5_SuccOvr_Sol,1,5),1/(1+(INDEX(B5_TaskLen,1,5)/(P13*P9))^P11))</f>
        <v>0.610768963418861</v>
      </c>
      <c r="Q32" s="96" t="n">
        <f aca="false">IF(ISNUMBER(INDEX(B5_SuccOvr_Sol,1,5)),INDEX(B5_SuccOvr_Sol,1,5),1/(1+(INDEX(B5_TaskLen,1,5)/(Q13*Q9))^Q11))</f>
        <v>0.666666666666667</v>
      </c>
      <c r="R32" s="96" t="n">
        <f aca="false">IF(ISNUMBER(INDEX(B5_SuccOvr_Sol,1,5)),INDEX(B5_SuccOvr_Sol,1,5),1/(1+(INDEX(B5_TaskLen,1,5)/(R13*R9))^R11))</f>
        <v>0.5</v>
      </c>
      <c r="S32" s="96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54" t="s">
        <v>1664</v>
      </c>
      <c r="C33" s="154" t="n">
        <f aca="false">IF(AND(ISNUMBER(C30),ISNUMBER(Harness!$G$70)),(C30/C32)/(Harness!$G$70/C31),"SLO 不可達")</f>
        <v>0.479278330582203</v>
      </c>
      <c r="D33" s="154" t="n">
        <f aca="false">IF(AND(ISNUMBER(D30),ISNUMBER(Harness!$G$70)),(D30/D32)/(Harness!$G$70/D31),"SLO 不可達")</f>
        <v>0.332536830206855</v>
      </c>
      <c r="E33" s="154" t="n">
        <f aca="false">IF(AND(ISNUMBER(E30),ISNUMBER(Harness!$G$70)),(E30/E32)/(Harness!$G$70/E31),"SLO 不可達")</f>
        <v>0.714097832887304</v>
      </c>
      <c r="F33" s="154" t="n">
        <f aca="false">IF(AND(ISNUMBER(F30),ISNUMBER(Harness!$G$70)),(F30/F32)/(Harness!$G$70/F31),"SLO 不可達")</f>
        <v>0.427727738228576</v>
      </c>
      <c r="G33" s="154" t="n">
        <f aca="false">IF(AND(ISNUMBER(G30),ISNUMBER(Harness!$G$70)),(G30/G32)/(Harness!$G$70/G31),"SLO 不可達")</f>
        <v>0.53082892293583</v>
      </c>
      <c r="H33" s="154" t="n">
        <f aca="false">IF(AND(ISNUMBER(H30),ISNUMBER(Harness!$G$70)),(H30/H32)/(Harness!$G$70/H31),"SLO 不可達")</f>
        <v>0.475465339389812</v>
      </c>
      <c r="I33" s="154" t="n">
        <f aca="false">IF(AND(ISNUMBER(I30),ISNUMBER(Harness!$G$70)),(I30/I32)/(Harness!$G$70/I31),"SLO 不可達")</f>
        <v>0.479278330582203</v>
      </c>
      <c r="J33" s="154" t="n">
        <f aca="false">IF(AND(ISNUMBER(J30),ISNUMBER(Harness!$G$70)),(J30/J32)/(Harness!$G$70/J31),"SLO 不可達")</f>
        <v>0.466205217922578</v>
      </c>
      <c r="K33" s="154" t="n">
        <f aca="false">IF(AND(ISNUMBER(K30),ISNUMBER(Harness!$G$70)),(K30/K32)/(Harness!$G$70/K31),"SLO 不可達")</f>
        <v>0.498887999571641</v>
      </c>
      <c r="L33" s="154" t="n">
        <f aca="false">IF(AND(ISNUMBER(L30),ISNUMBER(Harness!$G$70)),(L30/L32)/(Harness!$G$70/L31),"SLO 不可達")</f>
        <v>0.601125374802501</v>
      </c>
      <c r="M33" s="154" t="n">
        <f aca="false">IF(AND(ISNUMBER(M30),ISNUMBER(Harness!$G$70)),(M30/M32)/(Harness!$G$70/M31),"SLO 不可達")</f>
        <v>0.406827644617789</v>
      </c>
      <c r="N33" s="154" t="n">
        <f aca="false">IF(AND(ISNUMBER(N30),ISNUMBER(Harness!$G$70)),(N30/N32)/(Harness!$G$70/N31),"SLO 不可達")</f>
        <v>0.476503034667564</v>
      </c>
      <c r="O33" s="154" t="n">
        <f aca="false">IF(AND(ISNUMBER(O30),ISNUMBER(Harness!$G$70)),(O30/O32)/(Harness!$G$70/O31),"SLO 不可達")</f>
        <v>0.485570052570505</v>
      </c>
      <c r="P33" s="154" t="n">
        <f aca="false">IF(AND(ISNUMBER(P30),ISNUMBER(Harness!$G$70)),(P30/P32)/(Harness!$G$70/P31),"SLO 不可達")</f>
        <v>0.492105371102701</v>
      </c>
      <c r="Q33" s="154" t="n">
        <f aca="false">IF(AND(ISNUMBER(Q30),ISNUMBER(Harness!$G$70)),(Q30/Q32)/(Harness!$G$70/Q31),"SLO 不可達")</f>
        <v>0.450844031101875</v>
      </c>
      <c r="R33" s="154" t="n">
        <f aca="false">IF(AND(ISNUMBER(R30),ISNUMBER(Harness!$G$70)),(R30/R32)/(Harness!$G$70/R31),"SLO 不可達")</f>
        <v>0.448301127487734</v>
      </c>
      <c r="S33" s="154" t="n">
        <f aca="false">IF(AND(ISNUMBER(S30),ISNUMBER(Harness!$G$70)),(S30/S32)/(Harness!$G$70/S31),"SLO 不可達")</f>
        <v>0.497663636883183</v>
      </c>
    </row>
    <row r="34" customFormat="false" ht="15" hidden="false" customHeight="false" outlineLevel="0" collapsed="false">
      <c r="A34" s="54" t="s">
        <v>1665</v>
      </c>
      <c r="C34" s="83" t="n">
        <f aca="false">IF(ISNUMBER(Unit_Cost!$M$47),(C21*Unit_Cost!$M$45+C22*(Unit_Cost!$M$46+Cache_Store!$M$29*C10/B4_Retain)+C23*Unit_Cost!$M$47)/1000000,"SLO 不可達")</f>
        <v>0.0675707112126206</v>
      </c>
      <c r="D34" s="83" t="n">
        <f aca="false">IF(ISNUMBER(Unit_Cost!$M$47),(D21*Unit_Cost!$M$45+D22*(Unit_Cost!$M$46+Cache_Store!$M$29*D10/B4_Retain)+D23*Unit_Cost!$M$47)/1000000,"SLO 不可達")</f>
        <v>0.0470962874297568</v>
      </c>
      <c r="E34" s="83" t="n">
        <f aca="false">IF(ISNUMBER(Unit_Cost!$M$47),(E21*Unit_Cost!$M$45+E22*(Unit_Cost!$M$46+Cache_Store!$M$29*E10/B4_Retain)+E23*Unit_Cost!$M$47)/1000000,"SLO 不可達")</f>
        <v>0.100035106327232</v>
      </c>
      <c r="F34" s="83" t="n">
        <f aca="false">IF(ISNUMBER(Unit_Cost!$M$47),(F21*Unit_Cost!$M$45+F22*(Unit_Cost!$M$46+Cache_Store!$M$29*F10/B4_Retain)+F23*Unit_Cost!$M$47)/1000000,"SLO 不可達")</f>
        <v>0.0598710376233119</v>
      </c>
      <c r="G34" s="83" t="n">
        <f aca="false">IF(ISNUMBER(Unit_Cost!$M$47),(G21*Unit_Cost!$M$45+G22*(Unit_Cost!$M$46+Cache_Store!$M$29*G10/B4_Retain)+G23*Unit_Cost!$M$47)/1000000,"SLO 不可達")</f>
        <v>0.0752703848019292</v>
      </c>
      <c r="H34" s="83" t="n">
        <f aca="false">IF(ISNUMBER(Unit_Cost!$M$47),(H21*Unit_Cost!$M$45+H22*(Unit_Cost!$M$46+Cache_Store!$M$29*H10/B4_Retain)+H23*Unit_Cost!$M$47)/1000000,"SLO 不可達")</f>
        <v>0.0671162920984647</v>
      </c>
      <c r="I34" s="83" t="n">
        <f aca="false">IF(ISNUMBER(Unit_Cost!$M$47),(I21*Unit_Cost!$M$45+I22*(Unit_Cost!$M$46+Cache_Store!$M$29*I10/B4_Retain)+I23*Unit_Cost!$M$47)/1000000,"SLO 不可達")</f>
        <v>0.0675707112126206</v>
      </c>
      <c r="J34" s="83" t="n">
        <f aca="false">IF(ISNUMBER(Unit_Cost!$M$47),(J21*Unit_Cost!$M$45+J22*(Unit_Cost!$M$46+Cache_Store!$M$29*J10/B4_Retain)+J23*Unit_Cost!$M$47)/1000000,"SLO 不可達")</f>
        <v>0.066012702821229</v>
      </c>
      <c r="K34" s="83" t="n">
        <f aca="false">IF(ISNUMBER(Unit_Cost!$M$47),(K21*Unit_Cost!$M$45+K22*(Unit_Cost!$M$46+Cache_Store!$M$29*K10/B4_Retain)+K23*Unit_Cost!$M$47)/1000000,"SLO 不可達")</f>
        <v>0.0699077237997078</v>
      </c>
      <c r="L34" s="83" t="n">
        <f aca="false">IF(ISNUMBER(Unit_Cost!$M$47),(L21*Unit_Cost!$M$45+L22*(Unit_Cost!$M$46+Cache_Store!$M$29*L10/B4_Retain)+L23*Unit_Cost!$M$47)/1000000,"SLO 不可達")</f>
        <v>0.0675707112126206</v>
      </c>
      <c r="M34" s="83" t="n">
        <f aca="false">IF(ISNUMBER(Unit_Cost!$M$47),(M21*Unit_Cost!$M$45+M22*(Unit_Cost!$M$46+Cache_Store!$M$29*M10/B4_Retain)+M23*Unit_Cost!$M$47)/1000000,"SLO 不可達")</f>
        <v>0.0675707112126206</v>
      </c>
      <c r="N34" s="83" t="n">
        <f aca="false">IF(ISNUMBER(Unit_Cost!$M$47),(N21*Unit_Cost!$M$45+N22*(Unit_Cost!$M$46+Cache_Store!$M$29*N10/B4_Retain)+N23*Unit_Cost!$M$47)/1000000,"SLO 不可達")</f>
        <v>0.0663983602646753</v>
      </c>
      <c r="O34" s="83" t="n">
        <f aca="false">IF(ISNUMBER(Unit_Cost!$M$47),(O21*Unit_Cost!$M$45+O22*(Unit_Cost!$M$46+Cache_Store!$M$29*O10/B4_Retain)+O23*Unit_Cost!$M$47)/1000000,"SLO 不可達")</f>
        <v>0.0702284841002918</v>
      </c>
      <c r="P34" s="83" t="n">
        <f aca="false">IF(ISNUMBER(Unit_Cost!$M$47),(P21*Unit_Cost!$M$45+P22*(Unit_Cost!$M$46+Cache_Store!$M$29*P10/B4_Retain)+P23*Unit_Cost!$M$47)/1000000,"SLO 不可達")</f>
        <v>0.0675707112126206</v>
      </c>
      <c r="Q34" s="83" t="n">
        <f aca="false">IF(ISNUMBER(Unit_Cost!$M$47),(Q21*Unit_Cost!$M$45+Q22*(Unit_Cost!$M$46+Cache_Store!$M$29*Q10/B4_Retain)+Q23*Unit_Cost!$M$47)/1000000,"SLO 不可達")</f>
        <v>0.0675707112126206</v>
      </c>
      <c r="R34" s="83" t="n">
        <f aca="false">IF(ISNUMBER(Unit_Cost!$M$47),(R21*Unit_Cost!$M$45+R22*(Unit_Cost!$M$46+Cache_Store!$M$29*R10/B4_Retain)+R23*Unit_Cost!$M$47)/1000000,"SLO 不可達")</f>
        <v>0.0675707112126206</v>
      </c>
      <c r="S34" s="83" t="n">
        <f aca="false">IF(ISNUMBER(Unit_Cost!$M$47),(S21*Unit_Cost!$M$45+S22*(Unit_Cost!$M$46+Cache_Store!$M$29*S10/B4_Retain)+S23*Unit_Cost!$M$47)/1000000,"SLO 不可達")</f>
        <v>0.0675707112126206</v>
      </c>
    </row>
    <row r="35" customFormat="false" ht="15" hidden="false" customHeight="false" outlineLevel="0" collapsed="false">
      <c r="A35" s="54" t="s">
        <v>1666</v>
      </c>
      <c r="C35" s="96" t="n">
        <f aca="false">IF(ISNUMBER(INDEX(B5_SuccOvr_Astra,1,5)),INDEX(B5_SuccOvr_Astra,1,5),1/(1+(INDEX(B5_TaskLen,1,5)/C14)^C11))</f>
        <v>0.627115119175411</v>
      </c>
      <c r="D35" s="96" t="n">
        <f aca="false">IF(ISNUMBER(INDEX(B5_SuccOvr_Astra,1,5)),INDEX(B5_SuccOvr_Astra,1,5),1/(1+(INDEX(B5_TaskLen,1,5)/D14)^D11))</f>
        <v>0.627115119175411</v>
      </c>
      <c r="E35" s="96" t="n">
        <f aca="false">IF(ISNUMBER(INDEX(B5_SuccOvr_Astra,1,5)),INDEX(B5_SuccOvr_Astra,1,5),1/(1+(INDEX(B5_TaskLen,1,5)/E14)^E11))</f>
        <v>0.627115119175411</v>
      </c>
      <c r="F35" s="96" t="n">
        <f aca="false">IF(ISNUMBER(INDEX(B5_SuccOvr_Astra,1,5)),INDEX(B5_SuccOvr_Astra,1,5),1/(1+(INDEX(B5_TaskLen,1,5)/F14)^F11))</f>
        <v>0.627115119175411</v>
      </c>
      <c r="G35" s="96" t="n">
        <f aca="false">IF(ISNUMBER(INDEX(B5_SuccOvr_Astra,1,5)),INDEX(B5_SuccOvr_Astra,1,5),1/(1+(INDEX(B5_TaskLen,1,5)/G14)^G11))</f>
        <v>0.627115119175411</v>
      </c>
      <c r="H35" s="96" t="n">
        <f aca="false">IF(ISNUMBER(INDEX(B5_SuccOvr_Astra,1,5)),INDEX(B5_SuccOvr_Astra,1,5),1/(1+(INDEX(B5_TaskLen,1,5)/H14)^H11))</f>
        <v>0.627115119175411</v>
      </c>
      <c r="I35" s="96" t="n">
        <f aca="false">IF(ISNUMBER(INDEX(B5_SuccOvr_Astra,1,5)),INDEX(B5_SuccOvr_Astra,1,5),1/(1+(INDEX(B5_TaskLen,1,5)/I14)^I11))</f>
        <v>0.627115119175411</v>
      </c>
      <c r="J35" s="96" t="n">
        <f aca="false">IF(ISNUMBER(INDEX(B5_SuccOvr_Astra,1,5)),INDEX(B5_SuccOvr_Astra,1,5),1/(1+(INDEX(B5_TaskLen,1,5)/J14)^J11))</f>
        <v>0.627115119175411</v>
      </c>
      <c r="K35" s="96" t="n">
        <f aca="false">IF(ISNUMBER(INDEX(B5_SuccOvr_Astra,1,5)),INDEX(B5_SuccOvr_Astra,1,5),1/(1+(INDEX(B5_TaskLen,1,5)/K14)^K11))</f>
        <v>0.627115119175411</v>
      </c>
      <c r="L35" s="96" t="n">
        <f aca="false">IF(ISNUMBER(INDEX(B5_SuccOvr_Astra,1,5)),INDEX(B5_SuccOvr_Astra,1,5),1/(1+(INDEX(B5_TaskLen,1,5)/L14)^L11))</f>
        <v>0.627115119175411</v>
      </c>
      <c r="M35" s="96" t="n">
        <f aca="false">IF(ISNUMBER(INDEX(B5_SuccOvr_Astra,1,5)),INDEX(B5_SuccOvr_Astra,1,5),1/(1+(INDEX(B5_TaskLen,1,5)/M14)^M11))</f>
        <v>0.627115119175411</v>
      </c>
      <c r="N35" s="96" t="n">
        <f aca="false">IF(ISNUMBER(INDEX(B5_SuccOvr_Astra,1,5)),INDEX(B5_SuccOvr_Astra,1,5),1/(1+(INDEX(B5_TaskLen,1,5)/N14)^N11))</f>
        <v>0.627115119175411</v>
      </c>
      <c r="O35" s="96" t="n">
        <f aca="false">IF(ISNUMBER(INDEX(B5_SuccOvr_Astra,1,5)),INDEX(B5_SuccOvr_Astra,1,5),1/(1+(INDEX(B5_TaskLen,1,5)/O14)^O11))</f>
        <v>0.627115119175411</v>
      </c>
      <c r="P35" s="96" t="n">
        <f aca="false">IF(ISNUMBER(INDEX(B5_SuccOvr_Astra,1,5)),INDEX(B5_SuccOvr_Astra,1,5),1/(1+(INDEX(B5_TaskLen,1,5)/P14)^P11))</f>
        <v>0.610768963418861</v>
      </c>
      <c r="Q35" s="96" t="n">
        <f aca="false">IF(ISNUMBER(INDEX(B5_SuccOvr_Astra,1,5)),INDEX(B5_SuccOvr_Astra,1,5),1/(1+(INDEX(B5_TaskLen,1,5)/Q14)^Q11))</f>
        <v>0.666666666666667</v>
      </c>
      <c r="R35" s="96" t="n">
        <f aca="false">IF(ISNUMBER(INDEX(B5_SuccOvr_Astra,1,5)),INDEX(B5_SuccOvr_Astra,1,5),1/(1+(INDEX(B5_TaskLen,1,5)/R14)^R11))</f>
        <v>0.559427839262904</v>
      </c>
      <c r="S35" s="96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54" t="s">
        <v>1667</v>
      </c>
      <c r="C36" s="96" t="n">
        <f aca="false">IF(ISNUMBER(INDEX(B5_SuccOvr_Astra,1,5)),INDEX(B5_SuccOvr_Astra,1,5),1/(1+(INDEX(B5_TaskLen,1,5)/(C14*C9))^C11))</f>
        <v>0.738796125036259</v>
      </c>
      <c r="D36" s="96" t="n">
        <f aca="false">IF(ISNUMBER(INDEX(B5_SuccOvr_Astra,1,5)),INDEX(B5_SuccOvr_Astra,1,5),1/(1+(INDEX(B5_TaskLen,1,5)/(D14*D9))^D11))</f>
        <v>0.738796125036259</v>
      </c>
      <c r="E36" s="96" t="n">
        <f aca="false">IF(ISNUMBER(INDEX(B5_SuccOvr_Astra,1,5)),INDEX(B5_SuccOvr_Astra,1,5),1/(1+(INDEX(B5_TaskLen,1,5)/(E14*E9))^E11))</f>
        <v>0.738796125036259</v>
      </c>
      <c r="F36" s="96" t="n">
        <f aca="false">IF(ISNUMBER(INDEX(B5_SuccOvr_Astra,1,5)),INDEX(B5_SuccOvr_Astra,1,5),1/(1+(INDEX(B5_TaskLen,1,5)/(F14*F9))^F11))</f>
        <v>0.738796125036259</v>
      </c>
      <c r="G36" s="96" t="n">
        <f aca="false">IF(ISNUMBER(INDEX(B5_SuccOvr_Astra,1,5)),INDEX(B5_SuccOvr_Astra,1,5),1/(1+(INDEX(B5_TaskLen,1,5)/(G14*G9))^G11))</f>
        <v>0.738796125036259</v>
      </c>
      <c r="H36" s="96" t="n">
        <f aca="false">IF(ISNUMBER(INDEX(B5_SuccOvr_Astra,1,5)),INDEX(B5_SuccOvr_Astra,1,5),1/(1+(INDEX(B5_TaskLen,1,5)/(H14*H9))^H11))</f>
        <v>0.738796125036259</v>
      </c>
      <c r="I36" s="96" t="n">
        <f aca="false">IF(ISNUMBER(INDEX(B5_SuccOvr_Astra,1,5)),INDEX(B5_SuccOvr_Astra,1,5),1/(1+(INDEX(B5_TaskLen,1,5)/(I14*I9))^I11))</f>
        <v>0.738796125036259</v>
      </c>
      <c r="J36" s="96" t="n">
        <f aca="false">IF(ISNUMBER(INDEX(B5_SuccOvr_Astra,1,5)),INDEX(B5_SuccOvr_Astra,1,5),1/(1+(INDEX(B5_TaskLen,1,5)/(J14*J9))^J11))</f>
        <v>0.738796125036259</v>
      </c>
      <c r="K36" s="96" t="n">
        <f aca="false">IF(ISNUMBER(INDEX(B5_SuccOvr_Astra,1,5)),INDEX(B5_SuccOvr_Astra,1,5),1/(1+(INDEX(B5_TaskLen,1,5)/(K14*K9))^K11))</f>
        <v>0.738796125036259</v>
      </c>
      <c r="L36" s="96" t="n">
        <f aca="false">IF(ISNUMBER(INDEX(B5_SuccOvr_Astra,1,5)),INDEX(B5_SuccOvr_Astra,1,5),1/(1+(INDEX(B5_TaskLen,1,5)/(L14*L9))^L11))</f>
        <v>0.627115119175411</v>
      </c>
      <c r="M36" s="96" t="n">
        <f aca="false">IF(ISNUMBER(INDEX(B5_SuccOvr_Astra,1,5)),INDEX(B5_SuccOvr_Astra,1,5),1/(1+(INDEX(B5_TaskLen,1,5)/(M14*M9))^M11))</f>
        <v>0.826293243415818</v>
      </c>
      <c r="N36" s="96" t="n">
        <f aca="false">IF(ISNUMBER(INDEX(B5_SuccOvr_Astra,1,5)),INDEX(B5_SuccOvr_Astra,1,5),1/(1+(INDEX(B5_TaskLen,1,5)/(N14*N9))^N11))</f>
        <v>0.738796125036259</v>
      </c>
      <c r="O36" s="96" t="n">
        <f aca="false">IF(ISNUMBER(INDEX(B5_SuccOvr_Astra,1,5)),INDEX(B5_SuccOvr_Astra,1,5),1/(1+(INDEX(B5_TaskLen,1,5)/(O14*O9))^O11))</f>
        <v>0.738796125036259</v>
      </c>
      <c r="P36" s="96" t="n">
        <f aca="false">IF(ISNUMBER(INDEX(B5_SuccOvr_Astra,1,5)),INDEX(B5_SuccOvr_Astra,1,5),1/(1+(INDEX(B5_TaskLen,1,5)/(P14*P9))^P11))</f>
        <v>0.71117372060607</v>
      </c>
      <c r="Q36" s="96" t="n">
        <f aca="false">IF(ISNUMBER(INDEX(B5_SuccOvr_Astra,1,5)),INDEX(B5_SuccOvr_Astra,1,5),1/(1+(INDEX(B5_TaskLen,1,5)/(Q14*Q9))^Q11))</f>
        <v>0.8</v>
      </c>
      <c r="R36" s="96" t="n">
        <f aca="false">IF(ISNUMBER(INDEX(B5_SuccOvr_Astra,1,5)),INDEX(B5_SuccOvr_Astra,1,5),1/(1+(INDEX(B5_TaskLen,1,5)/(R14*R9))^R11))</f>
        <v>0.681071571722459</v>
      </c>
      <c r="S36" s="96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54" t="s">
        <v>1668</v>
      </c>
      <c r="C37" s="154" t="n">
        <f aca="false">IF(AND(ISNUMBER(C34),ISNUMBER(Harness!$G$73)),(C34/C36)/(Harness!$G$73/C35),"SLO 不可達")</f>
        <v>0.519416933036323</v>
      </c>
      <c r="D37" s="154" t="n">
        <f aca="false">IF(AND(ISNUMBER(D34),ISNUMBER(Harness!$G$73)),(D34/D36)/(Harness!$G$73/D35),"SLO 不可達")</f>
        <v>0.362029771999682</v>
      </c>
      <c r="E37" s="154" t="n">
        <f aca="false">IF(AND(ISNUMBER(E34),ISNUMBER(Harness!$G$73)),(E34/E36)/(Harness!$G$73/E35),"SLO 不可達")</f>
        <v>0.768971159130678</v>
      </c>
      <c r="F37" s="154" t="n">
        <f aca="false">IF(AND(ISNUMBER(F34),ISNUMBER(Harness!$G$73)),(F34/F36)/(Harness!$G$73/F35),"SLO 不可達")</f>
        <v>0.460229442341501</v>
      </c>
      <c r="G37" s="154" t="n">
        <f aca="false">IF(AND(ISNUMBER(G34),ISNUMBER(Harness!$G$73)),(G34/G36)/(Harness!$G$73/G35),"SLO 不可達")</f>
        <v>0.578604423731144</v>
      </c>
      <c r="H37" s="154" t="n">
        <f aca="false">IF(AND(ISNUMBER(H34),ISNUMBER(Harness!$G$73)),(H34/H36)/(Harness!$G$73/H35),"SLO 不可達")</f>
        <v>0.515923807414998</v>
      </c>
      <c r="I37" s="154" t="n">
        <f aca="false">IF(AND(ISNUMBER(I34),ISNUMBER(Harness!$G$73)),(I34/I36)/(Harness!$G$73/I35),"SLO 不可達")</f>
        <v>0.519416933036323</v>
      </c>
      <c r="J37" s="154" t="n">
        <f aca="false">IF(AND(ISNUMBER(J34),ISNUMBER(Harness!$G$73)),(J34/J36)/(Harness!$G$73/J35),"SLO 不可達")</f>
        <v>0.507440502334639</v>
      </c>
      <c r="K37" s="154" t="n">
        <f aca="false">IF(AND(ISNUMBER(K34),ISNUMBER(Harness!$G$73)),(K34/K36)/(Harness!$G$73/K35),"SLO 不可達")</f>
        <v>0.537381579088848</v>
      </c>
      <c r="L37" s="154" t="n">
        <f aca="false">IF(AND(ISNUMBER(L34),ISNUMBER(Harness!$G$73)),(L34/L36)/(Harness!$G$73/L35),"SLO 不可達")</f>
        <v>0.611918299641753</v>
      </c>
      <c r="M37" s="154" t="n">
        <f aca="false">IF(AND(ISNUMBER(M34),ISNUMBER(Harness!$G$73)),(M34/M36)/(Harness!$G$73/M35),"SLO 不可達")</f>
        <v>0.464415291378996</v>
      </c>
      <c r="N37" s="154" t="n">
        <f aca="false">IF(AND(ISNUMBER(N34),ISNUMBER(Harness!$G$73)),(N34/N36)/(Harness!$G$73/N35),"SLO 不可達")</f>
        <v>0.510405056101835</v>
      </c>
      <c r="O37" s="154" t="n">
        <f aca="false">IF(AND(ISNUMBER(O34),ISNUMBER(Harness!$G$73)),(O34/O36)/(Harness!$G$73/O35),"SLO 不可達")</f>
        <v>0.539847267677575</v>
      </c>
      <c r="P37" s="154" t="n">
        <f aca="false">IF(AND(ISNUMBER(P34),ISNUMBER(Harness!$G$73)),(P34/P36)/(Harness!$G$73/P35),"SLO 不可達")</f>
        <v>0.525526597426462</v>
      </c>
      <c r="Q37" s="154" t="n">
        <f aca="false">IF(AND(ISNUMBER(Q34),ISNUMBER(Harness!$G$73)),(Q34/Q36)/(Harness!$G$73/Q35),"SLO 不可達")</f>
        <v>0.509931916368128</v>
      </c>
      <c r="R37" s="154" t="n">
        <f aca="false">IF(AND(ISNUMBER(R34),ISNUMBER(Harness!$G$73)),(R34/R36)/(Harness!$G$73/R35),"SLO 不可達")</f>
        <v>0.50262578323195</v>
      </c>
      <c r="S37" s="154" t="n">
        <f aca="false">IF(AND(ISNUMBER(S34),ISNUMBER(Harness!$G$73)),(S34/S36)/(Harness!$G$73/S35),"SLO 不可達")</f>
        <v>0.554808136718826</v>
      </c>
    </row>
    <row r="39" customFormat="false" ht="15" hidden="false" customHeight="false" outlineLevel="0" collapsed="false">
      <c r="A39" s="66" t="s">
        <v>1669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49" t="s">
        <v>1670</v>
      </c>
    </row>
    <row r="2" customFormat="false" ht="15" hidden="false" customHeight="false" outlineLevel="0" collapsed="false">
      <c r="A2" s="66" t="s">
        <v>1671</v>
      </c>
    </row>
    <row r="4" customFormat="false" ht="15" hidden="false" customHeight="false" outlineLevel="0" collapsed="false">
      <c r="A4" s="76" t="s">
        <v>1672</v>
      </c>
      <c r="B4" s="76" t="s">
        <v>55</v>
      </c>
      <c r="C4" s="76" t="s">
        <v>57</v>
      </c>
      <c r="D4" s="76" t="s">
        <v>1099</v>
      </c>
      <c r="E4" s="76" t="s">
        <v>1100</v>
      </c>
      <c r="F4" s="76" t="s">
        <v>59</v>
      </c>
      <c r="G4" s="76" t="s">
        <v>1673</v>
      </c>
    </row>
    <row r="5" customFormat="false" ht="15" hidden="false" customHeight="false" outlineLevel="0" collapsed="false">
      <c r="A5" s="53" t="s">
        <v>1674</v>
      </c>
      <c r="B5" s="53" t="s">
        <v>67</v>
      </c>
      <c r="C5" s="160" t="s">
        <v>1161</v>
      </c>
      <c r="D5" s="54" t="s">
        <v>571</v>
      </c>
      <c r="E5" s="54" t="s">
        <v>571</v>
      </c>
      <c r="F5" s="54" t="s">
        <v>64</v>
      </c>
      <c r="G5" s="80" t="s">
        <v>1675</v>
      </c>
    </row>
    <row r="6" customFormat="false" ht="15" hidden="false" customHeight="false" outlineLevel="0" collapsed="false">
      <c r="A6" s="53" t="s">
        <v>1676</v>
      </c>
      <c r="B6" s="53" t="s">
        <v>1677</v>
      </c>
      <c r="C6" s="161" t="n">
        <v>1</v>
      </c>
      <c r="D6" s="70" t="n">
        <v>1</v>
      </c>
      <c r="E6" s="70" t="n">
        <v>2</v>
      </c>
      <c r="F6" s="54" t="s">
        <v>72</v>
      </c>
      <c r="G6" s="80" t="s">
        <v>1678</v>
      </c>
    </row>
    <row r="7" customFormat="false" ht="15" hidden="false" customHeight="false" outlineLevel="0" collapsed="false">
      <c r="A7" s="53" t="s">
        <v>1679</v>
      </c>
      <c r="B7" s="53" t="s">
        <v>1677</v>
      </c>
      <c r="C7" s="161" t="n">
        <v>2</v>
      </c>
      <c r="D7" s="70" t="n">
        <v>0</v>
      </c>
      <c r="E7" s="70" t="n">
        <v>4</v>
      </c>
      <c r="F7" s="54" t="s">
        <v>72</v>
      </c>
      <c r="G7" s="80" t="s">
        <v>1680</v>
      </c>
    </row>
    <row r="8" customFormat="false" ht="15" hidden="false" customHeight="false" outlineLevel="0" collapsed="false">
      <c r="A8" s="53" t="s">
        <v>1681</v>
      </c>
      <c r="B8" s="54" t="s">
        <v>75</v>
      </c>
      <c r="C8" s="161" t="n">
        <v>1</v>
      </c>
      <c r="D8" s="70" t="n">
        <v>0.5</v>
      </c>
      <c r="E8" s="70" t="n">
        <v>7</v>
      </c>
      <c r="F8" s="54" t="s">
        <v>72</v>
      </c>
      <c r="G8" s="80" t="s">
        <v>1682</v>
      </c>
    </row>
    <row r="9" customFormat="false" ht="15" hidden="false" customHeight="false" outlineLevel="0" collapsed="false">
      <c r="A9" s="53" t="s">
        <v>1683</v>
      </c>
      <c r="B9" s="54" t="s">
        <v>71</v>
      </c>
      <c r="C9" s="162" t="n">
        <v>0</v>
      </c>
      <c r="D9" s="58" t="n">
        <v>0</v>
      </c>
      <c r="E9" s="58" t="n">
        <v>1</v>
      </c>
      <c r="F9" s="54" t="s">
        <v>72</v>
      </c>
      <c r="G9" s="86" t="s">
        <v>1684</v>
      </c>
    </row>
    <row r="10" customFormat="false" ht="15" hidden="false" customHeight="false" outlineLevel="0" collapsed="false">
      <c r="A10" s="53" t="s">
        <v>1685</v>
      </c>
      <c r="B10" s="54" t="s">
        <v>71</v>
      </c>
      <c r="C10" s="162" t="n">
        <v>0.4</v>
      </c>
      <c r="D10" s="58" t="n">
        <v>0</v>
      </c>
      <c r="E10" s="58" t="n">
        <v>1</v>
      </c>
      <c r="F10" s="54" t="s">
        <v>72</v>
      </c>
      <c r="G10" s="80" t="s">
        <v>1686</v>
      </c>
    </row>
    <row r="11" customFormat="false" ht="15" hidden="false" customHeight="false" outlineLevel="0" collapsed="false">
      <c r="A11" s="53" t="s">
        <v>1687</v>
      </c>
      <c r="B11" s="54" t="s">
        <v>71</v>
      </c>
      <c r="C11" s="162" t="n">
        <v>0.4</v>
      </c>
      <c r="D11" s="58" t="n">
        <v>0</v>
      </c>
      <c r="E11" s="58" t="n">
        <v>1</v>
      </c>
      <c r="F11" s="54" t="s">
        <v>72</v>
      </c>
      <c r="G11" s="86" t="s">
        <v>97</v>
      </c>
    </row>
    <row r="12" customFormat="false" ht="15" hidden="false" customHeight="false" outlineLevel="0" collapsed="false">
      <c r="A12" s="53" t="s">
        <v>1688</v>
      </c>
      <c r="B12" s="54" t="s">
        <v>71</v>
      </c>
      <c r="C12" s="162" t="n">
        <v>0.2</v>
      </c>
      <c r="D12" s="58" t="n">
        <v>0</v>
      </c>
      <c r="E12" s="58" t="n">
        <v>1</v>
      </c>
      <c r="F12" s="54" t="s">
        <v>72</v>
      </c>
      <c r="G12" s="86" t="s">
        <v>97</v>
      </c>
    </row>
    <row r="13" customFormat="false" ht="15" hidden="false" customHeight="false" outlineLevel="0" collapsed="false">
      <c r="A13" s="53" t="s">
        <v>1689</v>
      </c>
      <c r="B13" s="54" t="s">
        <v>71</v>
      </c>
      <c r="C13" s="162" t="n">
        <v>0</v>
      </c>
      <c r="D13" s="58" t="n">
        <v>0</v>
      </c>
      <c r="E13" s="58" t="n">
        <v>1</v>
      </c>
      <c r="F13" s="54" t="s">
        <v>1690</v>
      </c>
      <c r="G13" s="80" t="s">
        <v>1691</v>
      </c>
    </row>
    <row r="14" customFormat="false" ht="15" hidden="false" customHeight="false" outlineLevel="0" collapsed="false">
      <c r="A14" s="54" t="s">
        <v>1692</v>
      </c>
      <c r="B14" s="54" t="s">
        <v>75</v>
      </c>
      <c r="C14" s="161" t="n">
        <v>0.75</v>
      </c>
      <c r="D14" s="70" t="n">
        <v>0.6</v>
      </c>
      <c r="E14" s="70" t="n">
        <v>0.9</v>
      </c>
      <c r="F14" s="54" t="s">
        <v>72</v>
      </c>
      <c r="G14" s="80" t="s">
        <v>1693</v>
      </c>
    </row>
    <row r="15" customFormat="false" ht="15" hidden="false" customHeight="false" outlineLevel="0" collapsed="false">
      <c r="A15" s="53" t="s">
        <v>1694</v>
      </c>
      <c r="B15" s="54" t="s">
        <v>249</v>
      </c>
      <c r="C15" s="75" t="n">
        <v>2000</v>
      </c>
      <c r="D15" s="56" t="n">
        <v>1000</v>
      </c>
      <c r="E15" s="56" t="n">
        <v>6000</v>
      </c>
      <c r="F15" s="54" t="s">
        <v>72</v>
      </c>
      <c r="G15" s="80" t="s">
        <v>1695</v>
      </c>
    </row>
    <row r="16" customFormat="false" ht="15" hidden="false" customHeight="false" outlineLevel="0" collapsed="false">
      <c r="A16" s="54" t="s">
        <v>1696</v>
      </c>
      <c r="B16" s="54" t="s">
        <v>71</v>
      </c>
      <c r="C16" s="162" t="n">
        <v>0.6</v>
      </c>
      <c r="D16" s="58" t="n">
        <v>0.4</v>
      </c>
      <c r="E16" s="58" t="n">
        <v>0.8</v>
      </c>
      <c r="F16" s="54" t="s">
        <v>72</v>
      </c>
      <c r="G16" s="86" t="s">
        <v>1697</v>
      </c>
    </row>
    <row r="18" customFormat="false" ht="15" hidden="false" customHeight="false" outlineLevel="0" collapsed="false">
      <c r="A18" s="51" t="s">
        <v>1698</v>
      </c>
      <c r="C18" s="78" t="n">
        <f aca="false">SUM(AL_MixGen)</f>
        <v>1</v>
      </c>
    </row>
    <row r="20" customFormat="false" ht="15" hidden="false" customHeight="false" outlineLevel="0" collapsed="false">
      <c r="A20" s="66" t="s">
        <v>1699</v>
      </c>
    </row>
  </sheetData>
  <dataValidations count="1">
    <dataValidation allowBlank="false" errorStyle="stop" operator="between" showDropDown="false" showErrorMessage="false" showInputMessage="false" sqref="C5" type="list">
      <formula1>"OpenAI"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5"/>
    <col collapsed="false" customWidth="true" hidden="false" outlineLevel="0" max="23" min="8" style="0" width="13"/>
  </cols>
  <sheetData>
    <row r="1" customFormat="false" ht="17.15" hidden="false" customHeight="false" outlineLevel="0" collapsed="false">
      <c r="A1" s="49" t="s">
        <v>1700</v>
      </c>
    </row>
    <row r="2" customFormat="false" ht="15" hidden="false" customHeight="false" outlineLevel="0" collapsed="false">
      <c r="A2" s="66" t="s">
        <v>1701</v>
      </c>
    </row>
    <row r="4" customFormat="false" ht="15" hidden="false" customHeight="false" outlineLevel="0" collapsed="false">
      <c r="A4" s="68" t="s">
        <v>1702</v>
      </c>
      <c r="B4" s="62"/>
      <c r="C4" s="62"/>
      <c r="D4" s="62"/>
      <c r="E4" s="62"/>
      <c r="F4" s="62"/>
      <c r="G4" s="62"/>
    </row>
    <row r="5" customFormat="false" ht="15" hidden="false" customHeight="false" outlineLevel="0" collapsed="false">
      <c r="A5" s="6" t="s">
        <v>1703</v>
      </c>
      <c r="B5" s="54" t="s">
        <v>750</v>
      </c>
      <c r="C5" s="60" t="n">
        <f aca="false">SRC_DEM_010*1000000000*525600*AL_APIratio/1000000</f>
        <v>2365200000</v>
      </c>
      <c r="G5" s="50" t="s">
        <v>1704</v>
      </c>
    </row>
    <row r="6" customFormat="false" ht="15" hidden="false" customHeight="false" outlineLevel="0" collapsed="false">
      <c r="A6" s="6" t="s">
        <v>1705</v>
      </c>
      <c r="B6" s="54" t="s">
        <v>750</v>
      </c>
      <c r="C6" s="60" t="n">
        <f aca="false">SRC_DEM_012*1000000000*AL_TokPerPrompt*365/1000000</f>
        <v>1825000000</v>
      </c>
      <c r="G6" s="50" t="s">
        <v>1706</v>
      </c>
    </row>
    <row r="7" customFormat="false" ht="15" hidden="false" customHeight="false" outlineLevel="0" collapsed="false">
      <c r="A7" s="6" t="s">
        <v>1707</v>
      </c>
      <c r="B7" s="54" t="s">
        <v>750</v>
      </c>
      <c r="C7" s="60" t="n">
        <f aca="false">AL_DChat*AL_FreeShare</f>
        <v>1095000000</v>
      </c>
      <c r="G7" s="50" t="s">
        <v>1708</v>
      </c>
    </row>
    <row r="8" customFormat="false" ht="15" hidden="false" customHeight="false" outlineLevel="0" collapsed="false">
      <c r="A8" s="6" t="s">
        <v>1709</v>
      </c>
      <c r="B8" s="54" t="s">
        <v>750</v>
      </c>
      <c r="C8" s="60" t="n">
        <f aca="false">AL_DChat-AL_DChatFree</f>
        <v>730000000</v>
      </c>
      <c r="G8" s="50" t="s">
        <v>1710</v>
      </c>
    </row>
    <row r="9" customFormat="false" ht="15" hidden="false" customHeight="false" outlineLevel="0" collapsed="false">
      <c r="A9" s="5" t="s">
        <v>1711</v>
      </c>
      <c r="B9" s="54" t="s">
        <v>750</v>
      </c>
      <c r="C9" s="60" t="n">
        <f aca="false">AL_DAPI+AL_DChatPaid</f>
        <v>3095200000</v>
      </c>
    </row>
    <row r="10" customFormat="false" ht="15" hidden="false" customHeight="false" outlineLevel="0" collapsed="false">
      <c r="A10" s="5" t="s">
        <v>1712</v>
      </c>
      <c r="B10" s="54" t="s">
        <v>750</v>
      </c>
      <c r="C10" s="60" t="n">
        <f aca="false">AL_DChatFree</f>
        <v>1095000000</v>
      </c>
    </row>
    <row r="11" customFormat="false" ht="15" hidden="false" customHeight="false" outlineLevel="0" collapsed="false">
      <c r="A11" s="6" t="s">
        <v>1713</v>
      </c>
      <c r="B11" s="54" t="s">
        <v>750</v>
      </c>
      <c r="C11" s="63" t="n">
        <f aca="false">AL_DPaid+AL_DFree</f>
        <v>4190200000</v>
      </c>
    </row>
    <row r="12" customFormat="false" ht="15" hidden="false" customHeight="false" outlineLevel="0" collapsed="false">
      <c r="A12" s="5" t="s">
        <v>1714</v>
      </c>
      <c r="B12" s="54" t="s">
        <v>1715</v>
      </c>
      <c r="C12" s="64" t="n">
        <f aca="false">AL_D/365/1000000</f>
        <v>11.48</v>
      </c>
      <c r="G12" s="50" t="s">
        <v>1716</v>
      </c>
    </row>
    <row r="14" customFormat="false" ht="15" hidden="false" customHeight="false" outlineLevel="0" collapsed="false">
      <c r="A14" s="68" t="s">
        <v>1717</v>
      </c>
      <c r="B14" s="62"/>
      <c r="C14" s="62"/>
      <c r="D14" s="62"/>
      <c r="E14" s="62"/>
      <c r="F14" s="62"/>
      <c r="G14" s="62"/>
    </row>
    <row r="15" customFormat="false" ht="15" hidden="false" customHeight="false" outlineLevel="0" collapsed="false">
      <c r="A15" s="51" t="s">
        <v>136</v>
      </c>
      <c r="C15" s="74" t="str">
        <f aca="false">INDEX(Spec_Rack!$C$4:$G$4,C16)</f>
        <v>Hopper H100</v>
      </c>
      <c r="D15" s="74" t="str">
        <f aca="false">INDEX(Spec_Rack!$C$4:$G$4,D16)</f>
        <v>GB200 NVL72</v>
      </c>
      <c r="E15" s="74" t="str">
        <f aca="false">INDEX(Spec_Rack!$C$4:$G$4,E16)</f>
        <v>GB300 NVL72</v>
      </c>
      <c r="F15" s="74" t="str">
        <f aca="false">INDEX(Spec_Rack!$C$4:$G$4,F16)</f>
        <v>VR200 NVL72</v>
      </c>
    </row>
    <row r="16" customFormat="false" ht="15" hidden="false" customHeight="false" outlineLevel="0" collapsed="false">
      <c r="A16" s="5" t="s">
        <v>1718</v>
      </c>
      <c r="B16" s="53" t="s">
        <v>895</v>
      </c>
      <c r="C16" s="104" t="n">
        <v>1</v>
      </c>
      <c r="D16" s="104" t="n">
        <v>2</v>
      </c>
      <c r="E16" s="104" t="n">
        <v>3</v>
      </c>
      <c r="F16" s="104" t="n">
        <v>4</v>
      </c>
    </row>
    <row r="17" customFormat="false" ht="15" hidden="false" customHeight="false" outlineLevel="0" collapsed="false">
      <c r="A17" s="6" t="s">
        <v>1719</v>
      </c>
      <c r="B17" s="53" t="s">
        <v>895</v>
      </c>
      <c r="C17" s="104" t="n">
        <f aca="false">3*(C16-1)+2</f>
        <v>2</v>
      </c>
      <c r="D17" s="104" t="n">
        <f aca="false">3*(D16-1)+2</f>
        <v>5</v>
      </c>
      <c r="E17" s="104" t="n">
        <f aca="false">3*(E16-1)+2</f>
        <v>8</v>
      </c>
      <c r="F17" s="104" t="n">
        <f aca="false">3*(F16-1)+2</f>
        <v>11</v>
      </c>
    </row>
    <row r="18" customFormat="false" ht="15" hidden="false" customHeight="false" outlineLevel="0" collapsed="false">
      <c r="A18" s="5" t="s">
        <v>1720</v>
      </c>
      <c r="B18" s="54" t="s">
        <v>71</v>
      </c>
      <c r="C18" s="78" t="n">
        <f aca="false">AL_MixHopper</f>
        <v>0</v>
      </c>
      <c r="D18" s="78" t="n">
        <f aca="false">AL_MixGB200</f>
        <v>0.4</v>
      </c>
      <c r="E18" s="78" t="n">
        <f aca="false">AL_MixGB300</f>
        <v>0.4</v>
      </c>
      <c r="F18" s="78" t="n">
        <f aca="false">AL_MixVR200</f>
        <v>0.2</v>
      </c>
    </row>
    <row r="19" customFormat="false" ht="15" hidden="false" customHeight="false" outlineLevel="0" collapsed="false">
      <c r="A19" s="5" t="s">
        <v>1721</v>
      </c>
      <c r="B19" s="53" t="s">
        <v>1298</v>
      </c>
      <c r="C19" s="104" t="n">
        <f aca="false">IF(AND(AND(OR(INDEX(B4_MixPaid,1,1)=0,INDEX(IF_TokGW_Luna,1,C$17)&gt;0),OR(INDEX(B4_MixPaid,1,2)=0,INDEX(IF_TokGW_Sol,1,C$17)&gt;0),OR(INDEX(B4_MixPaid,1,3)=0,INDEX(IF_TokGW_Astra,1,C$17)&gt;0)),AND(OR(INDEX(B4_MixFree,1,1)=0,INDEX(IF_TokGW_Luna,1,C$17)&gt;0),OR(INDEX(B4_MixFree,1,2)=0,INDEX(IF_TokGW_Sol,1,C$17)&gt;0),OR(INDEX(B4_MixFree,1,3)=0,INDEX(IF_TokGW_Astra,1,C$17)&gt;0))),1,0)</f>
        <v>1</v>
      </c>
      <c r="D19" s="104" t="n">
        <f aca="false">IF(AND(AND(OR(INDEX(B4_MixPaid,1,1)=0,INDEX(IF_TokGW_Luna,1,D$17)&gt;0),OR(INDEX(B4_MixPaid,1,2)=0,INDEX(IF_TokGW_Sol,1,D$17)&gt;0),OR(INDEX(B4_MixPaid,1,3)=0,INDEX(IF_TokGW_Astra,1,D$17)&gt;0)),AND(OR(INDEX(B4_MixFree,1,1)=0,INDEX(IF_TokGW_Luna,1,D$17)&gt;0),OR(INDEX(B4_MixFree,1,2)=0,INDEX(IF_TokGW_Sol,1,D$17)&gt;0),OR(INDEX(B4_MixFree,1,3)=0,INDEX(IF_TokGW_Astra,1,D$17)&gt;0))),1,0)</f>
        <v>1</v>
      </c>
      <c r="E19" s="104" t="n">
        <f aca="false">IF(AND(AND(OR(INDEX(B4_MixPaid,1,1)=0,INDEX(IF_TokGW_Luna,1,E$17)&gt;0),OR(INDEX(B4_MixPaid,1,2)=0,INDEX(IF_TokGW_Sol,1,E$17)&gt;0),OR(INDEX(B4_MixPaid,1,3)=0,INDEX(IF_TokGW_Astra,1,E$17)&gt;0)),AND(OR(INDEX(B4_MixFree,1,1)=0,INDEX(IF_TokGW_Luna,1,E$17)&gt;0),OR(INDEX(B4_MixFree,1,2)=0,INDEX(IF_TokGW_Sol,1,E$17)&gt;0),OR(INDEX(B4_MixFree,1,3)=0,INDEX(IF_TokGW_Astra,1,E$17)&gt;0))),1,0)</f>
        <v>1</v>
      </c>
      <c r="F19" s="104" t="n">
        <f aca="false">IF(AND(AND(OR(INDEX(B4_MixPaid,1,1)=0,INDEX(IF_TokGW_Luna,1,F$17)&gt;0),OR(INDEX(B4_MixPaid,1,2)=0,INDEX(IF_TokGW_Sol,1,F$17)&gt;0),OR(INDEX(B4_MixPaid,1,3)=0,INDEX(IF_TokGW_Astra,1,F$17)&gt;0)),AND(OR(INDEX(B4_MixFree,1,1)=0,INDEX(IF_TokGW_Luna,1,F$17)&gt;0),OR(INDEX(B4_MixFree,1,2)=0,INDEX(IF_TokGW_Sol,1,F$17)&gt;0),OR(INDEX(B4_MixFree,1,3)=0,INDEX(IF_TokGW_Astra,1,F$17)&gt;0))),1,0)</f>
        <v>1</v>
      </c>
    </row>
    <row r="20" customFormat="false" ht="15" hidden="false" customHeight="false" outlineLevel="0" collapsed="false">
      <c r="A20" s="6" t="s">
        <v>1722</v>
      </c>
      <c r="B20" s="54" t="s">
        <v>1723</v>
      </c>
      <c r="C20" s="137" t="n">
        <f aca="false">IF(C19=1,INDEX(B4_MixPaid,1,1)/INDEX(IF_TokGW_Luna,1,C$17)+INDEX(B4_MixPaid,1,2)/INDEX(IF_TokGW_Sol,1,C$17)+INDEX(B4_MixPaid,1,3)/INDEX(IF_TokGW_Astra,1,C$17),"SLO 不可達")</f>
        <v>6.50345670258419E-011</v>
      </c>
      <c r="D20" s="137" t="n">
        <f aca="false">IF(D19=1,INDEX(B4_MixPaid,1,1)/INDEX(IF_TokGW_Luna,1,D$17)+INDEX(B4_MixPaid,1,2)/INDEX(IF_TokGW_Sol,1,D$17)+INDEX(B4_MixPaid,1,3)/INDEX(IF_TokGW_Astra,1,D$17),"SLO 不可達")</f>
        <v>1.2910091701029E-011</v>
      </c>
      <c r="E20" s="137" t="n">
        <f aca="false">IF(E19=1,INDEX(B4_MixPaid,1,1)/INDEX(IF_TokGW_Luna,1,E$17)+INDEX(B4_MixPaid,1,2)/INDEX(IF_TokGW_Sol,1,E$17)+INDEX(B4_MixPaid,1,3)/INDEX(IF_TokGW_Astra,1,E$17),"SLO 不可達")</f>
        <v>9.91638315292966E-012</v>
      </c>
      <c r="F20" s="137" t="n">
        <f aca="false">IF(F19=1,INDEX(B4_MixPaid,1,1)/INDEX(IF_TokGW_Luna,1,F$17)+INDEX(B4_MixPaid,1,2)/INDEX(IF_TokGW_Sol,1,F$17)+INDEX(B4_MixPaid,1,3)/INDEX(IF_TokGW_Astra,1,F$17),"SLO 不可達")</f>
        <v>5.34557372082433E-012</v>
      </c>
      <c r="G20" s="66" t="s">
        <v>1724</v>
      </c>
    </row>
    <row r="21" customFormat="false" ht="15" hidden="false" customHeight="false" outlineLevel="0" collapsed="false">
      <c r="A21" s="6" t="s">
        <v>1725</v>
      </c>
      <c r="B21" s="54" t="s">
        <v>1723</v>
      </c>
      <c r="C21" s="137" t="n">
        <f aca="false">IF(C19=1,INDEX(B4_MixFree,1,1)/INDEX(IF_TokGW_Luna,1,C$17)+INDEX(B4_MixFree,1,2)/INDEX(IF_TokGW_Sol,1,C$17)+INDEX(B4_MixFree,1,3)/INDEX(IF_TokGW_Astra,1,C$17),"SLO 不可達")</f>
        <v>1.68043532968221E-011</v>
      </c>
      <c r="D21" s="137" t="n">
        <f aca="false">IF(D19=1,INDEX(B4_MixFree,1,1)/INDEX(IF_TokGW_Luna,1,D$17)+INDEX(B4_MixFree,1,2)/INDEX(IF_TokGW_Sol,1,D$17)+INDEX(B4_MixFree,1,3)/INDEX(IF_TokGW_Astra,1,D$17),"SLO 不可達")</f>
        <v>3.44446236031014E-012</v>
      </c>
      <c r="E21" s="137" t="n">
        <f aca="false">IF(E19=1,INDEX(B4_MixFree,1,1)/INDEX(IF_TokGW_Luna,1,E$17)+INDEX(B4_MixFree,1,2)/INDEX(IF_TokGW_Sol,1,E$17)+INDEX(B4_MixFree,1,3)/INDEX(IF_TokGW_Astra,1,E$17),"SLO 不可達")</f>
        <v>2.36590362596111E-012</v>
      </c>
      <c r="F21" s="137" t="n">
        <f aca="false">IF(F19=1,INDEX(B4_MixFree,1,1)/INDEX(IF_TokGW_Luna,1,F$17)+INDEX(B4_MixFree,1,2)/INDEX(IF_TokGW_Sol,1,F$17)+INDEX(B4_MixFree,1,3)/INDEX(IF_TokGW_Astra,1,F$17),"SLO 不可達")</f>
        <v>1.58605881020189E-012</v>
      </c>
    </row>
    <row r="22" customFormat="false" ht="15" hidden="false" customHeight="false" outlineLevel="0" collapsed="false">
      <c r="A22" s="5" t="s">
        <v>1726</v>
      </c>
      <c r="B22" s="54" t="s">
        <v>1727</v>
      </c>
      <c r="C22" s="60" t="n">
        <f aca="false">IF(C19=1,IF_Util/C20,"SLO 不可達")</f>
        <v>9225862913.20409</v>
      </c>
      <c r="D22" s="60" t="n">
        <f aca="false">IF(D19=1,IF_Util/D20,"SLO 不可達")</f>
        <v>46475270191.3169</v>
      </c>
      <c r="E22" s="60" t="n">
        <f aca="false">IF(E19=1,IF_Util/E20,"SLO 不可達")</f>
        <v>60505931522.2948</v>
      </c>
      <c r="F22" s="60" t="n">
        <f aca="false">IF(F19=1,IF_Util/F20,"SLO 不可達")</f>
        <v>112242395547.297</v>
      </c>
      <c r="G22" s="66" t="s">
        <v>1728</v>
      </c>
    </row>
    <row r="23" customFormat="false" ht="15" hidden="false" customHeight="false" outlineLevel="0" collapsed="false">
      <c r="A23" s="5" t="s">
        <v>1729</v>
      </c>
      <c r="B23" s="54" t="s">
        <v>1727</v>
      </c>
      <c r="C23" s="60" t="n">
        <f aca="false">IF(C19=1,IF_Util/C21,"SLO 不可達")</f>
        <v>35705033654.1941</v>
      </c>
      <c r="D23" s="60" t="n">
        <f aca="false">IF(D19=1,IF_Util/D21,"SLO 不可達")</f>
        <v>174192642344.907</v>
      </c>
      <c r="E23" s="60" t="n">
        <f aca="false">IF(E19=1,IF_Util/E21,"SLO 不可達")</f>
        <v>253602891265.81</v>
      </c>
      <c r="F23" s="60" t="n">
        <f aca="false">IF(F19=1,IF_Util/F21,"SLO 不可達")</f>
        <v>378296186837.881</v>
      </c>
      <c r="G23" s="66" t="s">
        <v>1730</v>
      </c>
    </row>
    <row r="24" customFormat="false" ht="15" hidden="false" customHeight="false" outlineLevel="0" collapsed="false">
      <c r="A24" s="5" t="s">
        <v>1731</v>
      </c>
      <c r="B24" s="54" t="s">
        <v>1727</v>
      </c>
      <c r="C24" s="60" t="n">
        <f aca="false">IF(OR(AND(C$18&gt;0,NOT(ISNUMBER(C$22))),AND(D$18&gt;0,NOT(ISNUMBER(D$22))),AND(E$18&gt;0,NOT(ISNUMBER(E$22))),AND(F$18&gt;0,NOT(ISNUMBER(F$22)))),"SLO 不可達",IF(C$18&gt;0,C$18*C$22,0)+IF(D$18&gt;0,D$18*D$22,0)+IF(E$18&gt;0,E$18*E$22,0)+IF(F$18&gt;0,F$18*F$22,0))</f>
        <v>65240959794.9041</v>
      </c>
    </row>
    <row r="25" customFormat="false" ht="15" hidden="false" customHeight="false" outlineLevel="0" collapsed="false">
      <c r="A25" s="5" t="s">
        <v>1732</v>
      </c>
      <c r="B25" s="54" t="s">
        <v>1727</v>
      </c>
      <c r="C25" s="60" t="n">
        <f aca="false">IF(OR(AND(C$18&gt;0,NOT(ISNUMBER(C$23))),AND(D$18&gt;0,NOT(ISNUMBER(D$23))),AND(E$18&gt;0,NOT(ISNUMBER(E$23))),AND(F$18&gt;0,NOT(ISNUMBER(F$23)))),"SLO 不可達",IF(C$18&gt;0,C$18*C$23,0)+IF(D$18&gt;0,D$18*D$23,0)+IF(E$18&gt;0,E$18*E$23,0)+IF(F$18&gt;0,F$18*F$23,0))</f>
        <v>246777450811.863</v>
      </c>
    </row>
    <row r="26" customFormat="false" ht="15" hidden="false" customHeight="false" outlineLevel="0" collapsed="false">
      <c r="A26" s="5" t="s">
        <v>1733</v>
      </c>
      <c r="B26" s="54" t="s">
        <v>63</v>
      </c>
      <c r="C26" s="65" t="n">
        <f aca="false">IF(AND(ISNUMBER(AL_BlendPaid),AL_DPaid&gt;=0),IF(AL_BlendPaid&gt;0,AL_DPaid/AL_BlendPaid,"SLO 不可達"),"SLO 不可達")</f>
        <v>0.0474425883636642</v>
      </c>
    </row>
    <row r="27" customFormat="false" ht="15" hidden="false" customHeight="false" outlineLevel="0" collapsed="false">
      <c r="A27" s="5" t="s">
        <v>1734</v>
      </c>
      <c r="B27" s="54" t="s">
        <v>63</v>
      </c>
      <c r="C27" s="65" t="n">
        <f aca="false">IF(AND(ISNUMBER(AL_BlendFree),AL_DFree&gt;=0),IF(AL_BlendFree&gt;0,AL_DFree/AL_BlendFree,"SLO 不可達"),"SLO 不可達")</f>
        <v>0.00443719633377201</v>
      </c>
    </row>
    <row r="28" customFormat="false" ht="15" hidden="false" customHeight="false" outlineLevel="0" collapsed="false">
      <c r="A28" s="5" t="s">
        <v>1735</v>
      </c>
      <c r="B28" s="54" t="s">
        <v>63</v>
      </c>
      <c r="C28" s="163" t="n">
        <f aca="false">IF(AND(ISNUMBER(AL_ServeGWPaid),ISNUMBER(AL_ServeGWFree)),AL_ServeGWPaid+AL_ServeGWFree,"SLO 不可達")</f>
        <v>0.0518797846974362</v>
      </c>
    </row>
    <row r="29" customFormat="false" ht="15" hidden="false" customHeight="false" outlineLevel="0" collapsed="false">
      <c r="A29" s="5" t="s">
        <v>1736</v>
      </c>
      <c r="B29" s="54" t="s">
        <v>63</v>
      </c>
      <c r="C29" s="65" t="n">
        <f aca="false">IF(ISNUMBER(AL_ServeGW),AL_ServeGW*C18,"SLO 不可達")</f>
        <v>0</v>
      </c>
      <c r="D29" s="65" t="n">
        <f aca="false">IF(ISNUMBER(AL_ServeGW),AL_ServeGW*D18,"SLO 不可達")</f>
        <v>0.0207519138789745</v>
      </c>
      <c r="E29" s="65" t="n">
        <f aca="false">IF(ISNUMBER(AL_ServeGW),AL_ServeGW*E18,"SLO 不可達")</f>
        <v>0.0207519138789745</v>
      </c>
      <c r="F29" s="65" t="n">
        <f aca="false">IF(ISNUMBER(AL_ServeGW),AL_ServeGW*F18,"SLO 不可達")</f>
        <v>0.0103759569394872</v>
      </c>
    </row>
    <row r="30" customFormat="false" ht="15" hidden="false" customHeight="false" outlineLevel="0" collapsed="false">
      <c r="A30" s="5" t="s">
        <v>1737</v>
      </c>
      <c r="B30" s="54" t="s">
        <v>1738</v>
      </c>
      <c r="C30" s="107" t="n">
        <f aca="false">INDEX(IF_HoldEcon,1,C17)</f>
        <v>10.0957952959174</v>
      </c>
      <c r="D30" s="107" t="n">
        <f aca="false">INDEX(IF_HoldEcon,1,D17)</f>
        <v>9.17098191725462</v>
      </c>
      <c r="E30" s="107" t="n">
        <f aca="false">INDEX(IF_HoldEcon,1,E17)</f>
        <v>12.7247463559608</v>
      </c>
      <c r="F30" s="107" t="n">
        <f aca="false">INDEX(IF_HoldEcon,1,F17)</f>
        <v>12.7620157762701</v>
      </c>
    </row>
    <row r="32" customFormat="false" ht="15" hidden="false" customHeight="false" outlineLevel="0" collapsed="false">
      <c r="A32" s="68" t="s">
        <v>1739</v>
      </c>
      <c r="B32" s="62"/>
      <c r="C32" s="62"/>
      <c r="D32" s="62"/>
      <c r="E32" s="62"/>
      <c r="F32" s="62"/>
      <c r="G32" s="62"/>
    </row>
    <row r="33" customFormat="false" ht="15" hidden="false" customHeight="false" outlineLevel="0" collapsed="false">
      <c r="A33" s="5" t="s">
        <v>1740</v>
      </c>
      <c r="B33" s="53" t="s">
        <v>895</v>
      </c>
      <c r="C33" s="104" t="n">
        <f aca="false">IF_TrainGenDefault</f>
        <v>4</v>
      </c>
    </row>
    <row r="34" customFormat="false" ht="15" hidden="false" customHeight="false" outlineLevel="0" collapsed="false">
      <c r="A34" s="6" t="s">
        <v>1741</v>
      </c>
      <c r="B34" s="53" t="s">
        <v>895</v>
      </c>
      <c r="C34" s="104" t="n">
        <f aca="false">3*(AL_TrainGen-1)+2</f>
        <v>11</v>
      </c>
    </row>
    <row r="35" customFormat="false" ht="15" hidden="false" customHeight="false" outlineLevel="0" collapsed="false">
      <c r="A35" s="51" t="s">
        <v>673</v>
      </c>
      <c r="C35" s="52" t="s">
        <v>219</v>
      </c>
      <c r="D35" s="52" t="s">
        <v>220</v>
      </c>
      <c r="E35" s="52" t="s">
        <v>221</v>
      </c>
      <c r="F35" s="51" t="s">
        <v>1742</v>
      </c>
    </row>
    <row r="36" customFormat="false" ht="15" hidden="false" customHeight="false" outlineLevel="0" collapsed="false">
      <c r="A36" s="5" t="s">
        <v>674</v>
      </c>
      <c r="B36" s="53" t="s">
        <v>895</v>
      </c>
      <c r="C36" s="104" t="n">
        <v>1</v>
      </c>
      <c r="D36" s="104" t="n">
        <v>2</v>
      </c>
      <c r="E36" s="104" t="n">
        <v>3</v>
      </c>
    </row>
    <row r="37" customFormat="false" ht="15" hidden="false" customHeight="false" outlineLevel="0" collapsed="false">
      <c r="A37" s="5" t="s">
        <v>1743</v>
      </c>
      <c r="B37" s="54" t="s">
        <v>1744</v>
      </c>
      <c r="C37" s="65" t="n">
        <f aca="false">INDEX(IF_ProgGWyr_Luna,1,AL_TrainCol)</f>
        <v>0.00192794154001585</v>
      </c>
      <c r="D37" s="65" t="n">
        <f aca="false">INDEX(IF_ProgGWyr_Sol,1,AL_TrainCol)</f>
        <v>0.00579425390154777</v>
      </c>
      <c r="E37" s="65" t="n">
        <f aca="false">INDEX(IF_ProgGWyr_Astra,1,AL_TrainCol)</f>
        <v>0.0366440561015151</v>
      </c>
      <c r="F37" s="65" t="n">
        <f aca="false">SUM(C37:E37)</f>
        <v>0.0443662515430788</v>
      </c>
      <c r="G37" s="66" t="s">
        <v>1745</v>
      </c>
    </row>
    <row r="38" customFormat="false" ht="15" hidden="false" customHeight="false" outlineLevel="0" collapsed="false">
      <c r="A38" s="5" t="s">
        <v>1746</v>
      </c>
      <c r="B38" s="54" t="s">
        <v>972</v>
      </c>
      <c r="C38" s="55" t="n">
        <f aca="false">INDEX(Training!$C$104:$Q$104,3*(AL_TrainGen-1)+C36)</f>
        <v>102689.109396459</v>
      </c>
      <c r="D38" s="55" t="n">
        <f aca="false">INDEX(Training!$C$104:$Q$104,3*(AL_TrainGen-1)+D36)</f>
        <v>359687.465457935</v>
      </c>
      <c r="E38" s="55" t="n">
        <f aca="false">INDEX(Training!$C$104:$Q$104,3*(AL_TrainGen-1)+E36)</f>
        <v>5336907.94267864</v>
      </c>
      <c r="F38" s="60" t="n">
        <f aca="false">SUM(C38:E38)</f>
        <v>5799284.51753303</v>
      </c>
      <c r="G38" s="50" t="s">
        <v>1747</v>
      </c>
    </row>
    <row r="39" customFormat="false" ht="15" hidden="false" customHeight="false" outlineLevel="0" collapsed="false">
      <c r="A39" s="5" t="s">
        <v>1748</v>
      </c>
      <c r="B39" s="53" t="s">
        <v>686</v>
      </c>
      <c r="C39" s="55" t="n">
        <f aca="false">INDEX(Training!$C$18:$Q$18,3*(AL_TrainGen-1)+C36)</f>
        <v>291744</v>
      </c>
      <c r="D39" s="55" t="n">
        <f aca="false">INDEX(Training!$C$18:$Q$18,3*(AL_TrainGen-1)+D36)</f>
        <v>291744</v>
      </c>
      <c r="E39" s="55" t="n">
        <f aca="false">INDEX(Training!$C$18:$Q$18,3*(AL_TrainGen-1)+E36)</f>
        <v>291744</v>
      </c>
    </row>
    <row r="40" customFormat="false" ht="15" hidden="false" customHeight="false" outlineLevel="0" collapsed="false">
      <c r="A40" s="5" t="s">
        <v>1749</v>
      </c>
      <c r="B40" s="54" t="s">
        <v>1744</v>
      </c>
      <c r="C40" s="65" t="n">
        <f aca="false">C38*IF_RDMult/(C39*8760)</f>
        <v>0.0003214462288213</v>
      </c>
      <c r="D40" s="65" t="n">
        <f aca="false">D38*IF_RDMult/(D39*8760)</f>
        <v>0.00112592445299493</v>
      </c>
      <c r="E40" s="65" t="n">
        <f aca="false">E38*IF_RDMult/(E39*8760)</f>
        <v>0.0167060454786615</v>
      </c>
      <c r="F40" s="65" t="n">
        <f aca="false">SUM(C40:E40)</f>
        <v>0.0181534161604777</v>
      </c>
      <c r="G40" s="66" t="s">
        <v>1750</v>
      </c>
    </row>
    <row r="41" customFormat="false" ht="15" hidden="false" customHeight="false" outlineLevel="0" collapsed="false">
      <c r="A41" s="5" t="s">
        <v>1751</v>
      </c>
      <c r="B41" s="54" t="s">
        <v>1744</v>
      </c>
      <c r="C41" s="163" t="n">
        <f aca="false">AL_k*(AL_Nmajor*AL_FamGWyr+AL_Nrefresh*AL_RefGWyr)</f>
        <v>0.0806730838640342</v>
      </c>
    </row>
    <row r="42" customFormat="false" ht="15" hidden="false" customHeight="false" outlineLevel="0" collapsed="false">
      <c r="A42" s="5" t="s">
        <v>1752</v>
      </c>
      <c r="B42" s="54" t="s">
        <v>1744</v>
      </c>
      <c r="C42" s="65" t="n">
        <f aca="false">AL_RDGW*(1+AL_g)</f>
        <v>0.0806730838640342</v>
      </c>
    </row>
    <row r="43" customFormat="false" ht="15" hidden="false" customHeight="false" outlineLevel="0" collapsed="false">
      <c r="A43" s="5" t="s">
        <v>1753</v>
      </c>
      <c r="B43" s="54" t="s">
        <v>1738</v>
      </c>
      <c r="C43" s="107" t="n">
        <f aca="false">INDEX(IF_HoldEcon,1,AL_TrainCol)</f>
        <v>12.7620157762701</v>
      </c>
    </row>
    <row r="44" customFormat="false" ht="15" hidden="false" customHeight="false" outlineLevel="0" collapsed="false">
      <c r="A44" s="5" t="s">
        <v>1754</v>
      </c>
      <c r="B44" s="54" t="s">
        <v>1349</v>
      </c>
      <c r="C44" s="107" t="n">
        <f aca="false">AL_RDGW*AL_HoldTrain</f>
        <v>1.02955116899316</v>
      </c>
    </row>
    <row r="46" customFormat="false" ht="15" hidden="false" customHeight="false" outlineLevel="0" collapsed="false">
      <c r="A46" s="68" t="s">
        <v>1755</v>
      </c>
      <c r="B46" s="62"/>
      <c r="C46" s="62"/>
      <c r="D46" s="62"/>
      <c r="E46" s="62"/>
      <c r="F46" s="62"/>
      <c r="G46" s="62"/>
    </row>
    <row r="47" customFormat="false" ht="15" hidden="false" customHeight="false" outlineLevel="0" collapsed="false">
      <c r="A47" s="6" t="s">
        <v>1756</v>
      </c>
      <c r="B47" s="54" t="s">
        <v>71</v>
      </c>
      <c r="C47" s="94" t="n">
        <f aca="false">IF(ISNUMBER(AL_ServeGW),AL_RDGW/(AL_RDGW+AL_ServeGW),"SLO 不可達")</f>
        <v>0.608610622610726</v>
      </c>
    </row>
    <row r="48" customFormat="false" ht="15" hidden="false" customHeight="false" outlineLevel="0" collapsed="false">
      <c r="A48" s="6" t="s">
        <v>1757</v>
      </c>
      <c r="B48" s="54" t="s">
        <v>71</v>
      </c>
      <c r="C48" s="96" t="n">
        <f aca="false">IF(ISNUMBER(AL_ServeGW),(AL_RDGW+AL_ServeGWFree)/(AL_RDGW+AL_ServeGW),"SLO 不可達")</f>
        <v>0.642085540067637</v>
      </c>
    </row>
    <row r="49" customFormat="false" ht="26.85" hidden="false" customHeight="false" outlineLevel="0" collapsed="false">
      <c r="A49" s="6" t="s">
        <v>1758</v>
      </c>
      <c r="B49" s="54" t="s">
        <v>71</v>
      </c>
      <c r="C49" s="94" t="n">
        <f aca="false">IF(ISNUMBER(AL_ServeGW),AL_RDGW*AL_HoldTrain/(AL_RDGW*AL_HoldTrain+SUMPRODUCT(AL_ServeGen,AL_HoldGen)),"SLO 不可達")</f>
        <v>0.636961500620674</v>
      </c>
      <c r="G49" s="66" t="s">
        <v>1759</v>
      </c>
    </row>
    <row r="50" customFormat="false" ht="15" hidden="false" customHeight="false" outlineLevel="0" collapsed="false">
      <c r="A50" s="6" t="s">
        <v>1760</v>
      </c>
      <c r="B50" s="54" t="s">
        <v>71</v>
      </c>
      <c r="C50" s="96" t="n">
        <f aca="false">IF(ISNUMBER(AL_ServeGW),AL_RDGWg/(AL_RDGWg+AL_ServeGW),"SLO 不可達")</f>
        <v>0.608610622610726</v>
      </c>
    </row>
    <row r="51" customFormat="false" ht="15" hidden="false" customHeight="false" outlineLevel="0" collapsed="false">
      <c r="A51" s="6" t="s">
        <v>1761</v>
      </c>
      <c r="B51" s="54" t="s">
        <v>71</v>
      </c>
      <c r="C51" s="96" t="n">
        <f aca="false">IF(ISNUMBER(AL_ServeGW),AL_RDGWg*AL_HoldTrain/(AL_RDGWg*AL_HoldTrain+SUMPRODUCT(AL_ServeGen,AL_HoldGen)),"SLO 不可達")</f>
        <v>0.636961500620674</v>
      </c>
    </row>
    <row r="52" customFormat="false" ht="15" hidden="false" customHeight="false" outlineLevel="0" collapsed="false">
      <c r="A52" s="6" t="s">
        <v>1762</v>
      </c>
      <c r="B52" s="53"/>
      <c r="C52" s="53" t="s">
        <v>1763</v>
      </c>
      <c r="G52" s="50" t="s">
        <v>1764</v>
      </c>
    </row>
    <row r="54" customFormat="false" ht="15" hidden="false" customHeight="false" outlineLevel="0" collapsed="false">
      <c r="A54" s="68" t="s">
        <v>1765</v>
      </c>
      <c r="B54" s="62"/>
      <c r="C54" s="62"/>
      <c r="D54" s="62"/>
      <c r="E54" s="62"/>
      <c r="F54" s="62"/>
      <c r="G54" s="62"/>
    </row>
    <row r="55" customFormat="false" ht="15" hidden="false" customHeight="false" outlineLevel="0" collapsed="false">
      <c r="A55" s="6" t="s">
        <v>1766</v>
      </c>
      <c r="B55" s="54" t="s">
        <v>71</v>
      </c>
      <c r="C55" s="96" t="n">
        <f aca="false">SRC_DEM_006/(SRC_DEM_004+SRC_DEM_006)</f>
        <v>0.588235294117647</v>
      </c>
      <c r="G55" s="50" t="s">
        <v>1767</v>
      </c>
    </row>
    <row r="56" customFormat="false" ht="15" hidden="false" customHeight="false" outlineLevel="0" collapsed="false">
      <c r="A56" s="5" t="s">
        <v>1768</v>
      </c>
      <c r="B56" s="54" t="s">
        <v>63</v>
      </c>
      <c r="C56" s="65" t="n">
        <f aca="false">IF(ISNUMBER(AL_ServeGW),AL_SpendRatio/(1-AL_SpendRatio)*AL_ServeGW,"SLO 不可達")</f>
        <v>0.0741139781391946</v>
      </c>
    </row>
    <row r="57" customFormat="false" ht="15" hidden="false" customHeight="false" outlineLevel="0" collapsed="false">
      <c r="A57" s="5" t="s">
        <v>1769</v>
      </c>
      <c r="B57" s="53" t="s">
        <v>287</v>
      </c>
      <c r="C57" s="97" t="n">
        <f aca="false">IF(ISNUMBER(AL_ImpliedRDGW),AL_ImpliedRDGW/AL_FamGWyr,"SLO 不可達")</f>
        <v>1.67050349221483</v>
      </c>
    </row>
    <row r="58" customFormat="false" ht="15" hidden="false" customHeight="false" outlineLevel="0" collapsed="false">
      <c r="A58" s="6" t="s">
        <v>1770</v>
      </c>
      <c r="B58" s="54" t="s">
        <v>75</v>
      </c>
      <c r="C58" s="69" t="n">
        <f aca="false">IF(ISNUMBER(AL_ImpliedNk),AL_ImpliedNk/(AL_Nmajor+AL_Nrefresh*AL_RefGWyr/AL_FamGWyr),"SLO 不可達")</f>
        <v>0.918695239965113</v>
      </c>
      <c r="G58" s="66" t="s">
        <v>1771</v>
      </c>
    </row>
    <row r="60" customFormat="false" ht="15" hidden="false" customHeight="false" outlineLevel="0" collapsed="false">
      <c r="A60" s="68" t="s">
        <v>1772</v>
      </c>
      <c r="B60" s="62"/>
      <c r="C60" s="62"/>
      <c r="D60" s="62"/>
      <c r="E60" s="62"/>
      <c r="F60" s="62"/>
      <c r="G60" s="62"/>
    </row>
    <row r="61" customFormat="false" ht="15" hidden="false" customHeight="false" outlineLevel="0" collapsed="false">
      <c r="A61" s="5" t="s">
        <v>1773</v>
      </c>
      <c r="B61" s="54" t="s">
        <v>63</v>
      </c>
      <c r="C61" s="65" t="n">
        <f aca="false">SRC_DEM_004/SUMPRODUCT(AL_ShareGen,AL_HoldGen)</f>
        <v>0.742659968964293</v>
      </c>
      <c r="G61" s="66" t="s">
        <v>1774</v>
      </c>
    </row>
    <row r="62" customFormat="false" ht="15" hidden="false" customHeight="false" outlineLevel="0" collapsed="false">
      <c r="A62" s="5" t="s">
        <v>1775</v>
      </c>
      <c r="B62" s="54" t="s">
        <v>71</v>
      </c>
      <c r="C62" s="96" t="n">
        <f aca="false">IF(ISNUMBER(AL_ServeGW),AL_ServeGWFree/AL_ServeGW,"SLO 不可達")</f>
        <v>0.0855284261422789</v>
      </c>
    </row>
    <row r="63" customFormat="false" ht="15" hidden="false" customHeight="false" outlineLevel="0" collapsed="false">
      <c r="A63" s="5" t="s">
        <v>1776</v>
      </c>
      <c r="B63" s="54" t="s">
        <v>71</v>
      </c>
      <c r="C63" s="96" t="n">
        <f aca="false">SRC_DEM_005/SRC_DEM_004</f>
        <v>0.464285714285714</v>
      </c>
    </row>
    <row r="64" customFormat="false" ht="15" hidden="false" customHeight="false" outlineLevel="0" collapsed="false">
      <c r="A64" s="6" t="s">
        <v>1777</v>
      </c>
      <c r="B64" s="54" t="s">
        <v>1715</v>
      </c>
      <c r="C64" s="67" t="n">
        <f aca="false">SRC_DEM_013_Lo</f>
        <v>10</v>
      </c>
    </row>
    <row r="65" customFormat="false" ht="15" hidden="false" customHeight="false" outlineLevel="0" collapsed="false">
      <c r="A65" s="6" t="s">
        <v>1778</v>
      </c>
      <c r="B65" s="54" t="s">
        <v>1715</v>
      </c>
      <c r="C65" s="67" t="n">
        <f aca="false">SRC_DEM_013_Hi</f>
        <v>100</v>
      </c>
    </row>
    <row r="66" customFormat="false" ht="15" hidden="false" customHeight="false" outlineLevel="0" collapsed="false">
      <c r="A66" s="5" t="s">
        <v>1779</v>
      </c>
      <c r="B66" s="53"/>
      <c r="C66" s="53" t="str">
        <f aca="false">IF(AL_DDaily&lt;SRC_DEM_013_Lo,"區間外（低於）",IF(AL_DDaily&gt;SRC_DEM_013_Hi,"區間外（高於）","區間內"))</f>
        <v>區間內</v>
      </c>
    </row>
    <row r="68" customFormat="false" ht="15" hidden="false" customHeight="false" outlineLevel="0" collapsed="false">
      <c r="A68" s="68" t="s">
        <v>1780</v>
      </c>
      <c r="B68" s="62"/>
      <c r="C68" s="62"/>
      <c r="D68" s="62"/>
      <c r="E68" s="62"/>
      <c r="F68" s="62"/>
      <c r="G68" s="62"/>
    </row>
    <row r="69" customFormat="false" ht="15" hidden="false" customHeight="false" outlineLevel="0" collapsed="false">
      <c r="A69" s="66" t="s">
        <v>1781</v>
      </c>
    </row>
    <row r="70" customFormat="false" ht="15" hidden="false" customHeight="false" outlineLevel="0" collapsed="false">
      <c r="A70" s="51" t="s">
        <v>780</v>
      </c>
      <c r="B70" s="51" t="s">
        <v>1782</v>
      </c>
      <c r="C70" s="77" t="s">
        <v>1783</v>
      </c>
      <c r="D70" s="77" t="s">
        <v>1784</v>
      </c>
      <c r="E70" s="77" t="s">
        <v>1785</v>
      </c>
      <c r="F70" s="77" t="s">
        <v>1786</v>
      </c>
      <c r="G70" s="76" t="s">
        <v>1787</v>
      </c>
      <c r="H70" s="76" t="s">
        <v>1788</v>
      </c>
      <c r="I70" s="77" t="s">
        <v>1789</v>
      </c>
      <c r="J70" s="77" t="s">
        <v>1790</v>
      </c>
      <c r="K70" s="77" t="s">
        <v>1791</v>
      </c>
      <c r="L70" s="77" t="s">
        <v>1792</v>
      </c>
      <c r="M70" s="76" t="s">
        <v>1793</v>
      </c>
      <c r="N70" s="76" t="s">
        <v>1794</v>
      </c>
      <c r="O70" s="76" t="s">
        <v>1795</v>
      </c>
      <c r="P70" s="76" t="s">
        <v>1796</v>
      </c>
      <c r="Q70" s="76" t="s">
        <v>1797</v>
      </c>
      <c r="R70" s="76" t="s">
        <v>1798</v>
      </c>
      <c r="S70" s="77" t="s">
        <v>1799</v>
      </c>
      <c r="T70" s="77" t="s">
        <v>1800</v>
      </c>
      <c r="U70" s="76" t="s">
        <v>1801</v>
      </c>
      <c r="V70" s="76" t="s">
        <v>1802</v>
      </c>
      <c r="W70" s="76" t="s">
        <v>1803</v>
      </c>
    </row>
    <row r="71" customFormat="false" ht="15" hidden="false" customHeight="false" outlineLevel="0" collapsed="false">
      <c r="A71" s="53" t="s">
        <v>57</v>
      </c>
      <c r="B71" s="54" t="s">
        <v>571</v>
      </c>
      <c r="C71" s="79" t="n">
        <f aca="false">AL_Nmajor</f>
        <v>1</v>
      </c>
      <c r="D71" s="79" t="n">
        <f aca="false">AL_Nrefresh</f>
        <v>2</v>
      </c>
      <c r="E71" s="79" t="n">
        <f aca="false">AL_k</f>
        <v>1</v>
      </c>
      <c r="F71" s="69" t="n">
        <f aca="false">AL_APIratio</f>
        <v>0.75</v>
      </c>
      <c r="G71" s="60" t="n">
        <f aca="false">AL_TokPerPrompt</f>
        <v>2000</v>
      </c>
      <c r="H71" s="78" t="n">
        <f aca="false">AL_FreeShare</f>
        <v>0.6</v>
      </c>
      <c r="I71" s="78" t="n">
        <f aca="false">AL_MixHopper</f>
        <v>0</v>
      </c>
      <c r="J71" s="78" t="n">
        <f aca="false">AL_MixGB200</f>
        <v>0.4</v>
      </c>
      <c r="K71" s="78" t="n">
        <f aca="false">AL_MixGB300</f>
        <v>0.4</v>
      </c>
      <c r="L71" s="78" t="n">
        <f aca="false">AL_MixVR200</f>
        <v>0.2</v>
      </c>
      <c r="M71" s="60" t="n">
        <f aca="false">SRC_DEM_010*1000000000*525600*F71/1000000+SRC_DEM_012*1000000000*G71*365/1000000*(1-H71)</f>
        <v>3095200000</v>
      </c>
      <c r="N71" s="60" t="n">
        <f aca="false">SRC_DEM_012*1000000000*G71*365/1000000*H71</f>
        <v>1095000000</v>
      </c>
      <c r="O71" s="60" t="n">
        <f aca="false">IF(OR(AND(I71&gt;0,NOT(ISNUMBER($C$22))),AND(J71&gt;0,NOT(ISNUMBER($D$22))),AND(K71&gt;0,NOT(ISNUMBER($E$22))),AND(L71&gt;0,NOT(ISNUMBER($F$22)))),"SLO 不可達",IF(I71&gt;0,I71*$C$22,0)+IF(J71&gt;0,J71*$D$22,0)+IF(K71&gt;0,K71*$E$22,0)+IF(L71&gt;0,L71*$F$22,0))</f>
        <v>65240959794.9041</v>
      </c>
      <c r="P71" s="60" t="n">
        <f aca="false">IF(OR(AND(I71&gt;0,NOT(ISNUMBER($C$23))),AND(J71&gt;0,NOT(ISNUMBER($D$23))),AND(K71&gt;0,NOT(ISNUMBER($E$23))),AND(L71&gt;0,NOT(ISNUMBER($F$23)))),"SLO 不可達",IF(I71&gt;0,I71*$C$23,0)+IF(J71&gt;0,J71*$D$23,0)+IF(K71&gt;0,K71*$E$23,0)+IF(L71&gt;0,L71*$F$23,0))</f>
        <v>246777450811.863</v>
      </c>
      <c r="Q71" s="65" t="n">
        <f aca="false">IF(AND(ISNUMBER(O71),ISNUMBER(P71)),IF(AND(O71&gt;0,P71&gt;0),M71/O71+N71/P71,"SLO 不可達"),"SLO 不可達")</f>
        <v>0.0518797846974362</v>
      </c>
      <c r="R71" s="65" t="n">
        <f aca="false">E71*(C71*AL_FamGWyr+D71*AL_RefGWyr)</f>
        <v>0.0806730838640342</v>
      </c>
      <c r="S71" s="96" t="n">
        <f aca="false">IF(ISNUMBER(Q71),R71/(R71+Q71),"SLO 不可達")</f>
        <v>0.608610622610726</v>
      </c>
      <c r="T71" s="96" t="n">
        <f aca="false">IF(ISNUMBER(Q71),R71*AL_HoldTrain/(R71*AL_HoldTrain+Q71*(I71*$C$30+J71*$D$30+K71*$E$30+L71*$F$30)),"SLO 不可達")</f>
        <v>0.636961500620674</v>
      </c>
      <c r="U71" s="107" t="n">
        <f aca="false">R71*AL_HoldTrain</f>
        <v>1.02955116899316</v>
      </c>
      <c r="V71" s="64" t="n">
        <f aca="false">(M71+N71)/365/1000000</f>
        <v>11.48</v>
      </c>
      <c r="W71" s="104" t="n">
        <f aca="false">IF(AND(ISNUMBER(S87),ISNUMBER(T87),ISNUMBER(AL_Q1),ISNUMBER(AL_Q2)),IF(AND(ABS(S87-AL_Q1)&lt;=0.000000000001,ABS(T87-AL_Q2)&lt;=0.000000000001),0,1),IF(AND(NOT(ISNUMBER(S87)),NOT(ISNUMBER(AL_Q1))),0,1))</f>
        <v>0</v>
      </c>
    </row>
    <row r="72" customFormat="false" ht="15" hidden="false" customHeight="false" outlineLevel="0" collapsed="false">
      <c r="A72" s="54" t="s">
        <v>1804</v>
      </c>
      <c r="B72" s="54" t="s">
        <v>1783</v>
      </c>
      <c r="C72" s="81" t="n">
        <f aca="false">AL_Nmajor_Lo</f>
        <v>1</v>
      </c>
      <c r="D72" s="79" t="n">
        <f aca="false">AL_Nrefresh</f>
        <v>2</v>
      </c>
      <c r="E72" s="79" t="n">
        <f aca="false">AL_k</f>
        <v>1</v>
      </c>
      <c r="F72" s="69" t="n">
        <f aca="false">AL_APIratio</f>
        <v>0.75</v>
      </c>
      <c r="G72" s="60" t="n">
        <f aca="false">AL_TokPerPrompt</f>
        <v>2000</v>
      </c>
      <c r="H72" s="78" t="n">
        <f aca="false">AL_FreeShare</f>
        <v>0.6</v>
      </c>
      <c r="I72" s="78" t="n">
        <f aca="false">AL_MixHopper</f>
        <v>0</v>
      </c>
      <c r="J72" s="78" t="n">
        <f aca="false">AL_MixGB200</f>
        <v>0.4</v>
      </c>
      <c r="K72" s="78" t="n">
        <f aca="false">AL_MixGB300</f>
        <v>0.4</v>
      </c>
      <c r="L72" s="78" t="n">
        <f aca="false">AL_MixVR200</f>
        <v>0.2</v>
      </c>
      <c r="M72" s="60" t="n">
        <f aca="false">SRC_DEM_010*1000000000*525600*F72/1000000+SRC_DEM_012*1000000000*G72*365/1000000*(1-H72)</f>
        <v>3095200000</v>
      </c>
      <c r="N72" s="60" t="n">
        <f aca="false">SRC_DEM_012*1000000000*G72*365/1000000*H72</f>
        <v>1095000000</v>
      </c>
      <c r="O72" s="60" t="n">
        <f aca="false">IF(OR(AND(I72&gt;0,NOT(ISNUMBER($C$22))),AND(J72&gt;0,NOT(ISNUMBER($D$22))),AND(K72&gt;0,NOT(ISNUMBER($E$22))),AND(L72&gt;0,NOT(ISNUMBER($F$22)))),"SLO 不可達",IF(I72&gt;0,I72*$C$22,0)+IF(J72&gt;0,J72*$D$22,0)+IF(K72&gt;0,K72*$E$22,0)+IF(L72&gt;0,L72*$F$22,0))</f>
        <v>65240959794.9041</v>
      </c>
      <c r="P72" s="60" t="n">
        <f aca="false">IF(OR(AND(I72&gt;0,NOT(ISNUMBER($C$23))),AND(J72&gt;0,NOT(ISNUMBER($D$23))),AND(K72&gt;0,NOT(ISNUMBER($E$23))),AND(L72&gt;0,NOT(ISNUMBER($F$23)))),"SLO 不可達",IF(I72&gt;0,I72*$C$23,0)+IF(J72&gt;0,J72*$D$23,0)+IF(K72&gt;0,K72*$E$23,0)+IF(L72&gt;0,L72*$F$23,0))</f>
        <v>246777450811.863</v>
      </c>
      <c r="Q72" s="65" t="n">
        <f aca="false">IF(AND(ISNUMBER(O72),ISNUMBER(P72)),IF(AND(O72&gt;0,P72&gt;0),M72/O72+N72/P72,"SLO 不可達"),"SLO 不可達")</f>
        <v>0.0518797846974362</v>
      </c>
      <c r="R72" s="65" t="n">
        <f aca="false">E72*(C72*AL_FamGWyr+D72*AL_RefGWyr)</f>
        <v>0.0806730838640342</v>
      </c>
      <c r="S72" s="96" t="n">
        <f aca="false">IF(ISNUMBER(Q72),R72/(R72+Q72),"SLO 不可達")</f>
        <v>0.608610622610726</v>
      </c>
      <c r="T72" s="96" t="n">
        <f aca="false">IF(ISNUMBER(Q72),R72*AL_HoldTrain/(R72*AL_HoldTrain+Q72*(I72*$C$30+J72*$D$30+K72*$E$30+L72*$F$30)),"SLO 不可達")</f>
        <v>0.636961500620674</v>
      </c>
      <c r="U72" s="107" t="n">
        <f aca="false">R72*AL_HoldTrain</f>
        <v>1.02955116899316</v>
      </c>
      <c r="V72" s="64" t="n">
        <f aca="false">(M72+N72)/365/1000000</f>
        <v>11.48</v>
      </c>
      <c r="W72" s="104" t="n">
        <f aca="false">IF(AND(ISNUMBER(S88),ISNUMBER(T88),ISNUMBER(AL_Q1),ISNUMBER(AL_Q2)),IF(AND(ABS(S88-AL_Q1)&lt;=0.000000000001,ABS(T88-AL_Q2)&lt;=0.000000000001),0,1),IF(AND(NOT(ISNUMBER(S88)),NOT(ISNUMBER(AL_Q1))),0,1))</f>
        <v>0</v>
      </c>
    </row>
    <row r="73" customFormat="false" ht="15" hidden="false" customHeight="false" outlineLevel="0" collapsed="false">
      <c r="A73" s="54" t="s">
        <v>1805</v>
      </c>
      <c r="B73" s="54" t="s">
        <v>1783</v>
      </c>
      <c r="C73" s="81" t="n">
        <f aca="false">AL_Nmajor_Hi</f>
        <v>2</v>
      </c>
      <c r="D73" s="79" t="n">
        <f aca="false">AL_Nrefresh</f>
        <v>2</v>
      </c>
      <c r="E73" s="79" t="n">
        <f aca="false">AL_k</f>
        <v>1</v>
      </c>
      <c r="F73" s="69" t="n">
        <f aca="false">AL_APIratio</f>
        <v>0.75</v>
      </c>
      <c r="G73" s="60" t="n">
        <f aca="false">AL_TokPerPrompt</f>
        <v>2000</v>
      </c>
      <c r="H73" s="78" t="n">
        <f aca="false">AL_FreeShare</f>
        <v>0.6</v>
      </c>
      <c r="I73" s="78" t="n">
        <f aca="false">AL_MixHopper</f>
        <v>0</v>
      </c>
      <c r="J73" s="78" t="n">
        <f aca="false">AL_MixGB200</f>
        <v>0.4</v>
      </c>
      <c r="K73" s="78" t="n">
        <f aca="false">AL_MixGB300</f>
        <v>0.4</v>
      </c>
      <c r="L73" s="78" t="n">
        <f aca="false">AL_MixVR200</f>
        <v>0.2</v>
      </c>
      <c r="M73" s="60" t="n">
        <f aca="false">SRC_DEM_010*1000000000*525600*F73/1000000+SRC_DEM_012*1000000000*G73*365/1000000*(1-H73)</f>
        <v>3095200000</v>
      </c>
      <c r="N73" s="60" t="n">
        <f aca="false">SRC_DEM_012*1000000000*G73*365/1000000*H73</f>
        <v>1095000000</v>
      </c>
      <c r="O73" s="60" t="n">
        <f aca="false">IF(OR(AND(I73&gt;0,NOT(ISNUMBER($C$22))),AND(J73&gt;0,NOT(ISNUMBER($D$22))),AND(K73&gt;0,NOT(ISNUMBER($E$22))),AND(L73&gt;0,NOT(ISNUMBER($F$22)))),"SLO 不可達",IF(I73&gt;0,I73*$C$22,0)+IF(J73&gt;0,J73*$D$22,0)+IF(K73&gt;0,K73*$E$22,0)+IF(L73&gt;0,L73*$F$22,0))</f>
        <v>65240959794.9041</v>
      </c>
      <c r="P73" s="60" t="n">
        <f aca="false">IF(OR(AND(I73&gt;0,NOT(ISNUMBER($C$23))),AND(J73&gt;0,NOT(ISNUMBER($D$23))),AND(K73&gt;0,NOT(ISNUMBER($E$23))),AND(L73&gt;0,NOT(ISNUMBER($F$23)))),"SLO 不可達",IF(I73&gt;0,I73*$C$23,0)+IF(J73&gt;0,J73*$D$23,0)+IF(K73&gt;0,K73*$E$23,0)+IF(L73&gt;0,L73*$F$23,0))</f>
        <v>246777450811.863</v>
      </c>
      <c r="Q73" s="65" t="n">
        <f aca="false">IF(AND(ISNUMBER(O73),ISNUMBER(P73)),IF(AND(O73&gt;0,P73&gt;0),M73/O73+N73/P73,"SLO 不可達"),"SLO 不可達")</f>
        <v>0.0518797846974362</v>
      </c>
      <c r="R73" s="65" t="n">
        <f aca="false">E73*(C73*AL_FamGWyr+D73*AL_RefGWyr)</f>
        <v>0.125039335407113</v>
      </c>
      <c r="S73" s="96" t="n">
        <f aca="false">IF(ISNUMBER(Q73),R73/(R73+Q73),"SLO 不可達")</f>
        <v>0.706759876113005</v>
      </c>
      <c r="T73" s="96" t="n">
        <f aca="false">IF(ISNUMBER(Q73),R73*AL_HoldTrain/(R73*AL_HoldTrain+Q73*(I73*$C$30+J73*$D$30+K73*$E$30+L73*$F$30)),"SLO 不可達")</f>
        <v>0.731141877372232</v>
      </c>
      <c r="U73" s="107" t="n">
        <f aca="false">R73*AL_HoldTrain</f>
        <v>1.5957539711199</v>
      </c>
      <c r="V73" s="64" t="n">
        <f aca="false">(M73+N73)/365/1000000</f>
        <v>11.48</v>
      </c>
      <c r="W73" s="104" t="n">
        <f aca="false">IF(AND(ISNUMBER(S89),ISNUMBER(T89),ISNUMBER(AL_Q1),ISNUMBER(AL_Q2)),IF(AND(ABS(S89-AL_Q1)&lt;=0.000000000001,ABS(T89-AL_Q2)&lt;=0.000000000001),0,1),IF(AND(NOT(ISNUMBER(S89)),NOT(ISNUMBER(AL_Q1))),0,1))</f>
        <v>0</v>
      </c>
    </row>
    <row r="74" customFormat="false" ht="15" hidden="false" customHeight="false" outlineLevel="0" collapsed="false">
      <c r="A74" s="54" t="s">
        <v>1806</v>
      </c>
      <c r="B74" s="54" t="s">
        <v>1784</v>
      </c>
      <c r="C74" s="79" t="n">
        <f aca="false">AL_Nmajor</f>
        <v>1</v>
      </c>
      <c r="D74" s="81" t="n">
        <f aca="false">AL_Nrefresh_Lo</f>
        <v>0</v>
      </c>
      <c r="E74" s="79" t="n">
        <f aca="false">AL_k</f>
        <v>1</v>
      </c>
      <c r="F74" s="69" t="n">
        <f aca="false">AL_APIratio</f>
        <v>0.75</v>
      </c>
      <c r="G74" s="60" t="n">
        <f aca="false">AL_TokPerPrompt</f>
        <v>2000</v>
      </c>
      <c r="H74" s="78" t="n">
        <f aca="false">AL_FreeShare</f>
        <v>0.6</v>
      </c>
      <c r="I74" s="78" t="n">
        <f aca="false">AL_MixHopper</f>
        <v>0</v>
      </c>
      <c r="J74" s="78" t="n">
        <f aca="false">AL_MixGB200</f>
        <v>0.4</v>
      </c>
      <c r="K74" s="78" t="n">
        <f aca="false">AL_MixGB300</f>
        <v>0.4</v>
      </c>
      <c r="L74" s="78" t="n">
        <f aca="false">AL_MixVR200</f>
        <v>0.2</v>
      </c>
      <c r="M74" s="60" t="n">
        <f aca="false">SRC_DEM_010*1000000000*525600*F74/1000000+SRC_DEM_012*1000000000*G74*365/1000000*(1-H74)</f>
        <v>3095200000</v>
      </c>
      <c r="N74" s="60" t="n">
        <f aca="false">SRC_DEM_012*1000000000*G74*365/1000000*H74</f>
        <v>1095000000</v>
      </c>
      <c r="O74" s="60" t="n">
        <f aca="false">IF(OR(AND(I74&gt;0,NOT(ISNUMBER($C$22))),AND(J74&gt;0,NOT(ISNUMBER($D$22))),AND(K74&gt;0,NOT(ISNUMBER($E$22))),AND(L74&gt;0,NOT(ISNUMBER($F$22)))),"SLO 不可達",IF(I74&gt;0,I74*$C$22,0)+IF(J74&gt;0,J74*$D$22,0)+IF(K74&gt;0,K74*$E$22,0)+IF(L74&gt;0,L74*$F$22,0))</f>
        <v>65240959794.9041</v>
      </c>
      <c r="P74" s="60" t="n">
        <f aca="false">IF(OR(AND(I74&gt;0,NOT(ISNUMBER($C$23))),AND(J74&gt;0,NOT(ISNUMBER($D$23))),AND(K74&gt;0,NOT(ISNUMBER($E$23))),AND(L74&gt;0,NOT(ISNUMBER($F$23)))),"SLO 不可達",IF(I74&gt;0,I74*$C$23,0)+IF(J74&gt;0,J74*$D$23,0)+IF(K74&gt;0,K74*$E$23,0)+IF(L74&gt;0,L74*$F$23,0))</f>
        <v>246777450811.863</v>
      </c>
      <c r="Q74" s="65" t="n">
        <f aca="false">IF(AND(ISNUMBER(O74),ISNUMBER(P74)),IF(AND(O74&gt;0,P74&gt;0),M74/O74+N74/P74,"SLO 不可達"),"SLO 不可達")</f>
        <v>0.0518797846974362</v>
      </c>
      <c r="R74" s="65" t="n">
        <f aca="false">E74*(C74*AL_FamGWyr+D74*AL_RefGWyr)</f>
        <v>0.0443662515430788</v>
      </c>
      <c r="S74" s="96" t="n">
        <f aca="false">IF(ISNUMBER(Q74),R74/(R74+Q74),"SLO 不可達")</f>
        <v>0.460967051486768</v>
      </c>
      <c r="T74" s="96" t="n">
        <f aca="false">IF(ISNUMBER(Q74),R74*AL_HoldTrain/(R74*AL_HoldTrain+Q74*(I74*$C$30+J74*$D$30+K74*$E$30+L74*$F$30)),"SLO 不可達")</f>
        <v>0.491069555144342</v>
      </c>
      <c r="U74" s="107" t="n">
        <f aca="false">R74*AL_HoldTrain</f>
        <v>0.566202802126738</v>
      </c>
      <c r="V74" s="64" t="n">
        <f aca="false">(M74+N74)/365/1000000</f>
        <v>11.48</v>
      </c>
      <c r="W74" s="104" t="n">
        <f aca="false">IF(AND(ISNUMBER(S90),ISNUMBER(T90),ISNUMBER(AL_Q1),ISNUMBER(AL_Q2)),IF(AND(ABS(S90-AL_Q1)&lt;=0.000000000001,ABS(T90-AL_Q2)&lt;=0.000000000001),0,1),IF(AND(NOT(ISNUMBER(S90)),NOT(ISNUMBER(AL_Q1))),0,1))</f>
        <v>0</v>
      </c>
    </row>
    <row r="75" customFormat="false" ht="15" hidden="false" customHeight="false" outlineLevel="0" collapsed="false">
      <c r="A75" s="54" t="s">
        <v>1807</v>
      </c>
      <c r="B75" s="54" t="s">
        <v>1784</v>
      </c>
      <c r="C75" s="79" t="n">
        <f aca="false">AL_Nmajor</f>
        <v>1</v>
      </c>
      <c r="D75" s="81" t="n">
        <f aca="false">AL_Nrefresh_Hi</f>
        <v>4</v>
      </c>
      <c r="E75" s="79" t="n">
        <f aca="false">AL_k</f>
        <v>1</v>
      </c>
      <c r="F75" s="69" t="n">
        <f aca="false">AL_APIratio</f>
        <v>0.75</v>
      </c>
      <c r="G75" s="60" t="n">
        <f aca="false">AL_TokPerPrompt</f>
        <v>2000</v>
      </c>
      <c r="H75" s="78" t="n">
        <f aca="false">AL_FreeShare</f>
        <v>0.6</v>
      </c>
      <c r="I75" s="78" t="n">
        <f aca="false">AL_MixHopper</f>
        <v>0</v>
      </c>
      <c r="J75" s="78" t="n">
        <f aca="false">AL_MixGB200</f>
        <v>0.4</v>
      </c>
      <c r="K75" s="78" t="n">
        <f aca="false">AL_MixGB300</f>
        <v>0.4</v>
      </c>
      <c r="L75" s="78" t="n">
        <f aca="false">AL_MixVR200</f>
        <v>0.2</v>
      </c>
      <c r="M75" s="60" t="n">
        <f aca="false">SRC_DEM_010*1000000000*525600*F75/1000000+SRC_DEM_012*1000000000*G75*365/1000000*(1-H75)</f>
        <v>3095200000</v>
      </c>
      <c r="N75" s="60" t="n">
        <f aca="false">SRC_DEM_012*1000000000*G75*365/1000000*H75</f>
        <v>1095000000</v>
      </c>
      <c r="O75" s="60" t="n">
        <f aca="false">IF(OR(AND(I75&gt;0,NOT(ISNUMBER($C$22))),AND(J75&gt;0,NOT(ISNUMBER($D$22))),AND(K75&gt;0,NOT(ISNUMBER($E$22))),AND(L75&gt;0,NOT(ISNUMBER($F$22)))),"SLO 不可達",IF(I75&gt;0,I75*$C$22,0)+IF(J75&gt;0,J75*$D$22,0)+IF(K75&gt;0,K75*$E$22,0)+IF(L75&gt;0,L75*$F$22,0))</f>
        <v>65240959794.9041</v>
      </c>
      <c r="P75" s="60" t="n">
        <f aca="false">IF(OR(AND(I75&gt;0,NOT(ISNUMBER($C$23))),AND(J75&gt;0,NOT(ISNUMBER($D$23))),AND(K75&gt;0,NOT(ISNUMBER($E$23))),AND(L75&gt;0,NOT(ISNUMBER($F$23)))),"SLO 不可達",IF(I75&gt;0,I75*$C$23,0)+IF(J75&gt;0,J75*$D$23,0)+IF(K75&gt;0,K75*$E$23,0)+IF(L75&gt;0,L75*$F$23,0))</f>
        <v>246777450811.863</v>
      </c>
      <c r="Q75" s="65" t="n">
        <f aca="false">IF(AND(ISNUMBER(O75),ISNUMBER(P75)),IF(AND(O75&gt;0,P75&gt;0),M75/O75+N75/P75,"SLO 不可達"),"SLO 不可達")</f>
        <v>0.0518797846974362</v>
      </c>
      <c r="R75" s="65" t="n">
        <f aca="false">E75*(C75*AL_FamGWyr+D75*AL_RefGWyr)</f>
        <v>0.11697991618499</v>
      </c>
      <c r="S75" s="96" t="n">
        <f aca="false">IF(ISNUMBER(Q75),R75/(R75+Q75),"SLO 不可達")</f>
        <v>0.692763966616527</v>
      </c>
      <c r="T75" s="96" t="n">
        <f aca="false">IF(ISNUMBER(Q75),R75*AL_HoldTrain/(R75*AL_HoldTrain+Q75*(I75*$C$30+J75*$D$30+K75*$E$30+L75*$F$30)),"SLO 不可達")</f>
        <v>0.717845101638662</v>
      </c>
      <c r="U75" s="107" t="n">
        <f aca="false">R75*AL_HoldTrain</f>
        <v>1.49289953585959</v>
      </c>
      <c r="V75" s="64" t="n">
        <f aca="false">(M75+N75)/365/1000000</f>
        <v>11.48</v>
      </c>
      <c r="W75" s="104" t="n">
        <f aca="false">IF(AND(ISNUMBER(S91),ISNUMBER(T91),ISNUMBER(AL_Q1),ISNUMBER(AL_Q2)),IF(AND(ABS(S91-AL_Q1)&lt;=0.000000000001,ABS(T91-AL_Q2)&lt;=0.000000000001),0,1),IF(AND(NOT(ISNUMBER(S91)),NOT(ISNUMBER(AL_Q1))),0,1))</f>
        <v>0</v>
      </c>
    </row>
    <row r="76" customFormat="false" ht="15" hidden="false" customHeight="false" outlineLevel="0" collapsed="false">
      <c r="A76" s="54" t="s">
        <v>1808</v>
      </c>
      <c r="B76" s="54" t="s">
        <v>1785</v>
      </c>
      <c r="C76" s="79" t="n">
        <f aca="false">AL_Nmajor</f>
        <v>1</v>
      </c>
      <c r="D76" s="79" t="n">
        <f aca="false">AL_Nrefresh</f>
        <v>2</v>
      </c>
      <c r="E76" s="81" t="n">
        <f aca="false">AL_k_Lo</f>
        <v>0.5</v>
      </c>
      <c r="F76" s="69" t="n">
        <f aca="false">AL_APIratio</f>
        <v>0.75</v>
      </c>
      <c r="G76" s="60" t="n">
        <f aca="false">AL_TokPerPrompt</f>
        <v>2000</v>
      </c>
      <c r="H76" s="78" t="n">
        <f aca="false">AL_FreeShare</f>
        <v>0.6</v>
      </c>
      <c r="I76" s="78" t="n">
        <f aca="false">AL_MixHopper</f>
        <v>0</v>
      </c>
      <c r="J76" s="78" t="n">
        <f aca="false">AL_MixGB200</f>
        <v>0.4</v>
      </c>
      <c r="K76" s="78" t="n">
        <f aca="false">AL_MixGB300</f>
        <v>0.4</v>
      </c>
      <c r="L76" s="78" t="n">
        <f aca="false">AL_MixVR200</f>
        <v>0.2</v>
      </c>
      <c r="M76" s="60" t="n">
        <f aca="false">SRC_DEM_010*1000000000*525600*F76/1000000+SRC_DEM_012*1000000000*G76*365/1000000*(1-H76)</f>
        <v>3095200000</v>
      </c>
      <c r="N76" s="60" t="n">
        <f aca="false">SRC_DEM_012*1000000000*G76*365/1000000*H76</f>
        <v>1095000000</v>
      </c>
      <c r="O76" s="60" t="n">
        <f aca="false">IF(OR(AND(I76&gt;0,NOT(ISNUMBER($C$22))),AND(J76&gt;0,NOT(ISNUMBER($D$22))),AND(K76&gt;0,NOT(ISNUMBER($E$22))),AND(L76&gt;0,NOT(ISNUMBER($F$22)))),"SLO 不可達",IF(I76&gt;0,I76*$C$22,0)+IF(J76&gt;0,J76*$D$22,0)+IF(K76&gt;0,K76*$E$22,0)+IF(L76&gt;0,L76*$F$22,0))</f>
        <v>65240959794.9041</v>
      </c>
      <c r="P76" s="60" t="n">
        <f aca="false">IF(OR(AND(I76&gt;0,NOT(ISNUMBER($C$23))),AND(J76&gt;0,NOT(ISNUMBER($D$23))),AND(K76&gt;0,NOT(ISNUMBER($E$23))),AND(L76&gt;0,NOT(ISNUMBER($F$23)))),"SLO 不可達",IF(I76&gt;0,I76*$C$23,0)+IF(J76&gt;0,J76*$D$23,0)+IF(K76&gt;0,K76*$E$23,0)+IF(L76&gt;0,L76*$F$23,0))</f>
        <v>246777450811.863</v>
      </c>
      <c r="Q76" s="65" t="n">
        <f aca="false">IF(AND(ISNUMBER(O76),ISNUMBER(P76)),IF(AND(O76&gt;0,P76&gt;0),M76/O76+N76/P76,"SLO 不可達"),"SLO 不可達")</f>
        <v>0.0518797846974362</v>
      </c>
      <c r="R76" s="65" t="n">
        <f aca="false">E76*(C76*AL_FamGWyr+D76*AL_RefGWyr)</f>
        <v>0.0403365419320171</v>
      </c>
      <c r="S76" s="96" t="n">
        <f aca="false">IF(ISNUMBER(Q76),R76/(R76+Q76),"SLO 不可達")</f>
        <v>0.437412152558394</v>
      </c>
      <c r="T76" s="96" t="n">
        <f aca="false">IF(ISNUMBER(Q76),R76*AL_HoldTrain/(R76*AL_HoldTrain+Q76*(I76*$C$30+J76*$D$30+K76*$E$30+L76*$F$30)),"SLO 不可達")</f>
        <v>0.46730998494226</v>
      </c>
      <c r="U76" s="107" t="n">
        <f aca="false">R76*AL_HoldTrain</f>
        <v>0.514775584496581</v>
      </c>
      <c r="V76" s="64" t="n">
        <f aca="false">(M76+N76)/365/1000000</f>
        <v>11.48</v>
      </c>
      <c r="W76" s="104" t="n">
        <f aca="false">IF(AND(ISNUMBER(S92),ISNUMBER(T92),ISNUMBER(AL_Q1),ISNUMBER(AL_Q2)),IF(AND(ABS(S92-AL_Q1)&lt;=0.000000000001,ABS(T92-AL_Q2)&lt;=0.000000000001),0,1),IF(AND(NOT(ISNUMBER(S92)),NOT(ISNUMBER(AL_Q1))),0,1))</f>
        <v>0</v>
      </c>
    </row>
    <row r="77" customFormat="false" ht="15" hidden="false" customHeight="false" outlineLevel="0" collapsed="false">
      <c r="A77" s="54" t="s">
        <v>1809</v>
      </c>
      <c r="B77" s="54" t="s">
        <v>1785</v>
      </c>
      <c r="C77" s="79" t="n">
        <f aca="false">AL_Nmajor</f>
        <v>1</v>
      </c>
      <c r="D77" s="79" t="n">
        <f aca="false">AL_Nrefresh</f>
        <v>2</v>
      </c>
      <c r="E77" s="81" t="n">
        <f aca="false">AL_k_Hi</f>
        <v>7</v>
      </c>
      <c r="F77" s="69" t="n">
        <f aca="false">AL_APIratio</f>
        <v>0.75</v>
      </c>
      <c r="G77" s="60" t="n">
        <f aca="false">AL_TokPerPrompt</f>
        <v>2000</v>
      </c>
      <c r="H77" s="78" t="n">
        <f aca="false">AL_FreeShare</f>
        <v>0.6</v>
      </c>
      <c r="I77" s="78" t="n">
        <f aca="false">AL_MixHopper</f>
        <v>0</v>
      </c>
      <c r="J77" s="78" t="n">
        <f aca="false">AL_MixGB200</f>
        <v>0.4</v>
      </c>
      <c r="K77" s="78" t="n">
        <f aca="false">AL_MixGB300</f>
        <v>0.4</v>
      </c>
      <c r="L77" s="78" t="n">
        <f aca="false">AL_MixVR200</f>
        <v>0.2</v>
      </c>
      <c r="M77" s="60" t="n">
        <f aca="false">SRC_DEM_010*1000000000*525600*F77/1000000+SRC_DEM_012*1000000000*G77*365/1000000*(1-H77)</f>
        <v>3095200000</v>
      </c>
      <c r="N77" s="60" t="n">
        <f aca="false">SRC_DEM_012*1000000000*G77*365/1000000*H77</f>
        <v>1095000000</v>
      </c>
      <c r="O77" s="60" t="n">
        <f aca="false">IF(OR(AND(I77&gt;0,NOT(ISNUMBER($C$22))),AND(J77&gt;0,NOT(ISNUMBER($D$22))),AND(K77&gt;0,NOT(ISNUMBER($E$22))),AND(L77&gt;0,NOT(ISNUMBER($F$22)))),"SLO 不可達",IF(I77&gt;0,I77*$C$22,0)+IF(J77&gt;0,J77*$D$22,0)+IF(K77&gt;0,K77*$E$22,0)+IF(L77&gt;0,L77*$F$22,0))</f>
        <v>65240959794.9041</v>
      </c>
      <c r="P77" s="60" t="n">
        <f aca="false">IF(OR(AND(I77&gt;0,NOT(ISNUMBER($C$23))),AND(J77&gt;0,NOT(ISNUMBER($D$23))),AND(K77&gt;0,NOT(ISNUMBER($E$23))),AND(L77&gt;0,NOT(ISNUMBER($F$23)))),"SLO 不可達",IF(I77&gt;0,I77*$C$23,0)+IF(J77&gt;0,J77*$D$23,0)+IF(K77&gt;0,K77*$E$23,0)+IF(L77&gt;0,L77*$F$23,0))</f>
        <v>246777450811.863</v>
      </c>
      <c r="Q77" s="65" t="n">
        <f aca="false">IF(AND(ISNUMBER(O77),ISNUMBER(P77)),IF(AND(O77&gt;0,P77&gt;0),M77/O77+N77/P77,"SLO 不可達"),"SLO 不可達")</f>
        <v>0.0518797846974362</v>
      </c>
      <c r="R77" s="65" t="n">
        <f aca="false">E77*(C77*AL_FamGWyr+D77*AL_RefGWyr)</f>
        <v>0.564711587048239</v>
      </c>
      <c r="S77" s="96" t="n">
        <f aca="false">IF(ISNUMBER(Q77),R77/(R77+Q77),"SLO 不可達")</f>
        <v>0.915860345968586</v>
      </c>
      <c r="T77" s="96" t="n">
        <f aca="false">IF(ISNUMBER(Q77),R77*AL_HoldTrain/(R77*AL_HoldTrain+Q77*(I77*$C$30+J77*$D$30+K77*$E$30+L77*$F$30)),"SLO 不可達")</f>
        <v>0.924708442254505</v>
      </c>
      <c r="U77" s="107" t="n">
        <f aca="false">R77*AL_HoldTrain</f>
        <v>7.20685818295214</v>
      </c>
      <c r="V77" s="64" t="n">
        <f aca="false">(M77+N77)/365/1000000</f>
        <v>11.48</v>
      </c>
      <c r="W77" s="104" t="n">
        <f aca="false">IF(AND(ISNUMBER(S93),ISNUMBER(T93),ISNUMBER(AL_Q1),ISNUMBER(AL_Q2)),IF(AND(ABS(S93-AL_Q1)&lt;=0.000000000001,ABS(T93-AL_Q2)&lt;=0.000000000001),0,1),IF(AND(NOT(ISNUMBER(S93)),NOT(ISNUMBER(AL_Q1))),0,1))</f>
        <v>0</v>
      </c>
    </row>
    <row r="78" customFormat="false" ht="15" hidden="false" customHeight="false" outlineLevel="0" collapsed="false">
      <c r="A78" s="53" t="s">
        <v>1810</v>
      </c>
      <c r="B78" s="53" t="s">
        <v>1694</v>
      </c>
      <c r="C78" s="79" t="n">
        <f aca="false">AL_Nmajor</f>
        <v>1</v>
      </c>
      <c r="D78" s="79" t="n">
        <f aca="false">AL_Nrefresh</f>
        <v>2</v>
      </c>
      <c r="E78" s="79" t="n">
        <f aca="false">AL_k</f>
        <v>1</v>
      </c>
      <c r="F78" s="69" t="n">
        <f aca="false">AL_APIratio</f>
        <v>0.75</v>
      </c>
      <c r="G78" s="63" t="n">
        <f aca="false">AL_TokPerPrompt_Lo</f>
        <v>1000</v>
      </c>
      <c r="H78" s="78" t="n">
        <f aca="false">AL_FreeShare</f>
        <v>0.6</v>
      </c>
      <c r="I78" s="78" t="n">
        <f aca="false">AL_MixHopper</f>
        <v>0</v>
      </c>
      <c r="J78" s="78" t="n">
        <f aca="false">AL_MixGB200</f>
        <v>0.4</v>
      </c>
      <c r="K78" s="78" t="n">
        <f aca="false">AL_MixGB300</f>
        <v>0.4</v>
      </c>
      <c r="L78" s="78" t="n">
        <f aca="false">AL_MixVR200</f>
        <v>0.2</v>
      </c>
      <c r="M78" s="60" t="n">
        <f aca="false">SRC_DEM_010*1000000000*525600*F78/1000000+SRC_DEM_012*1000000000*G78*365/1000000*(1-H78)</f>
        <v>2730200000</v>
      </c>
      <c r="N78" s="60" t="n">
        <f aca="false">SRC_DEM_012*1000000000*G78*365/1000000*H78</f>
        <v>547500000</v>
      </c>
      <c r="O78" s="60" t="n">
        <f aca="false">IF(OR(AND(I78&gt;0,NOT(ISNUMBER($C$22))),AND(J78&gt;0,NOT(ISNUMBER($D$22))),AND(K78&gt;0,NOT(ISNUMBER($E$22))),AND(L78&gt;0,NOT(ISNUMBER($F$22)))),"SLO 不可達",IF(I78&gt;0,I78*$C$22,0)+IF(J78&gt;0,J78*$D$22,0)+IF(K78&gt;0,K78*$E$22,0)+IF(L78&gt;0,L78*$F$22,0))</f>
        <v>65240959794.9041</v>
      </c>
      <c r="P78" s="60" t="n">
        <f aca="false">IF(OR(AND(I78&gt;0,NOT(ISNUMBER($C$23))),AND(J78&gt;0,NOT(ISNUMBER($D$23))),AND(K78&gt;0,NOT(ISNUMBER($E$23))),AND(L78&gt;0,NOT(ISNUMBER($F$23)))),"SLO 不可達",IF(I78&gt;0,I78*$C$23,0)+IF(J78&gt;0,J78*$D$23,0)+IF(K78&gt;0,K78*$E$23,0)+IF(L78&gt;0,L78*$F$23,0))</f>
        <v>246777450811.863</v>
      </c>
      <c r="Q78" s="65" t="n">
        <f aca="false">IF(AND(ISNUMBER(O78),ISNUMBER(P78)),IF(AND(O78&gt;0,P78&gt;0),M78/O78+N78/P78,"SLO 不可達"),"SLO 不可達")</f>
        <v>0.0440665416763445</v>
      </c>
      <c r="R78" s="65" t="n">
        <f aca="false">E78*(C78*AL_FamGWyr+D78*AL_RefGWyr)</f>
        <v>0.0806730838640342</v>
      </c>
      <c r="S78" s="96" t="n">
        <f aca="false">IF(ISNUMBER(Q78),R78/(R78+Q78),"SLO 不可達")</f>
        <v>0.646731810477658</v>
      </c>
      <c r="T78" s="96" t="n">
        <f aca="false">IF(ISNUMBER(Q78),R78*AL_HoldTrain/(R78*AL_HoldTrain+Q78*(I78*$C$30+J78*$D$30+K78*$E$30+L78*$F$30)),"SLO 不可達")</f>
        <v>0.673801339401137</v>
      </c>
      <c r="U78" s="107" t="n">
        <f aca="false">R78*AL_HoldTrain</f>
        <v>1.02955116899316</v>
      </c>
      <c r="V78" s="64" t="n">
        <f aca="false">(M78+N78)/365/1000000</f>
        <v>8.98</v>
      </c>
      <c r="W78" s="104" t="n">
        <f aca="false">IF(AND(ISNUMBER(S94),ISNUMBER(T94),ISNUMBER(AL_Q1),ISNUMBER(AL_Q2)),IF(AND(ABS(S94-AL_Q1)&lt;=0.000000000001,ABS(T94-AL_Q2)&lt;=0.000000000001),0,1),IF(AND(NOT(ISNUMBER(S94)),NOT(ISNUMBER(AL_Q1))),0,1))</f>
        <v>0</v>
      </c>
    </row>
    <row r="79" customFormat="false" ht="15" hidden="false" customHeight="false" outlineLevel="0" collapsed="false">
      <c r="A79" s="53" t="s">
        <v>1811</v>
      </c>
      <c r="B79" s="53" t="s">
        <v>1694</v>
      </c>
      <c r="C79" s="79" t="n">
        <f aca="false">AL_Nmajor</f>
        <v>1</v>
      </c>
      <c r="D79" s="79" t="n">
        <f aca="false">AL_Nrefresh</f>
        <v>2</v>
      </c>
      <c r="E79" s="79" t="n">
        <f aca="false">AL_k</f>
        <v>1</v>
      </c>
      <c r="F79" s="69" t="n">
        <f aca="false">AL_APIratio</f>
        <v>0.75</v>
      </c>
      <c r="G79" s="63" t="n">
        <f aca="false">AL_TokPerPrompt_Hi</f>
        <v>6000</v>
      </c>
      <c r="H79" s="78" t="n">
        <f aca="false">AL_FreeShare</f>
        <v>0.6</v>
      </c>
      <c r="I79" s="78" t="n">
        <f aca="false">AL_MixHopper</f>
        <v>0</v>
      </c>
      <c r="J79" s="78" t="n">
        <f aca="false">AL_MixGB200</f>
        <v>0.4</v>
      </c>
      <c r="K79" s="78" t="n">
        <f aca="false">AL_MixGB300</f>
        <v>0.4</v>
      </c>
      <c r="L79" s="78" t="n">
        <f aca="false">AL_MixVR200</f>
        <v>0.2</v>
      </c>
      <c r="M79" s="60" t="n">
        <f aca="false">SRC_DEM_010*1000000000*525600*F79/1000000+SRC_DEM_012*1000000000*G79*365/1000000*(1-H79)</f>
        <v>4555200000</v>
      </c>
      <c r="N79" s="60" t="n">
        <f aca="false">SRC_DEM_012*1000000000*G79*365/1000000*H79</f>
        <v>3285000000</v>
      </c>
      <c r="O79" s="60" t="n">
        <f aca="false">IF(OR(AND(I79&gt;0,NOT(ISNUMBER($C$22))),AND(J79&gt;0,NOT(ISNUMBER($D$22))),AND(K79&gt;0,NOT(ISNUMBER($E$22))),AND(L79&gt;0,NOT(ISNUMBER($F$22)))),"SLO 不可達",IF(I79&gt;0,I79*$C$22,0)+IF(J79&gt;0,J79*$D$22,0)+IF(K79&gt;0,K79*$E$22,0)+IF(L79&gt;0,L79*$F$22,0))</f>
        <v>65240959794.9041</v>
      </c>
      <c r="P79" s="60" t="n">
        <f aca="false">IF(OR(AND(I79&gt;0,NOT(ISNUMBER($C$23))),AND(J79&gt;0,NOT(ISNUMBER($D$23))),AND(K79&gt;0,NOT(ISNUMBER($E$23))),AND(L79&gt;0,NOT(ISNUMBER($F$23)))),"SLO 不可達",IF(I79&gt;0,I79*$C$23,0)+IF(J79&gt;0,J79*$D$23,0)+IF(K79&gt;0,K79*$E$23,0)+IF(L79&gt;0,L79*$F$23,0))</f>
        <v>246777450811.863</v>
      </c>
      <c r="Q79" s="65" t="n">
        <f aca="false">IF(AND(ISNUMBER(O79),ISNUMBER(P79)),IF(AND(O79&gt;0,P79&gt;0),M79/O79+N79/P79,"SLO 不可達"),"SLO 不可達")</f>
        <v>0.0831327567818029</v>
      </c>
      <c r="R79" s="65" t="n">
        <f aca="false">E79*(C79*AL_FamGWyr+D79*AL_RefGWyr)</f>
        <v>0.0806730838640342</v>
      </c>
      <c r="S79" s="96" t="n">
        <f aca="false">IF(ISNUMBER(Q79),R79/(R79+Q79),"SLO 不可達")</f>
        <v>0.492492108620575</v>
      </c>
      <c r="T79" s="96" t="n">
        <f aca="false">IF(ISNUMBER(Q79),R79*AL_HoldTrain/(R79*AL_HoldTrain+Q79*(I79*$C$30+J79*$D$30+K79*$E$30+L79*$F$30)),"SLO 不可達")</f>
        <v>0.522657154839202</v>
      </c>
      <c r="U79" s="107" t="n">
        <f aca="false">R79*AL_HoldTrain</f>
        <v>1.02955116899316</v>
      </c>
      <c r="V79" s="64" t="n">
        <f aca="false">(M79+N79)/365/1000000</f>
        <v>21.48</v>
      </c>
      <c r="W79" s="104" t="n">
        <f aca="false">IF(AND(ISNUMBER(S95),ISNUMBER(T95),ISNUMBER(AL_Q1),ISNUMBER(AL_Q2)),IF(AND(ABS(S95-AL_Q1)&lt;=0.000000000001,ABS(T95-AL_Q2)&lt;=0.000000000001),0,1),IF(AND(NOT(ISNUMBER(S95)),NOT(ISNUMBER(AL_Q1))),0,1))</f>
        <v>0</v>
      </c>
    </row>
    <row r="80" customFormat="false" ht="15" hidden="false" customHeight="false" outlineLevel="0" collapsed="false">
      <c r="A80" s="54" t="s">
        <v>1812</v>
      </c>
      <c r="B80" s="54" t="s">
        <v>1813</v>
      </c>
      <c r="C80" s="79" t="n">
        <f aca="false">AL_Nmajor</f>
        <v>1</v>
      </c>
      <c r="D80" s="79" t="n">
        <f aca="false">AL_Nrefresh</f>
        <v>2</v>
      </c>
      <c r="E80" s="79" t="n">
        <f aca="false">AL_k</f>
        <v>1</v>
      </c>
      <c r="F80" s="97" t="n">
        <f aca="false">AL_APIratio_Lo</f>
        <v>0.6</v>
      </c>
      <c r="G80" s="60" t="n">
        <f aca="false">AL_TokPerPrompt</f>
        <v>2000</v>
      </c>
      <c r="H80" s="78" t="n">
        <f aca="false">AL_FreeShare</f>
        <v>0.6</v>
      </c>
      <c r="I80" s="78" t="n">
        <f aca="false">AL_MixHopper</f>
        <v>0</v>
      </c>
      <c r="J80" s="78" t="n">
        <f aca="false">AL_MixGB200</f>
        <v>0.4</v>
      </c>
      <c r="K80" s="78" t="n">
        <f aca="false">AL_MixGB300</f>
        <v>0.4</v>
      </c>
      <c r="L80" s="78" t="n">
        <f aca="false">AL_MixVR200</f>
        <v>0.2</v>
      </c>
      <c r="M80" s="60" t="n">
        <f aca="false">SRC_DEM_010*1000000000*525600*F80/1000000+SRC_DEM_012*1000000000*G80*365/1000000*(1-H80)</f>
        <v>2622160000</v>
      </c>
      <c r="N80" s="60" t="n">
        <f aca="false">SRC_DEM_012*1000000000*G80*365/1000000*H80</f>
        <v>1095000000</v>
      </c>
      <c r="O80" s="60" t="n">
        <f aca="false">IF(OR(AND(I80&gt;0,NOT(ISNUMBER($C$22))),AND(J80&gt;0,NOT(ISNUMBER($D$22))),AND(K80&gt;0,NOT(ISNUMBER($E$22))),AND(L80&gt;0,NOT(ISNUMBER($F$22)))),"SLO 不可達",IF(I80&gt;0,I80*$C$22,0)+IF(J80&gt;0,J80*$D$22,0)+IF(K80&gt;0,K80*$E$22,0)+IF(L80&gt;0,L80*$F$22,0))</f>
        <v>65240959794.9041</v>
      </c>
      <c r="P80" s="60" t="n">
        <f aca="false">IF(OR(AND(I80&gt;0,NOT(ISNUMBER($C$23))),AND(J80&gt;0,NOT(ISNUMBER($D$23))),AND(K80&gt;0,NOT(ISNUMBER($E$23))),AND(L80&gt;0,NOT(ISNUMBER($F$23)))),"SLO 不可達",IF(I80&gt;0,I80*$C$23,0)+IF(J80&gt;0,J80*$D$23,0)+IF(K80&gt;0,K80*$E$23,0)+IF(L80&gt;0,L80*$F$23,0))</f>
        <v>246777450811.863</v>
      </c>
      <c r="Q80" s="65" t="n">
        <f aca="false">IF(AND(ISNUMBER(O80),ISNUMBER(P80)),IF(AND(O80&gt;0,P80&gt;0),M80/O80+N80/P80,"SLO 不可達"),"SLO 不可達")</f>
        <v>0.0446291249663856</v>
      </c>
      <c r="R80" s="65" t="n">
        <f aca="false">E80*(C80*AL_FamGWyr+D80*AL_RefGWyr)</f>
        <v>0.0806730838640342</v>
      </c>
      <c r="S80" s="96" t="n">
        <f aca="false">IF(ISNUMBER(Q80),R80/(R80+Q80),"SLO 不可達")</f>
        <v>0.643828106599579</v>
      </c>
      <c r="T80" s="96" t="n">
        <f aca="false">IF(ISNUMBER(Q80),R80*AL_HoldTrain/(R80*AL_HoldTrain+Q80*(I80*$C$30+J80*$D$30+K80*$E$30+L80*$F$30)),"SLO 不可達")</f>
        <v>0.671006949190004</v>
      </c>
      <c r="U80" s="107" t="n">
        <f aca="false">R80*AL_HoldTrain</f>
        <v>1.02955116899316</v>
      </c>
      <c r="V80" s="64" t="n">
        <f aca="false">(M80+N80)/365/1000000</f>
        <v>10.184</v>
      </c>
      <c r="W80" s="104" t="n">
        <f aca="false">IF(AND(ISNUMBER(S96),ISNUMBER(T96),ISNUMBER(AL_Q1),ISNUMBER(AL_Q2)),IF(AND(ABS(S96-AL_Q1)&lt;=0.000000000001,ABS(T96-AL_Q2)&lt;=0.000000000001),0,1),IF(AND(NOT(ISNUMBER(S96)),NOT(ISNUMBER(AL_Q1))),0,1))</f>
        <v>0</v>
      </c>
    </row>
    <row r="81" customFormat="false" ht="15" hidden="false" customHeight="false" outlineLevel="0" collapsed="false">
      <c r="A81" s="54" t="s">
        <v>1814</v>
      </c>
      <c r="B81" s="54" t="s">
        <v>1813</v>
      </c>
      <c r="C81" s="79" t="n">
        <f aca="false">AL_Nmajor</f>
        <v>1</v>
      </c>
      <c r="D81" s="79" t="n">
        <f aca="false">AL_Nrefresh</f>
        <v>2</v>
      </c>
      <c r="E81" s="79" t="n">
        <f aca="false">AL_k</f>
        <v>1</v>
      </c>
      <c r="F81" s="97" t="n">
        <f aca="false">AL_APIratio_Hi</f>
        <v>0.9</v>
      </c>
      <c r="G81" s="60" t="n">
        <f aca="false">AL_TokPerPrompt</f>
        <v>2000</v>
      </c>
      <c r="H81" s="78" t="n">
        <f aca="false">AL_FreeShare</f>
        <v>0.6</v>
      </c>
      <c r="I81" s="78" t="n">
        <f aca="false">AL_MixHopper</f>
        <v>0</v>
      </c>
      <c r="J81" s="78" t="n">
        <f aca="false">AL_MixGB200</f>
        <v>0.4</v>
      </c>
      <c r="K81" s="78" t="n">
        <f aca="false">AL_MixGB300</f>
        <v>0.4</v>
      </c>
      <c r="L81" s="78" t="n">
        <f aca="false">AL_MixVR200</f>
        <v>0.2</v>
      </c>
      <c r="M81" s="60" t="n">
        <f aca="false">SRC_DEM_010*1000000000*525600*F81/1000000+SRC_DEM_012*1000000000*G81*365/1000000*(1-H81)</f>
        <v>3568240000</v>
      </c>
      <c r="N81" s="60" t="n">
        <f aca="false">SRC_DEM_012*1000000000*G81*365/1000000*H81</f>
        <v>1095000000</v>
      </c>
      <c r="O81" s="60" t="n">
        <f aca="false">IF(OR(AND(I81&gt;0,NOT(ISNUMBER($C$22))),AND(J81&gt;0,NOT(ISNUMBER($D$22))),AND(K81&gt;0,NOT(ISNUMBER($E$22))),AND(L81&gt;0,NOT(ISNUMBER($F$22)))),"SLO 不可達",IF(I81&gt;0,I81*$C$22,0)+IF(J81&gt;0,J81*$D$22,0)+IF(K81&gt;0,K81*$E$22,0)+IF(L81&gt;0,L81*$F$22,0))</f>
        <v>65240959794.9041</v>
      </c>
      <c r="P81" s="60" t="n">
        <f aca="false">IF(OR(AND(I81&gt;0,NOT(ISNUMBER($C$23))),AND(J81&gt;0,NOT(ISNUMBER($D$23))),AND(K81&gt;0,NOT(ISNUMBER($E$23))),AND(L81&gt;0,NOT(ISNUMBER($F$23)))),"SLO 不可達",IF(I81&gt;0,I81*$C$23,0)+IF(J81&gt;0,J81*$D$23,0)+IF(K81&gt;0,K81*$E$23,0)+IF(L81&gt;0,L81*$F$23,0))</f>
        <v>246777450811.863</v>
      </c>
      <c r="Q81" s="65" t="n">
        <f aca="false">IF(AND(ISNUMBER(O81),ISNUMBER(P81)),IF(AND(O81&gt;0,P81&gt;0),M81/O81+N81/P81,"SLO 不可達"),"SLO 不可達")</f>
        <v>0.0591304444284868</v>
      </c>
      <c r="R81" s="65" t="n">
        <f aca="false">E81*(C81*AL_FamGWyr+D81*AL_RefGWyr)</f>
        <v>0.0806730838640342</v>
      </c>
      <c r="S81" s="96" t="n">
        <f aca="false">IF(ISNUMBER(Q81),R81/(R81+Q81),"SLO 不可達")</f>
        <v>0.577046122149622</v>
      </c>
      <c r="T81" s="96" t="n">
        <f aca="false">IF(ISNUMBER(Q81),R81*AL_HoldTrain/(R81*AL_HoldTrain+Q81*(I81*$C$30+J81*$D$30+K81*$E$30+L81*$F$30)),"SLO 不可達")</f>
        <v>0.606204013547456</v>
      </c>
      <c r="U81" s="107" t="n">
        <f aca="false">R81*AL_HoldTrain</f>
        <v>1.02955116899316</v>
      </c>
      <c r="V81" s="64" t="n">
        <f aca="false">(M81+N81)/365/1000000</f>
        <v>12.776</v>
      </c>
      <c r="W81" s="104" t="n">
        <f aca="false">IF(AND(ISNUMBER(S97),ISNUMBER(T97),ISNUMBER(AL_Q1),ISNUMBER(AL_Q2)),IF(AND(ABS(S97-AL_Q1)&lt;=0.000000000001,ABS(T97-AL_Q2)&lt;=0.000000000001),0,1),IF(AND(NOT(ISNUMBER(S97)),NOT(ISNUMBER(AL_Q1))),0,1))</f>
        <v>0</v>
      </c>
    </row>
    <row r="82" customFormat="false" ht="15" hidden="false" customHeight="false" outlineLevel="0" collapsed="false">
      <c r="A82" s="53" t="s">
        <v>1815</v>
      </c>
      <c r="B82" s="53" t="s">
        <v>1788</v>
      </c>
      <c r="C82" s="79" t="n">
        <f aca="false">AL_Nmajor</f>
        <v>1</v>
      </c>
      <c r="D82" s="79" t="n">
        <f aca="false">AL_Nrefresh</f>
        <v>2</v>
      </c>
      <c r="E82" s="79" t="n">
        <f aca="false">AL_k</f>
        <v>1</v>
      </c>
      <c r="F82" s="69" t="n">
        <f aca="false">AL_APIratio</f>
        <v>0.75</v>
      </c>
      <c r="G82" s="60" t="n">
        <f aca="false">AL_TokPerPrompt</f>
        <v>2000</v>
      </c>
      <c r="H82" s="111" t="n">
        <f aca="false">AL_FreeShare_Lo</f>
        <v>0.4</v>
      </c>
      <c r="I82" s="78" t="n">
        <f aca="false">AL_MixHopper</f>
        <v>0</v>
      </c>
      <c r="J82" s="78" t="n">
        <f aca="false">AL_MixGB200</f>
        <v>0.4</v>
      </c>
      <c r="K82" s="78" t="n">
        <f aca="false">AL_MixGB300</f>
        <v>0.4</v>
      </c>
      <c r="L82" s="78" t="n">
        <f aca="false">AL_MixVR200</f>
        <v>0.2</v>
      </c>
      <c r="M82" s="60" t="n">
        <f aca="false">SRC_DEM_010*1000000000*525600*F82/1000000+SRC_DEM_012*1000000000*G82*365/1000000*(1-H82)</f>
        <v>3460200000</v>
      </c>
      <c r="N82" s="60" t="n">
        <f aca="false">SRC_DEM_012*1000000000*G82*365/1000000*H82</f>
        <v>730000000</v>
      </c>
      <c r="O82" s="60" t="n">
        <f aca="false">IF(OR(AND(I82&gt;0,NOT(ISNUMBER($C$22))),AND(J82&gt;0,NOT(ISNUMBER($D$22))),AND(K82&gt;0,NOT(ISNUMBER($E$22))),AND(L82&gt;0,NOT(ISNUMBER($F$22)))),"SLO 不可達",IF(I82&gt;0,I82*$C$22,0)+IF(J82&gt;0,J82*$D$22,0)+IF(K82&gt;0,K82*$E$22,0)+IF(L82&gt;0,L82*$F$22,0))</f>
        <v>65240959794.9041</v>
      </c>
      <c r="P82" s="60" t="n">
        <f aca="false">IF(OR(AND(I82&gt;0,NOT(ISNUMBER($C$23))),AND(J82&gt;0,NOT(ISNUMBER($D$23))),AND(K82&gt;0,NOT(ISNUMBER($E$23))),AND(L82&gt;0,NOT(ISNUMBER($F$23)))),"SLO 不可達",IF(I82&gt;0,I82*$C$23,0)+IF(J82&gt;0,J82*$D$23,0)+IF(K82&gt;0,K82*$E$23,0)+IF(L82&gt;0,L82*$F$23,0))</f>
        <v>246777450811.863</v>
      </c>
      <c r="Q82" s="65" t="n">
        <f aca="false">IF(AND(ISNUMBER(O82),ISNUMBER(P82)),IF(AND(O82&gt;0,P82&gt;0),M82/O82+N82/P82,"SLO 不可達"),"SLO 不可達")</f>
        <v>0.0559953641070512</v>
      </c>
      <c r="R82" s="65" t="n">
        <f aca="false">E82*(C82*AL_FamGWyr+D82*AL_RefGWyr)</f>
        <v>0.0806730838640342</v>
      </c>
      <c r="S82" s="96" t="n">
        <f aca="false">IF(ISNUMBER(Q82),R82/(R82+Q82),"SLO 不可達")</f>
        <v>0.59028316382946</v>
      </c>
      <c r="T82" s="96" t="n">
        <f aca="false">IF(ISNUMBER(Q82),R82*AL_HoldTrain/(R82*AL_HoldTrain+Q82*(I82*$C$30+J82*$D$30+K82*$E$30+L82*$F$30)),"SLO 不可達")</f>
        <v>0.61913081974133</v>
      </c>
      <c r="U82" s="107" t="n">
        <f aca="false">R82*AL_HoldTrain</f>
        <v>1.02955116899316</v>
      </c>
      <c r="V82" s="64" t="n">
        <f aca="false">(M82+N82)/365/1000000</f>
        <v>11.48</v>
      </c>
      <c r="W82" s="104" t="n">
        <f aca="false">IF(AND(ISNUMBER(S98),ISNUMBER(T98),ISNUMBER(AL_Q1),ISNUMBER(AL_Q2)),IF(AND(ABS(S98-AL_Q1)&lt;=0.000000000001,ABS(T98-AL_Q2)&lt;=0.000000000001),0,1),IF(AND(NOT(ISNUMBER(S98)),NOT(ISNUMBER(AL_Q1))),0,1))</f>
        <v>0</v>
      </c>
    </row>
    <row r="83" customFormat="false" ht="15" hidden="false" customHeight="false" outlineLevel="0" collapsed="false">
      <c r="A83" s="53" t="s">
        <v>1816</v>
      </c>
      <c r="B83" s="53" t="s">
        <v>1788</v>
      </c>
      <c r="C83" s="79" t="n">
        <f aca="false">AL_Nmajor</f>
        <v>1</v>
      </c>
      <c r="D83" s="79" t="n">
        <f aca="false">AL_Nrefresh</f>
        <v>2</v>
      </c>
      <c r="E83" s="79" t="n">
        <f aca="false">AL_k</f>
        <v>1</v>
      </c>
      <c r="F83" s="69" t="n">
        <f aca="false">AL_APIratio</f>
        <v>0.75</v>
      </c>
      <c r="G83" s="60" t="n">
        <f aca="false">AL_TokPerPrompt</f>
        <v>2000</v>
      </c>
      <c r="H83" s="111" t="n">
        <f aca="false">AL_FreeShare_Hi</f>
        <v>0.8</v>
      </c>
      <c r="I83" s="78" t="n">
        <f aca="false">AL_MixHopper</f>
        <v>0</v>
      </c>
      <c r="J83" s="78" t="n">
        <f aca="false">AL_MixGB200</f>
        <v>0.4</v>
      </c>
      <c r="K83" s="78" t="n">
        <f aca="false">AL_MixGB300</f>
        <v>0.4</v>
      </c>
      <c r="L83" s="78" t="n">
        <f aca="false">AL_MixVR200</f>
        <v>0.2</v>
      </c>
      <c r="M83" s="60" t="n">
        <f aca="false">SRC_DEM_010*1000000000*525600*F83/1000000+SRC_DEM_012*1000000000*G83*365/1000000*(1-H83)</f>
        <v>2730200000</v>
      </c>
      <c r="N83" s="60" t="n">
        <f aca="false">SRC_DEM_012*1000000000*G83*365/1000000*H83</f>
        <v>1460000000</v>
      </c>
      <c r="O83" s="60" t="n">
        <f aca="false">IF(OR(AND(I83&gt;0,NOT(ISNUMBER($C$22))),AND(J83&gt;0,NOT(ISNUMBER($D$22))),AND(K83&gt;0,NOT(ISNUMBER($E$22))),AND(L83&gt;0,NOT(ISNUMBER($F$22)))),"SLO 不可達",IF(I83&gt;0,I83*$C$22,0)+IF(J83&gt;0,J83*$D$22,0)+IF(K83&gt;0,K83*$E$22,0)+IF(L83&gt;0,L83*$F$22,0))</f>
        <v>65240959794.9041</v>
      </c>
      <c r="P83" s="60" t="n">
        <f aca="false">IF(OR(AND(I83&gt;0,NOT(ISNUMBER($C$23))),AND(J83&gt;0,NOT(ISNUMBER($D$23))),AND(K83&gt;0,NOT(ISNUMBER($E$23))),AND(L83&gt;0,NOT(ISNUMBER($F$23)))),"SLO 不可達",IF(I83&gt;0,I83*$C$23,0)+IF(J83&gt;0,J83*$D$23,0)+IF(K83&gt;0,K83*$E$23,0)+IF(L83&gt;0,L83*$F$23,0))</f>
        <v>246777450811.863</v>
      </c>
      <c r="Q83" s="65" t="n">
        <f aca="false">IF(AND(ISNUMBER(O83),ISNUMBER(P83)),IF(AND(O83&gt;0,P83&gt;0),M83/O83+N83/P83,"SLO 不可達"),"SLO 不可達")</f>
        <v>0.0477642052878212</v>
      </c>
      <c r="R83" s="65" t="n">
        <f aca="false">E83*(C83*AL_FamGWyr+D83*AL_RefGWyr)</f>
        <v>0.0806730838640342</v>
      </c>
      <c r="S83" s="96" t="n">
        <f aca="false">IF(ISNUMBER(Q83),R83/(R83+Q83),"SLO 不可達")</f>
        <v>0.628112632995951</v>
      </c>
      <c r="T83" s="96" t="n">
        <f aca="false">IF(ISNUMBER(Q83),R83*AL_HoldTrain/(R83*AL_HoldTrain+Q83*(I83*$C$30+J83*$D$30+K83*$E$30+L83*$F$30)),"SLO 不可達")</f>
        <v>0.65584966730477</v>
      </c>
      <c r="U83" s="107" t="n">
        <f aca="false">R83*AL_HoldTrain</f>
        <v>1.02955116899316</v>
      </c>
      <c r="V83" s="64" t="n">
        <f aca="false">(M83+N83)/365/1000000</f>
        <v>11.48</v>
      </c>
      <c r="W83" s="104" t="n">
        <f aca="false">IF(AND(ISNUMBER(S99),ISNUMBER(T99),ISNUMBER(AL_Q1),ISNUMBER(AL_Q2)),IF(AND(ABS(S99-AL_Q1)&lt;=0.000000000001,ABS(T99-AL_Q2)&lt;=0.000000000001),0,1),IF(AND(NOT(ISNUMBER(S99)),NOT(ISNUMBER(AL_Q1))),0,1))</f>
        <v>0</v>
      </c>
    </row>
    <row r="84" customFormat="false" ht="15" hidden="false" customHeight="false" outlineLevel="0" collapsed="false">
      <c r="A84" s="53" t="s">
        <v>1817</v>
      </c>
      <c r="B84" s="53" t="s">
        <v>1818</v>
      </c>
      <c r="C84" s="79" t="n">
        <f aca="false">AL_Nmajor</f>
        <v>1</v>
      </c>
      <c r="D84" s="79" t="n">
        <f aca="false">AL_Nrefresh</f>
        <v>2</v>
      </c>
      <c r="E84" s="79" t="n">
        <f aca="false">AL_k</f>
        <v>1</v>
      </c>
      <c r="F84" s="69" t="n">
        <f aca="false">AL_APIratio</f>
        <v>0.75</v>
      </c>
      <c r="G84" s="60" t="n">
        <f aca="false">AL_TokPerPrompt</f>
        <v>2000</v>
      </c>
      <c r="H84" s="78" t="n">
        <f aca="false">AL_FreeShare</f>
        <v>0.6</v>
      </c>
      <c r="I84" s="111" t="n">
        <f aca="false">AL_MixHopper_Lo</f>
        <v>0</v>
      </c>
      <c r="J84" s="111" t="n">
        <f aca="false">AL_MixGB200_Hi</f>
        <v>1</v>
      </c>
      <c r="K84" s="111" t="n">
        <f aca="false">AL_MixGB300_Lo</f>
        <v>0</v>
      </c>
      <c r="L84" s="111" t="n">
        <f aca="false">AL_MixVR200_Lo</f>
        <v>0</v>
      </c>
      <c r="M84" s="60" t="n">
        <f aca="false">SRC_DEM_010*1000000000*525600*F84/1000000+SRC_DEM_012*1000000000*G84*365/1000000*(1-H84)</f>
        <v>3095200000</v>
      </c>
      <c r="N84" s="60" t="n">
        <f aca="false">SRC_DEM_012*1000000000*G84*365/1000000*H84</f>
        <v>1095000000</v>
      </c>
      <c r="O84" s="60" t="n">
        <f aca="false">IF(OR(AND(I84&gt;0,NOT(ISNUMBER($C$22))),AND(J84&gt;0,NOT(ISNUMBER($D$22))),AND(K84&gt;0,NOT(ISNUMBER($E$22))),AND(L84&gt;0,NOT(ISNUMBER($F$22)))),"SLO 不可達",IF(I84&gt;0,I84*$C$22,0)+IF(J84&gt;0,J84*$D$22,0)+IF(K84&gt;0,K84*$E$22,0)+IF(L84&gt;0,L84*$F$22,0))</f>
        <v>46475270191.3169</v>
      </c>
      <c r="P84" s="60" t="n">
        <f aca="false">IF(OR(AND(I84&gt;0,NOT(ISNUMBER($C$23))),AND(J84&gt;0,NOT(ISNUMBER($D$23))),AND(K84&gt;0,NOT(ISNUMBER($E$23))),AND(L84&gt;0,NOT(ISNUMBER($F$23)))),"SLO 不可達",IF(I84&gt;0,I84*$C$23,0)+IF(J84&gt;0,J84*$D$23,0)+IF(K84&gt;0,K84*$E$23,0)+IF(L84&gt;0,L84*$F$23,0))</f>
        <v>174192642344.907</v>
      </c>
      <c r="Q84" s="65" t="n">
        <f aca="false">IF(AND(ISNUMBER(O84),ISNUMBER(P84)),IF(AND(O84&gt;0,P84&gt;0),M84/O84+N84/P84,"SLO 不可達"),"SLO 不可達")</f>
        <v>0.0728850035292742</v>
      </c>
      <c r="R84" s="65" t="n">
        <f aca="false">E84*(C84*AL_FamGWyr+D84*AL_RefGWyr)</f>
        <v>0.0806730838640342</v>
      </c>
      <c r="S84" s="96" t="n">
        <f aca="false">IF(ISNUMBER(Q84),R84/(R84+Q84),"SLO 不可達")</f>
        <v>0.525358743609551</v>
      </c>
      <c r="T84" s="96" t="n">
        <f aca="false">IF(ISNUMBER(Q84),R84*AL_HoldTrain/(R84*AL_HoldTrain+Q84*(I84*$C$30+J84*$D$30+K84*$E$30+L84*$F$30)),"SLO 不可達")</f>
        <v>0.606339444073556</v>
      </c>
      <c r="U84" s="107" t="n">
        <f aca="false">R84*AL_HoldTrain</f>
        <v>1.02955116899316</v>
      </c>
      <c r="V84" s="64" t="n">
        <f aca="false">(M84+N84)/365/1000000</f>
        <v>11.48</v>
      </c>
      <c r="W84" s="104" t="n">
        <f aca="false">IF(AND(ISNUMBER(S100),ISNUMBER(T100),ISNUMBER(AL_Q1),ISNUMBER(AL_Q2)),IF(AND(ABS(S100-AL_Q1)&lt;=0.000000000001,ABS(T100-AL_Q2)&lt;=0.000000000001),0,1),IF(AND(NOT(ISNUMBER(S100)),NOT(ISNUMBER(AL_Q1))),0,1))</f>
        <v>0</v>
      </c>
    </row>
    <row r="85" customFormat="false" ht="15" hidden="false" customHeight="false" outlineLevel="0" collapsed="false">
      <c r="A85" s="53" t="s">
        <v>1819</v>
      </c>
      <c r="B85" s="53" t="s">
        <v>1818</v>
      </c>
      <c r="C85" s="79" t="n">
        <f aca="false">AL_Nmajor</f>
        <v>1</v>
      </c>
      <c r="D85" s="79" t="n">
        <f aca="false">AL_Nrefresh</f>
        <v>2</v>
      </c>
      <c r="E85" s="79" t="n">
        <f aca="false">AL_k</f>
        <v>1</v>
      </c>
      <c r="F85" s="69" t="n">
        <f aca="false">AL_APIratio</f>
        <v>0.75</v>
      </c>
      <c r="G85" s="60" t="n">
        <f aca="false">AL_TokPerPrompt</f>
        <v>2000</v>
      </c>
      <c r="H85" s="78" t="n">
        <f aca="false">AL_FreeShare</f>
        <v>0.6</v>
      </c>
      <c r="I85" s="111" t="n">
        <f aca="false">AL_MixHopper_Lo</f>
        <v>0</v>
      </c>
      <c r="J85" s="111" t="n">
        <f aca="false">AL_MixGB200_Lo</f>
        <v>0</v>
      </c>
      <c r="K85" s="111" t="n">
        <f aca="false">AL_MixGB300_Lo</f>
        <v>0</v>
      </c>
      <c r="L85" s="111" t="n">
        <f aca="false">AL_MixVR200_Hi</f>
        <v>1</v>
      </c>
      <c r="M85" s="60" t="n">
        <f aca="false">SRC_DEM_010*1000000000*525600*F85/1000000+SRC_DEM_012*1000000000*G85*365/1000000*(1-H85)</f>
        <v>3095200000</v>
      </c>
      <c r="N85" s="60" t="n">
        <f aca="false">SRC_DEM_012*1000000000*G85*365/1000000*H85</f>
        <v>1095000000</v>
      </c>
      <c r="O85" s="60" t="n">
        <f aca="false">IF(OR(AND(I85&gt;0,NOT(ISNUMBER($C$22))),AND(J85&gt;0,NOT(ISNUMBER($D$22))),AND(K85&gt;0,NOT(ISNUMBER($E$22))),AND(L85&gt;0,NOT(ISNUMBER($F$22)))),"SLO 不可達",IF(I85&gt;0,I85*$C$22,0)+IF(J85&gt;0,J85*$D$22,0)+IF(K85&gt;0,K85*$E$22,0)+IF(L85&gt;0,L85*$F$22,0))</f>
        <v>112242395547.297</v>
      </c>
      <c r="P85" s="60" t="n">
        <f aca="false">IF(OR(AND(I85&gt;0,NOT(ISNUMBER($C$23))),AND(J85&gt;0,NOT(ISNUMBER($D$23))),AND(K85&gt;0,NOT(ISNUMBER($E$23))),AND(L85&gt;0,NOT(ISNUMBER($F$23)))),"SLO 不可達",IF(I85&gt;0,I85*$C$23,0)+IF(J85&gt;0,J85*$D$23,0)+IF(K85&gt;0,K85*$E$23,0)+IF(L85&gt;0,L85*$F$23,0))</f>
        <v>378296186837.881</v>
      </c>
      <c r="Q85" s="65" t="n">
        <f aca="false">IF(AND(ISNUMBER(O85),ISNUMBER(P85)),IF(AND(O85&gt;0,P85&gt;0),M85/O85+N85/P85,"SLO 不可達"),"SLO 不可達")</f>
        <v>0.0304705902964442</v>
      </c>
      <c r="R85" s="65" t="n">
        <f aca="false">E85*(C85*AL_FamGWyr+D85*AL_RefGWyr)</f>
        <v>0.0806730838640342</v>
      </c>
      <c r="S85" s="96" t="n">
        <f aca="false">IF(ISNUMBER(Q85),R85/(R85+Q85),"SLO 不可達")</f>
        <v>0.725845033227458</v>
      </c>
      <c r="T85" s="96" t="n">
        <f aca="false">IF(ISNUMBER(Q85),R85*AL_HoldTrain/(R85*AL_HoldTrain+Q85*(I85*$C$30+J85*$D$30+K85*$E$30+L85*$F$30)),"SLO 不可達")</f>
        <v>0.725845033227458</v>
      </c>
      <c r="U85" s="107" t="n">
        <f aca="false">R85*AL_HoldTrain</f>
        <v>1.02955116899316</v>
      </c>
      <c r="V85" s="64" t="n">
        <f aca="false">(M85+N85)/365/1000000</f>
        <v>11.48</v>
      </c>
      <c r="W85" s="104" t="n">
        <f aca="false">IF(AND(ISNUMBER(S101),ISNUMBER(T101),ISNUMBER(AL_Q1),ISNUMBER(AL_Q2)),IF(AND(ABS(S101-AL_Q1)&lt;=0.000000000001,ABS(T101-AL_Q2)&lt;=0.000000000001),0,1),IF(AND(NOT(ISNUMBER(S101)),NOT(ISNUMBER(AL_Q1))),0,1))</f>
        <v>0</v>
      </c>
    </row>
    <row r="87" customFormat="false" ht="15" hidden="false" customHeight="false" outlineLevel="0" collapsed="false">
      <c r="A87" s="66" t="s">
        <v>1820</v>
      </c>
      <c r="B87" s="50" t="s">
        <v>571</v>
      </c>
      <c r="C87" s="79" t="n">
        <f aca="false">AL_Nmajor</f>
        <v>1</v>
      </c>
      <c r="D87" s="79" t="n">
        <f aca="false">AL_Nrefresh</f>
        <v>2</v>
      </c>
      <c r="E87" s="79" t="n">
        <f aca="false">AL_k</f>
        <v>1</v>
      </c>
      <c r="F87" s="69" t="n">
        <f aca="false">AL_APIratio</f>
        <v>0.75</v>
      </c>
      <c r="G87" s="60" t="n">
        <f aca="false">AL_TokPerPrompt</f>
        <v>2000</v>
      </c>
      <c r="H87" s="78" t="n">
        <f aca="false">AL_FreeShare</f>
        <v>0.6</v>
      </c>
      <c r="I87" s="78" t="n">
        <f aca="false">AL_MixHopper</f>
        <v>0</v>
      </c>
      <c r="J87" s="78" t="n">
        <f aca="false">AL_MixGB200</f>
        <v>0.4</v>
      </c>
      <c r="K87" s="78" t="n">
        <f aca="false">AL_MixGB300</f>
        <v>0.4</v>
      </c>
      <c r="L87" s="78" t="n">
        <f aca="false">AL_MixVR200</f>
        <v>0.2</v>
      </c>
      <c r="M87" s="60" t="n">
        <f aca="false">SRC_DEM_010*1000000000*525600*F87/1000000+SRC_DEM_012*1000000000*G87*365/1000000*(1-H87)</f>
        <v>3095200000</v>
      </c>
      <c r="N87" s="60" t="n">
        <f aca="false">SRC_DEM_012*1000000000*G87*365/1000000*H87</f>
        <v>1095000000</v>
      </c>
      <c r="O87" s="60" t="n">
        <f aca="false">IF(OR(AND(I87&gt;0,NOT(ISNUMBER($C$22))),AND(J87&gt;0,NOT(ISNUMBER($D$22))),AND(K87&gt;0,NOT(ISNUMBER($E$22))),AND(L87&gt;0,NOT(ISNUMBER($F$22)))),"SLO 不可達",IF(I87&gt;0,I87*$C$22,0)+IF(J87&gt;0,J87*$D$22,0)+IF(K87&gt;0,K87*$E$22,0)+IF(L87&gt;0,L87*$F$22,0))</f>
        <v>65240959794.9041</v>
      </c>
      <c r="P87" s="60" t="n">
        <f aca="false">IF(OR(AND(I87&gt;0,NOT(ISNUMBER($C$23))),AND(J87&gt;0,NOT(ISNUMBER($D$23))),AND(K87&gt;0,NOT(ISNUMBER($E$23))),AND(L87&gt;0,NOT(ISNUMBER($F$23)))),"SLO 不可達",IF(I87&gt;0,I87*$C$23,0)+IF(J87&gt;0,J87*$D$23,0)+IF(K87&gt;0,K87*$E$23,0)+IF(L87&gt;0,L87*$F$23,0))</f>
        <v>246777450811.863</v>
      </c>
      <c r="Q87" s="65" t="n">
        <f aca="false">IF(AND(ISNUMBER(O87),ISNUMBER(P87)),IF(AND(O87&gt;0,P87&gt;0),M87/O87+N87/P87,"SLO 不可達"),"SLO 不可達")</f>
        <v>0.0518797846974362</v>
      </c>
      <c r="R87" s="65" t="n">
        <f aca="false">E87*(C87*AL_FamGWyr+D87*AL_RefGWyr)</f>
        <v>0.0806730838640342</v>
      </c>
      <c r="S87" s="96" t="n">
        <f aca="false">IF(ISNUMBER(Q87),R87/(R87+Q87),"SLO 不可達")</f>
        <v>0.608610622610726</v>
      </c>
      <c r="T87" s="96" t="n">
        <f aca="false">IF(ISNUMBER(Q87),R87*AL_HoldTrain/(R87*AL_HoldTrain+Q87*(I87*$C$30+J87*$D$30+K87*$E$30+L87*$F$30)),"SLO 不可達")</f>
        <v>0.636961500620674</v>
      </c>
      <c r="U87" s="107" t="n">
        <f aca="false">R87*AL_HoldTrain</f>
        <v>1.02955116899316</v>
      </c>
      <c r="V87" s="64" t="n">
        <f aca="false">(M87+N87)/365/1000000</f>
        <v>11.48</v>
      </c>
    </row>
    <row r="88" customFormat="false" ht="15" hidden="false" customHeight="false" outlineLevel="0" collapsed="false">
      <c r="A88" s="66" t="s">
        <v>1821</v>
      </c>
      <c r="B88" s="50" t="s">
        <v>1783</v>
      </c>
      <c r="C88" s="79" t="n">
        <f aca="false">AL_Nmajor</f>
        <v>1</v>
      </c>
      <c r="D88" s="79" t="n">
        <f aca="false">AL_Nrefresh</f>
        <v>2</v>
      </c>
      <c r="E88" s="79" t="n">
        <f aca="false">AL_k</f>
        <v>1</v>
      </c>
      <c r="F88" s="69" t="n">
        <f aca="false">AL_APIratio</f>
        <v>0.75</v>
      </c>
      <c r="G88" s="60" t="n">
        <f aca="false">AL_TokPerPrompt</f>
        <v>2000</v>
      </c>
      <c r="H88" s="78" t="n">
        <f aca="false">AL_FreeShare</f>
        <v>0.6</v>
      </c>
      <c r="I88" s="78" t="n">
        <f aca="false">AL_MixHopper</f>
        <v>0</v>
      </c>
      <c r="J88" s="78" t="n">
        <f aca="false">AL_MixGB200</f>
        <v>0.4</v>
      </c>
      <c r="K88" s="78" t="n">
        <f aca="false">AL_MixGB300</f>
        <v>0.4</v>
      </c>
      <c r="L88" s="78" t="n">
        <f aca="false">AL_MixVR200</f>
        <v>0.2</v>
      </c>
      <c r="M88" s="60" t="n">
        <f aca="false">SRC_DEM_010*1000000000*525600*F88/1000000+SRC_DEM_012*1000000000*G88*365/1000000*(1-H88)</f>
        <v>3095200000</v>
      </c>
      <c r="N88" s="60" t="n">
        <f aca="false">SRC_DEM_012*1000000000*G88*365/1000000*H88</f>
        <v>1095000000</v>
      </c>
      <c r="O88" s="60" t="n">
        <f aca="false">IF(OR(AND(I88&gt;0,NOT(ISNUMBER($C$22))),AND(J88&gt;0,NOT(ISNUMBER($D$22))),AND(K88&gt;0,NOT(ISNUMBER($E$22))),AND(L88&gt;0,NOT(ISNUMBER($F$22)))),"SLO 不可達",IF(I88&gt;0,I88*$C$22,0)+IF(J88&gt;0,J88*$D$22,0)+IF(K88&gt;0,K88*$E$22,0)+IF(L88&gt;0,L88*$F$22,0))</f>
        <v>65240959794.9041</v>
      </c>
      <c r="P88" s="60" t="n">
        <f aca="false">IF(OR(AND(I88&gt;0,NOT(ISNUMBER($C$23))),AND(J88&gt;0,NOT(ISNUMBER($D$23))),AND(K88&gt;0,NOT(ISNUMBER($E$23))),AND(L88&gt;0,NOT(ISNUMBER($F$23)))),"SLO 不可達",IF(I88&gt;0,I88*$C$23,0)+IF(J88&gt;0,J88*$D$23,0)+IF(K88&gt;0,K88*$E$23,0)+IF(L88&gt;0,L88*$F$23,0))</f>
        <v>246777450811.863</v>
      </c>
      <c r="Q88" s="65" t="n">
        <f aca="false">IF(AND(ISNUMBER(O88),ISNUMBER(P88)),IF(AND(O88&gt;0,P88&gt;0),M88/O88+N88/P88,"SLO 不可達"),"SLO 不可達")</f>
        <v>0.0518797846974362</v>
      </c>
      <c r="R88" s="65" t="n">
        <f aca="false">E88*(C88*AL_FamGWyr+D88*AL_RefGWyr)</f>
        <v>0.0806730838640342</v>
      </c>
      <c r="S88" s="96" t="n">
        <f aca="false">IF(ISNUMBER(Q88),R88/(R88+Q88),"SLO 不可達")</f>
        <v>0.608610622610726</v>
      </c>
      <c r="T88" s="96" t="n">
        <f aca="false">IF(ISNUMBER(Q88),R88*AL_HoldTrain/(R88*AL_HoldTrain+Q88*(I88*$C$30+J88*$D$30+K88*$E$30+L88*$F$30)),"SLO 不可達")</f>
        <v>0.636961500620674</v>
      </c>
      <c r="U88" s="107" t="n">
        <f aca="false">R88*AL_HoldTrain</f>
        <v>1.02955116899316</v>
      </c>
      <c r="V88" s="64" t="n">
        <f aca="false">(M88+N88)/365/1000000</f>
        <v>11.48</v>
      </c>
    </row>
    <row r="89" customFormat="false" ht="15" hidden="false" customHeight="false" outlineLevel="0" collapsed="false">
      <c r="A89" s="66" t="s">
        <v>1822</v>
      </c>
      <c r="B89" s="50" t="s">
        <v>1783</v>
      </c>
      <c r="C89" s="79" t="n">
        <f aca="false">AL_Nmajor</f>
        <v>1</v>
      </c>
      <c r="D89" s="79" t="n">
        <f aca="false">AL_Nrefresh</f>
        <v>2</v>
      </c>
      <c r="E89" s="79" t="n">
        <f aca="false">AL_k</f>
        <v>1</v>
      </c>
      <c r="F89" s="69" t="n">
        <f aca="false">AL_APIratio</f>
        <v>0.75</v>
      </c>
      <c r="G89" s="60" t="n">
        <f aca="false">AL_TokPerPrompt</f>
        <v>2000</v>
      </c>
      <c r="H89" s="78" t="n">
        <f aca="false">AL_FreeShare</f>
        <v>0.6</v>
      </c>
      <c r="I89" s="78" t="n">
        <f aca="false">AL_MixHopper</f>
        <v>0</v>
      </c>
      <c r="J89" s="78" t="n">
        <f aca="false">AL_MixGB200</f>
        <v>0.4</v>
      </c>
      <c r="K89" s="78" t="n">
        <f aca="false">AL_MixGB300</f>
        <v>0.4</v>
      </c>
      <c r="L89" s="78" t="n">
        <f aca="false">AL_MixVR200</f>
        <v>0.2</v>
      </c>
      <c r="M89" s="60" t="n">
        <f aca="false">SRC_DEM_010*1000000000*525600*F89/1000000+SRC_DEM_012*1000000000*G89*365/1000000*(1-H89)</f>
        <v>3095200000</v>
      </c>
      <c r="N89" s="60" t="n">
        <f aca="false">SRC_DEM_012*1000000000*G89*365/1000000*H89</f>
        <v>1095000000</v>
      </c>
      <c r="O89" s="60" t="n">
        <f aca="false">IF(OR(AND(I89&gt;0,NOT(ISNUMBER($C$22))),AND(J89&gt;0,NOT(ISNUMBER($D$22))),AND(K89&gt;0,NOT(ISNUMBER($E$22))),AND(L89&gt;0,NOT(ISNUMBER($F$22)))),"SLO 不可達",IF(I89&gt;0,I89*$C$22,0)+IF(J89&gt;0,J89*$D$22,0)+IF(K89&gt;0,K89*$E$22,0)+IF(L89&gt;0,L89*$F$22,0))</f>
        <v>65240959794.9041</v>
      </c>
      <c r="P89" s="60" t="n">
        <f aca="false">IF(OR(AND(I89&gt;0,NOT(ISNUMBER($C$23))),AND(J89&gt;0,NOT(ISNUMBER($D$23))),AND(K89&gt;0,NOT(ISNUMBER($E$23))),AND(L89&gt;0,NOT(ISNUMBER($F$23)))),"SLO 不可達",IF(I89&gt;0,I89*$C$23,0)+IF(J89&gt;0,J89*$D$23,0)+IF(K89&gt;0,K89*$E$23,0)+IF(L89&gt;0,L89*$F$23,0))</f>
        <v>246777450811.863</v>
      </c>
      <c r="Q89" s="65" t="n">
        <f aca="false">IF(AND(ISNUMBER(O89),ISNUMBER(P89)),IF(AND(O89&gt;0,P89&gt;0),M89/O89+N89/P89,"SLO 不可達"),"SLO 不可達")</f>
        <v>0.0518797846974362</v>
      </c>
      <c r="R89" s="65" t="n">
        <f aca="false">E89*(C89*AL_FamGWyr+D89*AL_RefGWyr)</f>
        <v>0.0806730838640342</v>
      </c>
      <c r="S89" s="96" t="n">
        <f aca="false">IF(ISNUMBER(Q89),R89/(R89+Q89),"SLO 不可達")</f>
        <v>0.608610622610726</v>
      </c>
      <c r="T89" s="96" t="n">
        <f aca="false">IF(ISNUMBER(Q89),R89*AL_HoldTrain/(R89*AL_HoldTrain+Q89*(I89*$C$30+J89*$D$30+K89*$E$30+L89*$F$30)),"SLO 不可達")</f>
        <v>0.636961500620674</v>
      </c>
      <c r="U89" s="107" t="n">
        <f aca="false">R89*AL_HoldTrain</f>
        <v>1.02955116899316</v>
      </c>
      <c r="V89" s="64" t="n">
        <f aca="false">(M89+N89)/365/1000000</f>
        <v>11.48</v>
      </c>
    </row>
    <row r="90" customFormat="false" ht="15" hidden="false" customHeight="false" outlineLevel="0" collapsed="false">
      <c r="A90" s="66" t="s">
        <v>1823</v>
      </c>
      <c r="B90" s="50" t="s">
        <v>1784</v>
      </c>
      <c r="C90" s="79" t="n">
        <f aca="false">AL_Nmajor</f>
        <v>1</v>
      </c>
      <c r="D90" s="79" t="n">
        <f aca="false">AL_Nrefresh</f>
        <v>2</v>
      </c>
      <c r="E90" s="79" t="n">
        <f aca="false">AL_k</f>
        <v>1</v>
      </c>
      <c r="F90" s="69" t="n">
        <f aca="false">AL_APIratio</f>
        <v>0.75</v>
      </c>
      <c r="G90" s="60" t="n">
        <f aca="false">AL_TokPerPrompt</f>
        <v>2000</v>
      </c>
      <c r="H90" s="78" t="n">
        <f aca="false">AL_FreeShare</f>
        <v>0.6</v>
      </c>
      <c r="I90" s="78" t="n">
        <f aca="false">AL_MixHopper</f>
        <v>0</v>
      </c>
      <c r="J90" s="78" t="n">
        <f aca="false">AL_MixGB200</f>
        <v>0.4</v>
      </c>
      <c r="K90" s="78" t="n">
        <f aca="false">AL_MixGB300</f>
        <v>0.4</v>
      </c>
      <c r="L90" s="78" t="n">
        <f aca="false">AL_MixVR200</f>
        <v>0.2</v>
      </c>
      <c r="M90" s="60" t="n">
        <f aca="false">SRC_DEM_010*1000000000*525600*F90/1000000+SRC_DEM_012*1000000000*G90*365/1000000*(1-H90)</f>
        <v>3095200000</v>
      </c>
      <c r="N90" s="60" t="n">
        <f aca="false">SRC_DEM_012*1000000000*G90*365/1000000*H90</f>
        <v>1095000000</v>
      </c>
      <c r="O90" s="60" t="n">
        <f aca="false">IF(OR(AND(I90&gt;0,NOT(ISNUMBER($C$22))),AND(J90&gt;0,NOT(ISNUMBER($D$22))),AND(K90&gt;0,NOT(ISNUMBER($E$22))),AND(L90&gt;0,NOT(ISNUMBER($F$22)))),"SLO 不可達",IF(I90&gt;0,I90*$C$22,0)+IF(J90&gt;0,J90*$D$22,0)+IF(K90&gt;0,K90*$E$22,0)+IF(L90&gt;0,L90*$F$22,0))</f>
        <v>65240959794.9041</v>
      </c>
      <c r="P90" s="60" t="n">
        <f aca="false">IF(OR(AND(I90&gt;0,NOT(ISNUMBER($C$23))),AND(J90&gt;0,NOT(ISNUMBER($D$23))),AND(K90&gt;0,NOT(ISNUMBER($E$23))),AND(L90&gt;0,NOT(ISNUMBER($F$23)))),"SLO 不可達",IF(I90&gt;0,I90*$C$23,0)+IF(J90&gt;0,J90*$D$23,0)+IF(K90&gt;0,K90*$E$23,0)+IF(L90&gt;0,L90*$F$23,0))</f>
        <v>246777450811.863</v>
      </c>
      <c r="Q90" s="65" t="n">
        <f aca="false">IF(AND(ISNUMBER(O90),ISNUMBER(P90)),IF(AND(O90&gt;0,P90&gt;0),M90/O90+N90/P90,"SLO 不可達"),"SLO 不可達")</f>
        <v>0.0518797846974362</v>
      </c>
      <c r="R90" s="65" t="n">
        <f aca="false">E90*(C90*AL_FamGWyr+D90*AL_RefGWyr)</f>
        <v>0.0806730838640342</v>
      </c>
      <c r="S90" s="96" t="n">
        <f aca="false">IF(ISNUMBER(Q90),R90/(R90+Q90),"SLO 不可達")</f>
        <v>0.608610622610726</v>
      </c>
      <c r="T90" s="96" t="n">
        <f aca="false">IF(ISNUMBER(Q90),R90*AL_HoldTrain/(R90*AL_HoldTrain+Q90*(I90*$C$30+J90*$D$30+K90*$E$30+L90*$F$30)),"SLO 不可達")</f>
        <v>0.636961500620674</v>
      </c>
      <c r="U90" s="107" t="n">
        <f aca="false">R90*AL_HoldTrain</f>
        <v>1.02955116899316</v>
      </c>
      <c r="V90" s="64" t="n">
        <f aca="false">(M90+N90)/365/1000000</f>
        <v>11.48</v>
      </c>
    </row>
    <row r="91" customFormat="false" ht="15" hidden="false" customHeight="false" outlineLevel="0" collapsed="false">
      <c r="A91" s="66" t="s">
        <v>1824</v>
      </c>
      <c r="B91" s="50" t="s">
        <v>1784</v>
      </c>
      <c r="C91" s="79" t="n">
        <f aca="false">AL_Nmajor</f>
        <v>1</v>
      </c>
      <c r="D91" s="79" t="n">
        <f aca="false">AL_Nrefresh</f>
        <v>2</v>
      </c>
      <c r="E91" s="79" t="n">
        <f aca="false">AL_k</f>
        <v>1</v>
      </c>
      <c r="F91" s="69" t="n">
        <f aca="false">AL_APIratio</f>
        <v>0.75</v>
      </c>
      <c r="G91" s="60" t="n">
        <f aca="false">AL_TokPerPrompt</f>
        <v>2000</v>
      </c>
      <c r="H91" s="78" t="n">
        <f aca="false">AL_FreeShare</f>
        <v>0.6</v>
      </c>
      <c r="I91" s="78" t="n">
        <f aca="false">AL_MixHopper</f>
        <v>0</v>
      </c>
      <c r="J91" s="78" t="n">
        <f aca="false">AL_MixGB200</f>
        <v>0.4</v>
      </c>
      <c r="K91" s="78" t="n">
        <f aca="false">AL_MixGB300</f>
        <v>0.4</v>
      </c>
      <c r="L91" s="78" t="n">
        <f aca="false">AL_MixVR200</f>
        <v>0.2</v>
      </c>
      <c r="M91" s="60" t="n">
        <f aca="false">SRC_DEM_010*1000000000*525600*F91/1000000+SRC_DEM_012*1000000000*G91*365/1000000*(1-H91)</f>
        <v>3095200000</v>
      </c>
      <c r="N91" s="60" t="n">
        <f aca="false">SRC_DEM_012*1000000000*G91*365/1000000*H91</f>
        <v>1095000000</v>
      </c>
      <c r="O91" s="60" t="n">
        <f aca="false">IF(OR(AND(I91&gt;0,NOT(ISNUMBER($C$22))),AND(J91&gt;0,NOT(ISNUMBER($D$22))),AND(K91&gt;0,NOT(ISNUMBER($E$22))),AND(L91&gt;0,NOT(ISNUMBER($F$22)))),"SLO 不可達",IF(I91&gt;0,I91*$C$22,0)+IF(J91&gt;0,J91*$D$22,0)+IF(K91&gt;0,K91*$E$22,0)+IF(L91&gt;0,L91*$F$22,0))</f>
        <v>65240959794.9041</v>
      </c>
      <c r="P91" s="60" t="n">
        <f aca="false">IF(OR(AND(I91&gt;0,NOT(ISNUMBER($C$23))),AND(J91&gt;0,NOT(ISNUMBER($D$23))),AND(K91&gt;0,NOT(ISNUMBER($E$23))),AND(L91&gt;0,NOT(ISNUMBER($F$23)))),"SLO 不可達",IF(I91&gt;0,I91*$C$23,0)+IF(J91&gt;0,J91*$D$23,0)+IF(K91&gt;0,K91*$E$23,0)+IF(L91&gt;0,L91*$F$23,0))</f>
        <v>246777450811.863</v>
      </c>
      <c r="Q91" s="65" t="n">
        <f aca="false">IF(AND(ISNUMBER(O91),ISNUMBER(P91)),IF(AND(O91&gt;0,P91&gt;0),M91/O91+N91/P91,"SLO 不可達"),"SLO 不可達")</f>
        <v>0.0518797846974362</v>
      </c>
      <c r="R91" s="65" t="n">
        <f aca="false">E91*(C91*AL_FamGWyr+D91*AL_RefGWyr)</f>
        <v>0.0806730838640342</v>
      </c>
      <c r="S91" s="96" t="n">
        <f aca="false">IF(ISNUMBER(Q91),R91/(R91+Q91),"SLO 不可達")</f>
        <v>0.608610622610726</v>
      </c>
      <c r="T91" s="96" t="n">
        <f aca="false">IF(ISNUMBER(Q91),R91*AL_HoldTrain/(R91*AL_HoldTrain+Q91*(I91*$C$30+J91*$D$30+K91*$E$30+L91*$F$30)),"SLO 不可達")</f>
        <v>0.636961500620674</v>
      </c>
      <c r="U91" s="107" t="n">
        <f aca="false">R91*AL_HoldTrain</f>
        <v>1.02955116899316</v>
      </c>
      <c r="V91" s="64" t="n">
        <f aca="false">(M91+N91)/365/1000000</f>
        <v>11.48</v>
      </c>
    </row>
    <row r="92" customFormat="false" ht="15" hidden="false" customHeight="false" outlineLevel="0" collapsed="false">
      <c r="A92" s="66" t="s">
        <v>1825</v>
      </c>
      <c r="B92" s="50" t="s">
        <v>1785</v>
      </c>
      <c r="C92" s="79" t="n">
        <f aca="false">AL_Nmajor</f>
        <v>1</v>
      </c>
      <c r="D92" s="79" t="n">
        <f aca="false">AL_Nrefresh</f>
        <v>2</v>
      </c>
      <c r="E92" s="79" t="n">
        <f aca="false">AL_k</f>
        <v>1</v>
      </c>
      <c r="F92" s="69" t="n">
        <f aca="false">AL_APIratio</f>
        <v>0.75</v>
      </c>
      <c r="G92" s="60" t="n">
        <f aca="false">AL_TokPerPrompt</f>
        <v>2000</v>
      </c>
      <c r="H92" s="78" t="n">
        <f aca="false">AL_FreeShare</f>
        <v>0.6</v>
      </c>
      <c r="I92" s="78" t="n">
        <f aca="false">AL_MixHopper</f>
        <v>0</v>
      </c>
      <c r="J92" s="78" t="n">
        <f aca="false">AL_MixGB200</f>
        <v>0.4</v>
      </c>
      <c r="K92" s="78" t="n">
        <f aca="false">AL_MixGB300</f>
        <v>0.4</v>
      </c>
      <c r="L92" s="78" t="n">
        <f aca="false">AL_MixVR200</f>
        <v>0.2</v>
      </c>
      <c r="M92" s="60" t="n">
        <f aca="false">SRC_DEM_010*1000000000*525600*F92/1000000+SRC_DEM_012*1000000000*G92*365/1000000*(1-H92)</f>
        <v>3095200000</v>
      </c>
      <c r="N92" s="60" t="n">
        <f aca="false">SRC_DEM_012*1000000000*G92*365/1000000*H92</f>
        <v>1095000000</v>
      </c>
      <c r="O92" s="60" t="n">
        <f aca="false">IF(OR(AND(I92&gt;0,NOT(ISNUMBER($C$22))),AND(J92&gt;0,NOT(ISNUMBER($D$22))),AND(K92&gt;0,NOT(ISNUMBER($E$22))),AND(L92&gt;0,NOT(ISNUMBER($F$22)))),"SLO 不可達",IF(I92&gt;0,I92*$C$22,0)+IF(J92&gt;0,J92*$D$22,0)+IF(K92&gt;0,K92*$E$22,0)+IF(L92&gt;0,L92*$F$22,0))</f>
        <v>65240959794.9041</v>
      </c>
      <c r="P92" s="60" t="n">
        <f aca="false">IF(OR(AND(I92&gt;0,NOT(ISNUMBER($C$23))),AND(J92&gt;0,NOT(ISNUMBER($D$23))),AND(K92&gt;0,NOT(ISNUMBER($E$23))),AND(L92&gt;0,NOT(ISNUMBER($F$23)))),"SLO 不可達",IF(I92&gt;0,I92*$C$23,0)+IF(J92&gt;0,J92*$D$23,0)+IF(K92&gt;0,K92*$E$23,0)+IF(L92&gt;0,L92*$F$23,0))</f>
        <v>246777450811.863</v>
      </c>
      <c r="Q92" s="65" t="n">
        <f aca="false">IF(AND(ISNUMBER(O92),ISNUMBER(P92)),IF(AND(O92&gt;0,P92&gt;0),M92/O92+N92/P92,"SLO 不可達"),"SLO 不可達")</f>
        <v>0.0518797846974362</v>
      </c>
      <c r="R92" s="65" t="n">
        <f aca="false">E92*(C92*AL_FamGWyr+D92*AL_RefGWyr)</f>
        <v>0.0806730838640342</v>
      </c>
      <c r="S92" s="96" t="n">
        <f aca="false">IF(ISNUMBER(Q92),R92/(R92+Q92),"SLO 不可達")</f>
        <v>0.608610622610726</v>
      </c>
      <c r="T92" s="96" t="n">
        <f aca="false">IF(ISNUMBER(Q92),R92*AL_HoldTrain/(R92*AL_HoldTrain+Q92*(I92*$C$30+J92*$D$30+K92*$E$30+L92*$F$30)),"SLO 不可達")</f>
        <v>0.636961500620674</v>
      </c>
      <c r="U92" s="107" t="n">
        <f aca="false">R92*AL_HoldTrain</f>
        <v>1.02955116899316</v>
      </c>
      <c r="V92" s="64" t="n">
        <f aca="false">(M92+N92)/365/1000000</f>
        <v>11.48</v>
      </c>
    </row>
    <row r="93" customFormat="false" ht="15" hidden="false" customHeight="false" outlineLevel="0" collapsed="false">
      <c r="A93" s="66" t="s">
        <v>1826</v>
      </c>
      <c r="B93" s="50" t="s">
        <v>1785</v>
      </c>
      <c r="C93" s="79" t="n">
        <f aca="false">AL_Nmajor</f>
        <v>1</v>
      </c>
      <c r="D93" s="79" t="n">
        <f aca="false">AL_Nrefresh</f>
        <v>2</v>
      </c>
      <c r="E93" s="79" t="n">
        <f aca="false">AL_k</f>
        <v>1</v>
      </c>
      <c r="F93" s="69" t="n">
        <f aca="false">AL_APIratio</f>
        <v>0.75</v>
      </c>
      <c r="G93" s="60" t="n">
        <f aca="false">AL_TokPerPrompt</f>
        <v>2000</v>
      </c>
      <c r="H93" s="78" t="n">
        <f aca="false">AL_FreeShare</f>
        <v>0.6</v>
      </c>
      <c r="I93" s="78" t="n">
        <f aca="false">AL_MixHopper</f>
        <v>0</v>
      </c>
      <c r="J93" s="78" t="n">
        <f aca="false">AL_MixGB200</f>
        <v>0.4</v>
      </c>
      <c r="K93" s="78" t="n">
        <f aca="false">AL_MixGB300</f>
        <v>0.4</v>
      </c>
      <c r="L93" s="78" t="n">
        <f aca="false">AL_MixVR200</f>
        <v>0.2</v>
      </c>
      <c r="M93" s="60" t="n">
        <f aca="false">SRC_DEM_010*1000000000*525600*F93/1000000+SRC_DEM_012*1000000000*G93*365/1000000*(1-H93)</f>
        <v>3095200000</v>
      </c>
      <c r="N93" s="60" t="n">
        <f aca="false">SRC_DEM_012*1000000000*G93*365/1000000*H93</f>
        <v>1095000000</v>
      </c>
      <c r="O93" s="60" t="n">
        <f aca="false">IF(OR(AND(I93&gt;0,NOT(ISNUMBER($C$22))),AND(J93&gt;0,NOT(ISNUMBER($D$22))),AND(K93&gt;0,NOT(ISNUMBER($E$22))),AND(L93&gt;0,NOT(ISNUMBER($F$22)))),"SLO 不可達",IF(I93&gt;0,I93*$C$22,0)+IF(J93&gt;0,J93*$D$22,0)+IF(K93&gt;0,K93*$E$22,0)+IF(L93&gt;0,L93*$F$22,0))</f>
        <v>65240959794.9041</v>
      </c>
      <c r="P93" s="60" t="n">
        <f aca="false">IF(OR(AND(I93&gt;0,NOT(ISNUMBER($C$23))),AND(J93&gt;0,NOT(ISNUMBER($D$23))),AND(K93&gt;0,NOT(ISNUMBER($E$23))),AND(L93&gt;0,NOT(ISNUMBER($F$23)))),"SLO 不可達",IF(I93&gt;0,I93*$C$23,0)+IF(J93&gt;0,J93*$D$23,0)+IF(K93&gt;0,K93*$E$23,0)+IF(L93&gt;0,L93*$F$23,0))</f>
        <v>246777450811.863</v>
      </c>
      <c r="Q93" s="65" t="n">
        <f aca="false">IF(AND(ISNUMBER(O93),ISNUMBER(P93)),IF(AND(O93&gt;0,P93&gt;0),M93/O93+N93/P93,"SLO 不可達"),"SLO 不可達")</f>
        <v>0.0518797846974362</v>
      </c>
      <c r="R93" s="65" t="n">
        <f aca="false">E93*(C93*AL_FamGWyr+D93*AL_RefGWyr)</f>
        <v>0.0806730838640342</v>
      </c>
      <c r="S93" s="96" t="n">
        <f aca="false">IF(ISNUMBER(Q93),R93/(R93+Q93),"SLO 不可達")</f>
        <v>0.608610622610726</v>
      </c>
      <c r="T93" s="96" t="n">
        <f aca="false">IF(ISNUMBER(Q93),R93*AL_HoldTrain/(R93*AL_HoldTrain+Q93*(I93*$C$30+J93*$D$30+K93*$E$30+L93*$F$30)),"SLO 不可達")</f>
        <v>0.636961500620674</v>
      </c>
      <c r="U93" s="107" t="n">
        <f aca="false">R93*AL_HoldTrain</f>
        <v>1.02955116899316</v>
      </c>
      <c r="V93" s="64" t="n">
        <f aca="false">(M93+N93)/365/1000000</f>
        <v>11.48</v>
      </c>
    </row>
    <row r="94" customFormat="false" ht="15" hidden="false" customHeight="false" outlineLevel="0" collapsed="false">
      <c r="A94" s="66" t="s">
        <v>1827</v>
      </c>
      <c r="B94" s="66" t="s">
        <v>1828</v>
      </c>
      <c r="C94" s="79" t="n">
        <f aca="false">AL_Nmajor</f>
        <v>1</v>
      </c>
      <c r="D94" s="79" t="n">
        <f aca="false">AL_Nrefresh</f>
        <v>2</v>
      </c>
      <c r="E94" s="79" t="n">
        <f aca="false">AL_k</f>
        <v>1</v>
      </c>
      <c r="F94" s="69" t="n">
        <f aca="false">AL_APIratio</f>
        <v>0.75</v>
      </c>
      <c r="G94" s="60" t="n">
        <f aca="false">AL_TokPerPrompt</f>
        <v>2000</v>
      </c>
      <c r="H94" s="78" t="n">
        <f aca="false">AL_FreeShare</f>
        <v>0.6</v>
      </c>
      <c r="I94" s="78" t="n">
        <f aca="false">AL_MixHopper</f>
        <v>0</v>
      </c>
      <c r="J94" s="78" t="n">
        <f aca="false">AL_MixGB200</f>
        <v>0.4</v>
      </c>
      <c r="K94" s="78" t="n">
        <f aca="false">AL_MixGB300</f>
        <v>0.4</v>
      </c>
      <c r="L94" s="78" t="n">
        <f aca="false">AL_MixVR200</f>
        <v>0.2</v>
      </c>
      <c r="M94" s="60" t="n">
        <f aca="false">SRC_DEM_010*1000000000*525600*F94/1000000+SRC_DEM_012*1000000000*G94*365/1000000*(1-H94)</f>
        <v>3095200000</v>
      </c>
      <c r="N94" s="60" t="n">
        <f aca="false">SRC_DEM_012*1000000000*G94*365/1000000*H94</f>
        <v>1095000000</v>
      </c>
      <c r="O94" s="60" t="n">
        <f aca="false">IF(OR(AND(I94&gt;0,NOT(ISNUMBER($C$22))),AND(J94&gt;0,NOT(ISNUMBER($D$22))),AND(K94&gt;0,NOT(ISNUMBER($E$22))),AND(L94&gt;0,NOT(ISNUMBER($F$22)))),"SLO 不可達",IF(I94&gt;0,I94*$C$22,0)+IF(J94&gt;0,J94*$D$22,0)+IF(K94&gt;0,K94*$E$22,0)+IF(L94&gt;0,L94*$F$22,0))</f>
        <v>65240959794.9041</v>
      </c>
      <c r="P94" s="60" t="n">
        <f aca="false">IF(OR(AND(I94&gt;0,NOT(ISNUMBER($C$23))),AND(J94&gt;0,NOT(ISNUMBER($D$23))),AND(K94&gt;0,NOT(ISNUMBER($E$23))),AND(L94&gt;0,NOT(ISNUMBER($F$23)))),"SLO 不可達",IF(I94&gt;0,I94*$C$23,0)+IF(J94&gt;0,J94*$D$23,0)+IF(K94&gt;0,K94*$E$23,0)+IF(L94&gt;0,L94*$F$23,0))</f>
        <v>246777450811.863</v>
      </c>
      <c r="Q94" s="65" t="n">
        <f aca="false">IF(AND(ISNUMBER(O94),ISNUMBER(P94)),IF(AND(O94&gt;0,P94&gt;0),M94/O94+N94/P94,"SLO 不可達"),"SLO 不可達")</f>
        <v>0.0518797846974362</v>
      </c>
      <c r="R94" s="65" t="n">
        <f aca="false">E94*(C94*AL_FamGWyr+D94*AL_RefGWyr)</f>
        <v>0.0806730838640342</v>
      </c>
      <c r="S94" s="96" t="n">
        <f aca="false">IF(ISNUMBER(Q94),R94/(R94+Q94),"SLO 不可達")</f>
        <v>0.608610622610726</v>
      </c>
      <c r="T94" s="96" t="n">
        <f aca="false">IF(ISNUMBER(Q94),R94*AL_HoldTrain/(R94*AL_HoldTrain+Q94*(I94*$C$30+J94*$D$30+K94*$E$30+L94*$F$30)),"SLO 不可達")</f>
        <v>0.636961500620674</v>
      </c>
      <c r="U94" s="107" t="n">
        <f aca="false">R94*AL_HoldTrain</f>
        <v>1.02955116899316</v>
      </c>
      <c r="V94" s="64" t="n">
        <f aca="false">(M94+N94)/365/1000000</f>
        <v>11.48</v>
      </c>
    </row>
    <row r="95" customFormat="false" ht="15" hidden="false" customHeight="false" outlineLevel="0" collapsed="false">
      <c r="A95" s="66" t="s">
        <v>1829</v>
      </c>
      <c r="B95" s="66" t="s">
        <v>1828</v>
      </c>
      <c r="C95" s="79" t="n">
        <f aca="false">AL_Nmajor</f>
        <v>1</v>
      </c>
      <c r="D95" s="79" t="n">
        <f aca="false">AL_Nrefresh</f>
        <v>2</v>
      </c>
      <c r="E95" s="79" t="n">
        <f aca="false">AL_k</f>
        <v>1</v>
      </c>
      <c r="F95" s="69" t="n">
        <f aca="false">AL_APIratio</f>
        <v>0.75</v>
      </c>
      <c r="G95" s="60" t="n">
        <f aca="false">AL_TokPerPrompt</f>
        <v>2000</v>
      </c>
      <c r="H95" s="78" t="n">
        <f aca="false">AL_FreeShare</f>
        <v>0.6</v>
      </c>
      <c r="I95" s="78" t="n">
        <f aca="false">AL_MixHopper</f>
        <v>0</v>
      </c>
      <c r="J95" s="78" t="n">
        <f aca="false">AL_MixGB200</f>
        <v>0.4</v>
      </c>
      <c r="K95" s="78" t="n">
        <f aca="false">AL_MixGB300</f>
        <v>0.4</v>
      </c>
      <c r="L95" s="78" t="n">
        <f aca="false">AL_MixVR200</f>
        <v>0.2</v>
      </c>
      <c r="M95" s="60" t="n">
        <f aca="false">SRC_DEM_010*1000000000*525600*F95/1000000+SRC_DEM_012*1000000000*G95*365/1000000*(1-H95)</f>
        <v>3095200000</v>
      </c>
      <c r="N95" s="60" t="n">
        <f aca="false">SRC_DEM_012*1000000000*G95*365/1000000*H95</f>
        <v>1095000000</v>
      </c>
      <c r="O95" s="60" t="n">
        <f aca="false">IF(OR(AND(I95&gt;0,NOT(ISNUMBER($C$22))),AND(J95&gt;0,NOT(ISNUMBER($D$22))),AND(K95&gt;0,NOT(ISNUMBER($E$22))),AND(L95&gt;0,NOT(ISNUMBER($F$22)))),"SLO 不可達",IF(I95&gt;0,I95*$C$22,0)+IF(J95&gt;0,J95*$D$22,0)+IF(K95&gt;0,K95*$E$22,0)+IF(L95&gt;0,L95*$F$22,0))</f>
        <v>65240959794.9041</v>
      </c>
      <c r="P95" s="60" t="n">
        <f aca="false">IF(OR(AND(I95&gt;0,NOT(ISNUMBER($C$23))),AND(J95&gt;0,NOT(ISNUMBER($D$23))),AND(K95&gt;0,NOT(ISNUMBER($E$23))),AND(L95&gt;0,NOT(ISNUMBER($F$23)))),"SLO 不可達",IF(I95&gt;0,I95*$C$23,0)+IF(J95&gt;0,J95*$D$23,0)+IF(K95&gt;0,K95*$E$23,0)+IF(L95&gt;0,L95*$F$23,0))</f>
        <v>246777450811.863</v>
      </c>
      <c r="Q95" s="65" t="n">
        <f aca="false">IF(AND(ISNUMBER(O95),ISNUMBER(P95)),IF(AND(O95&gt;0,P95&gt;0),M95/O95+N95/P95,"SLO 不可達"),"SLO 不可達")</f>
        <v>0.0518797846974362</v>
      </c>
      <c r="R95" s="65" t="n">
        <f aca="false">E95*(C95*AL_FamGWyr+D95*AL_RefGWyr)</f>
        <v>0.0806730838640342</v>
      </c>
      <c r="S95" s="96" t="n">
        <f aca="false">IF(ISNUMBER(Q95),R95/(R95+Q95),"SLO 不可達")</f>
        <v>0.608610622610726</v>
      </c>
      <c r="T95" s="96" t="n">
        <f aca="false">IF(ISNUMBER(Q95),R95*AL_HoldTrain/(R95*AL_HoldTrain+Q95*(I95*$C$30+J95*$D$30+K95*$E$30+L95*$F$30)),"SLO 不可達")</f>
        <v>0.636961500620674</v>
      </c>
      <c r="U95" s="107" t="n">
        <f aca="false">R95*AL_HoldTrain</f>
        <v>1.02955116899316</v>
      </c>
      <c r="V95" s="64" t="n">
        <f aca="false">(M95+N95)/365/1000000</f>
        <v>11.48</v>
      </c>
    </row>
    <row r="96" customFormat="false" ht="15" hidden="false" customHeight="false" outlineLevel="0" collapsed="false">
      <c r="A96" s="66" t="s">
        <v>1830</v>
      </c>
      <c r="B96" s="50" t="s">
        <v>1831</v>
      </c>
      <c r="C96" s="79" t="n">
        <f aca="false">AL_Nmajor</f>
        <v>1</v>
      </c>
      <c r="D96" s="79" t="n">
        <f aca="false">AL_Nrefresh</f>
        <v>2</v>
      </c>
      <c r="E96" s="79" t="n">
        <f aca="false">AL_k</f>
        <v>1</v>
      </c>
      <c r="F96" s="69" t="n">
        <f aca="false">AL_APIratio</f>
        <v>0.75</v>
      </c>
      <c r="G96" s="60" t="n">
        <f aca="false">AL_TokPerPrompt</f>
        <v>2000</v>
      </c>
      <c r="H96" s="78" t="n">
        <f aca="false">AL_FreeShare</f>
        <v>0.6</v>
      </c>
      <c r="I96" s="78" t="n">
        <f aca="false">AL_MixHopper</f>
        <v>0</v>
      </c>
      <c r="J96" s="78" t="n">
        <f aca="false">AL_MixGB200</f>
        <v>0.4</v>
      </c>
      <c r="K96" s="78" t="n">
        <f aca="false">AL_MixGB300</f>
        <v>0.4</v>
      </c>
      <c r="L96" s="78" t="n">
        <f aca="false">AL_MixVR200</f>
        <v>0.2</v>
      </c>
      <c r="M96" s="60" t="n">
        <f aca="false">SRC_DEM_010*1000000000*525600*F96/1000000+SRC_DEM_012*1000000000*G96*365/1000000*(1-H96)</f>
        <v>3095200000</v>
      </c>
      <c r="N96" s="60" t="n">
        <f aca="false">SRC_DEM_012*1000000000*G96*365/1000000*H96</f>
        <v>1095000000</v>
      </c>
      <c r="O96" s="60" t="n">
        <f aca="false">IF(OR(AND(I96&gt;0,NOT(ISNUMBER($C$22))),AND(J96&gt;0,NOT(ISNUMBER($D$22))),AND(K96&gt;0,NOT(ISNUMBER($E$22))),AND(L96&gt;0,NOT(ISNUMBER($F$22)))),"SLO 不可達",IF(I96&gt;0,I96*$C$22,0)+IF(J96&gt;0,J96*$D$22,0)+IF(K96&gt;0,K96*$E$22,0)+IF(L96&gt;0,L96*$F$22,0))</f>
        <v>65240959794.9041</v>
      </c>
      <c r="P96" s="60" t="n">
        <f aca="false">IF(OR(AND(I96&gt;0,NOT(ISNUMBER($C$23))),AND(J96&gt;0,NOT(ISNUMBER($D$23))),AND(K96&gt;0,NOT(ISNUMBER($E$23))),AND(L96&gt;0,NOT(ISNUMBER($F$23)))),"SLO 不可達",IF(I96&gt;0,I96*$C$23,0)+IF(J96&gt;0,J96*$D$23,0)+IF(K96&gt;0,K96*$E$23,0)+IF(L96&gt;0,L96*$F$23,0))</f>
        <v>246777450811.863</v>
      </c>
      <c r="Q96" s="65" t="n">
        <f aca="false">IF(AND(ISNUMBER(O96),ISNUMBER(P96)),IF(AND(O96&gt;0,P96&gt;0),M96/O96+N96/P96,"SLO 不可達"),"SLO 不可達")</f>
        <v>0.0518797846974362</v>
      </c>
      <c r="R96" s="65" t="n">
        <f aca="false">E96*(C96*AL_FamGWyr+D96*AL_RefGWyr)</f>
        <v>0.0806730838640342</v>
      </c>
      <c r="S96" s="96" t="n">
        <f aca="false">IF(ISNUMBER(Q96),R96/(R96+Q96),"SLO 不可達")</f>
        <v>0.608610622610726</v>
      </c>
      <c r="T96" s="96" t="n">
        <f aca="false">IF(ISNUMBER(Q96),R96*AL_HoldTrain/(R96*AL_HoldTrain+Q96*(I96*$C$30+J96*$D$30+K96*$E$30+L96*$F$30)),"SLO 不可達")</f>
        <v>0.636961500620674</v>
      </c>
      <c r="U96" s="107" t="n">
        <f aca="false">R96*AL_HoldTrain</f>
        <v>1.02955116899316</v>
      </c>
      <c r="V96" s="64" t="n">
        <f aca="false">(M96+N96)/365/1000000</f>
        <v>11.48</v>
      </c>
    </row>
    <row r="97" customFormat="false" ht="15" hidden="false" customHeight="false" outlineLevel="0" collapsed="false">
      <c r="A97" s="66" t="s">
        <v>1832</v>
      </c>
      <c r="B97" s="50" t="s">
        <v>1831</v>
      </c>
      <c r="C97" s="79" t="n">
        <f aca="false">AL_Nmajor</f>
        <v>1</v>
      </c>
      <c r="D97" s="79" t="n">
        <f aca="false">AL_Nrefresh</f>
        <v>2</v>
      </c>
      <c r="E97" s="79" t="n">
        <f aca="false">AL_k</f>
        <v>1</v>
      </c>
      <c r="F97" s="69" t="n">
        <f aca="false">AL_APIratio</f>
        <v>0.75</v>
      </c>
      <c r="G97" s="60" t="n">
        <f aca="false">AL_TokPerPrompt</f>
        <v>2000</v>
      </c>
      <c r="H97" s="78" t="n">
        <f aca="false">AL_FreeShare</f>
        <v>0.6</v>
      </c>
      <c r="I97" s="78" t="n">
        <f aca="false">AL_MixHopper</f>
        <v>0</v>
      </c>
      <c r="J97" s="78" t="n">
        <f aca="false">AL_MixGB200</f>
        <v>0.4</v>
      </c>
      <c r="K97" s="78" t="n">
        <f aca="false">AL_MixGB300</f>
        <v>0.4</v>
      </c>
      <c r="L97" s="78" t="n">
        <f aca="false">AL_MixVR200</f>
        <v>0.2</v>
      </c>
      <c r="M97" s="60" t="n">
        <f aca="false">SRC_DEM_010*1000000000*525600*F97/1000000+SRC_DEM_012*1000000000*G97*365/1000000*(1-H97)</f>
        <v>3095200000</v>
      </c>
      <c r="N97" s="60" t="n">
        <f aca="false">SRC_DEM_012*1000000000*G97*365/1000000*H97</f>
        <v>1095000000</v>
      </c>
      <c r="O97" s="60" t="n">
        <f aca="false">IF(OR(AND(I97&gt;0,NOT(ISNUMBER($C$22))),AND(J97&gt;0,NOT(ISNUMBER($D$22))),AND(K97&gt;0,NOT(ISNUMBER($E$22))),AND(L97&gt;0,NOT(ISNUMBER($F$22)))),"SLO 不可達",IF(I97&gt;0,I97*$C$22,0)+IF(J97&gt;0,J97*$D$22,0)+IF(K97&gt;0,K97*$E$22,0)+IF(L97&gt;0,L97*$F$22,0))</f>
        <v>65240959794.9041</v>
      </c>
      <c r="P97" s="60" t="n">
        <f aca="false">IF(OR(AND(I97&gt;0,NOT(ISNUMBER($C$23))),AND(J97&gt;0,NOT(ISNUMBER($D$23))),AND(K97&gt;0,NOT(ISNUMBER($E$23))),AND(L97&gt;0,NOT(ISNUMBER($F$23)))),"SLO 不可達",IF(I97&gt;0,I97*$C$23,0)+IF(J97&gt;0,J97*$D$23,0)+IF(K97&gt;0,K97*$E$23,0)+IF(L97&gt;0,L97*$F$23,0))</f>
        <v>246777450811.863</v>
      </c>
      <c r="Q97" s="65" t="n">
        <f aca="false">IF(AND(ISNUMBER(O97),ISNUMBER(P97)),IF(AND(O97&gt;0,P97&gt;0),M97/O97+N97/P97,"SLO 不可達"),"SLO 不可達")</f>
        <v>0.0518797846974362</v>
      </c>
      <c r="R97" s="65" t="n">
        <f aca="false">E97*(C97*AL_FamGWyr+D97*AL_RefGWyr)</f>
        <v>0.0806730838640342</v>
      </c>
      <c r="S97" s="96" t="n">
        <f aca="false">IF(ISNUMBER(Q97),R97/(R97+Q97),"SLO 不可達")</f>
        <v>0.608610622610726</v>
      </c>
      <c r="T97" s="96" t="n">
        <f aca="false">IF(ISNUMBER(Q97),R97*AL_HoldTrain/(R97*AL_HoldTrain+Q97*(I97*$C$30+J97*$D$30+K97*$E$30+L97*$F$30)),"SLO 不可達")</f>
        <v>0.636961500620674</v>
      </c>
      <c r="U97" s="107" t="n">
        <f aca="false">R97*AL_HoldTrain</f>
        <v>1.02955116899316</v>
      </c>
      <c r="V97" s="64" t="n">
        <f aca="false">(M97+N97)/365/1000000</f>
        <v>11.48</v>
      </c>
    </row>
    <row r="98" customFormat="false" ht="15" hidden="false" customHeight="false" outlineLevel="0" collapsed="false">
      <c r="A98" s="66" t="s">
        <v>1833</v>
      </c>
      <c r="B98" s="66" t="s">
        <v>1788</v>
      </c>
      <c r="C98" s="79" t="n">
        <f aca="false">AL_Nmajor</f>
        <v>1</v>
      </c>
      <c r="D98" s="79" t="n">
        <f aca="false">AL_Nrefresh</f>
        <v>2</v>
      </c>
      <c r="E98" s="79" t="n">
        <f aca="false">AL_k</f>
        <v>1</v>
      </c>
      <c r="F98" s="69" t="n">
        <f aca="false">AL_APIratio</f>
        <v>0.75</v>
      </c>
      <c r="G98" s="60" t="n">
        <f aca="false">AL_TokPerPrompt</f>
        <v>2000</v>
      </c>
      <c r="H98" s="78" t="n">
        <f aca="false">AL_FreeShare</f>
        <v>0.6</v>
      </c>
      <c r="I98" s="78" t="n">
        <f aca="false">AL_MixHopper</f>
        <v>0</v>
      </c>
      <c r="J98" s="78" t="n">
        <f aca="false">AL_MixGB200</f>
        <v>0.4</v>
      </c>
      <c r="K98" s="78" t="n">
        <f aca="false">AL_MixGB300</f>
        <v>0.4</v>
      </c>
      <c r="L98" s="78" t="n">
        <f aca="false">AL_MixVR200</f>
        <v>0.2</v>
      </c>
      <c r="M98" s="60" t="n">
        <f aca="false">SRC_DEM_010*1000000000*525600*F98/1000000+SRC_DEM_012*1000000000*G98*365/1000000*(1-H98)</f>
        <v>3095200000</v>
      </c>
      <c r="N98" s="60" t="n">
        <f aca="false">SRC_DEM_012*1000000000*G98*365/1000000*H98</f>
        <v>1095000000</v>
      </c>
      <c r="O98" s="60" t="n">
        <f aca="false">IF(OR(AND(I98&gt;0,NOT(ISNUMBER($C$22))),AND(J98&gt;0,NOT(ISNUMBER($D$22))),AND(K98&gt;0,NOT(ISNUMBER($E$22))),AND(L98&gt;0,NOT(ISNUMBER($F$22)))),"SLO 不可達",IF(I98&gt;0,I98*$C$22,0)+IF(J98&gt;0,J98*$D$22,0)+IF(K98&gt;0,K98*$E$22,0)+IF(L98&gt;0,L98*$F$22,0))</f>
        <v>65240959794.9041</v>
      </c>
      <c r="P98" s="60" t="n">
        <f aca="false">IF(OR(AND(I98&gt;0,NOT(ISNUMBER($C$23))),AND(J98&gt;0,NOT(ISNUMBER($D$23))),AND(K98&gt;0,NOT(ISNUMBER($E$23))),AND(L98&gt;0,NOT(ISNUMBER($F$23)))),"SLO 不可達",IF(I98&gt;0,I98*$C$23,0)+IF(J98&gt;0,J98*$D$23,0)+IF(K98&gt;0,K98*$E$23,0)+IF(L98&gt;0,L98*$F$23,0))</f>
        <v>246777450811.863</v>
      </c>
      <c r="Q98" s="65" t="n">
        <f aca="false">IF(AND(ISNUMBER(O98),ISNUMBER(P98)),IF(AND(O98&gt;0,P98&gt;0),M98/O98+N98/P98,"SLO 不可達"),"SLO 不可達")</f>
        <v>0.0518797846974362</v>
      </c>
      <c r="R98" s="65" t="n">
        <f aca="false">E98*(C98*AL_FamGWyr+D98*AL_RefGWyr)</f>
        <v>0.0806730838640342</v>
      </c>
      <c r="S98" s="96" t="n">
        <f aca="false">IF(ISNUMBER(Q98),R98/(R98+Q98),"SLO 不可達")</f>
        <v>0.608610622610726</v>
      </c>
      <c r="T98" s="96" t="n">
        <f aca="false">IF(ISNUMBER(Q98),R98*AL_HoldTrain/(R98*AL_HoldTrain+Q98*(I98*$C$30+J98*$D$30+K98*$E$30+L98*$F$30)),"SLO 不可達")</f>
        <v>0.636961500620674</v>
      </c>
      <c r="U98" s="107" t="n">
        <f aca="false">R98*AL_HoldTrain</f>
        <v>1.02955116899316</v>
      </c>
      <c r="V98" s="64" t="n">
        <f aca="false">(M98+N98)/365/1000000</f>
        <v>11.48</v>
      </c>
    </row>
    <row r="99" customFormat="false" ht="15" hidden="false" customHeight="false" outlineLevel="0" collapsed="false">
      <c r="A99" s="66" t="s">
        <v>1834</v>
      </c>
      <c r="B99" s="66" t="s">
        <v>1788</v>
      </c>
      <c r="C99" s="79" t="n">
        <f aca="false">AL_Nmajor</f>
        <v>1</v>
      </c>
      <c r="D99" s="79" t="n">
        <f aca="false">AL_Nrefresh</f>
        <v>2</v>
      </c>
      <c r="E99" s="79" t="n">
        <f aca="false">AL_k</f>
        <v>1</v>
      </c>
      <c r="F99" s="69" t="n">
        <f aca="false">AL_APIratio</f>
        <v>0.75</v>
      </c>
      <c r="G99" s="60" t="n">
        <f aca="false">AL_TokPerPrompt</f>
        <v>2000</v>
      </c>
      <c r="H99" s="78" t="n">
        <f aca="false">AL_FreeShare</f>
        <v>0.6</v>
      </c>
      <c r="I99" s="78" t="n">
        <f aca="false">AL_MixHopper</f>
        <v>0</v>
      </c>
      <c r="J99" s="78" t="n">
        <f aca="false">AL_MixGB200</f>
        <v>0.4</v>
      </c>
      <c r="K99" s="78" t="n">
        <f aca="false">AL_MixGB300</f>
        <v>0.4</v>
      </c>
      <c r="L99" s="78" t="n">
        <f aca="false">AL_MixVR200</f>
        <v>0.2</v>
      </c>
      <c r="M99" s="60" t="n">
        <f aca="false">SRC_DEM_010*1000000000*525600*F99/1000000+SRC_DEM_012*1000000000*G99*365/1000000*(1-H99)</f>
        <v>3095200000</v>
      </c>
      <c r="N99" s="60" t="n">
        <f aca="false">SRC_DEM_012*1000000000*G99*365/1000000*H99</f>
        <v>1095000000</v>
      </c>
      <c r="O99" s="60" t="n">
        <f aca="false">IF(OR(AND(I99&gt;0,NOT(ISNUMBER($C$22))),AND(J99&gt;0,NOT(ISNUMBER($D$22))),AND(K99&gt;0,NOT(ISNUMBER($E$22))),AND(L99&gt;0,NOT(ISNUMBER($F$22)))),"SLO 不可達",IF(I99&gt;0,I99*$C$22,0)+IF(J99&gt;0,J99*$D$22,0)+IF(K99&gt;0,K99*$E$22,0)+IF(L99&gt;0,L99*$F$22,0))</f>
        <v>65240959794.9041</v>
      </c>
      <c r="P99" s="60" t="n">
        <f aca="false">IF(OR(AND(I99&gt;0,NOT(ISNUMBER($C$23))),AND(J99&gt;0,NOT(ISNUMBER($D$23))),AND(K99&gt;0,NOT(ISNUMBER($E$23))),AND(L99&gt;0,NOT(ISNUMBER($F$23)))),"SLO 不可達",IF(I99&gt;0,I99*$C$23,0)+IF(J99&gt;0,J99*$D$23,0)+IF(K99&gt;0,K99*$E$23,0)+IF(L99&gt;0,L99*$F$23,0))</f>
        <v>246777450811.863</v>
      </c>
      <c r="Q99" s="65" t="n">
        <f aca="false">IF(AND(ISNUMBER(O99),ISNUMBER(P99)),IF(AND(O99&gt;0,P99&gt;0),M99/O99+N99/P99,"SLO 不可達"),"SLO 不可達")</f>
        <v>0.0518797846974362</v>
      </c>
      <c r="R99" s="65" t="n">
        <f aca="false">E99*(C99*AL_FamGWyr+D99*AL_RefGWyr)</f>
        <v>0.0806730838640342</v>
      </c>
      <c r="S99" s="96" t="n">
        <f aca="false">IF(ISNUMBER(Q99),R99/(R99+Q99),"SLO 不可達")</f>
        <v>0.608610622610726</v>
      </c>
      <c r="T99" s="96" t="n">
        <f aca="false">IF(ISNUMBER(Q99),R99*AL_HoldTrain/(R99*AL_HoldTrain+Q99*(I99*$C$30+J99*$D$30+K99*$E$30+L99*$F$30)),"SLO 不可達")</f>
        <v>0.636961500620674</v>
      </c>
      <c r="U99" s="107" t="n">
        <f aca="false">R99*AL_HoldTrain</f>
        <v>1.02955116899316</v>
      </c>
      <c r="V99" s="64" t="n">
        <f aca="false">(M99+N99)/365/1000000</f>
        <v>11.48</v>
      </c>
    </row>
    <row r="100" customFormat="false" ht="15" hidden="false" customHeight="false" outlineLevel="0" collapsed="false">
      <c r="A100" s="66" t="s">
        <v>1835</v>
      </c>
      <c r="B100" s="66" t="s">
        <v>1818</v>
      </c>
      <c r="C100" s="79" t="n">
        <f aca="false">AL_Nmajor</f>
        <v>1</v>
      </c>
      <c r="D100" s="79" t="n">
        <f aca="false">AL_Nrefresh</f>
        <v>2</v>
      </c>
      <c r="E100" s="79" t="n">
        <f aca="false">AL_k</f>
        <v>1</v>
      </c>
      <c r="F100" s="69" t="n">
        <f aca="false">AL_APIratio</f>
        <v>0.75</v>
      </c>
      <c r="G100" s="60" t="n">
        <f aca="false">AL_TokPerPrompt</f>
        <v>2000</v>
      </c>
      <c r="H100" s="78" t="n">
        <f aca="false">AL_FreeShare</f>
        <v>0.6</v>
      </c>
      <c r="I100" s="78" t="n">
        <f aca="false">AL_MixHopper</f>
        <v>0</v>
      </c>
      <c r="J100" s="78" t="n">
        <f aca="false">AL_MixGB200</f>
        <v>0.4</v>
      </c>
      <c r="K100" s="78" t="n">
        <f aca="false">AL_MixGB300</f>
        <v>0.4</v>
      </c>
      <c r="L100" s="78" t="n">
        <f aca="false">AL_MixVR200</f>
        <v>0.2</v>
      </c>
      <c r="M100" s="60" t="n">
        <f aca="false">SRC_DEM_010*1000000000*525600*F100/1000000+SRC_DEM_012*1000000000*G100*365/1000000*(1-H100)</f>
        <v>3095200000</v>
      </c>
      <c r="N100" s="60" t="n">
        <f aca="false">SRC_DEM_012*1000000000*G100*365/1000000*H100</f>
        <v>1095000000</v>
      </c>
      <c r="O100" s="60" t="n">
        <f aca="false">IF(OR(AND(I100&gt;0,NOT(ISNUMBER($C$22))),AND(J100&gt;0,NOT(ISNUMBER($D$22))),AND(K100&gt;0,NOT(ISNUMBER($E$22))),AND(L100&gt;0,NOT(ISNUMBER($F$22)))),"SLO 不可達",IF(I100&gt;0,I100*$C$22,0)+IF(J100&gt;0,J100*$D$22,0)+IF(K100&gt;0,K100*$E$22,0)+IF(L100&gt;0,L100*$F$22,0))</f>
        <v>65240959794.9041</v>
      </c>
      <c r="P100" s="60" t="n">
        <f aca="false">IF(OR(AND(I100&gt;0,NOT(ISNUMBER($C$23))),AND(J100&gt;0,NOT(ISNUMBER($D$23))),AND(K100&gt;0,NOT(ISNUMBER($E$23))),AND(L100&gt;0,NOT(ISNUMBER($F$23)))),"SLO 不可達",IF(I100&gt;0,I100*$C$23,0)+IF(J100&gt;0,J100*$D$23,0)+IF(K100&gt;0,K100*$E$23,0)+IF(L100&gt;0,L100*$F$23,0))</f>
        <v>246777450811.863</v>
      </c>
      <c r="Q100" s="65" t="n">
        <f aca="false">IF(AND(ISNUMBER(O100),ISNUMBER(P100)),IF(AND(O100&gt;0,P100&gt;0),M100/O100+N100/P100,"SLO 不可達"),"SLO 不可達")</f>
        <v>0.0518797846974362</v>
      </c>
      <c r="R100" s="65" t="n">
        <f aca="false">E100*(C100*AL_FamGWyr+D100*AL_RefGWyr)</f>
        <v>0.0806730838640342</v>
      </c>
      <c r="S100" s="96" t="n">
        <f aca="false">IF(ISNUMBER(Q100),R100/(R100+Q100),"SLO 不可達")</f>
        <v>0.608610622610726</v>
      </c>
      <c r="T100" s="96" t="n">
        <f aca="false">IF(ISNUMBER(Q100),R100*AL_HoldTrain/(R100*AL_HoldTrain+Q100*(I100*$C$30+J100*$D$30+K100*$E$30+L100*$F$30)),"SLO 不可達")</f>
        <v>0.636961500620674</v>
      </c>
      <c r="U100" s="107" t="n">
        <f aca="false">R100*AL_HoldTrain</f>
        <v>1.02955116899316</v>
      </c>
      <c r="V100" s="64" t="n">
        <f aca="false">(M100+N100)/365/1000000</f>
        <v>11.48</v>
      </c>
    </row>
    <row r="101" customFormat="false" ht="15" hidden="false" customHeight="false" outlineLevel="0" collapsed="false">
      <c r="A101" s="66" t="s">
        <v>1836</v>
      </c>
      <c r="B101" s="66" t="s">
        <v>1818</v>
      </c>
      <c r="C101" s="79" t="n">
        <f aca="false">AL_Nmajor</f>
        <v>1</v>
      </c>
      <c r="D101" s="79" t="n">
        <f aca="false">AL_Nrefresh</f>
        <v>2</v>
      </c>
      <c r="E101" s="79" t="n">
        <f aca="false">AL_k</f>
        <v>1</v>
      </c>
      <c r="F101" s="69" t="n">
        <f aca="false">AL_APIratio</f>
        <v>0.75</v>
      </c>
      <c r="G101" s="60" t="n">
        <f aca="false">AL_TokPerPrompt</f>
        <v>2000</v>
      </c>
      <c r="H101" s="78" t="n">
        <f aca="false">AL_FreeShare</f>
        <v>0.6</v>
      </c>
      <c r="I101" s="78" t="n">
        <f aca="false">AL_MixHopper</f>
        <v>0</v>
      </c>
      <c r="J101" s="78" t="n">
        <f aca="false">AL_MixGB200</f>
        <v>0.4</v>
      </c>
      <c r="K101" s="78" t="n">
        <f aca="false">AL_MixGB300</f>
        <v>0.4</v>
      </c>
      <c r="L101" s="78" t="n">
        <f aca="false">AL_MixVR200</f>
        <v>0.2</v>
      </c>
      <c r="M101" s="60" t="n">
        <f aca="false">SRC_DEM_010*1000000000*525600*F101/1000000+SRC_DEM_012*1000000000*G101*365/1000000*(1-H101)</f>
        <v>3095200000</v>
      </c>
      <c r="N101" s="60" t="n">
        <f aca="false">SRC_DEM_012*1000000000*G101*365/1000000*H101</f>
        <v>1095000000</v>
      </c>
      <c r="O101" s="60" t="n">
        <f aca="false">IF(OR(AND(I101&gt;0,NOT(ISNUMBER($C$22))),AND(J101&gt;0,NOT(ISNUMBER($D$22))),AND(K101&gt;0,NOT(ISNUMBER($E$22))),AND(L101&gt;0,NOT(ISNUMBER($F$22)))),"SLO 不可達",IF(I101&gt;0,I101*$C$22,0)+IF(J101&gt;0,J101*$D$22,0)+IF(K101&gt;0,K101*$E$22,0)+IF(L101&gt;0,L101*$F$22,0))</f>
        <v>65240959794.9041</v>
      </c>
      <c r="P101" s="60" t="n">
        <f aca="false">IF(OR(AND(I101&gt;0,NOT(ISNUMBER($C$23))),AND(J101&gt;0,NOT(ISNUMBER($D$23))),AND(K101&gt;0,NOT(ISNUMBER($E$23))),AND(L101&gt;0,NOT(ISNUMBER($F$23)))),"SLO 不可達",IF(I101&gt;0,I101*$C$23,0)+IF(J101&gt;0,J101*$D$23,0)+IF(K101&gt;0,K101*$E$23,0)+IF(L101&gt;0,L101*$F$23,0))</f>
        <v>246777450811.863</v>
      </c>
      <c r="Q101" s="65" t="n">
        <f aca="false">IF(AND(ISNUMBER(O101),ISNUMBER(P101)),IF(AND(O101&gt;0,P101&gt;0),M101/O101+N101/P101,"SLO 不可達"),"SLO 不可達")</f>
        <v>0.0518797846974362</v>
      </c>
      <c r="R101" s="65" t="n">
        <f aca="false">E101*(C101*AL_FamGWyr+D101*AL_RefGWyr)</f>
        <v>0.0806730838640342</v>
      </c>
      <c r="S101" s="96" t="n">
        <f aca="false">IF(ISNUMBER(Q101),R101/(R101+Q101),"SLO 不可達")</f>
        <v>0.608610622610726</v>
      </c>
      <c r="T101" s="96" t="n">
        <f aca="false">IF(ISNUMBER(Q101),R101*AL_HoldTrain/(R101*AL_HoldTrain+Q101*(I101*$C$30+J101*$D$30+K101*$E$30+L101*$F$30)),"SLO 不可達")</f>
        <v>0.636961500620674</v>
      </c>
      <c r="U101" s="107" t="n">
        <f aca="false">R101*AL_HoldTrain</f>
        <v>1.02955116899316</v>
      </c>
      <c r="V101" s="64" t="n">
        <f aca="false">(M101+N101)/365/1000000</f>
        <v>11.48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1837</v>
      </c>
    </row>
    <row r="2" customFormat="false" ht="15" hidden="false" customHeight="true" outlineLevel="0" collapsed="false">
      <c r="A2" s="3" t="s">
        <v>1838</v>
      </c>
    </row>
    <row r="4" customFormat="false" ht="15" hidden="false" customHeight="true" outlineLevel="0" collapsed="false">
      <c r="A4" s="19" t="s">
        <v>1839</v>
      </c>
      <c r="B4" s="19" t="s">
        <v>55</v>
      </c>
      <c r="C4" s="120" t="str">
        <f aca="false">Spec_Rack!C4</f>
        <v>Hopper H100</v>
      </c>
      <c r="D4" s="120" t="str">
        <f aca="false">Spec_Rack!C4</f>
        <v>Hopper H100</v>
      </c>
      <c r="E4" s="120" t="str">
        <f aca="false">Spec_Rack!C4</f>
        <v>Hopper H100</v>
      </c>
      <c r="F4" s="120" t="str">
        <f aca="false">Spec_Rack!D4</f>
        <v>GB200 NVL72</v>
      </c>
      <c r="G4" s="120" t="str">
        <f aca="false">Spec_Rack!D4</f>
        <v>GB200 NVL72</v>
      </c>
      <c r="H4" s="120" t="str">
        <f aca="false">Spec_Rack!D4</f>
        <v>GB200 NVL72</v>
      </c>
      <c r="I4" s="120" t="str">
        <f aca="false">Spec_Rack!E4</f>
        <v>GB300 NVL72</v>
      </c>
      <c r="J4" s="120" t="str">
        <f aca="false">Spec_Rack!E4</f>
        <v>GB300 NVL72</v>
      </c>
      <c r="K4" s="120" t="str">
        <f aca="false">Spec_Rack!E4</f>
        <v>GB300 NVL72</v>
      </c>
      <c r="L4" s="120" t="str">
        <f aca="false">Spec_Rack!F4</f>
        <v>VR200 NVL72</v>
      </c>
      <c r="M4" s="120" t="str">
        <f aca="false">Spec_Rack!F4</f>
        <v>VR200 NVL72</v>
      </c>
      <c r="N4" s="120" t="str">
        <f aca="false">Spec_Rack!F4</f>
        <v>VR200 NVL72</v>
      </c>
      <c r="O4" s="120" t="str">
        <f aca="false">Spec_Rack!G4</f>
        <v>Rubin Ultra（MGX NVL 單架，72 GPU）</v>
      </c>
      <c r="P4" s="120" t="str">
        <f aca="false">Spec_Rack!G4</f>
        <v>Rubin Ultra（MGX NVL 單架，72 GPU）</v>
      </c>
      <c r="Q4" s="120" t="str">
        <f aca="false">Spec_Rack!G4</f>
        <v>Rubin Ultra（MGX NVL 單架，72 GPU）</v>
      </c>
    </row>
    <row r="5" customFormat="false" ht="15" hidden="false" customHeight="true" outlineLevel="0" collapsed="false">
      <c r="A5" s="19" t="s">
        <v>28</v>
      </c>
      <c r="C5" s="27" t="s">
        <v>56</v>
      </c>
      <c r="D5" s="27" t="s">
        <v>57</v>
      </c>
      <c r="E5" s="27" t="s">
        <v>58</v>
      </c>
      <c r="F5" s="27" t="s">
        <v>56</v>
      </c>
      <c r="G5" s="27" t="s">
        <v>57</v>
      </c>
      <c r="H5" s="27" t="s">
        <v>58</v>
      </c>
      <c r="I5" s="27" t="s">
        <v>56</v>
      </c>
      <c r="J5" s="27" t="s">
        <v>57</v>
      </c>
      <c r="K5" s="27" t="s">
        <v>58</v>
      </c>
      <c r="L5" s="27" t="s">
        <v>56</v>
      </c>
      <c r="M5" s="27" t="s">
        <v>57</v>
      </c>
      <c r="N5" s="27" t="s">
        <v>58</v>
      </c>
      <c r="O5" s="27" t="s">
        <v>56</v>
      </c>
      <c r="P5" s="27" t="s">
        <v>57</v>
      </c>
      <c r="Q5" s="27" t="s">
        <v>58</v>
      </c>
    </row>
    <row r="6" customFormat="false" ht="15" hidden="false" customHeight="true" outlineLevel="0" collapsed="false">
      <c r="A6" s="19" t="s">
        <v>1840</v>
      </c>
      <c r="B6" s="20" t="s">
        <v>692</v>
      </c>
      <c r="C6" s="26" t="n">
        <f aca="false">(DC_Cost!C12)/CTL_GW</f>
        <v>22439</v>
      </c>
      <c r="D6" s="164" t="n">
        <f aca="false">(DC_Cost!D12)/CTL_GW</f>
        <v>22439</v>
      </c>
      <c r="E6" s="26" t="n">
        <f aca="false">(DC_Cost!E12)/CTL_GW</f>
        <v>22439</v>
      </c>
      <c r="F6" s="26" t="n">
        <f aca="false">(DC_Cost!F12)/CTL_GW</f>
        <v>6969</v>
      </c>
      <c r="G6" s="164" t="n">
        <f aca="false">(DC_Cost!G12)/CTL_GW</f>
        <v>6969</v>
      </c>
      <c r="H6" s="26" t="n">
        <f aca="false">(DC_Cost!H12)/CTL_GW</f>
        <v>6969</v>
      </c>
      <c r="I6" s="26" t="n">
        <f aca="false">(DC_Cost!I12)/CTL_GW</f>
        <v>6764</v>
      </c>
      <c r="J6" s="164" t="n">
        <f aca="false">(DC_Cost!J12)/CTL_GW</f>
        <v>6764</v>
      </c>
      <c r="K6" s="26" t="n">
        <f aca="false">(DC_Cost!K12)/CTL_GW</f>
        <v>6764</v>
      </c>
      <c r="L6" s="26" t="n">
        <f aca="false">(DC_Cost!L12)/CTL_GW</f>
        <v>4052</v>
      </c>
      <c r="M6" s="164" t="n">
        <f aca="false">(DC_Cost!M12)/CTL_GW</f>
        <v>4052</v>
      </c>
      <c r="N6" s="26" t="n">
        <f aca="false">(DC_Cost!N12)/CTL_GW</f>
        <v>4052</v>
      </c>
      <c r="O6" s="26" t="n">
        <f aca="false">(DC_Cost!O12)/CTL_GW</f>
        <v>2705</v>
      </c>
      <c r="P6" s="164" t="n">
        <f aca="false">(DC_Cost!P12)/CTL_GW</f>
        <v>2705</v>
      </c>
      <c r="Q6" s="26" t="n">
        <f aca="false">(DC_Cost!Q12)/CTL_GW</f>
        <v>2705</v>
      </c>
    </row>
    <row r="7" customFormat="false" ht="15" hidden="false" customHeight="true" outlineLevel="0" collapsed="false">
      <c r="A7" s="19" t="s">
        <v>1841</v>
      </c>
      <c r="B7" s="20" t="s">
        <v>686</v>
      </c>
      <c r="C7" s="26" t="n">
        <f aca="false">(DC_Cost!C14)/CTL_GW</f>
        <v>718048</v>
      </c>
      <c r="D7" s="164" t="n">
        <f aca="false">(DC_Cost!D14)/CTL_GW</f>
        <v>718048</v>
      </c>
      <c r="E7" s="26" t="n">
        <f aca="false">(DC_Cost!E14)/CTL_GW</f>
        <v>718048</v>
      </c>
      <c r="F7" s="26" t="n">
        <f aca="false">(DC_Cost!F14)/CTL_GW</f>
        <v>501768</v>
      </c>
      <c r="G7" s="164" t="n">
        <f aca="false">(DC_Cost!G14)/CTL_GW</f>
        <v>501768</v>
      </c>
      <c r="H7" s="26" t="n">
        <f aca="false">(DC_Cost!H14)/CTL_GW</f>
        <v>501768</v>
      </c>
      <c r="I7" s="26" t="n">
        <f aca="false">(DC_Cost!I14)/CTL_GW</f>
        <v>487008</v>
      </c>
      <c r="J7" s="164" t="n">
        <f aca="false">(DC_Cost!J14)/CTL_GW</f>
        <v>487008</v>
      </c>
      <c r="K7" s="26" t="n">
        <f aca="false">(DC_Cost!K14)/CTL_GW</f>
        <v>487008</v>
      </c>
      <c r="L7" s="26" t="n">
        <f aca="false">(DC_Cost!L14)/CTL_GW</f>
        <v>291744</v>
      </c>
      <c r="M7" s="164" t="n">
        <f aca="false">(DC_Cost!M14)/CTL_GW</f>
        <v>291744</v>
      </c>
      <c r="N7" s="26" t="n">
        <f aca="false">(DC_Cost!N14)/CTL_GW</f>
        <v>291744</v>
      </c>
      <c r="O7" s="26" t="n">
        <f aca="false">(DC_Cost!O14)/CTL_GW</f>
        <v>194760</v>
      </c>
      <c r="P7" s="164" t="n">
        <f aca="false">(DC_Cost!P14)/CTL_GW</f>
        <v>194760</v>
      </c>
      <c r="Q7" s="26" t="n">
        <f aca="false">(DC_Cost!Q14)/CTL_GW</f>
        <v>194760</v>
      </c>
    </row>
    <row r="8" customFormat="false" ht="15" hidden="false" customHeight="true" outlineLevel="0" collapsed="false">
      <c r="A8" s="19" t="s">
        <v>1842</v>
      </c>
      <c r="B8" s="15" t="s">
        <v>63</v>
      </c>
      <c r="C8" s="123" t="n">
        <f aca="false">(DC_Cost!C16/1000)/CTL_GW</f>
        <v>1.1</v>
      </c>
      <c r="D8" s="165" t="n">
        <f aca="false">(DC_Cost!D16/1000)/CTL_GW</f>
        <v>1.2</v>
      </c>
      <c r="E8" s="123" t="n">
        <f aca="false">(DC_Cost!E16/1000)/CTL_GW</f>
        <v>1.3</v>
      </c>
      <c r="F8" s="123" t="n">
        <f aca="false">(DC_Cost!F16/1000)/CTL_GW</f>
        <v>1.1</v>
      </c>
      <c r="G8" s="165" t="n">
        <f aca="false">(DC_Cost!G16/1000)/CTL_GW</f>
        <v>1.2</v>
      </c>
      <c r="H8" s="123" t="n">
        <f aca="false">(DC_Cost!H16/1000)/CTL_GW</f>
        <v>1.3</v>
      </c>
      <c r="I8" s="123" t="n">
        <f aca="false">(DC_Cost!I16/1000)/CTL_GW</f>
        <v>1.1</v>
      </c>
      <c r="J8" s="165" t="n">
        <f aca="false">(DC_Cost!J16/1000)/CTL_GW</f>
        <v>1.2</v>
      </c>
      <c r="K8" s="123" t="n">
        <f aca="false">(DC_Cost!K16/1000)/CTL_GW</f>
        <v>1.3</v>
      </c>
      <c r="L8" s="123" t="n">
        <f aca="false">(DC_Cost!L16/1000)/CTL_GW</f>
        <v>1.1</v>
      </c>
      <c r="M8" s="165" t="n">
        <f aca="false">(DC_Cost!M16/1000)/CTL_GW</f>
        <v>1.2</v>
      </c>
      <c r="N8" s="123" t="n">
        <f aca="false">(DC_Cost!N16/1000)/CTL_GW</f>
        <v>1.3</v>
      </c>
      <c r="O8" s="123" t="n">
        <f aca="false">(DC_Cost!O16/1000)/CTL_GW</f>
        <v>1.1</v>
      </c>
      <c r="P8" s="165" t="n">
        <f aca="false">(DC_Cost!P16/1000)/CTL_GW</f>
        <v>1.2</v>
      </c>
      <c r="Q8" s="123" t="n">
        <f aca="false">(DC_Cost!Q16/1000)/CTL_GW</f>
        <v>1.3</v>
      </c>
    </row>
    <row r="9" customFormat="false" ht="15" hidden="false" customHeight="true" outlineLevel="0" collapsed="false">
      <c r="A9" s="19" t="s">
        <v>1843</v>
      </c>
      <c r="B9" s="15" t="s">
        <v>830</v>
      </c>
      <c r="C9" s="29" t="n">
        <f aca="false">(DC_Cost!C24)/CTL_GW</f>
        <v>21.4202694</v>
      </c>
      <c r="D9" s="166" t="n">
        <f aca="false">(DC_Cost!D24)/CTL_GW</f>
        <v>27.510214</v>
      </c>
      <c r="E9" s="29" t="n">
        <f aca="false">(DC_Cost!E24)/CTL_GW</f>
        <v>34.1207434</v>
      </c>
      <c r="F9" s="29" t="n">
        <f aca="false">(DC_Cost!F24)/CTL_GW</f>
        <v>20.6393904</v>
      </c>
      <c r="G9" s="166" t="n">
        <f aca="false">(DC_Cost!G24)/CTL_GW</f>
        <v>24.015174</v>
      </c>
      <c r="H9" s="29" t="n">
        <f aca="false">(DC_Cost!H24)/CTL_GW</f>
        <v>27.6502044</v>
      </c>
      <c r="I9" s="29" t="n">
        <f aca="false">(DC_Cost!I24)/CTL_GW</f>
        <v>28.5549024</v>
      </c>
      <c r="J9" s="166" t="n">
        <f aca="false">(DC_Cost!J24)/CTL_GW</f>
        <v>37.445504</v>
      </c>
      <c r="K9" s="29" t="n">
        <f aca="false">(DC_Cost!K24)/CTL_GW</f>
        <v>50.9505064</v>
      </c>
      <c r="L9" s="29" t="n">
        <f aca="false">(DC_Cost!L24)/CTL_GW</f>
        <v>33.2734032</v>
      </c>
      <c r="M9" s="166" t="n">
        <f aca="false">(DC_Cost!M24)/CTL_GW</f>
        <v>37.586352</v>
      </c>
      <c r="N9" s="29" t="n">
        <f aca="false">(DC_Cost!N24)/CTL_GW</f>
        <v>42.6375752</v>
      </c>
      <c r="O9" s="29" t="n">
        <f aca="false">(DC_Cost!O24)/CTL_GW</f>
        <v>35.845578</v>
      </c>
      <c r="P9" s="166" t="n">
        <f aca="false">(DC_Cost!P24)/CTL_GW</f>
        <v>50.08578</v>
      </c>
      <c r="Q9" s="29" t="n">
        <f aca="false">(DC_Cost!Q24)/CTL_GW</f>
        <v>65.481558</v>
      </c>
    </row>
    <row r="10" customFormat="false" ht="15" hidden="false" customHeight="true" outlineLevel="0" collapsed="false">
      <c r="A10" s="19" t="s">
        <v>1844</v>
      </c>
      <c r="B10" s="15" t="s">
        <v>830</v>
      </c>
      <c r="C10" s="29" t="n">
        <f aca="false">(DC_Cost!C32)/CTL_GW</f>
        <v>10.212</v>
      </c>
      <c r="D10" s="166" t="n">
        <f aca="false">(DC_Cost!D32)/CTL_GW</f>
        <v>12.67</v>
      </c>
      <c r="E10" s="29" t="n">
        <f aca="false">(DC_Cost!E32)/CTL_GW</f>
        <v>16.186</v>
      </c>
      <c r="F10" s="29" t="n">
        <f aca="false">(DC_Cost!F32)/CTL_GW</f>
        <v>10.212</v>
      </c>
      <c r="G10" s="166" t="n">
        <f aca="false">(DC_Cost!G32)/CTL_GW</f>
        <v>12.67</v>
      </c>
      <c r="H10" s="29" t="n">
        <f aca="false">(DC_Cost!H32)/CTL_GW</f>
        <v>16.186</v>
      </c>
      <c r="I10" s="29" t="n">
        <f aca="false">(DC_Cost!I32)/CTL_GW</f>
        <v>10.212</v>
      </c>
      <c r="J10" s="166" t="n">
        <f aca="false">(DC_Cost!J32)/CTL_GW</f>
        <v>12.67</v>
      </c>
      <c r="K10" s="29" t="n">
        <f aca="false">(DC_Cost!K32)/CTL_GW</f>
        <v>16.186</v>
      </c>
      <c r="L10" s="29" t="n">
        <f aca="false">(DC_Cost!L32)/CTL_GW</f>
        <v>10.212</v>
      </c>
      <c r="M10" s="166" t="n">
        <f aca="false">(DC_Cost!M32)/CTL_GW</f>
        <v>12.67</v>
      </c>
      <c r="N10" s="29" t="n">
        <f aca="false">(DC_Cost!N32)/CTL_GW</f>
        <v>16.186</v>
      </c>
      <c r="O10" s="29" t="n">
        <f aca="false">(DC_Cost!O32)/CTL_GW</f>
        <v>10.212</v>
      </c>
      <c r="P10" s="166" t="n">
        <f aca="false">(DC_Cost!P32)/CTL_GW</f>
        <v>12.67</v>
      </c>
      <c r="Q10" s="29" t="n">
        <f aca="false">(DC_Cost!Q32)/CTL_GW</f>
        <v>16.186</v>
      </c>
    </row>
    <row r="11" customFormat="false" ht="15" hidden="false" customHeight="true" outlineLevel="0" collapsed="false">
      <c r="A11" s="19" t="s">
        <v>1845</v>
      </c>
      <c r="B11" s="15" t="s">
        <v>830</v>
      </c>
      <c r="C11" s="29" t="n">
        <f aca="false">(DC_Cost!C33)/CTL_GW</f>
        <v>31.6322694</v>
      </c>
      <c r="D11" s="166" t="n">
        <f aca="false">(DC_Cost!D33)/CTL_GW</f>
        <v>40.180214</v>
      </c>
      <c r="E11" s="29" t="n">
        <f aca="false">(DC_Cost!E33)/CTL_GW</f>
        <v>50.3067434</v>
      </c>
      <c r="F11" s="29" t="n">
        <f aca="false">(DC_Cost!F33)/CTL_GW</f>
        <v>30.8513904</v>
      </c>
      <c r="G11" s="166" t="n">
        <f aca="false">(DC_Cost!G33)/CTL_GW</f>
        <v>36.685174</v>
      </c>
      <c r="H11" s="29" t="n">
        <f aca="false">(DC_Cost!H33)/CTL_GW</f>
        <v>43.8362044</v>
      </c>
      <c r="I11" s="29" t="n">
        <f aca="false">(DC_Cost!I33)/CTL_GW</f>
        <v>38.7669024</v>
      </c>
      <c r="J11" s="166" t="n">
        <f aca="false">(DC_Cost!J33)/CTL_GW</f>
        <v>50.115504</v>
      </c>
      <c r="K11" s="29" t="n">
        <f aca="false">(DC_Cost!K33)/CTL_GW</f>
        <v>67.1365064</v>
      </c>
      <c r="L11" s="29" t="n">
        <f aca="false">(DC_Cost!L33)/CTL_GW</f>
        <v>43.4854032</v>
      </c>
      <c r="M11" s="166" t="n">
        <f aca="false">(DC_Cost!M33)/CTL_GW</f>
        <v>50.256352</v>
      </c>
      <c r="N11" s="29" t="n">
        <f aca="false">(DC_Cost!N33)/CTL_GW</f>
        <v>58.8235752</v>
      </c>
      <c r="O11" s="29" t="n">
        <f aca="false">(DC_Cost!O33)/CTL_GW</f>
        <v>46.057578</v>
      </c>
      <c r="P11" s="166" t="n">
        <f aca="false">(DC_Cost!P33)/CTL_GW</f>
        <v>62.75578</v>
      </c>
      <c r="Q11" s="29" t="n">
        <f aca="false">(DC_Cost!Q33)/CTL_GW</f>
        <v>81.667558</v>
      </c>
    </row>
    <row r="12" customFormat="false" ht="15" hidden="false" customHeight="true" outlineLevel="0" collapsed="false">
      <c r="A12" s="19" t="s">
        <v>1846</v>
      </c>
      <c r="B12" s="15" t="s">
        <v>1847</v>
      </c>
      <c r="C12" s="167" t="n">
        <f aca="false">(DC_Cost!C49)/CTL_GW</f>
        <v>5.39897242953333</v>
      </c>
      <c r="D12" s="168" t="n">
        <f aca="false">(DC_Cost!D49)/CTL_GW</f>
        <v>7.49682782333333</v>
      </c>
      <c r="E12" s="167" t="n">
        <f aca="false">(DC_Cost!E49)/CTL_GW</f>
        <v>12.9492728665333</v>
      </c>
      <c r="F12" s="167" t="n">
        <f aca="false">(DC_Cost!F49)/CTL_GW</f>
        <v>5.25086571253333</v>
      </c>
      <c r="G12" s="168" t="n">
        <f aca="false">(DC_Cost!G49)/CTL_GW</f>
        <v>6.79199475666667</v>
      </c>
      <c r="H12" s="167" t="n">
        <f aca="false">(DC_Cost!H49)/CTL_GW</f>
        <v>11.0210522445333</v>
      </c>
      <c r="I12" s="167" t="n">
        <f aca="false">(DC_Cost!I49)/CTL_GW</f>
        <v>6.75217448853333</v>
      </c>
      <c r="J12" s="168" t="n">
        <f aca="false">(DC_Cost!J49)/CTL_GW</f>
        <v>9.50044464</v>
      </c>
      <c r="K12" s="167" t="n">
        <f aca="false">(DC_Cost!K49)/CTL_GW</f>
        <v>17.9645422405333</v>
      </c>
      <c r="L12" s="167" t="n">
        <f aca="false">(DC_Cost!L49)/CTL_GW</f>
        <v>7.64711680693333</v>
      </c>
      <c r="M12" s="168" t="n">
        <f aca="false">(DC_Cost!M49)/CTL_GW</f>
        <v>9.52884898666667</v>
      </c>
      <c r="N12" s="167" t="n">
        <f aca="false">(DC_Cost!N49)/CTL_GW</f>
        <v>15.4872887429333</v>
      </c>
      <c r="O12" s="167" t="n">
        <f aca="false">(DC_Cost!O49)/CTL_GW</f>
        <v>8.13497262733334</v>
      </c>
      <c r="P12" s="168" t="n">
        <f aca="false">(DC_Cost!P49)/CTL_GW</f>
        <v>12.0495669666667</v>
      </c>
      <c r="Q12" s="167" t="n">
        <f aca="false">(DC_Cost!Q49)/CTL_GW</f>
        <v>22.2947956173333</v>
      </c>
    </row>
    <row r="13" customFormat="false" ht="15" hidden="false" customHeight="true" outlineLevel="0" collapsed="false">
      <c r="A13" s="19" t="s">
        <v>1848</v>
      </c>
      <c r="B13" s="15" t="s">
        <v>1847</v>
      </c>
      <c r="C13" s="167" t="n">
        <f aca="false">(DC_Cost!C55)/CTL_GW</f>
        <v>7.0000433103819</v>
      </c>
      <c r="D13" s="168" t="n">
        <f aca="false">(DC_Cost!D55)/CTL_GW</f>
        <v>10.0957952959174</v>
      </c>
      <c r="E13" s="167" t="n">
        <f aca="false">(DC_Cost!E55)/CTL_GW</f>
        <v>17.4059720636914</v>
      </c>
      <c r="F13" s="167" t="n">
        <f aca="false">(DC_Cost!F55)/CTL_GW</f>
        <v>6.81316695089878</v>
      </c>
      <c r="G13" s="168" t="n">
        <f aca="false">(DC_Cost!G55)/CTL_GW</f>
        <v>9.17098191725462</v>
      </c>
      <c r="H13" s="167" t="n">
        <f aca="false">(DC_Cost!H55)/CTL_GW</f>
        <v>14.9200285257983</v>
      </c>
      <c r="I13" s="167" t="n">
        <f aca="false">(DC_Cost!I55)/CTL_GW</f>
        <v>8.70747076237914</v>
      </c>
      <c r="J13" s="168" t="n">
        <f aca="false">(DC_Cost!J55)/CTL_GW</f>
        <v>12.7247463559608</v>
      </c>
      <c r="K13" s="167" t="n">
        <f aca="false">(DC_Cost!K55)/CTL_GW</f>
        <v>23.87186935202</v>
      </c>
      <c r="L13" s="167" t="n">
        <f aca="false">(DC_Cost!L55)/CTL_GW</f>
        <v>9.83668060375303</v>
      </c>
      <c r="M13" s="168" t="n">
        <f aca="false">(DC_Cost!M55)/CTL_GW</f>
        <v>12.7620157762701</v>
      </c>
      <c r="N13" s="167" t="n">
        <f aca="false">(DC_Cost!N55)/CTL_GW</f>
        <v>20.6780894215396</v>
      </c>
      <c r="O13" s="167" t="n">
        <f aca="false">(DC_Cost!O55)/CTL_GW</f>
        <v>10.4522416094636</v>
      </c>
      <c r="P13" s="168" t="n">
        <f aca="false">(DC_Cost!P55)/CTL_GW</f>
        <v>16.0694566753819</v>
      </c>
      <c r="Q13" s="167" t="n">
        <f aca="false">(DC_Cost!Q55)/CTL_GW</f>
        <v>29.454615058956</v>
      </c>
    </row>
    <row r="14" customFormat="false" ht="15" hidden="false" customHeight="true" outlineLevel="0" collapsed="false">
      <c r="A14" s="19" t="s">
        <v>861</v>
      </c>
      <c r="B14" s="15" t="s">
        <v>803</v>
      </c>
      <c r="C14" s="167" t="n">
        <f aca="false">DC_Cost!C58</f>
        <v>1.11286669150028</v>
      </c>
      <c r="D14" s="168" t="n">
        <f aca="false">DC_Cost!D58</f>
        <v>1.60502925637165</v>
      </c>
      <c r="E14" s="167" t="n">
        <f aca="false">DC_Cost!E58</f>
        <v>2.76720095633376</v>
      </c>
      <c r="F14" s="167" t="n">
        <f aca="false">DC_Cost!F58</f>
        <v>1.55003663914234</v>
      </c>
      <c r="G14" s="168" t="n">
        <f aca="false">DC_Cost!G58</f>
        <v>2.08645378736555</v>
      </c>
      <c r="H14" s="167" t="n">
        <f aca="false">DC_Cost!H58</f>
        <v>3.39439662035368</v>
      </c>
      <c r="I14" s="167" t="n">
        <f aca="false">DC_Cost!I58</f>
        <v>2.04104144426194</v>
      </c>
      <c r="J14" s="168" t="n">
        <f aca="false">DC_Cost!J58</f>
        <v>2.98269559427618</v>
      </c>
      <c r="K14" s="167" t="n">
        <f aca="false">DC_Cost!K58</f>
        <v>5.59559440727497</v>
      </c>
      <c r="L14" s="167" t="n">
        <f aca="false">DC_Cost!L58</f>
        <v>3.84895231682799</v>
      </c>
      <c r="M14" s="168" t="n">
        <f aca="false">DC_Cost!M58</f>
        <v>4.99359409623699</v>
      </c>
      <c r="N14" s="167" t="n">
        <f aca="false">DC_Cost!N58</f>
        <v>8.09104040200768</v>
      </c>
      <c r="O14" s="167" t="n">
        <f aca="false">DC_Cost!O58</f>
        <v>6.12640309057557</v>
      </c>
      <c r="P14" s="168" t="n">
        <f aca="false">DC_Cost!P58</f>
        <v>9.41883786448199</v>
      </c>
      <c r="Q14" s="167" t="n">
        <f aca="false">DC_Cost!Q58</f>
        <v>17.2643200828347</v>
      </c>
    </row>
    <row r="15" customFormat="false" ht="15" hidden="false" customHeight="true" outlineLevel="0" collapsed="false">
      <c r="A15" s="19" t="s">
        <v>1849</v>
      </c>
      <c r="B15" s="15" t="s">
        <v>1847</v>
      </c>
      <c r="C15" s="167" t="n">
        <f aca="false">(DC_Cost!C43)/CTL_GW</f>
        <v>0.404712</v>
      </c>
      <c r="D15" s="168" t="n">
        <f aca="false">(DC_Cost!D43)/CTL_GW</f>
        <v>0.672768</v>
      </c>
      <c r="E15" s="167" t="n">
        <f aca="false">(DC_Cost!E43)/CTL_GW</f>
        <v>1.02492</v>
      </c>
      <c r="F15" s="167" t="n">
        <f aca="false">(DC_Cost!F43)/CTL_GW</f>
        <v>0.404712</v>
      </c>
      <c r="G15" s="168" t="n">
        <f aca="false">(DC_Cost!G43)/CTL_GW</f>
        <v>0.672768</v>
      </c>
      <c r="H15" s="167" t="n">
        <f aca="false">(DC_Cost!H43)/CTL_GW</f>
        <v>1.02492</v>
      </c>
      <c r="I15" s="167" t="n">
        <f aca="false">(DC_Cost!I43)/CTL_GW</f>
        <v>0.404712</v>
      </c>
      <c r="J15" s="168" t="n">
        <f aca="false">(DC_Cost!J43)/CTL_GW</f>
        <v>0.672768</v>
      </c>
      <c r="K15" s="167" t="n">
        <f aca="false">(DC_Cost!K43)/CTL_GW</f>
        <v>1.02492</v>
      </c>
      <c r="L15" s="167" t="n">
        <f aca="false">(DC_Cost!L43)/CTL_GW</f>
        <v>0.404712</v>
      </c>
      <c r="M15" s="168" t="n">
        <f aca="false">(DC_Cost!M43)/CTL_GW</f>
        <v>0.672768</v>
      </c>
      <c r="N15" s="167" t="n">
        <f aca="false">(DC_Cost!N43)/CTL_GW</f>
        <v>1.02492</v>
      </c>
      <c r="O15" s="167" t="n">
        <f aca="false">(DC_Cost!O43)/CTL_GW</f>
        <v>0.404712</v>
      </c>
      <c r="P15" s="168" t="n">
        <f aca="false">(DC_Cost!P43)/CTL_GW</f>
        <v>0.672768</v>
      </c>
      <c r="Q15" s="167" t="n">
        <f aca="false">(DC_Cost!Q43)/CTL_GW</f>
        <v>1.02492</v>
      </c>
    </row>
    <row r="17" customFormat="false" ht="15" hidden="false" customHeight="true" outlineLevel="0" collapsed="false">
      <c r="A17" s="169" t="s">
        <v>1850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"/>
    </row>
    <row r="18" customFormat="false" ht="15" hidden="false" customHeight="true" outlineLevel="0" collapsed="false">
      <c r="A18" s="7" t="s">
        <v>219</v>
      </c>
      <c r="C18" s="10"/>
    </row>
    <row r="19" customFormat="false" ht="15" hidden="false" customHeight="true" outlineLevel="0" collapsed="false">
      <c r="A19" s="170" t="s">
        <v>1851</v>
      </c>
      <c r="B19" s="35" t="s">
        <v>330</v>
      </c>
      <c r="C19" s="26" t="n">
        <f aca="false">INDEX(Perf!$C$95:$Q$95,3*(Unit_Cost!C$6-1)+1)</f>
        <v>104668.529421467</v>
      </c>
      <c r="D19" s="40" t="n">
        <f aca="false">INDEX(Perf!$C$95:$Q$95,3*(Unit_Cost!D$6-1)+1)</f>
        <v>104668.529421467</v>
      </c>
      <c r="E19" s="40" t="n">
        <f aca="false">INDEX(Perf!$C$95:$Q$95,3*(Unit_Cost!E$6-1)+1)</f>
        <v>104668.529421467</v>
      </c>
      <c r="F19" s="40" t="n">
        <f aca="false">INDEX(Perf!$C$95:$Q$95,3*(Unit_Cost!F$6-1)+1)</f>
        <v>1648540.14144621</v>
      </c>
      <c r="G19" s="40" t="n">
        <f aca="false">INDEX(Perf!$C$95:$Q$95,3*(Unit_Cost!G$6-1)+1)</f>
        <v>1648540.14144621</v>
      </c>
      <c r="H19" s="40" t="n">
        <f aca="false">INDEX(Perf!$C$95:$Q$95,3*(Unit_Cost!H$6-1)+1)</f>
        <v>1648540.14144621</v>
      </c>
      <c r="I19" s="40" t="n">
        <f aca="false">INDEX(Perf!$C$95:$Q$95,3*(Unit_Cost!I$6-1)+1)</f>
        <v>2472810.21216931</v>
      </c>
      <c r="J19" s="40" t="n">
        <f aca="false">INDEX(Perf!$C$95:$Q$95,3*(Unit_Cost!J$6-1)+1)</f>
        <v>2472810.21216931</v>
      </c>
      <c r="K19" s="40" t="n">
        <f aca="false">INDEX(Perf!$C$95:$Q$95,3*(Unit_Cost!K$6-1)+1)</f>
        <v>2472810.21216931</v>
      </c>
      <c r="L19" s="40" t="n">
        <f aca="false">INDEX(Perf!$C$95:$Q$95,3*(Unit_Cost!L$6-1)+1)</f>
        <v>6047542.53332882</v>
      </c>
      <c r="M19" s="40" t="n">
        <f aca="false">INDEX(Perf!$C$95:$Q$95,3*(Unit_Cost!M$6-1)+1)</f>
        <v>6047542.53332882</v>
      </c>
      <c r="N19" s="40" t="n">
        <f aca="false">INDEX(Perf!$C$95:$Q$95,3*(Unit_Cost!N$6-1)+1)</f>
        <v>6047542.53332882</v>
      </c>
      <c r="O19" s="40" t="n">
        <f aca="false">INDEX(Perf!$C$95:$Q$95,3*(Unit_Cost!O$6-1)+1)</f>
        <v>12242836.6707437</v>
      </c>
      <c r="P19" s="40" t="n">
        <f aca="false">INDEX(Perf!$C$95:$Q$95,3*(Unit_Cost!P$6-1)+1)</f>
        <v>12242836.6707437</v>
      </c>
      <c r="Q19" s="40" t="n">
        <f aca="false">INDEX(Perf!$C$95:$Q$95,3*(Unit_Cost!Q$6-1)+1)</f>
        <v>12242836.6707437</v>
      </c>
    </row>
    <row r="20" customFormat="false" ht="15" hidden="false" customHeight="true" outlineLevel="0" collapsed="false">
      <c r="A20" s="170" t="s">
        <v>1852</v>
      </c>
      <c r="B20" s="35" t="s">
        <v>330</v>
      </c>
      <c r="C20" s="26" t="n">
        <f aca="false">INDEX(Perf!$C$96:$Q$96,3*(Unit_Cost!C$6-1)+1)</f>
        <v>11629.8366023852</v>
      </c>
      <c r="D20" s="40" t="n">
        <f aca="false">INDEX(Perf!$C$96:$Q$96,3*(Unit_Cost!D$6-1)+1)</f>
        <v>11629.8366023852</v>
      </c>
      <c r="E20" s="40" t="n">
        <f aca="false">INDEX(Perf!$C$96:$Q$96,3*(Unit_Cost!E$6-1)+1)</f>
        <v>11629.8366023852</v>
      </c>
      <c r="F20" s="40" t="n">
        <f aca="false">INDEX(Perf!$C$96:$Q$96,3*(Unit_Cost!F$6-1)+1)</f>
        <v>183171.126827357</v>
      </c>
      <c r="G20" s="40" t="n">
        <f aca="false">INDEX(Perf!$C$96:$Q$96,3*(Unit_Cost!G$6-1)+1)</f>
        <v>183171.126827357</v>
      </c>
      <c r="H20" s="40" t="n">
        <f aca="false">INDEX(Perf!$C$96:$Q$96,3*(Unit_Cost!H$6-1)+1)</f>
        <v>183171.126827357</v>
      </c>
      <c r="I20" s="40" t="n">
        <f aca="false">INDEX(Perf!$C$96:$Q$96,3*(Unit_Cost!I$6-1)+1)</f>
        <v>274756.690241035</v>
      </c>
      <c r="J20" s="40" t="n">
        <f aca="false">INDEX(Perf!$C$96:$Q$96,3*(Unit_Cost!J$6-1)+1)</f>
        <v>274756.690241035</v>
      </c>
      <c r="K20" s="40" t="n">
        <f aca="false">INDEX(Perf!$C$96:$Q$96,3*(Unit_Cost!K$6-1)+1)</f>
        <v>274756.690241035</v>
      </c>
      <c r="L20" s="40" t="n">
        <f aca="false">INDEX(Perf!$C$96:$Q$96,3*(Unit_Cost!L$6-1)+1)</f>
        <v>671949.170369869</v>
      </c>
      <c r="M20" s="40" t="n">
        <f aca="false">INDEX(Perf!$C$96:$Q$96,3*(Unit_Cost!M$6-1)+1)</f>
        <v>671949.170369869</v>
      </c>
      <c r="N20" s="40" t="n">
        <f aca="false">INDEX(Perf!$C$96:$Q$96,3*(Unit_Cost!N$6-1)+1)</f>
        <v>671949.170369869</v>
      </c>
      <c r="O20" s="40" t="n">
        <f aca="false">INDEX(Perf!$C$96:$Q$96,3*(Unit_Cost!O$6-1)+1)</f>
        <v>1360315.18563819</v>
      </c>
      <c r="P20" s="40" t="n">
        <f aca="false">INDEX(Perf!$C$96:$Q$96,3*(Unit_Cost!P$6-1)+1)</f>
        <v>1360315.18563819</v>
      </c>
      <c r="Q20" s="40" t="n">
        <f aca="false">INDEX(Perf!$C$96:$Q$96,3*(Unit_Cost!Q$6-1)+1)</f>
        <v>1360315.18563819</v>
      </c>
    </row>
    <row r="21" customFormat="false" ht="15" hidden="false" customHeight="true" outlineLevel="0" collapsed="false">
      <c r="A21" s="170" t="s">
        <v>1853</v>
      </c>
      <c r="B21" s="35" t="s">
        <v>750</v>
      </c>
      <c r="C21" s="164" t="n">
        <f aca="false">INDEX(Perf!$C$98:$Q$98,3*(Unit_Cost!C$6-1)+1)</f>
        <v>74067251304.9223</v>
      </c>
      <c r="D21" s="171" t="n">
        <f aca="false">INDEX(Perf!$C$98:$Q$98,3*(Unit_Cost!D$6-1)+1)</f>
        <v>74067251304.9223</v>
      </c>
      <c r="E21" s="171" t="n">
        <f aca="false">INDEX(Perf!$C$98:$Q$98,3*(Unit_Cost!E$6-1)+1)</f>
        <v>74067251304.9223</v>
      </c>
      <c r="F21" s="171" t="n">
        <f aca="false">INDEX(Perf!$C$98:$Q$98,3*(Unit_Cost!F$6-1)+1)</f>
        <v>362306894085.614</v>
      </c>
      <c r="G21" s="171" t="n">
        <f aca="false">INDEX(Perf!$C$98:$Q$98,3*(Unit_Cost!G$6-1)+1)</f>
        <v>362306894085.614</v>
      </c>
      <c r="H21" s="171" t="n">
        <f aca="false">INDEX(Perf!$C$98:$Q$98,3*(Unit_Cost!H$6-1)+1)</f>
        <v>362306894085.614</v>
      </c>
      <c r="I21" s="171" t="n">
        <f aca="false">INDEX(Perf!$C$98:$Q$98,3*(Unit_Cost!I$6-1)+1)</f>
        <v>527473919843.971</v>
      </c>
      <c r="J21" s="171" t="n">
        <f aca="false">INDEX(Perf!$C$98:$Q$98,3*(Unit_Cost!J$6-1)+1)</f>
        <v>527473919843.971</v>
      </c>
      <c r="K21" s="171" t="n">
        <f aca="false">INDEX(Perf!$C$98:$Q$98,3*(Unit_Cost!K$6-1)+1)</f>
        <v>527473919843.971</v>
      </c>
      <c r="L21" s="171" t="n">
        <f aca="false">INDEX(Perf!$C$98:$Q$98,3*(Unit_Cost!L$6-1)+1)</f>
        <v>772778400993.445</v>
      </c>
      <c r="M21" s="171" t="n">
        <f aca="false">INDEX(Perf!$C$98:$Q$98,3*(Unit_Cost!M$6-1)+1)</f>
        <v>772778400993.445</v>
      </c>
      <c r="N21" s="171" t="n">
        <f aca="false">INDEX(Perf!$C$98:$Q$98,3*(Unit_Cost!N$6-1)+1)</f>
        <v>772778400993.445</v>
      </c>
      <c r="O21" s="171" t="n">
        <f aca="false">INDEX(Perf!$C$98:$Q$98,3*(Unit_Cost!O$6-1)+1)</f>
        <v>1044373713057.39</v>
      </c>
      <c r="P21" s="171" t="n">
        <f aca="false">INDEX(Perf!$C$98:$Q$98,3*(Unit_Cost!P$6-1)+1)</f>
        <v>1044373713057.39</v>
      </c>
      <c r="Q21" s="171" t="n">
        <f aca="false">INDEX(Perf!$C$98:$Q$98,3*(Unit_Cost!Q$6-1)+1)</f>
        <v>1044373713057.39</v>
      </c>
    </row>
    <row r="22" customFormat="false" ht="15" hidden="false" customHeight="true" outlineLevel="0" collapsed="false">
      <c r="A22" s="14" t="s">
        <v>1854</v>
      </c>
      <c r="B22" s="35" t="s">
        <v>75</v>
      </c>
      <c r="C22" s="123" t="n">
        <f aca="false">INDEX(Perf!$C$120:$Q$120,3*(Unit_Cost!C$6-1)+1)</f>
        <v>0.0958453952772297</v>
      </c>
      <c r="D22" s="172" t="n">
        <f aca="false">INDEX(Perf!$C$120:$Q$120,3*(Unit_Cost!D$6-1)+1)</f>
        <v>0.0958453952772297</v>
      </c>
      <c r="E22" s="172" t="n">
        <f aca="false">INDEX(Perf!$C$120:$Q$120,3*(Unit_Cost!E$6-1)+1)</f>
        <v>0.0958453952772297</v>
      </c>
      <c r="F22" s="172" t="n">
        <f aca="false">INDEX(Perf!$C$120:$Q$120,3*(Unit_Cost!F$6-1)+1)</f>
        <v>0.468836724240545</v>
      </c>
      <c r="G22" s="172" t="n">
        <f aca="false">INDEX(Perf!$C$120:$Q$120,3*(Unit_Cost!G$6-1)+1)</f>
        <v>0.468836724240545</v>
      </c>
      <c r="H22" s="172" t="n">
        <f aca="false">INDEX(Perf!$C$120:$Q$120,3*(Unit_Cost!H$6-1)+1)</f>
        <v>0.468836724240545</v>
      </c>
      <c r="I22" s="172" t="n">
        <f aca="false">INDEX(Perf!$C$120:$Q$120,3*(Unit_Cost!I$6-1)+1)</f>
        <v>0.682568145235267</v>
      </c>
      <c r="J22" s="172" t="n">
        <f aca="false">INDEX(Perf!$C$120:$Q$120,3*(Unit_Cost!J$6-1)+1)</f>
        <v>0.682568145235267</v>
      </c>
      <c r="K22" s="172" t="n">
        <f aca="false">INDEX(Perf!$C$120:$Q$120,3*(Unit_Cost!K$6-1)+1)</f>
        <v>0.682568145235267</v>
      </c>
      <c r="L22" s="172" t="n">
        <f aca="false">INDEX(Perf!$C$120:$Q$120,3*(Unit_Cost!L$6-1)+1)</f>
        <v>1</v>
      </c>
      <c r="M22" s="172" t="n">
        <f aca="false">INDEX(Perf!$C$120:$Q$120,3*(Unit_Cost!M$6-1)+1)</f>
        <v>1</v>
      </c>
      <c r="N22" s="172" t="n">
        <f aca="false">INDEX(Perf!$C$120:$Q$120,3*(Unit_Cost!N$6-1)+1)</f>
        <v>1</v>
      </c>
      <c r="O22" s="172" t="n">
        <f aca="false">INDEX(Perf!$C$120:$Q$120,3*(Unit_Cost!O$6-1)+1)</f>
        <v>1.35145303196207</v>
      </c>
      <c r="P22" s="172" t="n">
        <f aca="false">INDEX(Perf!$C$120:$Q$120,3*(Unit_Cost!P$6-1)+1)</f>
        <v>1.35145303196207</v>
      </c>
      <c r="Q22" s="172" t="n">
        <f aca="false">INDEX(Perf!$C$120:$Q$120,3*(Unit_Cost!Q$6-1)+1)</f>
        <v>1.35145303196207</v>
      </c>
    </row>
    <row r="23" customFormat="false" ht="15" hidden="false" customHeight="true" outlineLevel="0" collapsed="false">
      <c r="A23" s="34" t="s">
        <v>1855</v>
      </c>
      <c r="B23" s="35" t="s">
        <v>758</v>
      </c>
      <c r="C23" s="37" t="n">
        <f aca="false">Unit_Cost!C16</f>
        <v>0.0398626327246416</v>
      </c>
      <c r="D23" s="37" t="n">
        <f aca="false">Unit_Cost!D16</f>
        <v>0.0574917842790264</v>
      </c>
      <c r="E23" s="37" t="n">
        <f aca="false">Unit_Cost!E16</f>
        <v>0.0991205112347298</v>
      </c>
      <c r="F23" s="37" t="n">
        <f aca="false">Unit_Cost!F16</f>
        <v>0.00549112196175739</v>
      </c>
      <c r="G23" s="37" t="n">
        <f aca="false">Unit_Cost!G16</f>
        <v>0.00739142025722318</v>
      </c>
      <c r="H23" s="37" t="n">
        <f aca="false">Unit_Cost!H16</f>
        <v>0.0120249066107575</v>
      </c>
      <c r="I23" s="37" t="n">
        <f aca="false">Unit_Cost!I16</f>
        <v>0.0048203623993667</v>
      </c>
      <c r="J23" s="37" t="n">
        <f aca="false">Unit_Cost!J16</f>
        <v>0.00704428307020721</v>
      </c>
      <c r="K23" s="37" t="n">
        <f aca="false">Unit_Cost!K16</f>
        <v>0.0132152107732867</v>
      </c>
      <c r="L23" s="37" t="n">
        <f aca="false">Unit_Cost!L16</f>
        <v>0.00389577272156528</v>
      </c>
      <c r="M23" s="37" t="n">
        <f aca="false">Unit_Cost!M16</f>
        <v>0.00505433844364223</v>
      </c>
      <c r="N23" s="37" t="n">
        <f aca="false">Unit_Cost!N16</f>
        <v>0.00818946349358809</v>
      </c>
      <c r="O23" s="37" t="n">
        <f aca="false">Unit_Cost!O16</f>
        <v>0.00310046372063748</v>
      </c>
      <c r="P23" s="37" t="n">
        <f aca="false">Unit_Cost!P16</f>
        <v>0.00476670644383758</v>
      </c>
      <c r="Q23" s="37" t="n">
        <f aca="false">Unit_Cost!Q16</f>
        <v>0.00873716555814697</v>
      </c>
    </row>
    <row r="24" customFormat="false" ht="15" hidden="false" customHeight="true" outlineLevel="0" collapsed="false">
      <c r="A24" s="34" t="s">
        <v>1856</v>
      </c>
      <c r="B24" s="35" t="s">
        <v>758</v>
      </c>
      <c r="C24" s="173" t="n">
        <f aca="false">Unit_Cost!C17</f>
        <v>8.64017334095354E-006</v>
      </c>
      <c r="D24" s="173" t="n">
        <f aca="false">Unit_Cost!D17</f>
        <v>1.24612688098854E-005</v>
      </c>
      <c r="E24" s="173" t="n">
        <f aca="false">Unit_Cost!E17</f>
        <v>2.14842407582024E-005</v>
      </c>
      <c r="F24" s="173" t="n">
        <f aca="false">Unit_Cost!F17</f>
        <v>1.20343122400079E-005</v>
      </c>
      <c r="G24" s="173" t="n">
        <f aca="false">Unit_Cost!G17</f>
        <v>1.61989953769075E-005</v>
      </c>
      <c r="H24" s="173" t="n">
        <f aca="false">Unit_Cost!H17</f>
        <v>2.6353718205246E-005</v>
      </c>
      <c r="I24" s="173" t="n">
        <f aca="false">Unit_Cost!I17</f>
        <v>1.5846418990867E-005</v>
      </c>
      <c r="J24" s="173" t="n">
        <f aca="false">Unit_Cost!J17</f>
        <v>2.31573171833387E-005</v>
      </c>
      <c r="K24" s="173" t="n">
        <f aca="false">Unit_Cost!K17</f>
        <v>4.3443573245371E-005</v>
      </c>
      <c r="L24" s="173" t="n">
        <f aca="false">Unit_Cost!L17</f>
        <v>2.9882838126484E-005</v>
      </c>
      <c r="M24" s="173" t="n">
        <f aca="false">Unit_Cost!M17</f>
        <v>3.87697097193956E-005</v>
      </c>
      <c r="N24" s="173" t="n">
        <f aca="false">Unit_Cost!N17</f>
        <v>6.28179386766985E-005</v>
      </c>
      <c r="O24" s="173" t="n">
        <f aca="false">Unit_Cost!O17</f>
        <v>4.75647128837742E-005</v>
      </c>
      <c r="P24" s="173" t="n">
        <f aca="false">Unit_Cost!P17</f>
        <v>7.31268106422977E-005</v>
      </c>
      <c r="Q24" s="173" t="n">
        <f aca="false">Unit_Cost!Q17</f>
        <v>0.000134038262865341</v>
      </c>
    </row>
    <row r="25" customFormat="false" ht="15" hidden="false" customHeight="true" outlineLevel="0" collapsed="false">
      <c r="A25" s="35" t="s">
        <v>1857</v>
      </c>
      <c r="B25" s="35" t="s">
        <v>758</v>
      </c>
      <c r="C25" s="47" t="n">
        <f aca="false">Unit_Cost!C18</f>
        <v>0.531682545444821</v>
      </c>
      <c r="D25" s="47" t="n">
        <f aca="false">Unit_Cost!D18</f>
        <v>0.766817847149911</v>
      </c>
      <c r="E25" s="47" t="n">
        <f aca="false">Unit_Cost!E18</f>
        <v>1.32205632485723</v>
      </c>
      <c r="F25" s="47" t="n">
        <f aca="false">Unit_Cost!F18</f>
        <v>0.125315671755568</v>
      </c>
      <c r="G25" s="47" t="n">
        <f aca="false">Unit_Cost!G18</f>
        <v>0.168683340346932</v>
      </c>
      <c r="H25" s="47" t="n">
        <f aca="false">Unit_Cost!H18</f>
        <v>0.274426476086278</v>
      </c>
      <c r="I25" s="47" t="n">
        <f aca="false">Unit_Cost!I18</f>
        <v>0.110007928505123</v>
      </c>
      <c r="J25" s="47" t="n">
        <f aca="false">Unit_Cost!J18</f>
        <v>0.16076114701646</v>
      </c>
      <c r="K25" s="47" t="n">
        <f aca="false">Unit_Cost!K18</f>
        <v>0.301591009447516</v>
      </c>
      <c r="L25" s="47" t="n">
        <f aca="false">Unit_Cost!L18</f>
        <v>0.0833946358175752</v>
      </c>
      <c r="M25" s="47" t="n">
        <f aca="false">Unit_Cost!M18</f>
        <v>0.108195406645015</v>
      </c>
      <c r="N25" s="47" t="n">
        <f aca="false">Unit_Cost!N18</f>
        <v>0.175307281610283</v>
      </c>
      <c r="O25" s="47" t="n">
        <f aca="false">Unit_Cost!O18</f>
        <v>0.0652695784736312</v>
      </c>
      <c r="P25" s="47" t="n">
        <f aca="false">Unit_Cost!P18</f>
        <v>0.10034657661882</v>
      </c>
      <c r="Q25" s="47" t="n">
        <f aca="false">Unit_Cost!Q18</f>
        <v>0.18393090983091</v>
      </c>
    </row>
    <row r="26" customFormat="false" ht="15" hidden="false" customHeight="true" outlineLevel="0" collapsed="false">
      <c r="A26" s="35" t="s">
        <v>1858</v>
      </c>
      <c r="B26" s="35" t="s">
        <v>758</v>
      </c>
      <c r="C26" s="37" t="n">
        <f aca="false">Unit_Cost!C22</f>
        <v>0.410074520519514</v>
      </c>
      <c r="D26" s="37" t="n">
        <f aca="false">Unit_Cost!D22</f>
        <v>0.569415405467536</v>
      </c>
      <c r="E26" s="37" t="n">
        <f aca="false">Unit_Cost!E22</f>
        <v>0.983551394478783</v>
      </c>
      <c r="F26" s="37" t="n">
        <f aca="false">Unit_Cost!F22</f>
        <v>0.0965800146696228</v>
      </c>
      <c r="G26" s="37" t="n">
        <f aca="false">Unit_Cost!G22</f>
        <v>0.124926248193536</v>
      </c>
      <c r="H26" s="37" t="n">
        <f aca="false">Unit_Cost!H22</f>
        <v>0.20271198040945</v>
      </c>
      <c r="I26" s="37" t="n">
        <f aca="false">Unit_Cost!I22</f>
        <v>0.0853052222234209</v>
      </c>
      <c r="J26" s="37" t="n">
        <f aca="false">Unit_Cost!J22</f>
        <v>0.120026154924285</v>
      </c>
      <c r="K26" s="37" t="n">
        <f aca="false">Unit_Cost!K22</f>
        <v>0.226959369988615</v>
      </c>
      <c r="L26" s="37" t="n">
        <f aca="false">Unit_Cost!L22</f>
        <v>0.0648316791871181</v>
      </c>
      <c r="M26" s="37" t="n">
        <f aca="false">Unit_Cost!M22</f>
        <v>0.0807848625989288</v>
      </c>
      <c r="N26" s="37" t="n">
        <f aca="false">Unit_Cost!N22</f>
        <v>0.131300065189245</v>
      </c>
      <c r="O26" s="37" t="n">
        <f aca="false">Unit_Cost!O22</f>
        <v>0.0507992691060483</v>
      </c>
      <c r="P26" s="37" t="n">
        <f aca="false">Unit_Cost!P22</f>
        <v>0.0752441615961161</v>
      </c>
      <c r="Q26" s="37" t="n">
        <f aca="false">Unit_Cost!Q22</f>
        <v>0.139221036641708</v>
      </c>
    </row>
    <row r="27" customFormat="false" ht="15" hidden="false" customHeight="true" outlineLevel="0" collapsed="false">
      <c r="A27" s="35" t="s">
        <v>1859</v>
      </c>
      <c r="B27" s="35" t="s">
        <v>774</v>
      </c>
      <c r="C27" s="42" t="n">
        <f aca="false">INDEX(Perf!$C$117:$Q$117,3*(Unit_Cost!C$6-1)+1)</f>
        <v>3.191113701874</v>
      </c>
      <c r="D27" s="42" t="n">
        <f aca="false">INDEX(Perf!$C$117:$Q$117,3*(Unit_Cost!D$6-1)+1)</f>
        <v>3.191113701874</v>
      </c>
      <c r="E27" s="42" t="n">
        <f aca="false">INDEX(Perf!$C$117:$Q$117,3*(Unit_Cost!E$6-1)+1)</f>
        <v>3.191113701874</v>
      </c>
      <c r="F27" s="42" t="n">
        <f aca="false">INDEX(Perf!$C$117:$Q$117,3*(Unit_Cost!F$6-1)+1)</f>
        <v>15.611175581877</v>
      </c>
      <c r="G27" s="42" t="n">
        <f aca="false">INDEX(Perf!$C$117:$Q$117,3*(Unit_Cost!G$6-1)+1)</f>
        <v>15.611175581877</v>
      </c>
      <c r="H27" s="42" t="n">
        <f aca="false">INDEX(Perf!$C$117:$Q$117,3*(Unit_Cost!H$6-1)+1)</f>
        <v>15.611175581877</v>
      </c>
      <c r="I27" s="42" t="n">
        <f aca="false">INDEX(Perf!$C$117:$Q$117,3*(Unit_Cost!I$6-1)+1)</f>
        <v>22.7280350383209</v>
      </c>
      <c r="J27" s="42" t="n">
        <f aca="false">INDEX(Perf!$C$117:$Q$117,3*(Unit_Cost!J$6-1)+1)</f>
        <v>22.7280350383209</v>
      </c>
      <c r="K27" s="42" t="n">
        <f aca="false">INDEX(Perf!$C$117:$Q$117,3*(Unit_Cost!K$6-1)+1)</f>
        <v>22.7280350383209</v>
      </c>
      <c r="L27" s="42" t="n">
        <f aca="false">INDEX(Perf!$C$117:$Q$117,3*(Unit_Cost!L$6-1)+1)</f>
        <v>33.3014456681102</v>
      </c>
      <c r="M27" s="42" t="n">
        <f aca="false">INDEX(Perf!$C$117:$Q$117,3*(Unit_Cost!M$6-1)+1)</f>
        <v>33.3014456681102</v>
      </c>
      <c r="N27" s="42" t="n">
        <f aca="false">INDEX(Perf!$C$117:$Q$117,3*(Unit_Cost!N$6-1)+1)</f>
        <v>33.3014456681102</v>
      </c>
      <c r="O27" s="42" t="n">
        <f aca="false">INDEX(Perf!$C$117:$Q$117,3*(Unit_Cost!O$6-1)+1)</f>
        <v>45.0104289365576</v>
      </c>
      <c r="P27" s="42" t="n">
        <f aca="false">INDEX(Perf!$C$117:$Q$117,3*(Unit_Cost!P$6-1)+1)</f>
        <v>45.0104289365576</v>
      </c>
      <c r="Q27" s="42" t="n">
        <f aca="false">INDEX(Perf!$C$117:$Q$117,3*(Unit_Cost!Q$6-1)+1)</f>
        <v>45.0104289365576</v>
      </c>
    </row>
    <row r="28" customFormat="false" ht="15" hidden="false" customHeight="true" outlineLevel="0" collapsed="false">
      <c r="A28" s="8" t="s">
        <v>220</v>
      </c>
    </row>
    <row r="29" customFormat="false" ht="15" hidden="false" customHeight="true" outlineLevel="0" collapsed="false">
      <c r="A29" s="34" t="s">
        <v>1860</v>
      </c>
      <c r="B29" s="35" t="s">
        <v>330</v>
      </c>
      <c r="C29" s="40" t="n">
        <f aca="false">INDEX(Perf!$C$95:$Q$95,3*(Unit_Cost!C$6-1)+2)</f>
        <v>30369.3148075447</v>
      </c>
      <c r="D29" s="40" t="n">
        <f aca="false">INDEX(Perf!$C$95:$Q$95,3*(Unit_Cost!D$6-1)+2)</f>
        <v>30369.3148075447</v>
      </c>
      <c r="E29" s="40" t="n">
        <f aca="false">INDEX(Perf!$C$95:$Q$95,3*(Unit_Cost!E$6-1)+2)</f>
        <v>30369.3148075447</v>
      </c>
      <c r="F29" s="40" t="n">
        <f aca="false">INDEX(Perf!$C$95:$Q$95,3*(Unit_Cost!F$6-1)+2)</f>
        <v>473783.155186397</v>
      </c>
      <c r="G29" s="40" t="n">
        <f aca="false">INDEX(Perf!$C$95:$Q$95,3*(Unit_Cost!G$6-1)+2)</f>
        <v>473783.155186397</v>
      </c>
      <c r="H29" s="40" t="n">
        <f aca="false">INDEX(Perf!$C$95:$Q$95,3*(Unit_Cost!H$6-1)+2)</f>
        <v>473783.155186397</v>
      </c>
      <c r="I29" s="40" t="n">
        <f aca="false">INDEX(Perf!$C$95:$Q$95,3*(Unit_Cost!I$6-1)+2)</f>
        <v>710674.732779595</v>
      </c>
      <c r="J29" s="40" t="n">
        <f aca="false">INDEX(Perf!$C$95:$Q$95,3*(Unit_Cost!J$6-1)+2)</f>
        <v>710674.732779595</v>
      </c>
      <c r="K29" s="40" t="n">
        <f aca="false">INDEX(Perf!$C$95:$Q$95,3*(Unit_Cost!K$6-1)+2)</f>
        <v>710674.732779595</v>
      </c>
      <c r="L29" s="40" t="n">
        <f aca="false">INDEX(Perf!$C$95:$Q$95,3*(Unit_Cost!L$6-1)+2)</f>
        <v>1856942.7817541</v>
      </c>
      <c r="M29" s="40" t="n">
        <f aca="false">INDEX(Perf!$C$95:$Q$95,3*(Unit_Cost!M$6-1)+2)</f>
        <v>1856942.7817541</v>
      </c>
      <c r="N29" s="40" t="n">
        <f aca="false">INDEX(Perf!$C$95:$Q$95,3*(Unit_Cost!N$6-1)+2)</f>
        <v>1856942.7817541</v>
      </c>
      <c r="O29" s="40" t="n">
        <f aca="false">INDEX(Perf!$C$95:$Q$95,3*(Unit_Cost!O$6-1)+2)</f>
        <v>3823763.31251331</v>
      </c>
      <c r="P29" s="40" t="n">
        <f aca="false">INDEX(Perf!$C$95:$Q$95,3*(Unit_Cost!P$6-1)+2)</f>
        <v>3823763.31251331</v>
      </c>
      <c r="Q29" s="40" t="n">
        <f aca="false">INDEX(Perf!$C$95:$Q$95,3*(Unit_Cost!Q$6-1)+2)</f>
        <v>3823763.31251331</v>
      </c>
    </row>
    <row r="30" customFormat="false" ht="15" hidden="false" customHeight="true" outlineLevel="0" collapsed="false">
      <c r="A30" s="34" t="s">
        <v>1861</v>
      </c>
      <c r="B30" s="35" t="s">
        <v>330</v>
      </c>
      <c r="C30" s="40" t="n">
        <f aca="false">INDEX(Perf!$C$96:$Q$96,3*(Unit_Cost!C$6-1)+2)</f>
        <v>3374.36831194942</v>
      </c>
      <c r="D30" s="40" t="n">
        <f aca="false">INDEX(Perf!$C$96:$Q$96,3*(Unit_Cost!D$6-1)+2)</f>
        <v>3374.36831194942</v>
      </c>
      <c r="E30" s="40" t="n">
        <f aca="false">INDEX(Perf!$C$96:$Q$96,3*(Unit_Cost!E$6-1)+2)</f>
        <v>3374.36831194942</v>
      </c>
      <c r="F30" s="40" t="n">
        <f aca="false">INDEX(Perf!$C$96:$Q$96,3*(Unit_Cost!F$6-1)+2)</f>
        <v>52642.5727984885</v>
      </c>
      <c r="G30" s="40" t="n">
        <f aca="false">INDEX(Perf!$C$96:$Q$96,3*(Unit_Cost!G$6-1)+2)</f>
        <v>52642.5727984885</v>
      </c>
      <c r="H30" s="40" t="n">
        <f aca="false">INDEX(Perf!$C$96:$Q$96,3*(Unit_Cost!H$6-1)+2)</f>
        <v>52642.5727984885</v>
      </c>
      <c r="I30" s="40" t="n">
        <f aca="false">INDEX(Perf!$C$96:$Q$96,3*(Unit_Cost!I$6-1)+2)</f>
        <v>78963.8591977328</v>
      </c>
      <c r="J30" s="40" t="n">
        <f aca="false">INDEX(Perf!$C$96:$Q$96,3*(Unit_Cost!J$6-1)+2)</f>
        <v>78963.8591977328</v>
      </c>
      <c r="K30" s="40" t="n">
        <f aca="false">INDEX(Perf!$C$96:$Q$96,3*(Unit_Cost!K$6-1)+2)</f>
        <v>78963.8591977328</v>
      </c>
      <c r="L30" s="40" t="n">
        <f aca="false">INDEX(Perf!$C$96:$Q$96,3*(Unit_Cost!L$6-1)+2)</f>
        <v>206326.975750455</v>
      </c>
      <c r="M30" s="40" t="n">
        <f aca="false">INDEX(Perf!$C$96:$Q$96,3*(Unit_Cost!M$6-1)+2)</f>
        <v>206326.975750455</v>
      </c>
      <c r="N30" s="40" t="n">
        <f aca="false">INDEX(Perf!$C$96:$Q$96,3*(Unit_Cost!N$6-1)+2)</f>
        <v>206326.975750455</v>
      </c>
      <c r="O30" s="40" t="n">
        <f aca="false">INDEX(Perf!$C$96:$Q$96,3*(Unit_Cost!O$6-1)+2)</f>
        <v>424862.590279257</v>
      </c>
      <c r="P30" s="40" t="n">
        <f aca="false">INDEX(Perf!$C$96:$Q$96,3*(Unit_Cost!P$6-1)+2)</f>
        <v>424862.590279257</v>
      </c>
      <c r="Q30" s="40" t="n">
        <f aca="false">INDEX(Perf!$C$96:$Q$96,3*(Unit_Cost!Q$6-1)+2)</f>
        <v>424862.590279257</v>
      </c>
    </row>
    <row r="31" customFormat="false" ht="15" hidden="false" customHeight="true" outlineLevel="0" collapsed="false">
      <c r="A31" s="34" t="s">
        <v>1862</v>
      </c>
      <c r="B31" s="35" t="s">
        <v>750</v>
      </c>
      <c r="C31" s="171" t="n">
        <f aca="false">INDEX(Perf!$C$98:$Q$98,3*(Unit_Cost!C$6-1)+2)</f>
        <v>21490429685.4234</v>
      </c>
      <c r="D31" s="171" t="n">
        <f aca="false">INDEX(Perf!$C$98:$Q$98,3*(Unit_Cost!D$6-1)+2)</f>
        <v>21490429685.4234</v>
      </c>
      <c r="E31" s="171" t="n">
        <f aca="false">INDEX(Perf!$C$98:$Q$98,3*(Unit_Cost!E$6-1)+2)</f>
        <v>21490429685.4234</v>
      </c>
      <c r="F31" s="171" t="n">
        <f aca="false">INDEX(Perf!$C$98:$Q$98,3*(Unit_Cost!F$6-1)+2)</f>
        <v>104125401080.667</v>
      </c>
      <c r="G31" s="171" t="n">
        <f aca="false">INDEX(Perf!$C$98:$Q$98,3*(Unit_Cost!G$6-1)+2)</f>
        <v>104125401080.667</v>
      </c>
      <c r="H31" s="171" t="n">
        <f aca="false">INDEX(Perf!$C$98:$Q$98,3*(Unit_Cost!H$6-1)+2)</f>
        <v>104125401080.667</v>
      </c>
      <c r="I31" s="171" t="n">
        <f aca="false">INDEX(Perf!$C$98:$Q$98,3*(Unit_Cost!I$6-1)+2)</f>
        <v>151593674754.548</v>
      </c>
      <c r="J31" s="171" t="n">
        <f aca="false">INDEX(Perf!$C$98:$Q$98,3*(Unit_Cost!J$6-1)+2)</f>
        <v>151593674754.548</v>
      </c>
      <c r="K31" s="171" t="n">
        <f aca="false">INDEX(Perf!$C$98:$Q$98,3*(Unit_Cost!K$6-1)+2)</f>
        <v>151593674754.548</v>
      </c>
      <c r="L31" s="171" t="n">
        <f aca="false">INDEX(Perf!$C$98:$Q$98,3*(Unit_Cost!L$6-1)+2)</f>
        <v>237287338734.99</v>
      </c>
      <c r="M31" s="171" t="n">
        <f aca="false">INDEX(Perf!$C$98:$Q$98,3*(Unit_Cost!M$6-1)+2)</f>
        <v>237287338734.99</v>
      </c>
      <c r="N31" s="171" t="n">
        <f aca="false">INDEX(Perf!$C$98:$Q$98,3*(Unit_Cost!N$6-1)+2)</f>
        <v>237287338734.99</v>
      </c>
      <c r="O31" s="171" t="n">
        <f aca="false">INDEX(Perf!$C$98:$Q$98,3*(Unit_Cost!O$6-1)+2)</f>
        <v>326185670522.351</v>
      </c>
      <c r="P31" s="171" t="n">
        <f aca="false">INDEX(Perf!$C$98:$Q$98,3*(Unit_Cost!P$6-1)+2)</f>
        <v>326185670522.351</v>
      </c>
      <c r="Q31" s="171" t="n">
        <f aca="false">INDEX(Perf!$C$98:$Q$98,3*(Unit_Cost!Q$6-1)+2)</f>
        <v>326185670522.351</v>
      </c>
    </row>
    <row r="32" customFormat="false" ht="15" hidden="false" customHeight="true" outlineLevel="0" collapsed="false">
      <c r="A32" s="35" t="s">
        <v>1863</v>
      </c>
      <c r="B32" s="35" t="s">
        <v>75</v>
      </c>
      <c r="C32" s="172" t="n">
        <f aca="false">INDEX(Perf!$C$120:$Q$120,3*(Unit_Cost!C$6-1)+2)</f>
        <v>0.0905671149585636</v>
      </c>
      <c r="D32" s="172" t="n">
        <f aca="false">INDEX(Perf!$C$120:$Q$120,3*(Unit_Cost!D$6-1)+2)</f>
        <v>0.0905671149585636</v>
      </c>
      <c r="E32" s="172" t="n">
        <f aca="false">INDEX(Perf!$C$120:$Q$120,3*(Unit_Cost!E$6-1)+2)</f>
        <v>0.0905671149585636</v>
      </c>
      <c r="F32" s="172" t="n">
        <f aca="false">INDEX(Perf!$C$120:$Q$120,3*(Unit_Cost!F$6-1)+2)</f>
        <v>0.438815663894134</v>
      </c>
      <c r="G32" s="172" t="n">
        <f aca="false">INDEX(Perf!$C$120:$Q$120,3*(Unit_Cost!G$6-1)+2)</f>
        <v>0.438815663894134</v>
      </c>
      <c r="H32" s="172" t="n">
        <f aca="false">INDEX(Perf!$C$120:$Q$120,3*(Unit_Cost!H$6-1)+2)</f>
        <v>0.438815663894134</v>
      </c>
      <c r="I32" s="172" t="n">
        <f aca="false">INDEX(Perf!$C$120:$Q$120,3*(Unit_Cost!I$6-1)+2)</f>
        <v>0.638861203310358</v>
      </c>
      <c r="J32" s="172" t="n">
        <f aca="false">INDEX(Perf!$C$120:$Q$120,3*(Unit_Cost!J$6-1)+2)</f>
        <v>0.638861203310358</v>
      </c>
      <c r="K32" s="172" t="n">
        <f aca="false">INDEX(Perf!$C$120:$Q$120,3*(Unit_Cost!K$6-1)+2)</f>
        <v>0.638861203310358</v>
      </c>
      <c r="L32" s="172" t="n">
        <f aca="false">INDEX(Perf!$C$120:$Q$120,3*(Unit_Cost!L$6-1)+2)</f>
        <v>1</v>
      </c>
      <c r="M32" s="172" t="n">
        <f aca="false">INDEX(Perf!$C$120:$Q$120,3*(Unit_Cost!M$6-1)+2)</f>
        <v>1</v>
      </c>
      <c r="N32" s="172" t="n">
        <f aca="false">INDEX(Perf!$C$120:$Q$120,3*(Unit_Cost!N$6-1)+2)</f>
        <v>1</v>
      </c>
      <c r="O32" s="172" t="n">
        <f aca="false">INDEX(Perf!$C$120:$Q$120,3*(Unit_Cost!O$6-1)+2)</f>
        <v>1.37464422780115</v>
      </c>
      <c r="P32" s="172" t="n">
        <f aca="false">INDEX(Perf!$C$120:$Q$120,3*(Unit_Cost!P$6-1)+2)</f>
        <v>1.37464422780115</v>
      </c>
      <c r="Q32" s="172" t="n">
        <f aca="false">INDEX(Perf!$C$120:$Q$120,3*(Unit_Cost!Q$6-1)+2)</f>
        <v>1.37464422780115</v>
      </c>
    </row>
    <row r="33" customFormat="false" ht="15" hidden="false" customHeight="true" outlineLevel="0" collapsed="false">
      <c r="A33" s="34" t="s">
        <v>1864</v>
      </c>
      <c r="B33" s="35" t="s">
        <v>758</v>
      </c>
      <c r="C33" s="37" t="n">
        <f aca="false">Unit_Cost!C29</f>
        <v>0.13835489399644</v>
      </c>
      <c r="D33" s="37" t="n">
        <f aca="false">Unit_Cost!D29</f>
        <v>0.199542006533699</v>
      </c>
      <c r="E33" s="37" t="n">
        <f aca="false">Unit_Cost!E29</f>
        <v>0.344026645693087</v>
      </c>
      <c r="F33" s="37" t="n">
        <f aca="false">Unit_Cost!F29</f>
        <v>0.019058540417749</v>
      </c>
      <c r="G33" s="37" t="n">
        <f aca="false">Unit_Cost!G29</f>
        <v>0.0256540799308293</v>
      </c>
      <c r="H33" s="37" t="n">
        <f aca="false">Unit_Cost!H29</f>
        <v>0.0417359458152398</v>
      </c>
      <c r="I33" s="37" t="n">
        <f aca="false">Unit_Cost!I29</f>
        <v>0.0167304737094431</v>
      </c>
      <c r="J33" s="37" t="n">
        <f aca="false">Unit_Cost!J29</f>
        <v>0.0244492390703779</v>
      </c>
      <c r="K33" s="37" t="n">
        <f aca="false">Unit_Cost!K29</f>
        <v>0.0458672435990019</v>
      </c>
      <c r="L33" s="37" t="n">
        <f aca="false">Unit_Cost!L29</f>
        <v>0.0135214155484817</v>
      </c>
      <c r="M33" s="37" t="n">
        <f aca="false">Unit_Cost!M29</f>
        <v>0.017542555817192</v>
      </c>
      <c r="N33" s="37" t="n">
        <f aca="false">Unit_Cost!N29</f>
        <v>0.028423921755742</v>
      </c>
      <c r="O33" s="37" t="n">
        <f aca="false">Unit_Cost!O29</f>
        <v>0.0107610636851749</v>
      </c>
      <c r="P33" s="37" t="n">
        <f aca="false">Unit_Cost!P29</f>
        <v>0.0165442450654198</v>
      </c>
      <c r="Q33" s="37" t="n">
        <f aca="false">Unit_Cost!Q29</f>
        <v>0.0303248815244336</v>
      </c>
    </row>
    <row r="34" customFormat="false" ht="15" hidden="false" customHeight="true" outlineLevel="0" collapsed="false">
      <c r="A34" s="34" t="s">
        <v>1865</v>
      </c>
      <c r="B34" s="35" t="s">
        <v>758</v>
      </c>
      <c r="C34" s="173" t="n">
        <f aca="false">Unit_Cost!C30</f>
        <v>1.22569900883294E-005</v>
      </c>
      <c r="D34" s="173" t="n">
        <f aca="false">Unit_Cost!D30</f>
        <v>1.76776138930933E-005</v>
      </c>
      <c r="E34" s="173" t="n">
        <f aca="false">Unit_Cost!E30</f>
        <v>3.04776438662871E-005</v>
      </c>
      <c r="F34" s="173" t="n">
        <f aca="false">Unit_Cost!F30</f>
        <v>1.70719313172205E-005</v>
      </c>
      <c r="G34" s="173" t="n">
        <f aca="false">Unit_Cost!G30</f>
        <v>2.29799701858456E-005</v>
      </c>
      <c r="H34" s="173" t="n">
        <f aca="false">Unit_Cost!H30</f>
        <v>3.73855072213954E-005</v>
      </c>
      <c r="I34" s="173" t="n">
        <f aca="false">Unit_Cost!I30</f>
        <v>2.24798036847183E-005</v>
      </c>
      <c r="J34" s="173" t="n">
        <f aca="false">Unit_Cost!J30</f>
        <v>3.28510778647363E-005</v>
      </c>
      <c r="K34" s="173" t="n">
        <f aca="false">Unit_Cost!K30</f>
        <v>6.16292550690146E-005</v>
      </c>
      <c r="L34" s="173" t="n">
        <f aca="false">Unit_Cost!L30</f>
        <v>4.2391933156175E-005</v>
      </c>
      <c r="M34" s="173" t="n">
        <f aca="false">Unit_Cost!M30</f>
        <v>5.49988905321658E-005</v>
      </c>
      <c r="N34" s="173" t="n">
        <f aca="false">Unit_Cost!N30</f>
        <v>8.91138199832235E-005</v>
      </c>
      <c r="O34" s="173" t="n">
        <f aca="false">Unit_Cost!O30</f>
        <v>6.74755229281448E-005</v>
      </c>
      <c r="P34" s="173" t="n">
        <f aca="false">Unit_Cost!P30</f>
        <v>0.000103738033701864</v>
      </c>
      <c r="Q34" s="173" t="n">
        <f aca="false">Unit_Cost!Q30</f>
        <v>0.000190147303134554</v>
      </c>
    </row>
    <row r="35" customFormat="false" ht="15" hidden="false" customHeight="true" outlineLevel="0" collapsed="false">
      <c r="A35" s="35" t="s">
        <v>1866</v>
      </c>
      <c r="B35" s="35" t="s">
        <v>758</v>
      </c>
      <c r="C35" s="47" t="n">
        <f aca="false">Unit_Cost!C31</f>
        <v>1.82471646211512</v>
      </c>
      <c r="D35" s="47" t="n">
        <f aca="false">Unit_Cost!D31</f>
        <v>2.63169284214039</v>
      </c>
      <c r="E35" s="47" t="n">
        <f aca="false">Unit_Cost!E31</f>
        <v>4.53725246479951</v>
      </c>
      <c r="F35" s="47" t="n">
        <f aca="false">Unit_Cost!F31</f>
        <v>0.436422590130554</v>
      </c>
      <c r="G35" s="47" t="n">
        <f aca="false">Unit_Cost!G31</f>
        <v>0.587454220807071</v>
      </c>
      <c r="H35" s="47" t="n">
        <f aca="false">Unit_Cost!H31</f>
        <v>0.955713773194952</v>
      </c>
      <c r="I35" s="47" t="n">
        <f aca="false">Unit_Cost!I31</f>
        <v>0.383112059493625</v>
      </c>
      <c r="J35" s="47" t="n">
        <f aca="false">Unit_Cost!J31</f>
        <v>0.559864502104182</v>
      </c>
      <c r="K35" s="47" t="n">
        <f aca="false">Unit_Cost!K31</f>
        <v>1.05031659376095</v>
      </c>
      <c r="L35" s="47" t="n">
        <f aca="false">Unit_Cost!L31</f>
        <v>0.264921171426474</v>
      </c>
      <c r="M35" s="47" t="n">
        <f aca="false">Unit_Cost!M31</f>
        <v>0.343706205925063</v>
      </c>
      <c r="N35" s="47" t="n">
        <f aca="false">Unit_Cost!N31</f>
        <v>0.556901651388943</v>
      </c>
      <c r="O35" s="47" t="n">
        <f aca="false">Unit_Cost!O31</f>
        <v>0.202306055290649</v>
      </c>
      <c r="P35" s="47" t="n">
        <f aca="false">Unit_Cost!P31</f>
        <v>0.311028821579961</v>
      </c>
      <c r="Q35" s="47" t="n">
        <f aca="false">Unit_Cost!Q31</f>
        <v>0.570102300092905</v>
      </c>
    </row>
    <row r="36" customFormat="false" ht="15" hidden="false" customHeight="true" outlineLevel="0" collapsed="false">
      <c r="A36" s="35" t="s">
        <v>1867</v>
      </c>
      <c r="B36" s="35" t="s">
        <v>758</v>
      </c>
      <c r="C36" s="37" t="n">
        <f aca="false">Unit_Cost!C35</f>
        <v>1.40736184532802</v>
      </c>
      <c r="D36" s="37" t="n">
        <f aca="false">Unit_Cost!D35</f>
        <v>1.95421435787269</v>
      </c>
      <c r="E36" s="37" t="n">
        <f aca="false">Unit_Cost!E35</f>
        <v>3.37551502530559</v>
      </c>
      <c r="F36" s="37" t="n">
        <f aca="false">Unit_Cost!F35</f>
        <v>0.336348196250968</v>
      </c>
      <c r="G36" s="37" t="n">
        <f aca="false">Unit_Cost!G35</f>
        <v>0.435066389128565</v>
      </c>
      <c r="H36" s="37" t="n">
        <f aca="false">Unit_Cost!H35</f>
        <v>0.705961882511757</v>
      </c>
      <c r="I36" s="37" t="n">
        <f aca="false">Unit_Cost!I35</f>
        <v>0.297082763176056</v>
      </c>
      <c r="J36" s="37" t="n">
        <f aca="false">Unit_Cost!J35</f>
        <v>0.418001393454129</v>
      </c>
      <c r="K36" s="37" t="n">
        <f aca="false">Unit_Cost!K35</f>
        <v>0.79040549930603</v>
      </c>
      <c r="L36" s="37" t="n">
        <f aca="false">Unit_Cost!L35</f>
        <v>0.205951908386139</v>
      </c>
      <c r="M36" s="37" t="n">
        <f aca="false">Unit_Cost!M35</f>
        <v>0.256630660034907</v>
      </c>
      <c r="N36" s="37" t="n">
        <f aca="false">Unit_Cost!N35</f>
        <v>0.417103171412575</v>
      </c>
      <c r="O36" s="37" t="n">
        <f aca="false">Unit_Cost!O35</f>
        <v>0.157454667010676</v>
      </c>
      <c r="P36" s="37" t="n">
        <f aca="false">Unit_Cost!P35</f>
        <v>0.233222733655499</v>
      </c>
      <c r="Q36" s="37" t="n">
        <f aca="false">Unit_Cost!Q35</f>
        <v>0.431521995317274</v>
      </c>
    </row>
    <row r="37" customFormat="false" ht="15" hidden="false" customHeight="true" outlineLevel="0" collapsed="false">
      <c r="A37" s="35" t="s">
        <v>1868</v>
      </c>
      <c r="B37" s="35" t="s">
        <v>774</v>
      </c>
      <c r="C37" s="42" t="n">
        <f aca="false">INDEX(Perf!$C$117:$Q$117,3*(Unit_Cost!C$6-1)+2)</f>
        <v>0.925893744132461</v>
      </c>
      <c r="D37" s="42" t="n">
        <f aca="false">INDEX(Perf!$C$117:$Q$117,3*(Unit_Cost!D$6-1)+2)</f>
        <v>0.925893744132461</v>
      </c>
      <c r="E37" s="42" t="n">
        <f aca="false">INDEX(Perf!$C$117:$Q$117,3*(Unit_Cost!E$6-1)+2)</f>
        <v>0.925893744132461</v>
      </c>
      <c r="F37" s="42" t="n">
        <f aca="false">INDEX(Perf!$C$117:$Q$117,3*(Unit_Cost!F$6-1)+2)</f>
        <v>4.48658290896209</v>
      </c>
      <c r="G37" s="42" t="n">
        <f aca="false">INDEX(Perf!$C$117:$Q$117,3*(Unit_Cost!G$6-1)+2)</f>
        <v>4.48658290896209</v>
      </c>
      <c r="H37" s="42" t="n">
        <f aca="false">INDEX(Perf!$C$117:$Q$117,3*(Unit_Cost!H$6-1)+2)</f>
        <v>4.48658290896209</v>
      </c>
      <c r="I37" s="42" t="n">
        <f aca="false">INDEX(Perf!$C$117:$Q$117,3*(Unit_Cost!I$6-1)+2)</f>
        <v>6.5319368821654</v>
      </c>
      <c r="J37" s="42" t="n">
        <f aca="false">INDEX(Perf!$C$117:$Q$117,3*(Unit_Cost!J$6-1)+2)</f>
        <v>6.5319368821654</v>
      </c>
      <c r="K37" s="42" t="n">
        <f aca="false">INDEX(Perf!$C$117:$Q$117,3*(Unit_Cost!K$6-1)+2)</f>
        <v>6.5319368821654</v>
      </c>
      <c r="L37" s="42" t="n">
        <f aca="false">INDEX(Perf!$C$117:$Q$117,3*(Unit_Cost!L$6-1)+2)</f>
        <v>10.2254558466635</v>
      </c>
      <c r="M37" s="42" t="n">
        <f aca="false">INDEX(Perf!$C$117:$Q$117,3*(Unit_Cost!M$6-1)+2)</f>
        <v>10.2254558466635</v>
      </c>
      <c r="N37" s="42" t="n">
        <f aca="false">INDEX(Perf!$C$117:$Q$117,3*(Unit_Cost!N$6-1)+2)</f>
        <v>10.2254558466635</v>
      </c>
      <c r="O37" s="42" t="n">
        <f aca="false">INDEX(Perf!$C$117:$Q$117,3*(Unit_Cost!O$6-1)+2)</f>
        <v>14.0579533548284</v>
      </c>
      <c r="P37" s="42" t="n">
        <f aca="false">INDEX(Perf!$C$117:$Q$117,3*(Unit_Cost!P$6-1)+2)</f>
        <v>14.0579533548284</v>
      </c>
      <c r="Q37" s="42" t="n">
        <f aca="false">INDEX(Perf!$C$117:$Q$117,3*(Unit_Cost!Q$6-1)+2)</f>
        <v>14.0579533548284</v>
      </c>
    </row>
    <row r="38" customFormat="false" ht="15" hidden="false" customHeight="true" outlineLevel="0" collapsed="false">
      <c r="A38" s="8" t="s">
        <v>221</v>
      </c>
    </row>
    <row r="39" customFormat="false" ht="15" hidden="false" customHeight="true" outlineLevel="0" collapsed="false">
      <c r="A39" s="34" t="s">
        <v>1869</v>
      </c>
      <c r="B39" s="35" t="s">
        <v>330</v>
      </c>
      <c r="C39" s="40" t="n">
        <f aca="false">INDEX(Perf!$C$95:$Q$95,3*(Unit_Cost!C$6-1)+3)</f>
        <v>5478.1224112239</v>
      </c>
      <c r="D39" s="40" t="n">
        <f aca="false">INDEX(Perf!$C$95:$Q$95,3*(Unit_Cost!D$6-1)+3)</f>
        <v>5478.1224112239</v>
      </c>
      <c r="E39" s="40" t="n">
        <f aca="false">INDEX(Perf!$C$95:$Q$95,3*(Unit_Cost!E$6-1)+3)</f>
        <v>5478.1224112239</v>
      </c>
      <c r="F39" s="40" t="n">
        <f aca="false">INDEX(Perf!$C$95:$Q$95,3*(Unit_Cost!F$6-1)+3)</f>
        <v>91192.7873461663</v>
      </c>
      <c r="G39" s="40" t="n">
        <f aca="false">INDEX(Perf!$C$95:$Q$95,3*(Unit_Cost!G$6-1)+3)</f>
        <v>91192.7873461663</v>
      </c>
      <c r="H39" s="40" t="n">
        <f aca="false">INDEX(Perf!$C$95:$Q$95,3*(Unit_Cost!H$6-1)+3)</f>
        <v>91192.7873461663</v>
      </c>
      <c r="I39" s="40" t="n">
        <f aca="false">INDEX(Perf!$C$95:$Q$95,3*(Unit_Cost!I$6-1)+3)</f>
        <v>113610.678728985</v>
      </c>
      <c r="J39" s="40" t="n">
        <f aca="false">INDEX(Perf!$C$95:$Q$95,3*(Unit_Cost!J$6-1)+3)</f>
        <v>113610.678728985</v>
      </c>
      <c r="K39" s="40" t="n">
        <f aca="false">INDEX(Perf!$C$95:$Q$95,3*(Unit_Cost!K$6-1)+3)</f>
        <v>113610.678728985</v>
      </c>
      <c r="L39" s="40" t="n">
        <f aca="false">INDEX(Perf!$C$95:$Q$95,3*(Unit_Cost!L$6-1)+3)</f>
        <v>400425.262990618</v>
      </c>
      <c r="M39" s="40" t="n">
        <f aca="false">INDEX(Perf!$C$95:$Q$95,3*(Unit_Cost!M$6-1)+3)</f>
        <v>400425.262990618</v>
      </c>
      <c r="N39" s="40" t="n">
        <f aca="false">INDEX(Perf!$C$95:$Q$95,3*(Unit_Cost!N$6-1)+3)</f>
        <v>400425.262990618</v>
      </c>
      <c r="O39" s="40" t="n">
        <f aca="false">INDEX(Perf!$C$95:$Q$95,3*(Unit_Cost!O$6-1)+3)</f>
        <v>872177.01955352</v>
      </c>
      <c r="P39" s="40" t="n">
        <f aca="false">INDEX(Perf!$C$95:$Q$95,3*(Unit_Cost!P$6-1)+3)</f>
        <v>872177.01955352</v>
      </c>
      <c r="Q39" s="40" t="n">
        <f aca="false">INDEX(Perf!$C$95:$Q$95,3*(Unit_Cost!Q$6-1)+3)</f>
        <v>872177.01955352</v>
      </c>
    </row>
    <row r="40" customFormat="false" ht="15" hidden="false" customHeight="true" outlineLevel="0" collapsed="false">
      <c r="A40" s="34" t="s">
        <v>1870</v>
      </c>
      <c r="B40" s="35" t="s">
        <v>330</v>
      </c>
      <c r="C40" s="40" t="n">
        <f aca="false">INDEX(Perf!$C$96:$Q$96,3*(Unit_Cost!C$6-1)+3)</f>
        <v>608.680267913767</v>
      </c>
      <c r="D40" s="40" t="n">
        <f aca="false">INDEX(Perf!$C$96:$Q$96,3*(Unit_Cost!D$6-1)+3)</f>
        <v>608.680267913767</v>
      </c>
      <c r="E40" s="40" t="n">
        <f aca="false">INDEX(Perf!$C$96:$Q$96,3*(Unit_Cost!E$6-1)+3)</f>
        <v>608.680267913767</v>
      </c>
      <c r="F40" s="40" t="n">
        <f aca="false">INDEX(Perf!$C$96:$Q$96,3*(Unit_Cost!F$6-1)+3)</f>
        <v>10132.5319273518</v>
      </c>
      <c r="G40" s="40" t="n">
        <f aca="false">INDEX(Perf!$C$96:$Q$96,3*(Unit_Cost!G$6-1)+3)</f>
        <v>10132.5319273518</v>
      </c>
      <c r="H40" s="40" t="n">
        <f aca="false">INDEX(Perf!$C$96:$Q$96,3*(Unit_Cost!H$6-1)+3)</f>
        <v>10132.5319273518</v>
      </c>
      <c r="I40" s="40" t="n">
        <f aca="false">INDEX(Perf!$C$96:$Q$96,3*(Unit_Cost!I$6-1)+3)</f>
        <v>12623.408747665</v>
      </c>
      <c r="J40" s="40" t="n">
        <f aca="false">INDEX(Perf!$C$96:$Q$96,3*(Unit_Cost!J$6-1)+3)</f>
        <v>12623.408747665</v>
      </c>
      <c r="K40" s="40" t="n">
        <f aca="false">INDEX(Perf!$C$96:$Q$96,3*(Unit_Cost!K$6-1)+3)</f>
        <v>12623.408747665</v>
      </c>
      <c r="L40" s="40" t="n">
        <f aca="false">INDEX(Perf!$C$96:$Q$96,3*(Unit_Cost!L$6-1)+3)</f>
        <v>44491.6958878465</v>
      </c>
      <c r="M40" s="40" t="n">
        <f aca="false">INDEX(Perf!$C$96:$Q$96,3*(Unit_Cost!M$6-1)+3)</f>
        <v>44491.6958878465</v>
      </c>
      <c r="N40" s="40" t="n">
        <f aca="false">INDEX(Perf!$C$96:$Q$96,3*(Unit_Cost!N$6-1)+3)</f>
        <v>44491.6958878465</v>
      </c>
      <c r="O40" s="40" t="n">
        <f aca="false">INDEX(Perf!$C$96:$Q$96,3*(Unit_Cost!O$6-1)+3)</f>
        <v>96908.5577281689</v>
      </c>
      <c r="P40" s="40" t="n">
        <f aca="false">INDEX(Perf!$C$96:$Q$96,3*(Unit_Cost!P$6-1)+3)</f>
        <v>96908.5577281689</v>
      </c>
      <c r="Q40" s="40" t="n">
        <f aca="false">INDEX(Perf!$C$96:$Q$96,3*(Unit_Cost!Q$6-1)+3)</f>
        <v>96908.5577281689</v>
      </c>
    </row>
    <row r="41" customFormat="false" ht="15" hidden="false" customHeight="true" outlineLevel="0" collapsed="false">
      <c r="A41" s="34" t="s">
        <v>1871</v>
      </c>
      <c r="B41" s="35" t="s">
        <v>750</v>
      </c>
      <c r="C41" s="171" t="n">
        <f aca="false">INDEX(Perf!$C$98:$Q$98,3*(Unit_Cost!C$6-1)+3)</f>
        <v>3876518295.93805</v>
      </c>
      <c r="D41" s="171" t="n">
        <f aca="false">INDEX(Perf!$C$98:$Q$98,3*(Unit_Cost!D$6-1)+3)</f>
        <v>3876518295.93805</v>
      </c>
      <c r="E41" s="171" t="n">
        <f aca="false">INDEX(Perf!$C$98:$Q$98,3*(Unit_Cost!E$6-1)+3)</f>
        <v>3876518295.93805</v>
      </c>
      <c r="F41" s="171" t="n">
        <f aca="false">INDEX(Perf!$C$98:$Q$98,3*(Unit_Cost!F$6-1)+3)</f>
        <v>20041838664.2467</v>
      </c>
      <c r="G41" s="171" t="n">
        <f aca="false">INDEX(Perf!$C$98:$Q$98,3*(Unit_Cost!G$6-1)+3)</f>
        <v>20041838664.2467</v>
      </c>
      <c r="H41" s="171" t="n">
        <f aca="false">INDEX(Perf!$C$98:$Q$98,3*(Unit_Cost!H$6-1)+3)</f>
        <v>20041838664.2467</v>
      </c>
      <c r="I41" s="171" t="n">
        <f aca="false">INDEX(Perf!$C$98:$Q$98,3*(Unit_Cost!I$6-1)+3)</f>
        <v>24234237528.7831</v>
      </c>
      <c r="J41" s="171" t="n">
        <f aca="false">INDEX(Perf!$C$98:$Q$98,3*(Unit_Cost!J$6-1)+3)</f>
        <v>24234237528.7831</v>
      </c>
      <c r="K41" s="171" t="n">
        <f aca="false">INDEX(Perf!$C$98:$Q$98,3*(Unit_Cost!K$6-1)+3)</f>
        <v>24234237528.7831</v>
      </c>
      <c r="L41" s="171" t="n">
        <f aca="false">INDEX(Perf!$C$98:$Q$98,3*(Unit_Cost!L$6-1)+3)</f>
        <v>51167890551.5595</v>
      </c>
      <c r="M41" s="171" t="n">
        <f aca="false">INDEX(Perf!$C$98:$Q$98,3*(Unit_Cost!M$6-1)+3)</f>
        <v>51167890551.5595</v>
      </c>
      <c r="N41" s="171" t="n">
        <f aca="false">INDEX(Perf!$C$98:$Q$98,3*(Unit_Cost!N$6-1)+3)</f>
        <v>51167890551.5595</v>
      </c>
      <c r="O41" s="171" t="n">
        <f aca="false">INDEX(Perf!$C$98:$Q$98,3*(Unit_Cost!O$6-1)+3)</f>
        <v>74400955991.7707</v>
      </c>
      <c r="P41" s="171" t="n">
        <f aca="false">INDEX(Perf!$C$98:$Q$98,3*(Unit_Cost!P$6-1)+3)</f>
        <v>74400955991.7707</v>
      </c>
      <c r="Q41" s="171" t="n">
        <f aca="false">INDEX(Perf!$C$98:$Q$98,3*(Unit_Cost!Q$6-1)+3)</f>
        <v>74400955991.7707</v>
      </c>
    </row>
    <row r="42" customFormat="false" ht="15" hidden="false" customHeight="true" outlineLevel="0" collapsed="false">
      <c r="A42" s="35" t="s">
        <v>1872</v>
      </c>
      <c r="B42" s="35" t="s">
        <v>75</v>
      </c>
      <c r="C42" s="172" t="n">
        <f aca="false">INDEX(Perf!$C$120:$Q$120,3*(Unit_Cost!C$6-1)+3)</f>
        <v>0.075760760393901</v>
      </c>
      <c r="D42" s="172" t="n">
        <f aca="false">INDEX(Perf!$C$120:$Q$120,3*(Unit_Cost!D$6-1)+3)</f>
        <v>0.075760760393901</v>
      </c>
      <c r="E42" s="172" t="n">
        <f aca="false">INDEX(Perf!$C$120:$Q$120,3*(Unit_Cost!E$6-1)+3)</f>
        <v>0.075760760393901</v>
      </c>
      <c r="F42" s="172" t="n">
        <f aca="false">INDEX(Perf!$C$120:$Q$120,3*(Unit_Cost!F$6-1)+3)</f>
        <v>0.39168780358556</v>
      </c>
      <c r="G42" s="172" t="n">
        <f aca="false">INDEX(Perf!$C$120:$Q$120,3*(Unit_Cost!G$6-1)+3)</f>
        <v>0.39168780358556</v>
      </c>
      <c r="H42" s="172" t="n">
        <f aca="false">INDEX(Perf!$C$120:$Q$120,3*(Unit_Cost!H$6-1)+3)</f>
        <v>0.39168780358556</v>
      </c>
      <c r="I42" s="172" t="n">
        <f aca="false">INDEX(Perf!$C$120:$Q$120,3*(Unit_Cost!I$6-1)+3)</f>
        <v>0.473621977915297</v>
      </c>
      <c r="J42" s="172" t="n">
        <f aca="false">INDEX(Perf!$C$120:$Q$120,3*(Unit_Cost!J$6-1)+3)</f>
        <v>0.473621977915297</v>
      </c>
      <c r="K42" s="172" t="n">
        <f aca="false">INDEX(Perf!$C$120:$Q$120,3*(Unit_Cost!K$6-1)+3)</f>
        <v>0.473621977915297</v>
      </c>
      <c r="L42" s="172" t="n">
        <f aca="false">INDEX(Perf!$C$120:$Q$120,3*(Unit_Cost!L$6-1)+3)</f>
        <v>1</v>
      </c>
      <c r="M42" s="172" t="n">
        <f aca="false">INDEX(Perf!$C$120:$Q$120,3*(Unit_Cost!M$6-1)+3)</f>
        <v>1</v>
      </c>
      <c r="N42" s="172" t="n">
        <f aca="false">INDEX(Perf!$C$120:$Q$120,3*(Unit_Cost!N$6-1)+3)</f>
        <v>1</v>
      </c>
      <c r="O42" s="172" t="n">
        <f aca="false">INDEX(Perf!$C$120:$Q$120,3*(Unit_Cost!O$6-1)+3)</f>
        <v>1.4540555647257</v>
      </c>
      <c r="P42" s="172" t="n">
        <f aca="false">INDEX(Perf!$C$120:$Q$120,3*(Unit_Cost!P$6-1)+3)</f>
        <v>1.4540555647257</v>
      </c>
      <c r="Q42" s="172" t="n">
        <f aca="false">INDEX(Perf!$C$120:$Q$120,3*(Unit_Cost!Q$6-1)+3)</f>
        <v>1.4540555647257</v>
      </c>
    </row>
    <row r="43" customFormat="false" ht="15" hidden="false" customHeight="true" outlineLevel="0" collapsed="false">
      <c r="A43" s="34" t="s">
        <v>1873</v>
      </c>
      <c r="B43" s="35" t="s">
        <v>758</v>
      </c>
      <c r="C43" s="37" t="n">
        <f aca="false">Unit_Cost!C42</f>
        <v>0.458985762161673</v>
      </c>
      <c r="D43" s="37" t="n">
        <f aca="false">Unit_Cost!D42</f>
        <v>0.661971089757736</v>
      </c>
      <c r="E43" s="37" t="n">
        <f aca="false">Unit_Cost!E42</f>
        <v>1.14129198914661</v>
      </c>
      <c r="F43" s="37" t="n">
        <f aca="false">Unit_Cost!F42</f>
        <v>0.0632257988615471</v>
      </c>
      <c r="G43" s="37" t="n">
        <f aca="false">Unit_Cost!G42</f>
        <v>0.0851061866298072</v>
      </c>
      <c r="H43" s="37" t="n">
        <f aca="false">Unit_Cost!H42</f>
        <v>0.138457009695942</v>
      </c>
      <c r="I43" s="37" t="n">
        <f aca="false">Unit_Cost!I42</f>
        <v>0.0555025485911051</v>
      </c>
      <c r="J43" s="37" t="n">
        <f aca="false">Unit_Cost!J42</f>
        <v>0.0811091845387063</v>
      </c>
      <c r="K43" s="37" t="n">
        <f aca="false">Unit_Cost!K42</f>
        <v>0.152162393056257</v>
      </c>
      <c r="L43" s="37" t="n">
        <f aca="false">Unit_Cost!L42</f>
        <v>0.044856651194314</v>
      </c>
      <c r="M43" s="37" t="n">
        <f aca="false">Unit_Cost!M42</f>
        <v>0.0581965922522752</v>
      </c>
      <c r="N43" s="37" t="n">
        <f aca="false">Unit_Cost!N42</f>
        <v>0.0942950047796553</v>
      </c>
      <c r="O43" s="37" t="n">
        <f aca="false">Unit_Cost!O42</f>
        <v>0.0356993155394807</v>
      </c>
      <c r="P43" s="37" t="n">
        <f aca="false">Unit_Cost!P42</f>
        <v>0.0548847439465106</v>
      </c>
      <c r="Q43" s="37" t="n">
        <f aca="false">Unit_Cost!Q42</f>
        <v>0.100601348148283</v>
      </c>
    </row>
    <row r="44" customFormat="false" ht="15" hidden="false" customHeight="true" outlineLevel="0" collapsed="false">
      <c r="A44" s="34" t="s">
        <v>1874</v>
      </c>
      <c r="B44" s="35" t="s">
        <v>758</v>
      </c>
      <c r="C44" s="173" t="n">
        <f aca="false">Unit_Cost!C43</f>
        <v>0.000178058670640044</v>
      </c>
      <c r="D44" s="173" t="n">
        <f aca="false">Unit_Cost!D43</f>
        <v>0.000256804681019464</v>
      </c>
      <c r="E44" s="173" t="n">
        <f aca="false">Unit_Cost!E43</f>
        <v>0.000442752153013402</v>
      </c>
      <c r="F44" s="173" t="n">
        <f aca="false">Unit_Cost!F43</f>
        <v>0.000248005862262775</v>
      </c>
      <c r="G44" s="173" t="n">
        <f aca="false">Unit_Cost!G43</f>
        <v>0.000333832605978488</v>
      </c>
      <c r="H44" s="173" t="n">
        <f aca="false">Unit_Cost!H43</f>
        <v>0.000543103459256589</v>
      </c>
      <c r="I44" s="173" t="n">
        <f aca="false">Unit_Cost!I43</f>
        <v>0.00032656663108191</v>
      </c>
      <c r="J44" s="173" t="n">
        <f aca="false">Unit_Cost!J43</f>
        <v>0.000477231295084189</v>
      </c>
      <c r="K44" s="173" t="n">
        <f aca="false">Unit_Cost!K43</f>
        <v>0.000895295105163995</v>
      </c>
      <c r="L44" s="173" t="n">
        <f aca="false">Unit_Cost!L43</f>
        <v>0.000615832370692479</v>
      </c>
      <c r="M44" s="173" t="n">
        <f aca="false">Unit_Cost!M43</f>
        <v>0.000798975055397919</v>
      </c>
      <c r="N44" s="173" t="n">
        <f aca="false">Unit_Cost!N43</f>
        <v>0.00129456646432123</v>
      </c>
      <c r="O44" s="173" t="n">
        <f aca="false">Unit_Cost!O43</f>
        <v>0.000980224494492091</v>
      </c>
      <c r="P44" s="173" t="n">
        <f aca="false">Unit_Cost!P43</f>
        <v>0.00150701405831712</v>
      </c>
      <c r="Q44" s="173" t="n">
        <f aca="false">Unit_Cost!Q43</f>
        <v>0.00276229121325355</v>
      </c>
    </row>
    <row r="45" customFormat="false" ht="15" hidden="false" customHeight="true" outlineLevel="0" collapsed="false">
      <c r="A45" s="35" t="s">
        <v>1875</v>
      </c>
      <c r="B45" s="35" t="s">
        <v>758</v>
      </c>
      <c r="C45" s="47" t="n">
        <f aca="false">Unit_Cost!C44</f>
        <v>12.5799112589712</v>
      </c>
      <c r="D45" s="47" t="n">
        <f aca="false">Unit_Cost!D44</f>
        <v>18.1433461594468</v>
      </c>
      <c r="E45" s="47" t="n">
        <f aca="false">Unit_Cost!E44</f>
        <v>31.2806041660653</v>
      </c>
      <c r="F45" s="47" t="n">
        <f aca="false">Unit_Cost!F44</f>
        <v>2.55371841545571</v>
      </c>
      <c r="G45" s="47" t="n">
        <f aca="false">Unit_Cost!G44</f>
        <v>3.43747710553532</v>
      </c>
      <c r="H45" s="47" t="n">
        <f aca="false">Unit_Cost!H44</f>
        <v>5.59234081302371</v>
      </c>
      <c r="I45" s="47" t="n">
        <f aca="false">Unit_Cost!I44</f>
        <v>2.78972017225788</v>
      </c>
      <c r="J45" s="47" t="n">
        <f aca="false">Unit_Cost!J44</f>
        <v>4.07678447218689</v>
      </c>
      <c r="K45" s="47" t="n">
        <f aca="false">Unit_Cost!K44</f>
        <v>7.64812622381274</v>
      </c>
      <c r="L45" s="47" t="n">
        <f aca="false">Unit_Cost!L44</f>
        <v>1.37133586956278</v>
      </c>
      <c r="M45" s="47" t="n">
        <f aca="false">Unit_Cost!M44</f>
        <v>1.77915810291208</v>
      </c>
      <c r="N45" s="47" t="n">
        <f aca="false">Unit_Cost!N44</f>
        <v>2.88274133115239</v>
      </c>
      <c r="O45" s="47" t="n">
        <f aca="false">Unit_Cost!O44</f>
        <v>0.978773295038209</v>
      </c>
      <c r="P45" s="47" t="n">
        <f aca="false">Unit_Cost!P44</f>
        <v>1.50478295922634</v>
      </c>
      <c r="Q45" s="47" t="n">
        <f aca="false">Unit_Cost!Q44</f>
        <v>2.75820170567374</v>
      </c>
    </row>
    <row r="46" customFormat="false" ht="15" hidden="false" customHeight="true" outlineLevel="0" collapsed="false">
      <c r="A46" s="35" t="s">
        <v>1876</v>
      </c>
      <c r="B46" s="35" t="s">
        <v>758</v>
      </c>
      <c r="C46" s="37" t="n">
        <f aca="false">Unit_Cost!C48</f>
        <v>9.70259626143025</v>
      </c>
      <c r="D46" s="37" t="n">
        <f aca="false">Unit_Cost!D48</f>
        <v>13.472692176268</v>
      </c>
      <c r="E46" s="37" t="n">
        <f aca="false">Unit_Cost!E48</f>
        <v>23.2713850909453</v>
      </c>
      <c r="F46" s="37" t="n">
        <f aca="false">Unit_Cost!F48</f>
        <v>1.96813501912094</v>
      </c>
      <c r="G46" s="37" t="n">
        <f aca="false">Unit_Cost!G48</f>
        <v>2.54578263130485</v>
      </c>
      <c r="H46" s="37" t="n">
        <f aca="false">Unit_Cost!H48</f>
        <v>4.13092241499403</v>
      </c>
      <c r="I46" s="37" t="n">
        <f aca="false">Unit_Cost!I48</f>
        <v>2.16327770615674</v>
      </c>
      <c r="J46" s="37" t="n">
        <f aca="false">Unit_Cost!J48</f>
        <v>3.04377502731754</v>
      </c>
      <c r="K46" s="37" t="n">
        <f aca="false">Unit_Cost!K48</f>
        <v>5.75552272771587</v>
      </c>
      <c r="L46" s="37" t="n">
        <f aca="false">Unit_Cost!L48</f>
        <v>1.06608783984335</v>
      </c>
      <c r="M46" s="37" t="n">
        <f aca="false">Unit_Cost!M48</f>
        <v>1.32842093155666</v>
      </c>
      <c r="N46" s="37" t="n">
        <f aca="false">Unit_Cost!N48</f>
        <v>2.15908957818121</v>
      </c>
      <c r="O46" s="37" t="n">
        <f aca="false">Unit_Cost!O48</f>
        <v>0.761778598410081</v>
      </c>
      <c r="P46" s="37" t="n">
        <f aca="false">Unit_Cost!P48</f>
        <v>1.12835072173128</v>
      </c>
      <c r="Q46" s="37" t="n">
        <f aca="false">Unit_Cost!Q48</f>
        <v>2.08773882042904</v>
      </c>
    </row>
    <row r="47" customFormat="false" ht="15" hidden="false" customHeight="true" outlineLevel="0" collapsed="false">
      <c r="A47" s="35" t="s">
        <v>1877</v>
      </c>
      <c r="B47" s="35" t="s">
        <v>774</v>
      </c>
      <c r="C47" s="42" t="n">
        <f aca="false">INDEX(Perf!$C$117:$Q$117,3*(Unit_Cost!C$6-1)+3)</f>
        <v>0.16701592717146</v>
      </c>
      <c r="D47" s="42" t="n">
        <f aca="false">INDEX(Perf!$C$117:$Q$117,3*(Unit_Cost!D$6-1)+3)</f>
        <v>0.16701592717146</v>
      </c>
      <c r="E47" s="42" t="n">
        <f aca="false">INDEX(Perf!$C$117:$Q$117,3*(Unit_Cost!E$6-1)+3)</f>
        <v>0.16701592717146</v>
      </c>
      <c r="F47" s="42" t="n">
        <f aca="false">INDEX(Perf!$C$117:$Q$117,3*(Unit_Cost!F$6-1)+3)</f>
        <v>0.863568061990211</v>
      </c>
      <c r="G47" s="42" t="n">
        <f aca="false">INDEX(Perf!$C$117:$Q$117,3*(Unit_Cost!G$6-1)+3)</f>
        <v>0.863568061990211</v>
      </c>
      <c r="H47" s="42" t="n">
        <f aca="false">INDEX(Perf!$C$117:$Q$117,3*(Unit_Cost!H$6-1)+3)</f>
        <v>0.863568061990211</v>
      </c>
      <c r="I47" s="42" t="n">
        <f aca="false">INDEX(Perf!$C$117:$Q$117,3*(Unit_Cost!I$6-1)+3)</f>
        <v>1.0442157971414</v>
      </c>
      <c r="J47" s="42" t="n">
        <f aca="false">INDEX(Perf!$C$117:$Q$117,3*(Unit_Cost!J$6-1)+3)</f>
        <v>1.0442157971414</v>
      </c>
      <c r="K47" s="42" t="n">
        <f aca="false">INDEX(Perf!$C$117:$Q$117,3*(Unit_Cost!K$6-1)+3)</f>
        <v>1.0442157971414</v>
      </c>
      <c r="L47" s="42" t="n">
        <f aca="false">INDEX(Perf!$C$117:$Q$117,3*(Unit_Cost!L$6-1)+3)</f>
        <v>2.20498492836244</v>
      </c>
      <c r="M47" s="42" t="n">
        <f aca="false">INDEX(Perf!$C$117:$Q$117,3*(Unit_Cost!M$6-1)+3)</f>
        <v>2.20498492836244</v>
      </c>
      <c r="N47" s="42" t="n">
        <f aca="false">INDEX(Perf!$C$117:$Q$117,3*(Unit_Cost!N$6-1)+3)</f>
        <v>2.20498492836244</v>
      </c>
      <c r="O47" s="42" t="n">
        <f aca="false">INDEX(Perf!$C$117:$Q$117,3*(Unit_Cost!O$6-1)+3)</f>
        <v>3.20653316012323</v>
      </c>
      <c r="P47" s="42" t="n">
        <f aca="false">INDEX(Perf!$C$117:$Q$117,3*(Unit_Cost!P$6-1)+3)</f>
        <v>3.20653316012323</v>
      </c>
      <c r="Q47" s="42" t="n">
        <f aca="false">INDEX(Perf!$C$117:$Q$117,3*(Unit_Cost!Q$6-1)+3)</f>
        <v>3.20653316012323</v>
      </c>
    </row>
    <row r="48" customFormat="false" ht="15" hidden="false" customHeight="true" outlineLevel="0" collapsed="false">
      <c r="A48" s="34" t="s">
        <v>1878</v>
      </c>
      <c r="B48" s="35" t="s">
        <v>71</v>
      </c>
      <c r="C48" s="174" t="n">
        <f aca="false">Serving!$C$17</f>
        <v>0.6</v>
      </c>
    </row>
    <row r="50" customFormat="false" ht="15" hidden="false" customHeight="true" outlineLevel="0" collapsed="false">
      <c r="A50" s="34" t="s">
        <v>1879</v>
      </c>
      <c r="C50" s="46" t="s">
        <v>1880</v>
      </c>
    </row>
    <row r="52" customFormat="false" ht="15" hidden="false" customHeight="true" outlineLevel="0" collapsed="false">
      <c r="A52" s="33" t="s">
        <v>1881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 customFormat="false" ht="15" hidden="false" customHeight="true" outlineLevel="0" collapsed="false">
      <c r="A53" s="8" t="s">
        <v>219</v>
      </c>
    </row>
    <row r="54" customFormat="false" ht="15" hidden="false" customHeight="true" outlineLevel="0" collapsed="false">
      <c r="A54" s="34" t="s">
        <v>1882</v>
      </c>
      <c r="B54" s="35" t="s">
        <v>972</v>
      </c>
      <c r="C54" s="40" t="n">
        <f aca="false">INDEX(Training!$C$106:$Q$106,3*(Unit_Cost!C$6-1)+1)</f>
        <v>6394168.86869692</v>
      </c>
      <c r="D54" s="40" t="n">
        <f aca="false">INDEX(Training!$C$106:$Q$106,3*(Unit_Cost!D$6-1)+1)</f>
        <v>6394168.86869692</v>
      </c>
      <c r="E54" s="40" t="n">
        <f aca="false">INDEX(Training!$C$106:$Q$106,3*(Unit_Cost!E$6-1)+1)</f>
        <v>6394168.86869692</v>
      </c>
      <c r="F54" s="40" t="n">
        <f aca="false">INDEX(Training!$C$106:$Q$106,3*(Unit_Cost!F$6-1)+1)</f>
        <v>2079780.169416</v>
      </c>
      <c r="G54" s="40" t="n">
        <f aca="false">INDEX(Training!$C$106:$Q$106,3*(Unit_Cost!G$6-1)+1)</f>
        <v>2079780.169416</v>
      </c>
      <c r="H54" s="40" t="n">
        <f aca="false">INDEX(Training!$C$106:$Q$106,3*(Unit_Cost!H$6-1)+1)</f>
        <v>2079780.169416</v>
      </c>
      <c r="I54" s="40" t="n">
        <f aca="false">INDEX(Training!$C$106:$Q$106,3*(Unit_Cost!I$6-1)+1)</f>
        <v>1775249.94775683</v>
      </c>
      <c r="J54" s="40" t="n">
        <f aca="false">INDEX(Training!$C$106:$Q$106,3*(Unit_Cost!J$6-1)+1)</f>
        <v>1775249.94775683</v>
      </c>
      <c r="K54" s="40" t="n">
        <f aca="false">INDEX(Training!$C$106:$Q$106,3*(Unit_Cost!K$6-1)+1)</f>
        <v>1775249.94775683</v>
      </c>
      <c r="L54" s="40" t="n">
        <f aca="false">INDEX(Training!$C$106:$Q$106,3*(Unit_Cost!L$6-1)+1)</f>
        <v>615899.587432172</v>
      </c>
      <c r="M54" s="40" t="n">
        <f aca="false">INDEX(Training!$C$106:$Q$106,3*(Unit_Cost!M$6-1)+1)</f>
        <v>615899.587432172</v>
      </c>
      <c r="N54" s="40" t="n">
        <f aca="false">INDEX(Training!$C$106:$Q$106,3*(Unit_Cost!N$6-1)+1)</f>
        <v>615899.587432172</v>
      </c>
      <c r="O54" s="40" t="n">
        <f aca="false">INDEX(Training!$C$106:$Q$106,3*(Unit_Cost!O$6-1)+1)</f>
        <v>305060.599619606</v>
      </c>
      <c r="P54" s="40" t="n">
        <f aca="false">INDEX(Training!$C$106:$Q$106,3*(Unit_Cost!P$6-1)+1)</f>
        <v>305060.599619606</v>
      </c>
      <c r="Q54" s="40" t="n">
        <f aca="false">INDEX(Training!$C$106:$Q$106,3*(Unit_Cost!Q$6-1)+1)</f>
        <v>305060.599619606</v>
      </c>
    </row>
    <row r="55" customFormat="false" ht="15" hidden="false" customHeight="true" outlineLevel="0" collapsed="false">
      <c r="A55" s="34" t="s">
        <v>1883</v>
      </c>
      <c r="B55" s="35" t="s">
        <v>828</v>
      </c>
      <c r="C55" s="175" t="n">
        <f aca="false">INDEX(Training!$C$106:$Q$106,3*(Unit_Cost!C$6-1)+1)*Unit_Cost!C$8/1000000</f>
        <v>7.1158575538008</v>
      </c>
      <c r="D55" s="175" t="n">
        <f aca="false">INDEX(Training!$C$106:$Q$106,3*(Unit_Cost!D$6-1)+1)*Unit_Cost!D$8/1000000</f>
        <v>10.2628281044394</v>
      </c>
      <c r="E55" s="175" t="n">
        <f aca="false">INDEX(Training!$C$106:$Q$106,3*(Unit_Cost!E$6-1)+1)*Unit_Cost!E$8/1000000</f>
        <v>17.6939502084177</v>
      </c>
      <c r="F55" s="175" t="n">
        <f aca="false">INDEX(Training!$C$106:$Q$106,3*(Unit_Cost!F$6-1)+1)*Unit_Cost!F$8/1000000</f>
        <v>3.22373546395647</v>
      </c>
      <c r="G55" s="175" t="n">
        <f aca="false">INDEX(Training!$C$106:$Q$106,3*(Unit_Cost!G$6-1)+1)*Unit_Cost!G$8/1000000</f>
        <v>4.33936521136578</v>
      </c>
      <c r="H55" s="175" t="n">
        <f aca="false">INDEX(Training!$C$106:$Q$106,3*(Unit_Cost!H$6-1)+1)*Unit_Cost!H$8/1000000</f>
        <v>7.05959877814428</v>
      </c>
      <c r="I55" s="175" t="n">
        <f aca="false">INDEX(Training!$C$106:$Q$106,3*(Unit_Cost!I$6-1)+1)*Unit_Cost!I$8/1000000</f>
        <v>3.62335871729553</v>
      </c>
      <c r="J55" s="175" t="n">
        <f aca="false">INDEX(Training!$C$106:$Q$106,3*(Unit_Cost!J$6-1)+1)*Unit_Cost!J$8/1000000</f>
        <v>5.29503019791332</v>
      </c>
      <c r="K55" s="175" t="n">
        <f aca="false">INDEX(Training!$C$106:$Q$106,3*(Unit_Cost!K$6-1)+1)*Unit_Cost!K$8/1000000</f>
        <v>9.93357867918331</v>
      </c>
      <c r="L55" s="175" t="n">
        <f aca="false">INDEX(Training!$C$106:$Q$106,3*(Unit_Cost!L$6-1)+1)*Unit_Cost!L$8/1000000</f>
        <v>2.37056814398046</v>
      </c>
      <c r="M55" s="175" t="n">
        <f aca="false">INDEX(Training!$C$106:$Q$106,3*(Unit_Cost!M$6-1)+1)*Unit_Cost!M$8/1000000</f>
        <v>3.07555254367609</v>
      </c>
      <c r="N55" s="175" t="n">
        <f aca="false">INDEX(Training!$C$106:$Q$106,3*(Unit_Cost!N$6-1)+1)*Unit_Cost!N$8/1000000</f>
        <v>4.98326844549356</v>
      </c>
      <c r="O55" s="175" t="n">
        <f aca="false">INDEX(Training!$C$106:$Q$106,3*(Unit_Cost!O$6-1)+1)*Unit_Cost!O$8/1000000</f>
        <v>1.86892420032239</v>
      </c>
      <c r="P55" s="175" t="n">
        <f aca="false">INDEX(Training!$C$106:$Q$106,3*(Unit_Cost!P$6-1)+1)*Unit_Cost!P$8/1000000</f>
        <v>2.87331632665873</v>
      </c>
      <c r="Q55" s="175" t="n">
        <f aca="false">INDEX(Training!$C$106:$Q$106,3*(Unit_Cost!Q$6-1)+1)*Unit_Cost!Q$8/1000000</f>
        <v>5.26666383649436</v>
      </c>
    </row>
    <row r="56" customFormat="false" ht="15" hidden="false" customHeight="true" outlineLevel="0" collapsed="false">
      <c r="A56" s="34" t="s">
        <v>1884</v>
      </c>
      <c r="B56" s="35" t="s">
        <v>71</v>
      </c>
      <c r="C56" s="176" t="n">
        <f aca="false">INDEX(Training!$C$110:$Q$110,3*(Unit_Cost!C$6-1)+1)</f>
        <v>0.131230136086418</v>
      </c>
      <c r="D56" s="176" t="n">
        <f aca="false">INDEX(Training!$C$110:$Q$110,3*(Unit_Cost!D$6-1)+1)</f>
        <v>0.131230136086418</v>
      </c>
      <c r="E56" s="176" t="n">
        <f aca="false">INDEX(Training!$C$110:$Q$110,3*(Unit_Cost!E$6-1)+1)</f>
        <v>0.131230136086418</v>
      </c>
      <c r="F56" s="176" t="n">
        <f aca="false">INDEX(Training!$C$110:$Q$110,3*(Unit_Cost!F$6-1)+1)</f>
        <v>0.131230136086418</v>
      </c>
      <c r="G56" s="176" t="n">
        <f aca="false">INDEX(Training!$C$110:$Q$110,3*(Unit_Cost!G$6-1)+1)</f>
        <v>0.131230136086418</v>
      </c>
      <c r="H56" s="176" t="n">
        <f aca="false">INDEX(Training!$C$110:$Q$110,3*(Unit_Cost!H$6-1)+1)</f>
        <v>0.131230136086418</v>
      </c>
      <c r="I56" s="176" t="n">
        <f aca="false">INDEX(Training!$C$110:$Q$110,3*(Unit_Cost!I$6-1)+1)</f>
        <v>0.131230136086418</v>
      </c>
      <c r="J56" s="176" t="n">
        <f aca="false">INDEX(Training!$C$110:$Q$110,3*(Unit_Cost!J$6-1)+1)</f>
        <v>0.131230136086418</v>
      </c>
      <c r="K56" s="176" t="n">
        <f aca="false">INDEX(Training!$C$110:$Q$110,3*(Unit_Cost!K$6-1)+1)</f>
        <v>0.131230136086418</v>
      </c>
      <c r="L56" s="176" t="n">
        <f aca="false">INDEX(Training!$C$110:$Q$110,3*(Unit_Cost!L$6-1)+1)</f>
        <v>0.131230136086418</v>
      </c>
      <c r="M56" s="176" t="n">
        <f aca="false">INDEX(Training!$C$110:$Q$110,3*(Unit_Cost!M$6-1)+1)</f>
        <v>0.131230136086418</v>
      </c>
      <c r="N56" s="176" t="n">
        <f aca="false">INDEX(Training!$C$110:$Q$110,3*(Unit_Cost!N$6-1)+1)</f>
        <v>0.131230136086418</v>
      </c>
      <c r="O56" s="176" t="n">
        <f aca="false">INDEX(Training!$C$110:$Q$110,3*(Unit_Cost!O$6-1)+1)</f>
        <v>0.131230136086418</v>
      </c>
      <c r="P56" s="176" t="n">
        <f aca="false">INDEX(Training!$C$110:$Q$110,3*(Unit_Cost!P$6-1)+1)</f>
        <v>0.131230136086418</v>
      </c>
      <c r="Q56" s="176" t="n">
        <f aca="false">INDEX(Training!$C$110:$Q$110,3*(Unit_Cost!Q$6-1)+1)</f>
        <v>0.131230136086418</v>
      </c>
    </row>
    <row r="57" customFormat="false" ht="15" hidden="false" customHeight="true" outlineLevel="0" collapsed="false">
      <c r="A57" s="34" t="s">
        <v>1885</v>
      </c>
      <c r="B57" s="35" t="s">
        <v>71</v>
      </c>
      <c r="C57" s="177" t="n">
        <f aca="false">INDEX(Training!$C$111:$Q$111,3*(Unit_Cost!C$6-1)+1)</f>
        <v>0.30539979787603</v>
      </c>
      <c r="D57" s="177" t="n">
        <f aca="false">INDEX(Training!$C$111:$Q$111,3*(Unit_Cost!D$6-1)+1)</f>
        <v>0.30539979787603</v>
      </c>
      <c r="E57" s="177" t="n">
        <f aca="false">INDEX(Training!$C$111:$Q$111,3*(Unit_Cost!E$6-1)+1)</f>
        <v>0.30539979787603</v>
      </c>
      <c r="F57" s="177" t="n">
        <f aca="false">INDEX(Training!$C$111:$Q$111,3*(Unit_Cost!F$6-1)+1)</f>
        <v>0.269893093641953</v>
      </c>
      <c r="G57" s="177" t="n">
        <f aca="false">INDEX(Training!$C$111:$Q$111,3*(Unit_Cost!G$6-1)+1)</f>
        <v>0.269893093641953</v>
      </c>
      <c r="H57" s="177" t="n">
        <f aca="false">INDEX(Training!$C$111:$Q$111,3*(Unit_Cost!H$6-1)+1)</f>
        <v>0.269893093641953</v>
      </c>
      <c r="I57" s="177" t="n">
        <f aca="false">INDEX(Training!$C$111:$Q$111,3*(Unit_Cost!I$6-1)+1)</f>
        <v>0.238707389111481</v>
      </c>
      <c r="J57" s="177" t="n">
        <f aca="false">INDEX(Training!$C$111:$Q$111,3*(Unit_Cost!J$6-1)+1)</f>
        <v>0.238707389111481</v>
      </c>
      <c r="K57" s="177" t="n">
        <f aca="false">INDEX(Training!$C$111:$Q$111,3*(Unit_Cost!K$6-1)+1)</f>
        <v>0.238707389111481</v>
      </c>
      <c r="L57" s="177" t="n">
        <f aca="false">INDEX(Training!$C$111:$Q$111,3*(Unit_Cost!L$6-1)+1)</f>
        <v>0.260241308213407</v>
      </c>
      <c r="M57" s="177" t="n">
        <f aca="false">INDEX(Training!$C$111:$Q$111,3*(Unit_Cost!M$6-1)+1)</f>
        <v>0.260241308213407</v>
      </c>
      <c r="N57" s="177" t="n">
        <f aca="false">INDEX(Training!$C$111:$Q$111,3*(Unit_Cost!N$6-1)+1)</f>
        <v>0.260241308213407</v>
      </c>
      <c r="O57" s="177" t="n">
        <f aca="false">INDEX(Training!$C$111:$Q$111,3*(Unit_Cost!O$6-1)+1)</f>
        <v>0.26008816948871</v>
      </c>
      <c r="P57" s="177" t="n">
        <f aca="false">INDEX(Training!$C$111:$Q$111,3*(Unit_Cost!P$6-1)+1)</f>
        <v>0.26008816948871</v>
      </c>
      <c r="Q57" s="177" t="n">
        <f aca="false">INDEX(Training!$C$111:$Q$111,3*(Unit_Cost!Q$6-1)+1)</f>
        <v>0.26008816948871</v>
      </c>
    </row>
    <row r="58" customFormat="false" ht="15" hidden="false" customHeight="true" outlineLevel="0" collapsed="false">
      <c r="A58" s="35" t="s">
        <v>1886</v>
      </c>
      <c r="B58" s="35" t="s">
        <v>71</v>
      </c>
      <c r="C58" s="176" t="n">
        <f aca="false">INDEX(Training!$C$77:$Q$77,3*(Unit_Cost!C$6-1)+1)</f>
        <v>0.0761956076461837</v>
      </c>
      <c r="D58" s="176" t="n">
        <f aca="false">INDEX(Training!$C$77:$Q$77,3*(Unit_Cost!D$6-1)+1)</f>
        <v>0.0761956076461837</v>
      </c>
      <c r="E58" s="176" t="n">
        <f aca="false">INDEX(Training!$C$77:$Q$77,3*(Unit_Cost!E$6-1)+1)</f>
        <v>0.0761956076461837</v>
      </c>
      <c r="F58" s="176" t="n">
        <f aca="false">INDEX(Training!$C$77:$Q$77,3*(Unit_Cost!F$6-1)+1)</f>
        <v>0.0901475818714053</v>
      </c>
      <c r="G58" s="176" t="n">
        <f aca="false">INDEX(Training!$C$77:$Q$77,3*(Unit_Cost!G$6-1)+1)</f>
        <v>0.0901475818714053</v>
      </c>
      <c r="H58" s="176" t="n">
        <f aca="false">INDEX(Training!$C$77:$Q$77,3*(Unit_Cost!H$6-1)+1)</f>
        <v>0.0901475818714053</v>
      </c>
      <c r="I58" s="176" t="n">
        <f aca="false">INDEX(Training!$C$77:$Q$77,3*(Unit_Cost!I$6-1)+1)</f>
        <v>0.106320482312473</v>
      </c>
      <c r="J58" s="176" t="n">
        <f aca="false">INDEX(Training!$C$77:$Q$77,3*(Unit_Cost!J$6-1)+1)</f>
        <v>0.106320482312473</v>
      </c>
      <c r="K58" s="176" t="n">
        <f aca="false">INDEX(Training!$C$77:$Q$77,3*(Unit_Cost!K$6-1)+1)</f>
        <v>0.106320482312473</v>
      </c>
      <c r="L58" s="176" t="n">
        <f aca="false">INDEX(Training!$C$77:$Q$77,3*(Unit_Cost!L$6-1)+1)</f>
        <v>0.0852652005281516</v>
      </c>
      <c r="M58" s="176" t="n">
        <f aca="false">INDEX(Training!$C$77:$Q$77,3*(Unit_Cost!M$6-1)+1)</f>
        <v>0.0852652005281516</v>
      </c>
      <c r="N58" s="176" t="n">
        <f aca="false">INDEX(Training!$C$77:$Q$77,3*(Unit_Cost!N$6-1)+1)</f>
        <v>0.0852652005281516</v>
      </c>
      <c r="O58" s="176" t="n">
        <f aca="false">INDEX(Training!$C$77:$Q$77,3*(Unit_Cost!O$6-1)+1)</f>
        <v>0.0853336117258793</v>
      </c>
      <c r="P58" s="176" t="n">
        <f aca="false">INDEX(Training!$C$77:$Q$77,3*(Unit_Cost!P$6-1)+1)</f>
        <v>0.0853336117258793</v>
      </c>
      <c r="Q58" s="176" t="n">
        <f aca="false">INDEX(Training!$C$77:$Q$77,3*(Unit_Cost!Q$6-1)+1)</f>
        <v>0.0853336117258793</v>
      </c>
    </row>
    <row r="59" customFormat="false" ht="15" hidden="false" customHeight="true" outlineLevel="0" collapsed="false">
      <c r="A59" s="34" t="s">
        <v>1887</v>
      </c>
      <c r="B59" s="35" t="s">
        <v>972</v>
      </c>
      <c r="C59" s="171" t="n">
        <f aca="false">INDEX(Training!$C$120:$Q$120,3*(Unit_Cost!C$6-1)+1)</f>
        <v>51153350.9495753</v>
      </c>
      <c r="D59" s="171" t="n">
        <f aca="false">INDEX(Training!$C$120:$Q$120,3*(Unit_Cost!D$6-1)+1)</f>
        <v>51153350.9495753</v>
      </c>
      <c r="E59" s="171" t="n">
        <f aca="false">INDEX(Training!$C$120:$Q$120,3*(Unit_Cost!E$6-1)+1)</f>
        <v>51153350.9495753</v>
      </c>
      <c r="F59" s="171" t="n">
        <f aca="false">INDEX(Training!$C$120:$Q$120,3*(Unit_Cost!F$6-1)+1)</f>
        <v>16638241.355328</v>
      </c>
      <c r="G59" s="171" t="n">
        <f aca="false">INDEX(Training!$C$120:$Q$120,3*(Unit_Cost!G$6-1)+1)</f>
        <v>16638241.355328</v>
      </c>
      <c r="H59" s="171" t="n">
        <f aca="false">INDEX(Training!$C$120:$Q$120,3*(Unit_Cost!H$6-1)+1)</f>
        <v>16638241.355328</v>
      </c>
      <c r="I59" s="171" t="n">
        <f aca="false">INDEX(Training!$C$120:$Q$120,3*(Unit_Cost!I$6-1)+1)</f>
        <v>14201999.5820546</v>
      </c>
      <c r="J59" s="171" t="n">
        <f aca="false">INDEX(Training!$C$120:$Q$120,3*(Unit_Cost!J$6-1)+1)</f>
        <v>14201999.5820546</v>
      </c>
      <c r="K59" s="171" t="n">
        <f aca="false">INDEX(Training!$C$120:$Q$120,3*(Unit_Cost!K$6-1)+1)</f>
        <v>14201999.5820546</v>
      </c>
      <c r="L59" s="171" t="n">
        <f aca="false">INDEX(Training!$C$120:$Q$120,3*(Unit_Cost!L$6-1)+1)</f>
        <v>4927196.69945737</v>
      </c>
      <c r="M59" s="171" t="n">
        <f aca="false">INDEX(Training!$C$120:$Q$120,3*(Unit_Cost!M$6-1)+1)</f>
        <v>4927196.69945737</v>
      </c>
      <c r="N59" s="171" t="n">
        <f aca="false">INDEX(Training!$C$120:$Q$120,3*(Unit_Cost!N$6-1)+1)</f>
        <v>4927196.69945737</v>
      </c>
      <c r="O59" s="171" t="n">
        <f aca="false">INDEX(Training!$C$120:$Q$120,3*(Unit_Cost!O$6-1)+1)</f>
        <v>2440484.79695685</v>
      </c>
      <c r="P59" s="171" t="n">
        <f aca="false">INDEX(Training!$C$120:$Q$120,3*(Unit_Cost!P$6-1)+1)</f>
        <v>2440484.79695685</v>
      </c>
      <c r="Q59" s="171" t="n">
        <f aca="false">INDEX(Training!$C$120:$Q$120,3*(Unit_Cost!Q$6-1)+1)</f>
        <v>2440484.79695685</v>
      </c>
    </row>
    <row r="60" customFormat="false" ht="15" hidden="false" customHeight="true" outlineLevel="0" collapsed="false">
      <c r="A60" s="34" t="s">
        <v>1888</v>
      </c>
      <c r="B60" s="35" t="s">
        <v>828</v>
      </c>
      <c r="C60" s="171" t="n">
        <f aca="false">INDEX(Training!$C$120:$Q$120,3*(Unit_Cost!C$6-1)+1)*Unit_Cost!C$8/1000000</f>
        <v>56.9268604304064</v>
      </c>
      <c r="D60" s="171" t="n">
        <f aca="false">INDEX(Training!$C$120:$Q$120,3*(Unit_Cost!D$6-1)+1)*Unit_Cost!D$8/1000000</f>
        <v>82.1026248355149</v>
      </c>
      <c r="E60" s="171" t="n">
        <f aca="false">INDEX(Training!$C$120:$Q$120,3*(Unit_Cost!E$6-1)+1)*Unit_Cost!E$8/1000000</f>
        <v>141.551601667341</v>
      </c>
      <c r="F60" s="171" t="n">
        <f aca="false">INDEX(Training!$C$120:$Q$120,3*(Unit_Cost!F$6-1)+1)*Unit_Cost!F$8/1000000</f>
        <v>25.7898837116518</v>
      </c>
      <c r="G60" s="171" t="n">
        <f aca="false">INDEX(Training!$C$120:$Q$120,3*(Unit_Cost!G$6-1)+1)*Unit_Cost!G$8/1000000</f>
        <v>34.7149216909262</v>
      </c>
      <c r="H60" s="171" t="n">
        <f aca="false">INDEX(Training!$C$120:$Q$120,3*(Unit_Cost!H$6-1)+1)*Unit_Cost!H$8/1000000</f>
        <v>56.4767902251543</v>
      </c>
      <c r="I60" s="171" t="n">
        <f aca="false">INDEX(Training!$C$120:$Q$120,3*(Unit_Cost!I$6-1)+1)*Unit_Cost!I$8/1000000</f>
        <v>28.9868697383642</v>
      </c>
      <c r="J60" s="171" t="n">
        <f aca="false">INDEX(Training!$C$120:$Q$120,3*(Unit_Cost!J$6-1)+1)*Unit_Cost!J$8/1000000</f>
        <v>42.3602415833066</v>
      </c>
      <c r="K60" s="171" t="n">
        <f aca="false">INDEX(Training!$C$120:$Q$120,3*(Unit_Cost!K$6-1)+1)*Unit_Cost!K$8/1000000</f>
        <v>79.4686294334665</v>
      </c>
      <c r="L60" s="171" t="n">
        <f aca="false">INDEX(Training!$C$120:$Q$120,3*(Unit_Cost!L$6-1)+1)*Unit_Cost!L$8/1000000</f>
        <v>18.9645451518437</v>
      </c>
      <c r="M60" s="171" t="n">
        <f aca="false">INDEX(Training!$C$120:$Q$120,3*(Unit_Cost!M$6-1)+1)*Unit_Cost!M$8/1000000</f>
        <v>24.6044203494087</v>
      </c>
      <c r="N60" s="171" t="n">
        <f aca="false">INDEX(Training!$C$120:$Q$120,3*(Unit_Cost!N$6-1)+1)*Unit_Cost!N$8/1000000</f>
        <v>39.8661475639485</v>
      </c>
      <c r="O60" s="171" t="n">
        <f aca="false">INDEX(Training!$C$120:$Q$120,3*(Unit_Cost!O$6-1)+1)*Unit_Cost!O$8/1000000</f>
        <v>14.9513936025791</v>
      </c>
      <c r="P60" s="171" t="n">
        <f aca="false">INDEX(Training!$C$120:$Q$120,3*(Unit_Cost!P$6-1)+1)*Unit_Cost!P$8/1000000</f>
        <v>22.9865306132698</v>
      </c>
      <c r="Q60" s="171" t="n">
        <f aca="false">INDEX(Training!$C$120:$Q$120,3*(Unit_Cost!Q$6-1)+1)*Unit_Cost!Q$8/1000000</f>
        <v>42.1333106919549</v>
      </c>
    </row>
    <row r="61" customFormat="false" ht="15" hidden="false" customHeight="true" outlineLevel="0" collapsed="false">
      <c r="A61" s="34" t="s">
        <v>1889</v>
      </c>
      <c r="B61" s="35" t="s">
        <v>71</v>
      </c>
      <c r="C61" s="178" t="n">
        <f aca="false">INDEX(Training!$C$123:$Q$123,3*(Unit_Cost!C$6-1)+1)</f>
        <v>0.00813235831640886</v>
      </c>
      <c r="D61" s="178" t="n">
        <f aca="false">INDEX(Training!$C$123:$Q$123,3*(Unit_Cost!D$6-1)+1)</f>
        <v>0.00813235831640886</v>
      </c>
      <c r="E61" s="178" t="n">
        <f aca="false">INDEX(Training!$C$123:$Q$123,3*(Unit_Cost!E$6-1)+1)</f>
        <v>0.00813235831640886</v>
      </c>
      <c r="F61" s="178" t="n">
        <f aca="false">INDEX(Training!$C$123:$Q$123,3*(Unit_Cost!F$6-1)+1)</f>
        <v>0.00378530041866208</v>
      </c>
      <c r="G61" s="178" t="n">
        <f aca="false">INDEX(Training!$C$123:$Q$123,3*(Unit_Cost!G$6-1)+1)</f>
        <v>0.00378530041866208</v>
      </c>
      <c r="H61" s="178" t="n">
        <f aca="false">INDEX(Training!$C$123:$Q$123,3*(Unit_Cost!H$6-1)+1)</f>
        <v>0.00378530041866208</v>
      </c>
      <c r="I61" s="178" t="n">
        <f aca="false">INDEX(Training!$C$123:$Q$123,3*(Unit_Cost!I$6-1)+1)</f>
        <v>0.00332896549749013</v>
      </c>
      <c r="J61" s="178" t="n">
        <f aca="false">INDEX(Training!$C$123:$Q$123,3*(Unit_Cost!J$6-1)+1)</f>
        <v>0.00332896549749013</v>
      </c>
      <c r="K61" s="178" t="n">
        <f aca="false">INDEX(Training!$C$123:$Q$123,3*(Unit_Cost!K$6-1)+1)</f>
        <v>0.00332896549749013</v>
      </c>
      <c r="L61" s="178" t="n">
        <f aca="false">INDEX(Training!$C$123:$Q$123,3*(Unit_Cost!L$6-1)+1)</f>
        <v>0.00192794154001585</v>
      </c>
      <c r="M61" s="178" t="n">
        <f aca="false">INDEX(Training!$C$123:$Q$123,3*(Unit_Cost!M$6-1)+1)</f>
        <v>0.00192794154001585</v>
      </c>
      <c r="N61" s="178" t="n">
        <f aca="false">INDEX(Training!$C$123:$Q$123,3*(Unit_Cost!N$6-1)+1)</f>
        <v>0.00192794154001585</v>
      </c>
      <c r="O61" s="178" t="n">
        <f aca="false">INDEX(Training!$C$123:$Q$123,3*(Unit_Cost!O$6-1)+1)</f>
        <v>0.00143044852589726</v>
      </c>
      <c r="P61" s="178" t="n">
        <f aca="false">INDEX(Training!$C$123:$Q$123,3*(Unit_Cost!P$6-1)+1)</f>
        <v>0.00143044852589726</v>
      </c>
      <c r="Q61" s="178" t="n">
        <f aca="false">INDEX(Training!$C$123:$Q$123,3*(Unit_Cost!Q$6-1)+1)</f>
        <v>0.00143044852589726</v>
      </c>
    </row>
    <row r="62" customFormat="false" ht="15" hidden="false" customHeight="true" outlineLevel="0" collapsed="false">
      <c r="A62" s="8" t="s">
        <v>220</v>
      </c>
    </row>
    <row r="63" customFormat="false" ht="15" hidden="false" customHeight="true" outlineLevel="0" collapsed="false">
      <c r="A63" s="34" t="s">
        <v>1890</v>
      </c>
      <c r="B63" s="35" t="s">
        <v>972</v>
      </c>
      <c r="C63" s="40" t="n">
        <f aca="false">INDEX(Training!$C$106:$Q$106,3*(Unit_Cost!C$6-1)+2)</f>
        <v>18199062.8050043</v>
      </c>
      <c r="D63" s="40" t="n">
        <f aca="false">INDEX(Training!$C$106:$Q$106,3*(Unit_Cost!D$6-1)+2)</f>
        <v>18199062.8050043</v>
      </c>
      <c r="E63" s="40" t="n">
        <f aca="false">INDEX(Training!$C$106:$Q$106,3*(Unit_Cost!E$6-1)+2)</f>
        <v>18199062.8050043</v>
      </c>
      <c r="F63" s="40" t="n">
        <f aca="false">INDEX(Training!$C$106:$Q$106,3*(Unit_Cost!F$6-1)+2)</f>
        <v>6152335.11648947</v>
      </c>
      <c r="G63" s="40" t="n">
        <f aca="false">INDEX(Training!$C$106:$Q$106,3*(Unit_Cost!G$6-1)+2)</f>
        <v>6152335.11648947</v>
      </c>
      <c r="H63" s="40" t="n">
        <f aca="false">INDEX(Training!$C$106:$Q$106,3*(Unit_Cost!H$6-1)+2)</f>
        <v>6152335.11648947</v>
      </c>
      <c r="I63" s="40" t="n">
        <f aca="false">INDEX(Training!$C$106:$Q$106,3*(Unit_Cost!I$6-1)+2)</f>
        <v>5453953.11066573</v>
      </c>
      <c r="J63" s="40" t="n">
        <f aca="false">INDEX(Training!$C$106:$Q$106,3*(Unit_Cost!J$6-1)+2)</f>
        <v>5453953.11066573</v>
      </c>
      <c r="K63" s="40" t="n">
        <f aca="false">INDEX(Training!$C$106:$Q$106,3*(Unit_Cost!K$6-1)+2)</f>
        <v>5453953.11066573</v>
      </c>
      <c r="L63" s="40" t="n">
        <f aca="false">INDEX(Training!$C$106:$Q$106,3*(Unit_Cost!L$6-1)+2)</f>
        <v>1851030.4972272</v>
      </c>
      <c r="M63" s="40" t="n">
        <f aca="false">INDEX(Training!$C$106:$Q$106,3*(Unit_Cost!M$6-1)+2)</f>
        <v>1851030.4972272</v>
      </c>
      <c r="N63" s="40" t="n">
        <f aca="false">INDEX(Training!$C$106:$Q$106,3*(Unit_Cost!N$6-1)+2)</f>
        <v>1851030.4972272</v>
      </c>
      <c r="O63" s="40" t="n">
        <f aca="false">INDEX(Training!$C$106:$Q$106,3*(Unit_Cost!O$6-1)+2)</f>
        <v>919050.37142924</v>
      </c>
      <c r="P63" s="40" t="n">
        <f aca="false">INDEX(Training!$C$106:$Q$106,3*(Unit_Cost!P$6-1)+2)</f>
        <v>919050.37142924</v>
      </c>
      <c r="Q63" s="40" t="n">
        <f aca="false">INDEX(Training!$C$106:$Q$106,3*(Unit_Cost!Q$6-1)+2)</f>
        <v>919050.37142924</v>
      </c>
    </row>
    <row r="64" customFormat="false" ht="15" hidden="false" customHeight="true" outlineLevel="0" collapsed="false">
      <c r="A64" s="34" t="s">
        <v>1891</v>
      </c>
      <c r="B64" s="35" t="s">
        <v>828</v>
      </c>
      <c r="C64" s="175" t="n">
        <f aca="false">INDEX(Training!$C$106:$Q$106,3*(Unit_Cost!C$6-1)+2)*Unit_Cost!C$8/1000000</f>
        <v>20.2531308122109</v>
      </c>
      <c r="D64" s="175" t="n">
        <f aca="false">INDEX(Training!$C$106:$Q$106,3*(Unit_Cost!D$6-1)+2)*Unit_Cost!D$8/1000000</f>
        <v>29.2100282405771</v>
      </c>
      <c r="E64" s="175" t="n">
        <f aca="false">INDEX(Training!$C$106:$Q$106,3*(Unit_Cost!E$6-1)+2)*Unit_Cost!E$8/1000000</f>
        <v>50.3604639983862</v>
      </c>
      <c r="F64" s="175" t="n">
        <f aca="false">INDEX(Training!$C$106:$Q$106,3*(Unit_Cost!F$6-1)+2)*Unit_Cost!F$8/1000000</f>
        <v>9.53634484684077</v>
      </c>
      <c r="G64" s="175" t="n">
        <f aca="false">INDEX(Training!$C$106:$Q$106,3*(Unit_Cost!G$6-1)+2)*Unit_Cost!G$8/1000000</f>
        <v>12.8365629049415</v>
      </c>
      <c r="H64" s="175" t="n">
        <f aca="false">INDEX(Training!$C$106:$Q$106,3*(Unit_Cost!H$6-1)+2)*Unit_Cost!H$8/1000000</f>
        <v>20.8834655266952</v>
      </c>
      <c r="I64" s="175" t="n">
        <f aca="false">INDEX(Training!$C$106:$Q$106,3*(Unit_Cost!I$6-1)+2)*Unit_Cost!I$8/1000000</f>
        <v>11.13174433393</v>
      </c>
      <c r="J64" s="175" t="n">
        <f aca="false">INDEX(Training!$C$106:$Q$106,3*(Unit_Cost!J$6-1)+2)*Unit_Cost!J$8/1000000</f>
        <v>16.2674819145715</v>
      </c>
      <c r="K64" s="175" t="n">
        <f aca="false">INDEX(Training!$C$106:$Q$106,3*(Unit_Cost!K$6-1)+2)*Unit_Cost!K$8/1000000</f>
        <v>30.5181095235811</v>
      </c>
      <c r="L64" s="175" t="n">
        <f aca="false">INDEX(Training!$C$106:$Q$106,3*(Unit_Cost!L$6-1)+2)*Unit_Cost!L$8/1000000</f>
        <v>7.1245281208219</v>
      </c>
      <c r="M64" s="175" t="n">
        <f aca="false">INDEX(Training!$C$106:$Q$106,3*(Unit_Cost!M$6-1)+2)*Unit_Cost!M$8/1000000</f>
        <v>9.24329496290838</v>
      </c>
      <c r="N64" s="175" t="n">
        <f aca="false">INDEX(Training!$C$106:$Q$106,3*(Unit_Cost!N$6-1)+2)*Unit_Cost!N$8/1000000</f>
        <v>14.9767625384136</v>
      </c>
      <c r="O64" s="175" t="n">
        <f aca="false">INDEX(Training!$C$106:$Q$106,3*(Unit_Cost!O$6-1)+2)*Unit_Cost!O$8/1000000</f>
        <v>5.63047303591872</v>
      </c>
      <c r="P64" s="175" t="n">
        <f aca="false">INDEX(Training!$C$106:$Q$106,3*(Unit_Cost!P$6-1)+2)*Unit_Cost!P$8/1000000</f>
        <v>8.65638643778396</v>
      </c>
      <c r="Q64" s="175" t="n">
        <f aca="false">INDEX(Training!$C$106:$Q$106,3*(Unit_Cost!Q$6-1)+2)*Unit_Cost!Q$8/1000000</f>
        <v>15.8667797846025</v>
      </c>
    </row>
    <row r="65" customFormat="false" ht="15" hidden="false" customHeight="true" outlineLevel="0" collapsed="false">
      <c r="A65" s="34" t="s">
        <v>1892</v>
      </c>
      <c r="B65" s="35" t="s">
        <v>71</v>
      </c>
      <c r="C65" s="176" t="n">
        <f aca="false">INDEX(Training!$C$110:$Q$110,3*(Unit_Cost!C$6-1)+2)</f>
        <v>0.127029214627552</v>
      </c>
      <c r="D65" s="176" t="n">
        <f aca="false">INDEX(Training!$C$110:$Q$110,3*(Unit_Cost!D$6-1)+2)</f>
        <v>0.127029214627552</v>
      </c>
      <c r="E65" s="176" t="n">
        <f aca="false">INDEX(Training!$C$110:$Q$110,3*(Unit_Cost!E$6-1)+2)</f>
        <v>0.127029214627552</v>
      </c>
      <c r="F65" s="176" t="n">
        <f aca="false">INDEX(Training!$C$110:$Q$110,3*(Unit_Cost!F$6-1)+2)</f>
        <v>0.127029214627552</v>
      </c>
      <c r="G65" s="176" t="n">
        <f aca="false">INDEX(Training!$C$110:$Q$110,3*(Unit_Cost!G$6-1)+2)</f>
        <v>0.127029214627552</v>
      </c>
      <c r="H65" s="176" t="n">
        <f aca="false">INDEX(Training!$C$110:$Q$110,3*(Unit_Cost!H$6-1)+2)</f>
        <v>0.127029214627552</v>
      </c>
      <c r="I65" s="176" t="n">
        <f aca="false">INDEX(Training!$C$110:$Q$110,3*(Unit_Cost!I$6-1)+2)</f>
        <v>0.127029214627552</v>
      </c>
      <c r="J65" s="176" t="n">
        <f aca="false">INDEX(Training!$C$110:$Q$110,3*(Unit_Cost!J$6-1)+2)</f>
        <v>0.127029214627552</v>
      </c>
      <c r="K65" s="176" t="n">
        <f aca="false">INDEX(Training!$C$110:$Q$110,3*(Unit_Cost!K$6-1)+2)</f>
        <v>0.127029214627552</v>
      </c>
      <c r="L65" s="176" t="n">
        <f aca="false">INDEX(Training!$C$110:$Q$110,3*(Unit_Cost!L$6-1)+2)</f>
        <v>0.127029214627552</v>
      </c>
      <c r="M65" s="176" t="n">
        <f aca="false">INDEX(Training!$C$110:$Q$110,3*(Unit_Cost!M$6-1)+2)</f>
        <v>0.127029214627552</v>
      </c>
      <c r="N65" s="176" t="n">
        <f aca="false">INDEX(Training!$C$110:$Q$110,3*(Unit_Cost!N$6-1)+2)</f>
        <v>0.127029214627552</v>
      </c>
      <c r="O65" s="176" t="n">
        <f aca="false">INDEX(Training!$C$110:$Q$110,3*(Unit_Cost!O$6-1)+2)</f>
        <v>0.127029214627552</v>
      </c>
      <c r="P65" s="176" t="n">
        <f aca="false">INDEX(Training!$C$110:$Q$110,3*(Unit_Cost!P$6-1)+2)</f>
        <v>0.127029214627552</v>
      </c>
      <c r="Q65" s="176" t="n">
        <f aca="false">INDEX(Training!$C$110:$Q$110,3*(Unit_Cost!Q$6-1)+2)</f>
        <v>0.127029214627552</v>
      </c>
    </row>
    <row r="66" customFormat="false" ht="15" hidden="false" customHeight="true" outlineLevel="0" collapsed="false">
      <c r="A66" s="34" t="s">
        <v>1893</v>
      </c>
      <c r="B66" s="35" t="s">
        <v>71</v>
      </c>
      <c r="C66" s="177" t="n">
        <f aca="false">INDEX(Training!$C$111:$Q$111,3*(Unit_Cost!C$6-1)+2)</f>
        <v>0.309968546647496</v>
      </c>
      <c r="D66" s="177" t="n">
        <f aca="false">INDEX(Training!$C$111:$Q$111,3*(Unit_Cost!D$6-1)+2)</f>
        <v>0.309968546647496</v>
      </c>
      <c r="E66" s="177" t="n">
        <f aca="false">INDEX(Training!$C$111:$Q$111,3*(Unit_Cost!E$6-1)+2)</f>
        <v>0.309968546647496</v>
      </c>
      <c r="F66" s="177" t="n">
        <f aca="false">INDEX(Training!$C$111:$Q$111,3*(Unit_Cost!F$6-1)+2)</f>
        <v>0.267986465704979</v>
      </c>
      <c r="G66" s="177" t="n">
        <f aca="false">INDEX(Training!$C$111:$Q$111,3*(Unit_Cost!G$6-1)+2)</f>
        <v>0.267986465704979</v>
      </c>
      <c r="H66" s="177" t="n">
        <f aca="false">INDEX(Training!$C$111:$Q$111,3*(Unit_Cost!H$6-1)+2)</f>
        <v>0.267986465704979</v>
      </c>
      <c r="I66" s="177" t="n">
        <f aca="false">INDEX(Training!$C$111:$Q$111,3*(Unit_Cost!I$6-1)+2)</f>
        <v>0.235738956226448</v>
      </c>
      <c r="J66" s="177" t="n">
        <f aca="false">INDEX(Training!$C$111:$Q$111,3*(Unit_Cost!J$6-1)+2)</f>
        <v>0.235738956226448</v>
      </c>
      <c r="K66" s="177" t="n">
        <f aca="false">INDEX(Training!$C$111:$Q$111,3*(Unit_Cost!K$6-1)+2)</f>
        <v>0.235738956226448</v>
      </c>
      <c r="L66" s="177" t="n">
        <f aca="false">INDEX(Training!$C$111:$Q$111,3*(Unit_Cost!L$6-1)+2)</f>
        <v>0.255750165631584</v>
      </c>
      <c r="M66" s="177" t="n">
        <f aca="false">INDEX(Training!$C$111:$Q$111,3*(Unit_Cost!M$6-1)+2)</f>
        <v>0.255750165631584</v>
      </c>
      <c r="N66" s="177" t="n">
        <f aca="false">INDEX(Training!$C$111:$Q$111,3*(Unit_Cost!N$6-1)+2)</f>
        <v>0.255750165631584</v>
      </c>
      <c r="O66" s="177" t="n">
        <f aca="false">INDEX(Training!$C$111:$Q$111,3*(Unit_Cost!O$6-1)+2)</f>
        <v>0.254949018157508</v>
      </c>
      <c r="P66" s="177" t="n">
        <f aca="false">INDEX(Training!$C$111:$Q$111,3*(Unit_Cost!P$6-1)+2)</f>
        <v>0.254949018157508</v>
      </c>
      <c r="Q66" s="177" t="n">
        <f aca="false">INDEX(Training!$C$111:$Q$111,3*(Unit_Cost!Q$6-1)+2)</f>
        <v>0.254949018157508</v>
      </c>
    </row>
    <row r="67" customFormat="false" ht="15" hidden="false" customHeight="true" outlineLevel="0" collapsed="false">
      <c r="A67" s="35" t="s">
        <v>1894</v>
      </c>
      <c r="B67" s="35" t="s">
        <v>71</v>
      </c>
      <c r="C67" s="176" t="n">
        <f aca="false">INDEX(Training!$C$77:$Q$77,3*(Unit_Cost!C$6-1)+2)</f>
        <v>0.0716763337592282</v>
      </c>
      <c r="D67" s="176" t="n">
        <f aca="false">INDEX(Training!$C$77:$Q$77,3*(Unit_Cost!D$6-1)+2)</f>
        <v>0.0716763337592282</v>
      </c>
      <c r="E67" s="176" t="n">
        <f aca="false">INDEX(Training!$C$77:$Q$77,3*(Unit_Cost!E$6-1)+2)</f>
        <v>0.0716763337592282</v>
      </c>
      <c r="F67" s="176" t="n">
        <f aca="false">INDEX(Training!$C$77:$Q$77,3*(Unit_Cost!F$6-1)+2)</f>
        <v>0.0874404965486068</v>
      </c>
      <c r="G67" s="176" t="n">
        <f aca="false">INDEX(Training!$C$77:$Q$77,3*(Unit_Cost!G$6-1)+2)</f>
        <v>0.0874404965486068</v>
      </c>
      <c r="H67" s="176" t="n">
        <f aca="false">INDEX(Training!$C$77:$Q$77,3*(Unit_Cost!H$6-1)+2)</f>
        <v>0.0874404965486068</v>
      </c>
      <c r="I67" s="176" t="n">
        <f aca="false">INDEX(Training!$C$77:$Q$77,3*(Unit_Cost!I$6-1)+2)</f>
        <v>0.103815837007901</v>
      </c>
      <c r="J67" s="176" t="n">
        <f aca="false">INDEX(Training!$C$77:$Q$77,3*(Unit_Cost!J$6-1)+2)</f>
        <v>0.103815837007901</v>
      </c>
      <c r="K67" s="176" t="n">
        <f aca="false">INDEX(Training!$C$77:$Q$77,3*(Unit_Cost!K$6-1)+2)</f>
        <v>0.103815837007901</v>
      </c>
      <c r="L67" s="176" t="n">
        <f aca="false">INDEX(Training!$C$77:$Q$77,3*(Unit_Cost!L$6-1)+2)</f>
        <v>0.0838579470237166</v>
      </c>
      <c r="M67" s="176" t="n">
        <f aca="false">INDEX(Training!$C$77:$Q$77,3*(Unit_Cost!M$6-1)+2)</f>
        <v>0.0838579470237166</v>
      </c>
      <c r="N67" s="176" t="n">
        <f aca="false">INDEX(Training!$C$77:$Q$77,3*(Unit_Cost!N$6-1)+2)</f>
        <v>0.0838579470237166</v>
      </c>
      <c r="O67" s="176" t="n">
        <f aca="false">INDEX(Training!$C$77:$Q$77,3*(Unit_Cost!O$6-1)+2)</f>
        <v>0.0842149737466073</v>
      </c>
      <c r="P67" s="176" t="n">
        <f aca="false">INDEX(Training!$C$77:$Q$77,3*(Unit_Cost!P$6-1)+2)</f>
        <v>0.0842149737466073</v>
      </c>
      <c r="Q67" s="176" t="n">
        <f aca="false">INDEX(Training!$C$77:$Q$77,3*(Unit_Cost!Q$6-1)+2)</f>
        <v>0.0842149737466073</v>
      </c>
    </row>
    <row r="68" customFormat="false" ht="15" hidden="false" customHeight="true" outlineLevel="0" collapsed="false">
      <c r="A68" s="34" t="s">
        <v>1895</v>
      </c>
      <c r="B68" s="35" t="s">
        <v>972</v>
      </c>
      <c r="C68" s="171" t="n">
        <f aca="false">INDEX(Training!$C$120:$Q$120,3*(Unit_Cost!C$6-1)+2)</f>
        <v>145592502.440035</v>
      </c>
      <c r="D68" s="171" t="n">
        <f aca="false">INDEX(Training!$C$120:$Q$120,3*(Unit_Cost!D$6-1)+2)</f>
        <v>145592502.440035</v>
      </c>
      <c r="E68" s="171" t="n">
        <f aca="false">INDEX(Training!$C$120:$Q$120,3*(Unit_Cost!E$6-1)+2)</f>
        <v>145592502.440035</v>
      </c>
      <c r="F68" s="171" t="n">
        <f aca="false">INDEX(Training!$C$120:$Q$120,3*(Unit_Cost!F$6-1)+2)</f>
        <v>49218680.9319158</v>
      </c>
      <c r="G68" s="171" t="n">
        <f aca="false">INDEX(Training!$C$120:$Q$120,3*(Unit_Cost!G$6-1)+2)</f>
        <v>49218680.9319158</v>
      </c>
      <c r="H68" s="171" t="n">
        <f aca="false">INDEX(Training!$C$120:$Q$120,3*(Unit_Cost!H$6-1)+2)</f>
        <v>49218680.9319158</v>
      </c>
      <c r="I68" s="171" t="n">
        <f aca="false">INDEX(Training!$C$120:$Q$120,3*(Unit_Cost!I$6-1)+2)</f>
        <v>43631624.8853258</v>
      </c>
      <c r="J68" s="171" t="n">
        <f aca="false">INDEX(Training!$C$120:$Q$120,3*(Unit_Cost!J$6-1)+2)</f>
        <v>43631624.8853258</v>
      </c>
      <c r="K68" s="171" t="n">
        <f aca="false">INDEX(Training!$C$120:$Q$120,3*(Unit_Cost!K$6-1)+2)</f>
        <v>43631624.8853258</v>
      </c>
      <c r="L68" s="171" t="n">
        <f aca="false">INDEX(Training!$C$120:$Q$120,3*(Unit_Cost!L$6-1)+2)</f>
        <v>14808243.9778176</v>
      </c>
      <c r="M68" s="171" t="n">
        <f aca="false">INDEX(Training!$C$120:$Q$120,3*(Unit_Cost!M$6-1)+2)</f>
        <v>14808243.9778176</v>
      </c>
      <c r="N68" s="171" t="n">
        <f aca="false">INDEX(Training!$C$120:$Q$120,3*(Unit_Cost!N$6-1)+2)</f>
        <v>14808243.9778176</v>
      </c>
      <c r="O68" s="171" t="n">
        <f aca="false">INDEX(Training!$C$120:$Q$120,3*(Unit_Cost!O$6-1)+2)</f>
        <v>7352402.97143392</v>
      </c>
      <c r="P68" s="171" t="n">
        <f aca="false">INDEX(Training!$C$120:$Q$120,3*(Unit_Cost!P$6-1)+2)</f>
        <v>7352402.97143392</v>
      </c>
      <c r="Q68" s="171" t="n">
        <f aca="false">INDEX(Training!$C$120:$Q$120,3*(Unit_Cost!Q$6-1)+2)</f>
        <v>7352402.97143392</v>
      </c>
    </row>
    <row r="69" customFormat="false" ht="15" hidden="false" customHeight="true" outlineLevel="0" collapsed="false">
      <c r="A69" s="34" t="s">
        <v>1896</v>
      </c>
      <c r="B69" s="35" t="s">
        <v>828</v>
      </c>
      <c r="C69" s="171" t="n">
        <f aca="false">INDEX(Training!$C$120:$Q$120,3*(Unit_Cost!C$6-1)+2)*Unit_Cost!C$8/1000000</f>
        <v>162.025046497687</v>
      </c>
      <c r="D69" s="171" t="n">
        <f aca="false">INDEX(Training!$C$120:$Q$120,3*(Unit_Cost!D$6-1)+2)*Unit_Cost!D$8/1000000</f>
        <v>233.680225924616</v>
      </c>
      <c r="E69" s="171" t="n">
        <f aca="false">INDEX(Training!$C$120:$Q$120,3*(Unit_Cost!E$6-1)+2)*Unit_Cost!E$8/1000000</f>
        <v>402.883711987089</v>
      </c>
      <c r="F69" s="171" t="n">
        <f aca="false">INDEX(Training!$C$120:$Q$120,3*(Unit_Cost!F$6-1)+2)*Unit_Cost!F$8/1000000</f>
        <v>76.2907587747261</v>
      </c>
      <c r="G69" s="171" t="n">
        <f aca="false">INDEX(Training!$C$120:$Q$120,3*(Unit_Cost!G$6-1)+2)*Unit_Cost!G$8/1000000</f>
        <v>102.692503239532</v>
      </c>
      <c r="H69" s="171" t="n">
        <f aca="false">INDEX(Training!$C$120:$Q$120,3*(Unit_Cost!H$6-1)+2)*Unit_Cost!H$8/1000000</f>
        <v>167.067724213561</v>
      </c>
      <c r="I69" s="171" t="n">
        <f aca="false">INDEX(Training!$C$120:$Q$120,3*(Unit_Cost!I$6-1)+2)*Unit_Cost!I$8/1000000</f>
        <v>89.0539546714404</v>
      </c>
      <c r="J69" s="171" t="n">
        <f aca="false">INDEX(Training!$C$120:$Q$120,3*(Unit_Cost!J$6-1)+2)*Unit_Cost!J$8/1000000</f>
        <v>130.139855316572</v>
      </c>
      <c r="K69" s="171" t="n">
        <f aca="false">INDEX(Training!$C$120:$Q$120,3*(Unit_Cost!K$6-1)+2)*Unit_Cost!K$8/1000000</f>
        <v>244.144876188648</v>
      </c>
      <c r="L69" s="171" t="n">
        <f aca="false">INDEX(Training!$C$120:$Q$120,3*(Unit_Cost!L$6-1)+2)*Unit_Cost!L$8/1000000</f>
        <v>56.9962249665752</v>
      </c>
      <c r="M69" s="171" t="n">
        <f aca="false">INDEX(Training!$C$120:$Q$120,3*(Unit_Cost!M$6-1)+2)*Unit_Cost!M$8/1000000</f>
        <v>73.946359703267</v>
      </c>
      <c r="N69" s="171" t="n">
        <f aca="false">INDEX(Training!$C$120:$Q$120,3*(Unit_Cost!N$6-1)+2)*Unit_Cost!N$8/1000000</f>
        <v>119.814100307309</v>
      </c>
      <c r="O69" s="171" t="n">
        <f aca="false">INDEX(Training!$C$120:$Q$120,3*(Unit_Cost!O$6-1)+2)*Unit_Cost!O$8/1000000</f>
        <v>45.0437842873498</v>
      </c>
      <c r="P69" s="171" t="n">
        <f aca="false">INDEX(Training!$C$120:$Q$120,3*(Unit_Cost!P$6-1)+2)*Unit_Cost!P$8/1000000</f>
        <v>69.2510915022717</v>
      </c>
      <c r="Q69" s="171" t="n">
        <f aca="false">INDEX(Training!$C$120:$Q$120,3*(Unit_Cost!Q$6-1)+2)*Unit_Cost!Q$8/1000000</f>
        <v>126.93423827682</v>
      </c>
    </row>
    <row r="70" customFormat="false" ht="15" hidden="false" customHeight="true" outlineLevel="0" collapsed="false">
      <c r="A70" s="34" t="s">
        <v>1897</v>
      </c>
      <c r="B70" s="35" t="s">
        <v>71</v>
      </c>
      <c r="C70" s="178" t="n">
        <f aca="false">INDEX(Training!$C$123:$Q$123,3*(Unit_Cost!C$6-1)+2)</f>
        <v>0.0231462920032773</v>
      </c>
      <c r="D70" s="178" t="n">
        <f aca="false">INDEX(Training!$C$123:$Q$123,3*(Unit_Cost!D$6-1)+2)</f>
        <v>0.0231462920032773</v>
      </c>
      <c r="E70" s="178" t="n">
        <f aca="false">INDEX(Training!$C$123:$Q$123,3*(Unit_Cost!E$6-1)+2)</f>
        <v>0.0231462920032773</v>
      </c>
      <c r="F70" s="178" t="n">
        <f aca="false">INDEX(Training!$C$123:$Q$123,3*(Unit_Cost!F$6-1)+2)</f>
        <v>0.0111975472382432</v>
      </c>
      <c r="G70" s="178" t="n">
        <f aca="false">INDEX(Training!$C$123:$Q$123,3*(Unit_Cost!G$6-1)+2)</f>
        <v>0.0111975472382432</v>
      </c>
      <c r="H70" s="178" t="n">
        <f aca="false">INDEX(Training!$C$123:$Q$123,3*(Unit_Cost!H$6-1)+2)</f>
        <v>0.0111975472382432</v>
      </c>
      <c r="I70" s="178" t="n">
        <f aca="false">INDEX(Training!$C$123:$Q$123,3*(Unit_Cost!I$6-1)+2)</f>
        <v>0.0102273044724078</v>
      </c>
      <c r="J70" s="178" t="n">
        <f aca="false">INDEX(Training!$C$123:$Q$123,3*(Unit_Cost!J$6-1)+2)</f>
        <v>0.0102273044724078</v>
      </c>
      <c r="K70" s="178" t="n">
        <f aca="false">INDEX(Training!$C$123:$Q$123,3*(Unit_Cost!K$6-1)+2)</f>
        <v>0.0102273044724078</v>
      </c>
      <c r="L70" s="178" t="n">
        <f aca="false">INDEX(Training!$C$123:$Q$123,3*(Unit_Cost!L$6-1)+2)</f>
        <v>0.00579425390154777</v>
      </c>
      <c r="M70" s="178" t="n">
        <f aca="false">INDEX(Training!$C$123:$Q$123,3*(Unit_Cost!M$6-1)+2)</f>
        <v>0.00579425390154777</v>
      </c>
      <c r="N70" s="178" t="n">
        <f aca="false">INDEX(Training!$C$123:$Q$123,3*(Unit_Cost!N$6-1)+2)</f>
        <v>0.00579425390154777</v>
      </c>
      <c r="O70" s="178" t="n">
        <f aca="false">INDEX(Training!$C$123:$Q$123,3*(Unit_Cost!O$6-1)+2)</f>
        <v>0.00430948556016603</v>
      </c>
      <c r="P70" s="178" t="n">
        <f aca="false">INDEX(Training!$C$123:$Q$123,3*(Unit_Cost!P$6-1)+2)</f>
        <v>0.00430948556016603</v>
      </c>
      <c r="Q70" s="178" t="n">
        <f aca="false">INDEX(Training!$C$123:$Q$123,3*(Unit_Cost!Q$6-1)+2)</f>
        <v>0.00430948556016603</v>
      </c>
    </row>
    <row r="71" customFormat="false" ht="15" hidden="false" customHeight="true" outlineLevel="0" collapsed="false">
      <c r="A71" s="8" t="s">
        <v>221</v>
      </c>
    </row>
    <row r="72" customFormat="false" ht="15" hidden="false" customHeight="true" outlineLevel="0" collapsed="false">
      <c r="A72" s="34" t="s">
        <v>1898</v>
      </c>
      <c r="B72" s="35" t="s">
        <v>972</v>
      </c>
      <c r="C72" s="40" t="n">
        <f aca="false">INDEX(Training!$C$106:$Q$106,3*(Unit_Cost!C$6-1)+3)</f>
        <v>112183463.020854</v>
      </c>
      <c r="D72" s="40" t="n">
        <f aca="false">INDEX(Training!$C$106:$Q$106,3*(Unit_Cost!D$6-1)+3)</f>
        <v>112183463.020854</v>
      </c>
      <c r="E72" s="40" t="n">
        <f aca="false">INDEX(Training!$C$106:$Q$106,3*(Unit_Cost!E$6-1)+3)</f>
        <v>112183463.020854</v>
      </c>
      <c r="F72" s="40" t="n">
        <f aca="false">INDEX(Training!$C$106:$Q$106,3*(Unit_Cost!F$6-1)+3)</f>
        <v>38678967.4074746</v>
      </c>
      <c r="G72" s="40" t="n">
        <f aca="false">INDEX(Training!$C$106:$Q$106,3*(Unit_Cost!G$6-1)+3)</f>
        <v>38678967.4074746</v>
      </c>
      <c r="H72" s="40" t="n">
        <f aca="false">INDEX(Training!$C$106:$Q$106,3*(Unit_Cost!H$6-1)+3)</f>
        <v>38678967.4074746</v>
      </c>
      <c r="I72" s="40" t="n">
        <f aca="false">INDEX(Training!$C$106:$Q$106,3*(Unit_Cost!I$6-1)+3)</f>
        <v>34975510.1307514</v>
      </c>
      <c r="J72" s="40" t="n">
        <f aca="false">INDEX(Training!$C$106:$Q$106,3*(Unit_Cost!J$6-1)+3)</f>
        <v>34975510.1307514</v>
      </c>
      <c r="K72" s="40" t="n">
        <f aca="false">INDEX(Training!$C$106:$Q$106,3*(Unit_Cost!K$6-1)+3)</f>
        <v>34975510.1307514</v>
      </c>
      <c r="L72" s="40" t="n">
        <f aca="false">INDEX(Training!$C$106:$Q$106,3*(Unit_Cost!L$6-1)+3)</f>
        <v>11706298.4360921</v>
      </c>
      <c r="M72" s="40" t="n">
        <f aca="false">INDEX(Training!$C$106:$Q$106,3*(Unit_Cost!M$6-1)+3)</f>
        <v>11706298.4360921</v>
      </c>
      <c r="N72" s="40" t="n">
        <f aca="false">INDEX(Training!$C$106:$Q$106,3*(Unit_Cost!N$6-1)+3)</f>
        <v>11706298.4360921</v>
      </c>
      <c r="O72" s="40" t="n">
        <f aca="false">INDEX(Training!$C$106:$Q$106,3*(Unit_Cost!O$6-1)+3)</f>
        <v>5811483.35408388</v>
      </c>
      <c r="P72" s="40" t="n">
        <f aca="false">INDEX(Training!$C$106:$Q$106,3*(Unit_Cost!P$6-1)+3)</f>
        <v>5811483.35408388</v>
      </c>
      <c r="Q72" s="40" t="n">
        <f aca="false">INDEX(Training!$C$106:$Q$106,3*(Unit_Cost!Q$6-1)+3)</f>
        <v>5811483.35408388</v>
      </c>
    </row>
    <row r="73" customFormat="false" ht="15" hidden="false" customHeight="true" outlineLevel="0" collapsed="false">
      <c r="A73" s="34" t="s">
        <v>1899</v>
      </c>
      <c r="B73" s="35" t="s">
        <v>828</v>
      </c>
      <c r="C73" s="175" t="n">
        <f aca="false">INDEX(Training!$C$106:$Q$106,3*(Unit_Cost!C$6-1)+3)*Unit_Cost!C$8/1000000</f>
        <v>124.845239333062</v>
      </c>
      <c r="D73" s="175" t="n">
        <f aca="false">INDEX(Training!$C$106:$Q$106,3*(Unit_Cost!D$6-1)+3)*Unit_Cost!D$8/1000000</f>
        <v>180.057740229558</v>
      </c>
      <c r="E73" s="175" t="n">
        <f aca="false">INDEX(Training!$C$106:$Q$106,3*(Unit_Cost!E$6-1)+3)*Unit_Cost!E$8/1000000</f>
        <v>310.434186156141</v>
      </c>
      <c r="F73" s="175" t="n">
        <f aca="false">INDEX(Training!$C$106:$Q$106,3*(Unit_Cost!F$6-1)+3)*Unit_Cost!F$8/1000000</f>
        <v>59.9538166457782</v>
      </c>
      <c r="G73" s="175" t="n">
        <f aca="false">INDEX(Training!$C$106:$Q$106,3*(Unit_Cost!G$6-1)+3)*Unit_Cost!G$8/1000000</f>
        <v>80.7018780387141</v>
      </c>
      <c r="H73" s="175" t="n">
        <f aca="false">INDEX(Training!$C$106:$Q$106,3*(Unit_Cost!H$6-1)+3)*Unit_Cost!H$8/1000000</f>
        <v>131.291756246702</v>
      </c>
      <c r="I73" s="175" t="n">
        <f aca="false">INDEX(Training!$C$106:$Q$106,3*(Unit_Cost!I$6-1)+3)*Unit_Cost!I$8/1000000</f>
        <v>71.3864657110668</v>
      </c>
      <c r="J73" s="175" t="n">
        <f aca="false">INDEX(Training!$C$106:$Q$106,3*(Unit_Cost!J$6-1)+3)*Unit_Cost!J$8/1000000</f>
        <v>104.321299974554</v>
      </c>
      <c r="K73" s="175" t="n">
        <f aca="false">INDEX(Training!$C$106:$Q$106,3*(Unit_Cost!K$6-1)+3)*Unit_Cost!K$8/1000000</f>
        <v>195.708768879222</v>
      </c>
      <c r="L73" s="175" t="n">
        <f aca="false">INDEX(Training!$C$106:$Q$106,3*(Unit_Cost!L$6-1)+3)*Unit_Cost!L$8/1000000</f>
        <v>45.0569844870765</v>
      </c>
      <c r="M73" s="175" t="n">
        <f aca="false">INDEX(Training!$C$106:$Q$106,3*(Unit_Cost!M$6-1)+3)*Unit_Cost!M$8/1000000</f>
        <v>58.4565027592577</v>
      </c>
      <c r="N73" s="175" t="n">
        <f aca="false">INDEX(Training!$C$106:$Q$106,3*(Unit_Cost!N$6-1)+3)*Unit_Cost!N$8/1000000</f>
        <v>94.7161336043803</v>
      </c>
      <c r="O73" s="175" t="n">
        <f aca="false">INDEX(Training!$C$106:$Q$106,3*(Unit_Cost!O$6-1)+3)*Unit_Cost!O$8/1000000</f>
        <v>35.603489581288</v>
      </c>
      <c r="P73" s="175" t="n">
        <f aca="false">INDEX(Training!$C$106:$Q$106,3*(Unit_Cost!P$6-1)+3)*Unit_Cost!P$8/1000000</f>
        <v>54.7374194642521</v>
      </c>
      <c r="Q73" s="175" t="n">
        <f aca="false">INDEX(Training!$C$106:$Q$106,3*(Unit_Cost!Q$6-1)+3)*Unit_Cost!Q$8/1000000</f>
        <v>100.33130878097</v>
      </c>
    </row>
    <row r="74" customFormat="false" ht="15" hidden="false" customHeight="true" outlineLevel="0" collapsed="false">
      <c r="A74" s="34" t="s">
        <v>1900</v>
      </c>
      <c r="B74" s="35" t="s">
        <v>71</v>
      </c>
      <c r="C74" s="176" t="n">
        <f aca="false">INDEX(Training!$C$110:$Q$110,3*(Unit_Cost!C$6-1)+3)</f>
        <v>0.268885180199482</v>
      </c>
      <c r="D74" s="176" t="n">
        <f aca="false">INDEX(Training!$C$110:$Q$110,3*(Unit_Cost!D$6-1)+3)</f>
        <v>0.268885180199482</v>
      </c>
      <c r="E74" s="176" t="n">
        <f aca="false">INDEX(Training!$C$110:$Q$110,3*(Unit_Cost!E$6-1)+3)</f>
        <v>0.268885180199482</v>
      </c>
      <c r="F74" s="176" t="n">
        <f aca="false">INDEX(Training!$C$110:$Q$110,3*(Unit_Cost!F$6-1)+3)</f>
        <v>0.268885180199482</v>
      </c>
      <c r="G74" s="176" t="n">
        <f aca="false">INDEX(Training!$C$110:$Q$110,3*(Unit_Cost!G$6-1)+3)</f>
        <v>0.268885180199482</v>
      </c>
      <c r="H74" s="176" t="n">
        <f aca="false">INDEX(Training!$C$110:$Q$110,3*(Unit_Cost!H$6-1)+3)</f>
        <v>0.268885180199482</v>
      </c>
      <c r="I74" s="176" t="n">
        <f aca="false">INDEX(Training!$C$110:$Q$110,3*(Unit_Cost!I$6-1)+3)</f>
        <v>0.268885180199482</v>
      </c>
      <c r="J74" s="176" t="n">
        <f aca="false">INDEX(Training!$C$110:$Q$110,3*(Unit_Cost!J$6-1)+3)</f>
        <v>0.268885180199482</v>
      </c>
      <c r="K74" s="176" t="n">
        <f aca="false">INDEX(Training!$C$110:$Q$110,3*(Unit_Cost!K$6-1)+3)</f>
        <v>0.268885180199482</v>
      </c>
      <c r="L74" s="176" t="n">
        <f aca="false">INDEX(Training!$C$110:$Q$110,3*(Unit_Cost!L$6-1)+3)</f>
        <v>0.268885180199482</v>
      </c>
      <c r="M74" s="176" t="n">
        <f aca="false">INDEX(Training!$C$110:$Q$110,3*(Unit_Cost!M$6-1)+3)</f>
        <v>0.268885180199482</v>
      </c>
      <c r="N74" s="176" t="n">
        <f aca="false">INDEX(Training!$C$110:$Q$110,3*(Unit_Cost!N$6-1)+3)</f>
        <v>0.268885180199482</v>
      </c>
      <c r="O74" s="176" t="n">
        <f aca="false">INDEX(Training!$C$110:$Q$110,3*(Unit_Cost!O$6-1)+3)</f>
        <v>0.268885180199482</v>
      </c>
      <c r="P74" s="176" t="n">
        <f aca="false">INDEX(Training!$C$110:$Q$110,3*(Unit_Cost!P$6-1)+3)</f>
        <v>0.268885180199482</v>
      </c>
      <c r="Q74" s="176" t="n">
        <f aca="false">INDEX(Training!$C$110:$Q$110,3*(Unit_Cost!Q$6-1)+3)</f>
        <v>0.268885180199482</v>
      </c>
    </row>
    <row r="75" customFormat="false" ht="15" hidden="false" customHeight="true" outlineLevel="0" collapsed="false">
      <c r="A75" s="34" t="s">
        <v>1901</v>
      </c>
      <c r="B75" s="35" t="s">
        <v>71</v>
      </c>
      <c r="C75" s="177" t="n">
        <f aca="false">INDEX(Training!$C$111:$Q$111,3*(Unit_Cost!C$6-1)+3)</f>
        <v>0.55968476412224</v>
      </c>
      <c r="D75" s="177" t="n">
        <f aca="false">INDEX(Training!$C$111:$Q$111,3*(Unit_Cost!D$6-1)+3)</f>
        <v>0.55968476412224</v>
      </c>
      <c r="E75" s="177" t="n">
        <f aca="false">INDEX(Training!$C$111:$Q$111,3*(Unit_Cost!E$6-1)+3)</f>
        <v>0.55968476412224</v>
      </c>
      <c r="F75" s="177" t="n">
        <f aca="false">INDEX(Training!$C$111:$Q$111,3*(Unit_Cost!F$6-1)+3)</f>
        <v>0.504541712883535</v>
      </c>
      <c r="G75" s="177" t="n">
        <f aca="false">INDEX(Training!$C$111:$Q$111,3*(Unit_Cost!G$6-1)+3)</f>
        <v>0.504541712883535</v>
      </c>
      <c r="H75" s="177" t="n">
        <f aca="false">INDEX(Training!$C$111:$Q$111,3*(Unit_Cost!H$6-1)+3)</f>
        <v>0.504541712883535</v>
      </c>
      <c r="I75" s="177" t="n">
        <f aca="false">INDEX(Training!$C$111:$Q$111,3*(Unit_Cost!I$6-1)+3)</f>
        <v>0.460983664042966</v>
      </c>
      <c r="J75" s="177" t="n">
        <f aca="false">INDEX(Training!$C$111:$Q$111,3*(Unit_Cost!J$6-1)+3)</f>
        <v>0.460983664042966</v>
      </c>
      <c r="K75" s="177" t="n">
        <f aca="false">INDEX(Training!$C$111:$Q$111,3*(Unit_Cost!K$6-1)+3)</f>
        <v>0.460983664042966</v>
      </c>
      <c r="L75" s="177" t="n">
        <f aca="false">INDEX(Training!$C$111:$Q$111,3*(Unit_Cost!L$6-1)+3)</f>
        <v>0.484242741848401</v>
      </c>
      <c r="M75" s="177" t="n">
        <f aca="false">INDEX(Training!$C$111:$Q$111,3*(Unit_Cost!M$6-1)+3)</f>
        <v>0.484242741848401</v>
      </c>
      <c r="N75" s="177" t="n">
        <f aca="false">INDEX(Training!$C$111:$Q$111,3*(Unit_Cost!N$6-1)+3)</f>
        <v>0.484242741848401</v>
      </c>
      <c r="O75" s="177" t="n">
        <f aca="false">INDEX(Training!$C$111:$Q$111,3*(Unit_Cost!O$6-1)+3)</f>
        <v>0.481150986813593</v>
      </c>
      <c r="P75" s="177" t="n">
        <f aca="false">INDEX(Training!$C$111:$Q$111,3*(Unit_Cost!P$6-1)+3)</f>
        <v>0.481150986813593</v>
      </c>
      <c r="Q75" s="177" t="n">
        <f aca="false">INDEX(Training!$C$111:$Q$111,3*(Unit_Cost!Q$6-1)+3)</f>
        <v>0.481150986813593</v>
      </c>
    </row>
    <row r="76" customFormat="false" ht="15" hidden="false" customHeight="true" outlineLevel="0" collapsed="false">
      <c r="A76" s="35" t="s">
        <v>1902</v>
      </c>
      <c r="B76" s="35" t="s">
        <v>71</v>
      </c>
      <c r="C76" s="176" t="n">
        <f aca="false">INDEX(Training!$C$77:$Q$77,3*(Unit_Cost!C$6-1)+3)</f>
        <v>0.0647492613469604</v>
      </c>
      <c r="D76" s="176" t="n">
        <f aca="false">INDEX(Training!$C$77:$Q$77,3*(Unit_Cost!D$6-1)+3)</f>
        <v>0.0647492613469604</v>
      </c>
      <c r="E76" s="176" t="n">
        <f aca="false">INDEX(Training!$C$77:$Q$77,3*(Unit_Cost!E$6-1)+3)</f>
        <v>0.0647492613469604</v>
      </c>
      <c r="F76" s="176" t="n">
        <f aca="false">INDEX(Training!$C$77:$Q$77,3*(Unit_Cost!F$6-1)+3)</f>
        <v>0.0807474836755068</v>
      </c>
      <c r="G76" s="176" t="n">
        <f aca="false">INDEX(Training!$C$77:$Q$77,3*(Unit_Cost!G$6-1)+3)</f>
        <v>0.0807474836755068</v>
      </c>
      <c r="H76" s="176" t="n">
        <f aca="false">INDEX(Training!$C$77:$Q$77,3*(Unit_Cost!H$6-1)+3)</f>
        <v>0.0807474836755068</v>
      </c>
      <c r="I76" s="176" t="n">
        <f aca="false">INDEX(Training!$C$77:$Q$77,3*(Unit_Cost!I$6-1)+3)</f>
        <v>0.0961724702603611</v>
      </c>
      <c r="J76" s="176" t="n">
        <f aca="false">INDEX(Training!$C$77:$Q$77,3*(Unit_Cost!J$6-1)+3)</f>
        <v>0.0961724702603611</v>
      </c>
      <c r="K76" s="176" t="n">
        <f aca="false">INDEX(Training!$C$77:$Q$77,3*(Unit_Cost!K$6-1)+3)</f>
        <v>0.0961724702603611</v>
      </c>
      <c r="L76" s="176" t="n">
        <f aca="false">INDEX(Training!$C$77:$Q$77,3*(Unit_Cost!L$6-1)+3)</f>
        <v>0.0788337934960808</v>
      </c>
      <c r="M76" s="176" t="n">
        <f aca="false">INDEX(Training!$C$77:$Q$77,3*(Unit_Cost!M$6-1)+3)</f>
        <v>0.0788337934960808</v>
      </c>
      <c r="N76" s="176" t="n">
        <f aca="false">INDEX(Training!$C$77:$Q$77,3*(Unit_Cost!N$6-1)+3)</f>
        <v>0.0788337934960808</v>
      </c>
      <c r="O76" s="176" t="n">
        <f aca="false">INDEX(Training!$C$77:$Q$77,3*(Unit_Cost!O$6-1)+3)</f>
        <v>0.0798187502820238</v>
      </c>
      <c r="P76" s="176" t="n">
        <f aca="false">INDEX(Training!$C$77:$Q$77,3*(Unit_Cost!P$6-1)+3)</f>
        <v>0.0798187502820238</v>
      </c>
      <c r="Q76" s="176" t="n">
        <f aca="false">INDEX(Training!$C$77:$Q$77,3*(Unit_Cost!Q$6-1)+3)</f>
        <v>0.0798187502820238</v>
      </c>
    </row>
    <row r="77" customFormat="false" ht="15" hidden="false" customHeight="true" outlineLevel="0" collapsed="false">
      <c r="A77" s="34" t="s">
        <v>1903</v>
      </c>
      <c r="B77" s="35" t="s">
        <v>972</v>
      </c>
      <c r="C77" s="171" t="n">
        <f aca="false">INDEX(Training!$C$120:$Q$120,3*(Unit_Cost!C$6-1)+3)</f>
        <v>897467704.166834</v>
      </c>
      <c r="D77" s="171" t="n">
        <f aca="false">INDEX(Training!$C$120:$Q$120,3*(Unit_Cost!D$6-1)+3)</f>
        <v>897467704.166834</v>
      </c>
      <c r="E77" s="171" t="n">
        <f aca="false">INDEX(Training!$C$120:$Q$120,3*(Unit_Cost!E$6-1)+3)</f>
        <v>897467704.166834</v>
      </c>
      <c r="F77" s="171" t="n">
        <f aca="false">INDEX(Training!$C$120:$Q$120,3*(Unit_Cost!F$6-1)+3)</f>
        <v>309431739.259797</v>
      </c>
      <c r="G77" s="171" t="n">
        <f aca="false">INDEX(Training!$C$120:$Q$120,3*(Unit_Cost!G$6-1)+3)</f>
        <v>309431739.259797</v>
      </c>
      <c r="H77" s="171" t="n">
        <f aca="false">INDEX(Training!$C$120:$Q$120,3*(Unit_Cost!H$6-1)+3)</f>
        <v>309431739.259797</v>
      </c>
      <c r="I77" s="171" t="n">
        <f aca="false">INDEX(Training!$C$120:$Q$120,3*(Unit_Cost!I$6-1)+3)</f>
        <v>279804081.046011</v>
      </c>
      <c r="J77" s="171" t="n">
        <f aca="false">INDEX(Training!$C$120:$Q$120,3*(Unit_Cost!J$6-1)+3)</f>
        <v>279804081.046011</v>
      </c>
      <c r="K77" s="171" t="n">
        <f aca="false">INDEX(Training!$C$120:$Q$120,3*(Unit_Cost!K$6-1)+3)</f>
        <v>279804081.046011</v>
      </c>
      <c r="L77" s="171" t="n">
        <f aca="false">INDEX(Training!$C$120:$Q$120,3*(Unit_Cost!L$6-1)+3)</f>
        <v>93650387.4887366</v>
      </c>
      <c r="M77" s="171" t="n">
        <f aca="false">INDEX(Training!$C$120:$Q$120,3*(Unit_Cost!M$6-1)+3)</f>
        <v>93650387.4887366</v>
      </c>
      <c r="N77" s="171" t="n">
        <f aca="false">INDEX(Training!$C$120:$Q$120,3*(Unit_Cost!N$6-1)+3)</f>
        <v>93650387.4887366</v>
      </c>
      <c r="O77" s="171" t="n">
        <f aca="false">INDEX(Training!$C$120:$Q$120,3*(Unit_Cost!O$6-1)+3)</f>
        <v>46491866.832671</v>
      </c>
      <c r="P77" s="171" t="n">
        <f aca="false">INDEX(Training!$C$120:$Q$120,3*(Unit_Cost!P$6-1)+3)</f>
        <v>46491866.832671</v>
      </c>
      <c r="Q77" s="171" t="n">
        <f aca="false">INDEX(Training!$C$120:$Q$120,3*(Unit_Cost!Q$6-1)+3)</f>
        <v>46491866.832671</v>
      </c>
    </row>
    <row r="78" customFormat="false" ht="15" hidden="false" customHeight="true" outlineLevel="0" collapsed="false">
      <c r="A78" s="34" t="s">
        <v>1904</v>
      </c>
      <c r="B78" s="35" t="s">
        <v>828</v>
      </c>
      <c r="C78" s="171" t="n">
        <f aca="false">INDEX(Training!$C$120:$Q$120,3*(Unit_Cost!C$6-1)+3)*Unit_Cost!C$8/1000000</f>
        <v>998.761914664494</v>
      </c>
      <c r="D78" s="171" t="n">
        <f aca="false">INDEX(Training!$C$120:$Q$120,3*(Unit_Cost!D$6-1)+3)*Unit_Cost!D$8/1000000</f>
        <v>1440.46192183646</v>
      </c>
      <c r="E78" s="171" t="n">
        <f aca="false">INDEX(Training!$C$120:$Q$120,3*(Unit_Cost!E$6-1)+3)*Unit_Cost!E$8/1000000</f>
        <v>2483.47348924913</v>
      </c>
      <c r="F78" s="171" t="n">
        <f aca="false">INDEX(Training!$C$120:$Q$120,3*(Unit_Cost!F$6-1)+3)*Unit_Cost!F$8/1000000</f>
        <v>479.630533166226</v>
      </c>
      <c r="G78" s="171" t="n">
        <f aca="false">INDEX(Training!$C$120:$Q$120,3*(Unit_Cost!G$6-1)+3)*Unit_Cost!G$8/1000000</f>
        <v>645.615024309713</v>
      </c>
      <c r="H78" s="171" t="n">
        <f aca="false">INDEX(Training!$C$120:$Q$120,3*(Unit_Cost!H$6-1)+3)*Unit_Cost!H$8/1000000</f>
        <v>1050.33404997362</v>
      </c>
      <c r="I78" s="171" t="n">
        <f aca="false">INDEX(Training!$C$120:$Q$120,3*(Unit_Cost!I$6-1)+3)*Unit_Cost!I$8/1000000</f>
        <v>571.091725688534</v>
      </c>
      <c r="J78" s="171" t="n">
        <f aca="false">INDEX(Training!$C$120:$Q$120,3*(Unit_Cost!J$6-1)+3)*Unit_Cost!J$8/1000000</f>
        <v>834.570399796434</v>
      </c>
      <c r="K78" s="171" t="n">
        <f aca="false">INDEX(Training!$C$120:$Q$120,3*(Unit_Cost!K$6-1)+3)*Unit_Cost!K$8/1000000</f>
        <v>1565.67015103377</v>
      </c>
      <c r="L78" s="171" t="n">
        <f aca="false">INDEX(Training!$C$120:$Q$120,3*(Unit_Cost!L$6-1)+3)*Unit_Cost!L$8/1000000</f>
        <v>360.455875896612</v>
      </c>
      <c r="M78" s="171" t="n">
        <f aca="false">INDEX(Training!$C$120:$Q$120,3*(Unit_Cost!M$6-1)+3)*Unit_Cost!M$8/1000000</f>
        <v>467.652022074062</v>
      </c>
      <c r="N78" s="171" t="n">
        <f aca="false">INDEX(Training!$C$120:$Q$120,3*(Unit_Cost!N$6-1)+3)*Unit_Cost!N$8/1000000</f>
        <v>757.729068835042</v>
      </c>
      <c r="O78" s="171" t="n">
        <f aca="false">INDEX(Training!$C$120:$Q$120,3*(Unit_Cost!O$6-1)+3)*Unit_Cost!O$8/1000000</f>
        <v>284.827916650304</v>
      </c>
      <c r="P78" s="171" t="n">
        <f aca="false">INDEX(Training!$C$120:$Q$120,3*(Unit_Cost!P$6-1)+3)*Unit_Cost!P$8/1000000</f>
        <v>437.899355714016</v>
      </c>
      <c r="Q78" s="171" t="n">
        <f aca="false">INDEX(Training!$C$120:$Q$120,3*(Unit_Cost!Q$6-1)+3)*Unit_Cost!Q$8/1000000</f>
        <v>802.650470247758</v>
      </c>
    </row>
    <row r="79" customFormat="false" ht="15" hidden="false" customHeight="true" outlineLevel="0" collapsed="false">
      <c r="A79" s="34" t="s">
        <v>1905</v>
      </c>
      <c r="B79" s="35" t="s">
        <v>71</v>
      </c>
      <c r="C79" s="178" t="n">
        <f aca="false">INDEX(Training!$C$123:$Q$123,3*(Unit_Cost!C$6-1)+3)</f>
        <v>0.142679390737942</v>
      </c>
      <c r="D79" s="178" t="n">
        <f aca="false">INDEX(Training!$C$123:$Q$123,3*(Unit_Cost!D$6-1)+3)</f>
        <v>0.142679390737942</v>
      </c>
      <c r="E79" s="178" t="n">
        <f aca="false">INDEX(Training!$C$123:$Q$123,3*(Unit_Cost!E$6-1)+3)</f>
        <v>0.142679390737942</v>
      </c>
      <c r="F79" s="178" t="n">
        <f aca="false">INDEX(Training!$C$123:$Q$123,3*(Unit_Cost!F$6-1)+3)</f>
        <v>0.0703975899347298</v>
      </c>
      <c r="G79" s="178" t="n">
        <f aca="false">INDEX(Training!$C$123:$Q$123,3*(Unit_Cost!G$6-1)+3)</f>
        <v>0.0703975899347298</v>
      </c>
      <c r="H79" s="178" t="n">
        <f aca="false">INDEX(Training!$C$123:$Q$123,3*(Unit_Cost!H$6-1)+3)</f>
        <v>0.0703975899347298</v>
      </c>
      <c r="I79" s="178" t="n">
        <f aca="false">INDEX(Training!$C$123:$Q$123,3*(Unit_Cost!I$6-1)+3)</f>
        <v>0.0655864074968763</v>
      </c>
      <c r="J79" s="178" t="n">
        <f aca="false">INDEX(Training!$C$123:$Q$123,3*(Unit_Cost!J$6-1)+3)</f>
        <v>0.0655864074968763</v>
      </c>
      <c r="K79" s="178" t="n">
        <f aca="false">INDEX(Training!$C$123:$Q$123,3*(Unit_Cost!K$6-1)+3)</f>
        <v>0.0655864074968763</v>
      </c>
      <c r="L79" s="178" t="n">
        <f aca="false">INDEX(Training!$C$123:$Q$123,3*(Unit_Cost!L$6-1)+3)</f>
        <v>0.0366440561015151</v>
      </c>
      <c r="M79" s="178" t="n">
        <f aca="false">INDEX(Training!$C$123:$Q$123,3*(Unit_Cost!M$6-1)+3)</f>
        <v>0.0366440561015151</v>
      </c>
      <c r="N79" s="178" t="n">
        <f aca="false">INDEX(Training!$C$123:$Q$123,3*(Unit_Cost!N$6-1)+3)</f>
        <v>0.0366440561015151</v>
      </c>
      <c r="O79" s="178" t="n">
        <f aca="false">INDEX(Training!$C$123:$Q$123,3*(Unit_Cost!O$6-1)+3)</f>
        <v>0.0272504145323638</v>
      </c>
      <c r="P79" s="178" t="n">
        <f aca="false">INDEX(Training!$C$123:$Q$123,3*(Unit_Cost!P$6-1)+3)</f>
        <v>0.0272504145323638</v>
      </c>
      <c r="Q79" s="178" t="n">
        <f aca="false">INDEX(Training!$C$123:$Q$123,3*(Unit_Cost!Q$6-1)+3)</f>
        <v>0.0272504145323638</v>
      </c>
    </row>
    <row r="80" customFormat="false" ht="15" hidden="false" customHeight="true" outlineLevel="0" collapsed="false">
      <c r="A80" s="34" t="s">
        <v>1906</v>
      </c>
      <c r="B80" s="35" t="s">
        <v>75</v>
      </c>
      <c r="C80" s="179" t="n">
        <f aca="false">Train_In!$C$13</f>
        <v>8</v>
      </c>
    </row>
    <row r="81" customFormat="false" ht="15" hidden="false" customHeight="true" outlineLevel="0" collapsed="false">
      <c r="A81" s="34" t="s">
        <v>1907</v>
      </c>
      <c r="B81" s="34" t="s">
        <v>895</v>
      </c>
      <c r="C81" s="180" t="n">
        <f aca="false">Train_In!$C$16</f>
        <v>4</v>
      </c>
      <c r="D81" s="181" t="str">
        <f aca="false">INDEX(Spec_Rack!$C$4:$G$4,C81)</f>
        <v>VR200 NVL72</v>
      </c>
    </row>
    <row r="82" customFormat="false" ht="15" hidden="false" customHeight="true" outlineLevel="0" collapsed="false">
      <c r="A82" s="34" t="s">
        <v>1908</v>
      </c>
      <c r="B82" s="34" t="s">
        <v>895</v>
      </c>
      <c r="C82" s="180" t="n">
        <f aca="false">Train_In!$C$17</f>
        <v>3</v>
      </c>
      <c r="D82" s="181" t="str">
        <f aca="false">INDEX(Spec_Rack!$C$4:$G$4,C82)</f>
        <v>GB300 NVL72</v>
      </c>
    </row>
    <row r="84" customFormat="false" ht="15" hidden="false" customHeight="true" outlineLevel="0" collapsed="false">
      <c r="A84" s="33" t="s">
        <v>1909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5" customFormat="false" ht="15" hidden="false" customHeight="true" outlineLevel="0" collapsed="false">
      <c r="A85" s="8" t="s">
        <v>219</v>
      </c>
    </row>
    <row r="86" customFormat="false" ht="15" hidden="false" customHeight="true" outlineLevel="0" collapsed="false">
      <c r="A86" s="34" t="s">
        <v>1910</v>
      </c>
      <c r="B86" s="35" t="s">
        <v>758</v>
      </c>
      <c r="C86" s="37" t="n">
        <f aca="false">Price_Frontier!C41</f>
        <v>0.08</v>
      </c>
    </row>
    <row r="87" customFormat="false" ht="15" hidden="false" customHeight="true" outlineLevel="0" collapsed="false">
      <c r="A87" s="34" t="s">
        <v>1911</v>
      </c>
      <c r="B87" s="35" t="s">
        <v>758</v>
      </c>
      <c r="C87" s="37" t="n">
        <f aca="false">Price_Frontier!C42</f>
        <v>0.008</v>
      </c>
    </row>
    <row r="88" customFormat="false" ht="15" hidden="false" customHeight="true" outlineLevel="0" collapsed="false">
      <c r="A88" s="34" t="s">
        <v>1912</v>
      </c>
      <c r="B88" s="35" t="s">
        <v>758</v>
      </c>
      <c r="C88" s="37" t="n">
        <f aca="false">Price_Frontier!C43</f>
        <v>0.4</v>
      </c>
    </row>
    <row r="89" customFormat="false" ht="15" hidden="false" customHeight="true" outlineLevel="0" collapsed="false">
      <c r="A89" s="34" t="s">
        <v>1913</v>
      </c>
      <c r="B89" s="35" t="s">
        <v>758</v>
      </c>
      <c r="C89" s="37" t="n">
        <f aca="false">Price_Frontier!C44</f>
        <v>0.4</v>
      </c>
    </row>
    <row r="90" customFormat="false" ht="15" hidden="false" customHeight="true" outlineLevel="0" collapsed="false">
      <c r="A90" s="34" t="s">
        <v>1914</v>
      </c>
      <c r="B90" s="35" t="s">
        <v>758</v>
      </c>
      <c r="C90" s="47" t="n">
        <f aca="false">Price_Frontier!C45</f>
        <v>0.0803555555555556</v>
      </c>
    </row>
    <row r="91" customFormat="false" ht="15" hidden="false" customHeight="true" outlineLevel="0" collapsed="false">
      <c r="A91" s="34" t="s">
        <v>1915</v>
      </c>
      <c r="B91" s="35" t="s">
        <v>758</v>
      </c>
      <c r="C91" s="37" t="n">
        <f aca="false">Price_Frontier!C46</f>
        <v>0.0803555555555556</v>
      </c>
    </row>
    <row r="92" customFormat="false" ht="15" hidden="false" customHeight="true" outlineLevel="0" collapsed="false">
      <c r="A92" s="34" t="s">
        <v>1916</v>
      </c>
      <c r="C92" s="182" t="str">
        <f aca="false">Price_Frontier!C26</f>
        <v>GPT-6 Luna</v>
      </c>
    </row>
    <row r="93" customFormat="false" ht="15" hidden="false" customHeight="true" outlineLevel="0" collapsed="false">
      <c r="A93" s="34" t="s">
        <v>1917</v>
      </c>
      <c r="B93" s="34" t="s">
        <v>1118</v>
      </c>
      <c r="C93" s="183" t="n">
        <f aca="false">INDEX(B4_Life,1,1)</f>
        <v>12</v>
      </c>
    </row>
    <row r="94" customFormat="false" ht="15" hidden="false" customHeight="true" outlineLevel="0" collapsed="false">
      <c r="A94" s="34" t="s">
        <v>1918</v>
      </c>
      <c r="B94" s="35" t="s">
        <v>758</v>
      </c>
      <c r="C94" s="184" t="n">
        <f aca="false">Cache_Store!C17</f>
        <v>1.32943302891933E-005</v>
      </c>
      <c r="D94" s="184" t="n">
        <f aca="false">Cache_Store!D17</f>
        <v>1.32943302891933E-005</v>
      </c>
      <c r="E94" s="184" t="n">
        <f aca="false">Cache_Store!E17</f>
        <v>1.32943302891933E-005</v>
      </c>
      <c r="F94" s="184" t="n">
        <f aca="false">Cache_Store!F17</f>
        <v>1.32943302891933E-005</v>
      </c>
      <c r="G94" s="184" t="n">
        <f aca="false">Cache_Store!G17</f>
        <v>1.32943302891933E-005</v>
      </c>
      <c r="H94" s="184" t="n">
        <f aca="false">Cache_Store!H17</f>
        <v>1.32943302891933E-005</v>
      </c>
      <c r="I94" s="184" t="n">
        <f aca="false">Cache_Store!I17</f>
        <v>1.32943302891933E-005</v>
      </c>
      <c r="J94" s="184" t="n">
        <f aca="false">Cache_Store!J17</f>
        <v>1.32943302891933E-005</v>
      </c>
      <c r="K94" s="184" t="n">
        <f aca="false">Cache_Store!K17</f>
        <v>1.32943302891933E-005</v>
      </c>
      <c r="L94" s="184" t="n">
        <f aca="false">Cache_Store!L17</f>
        <v>1.32943302891933E-005</v>
      </c>
      <c r="M94" s="184" t="n">
        <f aca="false">Cache_Store!M17</f>
        <v>1.32943302891933E-005</v>
      </c>
      <c r="N94" s="184" t="n">
        <f aca="false">Cache_Store!N17</f>
        <v>1.32943302891933E-005</v>
      </c>
      <c r="O94" s="184" t="n">
        <f aca="false">Cache_Store!O17</f>
        <v>1.32943302891933E-005</v>
      </c>
      <c r="P94" s="184" t="n">
        <f aca="false">Cache_Store!P17</f>
        <v>1.32943302891933E-005</v>
      </c>
      <c r="Q94" s="184" t="n">
        <f aca="false">Cache_Store!Q17</f>
        <v>1.32943302891933E-005</v>
      </c>
    </row>
    <row r="95" customFormat="false" ht="15" hidden="false" customHeight="true" outlineLevel="0" collapsed="false">
      <c r="A95" s="34" t="s">
        <v>1919</v>
      </c>
      <c r="B95" s="35" t="s">
        <v>758</v>
      </c>
      <c r="C95" s="184" t="n">
        <f aca="false">Amortize!C13</f>
        <v>0.00827712249384378</v>
      </c>
      <c r="D95" s="184" t="n">
        <f aca="false">Amortize!D13</f>
        <v>0.011937659616069</v>
      </c>
      <c r="E95" s="184" t="n">
        <f aca="false">Amortize!E13</f>
        <v>0.0205814959290211</v>
      </c>
      <c r="F95" s="184" t="n">
        <f aca="false">Amortize!F13</f>
        <v>0.000765657663895297</v>
      </c>
      <c r="G95" s="184" t="n">
        <f aca="false">Amortize!G13</f>
        <v>0.00103062682024325</v>
      </c>
      <c r="H95" s="184" t="n">
        <f aca="false">Amortize!H13</f>
        <v>0.00167669958312219</v>
      </c>
      <c r="I95" s="184" t="n">
        <f aca="false">Amortize!I13</f>
        <v>0.000598840897771404</v>
      </c>
      <c r="J95" s="184" t="n">
        <f aca="false">Amortize!J13</f>
        <v>0.000875121919977013</v>
      </c>
      <c r="K95" s="184" t="n">
        <f aca="false">Amortize!K13</f>
        <v>0.00164174558426417</v>
      </c>
      <c r="L95" s="184" t="n">
        <f aca="false">Amortize!L13</f>
        <v>0.000255751682802361</v>
      </c>
      <c r="M95" s="184" t="n">
        <f aca="false">Amortize!M13</f>
        <v>0.000331809798671928</v>
      </c>
      <c r="N95" s="184" t="n">
        <f aca="false">Amortize!N13</f>
        <v>0.000537626093570499</v>
      </c>
      <c r="O95" s="184" t="n">
        <f aca="false">Amortize!O13</f>
        <v>0.000147693950614538</v>
      </c>
      <c r="P95" s="184" t="n">
        <f aca="false">Amortize!P13</f>
        <v>0.000227067229145128</v>
      </c>
      <c r="Q95" s="184" t="n">
        <f aca="false">Amortize!Q13</f>
        <v>0.000416204353518665</v>
      </c>
    </row>
    <row r="96" customFormat="false" ht="15" hidden="false" customHeight="true" outlineLevel="0" collapsed="false">
      <c r="A96" s="34" t="s">
        <v>1920</v>
      </c>
      <c r="B96" s="35" t="s">
        <v>758</v>
      </c>
      <c r="C96" s="173" t="n">
        <f aca="false">Amortize!C15</f>
        <v>0.179953873392506</v>
      </c>
      <c r="D96" s="173" t="n">
        <f aca="false">Amortize!D15</f>
        <v>0.259531138736387</v>
      </c>
      <c r="E96" s="173" t="n">
        <f aca="false">Amortize!E15</f>
        <v>0.447441500767285</v>
      </c>
      <c r="F96" s="173" t="n">
        <f aca="false">Amortize!F15</f>
        <v>0.0386924763046809</v>
      </c>
      <c r="G96" s="173" t="n">
        <f aca="false">Amortize!G15</f>
        <v>0.0520772864067124</v>
      </c>
      <c r="H96" s="173" t="n">
        <f aca="false">Amortize!H15</f>
        <v>0.0847133915384122</v>
      </c>
      <c r="I96" s="173" t="n">
        <f aca="false">Amortize!I15</f>
        <v>0.0339741539925062</v>
      </c>
      <c r="J96" s="173" t="n">
        <f aca="false">Amortize!J15</f>
        <v>0.0496412657893722</v>
      </c>
      <c r="K96" s="173" t="n">
        <f aca="false">Amortize!K15</f>
        <v>0.0931143156522453</v>
      </c>
      <c r="L96" s="173" t="n">
        <f aca="false">Amortize!L15</f>
        <v>0.0260115376342282</v>
      </c>
      <c r="M96" s="173" t="n">
        <f aca="false">Amortize!M15</f>
        <v>0.0337424855567829</v>
      </c>
      <c r="N96" s="173" t="n">
        <f aca="false">Amortize!N15</f>
        <v>0.0546627389614651</v>
      </c>
      <c r="O96" s="173" t="n">
        <f aca="false">Amortize!O15</f>
        <v>0.0204392169458688</v>
      </c>
      <c r="P96" s="173" t="n">
        <f aca="false">Amortize!P15</f>
        <v>0.0314152276303853</v>
      </c>
      <c r="Q96" s="173" t="n">
        <f aca="false">Amortize!Q15</f>
        <v>0.0575697614532839</v>
      </c>
    </row>
    <row r="97" customFormat="false" ht="15" hidden="false" customHeight="true" outlineLevel="0" collapsed="false">
      <c r="A97" s="34" t="s">
        <v>1921</v>
      </c>
      <c r="B97" s="35" t="s">
        <v>758</v>
      </c>
      <c r="C97" s="173" t="n">
        <f aca="false">Theory_Rev!C18</f>
        <v>0.133329814173381</v>
      </c>
      <c r="D97" s="173" t="n">
        <f aca="false">Theory_Rev!D18</f>
        <v>0.192289806873558</v>
      </c>
      <c r="E97" s="173" t="n">
        <f aca="false">Theory_Rev!E18</f>
        <v>0.331515420191033</v>
      </c>
      <c r="F97" s="173" t="n">
        <f aca="false">Theory_Rev!F18</f>
        <v>0.0276536496722329</v>
      </c>
      <c r="G97" s="173" t="n">
        <f aca="false">Theory_Rev!G18</f>
        <v>0.0372199275435518</v>
      </c>
      <c r="H97" s="173" t="n">
        <f aca="false">Theory_Rev!H18</f>
        <v>0.0605453276013408</v>
      </c>
      <c r="I97" s="173" t="n">
        <f aca="false">Theory_Rev!I18</f>
        <v>0.0242079987569706</v>
      </c>
      <c r="J97" s="173" t="n">
        <f aca="false">Theory_Rev!J18</f>
        <v>0.0353715947566594</v>
      </c>
      <c r="K97" s="173" t="n">
        <f aca="false">Theory_Rev!K18</f>
        <v>0.0663483039188753</v>
      </c>
      <c r="L97" s="173" t="n">
        <f aca="false">Theory_Rev!L18</f>
        <v>0.0183315659709948</v>
      </c>
      <c r="M97" s="173" t="n">
        <f aca="false">Theory_Rev!M18</f>
        <v>0.0237799777279617</v>
      </c>
      <c r="N97" s="173" t="n">
        <f aca="false">Theory_Rev!N18</f>
        <v>0.0385235972362836</v>
      </c>
      <c r="O97" s="173" t="n">
        <f aca="false">Theory_Rev!O18</f>
        <v>0.014351217590964</v>
      </c>
      <c r="P97" s="173" t="n">
        <f aca="false">Theory_Rev!P18</f>
        <v>0.0220579881248366</v>
      </c>
      <c r="Q97" s="173" t="n">
        <f aca="false">Theory_Rev!Q18</f>
        <v>0.0404223097702075</v>
      </c>
    </row>
    <row r="98" customFormat="false" ht="15" hidden="false" customHeight="true" outlineLevel="0" collapsed="false">
      <c r="A98" s="34" t="s">
        <v>1922</v>
      </c>
      <c r="B98" s="35" t="s">
        <v>758</v>
      </c>
      <c r="C98" s="185" t="n">
        <f aca="false">Amortize!C43</f>
        <v>0.0180725621398525</v>
      </c>
      <c r="D98" s="185" t="n">
        <f aca="false">Amortize!D43</f>
        <v>0.0260645398483557</v>
      </c>
      <c r="E98" s="185" t="n">
        <f aca="false">Amortize!E43</f>
        <v>0.0449364553138847</v>
      </c>
      <c r="F98" s="185" t="n">
        <f aca="false">Amortize!F43</f>
        <v>0.00362791269386975</v>
      </c>
      <c r="G98" s="185" t="n">
        <f aca="false">Amortize!G43</f>
        <v>0.00488298770183101</v>
      </c>
      <c r="H98" s="185" t="n">
        <f aca="false">Amortize!H43</f>
        <v>0.007943229841671</v>
      </c>
      <c r="I98" s="185" t="n">
        <f aca="false">Amortize!I43</f>
        <v>0.00308073018120975</v>
      </c>
      <c r="J98" s="185" t="n">
        <f aca="false">Amortize!J43</f>
        <v>0.0045015398489172</v>
      </c>
      <c r="K98" s="185" t="n">
        <f aca="false">Amortize!K43</f>
        <v>0.00844399780356416</v>
      </c>
      <c r="L98" s="185" t="n">
        <f aca="false">Amortize!L43</f>
        <v>0.00229179066561936</v>
      </c>
      <c r="M98" s="185" t="n">
        <f aca="false">Amortize!M43</f>
        <v>0.00297297044166871</v>
      </c>
      <c r="N98" s="185" t="n">
        <f aca="false">Amortize!N43</f>
        <v>0.00481627008252154</v>
      </c>
      <c r="O98" s="185" t="n">
        <f aca="false">Amortize!O43</f>
        <v>0.00177119246268375</v>
      </c>
      <c r="P98" s="185" t="n">
        <f aca="false">Amortize!P43</f>
        <v>0.00272236950185195</v>
      </c>
      <c r="Q98" s="185" t="n">
        <f aca="false">Amortize!Q43</f>
        <v>0.00498891176001349</v>
      </c>
    </row>
    <row r="99" customFormat="false" ht="15" hidden="false" customHeight="true" outlineLevel="0" collapsed="false">
      <c r="A99" s="34" t="s">
        <v>1923</v>
      </c>
      <c r="B99" s="35" t="s">
        <v>758</v>
      </c>
      <c r="C99" s="184" t="n">
        <f aca="false">Amortize!C44</f>
        <v>0.00807015897508771</v>
      </c>
      <c r="D99" s="184" t="n">
        <f aca="false">Amortize!D44</f>
        <v>0.0116389130971585</v>
      </c>
      <c r="E99" s="184" t="n">
        <f aca="false">Amortize!E44</f>
        <v>0.0200660169462245</v>
      </c>
      <c r="F99" s="184" t="n">
        <f aca="false">Amortize!F44</f>
        <v>0.00171017405577331</v>
      </c>
      <c r="G99" s="184" t="n">
        <f aca="false">Amortize!G44</f>
        <v>0.00230180811584639</v>
      </c>
      <c r="H99" s="184" t="n">
        <f aca="false">Amortize!H44</f>
        <v>0.00374438602594382</v>
      </c>
      <c r="I99" s="184" t="n">
        <f aca="false">Amortize!I44</f>
        <v>0.00153234517249265</v>
      </c>
      <c r="J99" s="184" t="n">
        <f aca="false">Amortize!J44</f>
        <v>0.00223905128022698</v>
      </c>
      <c r="K99" s="184" t="n">
        <f aca="false">Amortize!K44</f>
        <v>0.00420001704457907</v>
      </c>
      <c r="L99" s="184" t="n">
        <f aca="false">Amortize!L44</f>
        <v>0.00110260862382111</v>
      </c>
      <c r="M99" s="184" t="n">
        <f aca="false">Amortize!M44</f>
        <v>0.00143033257641063</v>
      </c>
      <c r="N99" s="184" t="n">
        <f aca="false">Amortize!N44</f>
        <v>0.00231716666242931</v>
      </c>
      <c r="O99" s="184" t="n">
        <f aca="false">Amortize!O44</f>
        <v>0.000854034926349857</v>
      </c>
      <c r="P99" s="184" t="n">
        <f aca="false">Amortize!P44</f>
        <v>0.00131267419323157</v>
      </c>
      <c r="Q99" s="184" t="n">
        <f aca="false">Amortize!Q44</f>
        <v>0.00240555726003551</v>
      </c>
    </row>
    <row r="100" customFormat="false" ht="15" hidden="false" customHeight="true" outlineLevel="0" collapsed="false">
      <c r="A100" s="34" t="s">
        <v>1924</v>
      </c>
      <c r="B100" s="35" t="s">
        <v>758</v>
      </c>
      <c r="C100" s="186" t="n">
        <f aca="false">Theory_Rev!C20</f>
        <v>0.14312525381939</v>
      </c>
      <c r="D100" s="186" t="n">
        <f aca="false">Theory_Rev!D20</f>
        <v>0.206416687105845</v>
      </c>
      <c r="E100" s="186" t="n">
        <f aca="false">Theory_Rev!E20</f>
        <v>0.355870379575896</v>
      </c>
      <c r="F100" s="186" t="n">
        <f aca="false">Theory_Rev!F20</f>
        <v>0.0305159047022073</v>
      </c>
      <c r="G100" s="186" t="n">
        <f aca="false">Theory_Rev!G20</f>
        <v>0.0410722884251396</v>
      </c>
      <c r="H100" s="186" t="n">
        <f aca="false">Theory_Rev!H20</f>
        <v>0.0668118578598896</v>
      </c>
      <c r="I100" s="186" t="n">
        <f aca="false">Theory_Rev!I20</f>
        <v>0.026689888040409</v>
      </c>
      <c r="J100" s="186" t="n">
        <f aca="false">Theory_Rev!J20</f>
        <v>0.0389980126855996</v>
      </c>
      <c r="K100" s="186" t="n">
        <f aca="false">Theory_Rev!K20</f>
        <v>0.0731505561381752</v>
      </c>
      <c r="L100" s="186" t="n">
        <f aca="false">Theory_Rev!L20</f>
        <v>0.0203676049538118</v>
      </c>
      <c r="M100" s="186" t="n">
        <f aca="false">Theory_Rev!M20</f>
        <v>0.0264211383709585</v>
      </c>
      <c r="N100" s="186" t="n">
        <f aca="false">Theory_Rev!N20</f>
        <v>0.0428022412252346</v>
      </c>
      <c r="O100" s="186" t="n">
        <f aca="false">Theory_Rev!O20</f>
        <v>0.0159747161030332</v>
      </c>
      <c r="P100" s="186" t="n">
        <f aca="false">Theory_Rev!P20</f>
        <v>0.0245532903975434</v>
      </c>
      <c r="Q100" s="186" t="n">
        <f aca="false">Theory_Rev!Q20</f>
        <v>0.0449950171767023</v>
      </c>
    </row>
    <row r="101" customFormat="false" ht="15" hidden="false" customHeight="true" outlineLevel="0" collapsed="false">
      <c r="A101" s="34" t="s">
        <v>1925</v>
      </c>
      <c r="B101" s="35" t="s">
        <v>1349</v>
      </c>
      <c r="C101" s="187" t="n">
        <f aca="false">Theory_Rev!C11</f>
        <v>3.57102907624799</v>
      </c>
      <c r="D101" s="187" t="n">
        <f aca="false">Theory_Rev!D11</f>
        <v>3.57102907624799</v>
      </c>
      <c r="E101" s="187" t="n">
        <f aca="false">Theory_Rev!E11</f>
        <v>3.57102907624799</v>
      </c>
      <c r="F101" s="187" t="n">
        <f aca="false">Theory_Rev!F11</f>
        <v>17.4680230535144</v>
      </c>
      <c r="G101" s="187" t="n">
        <f aca="false">Theory_Rev!G11</f>
        <v>17.4680230535144</v>
      </c>
      <c r="H101" s="187" t="n">
        <f aca="false">Theory_Rev!H11</f>
        <v>17.4680230535144</v>
      </c>
      <c r="I101" s="187" t="n">
        <f aca="false">Theory_Rev!I11</f>
        <v>25.4312759220773</v>
      </c>
      <c r="J101" s="187" t="n">
        <f aca="false">Theory_Rev!J11</f>
        <v>25.4312759220773</v>
      </c>
      <c r="K101" s="187" t="n">
        <f aca="false">Theory_Rev!K11</f>
        <v>25.4312759220773</v>
      </c>
      <c r="L101" s="187" t="n">
        <f aca="false">Theory_Rev!L11</f>
        <v>37.2582226398973</v>
      </c>
      <c r="M101" s="187" t="n">
        <f aca="false">Theory_Rev!M11</f>
        <v>37.2582226398973</v>
      </c>
      <c r="N101" s="187" t="n">
        <f aca="false">Theory_Rev!N11</f>
        <v>37.2582226398973</v>
      </c>
      <c r="O101" s="187" t="n">
        <f aca="false">Theory_Rev!O11</f>
        <v>50.3527379522069</v>
      </c>
      <c r="P101" s="187" t="n">
        <f aca="false">Theory_Rev!P11</f>
        <v>50.3527379522069</v>
      </c>
      <c r="Q101" s="187" t="n">
        <f aca="false">Theory_Rev!Q11</f>
        <v>50.3527379522069</v>
      </c>
    </row>
    <row r="102" customFormat="false" ht="15" hidden="false" customHeight="true" outlineLevel="0" collapsed="false">
      <c r="A102" s="34" t="s">
        <v>1926</v>
      </c>
      <c r="B102" s="35" t="s">
        <v>1349</v>
      </c>
      <c r="C102" s="175" t="n">
        <f aca="false">Theory_Rev!C12</f>
        <v>3.57102907624799</v>
      </c>
      <c r="D102" s="175" t="n">
        <f aca="false">Theory_Rev!D12</f>
        <v>3.57102907624799</v>
      </c>
      <c r="E102" s="175" t="n">
        <f aca="false">Theory_Rev!E12</f>
        <v>3.57102907624799</v>
      </c>
      <c r="F102" s="175" t="n">
        <f aca="false">Theory_Rev!F12</f>
        <v>17.4680230535144</v>
      </c>
      <c r="G102" s="175" t="n">
        <f aca="false">Theory_Rev!G12</f>
        <v>17.4680230535144</v>
      </c>
      <c r="H102" s="175" t="n">
        <f aca="false">Theory_Rev!H12</f>
        <v>17.4680230535144</v>
      </c>
      <c r="I102" s="175" t="n">
        <f aca="false">Theory_Rev!I12</f>
        <v>25.4312759220773</v>
      </c>
      <c r="J102" s="175" t="n">
        <f aca="false">Theory_Rev!J12</f>
        <v>25.4312759220773</v>
      </c>
      <c r="K102" s="175" t="n">
        <f aca="false">Theory_Rev!K12</f>
        <v>25.4312759220773</v>
      </c>
      <c r="L102" s="175" t="n">
        <f aca="false">Theory_Rev!L12</f>
        <v>37.2582226398973</v>
      </c>
      <c r="M102" s="175" t="n">
        <f aca="false">Theory_Rev!M12</f>
        <v>37.2582226398973</v>
      </c>
      <c r="N102" s="175" t="n">
        <f aca="false">Theory_Rev!N12</f>
        <v>37.2582226398973</v>
      </c>
      <c r="O102" s="175" t="n">
        <f aca="false">Theory_Rev!O12</f>
        <v>50.3527379522069</v>
      </c>
      <c r="P102" s="175" t="n">
        <f aca="false">Theory_Rev!P12</f>
        <v>50.3527379522069</v>
      </c>
      <c r="Q102" s="175" t="n">
        <f aca="false">Theory_Rev!Q12</f>
        <v>50.3527379522069</v>
      </c>
    </row>
    <row r="103" customFormat="false" ht="15" hidden="false" customHeight="true" outlineLevel="0" collapsed="false">
      <c r="A103" s="8" t="s">
        <v>220</v>
      </c>
      <c r="B103" s="188"/>
      <c r="C103" s="37"/>
    </row>
    <row r="104" customFormat="false" ht="15" hidden="false" customHeight="true" outlineLevel="0" collapsed="false">
      <c r="A104" s="34" t="s">
        <v>1927</v>
      </c>
      <c r="B104" s="35" t="s">
        <v>758</v>
      </c>
      <c r="C104" s="37" t="n">
        <f aca="false">Price_Frontier!D41</f>
        <v>1.6</v>
      </c>
    </row>
    <row r="105" customFormat="false" ht="15" hidden="false" customHeight="true" outlineLevel="0" collapsed="false">
      <c r="A105" s="34" t="s">
        <v>1928</v>
      </c>
      <c r="B105" s="35" t="s">
        <v>758</v>
      </c>
      <c r="C105" s="37" t="n">
        <f aca="false">Price_Frontier!D42</f>
        <v>0.16</v>
      </c>
    </row>
    <row r="106" customFormat="false" ht="15" hidden="false" customHeight="true" outlineLevel="0" collapsed="false">
      <c r="A106" s="34" t="s">
        <v>1929</v>
      </c>
      <c r="B106" s="35" t="s">
        <v>758</v>
      </c>
      <c r="C106" s="37" t="n">
        <f aca="false">Price_Frontier!D43</f>
        <v>8</v>
      </c>
    </row>
    <row r="107" customFormat="false" ht="15" hidden="false" customHeight="true" outlineLevel="0" collapsed="false">
      <c r="A107" s="34" t="s">
        <v>1930</v>
      </c>
      <c r="B107" s="35" t="s">
        <v>758</v>
      </c>
      <c r="C107" s="37" t="n">
        <f aca="false">Price_Frontier!D44</f>
        <v>8</v>
      </c>
    </row>
    <row r="108" customFormat="false" ht="15" hidden="false" customHeight="true" outlineLevel="0" collapsed="false">
      <c r="A108" s="34" t="s">
        <v>1931</v>
      </c>
      <c r="B108" s="35" t="s">
        <v>758</v>
      </c>
      <c r="C108" s="47" t="n">
        <f aca="false">Price_Frontier!D45</f>
        <v>1.60711111111111</v>
      </c>
    </row>
    <row r="109" customFormat="false" ht="15" hidden="false" customHeight="true" outlineLevel="0" collapsed="false">
      <c r="A109" s="34" t="s">
        <v>1932</v>
      </c>
      <c r="B109" s="35" t="s">
        <v>758</v>
      </c>
      <c r="C109" s="37" t="n">
        <f aca="false">Price_Frontier!D46</f>
        <v>1.60711111111111</v>
      </c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</row>
    <row r="110" customFormat="false" ht="15" hidden="false" customHeight="true" outlineLevel="0" collapsed="false">
      <c r="A110" s="34" t="s">
        <v>1933</v>
      </c>
      <c r="B110" s="188"/>
      <c r="C110" s="184" t="str">
        <f aca="false">Price_Frontier!D26</f>
        <v>GPT-6 Sol</v>
      </c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</row>
    <row r="111" customFormat="false" ht="15" hidden="false" customHeight="true" outlineLevel="0" collapsed="false">
      <c r="A111" s="34" t="s">
        <v>1934</v>
      </c>
      <c r="B111" s="34" t="s">
        <v>1118</v>
      </c>
      <c r="C111" s="183" t="n">
        <f aca="false">INDEX(B4_Life,1,2)</f>
        <v>12</v>
      </c>
      <c r="D111" s="173"/>
      <c r="E111" s="173"/>
      <c r="F111" s="173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</row>
    <row r="112" customFormat="false" ht="15" hidden="false" customHeight="true" outlineLevel="0" collapsed="false">
      <c r="A112" s="34" t="s">
        <v>1935</v>
      </c>
      <c r="B112" s="35" t="s">
        <v>758</v>
      </c>
      <c r="C112" s="184" t="n">
        <f aca="false">Cache_Store!C23</f>
        <v>1.8859398782344E-005</v>
      </c>
      <c r="D112" s="184" t="n">
        <f aca="false">Cache_Store!D23</f>
        <v>1.8859398782344E-005</v>
      </c>
      <c r="E112" s="184" t="n">
        <f aca="false">Cache_Store!E23</f>
        <v>1.8859398782344E-005</v>
      </c>
      <c r="F112" s="184" t="n">
        <f aca="false">Cache_Store!F23</f>
        <v>1.8859398782344E-005</v>
      </c>
      <c r="G112" s="184" t="n">
        <f aca="false">Cache_Store!G23</f>
        <v>1.8859398782344E-005</v>
      </c>
      <c r="H112" s="184" t="n">
        <f aca="false">Cache_Store!H23</f>
        <v>1.8859398782344E-005</v>
      </c>
      <c r="I112" s="184" t="n">
        <f aca="false">Cache_Store!I23</f>
        <v>1.8859398782344E-005</v>
      </c>
      <c r="J112" s="184" t="n">
        <f aca="false">Cache_Store!J23</f>
        <v>1.8859398782344E-005</v>
      </c>
      <c r="K112" s="184" t="n">
        <f aca="false">Cache_Store!K23</f>
        <v>1.8859398782344E-005</v>
      </c>
      <c r="L112" s="184" t="n">
        <f aca="false">Cache_Store!L23</f>
        <v>1.8859398782344E-005</v>
      </c>
      <c r="M112" s="184" t="n">
        <f aca="false">Cache_Store!M23</f>
        <v>1.8859398782344E-005</v>
      </c>
      <c r="N112" s="184" t="n">
        <f aca="false">Cache_Store!N23</f>
        <v>1.8859398782344E-005</v>
      </c>
      <c r="O112" s="184" t="n">
        <f aca="false">Cache_Store!O23</f>
        <v>1.8859398782344E-005</v>
      </c>
      <c r="P112" s="184" t="n">
        <f aca="false">Cache_Store!P23</f>
        <v>1.8859398782344E-005</v>
      </c>
      <c r="Q112" s="184" t="n">
        <f aca="false">Cache_Store!Q23</f>
        <v>1.8859398782344E-005</v>
      </c>
    </row>
    <row r="113" customFormat="false" ht="15" hidden="false" customHeight="true" outlineLevel="0" collapsed="false">
      <c r="A113" s="34" t="s">
        <v>1936</v>
      </c>
      <c r="B113" s="35" t="s">
        <v>758</v>
      </c>
      <c r="C113" s="184" t="n">
        <f aca="false">Amortize!C22</f>
        <v>0.101738122291778</v>
      </c>
      <c r="D113" s="184" t="n">
        <f aca="false">Amortize!D22</f>
        <v>0.146731557349859</v>
      </c>
      <c r="E113" s="184" t="n">
        <f aca="false">Amortize!E22</f>
        <v>0.252977136840958</v>
      </c>
      <c r="F113" s="184" t="n">
        <f aca="false">Amortize!F22</f>
        <v>0.00963802065932426</v>
      </c>
      <c r="G113" s="184" t="n">
        <f aca="false">Amortize!G22</f>
        <v>0.0129734254014029</v>
      </c>
      <c r="H113" s="184" t="n">
        <f aca="false">Amortize!H22</f>
        <v>0.0211061235113842</v>
      </c>
      <c r="I113" s="184" t="n">
        <f aca="false">Amortize!I22</f>
        <v>0.00823722742149252</v>
      </c>
      <c r="J113" s="184" t="n">
        <f aca="false">Amortize!J22</f>
        <v>0.0120375517156739</v>
      </c>
      <c r="K113" s="184" t="n">
        <f aca="false">Amortize!K22</f>
        <v>0.0225826789655528</v>
      </c>
      <c r="L113" s="184" t="n">
        <f aca="false">Amortize!L22</f>
        <v>0.0031115933371405</v>
      </c>
      <c r="M113" s="184" t="n">
        <f aca="false">Amortize!M22</f>
        <v>0.00403695157518615</v>
      </c>
      <c r="N113" s="184" t="n">
        <f aca="false">Amortize!N22</f>
        <v>0.00654100787254486</v>
      </c>
      <c r="O113" s="184" t="n">
        <f aca="false">Amortize!O22</f>
        <v>0.00176605230692287</v>
      </c>
      <c r="P113" s="184" t="n">
        <f aca="false">Amortize!P22</f>
        <v>0.00271515930198745</v>
      </c>
      <c r="Q113" s="184" t="n">
        <f aca="false">Amortize!Q22</f>
        <v>0.00497676889015811</v>
      </c>
    </row>
    <row r="114" customFormat="false" ht="15" hidden="false" customHeight="true" outlineLevel="0" collapsed="false">
      <c r="A114" s="34" t="s">
        <v>1937</v>
      </c>
      <c r="B114" s="35" t="s">
        <v>758</v>
      </c>
      <c r="C114" s="173" t="n">
        <f aca="false">Amortize!C24</f>
        <v>0.619028584300753</v>
      </c>
      <c r="D114" s="173" t="n">
        <f aca="false">Amortize!D24</f>
        <v>0.892782677879544</v>
      </c>
      <c r="E114" s="173" t="n">
        <f aca="false">Amortize!E24</f>
        <v>1.53921392441127</v>
      </c>
      <c r="F114" s="173" t="n">
        <f aca="false">Amortize!F24</f>
        <v>0.134626443431465</v>
      </c>
      <c r="G114" s="173" t="n">
        <f aca="false">Amortize!G24</f>
        <v>0.181208613844216</v>
      </c>
      <c r="H114" s="173" t="n">
        <f aca="false">Amortize!H24</f>
        <v>0.294789650800622</v>
      </c>
      <c r="I114" s="173" t="n">
        <f aca="false">Amortize!I24</f>
        <v>0.118192844548193</v>
      </c>
      <c r="J114" s="173" t="n">
        <f aca="false">Amortize!J24</f>
        <v>0.172712050778828</v>
      </c>
      <c r="K114" s="173" t="n">
        <f aca="false">Amortize!K24</f>
        <v>0.323991763445636</v>
      </c>
      <c r="L114" s="173" t="n">
        <f aca="false">Amortize!L24</f>
        <v>0.0836413668583142</v>
      </c>
      <c r="M114" s="173" t="n">
        <f aca="false">Amortize!M24</f>
        <v>0.108508936843073</v>
      </c>
      <c r="N114" s="173" t="n">
        <f aca="false">Amortize!N24</f>
        <v>0.175801572992136</v>
      </c>
      <c r="O114" s="173" t="n">
        <f aca="false">Amortize!O24</f>
        <v>0.0643365841669173</v>
      </c>
      <c r="P114" s="173" t="n">
        <f aca="false">Amortize!P24</f>
        <v>0.0989002909601887</v>
      </c>
      <c r="Q114" s="173" t="n">
        <f aca="false">Amortize!Q24</f>
        <v>0.181261511658034</v>
      </c>
    </row>
    <row r="115" customFormat="false" ht="15" hidden="false" customHeight="true" outlineLevel="0" collapsed="false">
      <c r="A115" s="34" t="s">
        <v>1938</v>
      </c>
      <c r="B115" s="35" t="s">
        <v>758</v>
      </c>
      <c r="C115" s="173" t="n">
        <f aca="false">Theory_Rev!C36</f>
        <v>0.531910528331284</v>
      </c>
      <c r="D115" s="173" t="n">
        <f aca="false">Theory_Rev!D36</f>
        <v>0.767139858927169</v>
      </c>
      <c r="E115" s="173" t="n">
        <f aca="false">Theory_Rev!E36</f>
        <v>1.32260037244879</v>
      </c>
      <c r="F115" s="173" t="n">
        <f aca="false">Theory_Rev!F36</f>
        <v>0.103191989823563</v>
      </c>
      <c r="G115" s="173" t="n">
        <f aca="false">Theory_Rev!G36</f>
        <v>0.138898055360943</v>
      </c>
      <c r="H115" s="173" t="n">
        <f aca="false">Theory_Rev!H36</f>
        <v>0.22595994864402</v>
      </c>
      <c r="I115" s="173" t="n">
        <f aca="false">Theory_Rev!I36</f>
        <v>0.0903712380397286</v>
      </c>
      <c r="J115" s="173" t="n">
        <f aca="false">Theory_Rev!J36</f>
        <v>0.132057790392487</v>
      </c>
      <c r="K115" s="173" t="n">
        <f aca="false">Theory_Rev!K36</f>
        <v>0.247729497631164</v>
      </c>
      <c r="L115" s="173" t="n">
        <f aca="false">Theory_Rev!L36</f>
        <v>0.0612352550522402</v>
      </c>
      <c r="M115" s="173" t="n">
        <f aca="false">Theory_Rev!M36</f>
        <v>0.0794414670085081</v>
      </c>
      <c r="N115" s="173" t="n">
        <f aca="false">Theory_Rev!N36</f>
        <v>0.12870820266369</v>
      </c>
      <c r="O115" s="173" t="n">
        <f aca="false">Theory_Rev!O36</f>
        <v>0.0464745260500349</v>
      </c>
      <c r="P115" s="173" t="n">
        <f aca="false">Theory_Rev!P36</f>
        <v>0.0714424801387287</v>
      </c>
      <c r="Q115" s="173" t="n">
        <f aca="false">Theory_Rev!Q36</f>
        <v>0.130938158347436</v>
      </c>
    </row>
    <row r="116" customFormat="false" ht="15" hidden="false" customHeight="true" outlineLevel="0" collapsed="false">
      <c r="A116" s="34" t="s">
        <v>1939</v>
      </c>
      <c r="B116" s="35" t="s">
        <v>758</v>
      </c>
      <c r="C116" s="185" t="n">
        <f aca="false">Amortize!C45</f>
        <v>0.222138616225337</v>
      </c>
      <c r="D116" s="185" t="n">
        <f aca="false">Amortize!D45</f>
        <v>0.320371885826652</v>
      </c>
      <c r="E116" s="185" t="n">
        <f aca="false">Amortize!E45</f>
        <v>0.552335741011847</v>
      </c>
      <c r="F116" s="185" t="n">
        <f aca="false">Amortize!F45</f>
        <v>0.0456677953379997</v>
      </c>
      <c r="G116" s="185" t="n">
        <f aca="false">Amortize!G45</f>
        <v>0.0614665516570984</v>
      </c>
      <c r="H116" s="185" t="n">
        <f aca="false">Amortize!H45</f>
        <v>0.099988567901614</v>
      </c>
      <c r="I116" s="185" t="n">
        <f aca="false">Amortize!I45</f>
        <v>0.0423763226949267</v>
      </c>
      <c r="J116" s="185" t="n">
        <f aca="false">Amortize!J45</f>
        <v>0.0619199650866143</v>
      </c>
      <c r="K116" s="185" t="n">
        <f aca="false">Amortize!K45</f>
        <v>0.116149599189688</v>
      </c>
      <c r="L116" s="185" t="n">
        <f aca="false">Amortize!L45</f>
        <v>0.0278829858991495</v>
      </c>
      <c r="M116" s="185" t="n">
        <f aca="false">Amortize!M45</f>
        <v>0.0361705343106607</v>
      </c>
      <c r="N116" s="185" t="n">
        <f aca="false">Amortize!N45</f>
        <v>0.0585969708368418</v>
      </c>
      <c r="O116" s="185" t="n">
        <f aca="false">Amortize!O45</f>
        <v>0.021179056567393</v>
      </c>
      <c r="P116" s="185" t="n">
        <f aca="false">Amortize!P45</f>
        <v>0.0325527682009804</v>
      </c>
      <c r="Q116" s="185" t="n">
        <f aca="false">Amortize!Q45</f>
        <v>0.0596549762948735</v>
      </c>
    </row>
    <row r="117" customFormat="false" ht="15" hidden="false" customHeight="true" outlineLevel="0" collapsed="false">
      <c r="A117" s="34" t="s">
        <v>1940</v>
      </c>
      <c r="B117" s="35" t="s">
        <v>758</v>
      </c>
      <c r="C117" s="184" t="n">
        <f aca="false">Amortize!C46</f>
        <v>0.784158801871672</v>
      </c>
      <c r="D117" s="184" t="n">
        <f aca="false">Amortize!D46</f>
        <v>1.13092643868978</v>
      </c>
      <c r="E117" s="184" t="n">
        <f aca="false">Amortize!E46</f>
        <v>1.94976875368395</v>
      </c>
      <c r="F117" s="184" t="n">
        <f aca="false">Amortize!F46</f>
        <v>0.163739515217464</v>
      </c>
      <c r="G117" s="184" t="n">
        <f aca="false">Amortize!G46</f>
        <v>0.220385137840186</v>
      </c>
      <c r="H117" s="184" t="n">
        <f aca="false">Amortize!H46</f>
        <v>0.358503832171545</v>
      </c>
      <c r="I117" s="184" t="n">
        <f aca="false">Amortize!I46</f>
        <v>0.154367842758916</v>
      </c>
      <c r="J117" s="184" t="n">
        <f aca="false">Amortize!J46</f>
        <v>0.225561134762464</v>
      </c>
      <c r="K117" s="184" t="n">
        <f aca="false">Amortize!K46</f>
        <v>0.423108045341824</v>
      </c>
      <c r="L117" s="184" t="n">
        <f aca="false">Amortize!L46</f>
        <v>0.10043025719765</v>
      </c>
      <c r="M117" s="184" t="n">
        <f aca="false">Amortize!M46</f>
        <v>0.130280740984303</v>
      </c>
      <c r="N117" s="184" t="n">
        <f aca="false">Amortize!N46</f>
        <v>0.211057340610236</v>
      </c>
      <c r="O117" s="184" t="n">
        <f aca="false">Amortize!O46</f>
        <v>0.0762686061538966</v>
      </c>
      <c r="P117" s="184" t="n">
        <f aca="false">Amortize!P46</f>
        <v>0.11722685801605</v>
      </c>
      <c r="Q117" s="184" t="n">
        <f aca="false">Amortize!Q46</f>
        <v>0.21482552245309</v>
      </c>
    </row>
    <row r="118" customFormat="false" ht="15" hidden="false" customHeight="true" outlineLevel="0" collapsed="false">
      <c r="A118" s="34" t="s">
        <v>1941</v>
      </c>
      <c r="B118" s="35" t="s">
        <v>758</v>
      </c>
      <c r="C118" s="186" t="n">
        <f aca="false">Theory_Rev!C38</f>
        <v>0.652311022264843</v>
      </c>
      <c r="D118" s="186" t="n">
        <f aca="false">Theory_Rev!D38</f>
        <v>0.940780187403963</v>
      </c>
      <c r="E118" s="186" t="n">
        <f aca="false">Theory_Rev!E38</f>
        <v>1.62195897661968</v>
      </c>
      <c r="F118" s="186" t="n">
        <f aca="false">Theory_Rev!F38</f>
        <v>0.139221764502238</v>
      </c>
      <c r="G118" s="186" t="n">
        <f aca="false">Theory_Rev!G38</f>
        <v>0.187391181616638</v>
      </c>
      <c r="H118" s="186" t="n">
        <f aca="false">Theory_Rev!H38</f>
        <v>0.304842393034249</v>
      </c>
      <c r="I118" s="186" t="n">
        <f aca="false">Theory_Rev!I38</f>
        <v>0.124510333313163</v>
      </c>
      <c r="J118" s="186" t="n">
        <f aca="false">Theory_Rev!J38</f>
        <v>0.181940203763427</v>
      </c>
      <c r="K118" s="186" t="n">
        <f aca="false">Theory_Rev!K38</f>
        <v>0.341296417855299</v>
      </c>
      <c r="L118" s="186" t="n">
        <f aca="false">Theory_Rev!L38</f>
        <v>0.0860066476142492</v>
      </c>
      <c r="M118" s="186" t="n">
        <f aca="false">Theory_Rev!M38</f>
        <v>0.111575049743983</v>
      </c>
      <c r="N118" s="186" t="n">
        <f aca="false">Theory_Rev!N38</f>
        <v>0.180764165627987</v>
      </c>
      <c r="O118" s="186" t="n">
        <f aca="false">Theory_Rev!O38</f>
        <v>0.0658875303105049</v>
      </c>
      <c r="P118" s="186" t="n">
        <f aca="false">Theory_Rev!P38</f>
        <v>0.101280089037722</v>
      </c>
      <c r="Q118" s="186" t="n">
        <f aca="false">Theory_Rev!Q38</f>
        <v>0.185616365752151</v>
      </c>
    </row>
    <row r="119" customFormat="false" ht="15" hidden="false" customHeight="true" outlineLevel="0" collapsed="false">
      <c r="A119" s="34" t="s">
        <v>1942</v>
      </c>
      <c r="B119" s="35" t="s">
        <v>1349</v>
      </c>
      <c r="C119" s="187" t="n">
        <f aca="false">Theory_Rev!C29</f>
        <v>20.7225049979976</v>
      </c>
      <c r="D119" s="187" t="n">
        <f aca="false">Theory_Rev!D29</f>
        <v>20.7225049979976</v>
      </c>
      <c r="E119" s="187" t="n">
        <f aca="false">Theory_Rev!E29</f>
        <v>20.7225049979976</v>
      </c>
      <c r="F119" s="187" t="n">
        <f aca="false">Theory_Rev!F29</f>
        <v>100.404653415384</v>
      </c>
      <c r="G119" s="187" t="n">
        <f aca="false">Theory_Rev!G29</f>
        <v>100.404653415384</v>
      </c>
      <c r="H119" s="187" t="n">
        <f aca="false">Theory_Rev!H29</f>
        <v>100.404653415384</v>
      </c>
      <c r="I119" s="187" t="n">
        <f aca="false">Theory_Rev!I29</f>
        <v>146.176727443319</v>
      </c>
      <c r="J119" s="187" t="n">
        <f aca="false">Theory_Rev!J29</f>
        <v>146.176727443319</v>
      </c>
      <c r="K119" s="187" t="n">
        <f aca="false">Theory_Rev!K29</f>
        <v>146.176727443319</v>
      </c>
      <c r="L119" s="187" t="n">
        <f aca="false">Theory_Rev!L29</f>
        <v>228.808271164193</v>
      </c>
      <c r="M119" s="187" t="n">
        <f aca="false">Theory_Rev!M29</f>
        <v>228.808271164193</v>
      </c>
      <c r="N119" s="187" t="n">
        <f aca="false">Theory_Rev!N29</f>
        <v>228.808271164193</v>
      </c>
      <c r="O119" s="187" t="n">
        <f aca="false">Theory_Rev!O29</f>
        <v>314.529969229019</v>
      </c>
      <c r="P119" s="187" t="n">
        <f aca="false">Theory_Rev!P29</f>
        <v>314.529969229019</v>
      </c>
      <c r="Q119" s="187" t="n">
        <f aca="false">Theory_Rev!Q29</f>
        <v>314.529969229019</v>
      </c>
    </row>
    <row r="120" customFormat="false" ht="15" hidden="false" customHeight="true" outlineLevel="0" collapsed="false">
      <c r="A120" s="34" t="s">
        <v>1943</v>
      </c>
      <c r="B120" s="35" t="s">
        <v>1349</v>
      </c>
      <c r="C120" s="175" t="n">
        <f aca="false">Theory_Rev!C30</f>
        <v>20.7225049979976</v>
      </c>
      <c r="D120" s="175" t="n">
        <f aca="false">Theory_Rev!D30</f>
        <v>20.7225049979976</v>
      </c>
      <c r="E120" s="175" t="n">
        <f aca="false">Theory_Rev!E30</f>
        <v>20.7225049979976</v>
      </c>
      <c r="F120" s="175" t="n">
        <f aca="false">Theory_Rev!F30</f>
        <v>100.404653415384</v>
      </c>
      <c r="G120" s="175" t="n">
        <f aca="false">Theory_Rev!G30</f>
        <v>100.404653415384</v>
      </c>
      <c r="H120" s="175" t="n">
        <f aca="false">Theory_Rev!H30</f>
        <v>100.404653415384</v>
      </c>
      <c r="I120" s="175" t="n">
        <f aca="false">Theory_Rev!I30</f>
        <v>146.176727443319</v>
      </c>
      <c r="J120" s="175" t="n">
        <f aca="false">Theory_Rev!J30</f>
        <v>146.176727443319</v>
      </c>
      <c r="K120" s="175" t="n">
        <f aca="false">Theory_Rev!K30</f>
        <v>146.176727443319</v>
      </c>
      <c r="L120" s="175" t="n">
        <f aca="false">Theory_Rev!L30</f>
        <v>228.808271164193</v>
      </c>
      <c r="M120" s="175" t="n">
        <f aca="false">Theory_Rev!M30</f>
        <v>228.808271164193</v>
      </c>
      <c r="N120" s="175" t="n">
        <f aca="false">Theory_Rev!N30</f>
        <v>228.808271164193</v>
      </c>
      <c r="O120" s="175" t="n">
        <f aca="false">Theory_Rev!O30</f>
        <v>314.529969229019</v>
      </c>
      <c r="P120" s="175" t="n">
        <f aca="false">Theory_Rev!P30</f>
        <v>314.529969229019</v>
      </c>
      <c r="Q120" s="175" t="n">
        <f aca="false">Theory_Rev!Q30</f>
        <v>314.529969229019</v>
      </c>
    </row>
    <row r="121" customFormat="false" ht="15" hidden="false" customHeight="true" outlineLevel="0" collapsed="false">
      <c r="A121" s="8" t="s">
        <v>221</v>
      </c>
      <c r="B121" s="188"/>
      <c r="C121" s="37"/>
    </row>
    <row r="122" customFormat="false" ht="15" hidden="false" customHeight="true" outlineLevel="0" collapsed="false">
      <c r="A122" s="34" t="s">
        <v>1944</v>
      </c>
      <c r="B122" s="35" t="s">
        <v>758</v>
      </c>
      <c r="C122" s="37" t="n">
        <f aca="false">Price_Frontier!E41</f>
        <v>8</v>
      </c>
    </row>
    <row r="123" customFormat="false" ht="15" hidden="false" customHeight="true" outlineLevel="0" collapsed="false">
      <c r="A123" s="34" t="s">
        <v>1945</v>
      </c>
      <c r="B123" s="35" t="s">
        <v>758</v>
      </c>
      <c r="C123" s="37" t="n">
        <f aca="false">Price_Frontier!E42</f>
        <v>0.8</v>
      </c>
    </row>
    <row r="124" customFormat="false" ht="15" hidden="false" customHeight="true" outlineLevel="0" collapsed="false">
      <c r="A124" s="34" t="s">
        <v>1946</v>
      </c>
      <c r="B124" s="35" t="s">
        <v>758</v>
      </c>
      <c r="C124" s="37" t="n">
        <f aca="false">Price_Frontier!E43</f>
        <v>40</v>
      </c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</row>
    <row r="125" customFormat="false" ht="15" hidden="false" customHeight="true" outlineLevel="0" collapsed="false">
      <c r="A125" s="34" t="s">
        <v>1947</v>
      </c>
      <c r="B125" s="35" t="s">
        <v>758</v>
      </c>
      <c r="C125" s="37" t="n">
        <f aca="false">Price_Frontier!E44</f>
        <v>40</v>
      </c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</row>
    <row r="126" customFormat="false" ht="15" hidden="false" customHeight="true" outlineLevel="0" collapsed="false">
      <c r="A126" s="34" t="s">
        <v>1948</v>
      </c>
      <c r="B126" s="35" t="s">
        <v>758</v>
      </c>
      <c r="C126" s="47" t="n">
        <f aca="false">Price_Frontier!E45</f>
        <v>8.03555555555555</v>
      </c>
      <c r="D126" s="173"/>
      <c r="E126" s="173"/>
      <c r="F126" s="173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</row>
    <row r="127" customFormat="false" ht="15" hidden="false" customHeight="true" outlineLevel="0" collapsed="false">
      <c r="A127" s="34" t="s">
        <v>1949</v>
      </c>
      <c r="B127" s="35" t="s">
        <v>758</v>
      </c>
      <c r="C127" s="37" t="n">
        <f aca="false">Price_Frontier!E46</f>
        <v>7.74222222222222</v>
      </c>
      <c r="D127" s="173"/>
      <c r="E127" s="173"/>
      <c r="F127" s="173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</row>
    <row r="128" customFormat="false" ht="15" hidden="false" customHeight="true" outlineLevel="0" collapsed="false">
      <c r="A128" s="34" t="s">
        <v>1950</v>
      </c>
      <c r="B128" s="188"/>
      <c r="C128" s="175" t="str">
        <f aca="false">Price_Frontier!E26</f>
        <v>Claude Fable 5.1</v>
      </c>
      <c r="D128" s="175"/>
      <c r="E128" s="175"/>
      <c r="F128" s="175"/>
      <c r="G128" s="175"/>
      <c r="H128" s="175"/>
      <c r="I128" s="175"/>
      <c r="J128" s="175"/>
      <c r="K128" s="175"/>
      <c r="L128" s="175"/>
      <c r="M128" s="175"/>
      <c r="N128" s="175"/>
      <c r="O128" s="175"/>
      <c r="P128" s="175"/>
      <c r="Q128" s="175"/>
    </row>
    <row r="129" customFormat="false" ht="15" hidden="false" customHeight="true" outlineLevel="0" collapsed="false">
      <c r="A129" s="34" t="s">
        <v>1951</v>
      </c>
      <c r="B129" s="34" t="s">
        <v>1118</v>
      </c>
      <c r="C129" s="183" t="n">
        <f aca="false">INDEX(B4_Life,1,3)</f>
        <v>9</v>
      </c>
      <c r="D129" s="175"/>
      <c r="E129" s="175"/>
      <c r="F129" s="175"/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</row>
    <row r="130" customFormat="false" ht="15" hidden="false" customHeight="true" outlineLevel="0" collapsed="false">
      <c r="A130" s="34" t="s">
        <v>1952</v>
      </c>
      <c r="B130" s="35" t="s">
        <v>758</v>
      </c>
      <c r="C130" s="184" t="n">
        <f aca="false">Cache_Store!C29</f>
        <v>0.000273972602739726</v>
      </c>
      <c r="D130" s="184" t="n">
        <f aca="false">Cache_Store!D29</f>
        <v>0.000273972602739726</v>
      </c>
      <c r="E130" s="184" t="n">
        <f aca="false">Cache_Store!E29</f>
        <v>0.000273972602739726</v>
      </c>
      <c r="F130" s="184" t="n">
        <f aca="false">Cache_Store!F29</f>
        <v>0.000273972602739726</v>
      </c>
      <c r="G130" s="184" t="n">
        <f aca="false">Cache_Store!G29</f>
        <v>0.000273972602739726</v>
      </c>
      <c r="H130" s="184" t="n">
        <f aca="false">Cache_Store!H29</f>
        <v>0.000273972602739726</v>
      </c>
      <c r="I130" s="184" t="n">
        <f aca="false">Cache_Store!I29</f>
        <v>0.000273972602739726</v>
      </c>
      <c r="J130" s="184" t="n">
        <f aca="false">Cache_Store!J29</f>
        <v>0.000273972602739726</v>
      </c>
      <c r="K130" s="184" t="n">
        <f aca="false">Cache_Store!K29</f>
        <v>0.000273972602739726</v>
      </c>
      <c r="L130" s="184" t="n">
        <f aca="false">Cache_Store!L29</f>
        <v>0.000273972602739726</v>
      </c>
      <c r="M130" s="184" t="n">
        <f aca="false">Cache_Store!M29</f>
        <v>0.000273972602739726</v>
      </c>
      <c r="N130" s="184" t="n">
        <f aca="false">Cache_Store!N29</f>
        <v>0.000273972602739726</v>
      </c>
      <c r="O130" s="184" t="n">
        <f aca="false">Cache_Store!O29</f>
        <v>0.000273972602739726</v>
      </c>
      <c r="P130" s="184" t="n">
        <f aca="false">Cache_Store!P29</f>
        <v>0.000273972602739726</v>
      </c>
      <c r="Q130" s="184" t="n">
        <f aca="false">Cache_Store!Q29</f>
        <v>0.000273972602739726</v>
      </c>
    </row>
    <row r="131" customFormat="false" ht="15" hidden="false" customHeight="true" outlineLevel="0" collapsed="false">
      <c r="A131" s="34" t="s">
        <v>1953</v>
      </c>
      <c r="B131" s="35" t="s">
        <v>758</v>
      </c>
      <c r="C131" s="184" t="n">
        <f aca="false">Amortize!C32</f>
        <v>4.34635141236617</v>
      </c>
      <c r="D131" s="184" t="n">
        <f aca="false">Amortize!D32</f>
        <v>6.26851466451514</v>
      </c>
      <c r="E131" s="184" t="n">
        <f aca="false">Amortize!E32</f>
        <v>10.8074290269647</v>
      </c>
      <c r="F131" s="184" t="n">
        <f aca="false">Amortize!F32</f>
        <v>0.414337994967339</v>
      </c>
      <c r="G131" s="184" t="n">
        <f aca="false">Amortize!G32</f>
        <v>0.557726867235468</v>
      </c>
      <c r="H131" s="184" t="n">
        <f aca="false">Amortize!H32</f>
        <v>0.907351125957547</v>
      </c>
      <c r="I131" s="184" t="n">
        <f aca="false">Amortize!I32</f>
        <v>0.378946392813096</v>
      </c>
      <c r="J131" s="184" t="n">
        <f aca="false">Amortize!J32</f>
        <v>0.553776964935269</v>
      </c>
      <c r="K131" s="184" t="n">
        <f aca="false">Amortize!K32</f>
        <v>1.03889625673366</v>
      </c>
      <c r="L131" s="184" t="n">
        <f aca="false">Amortize!L32</f>
        <v>0.128933283663531</v>
      </c>
      <c r="M131" s="184" t="n">
        <f aca="false">Amortize!M32</f>
        <v>0.16727681486095</v>
      </c>
      <c r="N131" s="184" t="n">
        <f aca="false">Amortize!N32</f>
        <v>0.271035939500772</v>
      </c>
      <c r="O131" s="184" t="n">
        <f aca="false">Amortize!O32</f>
        <v>0.072018230448584</v>
      </c>
      <c r="P131" s="184" t="n">
        <f aca="false">Amortize!P32</f>
        <v>0.110722070659308</v>
      </c>
      <c r="Q131" s="184" t="n">
        <f aca="false">Amortize!Q32</f>
        <v>0.202948739069484</v>
      </c>
    </row>
    <row r="132" customFormat="false" ht="15" hidden="false" customHeight="true" outlineLevel="0" collapsed="false">
      <c r="A132" s="34" t="s">
        <v>1954</v>
      </c>
      <c r="B132" s="35" t="s">
        <v>758</v>
      </c>
      <c r="C132" s="173" t="n">
        <f aca="false">Amortize!C34</f>
        <v>3.79322803740293</v>
      </c>
      <c r="D132" s="173" t="n">
        <f aca="false">Amortize!D34</f>
        <v>5.47063176447502</v>
      </c>
      <c r="E132" s="173" t="n">
        <f aca="false">Amortize!E34</f>
        <v>9.43158141842451</v>
      </c>
      <c r="F132" s="173" t="n">
        <f aca="false">Amortize!F34</f>
        <v>0.741797885273687</v>
      </c>
      <c r="G132" s="173" t="n">
        <f aca="false">Amortize!G34</f>
        <v>0.998398778224654</v>
      </c>
      <c r="H132" s="173" t="n">
        <f aca="false">Amortize!H34</f>
        <v>1.62406725281622</v>
      </c>
      <c r="I132" s="173" t="n">
        <f aca="false">Amortize!I34</f>
        <v>0.797371867520622</v>
      </c>
      <c r="J132" s="173" t="n">
        <f aca="false">Amortize!J34</f>
        <v>1.16509885811618</v>
      </c>
      <c r="K132" s="173" t="n">
        <f aca="false">Amortize!K34</f>
        <v>2.1854664922632</v>
      </c>
      <c r="L132" s="173" t="n">
        <f aca="false">Amortize!L34</f>
        <v>0.409518348640377</v>
      </c>
      <c r="M132" s="173" t="n">
        <f aca="false">Amortize!M34</f>
        <v>0.531209672440146</v>
      </c>
      <c r="N132" s="173" t="n">
        <f aca="false">Amortize!N34</f>
        <v>0.860511247944892</v>
      </c>
      <c r="O132" s="173" t="n">
        <f aca="false">Amortize!O34</f>
        <v>0.296548096631804</v>
      </c>
      <c r="P132" s="173" t="n">
        <f aca="false">Amortize!P34</f>
        <v>0.455745520983754</v>
      </c>
      <c r="Q132" s="173" t="n">
        <f aca="false">Amortize!Q34</f>
        <v>0.835094133098817</v>
      </c>
    </row>
    <row r="133" customFormat="false" ht="15" hidden="false" customHeight="true" outlineLevel="0" collapsed="false">
      <c r="A133" s="34" t="s">
        <v>1955</v>
      </c>
      <c r="B133" s="35" t="s">
        <v>758</v>
      </c>
      <c r="C133" s="173" t="n">
        <f aca="false">Theory_Rev!C54</f>
        <v>6.98232343835803</v>
      </c>
      <c r="D133" s="173" t="n">
        <f aca="false">Theory_Rev!D54</f>
        <v>10.0701401279639</v>
      </c>
      <c r="E133" s="173" t="n">
        <f aca="false">Theory_Rev!E54</f>
        <v>17.3615788262088</v>
      </c>
      <c r="F133" s="173" t="n">
        <f aca="false">Theory_Rev!F54</f>
        <v>0.929824661004986</v>
      </c>
      <c r="G133" s="173" t="n">
        <f aca="false">Theory_Rev!G54</f>
        <v>1.25152940803565</v>
      </c>
      <c r="H133" s="173" t="n">
        <f aca="false">Theory_Rev!H54</f>
        <v>2.03594023384679</v>
      </c>
      <c r="I133" s="173" t="n">
        <f aca="false">Theory_Rev!I54</f>
        <v>0.933052266852849</v>
      </c>
      <c r="J133" s="173" t="n">
        <f aca="false">Theory_Rev!J54</f>
        <v>1.36342193413465</v>
      </c>
      <c r="K133" s="173" t="n">
        <f aca="false">Theory_Rev!K54</f>
        <v>2.55761025983181</v>
      </c>
      <c r="L133" s="173" t="n">
        <f aca="false">Theory_Rev!L54</f>
        <v>0.413513831023793</v>
      </c>
      <c r="M133" s="173" t="n">
        <f aca="false">Theory_Rev!M54</f>
        <v>0.536422519438001</v>
      </c>
      <c r="N133" s="173" t="n">
        <f aca="false">Theory_Rev!N54</f>
        <v>0.869018332140443</v>
      </c>
      <c r="O133" s="173" t="n">
        <f aca="false">Theory_Rev!O54</f>
        <v>0.278094026413058</v>
      </c>
      <c r="P133" s="173" t="n">
        <f aca="false">Theory_Rev!P54</f>
        <v>0.427426585241239</v>
      </c>
      <c r="Q133" s="173" t="n">
        <f aca="false">Theory_Rev!Q54</f>
        <v>0.783268390883916</v>
      </c>
    </row>
    <row r="134" customFormat="false" ht="15" hidden="false" customHeight="true" outlineLevel="0" collapsed="false">
      <c r="A134" s="34" t="s">
        <v>1956</v>
      </c>
      <c r="B134" s="35" t="s">
        <v>758</v>
      </c>
      <c r="C134" s="185" t="n">
        <f aca="false">Amortize!C47</f>
        <v>9.48997746983271</v>
      </c>
      <c r="D134" s="185" t="n">
        <f aca="false">Amortize!D47</f>
        <v>13.6865981706605</v>
      </c>
      <c r="E134" s="185" t="n">
        <f aca="false">Amortize!E47</f>
        <v>23.5963193930616</v>
      </c>
      <c r="F134" s="185" t="n">
        <f aca="false">Amortize!F47</f>
        <v>1.963256089996</v>
      </c>
      <c r="G134" s="185" t="n">
        <f aca="false">Amortize!G47</f>
        <v>2.64244378294829</v>
      </c>
      <c r="H134" s="185" t="n">
        <f aca="false">Amortize!H47</f>
        <v>4.29850321019286</v>
      </c>
      <c r="I134" s="185" t="n">
        <f aca="false">Amortize!I47</f>
        <v>1.94948540379337</v>
      </c>
      <c r="J134" s="185" t="n">
        <f aca="false">Amortize!J47</f>
        <v>2.84857345949467</v>
      </c>
      <c r="K134" s="185" t="n">
        <f aca="false">Amortize!K47</f>
        <v>5.34336001514014</v>
      </c>
      <c r="L134" s="185" t="n">
        <f aca="false">Amortize!L47</f>
        <v>1.15537107224464</v>
      </c>
      <c r="M134" s="185" t="n">
        <f aca="false">Amortize!M47</f>
        <v>1.49877739641378</v>
      </c>
      <c r="N134" s="185" t="n">
        <f aca="false">Amortize!N47</f>
        <v>2.42804860537245</v>
      </c>
      <c r="O134" s="185" t="n">
        <f aca="false">Amortize!O47</f>
        <v>0.863665345910231</v>
      </c>
      <c r="P134" s="185" t="n">
        <f aca="false">Amortize!P47</f>
        <v>1.32747640194325</v>
      </c>
      <c r="Q134" s="185" t="n">
        <f aca="false">Amortize!Q47</f>
        <v>2.43268322991786</v>
      </c>
    </row>
    <row r="135" customFormat="false" ht="15" hidden="false" customHeight="true" outlineLevel="0" collapsed="false">
      <c r="A135" s="34" t="s">
        <v>1957</v>
      </c>
      <c r="B135" s="35" t="s">
        <v>758</v>
      </c>
      <c r="C135" s="184" t="n">
        <f aca="false">Amortize!C48</f>
        <v>6.79321461567925</v>
      </c>
      <c r="D135" s="184" t="n">
        <f aca="false">Amortize!D48</f>
        <v>9.79728340003094</v>
      </c>
      <c r="E135" s="184" t="n">
        <f aca="false">Amortize!E48</f>
        <v>16.8909633649538</v>
      </c>
      <c r="F135" s="184" t="n">
        <f aca="false">Amortize!F48</f>
        <v>1.39957292510893</v>
      </c>
      <c r="G135" s="184" t="n">
        <f aca="false">Amortize!G48</f>
        <v>1.88375464290264</v>
      </c>
      <c r="H135" s="184" t="n">
        <f aca="false">Amortize!H48</f>
        <v>3.06433212770118</v>
      </c>
      <c r="I135" s="184" t="n">
        <f aca="false">Amortize!I48</f>
        <v>1.3842384586311</v>
      </c>
      <c r="J135" s="184" t="n">
        <f aca="false">Amortize!J48</f>
        <v>2.02263886007853</v>
      </c>
      <c r="K135" s="184" t="n">
        <f aca="false">Amortize!K48</f>
        <v>3.79407017712279</v>
      </c>
      <c r="L135" s="184" t="n">
        <f aca="false">Amortize!L48</f>
        <v>0.822528170591976</v>
      </c>
      <c r="M135" s="184" t="n">
        <f aca="false">Amortize!M48</f>
        <v>1.06700492994151</v>
      </c>
      <c r="N135" s="184" t="n">
        <f aca="false">Amortize!N48</f>
        <v>1.72856879098192</v>
      </c>
      <c r="O135" s="184" t="n">
        <f aca="false">Amortize!O48</f>
        <v>0.614818635942223</v>
      </c>
      <c r="P135" s="184" t="n">
        <f aca="false">Amortize!P48</f>
        <v>0.944992449393784</v>
      </c>
      <c r="Q135" s="184" t="n">
        <f aca="false">Amortize!Q48</f>
        <v>1.73175755190377</v>
      </c>
    </row>
    <row r="136" customFormat="false" ht="15" hidden="false" customHeight="true" outlineLevel="0" collapsed="false">
      <c r="A136" s="34" t="s">
        <v>1958</v>
      </c>
      <c r="B136" s="35" t="s">
        <v>758</v>
      </c>
      <c r="C136" s="186" t="n">
        <f aca="false">Theory_Rev!C56</f>
        <v>12.1259494958246</v>
      </c>
      <c r="D136" s="186" t="n">
        <f aca="false">Theory_Rev!D56</f>
        <v>17.4882236341092</v>
      </c>
      <c r="E136" s="186" t="n">
        <f aca="false">Theory_Rev!E56</f>
        <v>30.1504691923057</v>
      </c>
      <c r="F136" s="186" t="n">
        <f aca="false">Theory_Rev!F56</f>
        <v>2.47874275603365</v>
      </c>
      <c r="G136" s="186" t="n">
        <f aca="false">Theory_Rev!G56</f>
        <v>3.33624632374847</v>
      </c>
      <c r="H136" s="186" t="n">
        <f aca="false">Theory_Rev!H56</f>
        <v>5.42709231808209</v>
      </c>
      <c r="I136" s="186" t="n">
        <f aca="false">Theory_Rev!I56</f>
        <v>2.50359127783313</v>
      </c>
      <c r="J136" s="186" t="n">
        <f aca="false">Theory_Rev!J56</f>
        <v>3.65821842869405</v>
      </c>
      <c r="K136" s="186" t="n">
        <f aca="false">Theory_Rev!K56</f>
        <v>6.86207401823829</v>
      </c>
      <c r="L136" s="186" t="n">
        <f aca="false">Theory_Rev!L56</f>
        <v>1.4399516196049</v>
      </c>
      <c r="M136" s="186" t="n">
        <f aca="false">Theory_Rev!M56</f>
        <v>1.86792310099083</v>
      </c>
      <c r="N136" s="186" t="n">
        <f aca="false">Theory_Rev!N56</f>
        <v>3.02603099801212</v>
      </c>
      <c r="O136" s="186" t="n">
        <f aca="false">Theory_Rev!O56</f>
        <v>1.06974114187471</v>
      </c>
      <c r="P136" s="186" t="n">
        <f aca="false">Theory_Rev!P56</f>
        <v>1.64418091652518</v>
      </c>
      <c r="Q136" s="186" t="n">
        <f aca="false">Theory_Rev!Q56</f>
        <v>3.01300288173229</v>
      </c>
    </row>
    <row r="137" customFormat="false" ht="15" hidden="false" customHeight="true" outlineLevel="0" collapsed="false">
      <c r="A137" s="34" t="s">
        <v>1959</v>
      </c>
      <c r="B137" s="35" t="s">
        <v>1349</v>
      </c>
      <c r="C137" s="187" t="n">
        <f aca="false">Theory_Rev!C47</f>
        <v>18.6899868774826</v>
      </c>
      <c r="D137" s="187" t="n">
        <f aca="false">Theory_Rev!D47</f>
        <v>18.6899868774826</v>
      </c>
      <c r="E137" s="187" t="n">
        <f aca="false">Theory_Rev!E47</f>
        <v>18.6899868774826</v>
      </c>
      <c r="F137" s="187" t="n">
        <f aca="false">Theory_Rev!F47</f>
        <v>96.6283848132214</v>
      </c>
      <c r="G137" s="187" t="n">
        <f aca="false">Theory_Rev!G47</f>
        <v>96.6283848132214</v>
      </c>
      <c r="H137" s="187" t="n">
        <f aca="false">Theory_Rev!H47</f>
        <v>96.6283848132214</v>
      </c>
      <c r="I137" s="187" t="n">
        <f aca="false">Theory_Rev!I47</f>
        <v>116.841337205439</v>
      </c>
      <c r="J137" s="187" t="n">
        <f aca="false">Theory_Rev!J47</f>
        <v>116.841337205439</v>
      </c>
      <c r="K137" s="187" t="n">
        <f aca="false">Theory_Rev!K47</f>
        <v>116.841337205439</v>
      </c>
      <c r="L137" s="187" t="n">
        <f aca="false">Theory_Rev!L47</f>
        <v>246.697456312585</v>
      </c>
      <c r="M137" s="187" t="n">
        <f aca="false">Theory_Rev!M47</f>
        <v>246.697456312585</v>
      </c>
      <c r="N137" s="187" t="n">
        <f aca="false">Theory_Rev!N47</f>
        <v>246.697456312585</v>
      </c>
      <c r="O137" s="187" t="n">
        <f aca="false">Theory_Rev!O47</f>
        <v>358.71180915499</v>
      </c>
      <c r="P137" s="187" t="n">
        <f aca="false">Theory_Rev!P47</f>
        <v>358.71180915499</v>
      </c>
      <c r="Q137" s="187" t="n">
        <f aca="false">Theory_Rev!Q47</f>
        <v>358.71180915499</v>
      </c>
    </row>
    <row r="138" customFormat="false" ht="15" hidden="false" customHeight="true" outlineLevel="0" collapsed="false">
      <c r="A138" s="34" t="s">
        <v>1960</v>
      </c>
      <c r="B138" s="35" t="s">
        <v>1349</v>
      </c>
      <c r="C138" s="175" t="n">
        <f aca="false">Theory_Rev!C48</f>
        <v>18.0077196573975</v>
      </c>
      <c r="D138" s="175" t="n">
        <f aca="false">Theory_Rev!D48</f>
        <v>18.0077196573975</v>
      </c>
      <c r="E138" s="175" t="n">
        <f aca="false">Theory_Rev!E48</f>
        <v>18.0077196573975</v>
      </c>
      <c r="F138" s="175" t="n">
        <f aca="false">Theory_Rev!F48</f>
        <v>93.101021208314</v>
      </c>
      <c r="G138" s="175" t="n">
        <f aca="false">Theory_Rev!G48</f>
        <v>93.101021208314</v>
      </c>
      <c r="H138" s="175" t="n">
        <f aca="false">Theory_Rev!H48</f>
        <v>93.101021208314</v>
      </c>
      <c r="I138" s="175" t="n">
        <f aca="false">Theory_Rev!I48</f>
        <v>112.576111400374</v>
      </c>
      <c r="J138" s="175" t="n">
        <f aca="false">Theory_Rev!J48</f>
        <v>112.576111400374</v>
      </c>
      <c r="K138" s="175" t="n">
        <f aca="false">Theory_Rev!K48</f>
        <v>112.576111400374</v>
      </c>
      <c r="L138" s="175" t="n">
        <f aca="false">Theory_Rev!L48</f>
        <v>237.691907575511</v>
      </c>
      <c r="M138" s="175" t="n">
        <f aca="false">Theory_Rev!M48</f>
        <v>237.691907575511</v>
      </c>
      <c r="N138" s="175" t="n">
        <f aca="false">Theory_Rev!N48</f>
        <v>237.691907575511</v>
      </c>
      <c r="O138" s="175" t="n">
        <f aca="false">Theory_Rev!O48</f>
        <v>345.617240900439</v>
      </c>
      <c r="P138" s="175" t="n">
        <f aca="false">Theory_Rev!P48</f>
        <v>345.617240900439</v>
      </c>
      <c r="Q138" s="175" t="n">
        <f aca="false">Theory_Rev!Q48</f>
        <v>345.617240900439</v>
      </c>
    </row>
    <row r="139" customFormat="false" ht="15" hidden="false" customHeight="true" outlineLevel="0" collapsed="false">
      <c r="A139" s="8" t="s">
        <v>1961</v>
      </c>
    </row>
    <row r="140" customFormat="false" ht="15" hidden="false" customHeight="true" outlineLevel="0" collapsed="false">
      <c r="A140" s="34" t="s">
        <v>1962</v>
      </c>
      <c r="B140" s="35" t="s">
        <v>1349</v>
      </c>
      <c r="C140" s="189" t="n">
        <f aca="false">Theory_Rev!C64</f>
        <v>0.0656538975388793</v>
      </c>
      <c r="D140" s="189" t="n">
        <f aca="false">Theory_Rev!D64</f>
        <v>0.0656538975388793</v>
      </c>
      <c r="E140" s="189" t="n">
        <f aca="false">Theory_Rev!E64</f>
        <v>0.0656538975388793</v>
      </c>
      <c r="F140" s="189" t="n">
        <f aca="false">Theory_Rev!F64</f>
        <v>0.330731407559226</v>
      </c>
      <c r="G140" s="189" t="n">
        <f aca="false">Theory_Rev!G64</f>
        <v>0.330731407559226</v>
      </c>
      <c r="H140" s="189" t="n">
        <f aca="false">Theory_Rev!H64</f>
        <v>0.330731407559226</v>
      </c>
      <c r="I140" s="189" t="n">
        <f aca="false">Theory_Rev!I64</f>
        <v>0.430577634420929</v>
      </c>
      <c r="J140" s="189" t="n">
        <f aca="false">Theory_Rev!J64</f>
        <v>0.430577634420929</v>
      </c>
      <c r="K140" s="189" t="n">
        <f aca="false">Theory_Rev!K64</f>
        <v>0.430577634420929</v>
      </c>
      <c r="L140" s="189" t="n">
        <f aca="false">Theory_Rev!L64</f>
        <v>0.798749212524483</v>
      </c>
      <c r="M140" s="189" t="n">
        <f aca="false">Theory_Rev!M64</f>
        <v>0.798749212524483</v>
      </c>
      <c r="N140" s="189" t="n">
        <f aca="false">Theory_Rev!N64</f>
        <v>0.798749212524483</v>
      </c>
      <c r="O140" s="189" t="n">
        <f aca="false">Theory_Rev!O64</f>
        <v>1.12996107729852</v>
      </c>
      <c r="P140" s="189" t="n">
        <f aca="false">Theory_Rev!P64</f>
        <v>1.12996107729852</v>
      </c>
      <c r="Q140" s="189" t="n">
        <f aca="false">Theory_Rev!Q64</f>
        <v>1.12996107729852</v>
      </c>
    </row>
    <row r="141" customFormat="false" ht="15" hidden="false" customHeight="true" outlineLevel="0" collapsed="false">
      <c r="A141" s="34" t="s">
        <v>1963</v>
      </c>
      <c r="B141" s="35" t="s">
        <v>1349</v>
      </c>
      <c r="C141" s="189" t="n">
        <f aca="false">Theory_Rev!C65</f>
        <v>1.47721269462479</v>
      </c>
      <c r="D141" s="189" t="n">
        <f aca="false">Theory_Rev!D65</f>
        <v>1.47721269462479</v>
      </c>
      <c r="E141" s="189" t="n">
        <f aca="false">Theory_Rev!E65</f>
        <v>1.47721269462479</v>
      </c>
      <c r="F141" s="189" t="n">
        <f aca="false">Theory_Rev!F65</f>
        <v>7.44145667008259</v>
      </c>
      <c r="G141" s="189" t="n">
        <f aca="false">Theory_Rev!G65</f>
        <v>7.44145667008259</v>
      </c>
      <c r="H141" s="189" t="n">
        <f aca="false">Theory_Rev!H65</f>
        <v>7.44145667008259</v>
      </c>
      <c r="I141" s="189" t="n">
        <f aca="false">Theory_Rev!I65</f>
        <v>9.6879967744709</v>
      </c>
      <c r="J141" s="189" t="n">
        <f aca="false">Theory_Rev!J65</f>
        <v>9.6879967744709</v>
      </c>
      <c r="K141" s="189" t="n">
        <f aca="false">Theory_Rev!K65</f>
        <v>9.6879967744709</v>
      </c>
      <c r="L141" s="189" t="n">
        <f aca="false">Theory_Rev!L65</f>
        <v>17.9718572818009</v>
      </c>
      <c r="M141" s="189" t="n">
        <f aca="false">Theory_Rev!M65</f>
        <v>17.9718572818009</v>
      </c>
      <c r="N141" s="189" t="n">
        <f aca="false">Theory_Rev!N65</f>
        <v>17.9718572818009</v>
      </c>
      <c r="O141" s="189" t="n">
        <f aca="false">Theory_Rev!O65</f>
        <v>25.4241242392166</v>
      </c>
      <c r="P141" s="189" t="n">
        <f aca="false">Theory_Rev!P65</f>
        <v>25.4241242392166</v>
      </c>
      <c r="Q141" s="189" t="n">
        <f aca="false">Theory_Rev!Q65</f>
        <v>25.4241242392166</v>
      </c>
    </row>
    <row r="142" customFormat="false" ht="15" hidden="false" customHeight="true" outlineLevel="0" collapsed="false">
      <c r="A142" s="34" t="s">
        <v>1964</v>
      </c>
      <c r="B142" s="35" t="s">
        <v>1349</v>
      </c>
      <c r="C142" s="189" t="n">
        <f aca="false">Theory_Rev!C66</f>
        <v>2.46202115770797</v>
      </c>
      <c r="D142" s="189" t="n">
        <f aca="false">Theory_Rev!D66</f>
        <v>2.46202115770797</v>
      </c>
      <c r="E142" s="189" t="n">
        <f aca="false">Theory_Rev!E66</f>
        <v>2.46202115770797</v>
      </c>
      <c r="F142" s="189" t="n">
        <f aca="false">Theory_Rev!F66</f>
        <v>12.402427783471</v>
      </c>
      <c r="G142" s="189" t="n">
        <f aca="false">Theory_Rev!G66</f>
        <v>12.402427783471</v>
      </c>
      <c r="H142" s="189" t="n">
        <f aca="false">Theory_Rev!H66</f>
        <v>12.402427783471</v>
      </c>
      <c r="I142" s="189" t="n">
        <f aca="false">Theory_Rev!I66</f>
        <v>16.1466612907848</v>
      </c>
      <c r="J142" s="189" t="n">
        <f aca="false">Theory_Rev!J66</f>
        <v>16.1466612907848</v>
      </c>
      <c r="K142" s="189" t="n">
        <f aca="false">Theory_Rev!K66</f>
        <v>16.1466612907848</v>
      </c>
      <c r="L142" s="189" t="n">
        <f aca="false">Theory_Rev!L66</f>
        <v>29.9530954696681</v>
      </c>
      <c r="M142" s="189" t="n">
        <f aca="false">Theory_Rev!M66</f>
        <v>29.9530954696681</v>
      </c>
      <c r="N142" s="189" t="n">
        <f aca="false">Theory_Rev!N66</f>
        <v>29.9530954696681</v>
      </c>
      <c r="O142" s="189" t="n">
        <f aca="false">Theory_Rev!O66</f>
        <v>42.3735403986943</v>
      </c>
      <c r="P142" s="189" t="n">
        <f aca="false">Theory_Rev!P66</f>
        <v>42.3735403986943</v>
      </c>
      <c r="Q142" s="189" t="n">
        <f aca="false">Theory_Rev!Q66</f>
        <v>42.3735403986943</v>
      </c>
    </row>
    <row r="143" customFormat="false" ht="15" hidden="false" customHeight="true" outlineLevel="0" collapsed="false">
      <c r="A143" s="34" t="s">
        <v>1965</v>
      </c>
      <c r="B143" s="35" t="s">
        <v>1349</v>
      </c>
      <c r="C143" s="187" t="n">
        <f aca="false">Theory_Rev!C67</f>
        <v>4.00488774987164</v>
      </c>
      <c r="D143" s="187" t="n">
        <f aca="false">Theory_Rev!D67</f>
        <v>4.00488774987164</v>
      </c>
      <c r="E143" s="187" t="n">
        <f aca="false">Theory_Rev!E67</f>
        <v>4.00488774987164</v>
      </c>
      <c r="F143" s="187" t="n">
        <f aca="false">Theory_Rev!F67</f>
        <v>20.1746158611128</v>
      </c>
      <c r="G143" s="187" t="n">
        <f aca="false">Theory_Rev!G67</f>
        <v>20.1746158611128</v>
      </c>
      <c r="H143" s="187" t="n">
        <f aca="false">Theory_Rev!H67</f>
        <v>20.1746158611128</v>
      </c>
      <c r="I143" s="187" t="n">
        <f aca="false">Theory_Rev!I67</f>
        <v>26.2652356996766</v>
      </c>
      <c r="J143" s="187" t="n">
        <f aca="false">Theory_Rev!J67</f>
        <v>26.2652356996766</v>
      </c>
      <c r="K143" s="187" t="n">
        <f aca="false">Theory_Rev!K67</f>
        <v>26.2652356996766</v>
      </c>
      <c r="L143" s="187" t="n">
        <f aca="false">Theory_Rev!L67</f>
        <v>48.7237019639935</v>
      </c>
      <c r="M143" s="187" t="n">
        <f aca="false">Theory_Rev!M67</f>
        <v>48.7237019639935</v>
      </c>
      <c r="N143" s="187" t="n">
        <f aca="false">Theory_Rev!N67</f>
        <v>48.7237019639935</v>
      </c>
      <c r="O143" s="187" t="n">
        <f aca="false">Theory_Rev!O67</f>
        <v>68.9276257152094</v>
      </c>
      <c r="P143" s="187" t="n">
        <f aca="false">Theory_Rev!P67</f>
        <v>68.9276257152094</v>
      </c>
      <c r="Q143" s="187" t="n">
        <f aca="false">Theory_Rev!Q67</f>
        <v>68.9276257152094</v>
      </c>
    </row>
    <row r="144" customFormat="false" ht="15" hidden="false" customHeight="true" outlineLevel="0" collapsed="false">
      <c r="A144" s="34" t="s">
        <v>1966</v>
      </c>
      <c r="B144" s="35" t="s">
        <v>1349</v>
      </c>
      <c r="C144" s="189" t="n">
        <f aca="false">Theory_Rev!C68</f>
        <v>0.0656538975388793</v>
      </c>
      <c r="D144" s="189" t="n">
        <f aca="false">Theory_Rev!D68</f>
        <v>0.0656538975388793</v>
      </c>
      <c r="E144" s="189" t="n">
        <f aca="false">Theory_Rev!E68</f>
        <v>0.0656538975388793</v>
      </c>
      <c r="F144" s="189" t="n">
        <f aca="false">Theory_Rev!F68</f>
        <v>0.330731407559226</v>
      </c>
      <c r="G144" s="189" t="n">
        <f aca="false">Theory_Rev!G68</f>
        <v>0.330731407559226</v>
      </c>
      <c r="H144" s="189" t="n">
        <f aca="false">Theory_Rev!H68</f>
        <v>0.330731407559226</v>
      </c>
      <c r="I144" s="189" t="n">
        <f aca="false">Theory_Rev!I68</f>
        <v>0.430577634420929</v>
      </c>
      <c r="J144" s="189" t="n">
        <f aca="false">Theory_Rev!J68</f>
        <v>0.430577634420929</v>
      </c>
      <c r="K144" s="189" t="n">
        <f aca="false">Theory_Rev!K68</f>
        <v>0.430577634420929</v>
      </c>
      <c r="L144" s="189" t="n">
        <f aca="false">Theory_Rev!L68</f>
        <v>0.798749212524483</v>
      </c>
      <c r="M144" s="189" t="n">
        <f aca="false">Theory_Rev!M68</f>
        <v>0.798749212524483</v>
      </c>
      <c r="N144" s="189" t="n">
        <f aca="false">Theory_Rev!N68</f>
        <v>0.798749212524483</v>
      </c>
      <c r="O144" s="189" t="n">
        <f aca="false">Theory_Rev!O68</f>
        <v>1.12996107729852</v>
      </c>
      <c r="P144" s="189" t="n">
        <f aca="false">Theory_Rev!P68</f>
        <v>1.12996107729852</v>
      </c>
      <c r="Q144" s="189" t="n">
        <f aca="false">Theory_Rev!Q68</f>
        <v>1.12996107729852</v>
      </c>
    </row>
    <row r="145" customFormat="false" ht="15" hidden="false" customHeight="true" outlineLevel="0" collapsed="false">
      <c r="A145" s="34" t="s">
        <v>1967</v>
      </c>
      <c r="B145" s="35" t="s">
        <v>1349</v>
      </c>
      <c r="C145" s="189" t="n">
        <f aca="false">Theory_Rev!C69</f>
        <v>1.47721269462478</v>
      </c>
      <c r="D145" s="189" t="n">
        <f aca="false">Theory_Rev!D69</f>
        <v>1.47721269462478</v>
      </c>
      <c r="E145" s="189" t="n">
        <f aca="false">Theory_Rev!E69</f>
        <v>1.47721269462478</v>
      </c>
      <c r="F145" s="189" t="n">
        <f aca="false">Theory_Rev!F69</f>
        <v>7.44145667008259</v>
      </c>
      <c r="G145" s="189" t="n">
        <f aca="false">Theory_Rev!G69</f>
        <v>7.44145667008259</v>
      </c>
      <c r="H145" s="189" t="n">
        <f aca="false">Theory_Rev!H69</f>
        <v>7.44145667008259</v>
      </c>
      <c r="I145" s="189" t="n">
        <f aca="false">Theory_Rev!I69</f>
        <v>9.68799677447089</v>
      </c>
      <c r="J145" s="189" t="n">
        <f aca="false">Theory_Rev!J69</f>
        <v>9.68799677447089</v>
      </c>
      <c r="K145" s="189" t="n">
        <f aca="false">Theory_Rev!K69</f>
        <v>9.68799677447089</v>
      </c>
      <c r="L145" s="189" t="n">
        <f aca="false">Theory_Rev!L69</f>
        <v>17.9718572818009</v>
      </c>
      <c r="M145" s="189" t="n">
        <f aca="false">Theory_Rev!M69</f>
        <v>17.9718572818009</v>
      </c>
      <c r="N145" s="189" t="n">
        <f aca="false">Theory_Rev!N69</f>
        <v>17.9718572818009</v>
      </c>
      <c r="O145" s="189" t="n">
        <f aca="false">Theory_Rev!O69</f>
        <v>25.4241242392166</v>
      </c>
      <c r="P145" s="189" t="n">
        <f aca="false">Theory_Rev!P69</f>
        <v>25.4241242392166</v>
      </c>
      <c r="Q145" s="189" t="n">
        <f aca="false">Theory_Rev!Q69</f>
        <v>25.4241242392166</v>
      </c>
    </row>
    <row r="146" customFormat="false" ht="15" hidden="false" customHeight="true" outlineLevel="0" collapsed="false">
      <c r="A146" s="34" t="s">
        <v>1968</v>
      </c>
      <c r="B146" s="35" t="s">
        <v>1349</v>
      </c>
      <c r="C146" s="189" t="n">
        <f aca="false">Theory_Rev!C70</f>
        <v>2.37214649155271</v>
      </c>
      <c r="D146" s="189" t="n">
        <f aca="false">Theory_Rev!D70</f>
        <v>2.37214649155271</v>
      </c>
      <c r="E146" s="189" t="n">
        <f aca="false">Theory_Rev!E70</f>
        <v>2.37214649155271</v>
      </c>
      <c r="F146" s="189" t="n">
        <f aca="false">Theory_Rev!F70</f>
        <v>11.9496842913752</v>
      </c>
      <c r="G146" s="189" t="n">
        <f aca="false">Theory_Rev!G70</f>
        <v>11.9496842913752</v>
      </c>
      <c r="H146" s="189" t="n">
        <f aca="false">Theory_Rev!H70</f>
        <v>11.9496842913752</v>
      </c>
      <c r="I146" s="189" t="n">
        <f aca="false">Theory_Rev!I70</f>
        <v>15.5572367082672</v>
      </c>
      <c r="J146" s="189" t="n">
        <f aca="false">Theory_Rev!J70</f>
        <v>15.5572367082672</v>
      </c>
      <c r="K146" s="189" t="n">
        <f aca="false">Theory_Rev!K70</f>
        <v>15.5572367082672</v>
      </c>
      <c r="L146" s="189" t="n">
        <f aca="false">Theory_Rev!L70</f>
        <v>28.8596749492046</v>
      </c>
      <c r="M146" s="189" t="n">
        <f aca="false">Theory_Rev!M70</f>
        <v>28.8596749492046</v>
      </c>
      <c r="N146" s="189" t="n">
        <f aca="false">Theory_Rev!N70</f>
        <v>28.8596749492046</v>
      </c>
      <c r="O146" s="189" t="n">
        <f aca="false">Theory_Rev!O70</f>
        <v>40.8267186806004</v>
      </c>
      <c r="P146" s="189" t="n">
        <f aca="false">Theory_Rev!P70</f>
        <v>40.8267186806004</v>
      </c>
      <c r="Q146" s="189" t="n">
        <f aca="false">Theory_Rev!Q70</f>
        <v>40.8267186806004</v>
      </c>
    </row>
    <row r="147" customFormat="false" ht="15" hidden="false" customHeight="true" outlineLevel="0" collapsed="false">
      <c r="A147" s="34" t="s">
        <v>1969</v>
      </c>
      <c r="B147" s="35" t="s">
        <v>1349</v>
      </c>
      <c r="C147" s="187" t="n">
        <f aca="false">Theory_Rev!C71</f>
        <v>3.91501308371637</v>
      </c>
      <c r="D147" s="187" t="n">
        <f aca="false">Theory_Rev!D71</f>
        <v>3.91501308371637</v>
      </c>
      <c r="E147" s="187" t="n">
        <f aca="false">Theory_Rev!E71</f>
        <v>3.91501308371637</v>
      </c>
      <c r="F147" s="187" t="n">
        <f aca="false">Theory_Rev!F71</f>
        <v>19.7218723690171</v>
      </c>
      <c r="G147" s="187" t="n">
        <f aca="false">Theory_Rev!G71</f>
        <v>19.7218723690171</v>
      </c>
      <c r="H147" s="187" t="n">
        <f aca="false">Theory_Rev!H71</f>
        <v>19.7218723690171</v>
      </c>
      <c r="I147" s="187" t="n">
        <f aca="false">Theory_Rev!I71</f>
        <v>25.6758111171591</v>
      </c>
      <c r="J147" s="187" t="n">
        <f aca="false">Theory_Rev!J71</f>
        <v>25.6758111171591</v>
      </c>
      <c r="K147" s="187" t="n">
        <f aca="false">Theory_Rev!K71</f>
        <v>25.6758111171591</v>
      </c>
      <c r="L147" s="187" t="n">
        <f aca="false">Theory_Rev!L71</f>
        <v>47.6302814435299</v>
      </c>
      <c r="M147" s="187" t="n">
        <f aca="false">Theory_Rev!M71</f>
        <v>47.6302814435299</v>
      </c>
      <c r="N147" s="187" t="n">
        <f aca="false">Theory_Rev!N71</f>
        <v>47.6302814435299</v>
      </c>
      <c r="O147" s="187" t="n">
        <f aca="false">Theory_Rev!O71</f>
        <v>67.3808039971155</v>
      </c>
      <c r="P147" s="187" t="n">
        <f aca="false">Theory_Rev!P71</f>
        <v>67.3808039971155</v>
      </c>
      <c r="Q147" s="187" t="n">
        <f aca="false">Theory_Rev!Q71</f>
        <v>67.3808039971155</v>
      </c>
    </row>
    <row r="148" customFormat="false" ht="15" hidden="false" customHeight="true" outlineLevel="0" collapsed="false">
      <c r="A148" s="34" t="s">
        <v>1970</v>
      </c>
      <c r="B148" s="35" t="s">
        <v>71</v>
      </c>
      <c r="C148" s="190" t="n">
        <f aca="false">B4_Serve</f>
        <v>0.41</v>
      </c>
    </row>
    <row r="149" customFormat="false" ht="15" hidden="false" customHeight="true" outlineLevel="0" collapsed="false">
      <c r="A149" s="34" t="s">
        <v>1971</v>
      </c>
      <c r="B149" s="35" t="s">
        <v>71</v>
      </c>
      <c r="C149" s="190" t="n">
        <f aca="false">B4_Free</f>
        <v>0.46</v>
      </c>
    </row>
    <row r="151" customFormat="false" ht="15" hidden="false" customHeight="true" outlineLevel="0" collapsed="false">
      <c r="A151" s="33" t="s">
        <v>1972</v>
      </c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</row>
    <row r="152" customFormat="false" ht="40.5" hidden="false" customHeight="true" outlineLevel="0" collapsed="false">
      <c r="A152" s="9" t="s">
        <v>1973</v>
      </c>
      <c r="C152" s="156" t="str">
        <f aca="false">Workload!C4</f>
        <v>一般聊天</v>
      </c>
      <c r="D152" s="156" t="str">
        <f aca="false">Workload!D4</f>
        <v>推理聊天</v>
      </c>
      <c r="E152" s="156" t="str">
        <f aca="false">Workload!E4</f>
        <v>單代理（工具迴圈）</v>
      </c>
      <c r="F152" s="156" t="str">
        <f aca="false">Workload!F4</f>
        <v>多代理研究</v>
      </c>
      <c r="G152" s="156" t="str">
        <f aca="false">Workload!G4</f>
        <v>Coding agent（長程）</v>
      </c>
    </row>
    <row r="153" customFormat="false" ht="15" hidden="false" customHeight="true" outlineLevel="0" collapsed="false">
      <c r="A153" s="35" t="s">
        <v>1974</v>
      </c>
      <c r="B153" s="35" t="s">
        <v>75</v>
      </c>
      <c r="C153" s="191" t="n">
        <f aca="false">B5_W</f>
        <v>0</v>
      </c>
    </row>
    <row r="154" customFormat="false" ht="15" hidden="false" customHeight="true" outlineLevel="0" collapsed="false">
      <c r="A154" s="34" t="s">
        <v>1975</v>
      </c>
      <c r="B154" s="34"/>
      <c r="C154" s="34" t="str">
        <f aca="false">B5_ProfileName</f>
        <v>供應商原生增強（保留推理狀態＋上下文壓縮）</v>
      </c>
    </row>
    <row r="155" customFormat="false" ht="15" hidden="false" customHeight="true" outlineLevel="0" collapsed="false">
      <c r="A155" s="34" t="s">
        <v>1976</v>
      </c>
      <c r="B155" s="35" t="s">
        <v>1112</v>
      </c>
      <c r="C155" s="191" t="n">
        <f aca="false">INDEX(B5_TaskLen,1,1)</f>
        <v>0.02</v>
      </c>
      <c r="D155" s="191" t="n">
        <f aca="false">INDEX(B5_TaskLen,1,2)</f>
        <v>0.1</v>
      </c>
      <c r="E155" s="191" t="n">
        <f aca="false">INDEX(B5_TaskLen,1,3)</f>
        <v>0.5</v>
      </c>
      <c r="F155" s="191" t="n">
        <f aca="false">INDEX(B5_TaskLen,1,4)</f>
        <v>2</v>
      </c>
      <c r="G155" s="191" t="n">
        <f aca="false">INDEX(B5_TaskLen,1,5)</f>
        <v>8</v>
      </c>
    </row>
    <row r="156" customFormat="false" ht="15" hidden="false" customHeight="true" outlineLevel="0" collapsed="false">
      <c r="A156" s="34" t="s">
        <v>1977</v>
      </c>
      <c r="B156" s="35" t="s">
        <v>249</v>
      </c>
      <c r="C156" s="40" t="n">
        <f aca="false">Harness!C41</f>
        <v>1500</v>
      </c>
      <c r="D156" s="40" t="n">
        <f aca="false">Harness!D41</f>
        <v>1500</v>
      </c>
      <c r="E156" s="40" t="n">
        <f aca="false">Harness!E41</f>
        <v>6840</v>
      </c>
      <c r="F156" s="40" t="n">
        <f aca="false">Harness!F41</f>
        <v>27360</v>
      </c>
      <c r="G156" s="40" t="n">
        <f aca="false">Harness!G41</f>
        <v>200400</v>
      </c>
    </row>
    <row r="157" customFormat="false" ht="15" hidden="false" customHeight="true" outlineLevel="0" collapsed="false">
      <c r="A157" s="34" t="s">
        <v>1978</v>
      </c>
      <c r="B157" s="35" t="s">
        <v>249</v>
      </c>
      <c r="C157" s="40" t="n">
        <f aca="false">Harness!C42</f>
        <v>1000</v>
      </c>
      <c r="D157" s="40" t="n">
        <f aca="false">Harness!D42</f>
        <v>1000</v>
      </c>
      <c r="E157" s="40" t="n">
        <f aca="false">Harness!E42</f>
        <v>18360</v>
      </c>
      <c r="F157" s="40" t="n">
        <f aca="false">Harness!F42</f>
        <v>73440</v>
      </c>
      <c r="G157" s="40" t="n">
        <f aca="false">Harness!G42</f>
        <v>1263600</v>
      </c>
    </row>
    <row r="158" customFormat="false" ht="15" hidden="false" customHeight="true" outlineLevel="0" collapsed="false">
      <c r="A158" s="34" t="s">
        <v>1979</v>
      </c>
      <c r="B158" s="35" t="s">
        <v>249</v>
      </c>
      <c r="C158" s="40" t="n">
        <f aca="false">Harness!C43</f>
        <v>500</v>
      </c>
      <c r="D158" s="40" t="n">
        <f aca="false">Harness!D43</f>
        <v>3700</v>
      </c>
      <c r="E158" s="40" t="n">
        <f aca="false">Harness!E43</f>
        <v>2400</v>
      </c>
      <c r="F158" s="40" t="n">
        <f aca="false">Harness!F43</f>
        <v>9600</v>
      </c>
      <c r="G158" s="40" t="n">
        <f aca="false">Harness!G43</f>
        <v>30000</v>
      </c>
    </row>
    <row r="159" customFormat="false" ht="15" hidden="false" customHeight="true" outlineLevel="0" collapsed="false">
      <c r="A159" s="34" t="s">
        <v>1980</v>
      </c>
      <c r="B159" s="35" t="s">
        <v>249</v>
      </c>
      <c r="C159" s="40" t="n">
        <f aca="false">Harness!C38</f>
        <v>3000</v>
      </c>
      <c r="D159" s="40" t="n">
        <f aca="false">Harness!D38</f>
        <v>6200</v>
      </c>
      <c r="E159" s="40" t="n">
        <f aca="false">Harness!E38</f>
        <v>16250.08</v>
      </c>
      <c r="F159" s="40" t="n">
        <f aca="false">Harness!F38</f>
        <v>65000.32</v>
      </c>
      <c r="G159" s="40" t="n">
        <f aca="false">Harness!G38</f>
        <v>735840</v>
      </c>
    </row>
    <row r="160" customFormat="false" ht="15" hidden="false" customHeight="true" outlineLevel="0" collapsed="false">
      <c r="A160" s="34" t="s">
        <v>1981</v>
      </c>
      <c r="B160" s="35" t="s">
        <v>75</v>
      </c>
      <c r="C160" s="172" t="n">
        <f aca="false">Harness!C45</f>
        <v>1</v>
      </c>
      <c r="D160" s="172" t="n">
        <f aca="false">Harness!D45</f>
        <v>1</v>
      </c>
      <c r="E160" s="172" t="n">
        <f aca="false">Harness!E45</f>
        <v>0.588771014492754</v>
      </c>
      <c r="F160" s="172" t="n">
        <f aca="false">Harness!F45</f>
        <v>0.588771014492754</v>
      </c>
      <c r="G160" s="172" t="n">
        <f aca="false">Harness!G45</f>
        <v>0.492530120481928</v>
      </c>
    </row>
    <row r="161" customFormat="false" ht="15" hidden="false" customHeight="true" outlineLevel="0" collapsed="false">
      <c r="A161" s="8" t="s">
        <v>219</v>
      </c>
    </row>
    <row r="162" customFormat="false" ht="15" hidden="false" customHeight="true" outlineLevel="0" collapsed="false">
      <c r="A162" s="34" t="s">
        <v>1982</v>
      </c>
      <c r="B162" s="35" t="s">
        <v>71</v>
      </c>
      <c r="C162" s="176" t="n">
        <f aca="false">Harness!C57</f>
        <v>0.962243725044712</v>
      </c>
      <c r="D162" s="176" t="n">
        <f aca="false">Harness!D57</f>
        <v>0.884017511243649</v>
      </c>
      <c r="E162" s="176" t="n">
        <f aca="false">Harness!E57</f>
        <v>0.695076124968439</v>
      </c>
      <c r="F162" s="176" t="n">
        <f aca="false">Harness!F57</f>
        <v>0.446267899285204</v>
      </c>
      <c r="G162" s="176" t="n">
        <f aca="false">Harness!G57</f>
        <v>0.221752565013566</v>
      </c>
    </row>
    <row r="163" customFormat="false" ht="15" hidden="false" customHeight="true" outlineLevel="0" collapsed="false">
      <c r="A163" s="34" t="s">
        <v>1983</v>
      </c>
      <c r="B163" s="35" t="s">
        <v>71</v>
      </c>
      <c r="C163" s="176" t="n">
        <f aca="false">Harness!C58</f>
        <v>0.962243725044712</v>
      </c>
      <c r="D163" s="176" t="n">
        <f aca="false">Harness!D58</f>
        <v>0.884017511243649</v>
      </c>
      <c r="E163" s="176" t="n">
        <f aca="false">Harness!E58</f>
        <v>0.723262011773013</v>
      </c>
      <c r="F163" s="176" t="n">
        <f aca="false">Harness!F58</f>
        <v>0.575444203093429</v>
      </c>
      <c r="G163" s="176" t="n">
        <f aca="false">Harness!G58</f>
        <v>0.323962245896112</v>
      </c>
    </row>
    <row r="164" customFormat="false" ht="15" hidden="false" customHeight="true" outlineLevel="0" collapsed="false">
      <c r="A164" s="34" t="s">
        <v>1984</v>
      </c>
      <c r="B164" s="35" t="s">
        <v>390</v>
      </c>
      <c r="C164" s="192" t="n">
        <f aca="false">Harness!C88</f>
        <v>0.000106913241225165</v>
      </c>
      <c r="D164" s="192" t="n">
        <f aca="false">Harness!D88</f>
        <v>0.000769123637958258</v>
      </c>
      <c r="E164" s="192" t="n">
        <f aca="false">Harness!E88</f>
        <v>0.000707593750082319</v>
      </c>
      <c r="F164" s="192" t="n">
        <f aca="false">Harness!F88</f>
        <v>0.00440839704264529</v>
      </c>
      <c r="G164" s="192" t="n">
        <f aca="false">Harness!G88</f>
        <v>0.0324522383603972</v>
      </c>
    </row>
    <row r="165" customFormat="false" ht="15" hidden="false" customHeight="true" outlineLevel="0" collapsed="false">
      <c r="A165" s="34" t="s">
        <v>1985</v>
      </c>
      <c r="B165" s="35" t="s">
        <v>390</v>
      </c>
      <c r="C165" s="193" t="n">
        <f aca="false">Harness!C97</f>
        <v>0.000157579848121241</v>
      </c>
      <c r="D165" s="193" t="n">
        <f aca="false">Harness!D97</f>
        <v>0.0011414061274832</v>
      </c>
      <c r="E165" s="193" t="n">
        <f aca="false">Harness!E97</f>
        <v>0.00104204717563707</v>
      </c>
      <c r="F165" s="193" t="n">
        <f aca="false">Harness!F97</f>
        <v>0.00649208346857348</v>
      </c>
      <c r="G165" s="193" t="n">
        <f aca="false">Harness!G97</f>
        <v>0.0471535286249069</v>
      </c>
    </row>
    <row r="166" customFormat="false" ht="15" hidden="false" customHeight="true" outlineLevel="0" collapsed="false">
      <c r="A166" s="34" t="s">
        <v>1986</v>
      </c>
      <c r="B166" s="35" t="s">
        <v>390</v>
      </c>
      <c r="C166" s="193" t="n">
        <f aca="false">Harness!C126</f>
        <v>0.000340869980715914</v>
      </c>
      <c r="D166" s="193" t="n">
        <f aca="false">Harness!D126</f>
        <v>0.00181896849275965</v>
      </c>
      <c r="E166" s="193" t="n">
        <f aca="false">Harness!E126</f>
        <v>0.00237971056778149</v>
      </c>
      <c r="F166" s="193" t="n">
        <f aca="false">Harness!F126</f>
        <v>0.0148258927218325</v>
      </c>
      <c r="G166" s="193" t="n">
        <f aca="false">Harness!G126</f>
        <v>0.171997108568582</v>
      </c>
    </row>
    <row r="167" customFormat="false" ht="15" hidden="false" customHeight="true" outlineLevel="0" collapsed="false">
      <c r="A167" s="35" t="s">
        <v>1987</v>
      </c>
      <c r="B167" s="35" t="s">
        <v>75</v>
      </c>
      <c r="C167" s="172" t="n">
        <f aca="false">Harness!C136</f>
        <v>1</v>
      </c>
      <c r="D167" s="172" t="n">
        <f aca="false">Harness!D136</f>
        <v>1</v>
      </c>
      <c r="E167" s="172" t="n">
        <f aca="false">Harness!E136</f>
        <v>0.5906011618601</v>
      </c>
      <c r="F167" s="172" t="n">
        <f aca="false">Harness!F136</f>
        <v>0.476595579475868</v>
      </c>
      <c r="G167" s="172" t="n">
        <f aca="false">Harness!G136</f>
        <v>0.414654003644933</v>
      </c>
    </row>
    <row r="168" customFormat="false" ht="15" hidden="false" customHeight="true" outlineLevel="0" collapsed="false">
      <c r="A168" s="8" t="s">
        <v>220</v>
      </c>
    </row>
    <row r="169" customFormat="false" ht="15" hidden="false" customHeight="true" outlineLevel="0" collapsed="false">
      <c r="A169" s="34" t="s">
        <v>1988</v>
      </c>
      <c r="B169" s="35" t="s">
        <v>71</v>
      </c>
      <c r="C169" s="176" t="n">
        <f aca="false">Harness!C60</f>
        <v>0.988943278022254</v>
      </c>
      <c r="D169" s="176" t="n">
        <f aca="false">Harness!D60</f>
        <v>0.963963460360214</v>
      </c>
      <c r="E169" s="176" t="n">
        <f aca="false">Harness!E60</f>
        <v>0.888888888888889</v>
      </c>
      <c r="F169" s="176" t="n">
        <f aca="false">Harness!F60</f>
        <v>0.738796125036259</v>
      </c>
      <c r="G169" s="176" t="n">
        <f aca="false">Harness!G60</f>
        <v>0.5</v>
      </c>
    </row>
    <row r="170" customFormat="false" ht="15" hidden="false" customHeight="true" outlineLevel="0" collapsed="false">
      <c r="A170" s="34" t="s">
        <v>1989</v>
      </c>
      <c r="B170" s="35" t="s">
        <v>71</v>
      </c>
      <c r="C170" s="176" t="n">
        <f aca="false">Harness!C61</f>
        <v>0.988943278022254</v>
      </c>
      <c r="D170" s="176" t="n">
        <f aca="false">Harness!D61</f>
        <v>0.963963460360214</v>
      </c>
      <c r="E170" s="176" t="n">
        <f aca="false">Harness!E61</f>
        <v>0.901693340131513</v>
      </c>
      <c r="F170" s="176" t="n">
        <f aca="false">Harness!F61</f>
        <v>0.826293243415818</v>
      </c>
      <c r="G170" s="176" t="n">
        <f aca="false">Harness!G61</f>
        <v>0.627115119175411</v>
      </c>
    </row>
    <row r="171" customFormat="false" ht="15" hidden="false" customHeight="true" outlineLevel="0" collapsed="false">
      <c r="A171" s="34" t="s">
        <v>1990</v>
      </c>
      <c r="B171" s="35" t="s">
        <v>390</v>
      </c>
      <c r="C171" s="192" t="n">
        <f aca="false">Harness!C91</f>
        <v>0.000334082610572906</v>
      </c>
      <c r="D171" s="192" t="n">
        <f aca="false">Harness!D91</f>
        <v>0.00224436776488957</v>
      </c>
      <c r="E171" s="192" t="n">
        <f aca="false">Harness!E91</f>
        <v>0.00177394408270669</v>
      </c>
      <c r="F171" s="192" t="n">
        <f aca="false">Harness!F91</f>
        <v>0.00853734409909517</v>
      </c>
      <c r="G171" s="192" t="n">
        <f aca="false">Harness!G91</f>
        <v>0.0463683646779148</v>
      </c>
    </row>
    <row r="172" customFormat="false" ht="15" hidden="false" customHeight="true" outlineLevel="0" collapsed="false">
      <c r="A172" s="34" t="s">
        <v>1991</v>
      </c>
      <c r="B172" s="35" t="s">
        <v>390</v>
      </c>
      <c r="C172" s="193" t="n">
        <f aca="false">Harness!C100</f>
        <v>0.000533650890150221</v>
      </c>
      <c r="D172" s="193" t="n">
        <f aca="false">Harness!D100</f>
        <v>0.00364504944049846</v>
      </c>
      <c r="E172" s="193" t="n">
        <f aca="false">Harness!E100</f>
        <v>0.00283447218978376</v>
      </c>
      <c r="F172" s="193" t="n">
        <f aca="false">Harness!F100</f>
        <v>0.0136412780196414</v>
      </c>
      <c r="G172" s="193" t="n">
        <f aca="false">Harness!G100</f>
        <v>0.0725045721219997</v>
      </c>
    </row>
    <row r="173" customFormat="false" ht="15" hidden="false" customHeight="true" outlineLevel="0" collapsed="false">
      <c r="A173" s="34" t="s">
        <v>1992</v>
      </c>
      <c r="B173" s="35" t="s">
        <v>390</v>
      </c>
      <c r="C173" s="193" t="n">
        <f aca="false">Harness!C129</f>
        <v>0.00663334302966199</v>
      </c>
      <c r="D173" s="193" t="n">
        <f aca="false">Harness!D129</f>
        <v>0.0333622604201019</v>
      </c>
      <c r="E173" s="193" t="n">
        <f aca="false">Harness!E129</f>
        <v>0.0372168</v>
      </c>
      <c r="F173" s="193" t="n">
        <f aca="false">Harness!F129</f>
        <v>0.179110847385002</v>
      </c>
      <c r="G173" s="193" t="n">
        <f aca="false">Harness!G129</f>
        <v>1.525632</v>
      </c>
    </row>
    <row r="174" customFormat="false" ht="15" hidden="false" customHeight="true" outlineLevel="0" collapsed="false">
      <c r="A174" s="35" t="s">
        <v>1993</v>
      </c>
      <c r="B174" s="35" t="s">
        <v>75</v>
      </c>
      <c r="C174" s="172" t="n">
        <f aca="false">Harness!C137</f>
        <v>1</v>
      </c>
      <c r="D174" s="172" t="n">
        <f aca="false">Harness!D137</f>
        <v>1</v>
      </c>
      <c r="E174" s="172" t="n">
        <f aca="false">Harness!E137</f>
        <v>0.605314437223865</v>
      </c>
      <c r="F174" s="172" t="n">
        <f aca="false">Harness!F137</f>
        <v>0.549013247703099</v>
      </c>
      <c r="G174" s="172" t="n">
        <f aca="false">Harness!G137</f>
        <v>0.479278330582203</v>
      </c>
    </row>
    <row r="175" customFormat="false" ht="15" hidden="false" customHeight="true" outlineLevel="0" collapsed="false">
      <c r="A175" s="8" t="s">
        <v>221</v>
      </c>
    </row>
    <row r="176" customFormat="false" ht="15" hidden="false" customHeight="true" outlineLevel="0" collapsed="false">
      <c r="A176" s="34" t="s">
        <v>1994</v>
      </c>
      <c r="B176" s="35" t="s">
        <v>71</v>
      </c>
      <c r="C176" s="176" t="n">
        <f aca="false">Harness!C63</f>
        <v>0.993396032445753</v>
      </c>
      <c r="D176" s="176" t="n">
        <f aca="false">Harness!D63</f>
        <v>0.978254868861662</v>
      </c>
      <c r="E176" s="176" t="n">
        <f aca="false">Harness!E63</f>
        <v>0.930816639357101</v>
      </c>
      <c r="F176" s="176" t="n">
        <f aca="false">Harness!F63</f>
        <v>0.826293243415818</v>
      </c>
      <c r="G176" s="176" t="n">
        <f aca="false">Harness!G63</f>
        <v>0.627115119175411</v>
      </c>
    </row>
    <row r="177" customFormat="false" ht="15" hidden="false" customHeight="true" outlineLevel="0" collapsed="false">
      <c r="A177" s="34" t="s">
        <v>1995</v>
      </c>
      <c r="B177" s="35" t="s">
        <v>71</v>
      </c>
      <c r="C177" s="176" t="n">
        <f aca="false">Harness!C64</f>
        <v>0.993396032445753</v>
      </c>
      <c r="D177" s="176" t="n">
        <f aca="false">Harness!D64</f>
        <v>0.978254868861662</v>
      </c>
      <c r="E177" s="176" t="n">
        <f aca="false">Harness!E64</f>
        <v>0.939120259663704</v>
      </c>
      <c r="F177" s="176" t="n">
        <f aca="false">Harness!F64</f>
        <v>0.888888888888889</v>
      </c>
      <c r="G177" s="176" t="n">
        <f aca="false">Harness!G64</f>
        <v>0.738796125036259</v>
      </c>
    </row>
    <row r="178" customFormat="false" ht="15" hidden="false" customHeight="true" outlineLevel="0" collapsed="false">
      <c r="A178" s="34" t="s">
        <v>1996</v>
      </c>
      <c r="B178" s="35" t="s">
        <v>390</v>
      </c>
      <c r="C178" s="192" t="n">
        <f aca="false">Harness!C94</f>
        <v>0.00164056305594464</v>
      </c>
      <c r="D178" s="192" t="n">
        <f aca="false">Harness!D94</f>
        <v>0.0113657211430203</v>
      </c>
      <c r="E178" s="192" t="n">
        <f aca="false">Harness!E94</f>
        <v>0.00839000078726531</v>
      </c>
      <c r="F178" s="192" t="n">
        <f aca="false">Harness!F94</f>
        <v>0.0378052339129473</v>
      </c>
      <c r="G178" s="192" t="n">
        <f aca="false">Harness!G94</f>
        <v>0.176083141402411</v>
      </c>
    </row>
    <row r="179" customFormat="false" ht="15" hidden="false" customHeight="true" outlineLevel="0" collapsed="false">
      <c r="A179" s="34" t="s">
        <v>1997</v>
      </c>
      <c r="B179" s="35" t="s">
        <v>390</v>
      </c>
      <c r="C179" s="193" t="n">
        <f aca="false">Harness!C103</f>
        <v>0.0036251027740309</v>
      </c>
      <c r="D179" s="193" t="n">
        <f aca="false">Harness!D103</f>
        <v>0.0259073724424718</v>
      </c>
      <c r="E179" s="193" t="n">
        <f aca="false">Harness!E103</f>
        <v>0.0185336351733247</v>
      </c>
      <c r="F179" s="193" t="n">
        <f aca="false">Harness!F103</f>
        <v>0.0835123179068436</v>
      </c>
      <c r="G179" s="193" t="n">
        <f aca="false">Harness!G103</f>
        <v>0.370396000719878</v>
      </c>
    </row>
    <row r="180" customFormat="false" ht="15" hidden="false" customHeight="true" outlineLevel="0" collapsed="false">
      <c r="A180" s="34" t="s">
        <v>1998</v>
      </c>
      <c r="B180" s="35" t="s">
        <v>390</v>
      </c>
      <c r="C180" s="193" t="n">
        <f aca="false">Harness!C132</f>
        <v>0.0330180501317747</v>
      </c>
      <c r="D180" s="193" t="n">
        <f aca="false">Harness!D132</f>
        <v>0.164374341614178</v>
      </c>
      <c r="E180" s="193" t="n">
        <f aca="false">Harness!E132</f>
        <v>0.177702023154898</v>
      </c>
      <c r="F180" s="193" t="n">
        <f aca="false">Harness!F132</f>
        <v>0.800722994254286</v>
      </c>
      <c r="G180" s="193" t="n">
        <f aca="false">Harness!G132</f>
        <v>6.08194553659479</v>
      </c>
    </row>
    <row r="181" customFormat="false" ht="15" hidden="false" customHeight="true" outlineLevel="0" collapsed="false">
      <c r="A181" s="35" t="s">
        <v>1999</v>
      </c>
      <c r="B181" s="35" t="s">
        <v>75</v>
      </c>
      <c r="C181" s="172" t="n">
        <f aca="false">Harness!C138</f>
        <v>1</v>
      </c>
      <c r="D181" s="172" t="n">
        <f aca="false">Harness!D138</f>
        <v>1</v>
      </c>
      <c r="E181" s="172" t="n">
        <f aca="false">Harness!E138</f>
        <v>0.608004323040286</v>
      </c>
      <c r="F181" s="172" t="n">
        <f aca="false">Harness!F138</f>
        <v>0.570230526219875</v>
      </c>
      <c r="G181" s="172" t="n">
        <f aca="false">Harness!G138</f>
        <v>0.519416933036323</v>
      </c>
    </row>
    <row r="182" customFormat="false" ht="15" hidden="false" customHeight="true" outlineLevel="0" collapsed="false">
      <c r="A182" s="8" t="s">
        <v>2000</v>
      </c>
    </row>
    <row r="183" customFormat="false" ht="15" hidden="false" customHeight="true" outlineLevel="0" collapsed="false">
      <c r="A183" s="35" t="s">
        <v>2001</v>
      </c>
      <c r="B183" s="35" t="s">
        <v>390</v>
      </c>
      <c r="C183" s="193" t="n">
        <f aca="false">Harness!C68</f>
        <v>0.000102876595493106</v>
      </c>
      <c r="D183" s="193" t="n">
        <f aca="false">Harness!D68</f>
        <v>0.00067991876426652</v>
      </c>
      <c r="E183" s="193" t="n">
        <f aca="false">Harness!E68</f>
        <v>0.000491831521859105</v>
      </c>
      <c r="F183" s="193" t="n">
        <f aca="false">Harness!F68</f>
        <v>0.00196732608743642</v>
      </c>
      <c r="G183" s="193" t="n">
        <f aca="false">Harness!G68</f>
        <v>0.00719636709684973</v>
      </c>
    </row>
    <row r="184" customFormat="false" ht="15" hidden="false" customHeight="true" outlineLevel="0" collapsed="false">
      <c r="A184" s="35" t="s">
        <v>2002</v>
      </c>
      <c r="B184" s="35" t="s">
        <v>1112</v>
      </c>
      <c r="C184" s="172" t="n">
        <f aca="false">Harness!C160</f>
        <v>1.5</v>
      </c>
      <c r="D184" s="172" t="n">
        <f aca="false">Harness!D160</f>
        <v>1.5</v>
      </c>
      <c r="E184" s="172" t="n">
        <f aca="false">Harness!E160</f>
        <v>1.5</v>
      </c>
      <c r="F184" s="172" t="n">
        <f aca="false">Harness!F160</f>
        <v>1.5</v>
      </c>
      <c r="G184" s="172" t="n">
        <f aca="false">Harness!G160</f>
        <v>1.5</v>
      </c>
    </row>
    <row r="185" customFormat="false" ht="15" hidden="false" customHeight="true" outlineLevel="0" collapsed="false">
      <c r="A185" s="35" t="s">
        <v>2003</v>
      </c>
      <c r="B185" s="35" t="s">
        <v>390</v>
      </c>
      <c r="C185" s="193" t="n">
        <f aca="false">Harness!C71</f>
        <v>0.000330388752030202</v>
      </c>
      <c r="D185" s="193" t="n">
        <f aca="false">Harness!D71</f>
        <v>0.00216348851696387</v>
      </c>
      <c r="E185" s="193" t="n">
        <f aca="false">Harness!E71</f>
        <v>0.00157683918462817</v>
      </c>
      <c r="F185" s="193" t="n">
        <f aca="false">Harness!F71</f>
        <v>0.00630735673851268</v>
      </c>
      <c r="G185" s="193" t="n">
        <f aca="false">Harness!G71</f>
        <v>0.0231841823389574</v>
      </c>
    </row>
    <row r="186" customFormat="false" ht="15" hidden="false" customHeight="true" outlineLevel="0" collapsed="false">
      <c r="A186" s="35" t="s">
        <v>2004</v>
      </c>
      <c r="B186" s="35" t="s">
        <v>1112</v>
      </c>
      <c r="C186" s="172" t="n">
        <f aca="false">Harness!C161</f>
        <v>8</v>
      </c>
      <c r="D186" s="172" t="n">
        <f aca="false">Harness!D161</f>
        <v>8</v>
      </c>
      <c r="E186" s="172" t="n">
        <f aca="false">Harness!E161</f>
        <v>8</v>
      </c>
      <c r="F186" s="172" t="n">
        <f aca="false">Harness!F161</f>
        <v>8</v>
      </c>
      <c r="G186" s="172" t="n">
        <f aca="false">Harness!G161</f>
        <v>8</v>
      </c>
    </row>
    <row r="187" customFormat="false" ht="15" hidden="false" customHeight="true" outlineLevel="0" collapsed="false">
      <c r="A187" s="35" t="s">
        <v>2005</v>
      </c>
      <c r="B187" s="35" t="s">
        <v>390</v>
      </c>
      <c r="C187" s="193" t="n">
        <f aca="false">Harness!C74</f>
        <v>0.00162972883075249</v>
      </c>
      <c r="D187" s="193" t="n">
        <f aca="false">Harness!D74</f>
        <v>0.0111185720462836</v>
      </c>
      <c r="E187" s="193" t="n">
        <f aca="false">Harness!E74</f>
        <v>0.00780955233700573</v>
      </c>
      <c r="F187" s="193" t="n">
        <f aca="false">Harness!F74</f>
        <v>0.0312382093480229</v>
      </c>
      <c r="G187" s="193" t="n">
        <f aca="false">Harness!G74</f>
        <v>0.110424400205354</v>
      </c>
    </row>
    <row r="188" customFormat="false" ht="15" hidden="false" customHeight="true" outlineLevel="0" collapsed="false">
      <c r="A188" s="35" t="s">
        <v>2006</v>
      </c>
      <c r="B188" s="35" t="s">
        <v>1112</v>
      </c>
      <c r="C188" s="172" t="n">
        <f aca="false">Harness!C162</f>
        <v>16</v>
      </c>
      <c r="D188" s="172" t="n">
        <f aca="false">Harness!D162</f>
        <v>16</v>
      </c>
      <c r="E188" s="172" t="n">
        <f aca="false">Harness!E162</f>
        <v>16</v>
      </c>
      <c r="F188" s="172" t="n">
        <f aca="false">Harness!F162</f>
        <v>16</v>
      </c>
      <c r="G188" s="172" t="n">
        <f aca="false">Harness!G162</f>
        <v>16</v>
      </c>
    </row>
    <row r="189" customFormat="false" ht="15" hidden="false" customHeight="true" outlineLevel="0" collapsed="false">
      <c r="A189" s="34" t="s">
        <v>2007</v>
      </c>
      <c r="B189" s="35" t="s">
        <v>71</v>
      </c>
      <c r="C189" s="190" t="n">
        <f aca="false">B5_PFloor</f>
        <v>0.5</v>
      </c>
    </row>
    <row r="190" customFormat="false" ht="15" hidden="false" customHeight="true" outlineLevel="0" collapsed="false">
      <c r="A190" s="34" t="s">
        <v>2008</v>
      </c>
      <c r="B190" s="35" t="s">
        <v>390</v>
      </c>
      <c r="C190" s="192" t="n">
        <f aca="false">Harness!C151</f>
        <v>0.000106913241225165</v>
      </c>
      <c r="D190" s="192" t="n">
        <f aca="false">Harness!D151</f>
        <v>0.000769123637958258</v>
      </c>
      <c r="E190" s="192" t="n">
        <f aca="false">Harness!E151</f>
        <v>0.000417905690923563</v>
      </c>
      <c r="F190" s="192" t="n">
        <f aca="false">Harness!F151</f>
        <v>0.00210102254309924</v>
      </c>
      <c r="G190" s="192" t="n">
        <f aca="false">Harness!G151</f>
        <v>0.0222233524146578</v>
      </c>
    </row>
    <row r="191" customFormat="false" ht="15" hidden="false" customHeight="true" outlineLevel="0" collapsed="false">
      <c r="A191" s="34" t="s">
        <v>2009</v>
      </c>
      <c r="B191" s="34"/>
      <c r="C191" s="182" t="str">
        <f aca="false">Harness!C152</f>
        <v>Luna｜標準</v>
      </c>
      <c r="D191" s="182" t="str">
        <f aca="false">Harness!D152</f>
        <v>Luna｜標準</v>
      </c>
      <c r="E191" s="182" t="str">
        <f aca="false">Harness!E152</f>
        <v>Luna｜選定</v>
      </c>
      <c r="F191" s="182" t="str">
        <f aca="false">Harness!F152</f>
        <v>Luna｜選定</v>
      </c>
      <c r="G191" s="182" t="str">
        <f aca="false">Harness!G152</f>
        <v>Sol｜選定</v>
      </c>
    </row>
    <row r="192" customFormat="false" ht="15" hidden="false" customHeight="true" outlineLevel="0" collapsed="false">
      <c r="A192" s="34" t="s">
        <v>2010</v>
      </c>
      <c r="B192" s="35" t="s">
        <v>71</v>
      </c>
      <c r="C192" s="176" t="n">
        <f aca="false">Harness!C153</f>
        <v>0.962243725044712</v>
      </c>
      <c r="D192" s="176" t="n">
        <f aca="false">Harness!D153</f>
        <v>0.884017511243649</v>
      </c>
      <c r="E192" s="176" t="n">
        <f aca="false">Harness!E153</f>
        <v>0.723262011773013</v>
      </c>
      <c r="F192" s="176" t="n">
        <f aca="false">Harness!F153</f>
        <v>0.575444203093429</v>
      </c>
      <c r="G192" s="176" t="n">
        <f aca="false">Harness!G153</f>
        <v>0.627115119175411</v>
      </c>
    </row>
    <row r="194" customFormat="false" ht="15" hidden="false" customHeight="true" outlineLevel="0" collapsed="false">
      <c r="A194" s="33" t="s">
        <v>2011</v>
      </c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</row>
    <row r="195" customFormat="false" ht="15" hidden="false" customHeight="true" outlineLevel="0" collapsed="false">
      <c r="A195" s="34" t="s">
        <v>2012</v>
      </c>
      <c r="B195" s="35" t="s">
        <v>71</v>
      </c>
      <c r="C195" s="194" t="n">
        <f aca="false">AL_Q1</f>
        <v>0.608610622610726</v>
      </c>
    </row>
    <row r="196" customFormat="false" ht="15" hidden="false" customHeight="true" outlineLevel="0" collapsed="false">
      <c r="A196" s="34" t="s">
        <v>2013</v>
      </c>
      <c r="B196" s="35" t="s">
        <v>71</v>
      </c>
      <c r="C196" s="195" t="n">
        <f aca="false">AL_Q1R2</f>
        <v>0.642085540067637</v>
      </c>
    </row>
    <row r="197" customFormat="false" ht="15" hidden="false" customHeight="true" outlineLevel="0" collapsed="false">
      <c r="A197" s="34" t="s">
        <v>2014</v>
      </c>
      <c r="B197" s="35" t="s">
        <v>71</v>
      </c>
      <c r="C197" s="194" t="n">
        <f aca="false">AL_Q2</f>
        <v>0.636961500620674</v>
      </c>
    </row>
    <row r="198" customFormat="false" ht="15" hidden="false" customHeight="true" outlineLevel="0" collapsed="false">
      <c r="A198" s="34" t="s">
        <v>2015</v>
      </c>
      <c r="B198" s="35" t="s">
        <v>63</v>
      </c>
      <c r="C198" s="196" t="n">
        <f aca="false">AL_ServeGW</f>
        <v>0.0518797846974362</v>
      </c>
    </row>
    <row r="199" customFormat="false" ht="15" hidden="false" customHeight="true" outlineLevel="0" collapsed="false">
      <c r="A199" s="34" t="s">
        <v>2016</v>
      </c>
      <c r="B199" s="35" t="s">
        <v>1744</v>
      </c>
      <c r="C199" s="196" t="n">
        <f aca="false">AL_RDGW</f>
        <v>0.0806730838640342</v>
      </c>
    </row>
    <row r="200" customFormat="false" ht="15" hidden="false" customHeight="true" outlineLevel="0" collapsed="false">
      <c r="A200" s="34" t="s">
        <v>2017</v>
      </c>
      <c r="B200" s="35" t="s">
        <v>750</v>
      </c>
      <c r="C200" s="48" t="n">
        <f aca="false">AL_D</f>
        <v>4190200000</v>
      </c>
    </row>
    <row r="201" customFormat="false" ht="15" hidden="false" customHeight="true" outlineLevel="0" collapsed="false">
      <c r="A201" s="34" t="s">
        <v>2018</v>
      </c>
      <c r="B201" s="34" t="s">
        <v>287</v>
      </c>
      <c r="C201" s="191" t="n">
        <f aca="false">AL_ImpliedNk</f>
        <v>1.67050349221483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</cols>
  <sheetData>
    <row r="1" customFormat="false" ht="17.15" hidden="false" customHeight="false" outlineLevel="0" collapsed="false">
      <c r="A1" s="49" t="s">
        <v>2019</v>
      </c>
    </row>
    <row r="2" customFormat="false" ht="15" hidden="false" customHeight="false" outlineLevel="0" collapsed="false">
      <c r="A2" s="66" t="s">
        <v>2020</v>
      </c>
    </row>
    <row r="4" customFormat="false" ht="15" hidden="false" customHeight="false" outlineLevel="0" collapsed="false">
      <c r="A4" s="77" t="s">
        <v>2021</v>
      </c>
      <c r="B4" s="76" t="s">
        <v>2022</v>
      </c>
      <c r="C4" s="76" t="s">
        <v>2023</v>
      </c>
      <c r="D4" s="76" t="s">
        <v>2024</v>
      </c>
      <c r="E4" s="76" t="s">
        <v>1099</v>
      </c>
      <c r="F4" s="76" t="s">
        <v>1100</v>
      </c>
      <c r="G4" s="76" t="s">
        <v>55</v>
      </c>
      <c r="H4" s="76" t="s">
        <v>2025</v>
      </c>
      <c r="I4" s="76" t="s">
        <v>2026</v>
      </c>
      <c r="J4" s="76" t="s">
        <v>2027</v>
      </c>
      <c r="K4" s="76" t="s">
        <v>2028</v>
      </c>
      <c r="L4" s="76" t="s">
        <v>2029</v>
      </c>
      <c r="M4" s="76" t="s">
        <v>2030</v>
      </c>
      <c r="N4" s="76" t="s">
        <v>2031</v>
      </c>
      <c r="O4" s="76" t="s">
        <v>2032</v>
      </c>
      <c r="P4" s="76" t="s">
        <v>496</v>
      </c>
      <c r="Q4" s="76" t="s">
        <v>38</v>
      </c>
      <c r="R4" s="76" t="s">
        <v>2033</v>
      </c>
      <c r="S4" s="76" t="s">
        <v>2034</v>
      </c>
    </row>
    <row r="5" customFormat="false" ht="26.85" hidden="false" customHeight="false" outlineLevel="0" collapsed="false">
      <c r="A5" s="54" t="s">
        <v>2035</v>
      </c>
      <c r="B5" s="5" t="s">
        <v>2036</v>
      </c>
      <c r="C5" s="5" t="s">
        <v>2037</v>
      </c>
      <c r="D5" s="118" t="n">
        <f aca="false">INDEX(IF_CapexTotal,1,2)</f>
        <v>40.180214</v>
      </c>
      <c r="E5" s="108" t="n">
        <f aca="false">INDEX(IF_CapexTotal,1,1)</f>
        <v>31.6322694</v>
      </c>
      <c r="F5" s="108" t="n">
        <f aca="false">INDEX(IF_CapexTotal,1,3)</f>
        <v>50.3067434</v>
      </c>
      <c r="G5" s="54" t="s">
        <v>2038</v>
      </c>
      <c r="H5" s="5" t="s">
        <v>2039</v>
      </c>
      <c r="I5" s="6" t="s">
        <v>2040</v>
      </c>
      <c r="J5" s="5" t="s">
        <v>2041</v>
      </c>
      <c r="K5" s="5" t="s">
        <v>2042</v>
      </c>
      <c r="L5" s="54" t="s">
        <v>571</v>
      </c>
      <c r="M5" s="108" t="s">
        <v>571</v>
      </c>
      <c r="N5" s="108" t="s">
        <v>571</v>
      </c>
      <c r="O5" s="69" t="str">
        <f aca="false">IF(AND(ISNUMBER(D5),ISNUMBER(M5),ISNUMBER(N5)),D5/((M5+N5)/2),"—")</f>
        <v>—</v>
      </c>
      <c r="P5" s="53" t="str">
        <f aca="false">IF(ISNUMBER(D5),IF(AND(ISNUMBER(M5),ISNUMBER(N5)),IF(M5=N5,IF(ABS(D5/M5-1)&lt;=0.2,"±20% 內","差距 &gt;20%"),IF(D5&lt;M5,"低於外部區間",IF(D5&gt;N5,"高於外部區間","落在外部區間"))),"無外部對照"),"推算值非數字（本情境）")</f>
        <v>無外部對照</v>
      </c>
      <c r="Q5" s="54" t="s">
        <v>2035</v>
      </c>
      <c r="R5" s="54" t="s">
        <v>2043</v>
      </c>
      <c r="S5" s="6" t="s">
        <v>571</v>
      </c>
    </row>
    <row r="6" customFormat="false" ht="26.85" hidden="false" customHeight="false" outlineLevel="0" collapsed="false">
      <c r="A6" s="54" t="s">
        <v>2044</v>
      </c>
      <c r="B6" s="5" t="s">
        <v>2045</v>
      </c>
      <c r="C6" s="5" t="s">
        <v>2037</v>
      </c>
      <c r="D6" s="118" t="n">
        <f aca="false">INDEX(IF_CapexTotal,1,5)</f>
        <v>36.685174</v>
      </c>
      <c r="E6" s="108" t="n">
        <f aca="false">INDEX(IF_CapexTotal,1,4)</f>
        <v>30.8513904</v>
      </c>
      <c r="F6" s="108" t="n">
        <f aca="false">INDEX(IF_CapexTotal,1,6)</f>
        <v>43.8362044</v>
      </c>
      <c r="G6" s="54" t="s">
        <v>2038</v>
      </c>
      <c r="H6" s="5" t="s">
        <v>2039</v>
      </c>
      <c r="I6" s="6" t="s">
        <v>2040</v>
      </c>
      <c r="J6" s="5" t="s">
        <v>2041</v>
      </c>
      <c r="K6" s="5" t="s">
        <v>2042</v>
      </c>
      <c r="L6" s="54" t="s">
        <v>571</v>
      </c>
      <c r="M6" s="108" t="s">
        <v>571</v>
      </c>
      <c r="N6" s="108" t="s">
        <v>571</v>
      </c>
      <c r="O6" s="69" t="str">
        <f aca="false">IF(AND(ISNUMBER(D6),ISNUMBER(M6),ISNUMBER(N6)),D6/((M6+N6)/2),"—")</f>
        <v>—</v>
      </c>
      <c r="P6" s="53" t="str">
        <f aca="false">IF(ISNUMBER(D6),IF(AND(ISNUMBER(M6),ISNUMBER(N6)),IF(M6=N6,IF(ABS(D6/M6-1)&lt;=0.2,"±20% 內","差距 &gt;20%"),IF(D6&lt;M6,"低於外部區間",IF(D6&gt;N6,"高於外部區間","落在外部區間"))),"無外部對照"),"推算值非數字（本情境）")</f>
        <v>無外部對照</v>
      </c>
      <c r="Q6" s="54" t="s">
        <v>2044</v>
      </c>
      <c r="R6" s="54" t="s">
        <v>2043</v>
      </c>
      <c r="S6" s="6" t="s">
        <v>571</v>
      </c>
    </row>
    <row r="7" customFormat="false" ht="26.85" hidden="false" customHeight="false" outlineLevel="0" collapsed="false">
      <c r="A7" s="54" t="s">
        <v>2046</v>
      </c>
      <c r="B7" s="5" t="s">
        <v>2047</v>
      </c>
      <c r="C7" s="5" t="s">
        <v>2037</v>
      </c>
      <c r="D7" s="118" t="n">
        <f aca="false">INDEX(IF_CapexTotal,1,8)</f>
        <v>50.115504</v>
      </c>
      <c r="E7" s="108" t="n">
        <f aca="false">INDEX(IF_CapexTotal,1,7)</f>
        <v>38.7669024</v>
      </c>
      <c r="F7" s="108" t="n">
        <f aca="false">INDEX(IF_CapexTotal,1,9)</f>
        <v>67.1365064</v>
      </c>
      <c r="G7" s="54" t="s">
        <v>2038</v>
      </c>
      <c r="H7" s="5" t="s">
        <v>2039</v>
      </c>
      <c r="I7" s="6" t="s">
        <v>2040</v>
      </c>
      <c r="J7" s="5" t="s">
        <v>2041</v>
      </c>
      <c r="K7" s="5" t="s">
        <v>2042</v>
      </c>
      <c r="L7" s="54" t="s">
        <v>571</v>
      </c>
      <c r="M7" s="108" t="s">
        <v>571</v>
      </c>
      <c r="N7" s="108" t="s">
        <v>571</v>
      </c>
      <c r="O7" s="69" t="str">
        <f aca="false">IF(AND(ISNUMBER(D7),ISNUMBER(M7),ISNUMBER(N7)),D7/((M7+N7)/2),"—")</f>
        <v>—</v>
      </c>
      <c r="P7" s="53" t="str">
        <f aca="false">IF(ISNUMBER(D7),IF(AND(ISNUMBER(M7),ISNUMBER(N7)),IF(M7=N7,IF(ABS(D7/M7-1)&lt;=0.2,"±20% 內","差距 &gt;20%"),IF(D7&lt;M7,"低於外部區間",IF(D7&gt;N7,"高於外部區間","落在外部區間"))),"無外部對照"),"推算值非數字（本情境）")</f>
        <v>無外部對照</v>
      </c>
      <c r="Q7" s="54" t="s">
        <v>2046</v>
      </c>
      <c r="R7" s="54" t="s">
        <v>2043</v>
      </c>
      <c r="S7" s="6" t="s">
        <v>571</v>
      </c>
    </row>
    <row r="8" customFormat="false" ht="26.85" hidden="false" customHeight="false" outlineLevel="0" collapsed="false">
      <c r="A8" s="54" t="s">
        <v>2048</v>
      </c>
      <c r="B8" s="5" t="s">
        <v>2049</v>
      </c>
      <c r="C8" s="5" t="s">
        <v>2037</v>
      </c>
      <c r="D8" s="118" t="n">
        <f aca="false">INDEX(IF_CapexTotal,1,11)</f>
        <v>50.256352</v>
      </c>
      <c r="E8" s="108" t="n">
        <f aca="false">INDEX(IF_CapexTotal,1,10)</f>
        <v>43.4854032</v>
      </c>
      <c r="F8" s="108" t="n">
        <f aca="false">INDEX(IF_CapexTotal,1,12)</f>
        <v>58.8235752</v>
      </c>
      <c r="G8" s="54" t="s">
        <v>2038</v>
      </c>
      <c r="H8" s="5" t="s">
        <v>2039</v>
      </c>
      <c r="I8" s="6" t="s">
        <v>2040</v>
      </c>
      <c r="J8" s="5" t="s">
        <v>2041</v>
      </c>
      <c r="K8" s="5" t="s">
        <v>2042</v>
      </c>
      <c r="L8" s="54" t="s">
        <v>2050</v>
      </c>
      <c r="M8" s="87" t="n">
        <f aca="false">SRC_DC_010_Lo</f>
        <v>50</v>
      </c>
      <c r="N8" s="87" t="n">
        <f aca="false">SRC_DC_010_Hi</f>
        <v>60</v>
      </c>
      <c r="O8" s="69" t="n">
        <f aca="false">IF(AND(ISNUMBER(D8),ISNUMBER(M8),ISNUMBER(N8)),D8/((M8+N8)/2),"—")</f>
        <v>0.913751854545455</v>
      </c>
      <c r="P8" s="53" t="str">
        <f aca="false">IF(ISNUMBER(D8),IF(AND(ISNUMBER(M8),ISNUMBER(N8)),IF(M8=N8,IF(ABS(D8/M8-1)&lt;=0.2,"±20% 內","差距 &gt;20%"),IF(D8&lt;M8,"低於外部區間",IF(D8&gt;N8,"高於外部區間","落在外部區間"))),"無外部對照"),"推算值非數字（本情境）")</f>
        <v>落在外部區間</v>
      </c>
      <c r="Q8" s="54" t="s">
        <v>2048</v>
      </c>
      <c r="R8" s="54" t="s">
        <v>2043</v>
      </c>
      <c r="S8" s="5" t="s">
        <v>2051</v>
      </c>
    </row>
    <row r="9" customFormat="false" ht="15" hidden="false" customHeight="false" outlineLevel="0" collapsed="false">
      <c r="A9" s="54" t="s">
        <v>2052</v>
      </c>
      <c r="B9" s="5" t="s">
        <v>2053</v>
      </c>
      <c r="C9" s="5" t="s">
        <v>2054</v>
      </c>
      <c r="D9" s="109" t="n">
        <f aca="false">DC_Cost!M19/CTL_GW</f>
        <v>34.0368</v>
      </c>
      <c r="E9" s="87" t="n">
        <f aca="false">DC_Cost!L19/CTL_GW</f>
        <v>31.6056</v>
      </c>
      <c r="F9" s="87" t="n">
        <f aca="false">DC_Cost!N19/CTL_GW</f>
        <v>36.8732</v>
      </c>
      <c r="G9" s="54" t="s">
        <v>2038</v>
      </c>
      <c r="H9" s="5" t="s">
        <v>2039</v>
      </c>
      <c r="I9" s="5" t="s">
        <v>2055</v>
      </c>
      <c r="J9" s="5" t="s">
        <v>2056</v>
      </c>
      <c r="K9" s="5" t="s">
        <v>2042</v>
      </c>
      <c r="L9" s="54" t="s">
        <v>2057</v>
      </c>
      <c r="M9" s="87" t="n">
        <f aca="false">SRC_DC_011</f>
        <v>35</v>
      </c>
      <c r="N9" s="87" t="n">
        <f aca="false">SRC_DC_011</f>
        <v>35</v>
      </c>
      <c r="O9" s="69" t="n">
        <f aca="false">IF(AND(ISNUMBER(D9),ISNUMBER(M9),ISNUMBER(N9)),D9/((M9+N9)/2),"—")</f>
        <v>0.97248</v>
      </c>
      <c r="P9" s="53" t="str">
        <f aca="false">IF(ISNUMBER(D9),IF(AND(ISNUMBER(M9),ISNUMBER(N9)),IF(M9=N9,IF(ABS(D9/M9-1)&lt;=0.2,"±20% 內","差距 &gt;20%"),IF(D9&lt;M9,"低於外部區間",IF(D9&gt;N9,"高於外部區間","落在外部區間"))),"無外部對照"),"推算值非數字（本情境）")</f>
        <v>±20% 內</v>
      </c>
      <c r="Q9" s="54" t="s">
        <v>2052</v>
      </c>
      <c r="R9" s="54" t="s">
        <v>2058</v>
      </c>
      <c r="S9" s="5" t="s">
        <v>2059</v>
      </c>
    </row>
    <row r="10" customFormat="false" ht="26.85" hidden="false" customHeight="false" outlineLevel="0" collapsed="false">
      <c r="A10" s="54" t="s">
        <v>2060</v>
      </c>
      <c r="B10" s="5" t="s">
        <v>2061</v>
      </c>
      <c r="C10" s="5" t="s">
        <v>2062</v>
      </c>
      <c r="D10" s="109" t="n">
        <f aca="false">DC_Cost!M36</f>
        <v>12.67</v>
      </c>
      <c r="E10" s="87" t="n">
        <f aca="false">DC_Cost!L36</f>
        <v>10.212</v>
      </c>
      <c r="F10" s="87" t="n">
        <f aca="false">DC_Cost!N36</f>
        <v>16.186</v>
      </c>
      <c r="G10" s="54" t="s">
        <v>92</v>
      </c>
      <c r="H10" s="5" t="s">
        <v>2039</v>
      </c>
      <c r="I10" s="5" t="s">
        <v>2063</v>
      </c>
      <c r="J10" s="5" t="s">
        <v>2064</v>
      </c>
      <c r="K10" s="5" t="s">
        <v>2065</v>
      </c>
      <c r="L10" s="54" t="s">
        <v>2066</v>
      </c>
      <c r="M10" s="87" t="n">
        <f aca="false">SRC_DC_003*(1+SRC_DC_004_Lo)</f>
        <v>12.091</v>
      </c>
      <c r="N10" s="87" t="n">
        <f aca="false">SRC_DC_003*(1+SRC_DC_004_Hi)</f>
        <v>12.43</v>
      </c>
      <c r="O10" s="69" t="n">
        <f aca="false">IF(AND(ISNUMBER(D10),ISNUMBER(M10),ISNUMBER(N10)),D10/((M10+N10)/2),"—")</f>
        <v>1.03339994290608</v>
      </c>
      <c r="P10" s="53" t="str">
        <f aca="false">IF(ISNUMBER(D10),IF(AND(ISNUMBER(M10),ISNUMBER(N10)),IF(M10=N10,IF(ABS(D10/M10-1)&lt;=0.2,"±20% 內","差距 &gt;20%"),IF(D10&lt;M10,"低於外部區間",IF(D10&gt;N10,"高於外部區間","落在外部區間"))),"無外部對照"),"推算值非數字（本情境）")</f>
        <v>高於外部區間</v>
      </c>
      <c r="Q10" s="54" t="s">
        <v>2060</v>
      </c>
      <c r="R10" s="54" t="s">
        <v>2067</v>
      </c>
      <c r="S10" s="5" t="s">
        <v>2068</v>
      </c>
    </row>
    <row r="11" customFormat="false" ht="26.85" hidden="false" customHeight="false" outlineLevel="0" collapsed="false">
      <c r="A11" s="54" t="s">
        <v>2069</v>
      </c>
      <c r="B11" s="5" t="s">
        <v>2070</v>
      </c>
      <c r="C11" s="5" t="s">
        <v>2071</v>
      </c>
      <c r="D11" s="118" t="n">
        <f aca="false">INDEX(IF_HoldEcon,1,2)</f>
        <v>10.0957952959174</v>
      </c>
      <c r="E11" s="108" t="n">
        <f aca="false">INDEX(IF_HoldEcon,1,1)</f>
        <v>7.0000433103819</v>
      </c>
      <c r="F11" s="108" t="n">
        <f aca="false">INDEX(IF_HoldEcon,1,3)</f>
        <v>17.4059720636914</v>
      </c>
      <c r="G11" s="54" t="s">
        <v>1738</v>
      </c>
      <c r="H11" s="5" t="s">
        <v>2039</v>
      </c>
      <c r="I11" s="5" t="s">
        <v>2072</v>
      </c>
      <c r="J11" s="6" t="s">
        <v>2073</v>
      </c>
      <c r="K11" s="5" t="s">
        <v>2074</v>
      </c>
      <c r="L11" s="54" t="s">
        <v>571</v>
      </c>
      <c r="M11" s="108" t="s">
        <v>571</v>
      </c>
      <c r="N11" s="108" t="s">
        <v>571</v>
      </c>
      <c r="O11" s="69" t="str">
        <f aca="false">IF(AND(ISNUMBER(D11),ISNUMBER(M11),ISNUMBER(N11)),D11/((M11+N11)/2),"—")</f>
        <v>—</v>
      </c>
      <c r="P11" s="53" t="str">
        <f aca="false">IF(ISNUMBER(D11),IF(AND(ISNUMBER(M11),ISNUMBER(N11)),IF(M11=N11,IF(ABS(D11/M11-1)&lt;=0.2,"±20% 內","差距 &gt;20%"),IF(D11&lt;M11,"低於外部區間",IF(D11&gt;N11,"高於外部區間","落在外部區間"))),"無外部對照"),"推算值非數字（本情境）")</f>
        <v>無外部對照</v>
      </c>
      <c r="Q11" s="54" t="s">
        <v>2069</v>
      </c>
      <c r="R11" s="54" t="s">
        <v>2075</v>
      </c>
      <c r="S11" s="6" t="s">
        <v>571</v>
      </c>
    </row>
    <row r="12" customFormat="false" ht="26.85" hidden="false" customHeight="false" outlineLevel="0" collapsed="false">
      <c r="A12" s="54" t="s">
        <v>2076</v>
      </c>
      <c r="B12" s="5" t="s">
        <v>2077</v>
      </c>
      <c r="C12" s="5" t="s">
        <v>2071</v>
      </c>
      <c r="D12" s="118" t="n">
        <f aca="false">INDEX(IF_HoldEcon,1,5)</f>
        <v>9.17098191725462</v>
      </c>
      <c r="E12" s="108" t="n">
        <f aca="false">INDEX(IF_HoldEcon,1,4)</f>
        <v>6.81316695089878</v>
      </c>
      <c r="F12" s="108" t="n">
        <f aca="false">INDEX(IF_HoldEcon,1,6)</f>
        <v>14.9200285257983</v>
      </c>
      <c r="G12" s="54" t="s">
        <v>1738</v>
      </c>
      <c r="H12" s="5" t="s">
        <v>2039</v>
      </c>
      <c r="I12" s="5" t="s">
        <v>2072</v>
      </c>
      <c r="J12" s="6" t="s">
        <v>2073</v>
      </c>
      <c r="K12" s="5" t="s">
        <v>2074</v>
      </c>
      <c r="L12" s="54" t="s">
        <v>571</v>
      </c>
      <c r="M12" s="108" t="s">
        <v>571</v>
      </c>
      <c r="N12" s="108" t="s">
        <v>571</v>
      </c>
      <c r="O12" s="69" t="str">
        <f aca="false">IF(AND(ISNUMBER(D12),ISNUMBER(M12),ISNUMBER(N12)),D12/((M12+N12)/2),"—")</f>
        <v>—</v>
      </c>
      <c r="P12" s="53" t="str">
        <f aca="false">IF(ISNUMBER(D12),IF(AND(ISNUMBER(M12),ISNUMBER(N12)),IF(M12=N12,IF(ABS(D12/M12-1)&lt;=0.2,"±20% 內","差距 &gt;20%"),IF(D12&lt;M12,"低於外部區間",IF(D12&gt;N12,"高於外部區間","落在外部區間"))),"無外部對照"),"推算值非數字（本情境）")</f>
        <v>無外部對照</v>
      </c>
      <c r="Q12" s="54" t="s">
        <v>2076</v>
      </c>
      <c r="R12" s="54" t="s">
        <v>2075</v>
      </c>
      <c r="S12" s="6" t="s">
        <v>571</v>
      </c>
    </row>
    <row r="13" customFormat="false" ht="26.85" hidden="false" customHeight="false" outlineLevel="0" collapsed="false">
      <c r="A13" s="54" t="s">
        <v>2078</v>
      </c>
      <c r="B13" s="5" t="s">
        <v>2079</v>
      </c>
      <c r="C13" s="5" t="s">
        <v>2071</v>
      </c>
      <c r="D13" s="118" t="n">
        <f aca="false">INDEX(IF_HoldEcon,1,8)</f>
        <v>12.7247463559608</v>
      </c>
      <c r="E13" s="108" t="n">
        <f aca="false">INDEX(IF_HoldEcon,1,7)</f>
        <v>8.70747076237914</v>
      </c>
      <c r="F13" s="108" t="n">
        <f aca="false">INDEX(IF_HoldEcon,1,9)</f>
        <v>23.87186935202</v>
      </c>
      <c r="G13" s="54" t="s">
        <v>1738</v>
      </c>
      <c r="H13" s="5" t="s">
        <v>2039</v>
      </c>
      <c r="I13" s="5" t="s">
        <v>2072</v>
      </c>
      <c r="J13" s="6" t="s">
        <v>2073</v>
      </c>
      <c r="K13" s="5" t="s">
        <v>2074</v>
      </c>
      <c r="L13" s="54" t="s">
        <v>571</v>
      </c>
      <c r="M13" s="108" t="s">
        <v>571</v>
      </c>
      <c r="N13" s="108" t="s">
        <v>571</v>
      </c>
      <c r="O13" s="69" t="str">
        <f aca="false">IF(AND(ISNUMBER(D13),ISNUMBER(M13),ISNUMBER(N13)),D13/((M13+N13)/2),"—")</f>
        <v>—</v>
      </c>
      <c r="P13" s="53" t="str">
        <f aca="false">IF(ISNUMBER(D13),IF(AND(ISNUMBER(M13),ISNUMBER(N13)),IF(M13=N13,IF(ABS(D13/M13-1)&lt;=0.2,"±20% 內","差距 &gt;20%"),IF(D13&lt;M13,"低於外部區間",IF(D13&gt;N13,"高於外部區間","落在外部區間"))),"無外部對照"),"推算值非數字（本情境）")</f>
        <v>無外部對照</v>
      </c>
      <c r="Q13" s="54" t="s">
        <v>2078</v>
      </c>
      <c r="R13" s="54" t="s">
        <v>2075</v>
      </c>
      <c r="S13" s="6" t="s">
        <v>571</v>
      </c>
    </row>
    <row r="14" customFormat="false" ht="26.85" hidden="false" customHeight="false" outlineLevel="0" collapsed="false">
      <c r="A14" s="54" t="s">
        <v>2080</v>
      </c>
      <c r="B14" s="5" t="s">
        <v>2081</v>
      </c>
      <c r="C14" s="5" t="s">
        <v>2071</v>
      </c>
      <c r="D14" s="118" t="n">
        <f aca="false">INDEX(IF_HoldEcon,1,11)</f>
        <v>12.7620157762701</v>
      </c>
      <c r="E14" s="108" t="n">
        <f aca="false">INDEX(IF_HoldEcon,1,10)</f>
        <v>9.83668060375303</v>
      </c>
      <c r="F14" s="108" t="n">
        <f aca="false">INDEX(IF_HoldEcon,1,12)</f>
        <v>20.6780894215396</v>
      </c>
      <c r="G14" s="54" t="s">
        <v>1738</v>
      </c>
      <c r="H14" s="5" t="s">
        <v>2039</v>
      </c>
      <c r="I14" s="5" t="s">
        <v>2072</v>
      </c>
      <c r="J14" s="6" t="s">
        <v>2073</v>
      </c>
      <c r="K14" s="5" t="s">
        <v>2074</v>
      </c>
      <c r="L14" s="54" t="s">
        <v>571</v>
      </c>
      <c r="M14" s="108" t="s">
        <v>571</v>
      </c>
      <c r="N14" s="108" t="s">
        <v>571</v>
      </c>
      <c r="O14" s="69" t="str">
        <f aca="false">IF(AND(ISNUMBER(D14),ISNUMBER(M14),ISNUMBER(N14)),D14/((M14+N14)/2),"—")</f>
        <v>—</v>
      </c>
      <c r="P14" s="53" t="str">
        <f aca="false">IF(ISNUMBER(D14),IF(AND(ISNUMBER(M14),ISNUMBER(N14)),IF(M14=N14,IF(ABS(D14/M14-1)&lt;=0.2,"±20% 內","差距 &gt;20%"),IF(D14&lt;M14,"低於外部區間",IF(D14&gt;N14,"高於外部區間","落在外部區間"))),"無外部對照"),"推算值非數字（本情境）")</f>
        <v>無外部對照</v>
      </c>
      <c r="Q14" s="54" t="s">
        <v>2080</v>
      </c>
      <c r="R14" s="54" t="s">
        <v>2075</v>
      </c>
      <c r="S14" s="6" t="s">
        <v>571</v>
      </c>
    </row>
    <row r="15" customFormat="false" ht="15" hidden="false" customHeight="false" outlineLevel="0" collapsed="false">
      <c r="A15" s="54" t="s">
        <v>2082</v>
      </c>
      <c r="B15" s="5" t="s">
        <v>2083</v>
      </c>
      <c r="C15" s="6" t="s">
        <v>2084</v>
      </c>
      <c r="D15" s="118" t="n">
        <f aca="false">INDEX(IF_GPUhrEcon,1,2)</f>
        <v>1.60502925637165</v>
      </c>
      <c r="E15" s="108" t="n">
        <f aca="false">INDEX(IF_GPUhrEcon,1,1)</f>
        <v>1.11286669150028</v>
      </c>
      <c r="F15" s="108" t="n">
        <f aca="false">INDEX(IF_GPUhrEcon,1,3)</f>
        <v>2.76720095633376</v>
      </c>
      <c r="G15" s="54" t="s">
        <v>803</v>
      </c>
      <c r="H15" s="5" t="s">
        <v>2039</v>
      </c>
      <c r="I15" s="5" t="s">
        <v>2085</v>
      </c>
      <c r="J15" s="5" t="s">
        <v>2086</v>
      </c>
      <c r="K15" s="5" t="s">
        <v>2074</v>
      </c>
      <c r="L15" s="54" t="s">
        <v>571</v>
      </c>
      <c r="M15" s="108" t="s">
        <v>571</v>
      </c>
      <c r="N15" s="108" t="s">
        <v>571</v>
      </c>
      <c r="O15" s="69" t="str">
        <f aca="false">IF(AND(ISNUMBER(D15),ISNUMBER(M15),ISNUMBER(N15)),D15/((M15+N15)/2),"—")</f>
        <v>—</v>
      </c>
      <c r="P15" s="53" t="str">
        <f aca="false">IF(ISNUMBER(D15),IF(AND(ISNUMBER(M15),ISNUMBER(N15)),IF(M15=N15,IF(ABS(D15/M15-1)&lt;=0.2,"±20% 內","差距 &gt;20%"),IF(D15&lt;M15,"低於外部區間",IF(D15&gt;N15,"高於外部區間","落在外部區間"))),"無外部對照"),"推算值非數字（本情境）")</f>
        <v>無外部對照</v>
      </c>
      <c r="Q15" s="54" t="s">
        <v>2082</v>
      </c>
      <c r="R15" s="54" t="s">
        <v>2087</v>
      </c>
      <c r="S15" s="6" t="s">
        <v>571</v>
      </c>
    </row>
    <row r="16" customFormat="false" ht="39.55" hidden="false" customHeight="false" outlineLevel="0" collapsed="false">
      <c r="A16" s="54" t="s">
        <v>2088</v>
      </c>
      <c r="B16" s="5" t="s">
        <v>2089</v>
      </c>
      <c r="C16" s="6" t="s">
        <v>2084</v>
      </c>
      <c r="D16" s="118" t="n">
        <f aca="false">INDEX(IF_GPUhrEcon,1,5)</f>
        <v>2.08645378736555</v>
      </c>
      <c r="E16" s="108" t="n">
        <f aca="false">INDEX(IF_GPUhrEcon,1,4)</f>
        <v>1.55003663914234</v>
      </c>
      <c r="F16" s="108" t="n">
        <f aca="false">INDEX(IF_GPUhrEcon,1,6)</f>
        <v>3.39439662035368</v>
      </c>
      <c r="G16" s="54" t="s">
        <v>803</v>
      </c>
      <c r="H16" s="5" t="s">
        <v>2039</v>
      </c>
      <c r="I16" s="5" t="s">
        <v>2085</v>
      </c>
      <c r="J16" s="5" t="s">
        <v>2086</v>
      </c>
      <c r="K16" s="5" t="s">
        <v>2074</v>
      </c>
      <c r="L16" s="54" t="s">
        <v>2090</v>
      </c>
      <c r="M16" s="87" t="n">
        <f aca="false">SRC_DC_012</f>
        <v>2.21</v>
      </c>
      <c r="N16" s="87" t="n">
        <f aca="false">SRC_DC_012</f>
        <v>2.21</v>
      </c>
      <c r="O16" s="69" t="n">
        <f aca="false">IF(AND(ISNUMBER(D16),ISNUMBER(M16),ISNUMBER(N16)),D16/((M16+N16)/2),"—")</f>
        <v>0.944096736364502</v>
      </c>
      <c r="P16" s="53" t="str">
        <f aca="false">IF(ISNUMBER(D16),IF(AND(ISNUMBER(M16),ISNUMBER(N16)),IF(M16=N16,IF(ABS(D16/M16-1)&lt;=0.2,"±20% 內","差距 &gt;20%"),IF(D16&lt;M16,"低於外部區間",IF(D16&gt;N16,"高於外部區間","落在外部區間"))),"無外部對照"),"推算值非數字（本情境）")</f>
        <v>±20% 內</v>
      </c>
      <c r="Q16" s="54" t="s">
        <v>2088</v>
      </c>
      <c r="R16" s="54" t="s">
        <v>2087</v>
      </c>
      <c r="S16" s="5" t="s">
        <v>2091</v>
      </c>
    </row>
    <row r="17" customFormat="false" ht="39.55" hidden="false" customHeight="false" outlineLevel="0" collapsed="false">
      <c r="A17" s="54" t="s">
        <v>2092</v>
      </c>
      <c r="B17" s="5" t="s">
        <v>2093</v>
      </c>
      <c r="C17" s="6" t="s">
        <v>2084</v>
      </c>
      <c r="D17" s="118" t="n">
        <f aca="false">INDEX(IF_GPUhrEcon,1,8)</f>
        <v>2.98269559427618</v>
      </c>
      <c r="E17" s="108" t="n">
        <f aca="false">INDEX(IF_GPUhrEcon,1,7)</f>
        <v>2.04104144426194</v>
      </c>
      <c r="F17" s="108" t="n">
        <f aca="false">INDEX(IF_GPUhrEcon,1,9)</f>
        <v>5.59559440727497</v>
      </c>
      <c r="G17" s="54" t="s">
        <v>803</v>
      </c>
      <c r="H17" s="5" t="s">
        <v>2039</v>
      </c>
      <c r="I17" s="5" t="s">
        <v>2085</v>
      </c>
      <c r="J17" s="5" t="s">
        <v>2086</v>
      </c>
      <c r="K17" s="5" t="s">
        <v>2074</v>
      </c>
      <c r="L17" s="54" t="s">
        <v>2094</v>
      </c>
      <c r="M17" s="87" t="n">
        <f aca="false">SRC_DC_013</f>
        <v>2.65</v>
      </c>
      <c r="N17" s="87" t="n">
        <f aca="false">SRC_DC_013</f>
        <v>2.65</v>
      </c>
      <c r="O17" s="69" t="n">
        <f aca="false">IF(AND(ISNUMBER(D17),ISNUMBER(M17),ISNUMBER(N17)),D17/((M17+N17)/2),"—")</f>
        <v>1.12554550727403</v>
      </c>
      <c r="P17" s="53" t="str">
        <f aca="false">IF(ISNUMBER(D17),IF(AND(ISNUMBER(M17),ISNUMBER(N17)),IF(M17=N17,IF(ABS(D17/M17-1)&lt;=0.2,"±20% 內","差距 &gt;20%"),IF(D17&lt;M17,"低於外部區間",IF(D17&gt;N17,"高於外部區間","落在外部區間"))),"無外部對照"),"推算值非數字（本情境）")</f>
        <v>±20% 內</v>
      </c>
      <c r="Q17" s="54" t="s">
        <v>2092</v>
      </c>
      <c r="R17" s="54" t="s">
        <v>2087</v>
      </c>
      <c r="S17" s="5" t="s">
        <v>2091</v>
      </c>
    </row>
    <row r="18" customFormat="false" ht="15" hidden="false" customHeight="false" outlineLevel="0" collapsed="false">
      <c r="A18" s="54" t="s">
        <v>2095</v>
      </c>
      <c r="B18" s="5" t="s">
        <v>2096</v>
      </c>
      <c r="C18" s="6" t="s">
        <v>2084</v>
      </c>
      <c r="D18" s="118" t="n">
        <f aca="false">INDEX(IF_GPUhrEcon,1,11)</f>
        <v>4.99359409623699</v>
      </c>
      <c r="E18" s="108" t="n">
        <f aca="false">INDEX(IF_GPUhrEcon,1,10)</f>
        <v>3.84895231682799</v>
      </c>
      <c r="F18" s="108" t="n">
        <f aca="false">INDEX(IF_GPUhrEcon,1,12)</f>
        <v>8.09104040200768</v>
      </c>
      <c r="G18" s="54" t="s">
        <v>803</v>
      </c>
      <c r="H18" s="5" t="s">
        <v>2039</v>
      </c>
      <c r="I18" s="5" t="s">
        <v>2085</v>
      </c>
      <c r="J18" s="5" t="s">
        <v>2086</v>
      </c>
      <c r="K18" s="5" t="s">
        <v>2074</v>
      </c>
      <c r="L18" s="54" t="s">
        <v>571</v>
      </c>
      <c r="M18" s="108" t="s">
        <v>571</v>
      </c>
      <c r="N18" s="108" t="s">
        <v>571</v>
      </c>
      <c r="O18" s="69" t="str">
        <f aca="false">IF(AND(ISNUMBER(D18),ISNUMBER(M18),ISNUMBER(N18)),D18/((M18+N18)/2),"—")</f>
        <v>—</v>
      </c>
      <c r="P18" s="53" t="str">
        <f aca="false">IF(ISNUMBER(D18),IF(AND(ISNUMBER(M18),ISNUMBER(N18)),IF(M18=N18,IF(ABS(D18/M18-1)&lt;=0.2,"±20% 內","差距 &gt;20%"),IF(D18&lt;M18,"低於外部區間",IF(D18&gt;N18,"高於外部區間","落在外部區間"))),"無外部對照"),"推算值非數字（本情境）")</f>
        <v>無外部對照</v>
      </c>
      <c r="Q18" s="54" t="s">
        <v>2095</v>
      </c>
      <c r="R18" s="54" t="s">
        <v>2087</v>
      </c>
      <c r="S18" s="6" t="s">
        <v>571</v>
      </c>
    </row>
    <row r="19" customFormat="false" ht="26.85" hidden="false" customHeight="false" outlineLevel="0" collapsed="false">
      <c r="A19" s="54" t="s">
        <v>2097</v>
      </c>
      <c r="B19" s="6" t="s">
        <v>2098</v>
      </c>
      <c r="C19" s="5" t="s">
        <v>2099</v>
      </c>
      <c r="D19" s="118" t="n">
        <f aca="false">INDEX(IF_CostDec_Luna,1,11)</f>
        <v>0.108195406645015</v>
      </c>
      <c r="E19" s="108" t="n">
        <f aca="false">INDEX(IF_CostDec_Luna,1,10)</f>
        <v>0.0833946358175752</v>
      </c>
      <c r="F19" s="108" t="n">
        <f aca="false">INDEX(IF_CostDec_Luna,1,12)</f>
        <v>0.175307281610283</v>
      </c>
      <c r="G19" s="54" t="s">
        <v>758</v>
      </c>
      <c r="H19" s="5" t="s">
        <v>2039</v>
      </c>
      <c r="I19" s="5" t="s">
        <v>2100</v>
      </c>
      <c r="J19" s="6" t="s">
        <v>2101</v>
      </c>
      <c r="K19" s="5" t="s">
        <v>2102</v>
      </c>
      <c r="L19" s="54" t="s">
        <v>571</v>
      </c>
      <c r="M19" s="108" t="s">
        <v>571</v>
      </c>
      <c r="N19" s="108" t="s">
        <v>571</v>
      </c>
      <c r="O19" s="69" t="str">
        <f aca="false">IF(AND(ISNUMBER(D19),ISNUMBER(M19),ISNUMBER(N19)),D19/((M19+N19)/2),"—")</f>
        <v>—</v>
      </c>
      <c r="P19" s="53" t="str">
        <f aca="false">IF(ISNUMBER(D19),IF(AND(ISNUMBER(M19),ISNUMBER(N19)),IF(M19=N19,IF(ABS(D19/M19-1)&lt;=0.2,"±20% 內","差距 &gt;20%"),IF(D19&lt;M19,"低於外部區間",IF(D19&gt;N19,"高於外部區間","落在外部區間"))),"無外部對照"),"推算值非數字（本情境）")</f>
        <v>無外部對照</v>
      </c>
      <c r="Q19" s="54" t="s">
        <v>2097</v>
      </c>
      <c r="R19" s="54" t="s">
        <v>2103</v>
      </c>
      <c r="S19" s="6" t="s">
        <v>2104</v>
      </c>
    </row>
    <row r="20" customFormat="false" ht="26.85" hidden="false" customHeight="false" outlineLevel="0" collapsed="false">
      <c r="A20" s="54" t="s">
        <v>2105</v>
      </c>
      <c r="B20" s="6" t="s">
        <v>2106</v>
      </c>
      <c r="C20" s="5" t="s">
        <v>2099</v>
      </c>
      <c r="D20" s="118" t="n">
        <f aca="false">INDEX(IF_CostDec_Luna,1,8)</f>
        <v>0.16076114701646</v>
      </c>
      <c r="E20" s="108" t="n">
        <f aca="false">INDEX(IF_CostDec_Luna,1,7)</f>
        <v>0.110007928505123</v>
      </c>
      <c r="F20" s="108" t="n">
        <f aca="false">INDEX(IF_CostDec_Luna,1,9)</f>
        <v>0.301591009447516</v>
      </c>
      <c r="G20" s="54" t="s">
        <v>758</v>
      </c>
      <c r="H20" s="5" t="s">
        <v>2039</v>
      </c>
      <c r="I20" s="5" t="s">
        <v>2100</v>
      </c>
      <c r="J20" s="6" t="s">
        <v>2101</v>
      </c>
      <c r="K20" s="5" t="s">
        <v>2102</v>
      </c>
      <c r="L20" s="54" t="s">
        <v>571</v>
      </c>
      <c r="M20" s="108" t="s">
        <v>571</v>
      </c>
      <c r="N20" s="108" t="s">
        <v>571</v>
      </c>
      <c r="O20" s="69" t="str">
        <f aca="false">IF(AND(ISNUMBER(D20),ISNUMBER(M20),ISNUMBER(N20)),D20/((M20+N20)/2),"—")</f>
        <v>—</v>
      </c>
      <c r="P20" s="53" t="str">
        <f aca="false">IF(ISNUMBER(D20),IF(AND(ISNUMBER(M20),ISNUMBER(N20)),IF(M20=N20,IF(ABS(D20/M20-1)&lt;=0.2,"±20% 內","差距 &gt;20%"),IF(D20&lt;M20,"低於外部區間",IF(D20&gt;N20,"高於外部區間","落在外部區間"))),"無外部對照"),"推算值非數字（本情境）")</f>
        <v>無外部對照</v>
      </c>
      <c r="Q20" s="54" t="s">
        <v>2105</v>
      </c>
      <c r="R20" s="54" t="s">
        <v>2103</v>
      </c>
      <c r="S20" s="6" t="s">
        <v>571</v>
      </c>
    </row>
    <row r="21" customFormat="false" ht="26.85" hidden="false" customHeight="false" outlineLevel="0" collapsed="false">
      <c r="A21" s="54" t="s">
        <v>2107</v>
      </c>
      <c r="B21" s="6" t="s">
        <v>2108</v>
      </c>
      <c r="C21" s="5" t="s">
        <v>2099</v>
      </c>
      <c r="D21" s="118" t="n">
        <f aca="false">INDEX(IF_CostDec_Sol,1,11)</f>
        <v>0.343706205925063</v>
      </c>
      <c r="E21" s="108" t="n">
        <f aca="false">INDEX(IF_CostDec_Sol,1,10)</f>
        <v>0.264921171426474</v>
      </c>
      <c r="F21" s="108" t="n">
        <f aca="false">INDEX(IF_CostDec_Sol,1,12)</f>
        <v>0.556901651388943</v>
      </c>
      <c r="G21" s="54" t="s">
        <v>758</v>
      </c>
      <c r="H21" s="5" t="s">
        <v>2039</v>
      </c>
      <c r="I21" s="5" t="s">
        <v>2100</v>
      </c>
      <c r="J21" s="6" t="s">
        <v>2101</v>
      </c>
      <c r="K21" s="5" t="s">
        <v>2102</v>
      </c>
      <c r="L21" s="54" t="s">
        <v>571</v>
      </c>
      <c r="M21" s="108" t="s">
        <v>571</v>
      </c>
      <c r="N21" s="108" t="s">
        <v>571</v>
      </c>
      <c r="O21" s="69" t="str">
        <f aca="false">IF(AND(ISNUMBER(D21),ISNUMBER(M21),ISNUMBER(N21)),D21/((M21+N21)/2),"—")</f>
        <v>—</v>
      </c>
      <c r="P21" s="53" t="str">
        <f aca="false">IF(ISNUMBER(D21),IF(AND(ISNUMBER(M21),ISNUMBER(N21)),IF(M21=N21,IF(ABS(D21/M21-1)&lt;=0.2,"±20% 內","差距 &gt;20%"),IF(D21&lt;M21,"低於外部區間",IF(D21&gt;N21,"高於外部區間","落在外部區間"))),"無外部對照"),"推算值非數字（本情境）")</f>
        <v>無外部對照</v>
      </c>
      <c r="Q21" s="54" t="s">
        <v>2107</v>
      </c>
      <c r="R21" s="54" t="s">
        <v>2103</v>
      </c>
      <c r="S21" s="6" t="s">
        <v>2104</v>
      </c>
    </row>
    <row r="22" customFormat="false" ht="26.85" hidden="false" customHeight="false" outlineLevel="0" collapsed="false">
      <c r="A22" s="54" t="s">
        <v>2109</v>
      </c>
      <c r="B22" s="6" t="s">
        <v>2110</v>
      </c>
      <c r="C22" s="5" t="s">
        <v>2099</v>
      </c>
      <c r="D22" s="118" t="n">
        <f aca="false">INDEX(IF_CostDec_Sol,1,8)</f>
        <v>0.559864502104182</v>
      </c>
      <c r="E22" s="108" t="n">
        <f aca="false">INDEX(IF_CostDec_Sol,1,7)</f>
        <v>0.383112059493625</v>
      </c>
      <c r="F22" s="108" t="n">
        <f aca="false">INDEX(IF_CostDec_Sol,1,9)</f>
        <v>1.05031659376095</v>
      </c>
      <c r="G22" s="54" t="s">
        <v>758</v>
      </c>
      <c r="H22" s="5" t="s">
        <v>2039</v>
      </c>
      <c r="I22" s="5" t="s">
        <v>2100</v>
      </c>
      <c r="J22" s="6" t="s">
        <v>2101</v>
      </c>
      <c r="K22" s="5" t="s">
        <v>2102</v>
      </c>
      <c r="L22" s="54" t="s">
        <v>571</v>
      </c>
      <c r="M22" s="108" t="s">
        <v>571</v>
      </c>
      <c r="N22" s="108" t="s">
        <v>571</v>
      </c>
      <c r="O22" s="69" t="str">
        <f aca="false">IF(AND(ISNUMBER(D22),ISNUMBER(M22),ISNUMBER(N22)),D22/((M22+N22)/2),"—")</f>
        <v>—</v>
      </c>
      <c r="P22" s="53" t="str">
        <f aca="false">IF(ISNUMBER(D22),IF(AND(ISNUMBER(M22),ISNUMBER(N22)),IF(M22=N22,IF(ABS(D22/M22-1)&lt;=0.2,"±20% 內","差距 &gt;20%"),IF(D22&lt;M22,"低於外部區間",IF(D22&gt;N22,"高於外部區間","落在外部區間"))),"無外部對照"),"推算值非數字（本情境）")</f>
        <v>無外部對照</v>
      </c>
      <c r="Q22" s="54" t="s">
        <v>2109</v>
      </c>
      <c r="R22" s="54" t="s">
        <v>2103</v>
      </c>
      <c r="S22" s="6" t="s">
        <v>571</v>
      </c>
    </row>
    <row r="23" customFormat="false" ht="26.85" hidden="false" customHeight="false" outlineLevel="0" collapsed="false">
      <c r="A23" s="54" t="s">
        <v>2111</v>
      </c>
      <c r="B23" s="6" t="s">
        <v>2112</v>
      </c>
      <c r="C23" s="5" t="s">
        <v>2099</v>
      </c>
      <c r="D23" s="118" t="n">
        <f aca="false">INDEX(IF_CostDec_Astra,1,11)</f>
        <v>1.77915810291208</v>
      </c>
      <c r="E23" s="108" t="n">
        <f aca="false">INDEX(IF_CostDec_Astra,1,10)</f>
        <v>1.37133586956278</v>
      </c>
      <c r="F23" s="108" t="n">
        <f aca="false">INDEX(IF_CostDec_Astra,1,12)</f>
        <v>2.88274133115239</v>
      </c>
      <c r="G23" s="54" t="s">
        <v>758</v>
      </c>
      <c r="H23" s="5" t="s">
        <v>2039</v>
      </c>
      <c r="I23" s="5" t="s">
        <v>2100</v>
      </c>
      <c r="J23" s="6" t="s">
        <v>2101</v>
      </c>
      <c r="K23" s="5" t="s">
        <v>2102</v>
      </c>
      <c r="L23" s="54" t="s">
        <v>571</v>
      </c>
      <c r="M23" s="108" t="s">
        <v>571</v>
      </c>
      <c r="N23" s="108" t="s">
        <v>571</v>
      </c>
      <c r="O23" s="69" t="str">
        <f aca="false">IF(AND(ISNUMBER(D23),ISNUMBER(M23),ISNUMBER(N23)),D23/((M23+N23)/2),"—")</f>
        <v>—</v>
      </c>
      <c r="P23" s="53" t="str">
        <f aca="false">IF(ISNUMBER(D23),IF(AND(ISNUMBER(M23),ISNUMBER(N23)),IF(M23=N23,IF(ABS(D23/M23-1)&lt;=0.2,"±20% 內","差距 &gt;20%"),IF(D23&lt;M23,"低於外部區間",IF(D23&gt;N23,"高於外部區間","落在外部區間"))),"無外部對照"),"推算值非數字（本情境）")</f>
        <v>無外部對照</v>
      </c>
      <c r="Q23" s="54" t="s">
        <v>2111</v>
      </c>
      <c r="R23" s="54" t="s">
        <v>2103</v>
      </c>
      <c r="S23" s="6" t="s">
        <v>2104</v>
      </c>
    </row>
    <row r="24" customFormat="false" ht="26.85" hidden="false" customHeight="false" outlineLevel="0" collapsed="false">
      <c r="A24" s="54" t="s">
        <v>2113</v>
      </c>
      <c r="B24" s="6" t="s">
        <v>2114</v>
      </c>
      <c r="C24" s="5" t="s">
        <v>2099</v>
      </c>
      <c r="D24" s="118" t="n">
        <f aca="false">INDEX(IF_CostDec_Astra,1,8)</f>
        <v>4.07678447218689</v>
      </c>
      <c r="E24" s="108" t="n">
        <f aca="false">INDEX(IF_CostDec_Astra,1,7)</f>
        <v>2.78972017225788</v>
      </c>
      <c r="F24" s="108" t="n">
        <f aca="false">INDEX(IF_CostDec_Astra,1,9)</f>
        <v>7.64812622381274</v>
      </c>
      <c r="G24" s="54" t="s">
        <v>758</v>
      </c>
      <c r="H24" s="5" t="s">
        <v>2039</v>
      </c>
      <c r="I24" s="5" t="s">
        <v>2100</v>
      </c>
      <c r="J24" s="6" t="s">
        <v>2101</v>
      </c>
      <c r="K24" s="5" t="s">
        <v>2102</v>
      </c>
      <c r="L24" s="54" t="s">
        <v>571</v>
      </c>
      <c r="M24" s="108" t="s">
        <v>571</v>
      </c>
      <c r="N24" s="108" t="s">
        <v>571</v>
      </c>
      <c r="O24" s="69" t="str">
        <f aca="false">IF(AND(ISNUMBER(D24),ISNUMBER(M24),ISNUMBER(N24)),D24/((M24+N24)/2),"—")</f>
        <v>—</v>
      </c>
      <c r="P24" s="53" t="str">
        <f aca="false">IF(ISNUMBER(D24),IF(AND(ISNUMBER(M24),ISNUMBER(N24)),IF(M24=N24,IF(ABS(D24/M24-1)&lt;=0.2,"±20% 內","差距 &gt;20%"),IF(D24&lt;M24,"低於外部區間",IF(D24&gt;N24,"高於外部區間","落在外部區間"))),"無外部對照"),"推算值非數字（本情境）")</f>
        <v>無外部對照</v>
      </c>
      <c r="Q24" s="54" t="s">
        <v>2113</v>
      </c>
      <c r="R24" s="54" t="s">
        <v>2103</v>
      </c>
      <c r="S24" s="6" t="s">
        <v>571</v>
      </c>
    </row>
    <row r="25" customFormat="false" ht="26.85" hidden="false" customHeight="false" outlineLevel="0" collapsed="false">
      <c r="A25" s="54" t="s">
        <v>2115</v>
      </c>
      <c r="B25" s="6" t="s">
        <v>2116</v>
      </c>
      <c r="C25" s="5" t="s">
        <v>2117</v>
      </c>
      <c r="D25" s="109" t="n">
        <f aca="false">DC_Cost!J58/(Calib!C17*3600)*1000000</f>
        <v>0.088687399403304</v>
      </c>
      <c r="E25" s="87" t="n">
        <f aca="false">DC_Cost!I58/(Calib!C17*3600)*1000000</f>
        <v>0.0606882774471935</v>
      </c>
      <c r="F25" s="87" t="n">
        <f aca="false">DC_Cost!K58/(Calib!C17*3600)*1000000</f>
        <v>0.166379270163946</v>
      </c>
      <c r="G25" s="54" t="s">
        <v>2118</v>
      </c>
      <c r="H25" s="5" t="s">
        <v>2039</v>
      </c>
      <c r="I25" s="5" t="s">
        <v>2119</v>
      </c>
      <c r="J25" s="5" t="s">
        <v>2120</v>
      </c>
      <c r="K25" s="6" t="s">
        <v>2121</v>
      </c>
      <c r="L25" s="54" t="s">
        <v>2122</v>
      </c>
      <c r="M25" s="87" t="n">
        <f aca="false">SRC_PERF_011</f>
        <v>0.078</v>
      </c>
      <c r="N25" s="87" t="n">
        <f aca="false">SRC_PERF_011</f>
        <v>0.078</v>
      </c>
      <c r="O25" s="69" t="n">
        <f aca="false">IF(AND(ISNUMBER(D25),ISNUMBER(M25),ISNUMBER(N25)),D25/((M25+N25)/2),"—")</f>
        <v>1.137017941068</v>
      </c>
      <c r="P25" s="53" t="str">
        <f aca="false">IF(ISNUMBER(D25),IF(AND(ISNUMBER(M25),ISNUMBER(N25)),IF(M25=N25,IF(ABS(D25/M25-1)&lt;=0.2,"±20% 內","差距 &gt;20%"),IF(D25&lt;M25,"低於外部區間",IF(D25&gt;N25,"高於外部區間","落在外部區間"))),"無外部對照"),"推算值非數字（本情境）")</f>
        <v>±20% 內</v>
      </c>
      <c r="Q25" s="54" t="s">
        <v>2115</v>
      </c>
      <c r="R25" s="54" t="s">
        <v>2123</v>
      </c>
      <c r="S25" s="6" t="s">
        <v>2124</v>
      </c>
    </row>
    <row r="26" customFormat="false" ht="26.85" hidden="false" customHeight="false" outlineLevel="0" collapsed="false">
      <c r="A26" s="54" t="s">
        <v>2125</v>
      </c>
      <c r="B26" s="5" t="s">
        <v>2126</v>
      </c>
      <c r="C26" s="6" t="s">
        <v>2127</v>
      </c>
      <c r="D26" s="118" t="n">
        <f aca="false">INDEX(IF_RevGW_Luna,1,11)</f>
        <v>37.2582226398973</v>
      </c>
      <c r="E26" s="87" t="n">
        <f aca="false">INDEX(IF_RevGW_Luna,1,11)*(Sens_Rev!$B$6/IF_Util)</f>
        <v>24.8388150932649</v>
      </c>
      <c r="F26" s="87" t="n">
        <f aca="false">INDEX(IF_RevGW_Luna,1,11)*(Sens_Rev!$B$7/IF_Util)</f>
        <v>49.6776301865298</v>
      </c>
      <c r="G26" s="54" t="s">
        <v>1738</v>
      </c>
      <c r="H26" s="5" t="s">
        <v>2128</v>
      </c>
      <c r="I26" s="5" t="s">
        <v>2129</v>
      </c>
      <c r="J26" s="5" t="s">
        <v>2130</v>
      </c>
      <c r="K26" s="5" t="s">
        <v>2131</v>
      </c>
      <c r="L26" s="54" t="s">
        <v>571</v>
      </c>
      <c r="M26" s="108" t="s">
        <v>571</v>
      </c>
      <c r="N26" s="108" t="s">
        <v>571</v>
      </c>
      <c r="O26" s="69" t="str">
        <f aca="false">IF(AND(ISNUMBER(D26),ISNUMBER(M26),ISNUMBER(N26)),D26/((M26+N26)/2),"—")</f>
        <v>—</v>
      </c>
      <c r="P26" s="53" t="str">
        <f aca="false">IF(ISNUMBER(D26),IF(AND(ISNUMBER(M26),ISNUMBER(N26)),IF(M26=N26,IF(ABS(D26/M26-1)&lt;=0.2,"±20% 內","差距 &gt;20%"),IF(D26&lt;M26,"低於外部區間",IF(D26&gt;N26,"高於外部區間","落在外部區間"))),"無外部對照"),"推算值非數字（本情境）")</f>
        <v>無外部對照</v>
      </c>
      <c r="Q26" s="54" t="s">
        <v>2125</v>
      </c>
      <c r="R26" s="54" t="s">
        <v>2132</v>
      </c>
      <c r="S26" s="5" t="s">
        <v>2133</v>
      </c>
    </row>
    <row r="27" customFormat="false" ht="26.85" hidden="false" customHeight="false" outlineLevel="0" collapsed="false">
      <c r="A27" s="54" t="s">
        <v>2134</v>
      </c>
      <c r="B27" s="5" t="s">
        <v>2135</v>
      </c>
      <c r="C27" s="6" t="s">
        <v>2127</v>
      </c>
      <c r="D27" s="118" t="n">
        <f aca="false">INDEX(IF_RevGW_Sol,1,11)</f>
        <v>228.808271164193</v>
      </c>
      <c r="E27" s="87" t="n">
        <f aca="false">INDEX(IF_RevGW_Sol,1,11)*(Sens_Rev!$B$6/IF_Util)</f>
        <v>152.538847442795</v>
      </c>
      <c r="F27" s="87" t="n">
        <f aca="false">INDEX(IF_RevGW_Sol,1,11)*(Sens_Rev!$B$7/IF_Util)</f>
        <v>305.07769488559</v>
      </c>
      <c r="G27" s="54" t="s">
        <v>1738</v>
      </c>
      <c r="H27" s="5" t="s">
        <v>2128</v>
      </c>
      <c r="I27" s="5" t="s">
        <v>2129</v>
      </c>
      <c r="J27" s="5" t="s">
        <v>2130</v>
      </c>
      <c r="K27" s="5" t="s">
        <v>2131</v>
      </c>
      <c r="L27" s="54" t="s">
        <v>571</v>
      </c>
      <c r="M27" s="108" t="s">
        <v>571</v>
      </c>
      <c r="N27" s="108" t="s">
        <v>571</v>
      </c>
      <c r="O27" s="69" t="str">
        <f aca="false">IF(AND(ISNUMBER(D27),ISNUMBER(M27),ISNUMBER(N27)),D27/((M27+N27)/2),"—")</f>
        <v>—</v>
      </c>
      <c r="P27" s="53" t="str">
        <f aca="false">IF(ISNUMBER(D27),IF(AND(ISNUMBER(M27),ISNUMBER(N27)),IF(M27=N27,IF(ABS(D27/M27-1)&lt;=0.2,"±20% 內","差距 &gt;20%"),IF(D27&lt;M27,"低於外部區間",IF(D27&gt;N27,"高於外部區間","落在外部區間"))),"無外部對照"),"推算值非數字（本情境）")</f>
        <v>無外部對照</v>
      </c>
      <c r="Q27" s="54" t="s">
        <v>2134</v>
      </c>
      <c r="R27" s="54" t="s">
        <v>2132</v>
      </c>
      <c r="S27" s="5" t="s">
        <v>2133</v>
      </c>
    </row>
    <row r="28" customFormat="false" ht="26.85" hidden="false" customHeight="false" outlineLevel="0" collapsed="false">
      <c r="A28" s="54" t="s">
        <v>2136</v>
      </c>
      <c r="B28" s="5" t="s">
        <v>2137</v>
      </c>
      <c r="C28" s="6" t="s">
        <v>2127</v>
      </c>
      <c r="D28" s="118" t="n">
        <f aca="false">INDEX(IF_RevGW_Astra,1,11)</f>
        <v>246.697456312585</v>
      </c>
      <c r="E28" s="87" t="n">
        <f aca="false">INDEX(IF_RevGW_Astra,1,11)*(Sens_Rev!$B$6/IF_Util)</f>
        <v>164.464970875057</v>
      </c>
      <c r="F28" s="87" t="n">
        <f aca="false">INDEX(IF_RevGW_Astra,1,11)*(Sens_Rev!$B$7/IF_Util)</f>
        <v>328.929941750114</v>
      </c>
      <c r="G28" s="54" t="s">
        <v>1738</v>
      </c>
      <c r="H28" s="5" t="s">
        <v>2128</v>
      </c>
      <c r="I28" s="5" t="s">
        <v>2129</v>
      </c>
      <c r="J28" s="5" t="s">
        <v>2130</v>
      </c>
      <c r="K28" s="5" t="s">
        <v>2131</v>
      </c>
      <c r="L28" s="54" t="s">
        <v>571</v>
      </c>
      <c r="M28" s="108" t="s">
        <v>571</v>
      </c>
      <c r="N28" s="108" t="s">
        <v>571</v>
      </c>
      <c r="O28" s="69" t="str">
        <f aca="false">IF(AND(ISNUMBER(D28),ISNUMBER(M28),ISNUMBER(N28)),D28/((M28+N28)/2),"—")</f>
        <v>—</v>
      </c>
      <c r="P28" s="53" t="str">
        <f aca="false">IF(ISNUMBER(D28),IF(AND(ISNUMBER(M28),ISNUMBER(N28)),IF(M28=N28,IF(ABS(D28/M28-1)&lt;=0.2,"±20% 內","差距 &gt;20%"),IF(D28&lt;M28,"低於外部區間",IF(D28&gt;N28,"高於外部區間","落在外部區間"))),"無外部對照"),"推算值非數字（本情境）")</f>
        <v>無外部對照</v>
      </c>
      <c r="Q28" s="54" t="s">
        <v>2136</v>
      </c>
      <c r="R28" s="54" t="s">
        <v>2132</v>
      </c>
      <c r="S28" s="5" t="s">
        <v>2133</v>
      </c>
    </row>
    <row r="29" customFormat="false" ht="26.85" hidden="false" customHeight="false" outlineLevel="0" collapsed="false">
      <c r="A29" s="54" t="s">
        <v>2138</v>
      </c>
      <c r="B29" s="6" t="s">
        <v>2139</v>
      </c>
      <c r="C29" s="6" t="s">
        <v>2127</v>
      </c>
      <c r="D29" s="118" t="n">
        <f aca="false">INDEX(IF_RevGWFleet,1,11)</f>
        <v>48.7237019639935</v>
      </c>
      <c r="E29" s="87" t="n">
        <f aca="false">INDEX(IF_RevGWFleet,1,11)*(Sens_Rev!$B$6/IF_Util)</f>
        <v>32.4824679759956</v>
      </c>
      <c r="F29" s="87" t="n">
        <f aca="false">INDEX(IF_RevGWFleet,1,11)*(Sens_Rev!$B$7/IF_Util)</f>
        <v>64.9649359519913</v>
      </c>
      <c r="G29" s="54" t="s">
        <v>1738</v>
      </c>
      <c r="H29" s="5" t="s">
        <v>2128</v>
      </c>
      <c r="I29" s="5" t="s">
        <v>2129</v>
      </c>
      <c r="J29" s="5" t="s">
        <v>2130</v>
      </c>
      <c r="K29" s="5" t="s">
        <v>2131</v>
      </c>
      <c r="L29" s="54" t="s">
        <v>571</v>
      </c>
      <c r="M29" s="108" t="s">
        <v>571</v>
      </c>
      <c r="N29" s="108" t="s">
        <v>571</v>
      </c>
      <c r="O29" s="69" t="str">
        <f aca="false">IF(AND(ISNUMBER(D29),ISNUMBER(M29),ISNUMBER(N29)),D29/((M29+N29)/2),"—")</f>
        <v>—</v>
      </c>
      <c r="P29" s="53" t="str">
        <f aca="false">IF(ISNUMBER(D29),IF(AND(ISNUMBER(M29),ISNUMBER(N29)),IF(M29=N29,IF(ABS(D29/M29-1)&lt;=0.2,"±20% 內","差距 &gt;20%"),IF(D29&lt;M29,"低於外部區間",IF(D29&gt;N29,"高於外部區間","落在外部區間"))),"無外部對照"),"推算值非數字（本情境）")</f>
        <v>無外部對照</v>
      </c>
      <c r="Q29" s="54" t="s">
        <v>2138</v>
      </c>
      <c r="R29" s="54" t="s">
        <v>2132</v>
      </c>
      <c r="S29" s="5" t="s">
        <v>2133</v>
      </c>
    </row>
    <row r="30" customFormat="false" ht="26.85" hidden="false" customHeight="false" outlineLevel="0" collapsed="false">
      <c r="A30" s="54" t="s">
        <v>2140</v>
      </c>
      <c r="B30" s="5" t="s">
        <v>2141</v>
      </c>
      <c r="C30" s="6" t="s">
        <v>2084</v>
      </c>
      <c r="D30" s="118" t="n">
        <f aca="false">INDEX(IF_GPUhrEcon,1,5)</f>
        <v>2.08645378736555</v>
      </c>
      <c r="E30" s="108" t="n">
        <f aca="false">INDEX(IF_GPUhrEcon,1,4)</f>
        <v>1.55003663914234</v>
      </c>
      <c r="F30" s="108" t="n">
        <f aca="false">INDEX(IF_GPUhrEcon,1,6)</f>
        <v>3.39439662035368</v>
      </c>
      <c r="G30" s="54" t="s">
        <v>803</v>
      </c>
      <c r="H30" s="5" t="s">
        <v>2039</v>
      </c>
      <c r="I30" s="5" t="s">
        <v>2142</v>
      </c>
      <c r="J30" s="5" t="s">
        <v>2086</v>
      </c>
      <c r="K30" s="5" t="s">
        <v>2143</v>
      </c>
      <c r="L30" s="54" t="s">
        <v>2144</v>
      </c>
      <c r="M30" s="87" t="n">
        <f aca="false">SRC_PRC_001/4</f>
        <v>10.5</v>
      </c>
      <c r="N30" s="87" t="n">
        <f aca="false">SRC_PRC_001/4</f>
        <v>10.5</v>
      </c>
      <c r="O30" s="69" t="n">
        <f aca="false">IF(AND(ISNUMBER(D30),ISNUMBER(M30),ISNUMBER(N30)),D30/((M30+N30)/2),"—")</f>
        <v>0.198709884511005</v>
      </c>
      <c r="P30" s="53" t="str">
        <f aca="false">IF(ISNUMBER(D30),IF(AND(ISNUMBER(M30),ISNUMBER(N30)),IF(M30=N30,IF(ABS(D30/M30-1)&lt;=0.2,"±20% 內","差距 &gt;20%"),IF(D30&lt;M30,"低於外部區間",IF(D30&gt;N30,"高於外部區間","落在外部區間"))),"無外部對照"),"推算值非數字（本情境）")</f>
        <v>差距 &gt;20%</v>
      </c>
      <c r="Q30" s="54" t="s">
        <v>2140</v>
      </c>
      <c r="R30" s="54" t="s">
        <v>2145</v>
      </c>
      <c r="S30" s="5" t="s">
        <v>2146</v>
      </c>
    </row>
    <row r="31" customFormat="false" ht="39.55" hidden="false" customHeight="false" outlineLevel="0" collapsed="false">
      <c r="A31" s="54" t="s">
        <v>2147</v>
      </c>
      <c r="B31" s="5" t="s">
        <v>2148</v>
      </c>
      <c r="C31" s="6" t="s">
        <v>2084</v>
      </c>
      <c r="D31" s="118" t="n">
        <f aca="false">INDEX(IF_GPUhrEcon,1,8)</f>
        <v>2.98269559427618</v>
      </c>
      <c r="E31" s="108" t="n">
        <f aca="false">INDEX(IF_GPUhrEcon,1,7)</f>
        <v>2.04104144426194</v>
      </c>
      <c r="F31" s="108" t="n">
        <f aca="false">INDEX(IF_GPUhrEcon,1,9)</f>
        <v>5.59559440727497</v>
      </c>
      <c r="G31" s="54" t="s">
        <v>803</v>
      </c>
      <c r="H31" s="5" t="s">
        <v>2039</v>
      </c>
      <c r="I31" s="5" t="s">
        <v>2149</v>
      </c>
      <c r="J31" s="5" t="s">
        <v>2086</v>
      </c>
      <c r="K31" s="5" t="s">
        <v>2150</v>
      </c>
      <c r="L31" s="54" t="s">
        <v>2151</v>
      </c>
      <c r="M31" s="87" t="n">
        <f aca="false">SRC_PRC_002</f>
        <v>3.57</v>
      </c>
      <c r="N31" s="87" t="n">
        <f aca="false">SRC_PRC_002</f>
        <v>3.57</v>
      </c>
      <c r="O31" s="69" t="n">
        <f aca="false">IF(AND(ISNUMBER(D31),ISNUMBER(M31),ISNUMBER(N31)),D31/((M31+N31)/2),"—")</f>
        <v>0.835488961982124</v>
      </c>
      <c r="P31" s="53" t="str">
        <f aca="false">IF(ISNUMBER(D31),IF(AND(ISNUMBER(M31),ISNUMBER(N31)),IF(M31=N31,IF(ABS(D31/M31-1)&lt;=0.2,"±20% 內","差距 &gt;20%"),IF(D31&lt;M31,"低於外部區間",IF(D31&gt;N31,"高於外部區間","落在外部區間"))),"無外部對照"),"推算值非數字（本情境）")</f>
        <v>±20% 內</v>
      </c>
      <c r="Q31" s="54" t="s">
        <v>2147</v>
      </c>
      <c r="R31" s="54" t="s">
        <v>2152</v>
      </c>
      <c r="S31" s="5" t="s">
        <v>2153</v>
      </c>
    </row>
    <row r="32" customFormat="false" ht="26.85" hidden="false" customHeight="false" outlineLevel="0" collapsed="false">
      <c r="A32" s="54" t="s">
        <v>2154</v>
      </c>
      <c r="B32" s="6" t="s">
        <v>2155</v>
      </c>
      <c r="C32" s="6" t="s">
        <v>2156</v>
      </c>
      <c r="D32" s="109" t="n">
        <f aca="false">Training!$M$78</f>
        <v>0.324106750891038</v>
      </c>
      <c r="E32" s="87" t="n">
        <f aca="false">Sens_Train!$O$78</f>
        <v>0.0972320252673115</v>
      </c>
      <c r="F32" s="87" t="n">
        <f aca="false">Sens_Train!$Q$78</f>
        <v>0.972320252673115</v>
      </c>
      <c r="G32" s="54" t="s">
        <v>75</v>
      </c>
      <c r="H32" s="6" t="s">
        <v>2157</v>
      </c>
      <c r="I32" s="5" t="s">
        <v>2158</v>
      </c>
      <c r="J32" s="6" t="s">
        <v>2159</v>
      </c>
      <c r="K32" s="6" t="s">
        <v>2160</v>
      </c>
      <c r="L32" s="54" t="s">
        <v>2161</v>
      </c>
      <c r="M32" s="87" t="n">
        <f aca="false">SRC_MOD_034/SRC_MOD_040</f>
        <v>0.0551801801801802</v>
      </c>
      <c r="N32" s="87" t="n">
        <f aca="false">SRC_MOD_034/SRC_MOD_040</f>
        <v>0.0551801801801802</v>
      </c>
      <c r="O32" s="69" t="n">
        <f aca="false">IF(AND(ISNUMBER(D32),ISNUMBER(M32),ISNUMBER(N32)),D32/((M32+N32)/2),"—")</f>
        <v>5.87360805696413</v>
      </c>
      <c r="P32" s="53" t="str">
        <f aca="false">IF(ISNUMBER(D32),IF(AND(ISNUMBER(M32),ISNUMBER(N32)),IF(M32=N32,IF(ABS(D32/M32-1)&lt;=0.2,"±20% 內","差距 &gt;20%"),IF(D32&lt;M32,"低於外部區間",IF(D32&gt;N32,"高於外部區間","落在外部區間"))),"無外部對照"),"推算值非數字（本情境）")</f>
        <v>差距 &gt;20%</v>
      </c>
      <c r="Q32" s="54" t="s">
        <v>2154</v>
      </c>
      <c r="R32" s="54" t="s">
        <v>2162</v>
      </c>
      <c r="S32" s="5" t="s">
        <v>2163</v>
      </c>
    </row>
    <row r="33" customFormat="false" ht="26.85" hidden="false" customHeight="false" outlineLevel="0" collapsed="false">
      <c r="A33" s="54" t="s">
        <v>2164</v>
      </c>
      <c r="B33" s="6" t="s">
        <v>2165</v>
      </c>
      <c r="C33" s="6" t="s">
        <v>2156</v>
      </c>
      <c r="D33" s="109" t="n">
        <f aca="false">Training!$N$78</f>
        <v>0.972034022206469</v>
      </c>
      <c r="E33" s="87" t="n">
        <f aca="false">Sens_Train!$P$78</f>
        <v>0.291610206661941</v>
      </c>
      <c r="F33" s="87" t="n">
        <f aca="false">Sens_Train!$R$78</f>
        <v>2.91610206661941</v>
      </c>
      <c r="G33" s="54" t="s">
        <v>75</v>
      </c>
      <c r="H33" s="6" t="s">
        <v>2157</v>
      </c>
      <c r="I33" s="5" t="s">
        <v>2166</v>
      </c>
      <c r="J33" s="6" t="s">
        <v>2159</v>
      </c>
      <c r="K33" s="6" t="s">
        <v>2160</v>
      </c>
      <c r="L33" s="54" t="s">
        <v>2167</v>
      </c>
      <c r="M33" s="87" t="n">
        <f aca="false">SRC_MOD_036</f>
        <v>1</v>
      </c>
      <c r="N33" s="87" t="n">
        <f aca="false">SRC_MOD_036</f>
        <v>1</v>
      </c>
      <c r="O33" s="69" t="n">
        <f aca="false">IF(AND(ISNUMBER(D33),ISNUMBER(M33),ISNUMBER(N33)),D33/((M33+N33)/2),"—")</f>
        <v>0.972034022206469</v>
      </c>
      <c r="P33" s="53" t="str">
        <f aca="false">IF(ISNUMBER(D33),IF(AND(ISNUMBER(M33),ISNUMBER(N33)),IF(M33=N33,IF(ABS(D33/M33-1)&lt;=0.2,"±20% 內","差距 &gt;20%"),IF(D33&lt;M33,"低於外部區間",IF(D33&gt;N33,"高於外部區間","落在外部區間"))),"無外部對照"),"推算值非數字（本情境）")</f>
        <v>±20% 內</v>
      </c>
      <c r="Q33" s="54" t="s">
        <v>2164</v>
      </c>
      <c r="R33" s="54" t="s">
        <v>2168</v>
      </c>
      <c r="S33" s="5" t="s">
        <v>2169</v>
      </c>
    </row>
    <row r="34" customFormat="false" ht="26.85" hidden="false" customHeight="false" outlineLevel="0" collapsed="false">
      <c r="A34" s="54" t="s">
        <v>2170</v>
      </c>
      <c r="B34" s="5" t="s">
        <v>2171</v>
      </c>
      <c r="C34" s="6" t="s">
        <v>2172</v>
      </c>
      <c r="D34" s="109" t="n">
        <f aca="false">1/Train_In!$C$13</f>
        <v>0.125</v>
      </c>
      <c r="E34" s="87" t="n">
        <f aca="false">1/Sens_Train!$AE$119</f>
        <v>0.0961538461538462</v>
      </c>
      <c r="F34" s="87" t="n">
        <f aca="false">1/Sens_Train!$AC$119</f>
        <v>0.227272727272727</v>
      </c>
      <c r="G34" s="54" t="s">
        <v>71</v>
      </c>
      <c r="H34" s="5" t="s">
        <v>2173</v>
      </c>
      <c r="I34" s="5" t="s">
        <v>2174</v>
      </c>
      <c r="J34" s="5" t="s">
        <v>2175</v>
      </c>
      <c r="K34" s="5" t="s">
        <v>2176</v>
      </c>
      <c r="L34" s="54" t="s">
        <v>2177</v>
      </c>
      <c r="M34" s="87" t="n">
        <f aca="false">MIN(SRC_DEM_001,SRC_DEM_002,SRC_DEM_003)</f>
        <v>0.096</v>
      </c>
      <c r="N34" s="87" t="n">
        <f aca="false">MAX(SRC_DEM_001,SRC_DEM_002,SRC_DEM_003)</f>
        <v>0.226</v>
      </c>
      <c r="O34" s="69" t="n">
        <f aca="false">IF(AND(ISNUMBER(D34),ISNUMBER(M34),ISNUMBER(N34)),D34/((M34+N34)/2),"—")</f>
        <v>0.77639751552795</v>
      </c>
      <c r="P34" s="53" t="str">
        <f aca="false">IF(ISNUMBER(D34),IF(AND(ISNUMBER(M34),ISNUMBER(N34)),IF(M34=N34,IF(ABS(D34/M34-1)&lt;=0.2,"±20% 內","差距 &gt;20%"),IF(D34&lt;M34,"低於外部區間",IF(D34&gt;N34,"高於外部區間","落在外部區間"))),"無外部對照"),"推算值非數字（本情境）")</f>
        <v>落在外部區間</v>
      </c>
      <c r="Q34" s="54" t="s">
        <v>2170</v>
      </c>
      <c r="R34" s="54" t="s">
        <v>2178</v>
      </c>
      <c r="S34" s="5" t="s">
        <v>2179</v>
      </c>
    </row>
    <row r="35" customFormat="false" ht="39.55" hidden="false" customHeight="false" outlineLevel="0" collapsed="false">
      <c r="A35" s="54" t="s">
        <v>2180</v>
      </c>
      <c r="B35" s="6" t="s">
        <v>2181</v>
      </c>
      <c r="C35" s="6" t="s">
        <v>2182</v>
      </c>
      <c r="D35" s="109" t="n">
        <f aca="false">Checks!$B$43</f>
        <v>10.9578708377053</v>
      </c>
      <c r="E35" s="87" t="n">
        <f aca="false">Checks!$B$43</f>
        <v>10.9578708377053</v>
      </c>
      <c r="F35" s="87" t="n">
        <f aca="false">Checks!$B$43</f>
        <v>10.9578708377053</v>
      </c>
      <c r="G35" s="54" t="s">
        <v>1738</v>
      </c>
      <c r="H35" s="5" t="s">
        <v>2183</v>
      </c>
      <c r="I35" s="5" t="s">
        <v>2184</v>
      </c>
      <c r="J35" s="6" t="s">
        <v>2185</v>
      </c>
      <c r="K35" s="6" t="s">
        <v>2186</v>
      </c>
      <c r="L35" s="54" t="s">
        <v>2187</v>
      </c>
      <c r="M35" s="87" t="n">
        <f aca="false">SRC_DEM_007/((SRC_DEM_008+SRC_DEM_009)/2)</f>
        <v>10.456</v>
      </c>
      <c r="N35" s="87" t="n">
        <f aca="false">SRC_DEM_007/((SRC_DEM_008+SRC_DEM_009)/2)</f>
        <v>10.456</v>
      </c>
      <c r="O35" s="69" t="n">
        <f aca="false">IF(AND(ISNUMBER(D35),ISNUMBER(M35),ISNUMBER(N35)),D35/((M35+N35)/2),"—")</f>
        <v>1.04799835861757</v>
      </c>
      <c r="P35" s="53" t="str">
        <f aca="false">IF(ISNUMBER(D35),IF(AND(ISNUMBER(M35),ISNUMBER(N35)),IF(M35=N35,IF(ABS(D35/M35-1)&lt;=0.2,"±20% 內","差距 &gt;20%"),IF(D35&lt;M35,"低於外部區間",IF(D35&gt;N35,"高於外部區間","落在外部區間"))),"無外部對照"),"推算值非數字（本情境）")</f>
        <v>±20% 內</v>
      </c>
      <c r="Q35" s="54" t="s">
        <v>2180</v>
      </c>
      <c r="R35" s="54" t="s">
        <v>2188</v>
      </c>
      <c r="S35" s="5" t="s">
        <v>2189</v>
      </c>
    </row>
    <row r="36" customFormat="false" ht="26.85" hidden="false" customHeight="false" outlineLevel="0" collapsed="false">
      <c r="A36" s="54" t="s">
        <v>2190</v>
      </c>
      <c r="B36" s="6" t="s">
        <v>2191</v>
      </c>
      <c r="C36" s="6" t="s">
        <v>2192</v>
      </c>
      <c r="D36" s="109" t="n">
        <f aca="false">Training!$N$31*Training!$N$34*1E+021</f>
        <v>6.8423878656E+025</v>
      </c>
      <c r="E36" s="87" t="n">
        <f aca="false">Training!$N$31*Training!$N$34*1E+021</f>
        <v>6.8423878656E+025</v>
      </c>
      <c r="F36" s="87" t="n">
        <f aca="false">Training!$N$31*Training!$N$34*1E+021</f>
        <v>6.8423878656E+025</v>
      </c>
      <c r="G36" s="54" t="s">
        <v>272</v>
      </c>
      <c r="H36" s="5" t="s">
        <v>2193</v>
      </c>
      <c r="I36" s="5" t="s">
        <v>2194</v>
      </c>
      <c r="J36" s="6" t="s">
        <v>2195</v>
      </c>
      <c r="K36" s="6" t="s">
        <v>2196</v>
      </c>
      <c r="L36" s="54" t="s">
        <v>2197</v>
      </c>
      <c r="M36" s="87" t="n">
        <f aca="false">SRC_MOD_033</f>
        <v>4.6E+026</v>
      </c>
      <c r="N36" s="87" t="n">
        <f aca="false">SRC_MOD_033</f>
        <v>4.6E+026</v>
      </c>
      <c r="O36" s="69" t="n">
        <f aca="false">IF(AND(ISNUMBER(D36),ISNUMBER(M36),ISNUMBER(N36)),D36/((M36+N36)/2),"—")</f>
        <v>0.148747562295652</v>
      </c>
      <c r="P36" s="53" t="str">
        <f aca="false">IF(ISNUMBER(D36),IF(AND(ISNUMBER(M36),ISNUMBER(N36)),IF(M36=N36,IF(ABS(D36/M36-1)&lt;=0.2,"±20% 內","差距 &gt;20%"),IF(D36&lt;M36,"低於外部區間",IF(D36&gt;N36,"高於外部區間","落在外部區間"))),"無外部對照"),"推算值非數字（本情境）")</f>
        <v>差距 &gt;20%</v>
      </c>
      <c r="Q36" s="54" t="s">
        <v>2190</v>
      </c>
      <c r="R36" s="54" t="s">
        <v>2198</v>
      </c>
      <c r="S36" s="5" t="s">
        <v>2199</v>
      </c>
    </row>
    <row r="37" customFormat="false" ht="50.7" hidden="false" customHeight="false" outlineLevel="0" collapsed="false">
      <c r="A37" s="54" t="s">
        <v>2200</v>
      </c>
      <c r="B37" s="5" t="s">
        <v>2201</v>
      </c>
      <c r="C37" s="6" t="s">
        <v>2202</v>
      </c>
      <c r="D37" s="118" t="n">
        <f aca="false">IF_AllocQ1</f>
        <v>0.608610622610726</v>
      </c>
      <c r="E37" s="108" t="n">
        <f aca="false">IF(ISNUMBER(IF_AllocQ1),MIN(AL_SensQ1),"—")</f>
        <v>0.437412152558394</v>
      </c>
      <c r="F37" s="108" t="n">
        <f aca="false">IF(ISNUMBER(IF_AllocQ1),MAX(AL_SensQ1),"—")</f>
        <v>0.915860345968586</v>
      </c>
      <c r="G37" s="54" t="s">
        <v>71</v>
      </c>
      <c r="H37" s="6" t="s">
        <v>2203</v>
      </c>
      <c r="I37" s="5" t="s">
        <v>2204</v>
      </c>
      <c r="J37" s="6" t="s">
        <v>2205</v>
      </c>
      <c r="K37" s="5" t="s">
        <v>2206</v>
      </c>
      <c r="L37" s="54" t="s">
        <v>571</v>
      </c>
      <c r="M37" s="108" t="s">
        <v>571</v>
      </c>
      <c r="N37" s="108" t="s">
        <v>571</v>
      </c>
      <c r="O37" s="69" t="str">
        <f aca="false">IF(AND(ISNUMBER(D37),ISNUMBER(M37),ISNUMBER(N37)),D37/((M37+N37)/2),"—")</f>
        <v>—</v>
      </c>
      <c r="P37" s="53" t="str">
        <f aca="false">IF(ISNUMBER(D37),IF(AND(ISNUMBER(M37),ISNUMBER(N37)),IF(M37=N37,IF(ABS(D37/M37-1)&lt;=0.2,"±20% 內","差距 &gt;20%"),IF(D37&lt;M37,"低於外部區間",IF(D37&gt;N37,"高於外部區間","落在外部區間"))),"無外部對照"),"推算值非數字（本情境）")</f>
        <v>無外部對照</v>
      </c>
      <c r="Q37" s="54" t="s">
        <v>2200</v>
      </c>
      <c r="R37" s="54" t="s">
        <v>2207</v>
      </c>
      <c r="S37" s="6" t="s">
        <v>2208</v>
      </c>
    </row>
    <row r="38" customFormat="false" ht="39.55" hidden="false" customHeight="false" outlineLevel="0" collapsed="false">
      <c r="A38" s="54" t="s">
        <v>2209</v>
      </c>
      <c r="B38" s="5" t="s">
        <v>2210</v>
      </c>
      <c r="C38" s="6" t="s">
        <v>2211</v>
      </c>
      <c r="D38" s="118" t="n">
        <f aca="false">IF_AllocQ2</f>
        <v>0.636961500620674</v>
      </c>
      <c r="E38" s="108" t="n">
        <f aca="false">IF(ISNUMBER(IF_AllocQ2),MIN(AL_SensQ2),"—")</f>
        <v>0.46730998494226</v>
      </c>
      <c r="F38" s="108" t="n">
        <f aca="false">IF(ISNUMBER(IF_AllocQ2),MAX(AL_SensQ2),"—")</f>
        <v>0.924708442254505</v>
      </c>
      <c r="G38" s="54" t="s">
        <v>71</v>
      </c>
      <c r="H38" s="6" t="s">
        <v>2212</v>
      </c>
      <c r="I38" s="5" t="s">
        <v>2213</v>
      </c>
      <c r="J38" s="6" t="s">
        <v>2214</v>
      </c>
      <c r="K38" s="5" t="s">
        <v>2206</v>
      </c>
      <c r="L38" s="54" t="s">
        <v>571</v>
      </c>
      <c r="M38" s="108" t="s">
        <v>571</v>
      </c>
      <c r="N38" s="108" t="s">
        <v>571</v>
      </c>
      <c r="O38" s="69" t="str">
        <f aca="false">IF(AND(ISNUMBER(D38),ISNUMBER(M38),ISNUMBER(N38)),D38/((M38+N38)/2),"—")</f>
        <v>—</v>
      </c>
      <c r="P38" s="53" t="str">
        <f aca="false">IF(ISNUMBER(D38),IF(AND(ISNUMBER(M38),ISNUMBER(N38)),IF(M38=N38,IF(ABS(D38/M38-1)&lt;=0.2,"±20% 內","差距 &gt;20%"),IF(D38&lt;M38,"低於外部區間",IF(D38&gt;N38,"高於外部區間","落在外部區間"))),"無外部對照"),"推算值非數字（本情境）")</f>
        <v>無外部對照</v>
      </c>
      <c r="Q38" s="54" t="s">
        <v>2209</v>
      </c>
      <c r="R38" s="54" t="s">
        <v>2207</v>
      </c>
      <c r="S38" s="5" t="s">
        <v>2215</v>
      </c>
    </row>
    <row r="39" customFormat="false" ht="38.05" hidden="false" customHeight="false" outlineLevel="0" collapsed="false">
      <c r="A39" s="54" t="s">
        <v>2216</v>
      </c>
      <c r="B39" s="5" t="s">
        <v>2217</v>
      </c>
      <c r="C39" s="6" t="s">
        <v>2218</v>
      </c>
      <c r="D39" s="118" t="n">
        <f aca="false">AL_RDCost</f>
        <v>1.02955116899316</v>
      </c>
      <c r="E39" s="108" t="n">
        <f aca="false">IF(ISNUMBER(AL_RDCost),MIN(AL_SensCost),"—")</f>
        <v>0.514775584496581</v>
      </c>
      <c r="F39" s="108" t="n">
        <f aca="false">IF(ISNUMBER(AL_RDCost),MAX(AL_SensCost),"—")</f>
        <v>7.20685818295214</v>
      </c>
      <c r="G39" s="54" t="s">
        <v>1349</v>
      </c>
      <c r="H39" s="6" t="s">
        <v>2219</v>
      </c>
      <c r="I39" s="6" t="s">
        <v>2220</v>
      </c>
      <c r="J39" s="6" t="s">
        <v>2221</v>
      </c>
      <c r="K39" s="5" t="s">
        <v>2222</v>
      </c>
      <c r="L39" s="54" t="s">
        <v>571</v>
      </c>
      <c r="M39" s="108" t="s">
        <v>571</v>
      </c>
      <c r="N39" s="108" t="s">
        <v>571</v>
      </c>
      <c r="O39" s="69" t="str">
        <f aca="false">IF(AND(ISNUMBER(D39),ISNUMBER(M39),ISNUMBER(N39)),D39/((M39+N39)/2),"—")</f>
        <v>—</v>
      </c>
      <c r="P39" s="53" t="str">
        <f aca="false">IF(ISNUMBER(D39),IF(AND(ISNUMBER(M39),ISNUMBER(N39)),IF(M39=N39,IF(ABS(D39/M39-1)&lt;=0.2,"±20% 內","差距 &gt;20%"),IF(D39&lt;M39,"低於外部區間",IF(D39&gt;N39,"高於外部區間","落在外部區間"))),"無外部對照"),"推算值非數字（本情境）")</f>
        <v>無外部對照</v>
      </c>
      <c r="Q39" s="54" t="s">
        <v>2216</v>
      </c>
      <c r="R39" s="54" t="s">
        <v>2223</v>
      </c>
      <c r="S39" s="5" t="s">
        <v>2224</v>
      </c>
    </row>
    <row r="40" customFormat="false" ht="64.9" hidden="false" customHeight="false" outlineLevel="0" collapsed="false">
      <c r="A40" s="54" t="s">
        <v>2225</v>
      </c>
      <c r="B40" s="5" t="s">
        <v>2226</v>
      </c>
      <c r="C40" s="6" t="s">
        <v>2227</v>
      </c>
      <c r="D40" s="118" t="n">
        <f aca="false">L1_CostDec_Sol_VR200</f>
        <v>0.343706205925063</v>
      </c>
      <c r="E40" s="108" t="n">
        <f aca="false">L1_CostDec_Sol_VR200_Lo</f>
        <v>0.264921171426474</v>
      </c>
      <c r="F40" s="108" t="n">
        <f aca="false">L1_CostDec_Sol_VR200_Hi</f>
        <v>0.556901651388943</v>
      </c>
      <c r="G40" s="54" t="s">
        <v>758</v>
      </c>
      <c r="H40" s="5" t="s">
        <v>2039</v>
      </c>
      <c r="I40" s="5" t="s">
        <v>2228</v>
      </c>
      <c r="J40" s="6" t="s">
        <v>2101</v>
      </c>
      <c r="K40" s="5" t="s">
        <v>2102</v>
      </c>
      <c r="L40" s="54" t="s">
        <v>571</v>
      </c>
      <c r="M40" s="108" t="s">
        <v>571</v>
      </c>
      <c r="N40" s="108" t="s">
        <v>571</v>
      </c>
      <c r="O40" s="69" t="str">
        <f aca="false">IF(AND(ISNUMBER(D40),ISNUMBER(M40),ISNUMBER(N40)),D40/((M40+N40)/2),"—")</f>
        <v>—</v>
      </c>
      <c r="P40" s="53" t="str">
        <f aca="false">IF(ISNUMBER(D40),IF(AND(ISNUMBER(M40),ISNUMBER(N40)),IF(M40=N40,IF(ABS(D40/M40-1)&lt;=0.2,"±20% 內","差距 &gt;20%"),IF(D40&lt;M40,"低於外部區間",IF(D40&gt;N40,"高於外部區間","落在外部區間"))),"無外部對照"),"推算值非數字（本情境）")</f>
        <v>無外部對照</v>
      </c>
      <c r="Q40" s="54" t="s">
        <v>2225</v>
      </c>
      <c r="R40" s="54" t="s">
        <v>2229</v>
      </c>
      <c r="S40" s="6" t="s">
        <v>2230</v>
      </c>
    </row>
    <row r="41" customFormat="false" ht="52.2" hidden="false" customHeight="false" outlineLevel="0" collapsed="false">
      <c r="A41" s="54" t="s">
        <v>2231</v>
      </c>
      <c r="B41" s="5" t="s">
        <v>2232</v>
      </c>
      <c r="C41" s="6" t="s">
        <v>2233</v>
      </c>
      <c r="D41" s="118" t="n">
        <f aca="false">L1_RevGW_Sol_VR200</f>
        <v>228.808271164193</v>
      </c>
      <c r="E41" s="108" t="n">
        <f aca="false">L1_RevGW_Sol_VR200_Lo</f>
        <v>152.538847442795</v>
      </c>
      <c r="F41" s="108" t="n">
        <f aca="false">L1_RevGW_Sol_VR200_Hi</f>
        <v>305.07769488559</v>
      </c>
      <c r="G41" s="54" t="s">
        <v>1738</v>
      </c>
      <c r="H41" s="5" t="s">
        <v>2128</v>
      </c>
      <c r="I41" s="5" t="s">
        <v>2234</v>
      </c>
      <c r="J41" s="5" t="s">
        <v>2235</v>
      </c>
      <c r="K41" s="5" t="s">
        <v>2236</v>
      </c>
      <c r="L41" s="54" t="s">
        <v>571</v>
      </c>
      <c r="M41" s="108" t="s">
        <v>571</v>
      </c>
      <c r="N41" s="108" t="s">
        <v>571</v>
      </c>
      <c r="O41" s="69" t="str">
        <f aca="false">IF(AND(ISNUMBER(D41),ISNUMBER(M41),ISNUMBER(N41)),D41/((M41+N41)/2),"—")</f>
        <v>—</v>
      </c>
      <c r="P41" s="53" t="str">
        <f aca="false">IF(ISNUMBER(D41),IF(AND(ISNUMBER(M41),ISNUMBER(N41)),IF(M41=N41,IF(ABS(D41/M41-1)&lt;=0.2,"±20% 內","差距 &gt;20%"),IF(D41&lt;M41,"低於外部區間",IF(D41&gt;N41,"高於外部區間","落在外部區間"))),"無外部對照"),"推算值非數字（本情境）")</f>
        <v>無外部對照</v>
      </c>
      <c r="Q41" s="54" t="s">
        <v>2231</v>
      </c>
      <c r="R41" s="54" t="s">
        <v>2237</v>
      </c>
      <c r="S41" s="6" t="s">
        <v>571</v>
      </c>
    </row>
    <row r="42" customFormat="false" ht="39.55" hidden="false" customHeight="false" outlineLevel="0" collapsed="false">
      <c r="A42" s="54" t="s">
        <v>2238</v>
      </c>
      <c r="B42" s="5" t="s">
        <v>2239</v>
      </c>
      <c r="C42" s="5" t="s">
        <v>2240</v>
      </c>
      <c r="D42" s="118" t="n">
        <f aca="false">INDEX(IF_PostShareFLOP_Sol,1,AL_TrainCol)</f>
        <v>0.127029214627552</v>
      </c>
      <c r="E42" s="108" t="n">
        <f aca="false">INDEX(IF_PostShareFLOP_Sol,1,AL_TrainCol)</f>
        <v>0.127029214627552</v>
      </c>
      <c r="F42" s="108" t="n">
        <f aca="false">INDEX(IF_PostShareFLOP_Sol,1,AL_TrainCol)</f>
        <v>0.127029214627552</v>
      </c>
      <c r="G42" s="54" t="s">
        <v>71</v>
      </c>
      <c r="H42" s="5" t="s">
        <v>2241</v>
      </c>
      <c r="I42" s="6" t="s">
        <v>2242</v>
      </c>
      <c r="J42" s="6" t="s">
        <v>2243</v>
      </c>
      <c r="K42" s="6" t="s">
        <v>2160</v>
      </c>
      <c r="L42" s="54" t="s">
        <v>571</v>
      </c>
      <c r="M42" s="108" t="s">
        <v>571</v>
      </c>
      <c r="N42" s="108" t="s">
        <v>571</v>
      </c>
      <c r="O42" s="69" t="str">
        <f aca="false">IF(AND(ISNUMBER(D42),ISNUMBER(M42),ISNUMBER(N42)),D42/((M42+N42)/2),"—")</f>
        <v>—</v>
      </c>
      <c r="P42" s="53" t="str">
        <f aca="false">IF(ISNUMBER(D42),IF(AND(ISNUMBER(M42),ISNUMBER(N42)),IF(M42=N42,IF(ABS(D42/M42-1)&lt;=0.2,"±20% 內","差距 &gt;20%"),IF(D42&lt;M42,"低於外部區間",IF(D42&gt;N42,"高於外部區間","落在外部區間"))),"無外部對照"),"推算值非數字（本情境）")</f>
        <v>無外部對照</v>
      </c>
      <c r="Q42" s="54" t="s">
        <v>2238</v>
      </c>
      <c r="R42" s="54" t="s">
        <v>2244</v>
      </c>
      <c r="S42" s="5" t="s">
        <v>2245</v>
      </c>
    </row>
    <row r="43" customFormat="false" ht="77.6" hidden="false" customHeight="false" outlineLevel="0" collapsed="false">
      <c r="A43" s="54" t="s">
        <v>2246</v>
      </c>
      <c r="B43" s="5" t="s">
        <v>2247</v>
      </c>
      <c r="C43" s="6" t="s">
        <v>2248</v>
      </c>
      <c r="D43" s="118" t="n">
        <f aca="false">IF(AND(ISNUMBER(IF_PriceRef_Sol),ISNUMBER(IF_FrontRef_Sol)),IF_PriceRef_Sol/IF_FrontRef_Sol,"—")</f>
        <v>1</v>
      </c>
      <c r="E43" s="108" t="n">
        <f aca="false">IF(AND(ISNUMBER(IF_PriceRef_Sol),ISNUMBER(IF_FrontRef_Sol)),IF_PriceRef_Sol/IF_FrontRef_Sol,"—")</f>
        <v>1</v>
      </c>
      <c r="F43" s="108" t="n">
        <f aca="false">IF(AND(ISNUMBER(IF_PriceRef_Sol),ISNUMBER(IF_FrontRef_Sol)),IF_PriceRef_Sol/IF_FrontRef_Sol,"—")</f>
        <v>1</v>
      </c>
      <c r="G43" s="54" t="s">
        <v>75</v>
      </c>
      <c r="H43" s="5" t="s">
        <v>2241</v>
      </c>
      <c r="I43" s="5" t="s">
        <v>2249</v>
      </c>
      <c r="J43" s="5" t="s">
        <v>2250</v>
      </c>
      <c r="K43" s="6" t="s">
        <v>2251</v>
      </c>
      <c r="L43" s="54" t="s">
        <v>571</v>
      </c>
      <c r="M43" s="108" t="s">
        <v>571</v>
      </c>
      <c r="N43" s="108" t="s">
        <v>571</v>
      </c>
      <c r="O43" s="69" t="str">
        <f aca="false">IF(AND(ISNUMBER(D43),ISNUMBER(M43),ISNUMBER(N43)),D43/((M43+N43)/2),"—")</f>
        <v>—</v>
      </c>
      <c r="P43" s="53" t="str">
        <f aca="false">IF(ISNUMBER(D43),IF(AND(ISNUMBER(M43),ISNUMBER(N43)),IF(M43=N43,IF(ABS(D43/M43-1)&lt;=0.2,"±20% 內","差距 &gt;20%"),IF(D43&lt;M43,"低於外部區間",IF(D43&gt;N43,"高於外部區間","落在外部區間"))),"無外部對照"),"推算值非數字（本情境）")</f>
        <v>無外部對照</v>
      </c>
      <c r="Q43" s="54" t="s">
        <v>2246</v>
      </c>
      <c r="R43" s="54" t="s">
        <v>2132</v>
      </c>
      <c r="S43" s="5" t="s">
        <v>2245</v>
      </c>
    </row>
    <row r="44" customFormat="false" ht="39.55" hidden="false" customHeight="false" outlineLevel="0" collapsed="false">
      <c r="A44" s="54" t="s">
        <v>2252</v>
      </c>
      <c r="B44" s="5" t="s">
        <v>2253</v>
      </c>
      <c r="C44" s="6" t="s">
        <v>2254</v>
      </c>
      <c r="D44" s="118" t="n">
        <f aca="false">INDEX(IF_HarR_Sol,1,5)</f>
        <v>0.479278330582203</v>
      </c>
      <c r="E44" s="108" t="n">
        <f aca="false">INDEX(IF_HarR_Sol,1,5)</f>
        <v>0.479278330582203</v>
      </c>
      <c r="F44" s="108" t="n">
        <f aca="false">INDEX(IF_HarR_Sol,1,5)</f>
        <v>0.479278330582203</v>
      </c>
      <c r="G44" s="54" t="s">
        <v>75</v>
      </c>
      <c r="H44" s="5" t="s">
        <v>2241</v>
      </c>
      <c r="I44" s="6" t="s">
        <v>2255</v>
      </c>
      <c r="J44" s="5" t="s">
        <v>2256</v>
      </c>
      <c r="K44" s="6" t="s">
        <v>2257</v>
      </c>
      <c r="L44" s="54" t="s">
        <v>571</v>
      </c>
      <c r="M44" s="108" t="s">
        <v>571</v>
      </c>
      <c r="N44" s="108" t="s">
        <v>571</v>
      </c>
      <c r="O44" s="69" t="str">
        <f aca="false">IF(AND(ISNUMBER(D44),ISNUMBER(M44),ISNUMBER(N44)),D44/((M44+N44)/2),"—")</f>
        <v>—</v>
      </c>
      <c r="P44" s="53" t="str">
        <f aca="false">IF(ISNUMBER(D44),IF(AND(ISNUMBER(M44),ISNUMBER(N44)),IF(M44=N44,IF(ABS(D44/M44-1)&lt;=0.2,"±20% 內","差距 &gt;20%"),IF(D44&lt;M44,"低於外部區間",IF(D44&gt;N44,"高於外部區間","落在外部區間"))),"無外部對照"),"推算值非數字（本情境）")</f>
        <v>無外部對照</v>
      </c>
      <c r="Q44" s="54" t="s">
        <v>2252</v>
      </c>
      <c r="R44" s="54" t="s">
        <v>2258</v>
      </c>
      <c r="S44" s="6" t="s">
        <v>571</v>
      </c>
    </row>
    <row r="45" customFormat="false" ht="39.55" hidden="false" customHeight="false" outlineLevel="0" collapsed="false">
      <c r="A45" s="54" t="s">
        <v>2259</v>
      </c>
      <c r="B45" s="5" t="s">
        <v>2260</v>
      </c>
      <c r="C45" s="6" t="s">
        <v>2261</v>
      </c>
      <c r="D45" s="118" t="n">
        <f aca="false">INDEX(IF_FrontSuccVR,1,5)</f>
        <v>0.0222233524146578</v>
      </c>
      <c r="E45" s="108" t="n">
        <f aca="false">INDEX(IF_FrontSuccVR,1,5)</f>
        <v>0.0222233524146578</v>
      </c>
      <c r="F45" s="108" t="n">
        <f aca="false">INDEX(IF_FrontSuccVR,1,5)</f>
        <v>0.0222233524146578</v>
      </c>
      <c r="G45" s="54" t="s">
        <v>390</v>
      </c>
      <c r="H45" s="5" t="s">
        <v>2262</v>
      </c>
      <c r="I45" s="5" t="s">
        <v>2263</v>
      </c>
      <c r="J45" s="6" t="s">
        <v>2264</v>
      </c>
      <c r="K45" s="6" t="s">
        <v>2265</v>
      </c>
      <c r="L45" s="54" t="s">
        <v>571</v>
      </c>
      <c r="M45" s="108" t="s">
        <v>571</v>
      </c>
      <c r="N45" s="108" t="s">
        <v>571</v>
      </c>
      <c r="O45" s="69" t="str">
        <f aca="false">IF(AND(ISNUMBER(D45),ISNUMBER(M45),ISNUMBER(N45)),D45/((M45+N45)/2),"—")</f>
        <v>—</v>
      </c>
      <c r="P45" s="53" t="str">
        <f aca="false">IF(ISNUMBER(D45),IF(AND(ISNUMBER(M45),ISNUMBER(N45)),IF(M45=N45,IF(ABS(D45/M45-1)&lt;=0.2,"±20% 內","差距 &gt;20%"),IF(D45&lt;M45,"低於外部區間",IF(D45&gt;N45,"高於外部區間","落在外部區間"))),"無外部對照"),"推算值非數字（本情境）")</f>
        <v>無外部對照</v>
      </c>
      <c r="Q45" s="54" t="s">
        <v>2259</v>
      </c>
      <c r="R45" s="54" t="s">
        <v>2258</v>
      </c>
      <c r="S45" s="5" t="s">
        <v>2266</v>
      </c>
    </row>
    <row r="46" customFormat="false" ht="39.55" hidden="false" customHeight="false" outlineLevel="0" collapsed="false">
      <c r="A46" s="54" t="s">
        <v>2267</v>
      </c>
      <c r="B46" s="5" t="s">
        <v>2268</v>
      </c>
      <c r="C46" s="6" t="s">
        <v>2269</v>
      </c>
      <c r="D46" s="118" t="n">
        <f aca="false">IF_AllocServeGW</f>
        <v>0.0518797846974362</v>
      </c>
      <c r="E46" s="108" t="n">
        <f aca="false">IF_AllocServeGW</f>
        <v>0.0518797846974362</v>
      </c>
      <c r="F46" s="108" t="n">
        <f aca="false">IF_AllocServeGW</f>
        <v>0.0518797846974362</v>
      </c>
      <c r="G46" s="54" t="s">
        <v>63</v>
      </c>
      <c r="H46" s="5" t="s">
        <v>2270</v>
      </c>
      <c r="I46" s="5" t="s">
        <v>2271</v>
      </c>
      <c r="J46" s="5" t="s">
        <v>2272</v>
      </c>
      <c r="K46" s="5" t="s">
        <v>2206</v>
      </c>
      <c r="L46" s="54" t="s">
        <v>2273</v>
      </c>
      <c r="M46" s="87" t="n">
        <f aca="false">AL_ServeGWSpend</f>
        <v>0.742659968964293</v>
      </c>
      <c r="N46" s="87" t="n">
        <f aca="false">AL_ServeGWSpend</f>
        <v>0.742659968964293</v>
      </c>
      <c r="O46" s="69" t="n">
        <f aca="false">IF(AND(ISNUMBER(D46),ISNUMBER(M46),ISNUMBER(N46)),D46/((M46+N46)/2),"—")</f>
        <v>0.0698567135236699</v>
      </c>
      <c r="P46" s="53" t="str">
        <f aca="false">IF(ISNUMBER(D46),IF(AND(ISNUMBER(M46),ISNUMBER(N46)),IF(M46=N46,IF(ABS(D46/M46-1)&lt;=0.2,"±20% 內","差距 &gt;20%"),IF(D46&lt;M46,"低於外部區間",IF(D46&gt;N46,"高於外部區間","落在外部區間"))),"無外部對照"),"推算值非數字（本情境）")</f>
        <v>差距 &gt;20%</v>
      </c>
      <c r="Q46" s="54" t="s">
        <v>2267</v>
      </c>
      <c r="R46" s="54" t="s">
        <v>2274</v>
      </c>
      <c r="S46" s="5" t="s">
        <v>2275</v>
      </c>
    </row>
    <row r="47" customFormat="false" ht="26.85" hidden="false" customHeight="false" outlineLevel="0" collapsed="false">
      <c r="A47" s="54" t="s">
        <v>2276</v>
      </c>
      <c r="B47" s="5" t="s">
        <v>2277</v>
      </c>
      <c r="C47" s="6" t="s">
        <v>2278</v>
      </c>
      <c r="D47" s="118" t="n">
        <f aca="false">AL_FreeServeShare</f>
        <v>0.0855284261422789</v>
      </c>
      <c r="E47" s="108" t="n">
        <f aca="false">AL_FreeServeShare</f>
        <v>0.0855284261422789</v>
      </c>
      <c r="F47" s="108" t="n">
        <f aca="false">AL_FreeServeShare</f>
        <v>0.0855284261422789</v>
      </c>
      <c r="G47" s="54" t="s">
        <v>71</v>
      </c>
      <c r="H47" s="5" t="s">
        <v>2270</v>
      </c>
      <c r="I47" s="6" t="s">
        <v>2279</v>
      </c>
      <c r="J47" s="5" t="s">
        <v>2280</v>
      </c>
      <c r="K47" s="5" t="s">
        <v>2281</v>
      </c>
      <c r="L47" s="54" t="s">
        <v>2282</v>
      </c>
      <c r="M47" s="87" t="n">
        <f aca="false">SRC_DEM_005/SRC_DEM_004</f>
        <v>0.464285714285714</v>
      </c>
      <c r="N47" s="87" t="n">
        <f aca="false">SRC_DEM_005/SRC_DEM_004</f>
        <v>0.464285714285714</v>
      </c>
      <c r="O47" s="69" t="n">
        <f aca="false">IF(AND(ISNUMBER(D47),ISNUMBER(M47),ISNUMBER(N47)),D47/((M47+N47)/2),"—")</f>
        <v>0.184215071691062</v>
      </c>
      <c r="P47" s="53" t="str">
        <f aca="false">IF(ISNUMBER(D47),IF(AND(ISNUMBER(M47),ISNUMBER(N47)),IF(M47=N47,IF(ABS(D47/M47-1)&lt;=0.2,"±20% 內","差距 &gt;20%"),IF(D47&lt;M47,"低於外部區間",IF(D47&gt;N47,"高於外部區間","落在外部區間"))),"無外部對照"),"推算值非數字（本情境）")</f>
        <v>差距 &gt;20%</v>
      </c>
      <c r="Q47" s="54" t="s">
        <v>2276</v>
      </c>
      <c r="R47" s="54" t="s">
        <v>2274</v>
      </c>
      <c r="S47" s="5" t="s">
        <v>2283</v>
      </c>
    </row>
    <row r="48" customFormat="false" ht="39.55" hidden="false" customHeight="false" outlineLevel="0" collapsed="false">
      <c r="A48" s="54" t="s">
        <v>2284</v>
      </c>
      <c r="B48" s="5" t="s">
        <v>2285</v>
      </c>
      <c r="C48" s="6" t="s">
        <v>2286</v>
      </c>
      <c r="D48" s="118" t="n">
        <f aca="false">AL_DDaily</f>
        <v>11.48</v>
      </c>
      <c r="E48" s="108" t="n">
        <f aca="false">AL_DDaily</f>
        <v>11.48</v>
      </c>
      <c r="F48" s="108" t="n">
        <f aca="false">AL_DDaily</f>
        <v>11.48</v>
      </c>
      <c r="G48" s="54" t="s">
        <v>1715</v>
      </c>
      <c r="H48" s="5" t="s">
        <v>2270</v>
      </c>
      <c r="I48" s="5" t="s">
        <v>2287</v>
      </c>
      <c r="J48" s="5" t="s">
        <v>2288</v>
      </c>
      <c r="K48" s="5" t="s">
        <v>2206</v>
      </c>
      <c r="L48" s="54" t="s">
        <v>2289</v>
      </c>
      <c r="M48" s="87" t="n">
        <f aca="false">SRC_DEM_013_Lo</f>
        <v>10</v>
      </c>
      <c r="N48" s="87" t="n">
        <f aca="false">SRC_DEM_013_Hi</f>
        <v>100</v>
      </c>
      <c r="O48" s="69" t="n">
        <f aca="false">IF(AND(ISNUMBER(D48),ISNUMBER(M48),ISNUMBER(N48)),D48/((M48+N48)/2),"—")</f>
        <v>0.208727272727273</v>
      </c>
      <c r="P48" s="53" t="str">
        <f aca="false">IF(ISNUMBER(D48),IF(AND(ISNUMBER(M48),ISNUMBER(N48)),IF(M48=N48,IF(ABS(D48/M48-1)&lt;=0.2,"±20% 內","差距 &gt;20%"),IF(D48&lt;M48,"低於外部區間",IF(D48&gt;N48,"高於外部區間","落在外部區間"))),"無外部對照"),"推算值非數字（本情境）")</f>
        <v>落在外部區間</v>
      </c>
      <c r="Q48" s="54" t="s">
        <v>2284</v>
      </c>
      <c r="R48" s="54" t="s">
        <v>2290</v>
      </c>
      <c r="S48" s="6" t="s">
        <v>2291</v>
      </c>
    </row>
    <row r="49" customFormat="false" ht="90.25" hidden="false" customHeight="false" outlineLevel="0" collapsed="false">
      <c r="A49" s="54" t="s">
        <v>2292</v>
      </c>
      <c r="B49" s="5" t="s">
        <v>2293</v>
      </c>
      <c r="C49" s="6" t="s">
        <v>2294</v>
      </c>
      <c r="D49" s="118" t="n">
        <f aca="false">IF(AND(ISNUMBER(IF_PriceRef_Sol),ISNUMBER(INDEX(IF_FullCost_Sol,1,11)),ISNUMBER(INDEX(IF_AmortBU_Sol,1,11))),1-(INDEX(IF_FullCost_Sol,1,11)-INDEX(IF_AmortBU_Sol,1,11))/IF_PriceRef_Sol,"—")</f>
        <v>0.95308070804066</v>
      </c>
      <c r="E49" s="108" t="n">
        <f aca="false">IF(AND(ISNUMBER(IF_PriceRef_Sol),ISNUMBER(INDEX(IF_FullCost_Sol,1,12)),ISNUMBER(INDEX(IF_AmortBU_Sol,1,12))),1-(INDEX(IF_FullCost_Sol,1,12)-INDEX(IF_AmortBU_Sol,1,12))/IF_PriceRef_Sol,"—")</f>
        <v>0.923983355011041</v>
      </c>
      <c r="F49" s="108" t="n">
        <f aca="false">IF(AND(ISNUMBER(IF_PriceRef_Sol),ISNUMBER(INDEX(IF_FullCost_Sol,1,10)),ISNUMBER(INDEX(IF_AmortBU_Sol,1,10))),1-(INDEX(IF_FullCost_Sol,1,10)-INDEX(IF_AmortBU_Sol,1,10))/IF_PriceRef_Sol,"—")</f>
        <v>0.963833451642983</v>
      </c>
      <c r="G49" s="54" t="s">
        <v>71</v>
      </c>
      <c r="H49" s="5" t="s">
        <v>2295</v>
      </c>
      <c r="I49" s="6" t="s">
        <v>2296</v>
      </c>
      <c r="J49" s="5" t="s">
        <v>2297</v>
      </c>
      <c r="K49" s="5" t="s">
        <v>2236</v>
      </c>
      <c r="L49" s="54" t="s">
        <v>2298</v>
      </c>
      <c r="M49" s="87" t="n">
        <f aca="false">1-SRC_DEM_004/SRC_DEM_007</f>
        <v>0.357306809487376</v>
      </c>
      <c r="N49" s="87" t="n">
        <f aca="false">1-SRC_DEM_004/SRC_DEM_007</f>
        <v>0.357306809487376</v>
      </c>
      <c r="O49" s="69" t="n">
        <f aca="false">IF(AND(ISNUMBER(D49),ISNUMBER(M49),ISNUMBER(N49)),D49/((M49+N49)/2),"—")</f>
        <v>2.66740146768553</v>
      </c>
      <c r="P49" s="53" t="str">
        <f aca="false">IF(ISNUMBER(D49),IF(AND(ISNUMBER(M49),ISNUMBER(N49)),IF(M49=N49,IF(ABS(D49/M49-1)&lt;=0.2,"±20% 內","差距 &gt;20%"),IF(D49&lt;M49,"低於外部區間",IF(D49&gt;N49,"高於外部區間","落在外部區間"))),"無外部對照"),"推算值非數字（本情境）")</f>
        <v>差距 &gt;20%</v>
      </c>
      <c r="Q49" s="54" t="s">
        <v>2292</v>
      </c>
      <c r="R49" s="54" t="s">
        <v>2299</v>
      </c>
      <c r="S49" s="5" t="s">
        <v>2300</v>
      </c>
    </row>
    <row r="50" customFormat="false" ht="50.7" hidden="false" customHeight="false" outlineLevel="0" collapsed="false">
      <c r="A50" s="54" t="s">
        <v>2301</v>
      </c>
      <c r="B50" s="5" t="s">
        <v>2302</v>
      </c>
      <c r="C50" s="6" t="s">
        <v>2294</v>
      </c>
      <c r="D50" s="118" t="n">
        <f aca="false">IF(AND(ISNUMBER(IF_PriceRef_Sol),ISNUMBER(INDEX(IF_FullCostDefault_Sol,1,11))),1-INDEX(IF_FullCostDefault_Sol,1,11)/IF_PriceRef_Sol,"—")</f>
        <v>0.930574153228993</v>
      </c>
      <c r="E50" s="108" t="n">
        <f aca="false">IF(AND(ISNUMBER(IF_PriceRef_Sol),ISNUMBER(INDEX(IF_FullCostDefault_Sol,1,12))),1-INDEX(IF_FullCostDefault_Sol,1,12)/IF_PriceRef_Sol,"—")</f>
        <v>0.887522297383028</v>
      </c>
      <c r="F50" s="108" t="n">
        <f aca="false">IF(AND(ISNUMBER(IF_PriceRef_Sol),ISNUMBER(INDEX(IF_FullCostDefault_Sol,1,10))),1-INDEX(IF_FullCostDefault_Sol,1,10)/IF_PriceRef_Sol,"—")</f>
        <v>0.94648369548339</v>
      </c>
      <c r="G50" s="54" t="s">
        <v>71</v>
      </c>
      <c r="H50" s="5" t="s">
        <v>2295</v>
      </c>
      <c r="I50" s="6" t="s">
        <v>2303</v>
      </c>
      <c r="J50" s="5" t="s">
        <v>2304</v>
      </c>
      <c r="K50" s="5" t="s">
        <v>2236</v>
      </c>
      <c r="L50" s="54" t="s">
        <v>571</v>
      </c>
      <c r="M50" s="108" t="s">
        <v>571</v>
      </c>
      <c r="N50" s="108" t="s">
        <v>571</v>
      </c>
      <c r="O50" s="69" t="str">
        <f aca="false">IF(AND(ISNUMBER(D50),ISNUMBER(M50),ISNUMBER(N50)),D50/((M50+N50)/2),"—")</f>
        <v>—</v>
      </c>
      <c r="P50" s="53" t="str">
        <f aca="false">IF(ISNUMBER(D50),IF(AND(ISNUMBER(M50),ISNUMBER(N50)),IF(M50=N50,IF(ABS(D50/M50-1)&lt;=0.2,"±20% 內","差距 &gt;20%"),IF(D50&lt;M50,"低於外部區間",IF(D50&gt;N50,"高於外部區間","落在外部區間"))),"無外部對照"),"推算值非數字（本情境）")</f>
        <v>無外部對照</v>
      </c>
      <c r="Q50" s="54" t="s">
        <v>2301</v>
      </c>
      <c r="R50" s="54" t="s">
        <v>2305</v>
      </c>
      <c r="S50" s="6" t="s">
        <v>571</v>
      </c>
    </row>
    <row r="51" customFormat="false" ht="26.85" hidden="false" customHeight="false" outlineLevel="0" collapsed="false">
      <c r="A51" s="54" t="s">
        <v>2306</v>
      </c>
      <c r="B51" s="5" t="s">
        <v>2307</v>
      </c>
      <c r="C51" s="5" t="s">
        <v>2240</v>
      </c>
      <c r="D51" s="118" t="n">
        <f aca="false">INDEX(IF_PostShareGPUh_Sol,1,AL_TrainCol)</f>
        <v>0.255750165631584</v>
      </c>
      <c r="E51" s="108" t="n">
        <f aca="false">INDEX(IF_PostShareGPUh_Sol,1,AL_TrainCol)</f>
        <v>0.255750165631584</v>
      </c>
      <c r="F51" s="108" t="n">
        <f aca="false">INDEX(IF_PostShareGPUh_Sol,1,AL_TrainCol)</f>
        <v>0.255750165631584</v>
      </c>
      <c r="G51" s="54" t="s">
        <v>71</v>
      </c>
      <c r="H51" s="5" t="s">
        <v>2241</v>
      </c>
      <c r="I51" s="6" t="s">
        <v>2308</v>
      </c>
      <c r="J51" s="6" t="s">
        <v>2243</v>
      </c>
      <c r="K51" s="6" t="s">
        <v>2160</v>
      </c>
      <c r="L51" s="54" t="s">
        <v>571</v>
      </c>
      <c r="M51" s="108" t="s">
        <v>571</v>
      </c>
      <c r="N51" s="108" t="s">
        <v>571</v>
      </c>
      <c r="O51" s="69" t="str">
        <f aca="false">IF(AND(ISNUMBER(D51),ISNUMBER(M51),ISNUMBER(N51)),D51/((M51+N51)/2),"—")</f>
        <v>—</v>
      </c>
      <c r="P51" s="53" t="str">
        <f aca="false">IF(ISNUMBER(D51),IF(AND(ISNUMBER(M51),ISNUMBER(N51)),IF(M51=N51,IF(ABS(D51/M51-1)&lt;=0.2,"±20% 內","差距 &gt;20%"),IF(D51&lt;M51,"低於外部區間",IF(D51&gt;N51,"高於外部區間","落在外部區間"))),"無外部對照"),"推算值非數字（本情境）")</f>
        <v>無外部對照</v>
      </c>
      <c r="Q51" s="54" t="s">
        <v>2306</v>
      </c>
      <c r="R51" s="54" t="s">
        <v>2244</v>
      </c>
      <c r="S51" s="6" t="s">
        <v>571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17.15" hidden="false" customHeight="false" outlineLevel="0" collapsed="false">
      <c r="A1" s="49" t="s">
        <v>2309</v>
      </c>
    </row>
    <row r="2" customFormat="false" ht="15" hidden="false" customHeight="false" outlineLevel="0" collapsed="false">
      <c r="A2" s="66" t="s">
        <v>2310</v>
      </c>
    </row>
    <row r="4" customFormat="false" ht="15" hidden="false" customHeight="false" outlineLevel="0" collapsed="false">
      <c r="A4" s="51" t="s">
        <v>2311</v>
      </c>
    </row>
    <row r="5" customFormat="false" ht="15" hidden="false" customHeight="false" outlineLevel="0" collapsed="false">
      <c r="A5" s="54" t="s">
        <v>2312</v>
      </c>
      <c r="B5" s="54" t="s">
        <v>71</v>
      </c>
      <c r="C5" s="58" t="n">
        <v>0.6</v>
      </c>
      <c r="F5" s="50" t="s">
        <v>2313</v>
      </c>
    </row>
    <row r="6" customFormat="false" ht="15" hidden="false" customHeight="false" outlineLevel="0" collapsed="false">
      <c r="A6" s="54" t="s">
        <v>2314</v>
      </c>
      <c r="B6" s="54" t="s">
        <v>2315</v>
      </c>
      <c r="C6" s="59" t="n">
        <v>10</v>
      </c>
      <c r="F6" s="50" t="s">
        <v>2316</v>
      </c>
    </row>
    <row r="7" customFormat="false" ht="15" hidden="false" customHeight="false" outlineLevel="0" collapsed="false">
      <c r="A7" s="54" t="s">
        <v>2317</v>
      </c>
      <c r="B7" s="54" t="s">
        <v>2315</v>
      </c>
      <c r="C7" s="59" t="n">
        <v>40</v>
      </c>
      <c r="F7" s="50" t="s">
        <v>2318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</cols>
  <sheetData>
    <row r="1" customFormat="false" ht="17.15" hidden="false" customHeight="false" outlineLevel="0" collapsed="false">
      <c r="A1" s="49" t="s">
        <v>2319</v>
      </c>
    </row>
    <row r="2" customFormat="false" ht="15" hidden="false" customHeight="false" outlineLevel="0" collapsed="false">
      <c r="A2" s="66" t="s">
        <v>2320</v>
      </c>
    </row>
    <row r="4" customFormat="false" ht="30" hidden="false" customHeight="true" outlineLevel="0" collapsed="false">
      <c r="A4" s="76" t="s">
        <v>2321</v>
      </c>
      <c r="B4" s="76" t="s">
        <v>2322</v>
      </c>
      <c r="C4" s="76" t="s">
        <v>2323</v>
      </c>
      <c r="D4" s="76" t="s">
        <v>2324</v>
      </c>
      <c r="E4" s="76" t="s">
        <v>2325</v>
      </c>
      <c r="F4" s="76" t="s">
        <v>2326</v>
      </c>
      <c r="G4" s="76" t="s">
        <v>2327</v>
      </c>
      <c r="H4" s="76" t="s">
        <v>2328</v>
      </c>
      <c r="I4" s="76" t="s">
        <v>2329</v>
      </c>
      <c r="J4" s="76" t="s">
        <v>2330</v>
      </c>
      <c r="K4" s="76" t="s">
        <v>59</v>
      </c>
      <c r="L4" s="76" t="s">
        <v>296</v>
      </c>
    </row>
    <row r="5" customFormat="false" ht="15" hidden="false" customHeight="false" outlineLevel="0" collapsed="false">
      <c r="A5" s="54" t="s">
        <v>2331</v>
      </c>
      <c r="B5" s="71" t="n">
        <v>0.5</v>
      </c>
      <c r="C5" s="71" t="n">
        <v>0.7</v>
      </c>
      <c r="D5" s="71" t="n">
        <v>1</v>
      </c>
      <c r="E5" s="71" t="n">
        <v>0.8</v>
      </c>
      <c r="F5" s="71" t="n">
        <v>0.9</v>
      </c>
      <c r="G5" s="71" t="n">
        <v>1</v>
      </c>
      <c r="H5" s="97" t="n">
        <f aca="false">F5/C5</f>
        <v>1.28571428571429</v>
      </c>
      <c r="I5" s="69" t="n">
        <f aca="false">E5/D5</f>
        <v>0.8</v>
      </c>
      <c r="J5" s="69" t="n">
        <f aca="false">G5/B5</f>
        <v>2</v>
      </c>
      <c r="K5" s="50" t="s">
        <v>72</v>
      </c>
      <c r="L5" s="50" t="s">
        <v>2332</v>
      </c>
    </row>
    <row r="6" customFormat="false" ht="15" hidden="false" customHeight="false" outlineLevel="0" collapsed="false">
      <c r="A6" s="54" t="s">
        <v>2333</v>
      </c>
      <c r="B6" s="71" t="n">
        <v>0.6</v>
      </c>
      <c r="C6" s="71" t="n">
        <v>0.8</v>
      </c>
      <c r="D6" s="71" t="n">
        <v>1.1</v>
      </c>
      <c r="E6" s="71" t="n">
        <v>0.7</v>
      </c>
      <c r="F6" s="71" t="n">
        <v>0.8</v>
      </c>
      <c r="G6" s="71" t="n">
        <v>1</v>
      </c>
      <c r="H6" s="97" t="n">
        <f aca="false">F6/C6</f>
        <v>1</v>
      </c>
      <c r="I6" s="69" t="n">
        <f aca="false">E6/D6</f>
        <v>0.636363636363636</v>
      </c>
      <c r="J6" s="69" t="n">
        <f aca="false">G6/B6</f>
        <v>1.66666666666667</v>
      </c>
      <c r="K6" s="50" t="s">
        <v>72</v>
      </c>
      <c r="L6" s="66" t="s">
        <v>2334</v>
      </c>
    </row>
    <row r="7" customFormat="false" ht="15" hidden="false" customHeight="false" outlineLevel="0" collapsed="false">
      <c r="A7" s="54" t="s">
        <v>2335</v>
      </c>
      <c r="B7" s="71" t="n">
        <v>0.3</v>
      </c>
      <c r="C7" s="71" t="n">
        <v>0.5</v>
      </c>
      <c r="D7" s="71" t="n">
        <v>0.8</v>
      </c>
      <c r="E7" s="71" t="n">
        <v>0.6</v>
      </c>
      <c r="F7" s="71" t="n">
        <v>0.7</v>
      </c>
      <c r="G7" s="71" t="n">
        <v>0.9</v>
      </c>
      <c r="H7" s="97" t="n">
        <f aca="false">F7/C7</f>
        <v>1.4</v>
      </c>
      <c r="I7" s="69" t="n">
        <f aca="false">E7/D7</f>
        <v>0.75</v>
      </c>
      <c r="J7" s="69" t="n">
        <f aca="false">G7/B7</f>
        <v>3</v>
      </c>
      <c r="K7" s="50" t="s">
        <v>72</v>
      </c>
      <c r="L7" s="50" t="s">
        <v>2336</v>
      </c>
    </row>
    <row r="8" customFormat="false" ht="15" hidden="false" customHeight="false" outlineLevel="0" collapsed="false">
      <c r="A8" s="54" t="s">
        <v>2337</v>
      </c>
      <c r="B8" s="71" t="n">
        <v>0.2</v>
      </c>
      <c r="C8" s="71" t="n">
        <v>0.4</v>
      </c>
      <c r="D8" s="71" t="n">
        <v>0.8</v>
      </c>
      <c r="E8" s="71" t="n">
        <v>0.8</v>
      </c>
      <c r="F8" s="71" t="n">
        <v>1</v>
      </c>
      <c r="G8" s="71" t="n">
        <v>1.2</v>
      </c>
      <c r="H8" s="97" t="n">
        <f aca="false">F8/C8</f>
        <v>2.5</v>
      </c>
      <c r="I8" s="69" t="n">
        <f aca="false">E8/D8</f>
        <v>1</v>
      </c>
      <c r="J8" s="69" t="n">
        <f aca="false">G8/B8</f>
        <v>6</v>
      </c>
      <c r="K8" s="50" t="s">
        <v>72</v>
      </c>
      <c r="L8" s="66" t="s">
        <v>2338</v>
      </c>
    </row>
    <row r="9" customFormat="false" ht="15" hidden="false" customHeight="false" outlineLevel="0" collapsed="false">
      <c r="A9" s="54" t="s">
        <v>2339</v>
      </c>
      <c r="B9" s="71" t="n">
        <v>0.4</v>
      </c>
      <c r="C9" s="71" t="n">
        <v>0.6</v>
      </c>
      <c r="D9" s="71" t="n">
        <v>0.9</v>
      </c>
      <c r="E9" s="71" t="n">
        <v>0.7</v>
      </c>
      <c r="F9" s="71" t="n">
        <v>0.8</v>
      </c>
      <c r="G9" s="71" t="n">
        <v>1</v>
      </c>
      <c r="H9" s="97" t="n">
        <f aca="false">F9/C9</f>
        <v>1.33333333333333</v>
      </c>
      <c r="I9" s="69" t="n">
        <f aca="false">E9/D9</f>
        <v>0.777777777777778</v>
      </c>
      <c r="J9" s="69" t="n">
        <f aca="false">G9/B9</f>
        <v>2.5</v>
      </c>
      <c r="K9" s="50" t="s">
        <v>72</v>
      </c>
      <c r="L9" s="66" t="s">
        <v>2340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2341</v>
      </c>
    </row>
    <row r="2" customFormat="false" ht="15" hidden="false" customHeight="true" outlineLevel="0" collapsed="false">
      <c r="A2" s="10" t="s">
        <v>2342</v>
      </c>
    </row>
    <row r="4" customFormat="false" ht="30" hidden="false" customHeight="true" outlineLevel="0" collapsed="false">
      <c r="A4" s="19" t="s">
        <v>780</v>
      </c>
      <c r="C4" s="197" t="s">
        <v>57</v>
      </c>
      <c r="D4" s="197" t="s">
        <v>2343</v>
      </c>
      <c r="E4" s="197" t="s">
        <v>2344</v>
      </c>
      <c r="F4" s="197" t="s">
        <v>2345</v>
      </c>
      <c r="G4" s="197" t="s">
        <v>2346</v>
      </c>
      <c r="H4" s="197" t="s">
        <v>2347</v>
      </c>
      <c r="I4" s="197" t="s">
        <v>2348</v>
      </c>
      <c r="J4" s="197" t="s">
        <v>2349</v>
      </c>
      <c r="K4" s="197" t="s">
        <v>2350</v>
      </c>
      <c r="L4" s="197" t="s">
        <v>2351</v>
      </c>
      <c r="M4" s="197" t="s">
        <v>2352</v>
      </c>
      <c r="N4" s="198" t="s">
        <v>2353</v>
      </c>
      <c r="O4" s="198" t="s">
        <v>2354</v>
      </c>
      <c r="P4" s="198" t="s">
        <v>2355</v>
      </c>
      <c r="Q4" s="198" t="s">
        <v>2356</v>
      </c>
      <c r="R4" s="197" t="s">
        <v>2357</v>
      </c>
      <c r="S4" s="197" t="s">
        <v>2358</v>
      </c>
      <c r="T4" s="198" t="s">
        <v>2359</v>
      </c>
      <c r="U4" s="198" t="s">
        <v>2360</v>
      </c>
      <c r="V4" s="197" t="s">
        <v>2361</v>
      </c>
      <c r="W4" s="197" t="s">
        <v>2362</v>
      </c>
      <c r="X4" s="197" t="s">
        <v>2363</v>
      </c>
      <c r="Y4" s="197" t="s">
        <v>2364</v>
      </c>
    </row>
    <row r="6" customFormat="false" ht="15" hidden="false" customHeight="true" outlineLevel="0" collapsed="false">
      <c r="A6" s="24" t="s">
        <v>819</v>
      </c>
      <c r="B6" s="13"/>
      <c r="C6" s="13"/>
    </row>
    <row r="7" customFormat="false" ht="15" hidden="false" customHeight="true" outlineLevel="0" collapsed="false">
      <c r="A7" s="14" t="s">
        <v>2365</v>
      </c>
      <c r="B7" s="15" t="s">
        <v>821</v>
      </c>
      <c r="C7" s="16" t="n">
        <f aca="false">1000</f>
        <v>1000</v>
      </c>
      <c r="D7" s="16" t="n">
        <f aca="false">1000</f>
        <v>1000</v>
      </c>
      <c r="E7" s="16" t="n">
        <f aca="false">1000</f>
        <v>1000</v>
      </c>
      <c r="F7" s="16" t="n">
        <f aca="false">1000</f>
        <v>1000</v>
      </c>
      <c r="G7" s="16" t="n">
        <f aca="false">1000</f>
        <v>1000</v>
      </c>
      <c r="H7" s="16" t="n">
        <f aca="false">1000</f>
        <v>1000</v>
      </c>
      <c r="I7" s="16" t="n">
        <f aca="false">1000</f>
        <v>1000</v>
      </c>
      <c r="J7" s="16" t="n">
        <f aca="false">1000</f>
        <v>1000</v>
      </c>
      <c r="K7" s="16" t="n">
        <f aca="false">1000</f>
        <v>1000</v>
      </c>
      <c r="L7" s="16" t="n">
        <f aca="false">1000</f>
        <v>1000</v>
      </c>
      <c r="M7" s="16" t="n">
        <f aca="false">1000</f>
        <v>1000</v>
      </c>
      <c r="N7" s="16" t="n">
        <f aca="false">1000</f>
        <v>1000</v>
      </c>
      <c r="O7" s="16" t="n">
        <f aca="false">1000</f>
        <v>1000</v>
      </c>
      <c r="P7" s="16" t="n">
        <f aca="false">1000</f>
        <v>1000</v>
      </c>
      <c r="Q7" s="16" t="n">
        <f aca="false">1000</f>
        <v>1000</v>
      </c>
      <c r="R7" s="16" t="n">
        <f aca="false">1000</f>
        <v>1000</v>
      </c>
      <c r="S7" s="16" t="n">
        <f aca="false">1000</f>
        <v>1000</v>
      </c>
      <c r="T7" s="16" t="n">
        <f aca="false">1000</f>
        <v>1000</v>
      </c>
      <c r="U7" s="16" t="n">
        <f aca="false">1000</f>
        <v>1000</v>
      </c>
      <c r="V7" s="16" t="n">
        <f aca="false">1000</f>
        <v>1000</v>
      </c>
      <c r="W7" s="16" t="n">
        <f aca="false">1000</f>
        <v>1000</v>
      </c>
      <c r="X7" s="16" t="n">
        <f aca="false">1000</f>
        <v>1000</v>
      </c>
      <c r="Y7" s="16" t="n">
        <f aca="false">1000</f>
        <v>1000</v>
      </c>
    </row>
    <row r="8" customFormat="false" ht="15" hidden="false" customHeight="true" outlineLevel="0" collapsed="false">
      <c r="A8" s="19" t="s">
        <v>70</v>
      </c>
      <c r="B8" s="15" t="s">
        <v>71</v>
      </c>
      <c r="C8" s="25" t="n">
        <f aca="false">Inputs!$E$8</f>
        <v>0.08</v>
      </c>
      <c r="D8" s="25" t="n">
        <f aca="false">Inputs!$E$8</f>
        <v>0.08</v>
      </c>
      <c r="E8" s="25" t="n">
        <f aca="false">Inputs!$E$8</f>
        <v>0.08</v>
      </c>
      <c r="F8" s="25" t="n">
        <f aca="false">Inputs!$E$8</f>
        <v>0.08</v>
      </c>
      <c r="G8" s="25" t="n">
        <f aca="false">Inputs!$E$8</f>
        <v>0.08</v>
      </c>
      <c r="H8" s="25" t="n">
        <f aca="false">Inputs!$E$8</f>
        <v>0.08</v>
      </c>
      <c r="I8" s="25" t="n">
        <f aca="false">Inputs!$E$8</f>
        <v>0.08</v>
      </c>
      <c r="J8" s="25" t="n">
        <f aca="false">Inputs!$E$8</f>
        <v>0.08</v>
      </c>
      <c r="K8" s="25" t="n">
        <f aca="false">Inputs!$E$8</f>
        <v>0.08</v>
      </c>
      <c r="L8" s="25" t="n">
        <f aca="false">Inputs!$E$8</f>
        <v>0.08</v>
      </c>
      <c r="M8" s="25" t="n">
        <f aca="false">Inputs!$E$8</f>
        <v>0.08</v>
      </c>
      <c r="N8" s="25" t="n">
        <f aca="false">Inputs!$E$8</f>
        <v>0.08</v>
      </c>
      <c r="O8" s="25" t="n">
        <f aca="false">Inputs!$E$8</f>
        <v>0.08</v>
      </c>
      <c r="P8" s="25" t="n">
        <f aca="false">Inputs!$E$8</f>
        <v>0.08</v>
      </c>
      <c r="Q8" s="25" t="n">
        <f aca="false">Inputs!$E$8</f>
        <v>0.08</v>
      </c>
      <c r="R8" s="25" t="n">
        <f aca="false">Inputs!$E$8</f>
        <v>0.08</v>
      </c>
      <c r="S8" s="25" t="n">
        <f aca="false">Inputs!$E$8</f>
        <v>0.08</v>
      </c>
      <c r="T8" s="25" t="n">
        <f aca="false">Inputs!$E$8</f>
        <v>0.08</v>
      </c>
      <c r="U8" s="25" t="n">
        <f aca="false">Inputs!$E$8</f>
        <v>0.08</v>
      </c>
      <c r="V8" s="25" t="n">
        <f aca="false">Inputs!$E$8</f>
        <v>0.08</v>
      </c>
      <c r="W8" s="25" t="n">
        <f aca="false">Inputs!$E$8</f>
        <v>0.08</v>
      </c>
      <c r="X8" s="22" t="n">
        <v>0.05</v>
      </c>
      <c r="Y8" s="22" t="n">
        <v>0.12</v>
      </c>
    </row>
    <row r="9" customFormat="false" ht="15" hidden="false" customHeight="true" outlineLevel="0" collapsed="false">
      <c r="A9" s="19" t="s">
        <v>822</v>
      </c>
      <c r="B9" s="15" t="s">
        <v>821</v>
      </c>
      <c r="C9" s="16" t="n">
        <f aca="false">C7*(1-C8)</f>
        <v>920</v>
      </c>
      <c r="D9" s="16" t="n">
        <f aca="false">D7*(1-D8)</f>
        <v>920</v>
      </c>
      <c r="E9" s="16" t="n">
        <f aca="false">E7*(1-E8)</f>
        <v>920</v>
      </c>
      <c r="F9" s="16" t="n">
        <f aca="false">F7*(1-F8)</f>
        <v>920</v>
      </c>
      <c r="G9" s="16" t="n">
        <f aca="false">G7*(1-G8)</f>
        <v>920</v>
      </c>
      <c r="H9" s="16" t="n">
        <f aca="false">H7*(1-H8)</f>
        <v>920</v>
      </c>
      <c r="I9" s="16" t="n">
        <f aca="false">I7*(1-I8)</f>
        <v>920</v>
      </c>
      <c r="J9" s="16" t="n">
        <f aca="false">J7*(1-J8)</f>
        <v>920</v>
      </c>
      <c r="K9" s="16" t="n">
        <f aca="false">K7*(1-K8)</f>
        <v>920</v>
      </c>
      <c r="L9" s="16" t="n">
        <f aca="false">L7*(1-L8)</f>
        <v>920</v>
      </c>
      <c r="M9" s="16" t="n">
        <f aca="false">M7*(1-M8)</f>
        <v>920</v>
      </c>
      <c r="N9" s="16" t="n">
        <f aca="false">N7*(1-N8)</f>
        <v>920</v>
      </c>
      <c r="O9" s="16" t="n">
        <f aca="false">O7*(1-O8)</f>
        <v>920</v>
      </c>
      <c r="P9" s="16" t="n">
        <f aca="false">P7*(1-P8)</f>
        <v>920</v>
      </c>
      <c r="Q9" s="16" t="n">
        <f aca="false">Q7*(1-Q8)</f>
        <v>920</v>
      </c>
      <c r="R9" s="16" t="n">
        <f aca="false">R7*(1-R8)</f>
        <v>920</v>
      </c>
      <c r="S9" s="16" t="n">
        <f aca="false">S7*(1-S8)</f>
        <v>920</v>
      </c>
      <c r="T9" s="16" t="n">
        <f aca="false">T7*(1-T8)</f>
        <v>920</v>
      </c>
      <c r="U9" s="16" t="n">
        <f aca="false">U7*(1-U8)</f>
        <v>920</v>
      </c>
      <c r="V9" s="16" t="n">
        <f aca="false">V7*(1-V8)</f>
        <v>920</v>
      </c>
      <c r="W9" s="16" t="n">
        <f aca="false">W7*(1-W8)</f>
        <v>920</v>
      </c>
      <c r="X9" s="16" t="n">
        <f aca="false">X7*(1-X8)</f>
        <v>950</v>
      </c>
      <c r="Y9" s="16" t="n">
        <f aca="false">Y7*(1-Y8)</f>
        <v>880</v>
      </c>
    </row>
    <row r="10" customFormat="false" ht="15" hidden="false" customHeight="true" outlineLevel="0" collapsed="false">
      <c r="A10" s="19" t="s">
        <v>693</v>
      </c>
      <c r="B10" s="15" t="s">
        <v>694</v>
      </c>
      <c r="C10" s="26" t="n">
        <f aca="false">Spec_Rack!F9</f>
        <v>227</v>
      </c>
      <c r="D10" s="26" t="n">
        <f aca="false">Spec_Rack!F9</f>
        <v>227</v>
      </c>
      <c r="E10" s="26" t="n">
        <f aca="false">Spec_Rack!F9</f>
        <v>227</v>
      </c>
      <c r="F10" s="26" t="n">
        <f aca="false">Spec_Rack!F8</f>
        <v>188</v>
      </c>
      <c r="G10" s="26" t="n">
        <f aca="false">Spec_Rack!F10</f>
        <v>230</v>
      </c>
      <c r="H10" s="26" t="n">
        <f aca="false">Spec_Rack!F9</f>
        <v>227</v>
      </c>
      <c r="I10" s="26" t="n">
        <f aca="false">Spec_Rack!F9</f>
        <v>227</v>
      </c>
      <c r="J10" s="26" t="n">
        <f aca="false">Spec_Rack!F9</f>
        <v>227</v>
      </c>
      <c r="K10" s="26" t="n">
        <f aca="false">Spec_Rack!F9</f>
        <v>227</v>
      </c>
      <c r="L10" s="26" t="n">
        <f aca="false">Spec_Rack!F9</f>
        <v>227</v>
      </c>
      <c r="M10" s="26" t="n">
        <f aca="false">Spec_Rack!F9</f>
        <v>227</v>
      </c>
      <c r="N10" s="26" t="n">
        <f aca="false">Spec_Rack!F9</f>
        <v>227</v>
      </c>
      <c r="O10" s="26" t="n">
        <f aca="false">Spec_Rack!F9</f>
        <v>227</v>
      </c>
      <c r="P10" s="26" t="n">
        <f aca="false">Spec_Rack!F9</f>
        <v>227</v>
      </c>
      <c r="Q10" s="26" t="n">
        <f aca="false">Spec_Rack!F9</f>
        <v>227</v>
      </c>
      <c r="R10" s="26" t="n">
        <f aca="false">Spec_Rack!F9</f>
        <v>227</v>
      </c>
      <c r="S10" s="26" t="n">
        <f aca="false">Spec_Rack!F9</f>
        <v>227</v>
      </c>
      <c r="T10" s="26" t="n">
        <f aca="false">Spec_Rack!F9</f>
        <v>227</v>
      </c>
      <c r="U10" s="26" t="n">
        <f aca="false">Spec_Rack!F9</f>
        <v>227</v>
      </c>
      <c r="V10" s="26" t="n">
        <f aca="false">Spec_Rack!F9</f>
        <v>227</v>
      </c>
      <c r="W10" s="26" t="n">
        <f aca="false">Spec_Rack!F9</f>
        <v>227</v>
      </c>
      <c r="X10" s="26" t="n">
        <f aca="false">Spec_Rack!F9</f>
        <v>227</v>
      </c>
      <c r="Y10" s="26" t="n">
        <f aca="false">Spec_Rack!F9</f>
        <v>227</v>
      </c>
    </row>
    <row r="11" customFormat="false" ht="15" hidden="false" customHeight="true" outlineLevel="0" collapsed="false">
      <c r="A11" s="19" t="s">
        <v>1840</v>
      </c>
      <c r="B11" s="20" t="s">
        <v>692</v>
      </c>
      <c r="C11" s="121" t="n">
        <f aca="false">FLOOR(C9*1000/C10,1)</f>
        <v>4052</v>
      </c>
      <c r="D11" s="121" t="n">
        <f aca="false">FLOOR(D9*1000/D10,1)</f>
        <v>4052</v>
      </c>
      <c r="E11" s="121" t="n">
        <f aca="false">FLOOR(E9*1000/E10,1)</f>
        <v>4052</v>
      </c>
      <c r="F11" s="121" t="n">
        <f aca="false">FLOOR(F9*1000/F10,1)</f>
        <v>4893</v>
      </c>
      <c r="G11" s="121" t="n">
        <f aca="false">FLOOR(G9*1000/G10,1)</f>
        <v>4000</v>
      </c>
      <c r="H11" s="121" t="n">
        <f aca="false">FLOOR(H9*1000/H10,1)</f>
        <v>4052</v>
      </c>
      <c r="I11" s="121" t="n">
        <f aca="false">FLOOR(I9*1000/I10,1)</f>
        <v>4052</v>
      </c>
      <c r="J11" s="121" t="n">
        <f aca="false">FLOOR(J9*1000/J10,1)</f>
        <v>4052</v>
      </c>
      <c r="K11" s="121" t="n">
        <f aca="false">FLOOR(K9*1000/K10,1)</f>
        <v>4052</v>
      </c>
      <c r="L11" s="121" t="n">
        <f aca="false">FLOOR(L9*1000/L10,1)</f>
        <v>4052</v>
      </c>
      <c r="M11" s="121" t="n">
        <f aca="false">FLOOR(M9*1000/M10,1)</f>
        <v>4052</v>
      </c>
      <c r="N11" s="121" t="n">
        <f aca="false">FLOOR(N9*1000/N10,1)</f>
        <v>4052</v>
      </c>
      <c r="O11" s="121" t="n">
        <f aca="false">FLOOR(O9*1000/O10,1)</f>
        <v>4052</v>
      </c>
      <c r="P11" s="121" t="n">
        <f aca="false">FLOOR(P9*1000/P10,1)</f>
        <v>4052</v>
      </c>
      <c r="Q11" s="121" t="n">
        <f aca="false">FLOOR(Q9*1000/Q10,1)</f>
        <v>4052</v>
      </c>
      <c r="R11" s="121" t="n">
        <f aca="false">FLOOR(R9*1000/R10,1)</f>
        <v>4052</v>
      </c>
      <c r="S11" s="121" t="n">
        <f aca="false">FLOOR(S9*1000/S10,1)</f>
        <v>4052</v>
      </c>
      <c r="T11" s="121" t="n">
        <f aca="false">FLOOR(T9*1000/T10,1)</f>
        <v>4052</v>
      </c>
      <c r="U11" s="121" t="n">
        <f aca="false">FLOOR(U9*1000/U10,1)</f>
        <v>4052</v>
      </c>
      <c r="V11" s="121" t="n">
        <f aca="false">FLOOR(V9*1000/V10,1)</f>
        <v>4052</v>
      </c>
      <c r="W11" s="121" t="n">
        <f aca="false">FLOOR(W9*1000/W10,1)</f>
        <v>4052</v>
      </c>
      <c r="X11" s="121" t="n">
        <f aca="false">FLOOR(X9*1000/X10,1)</f>
        <v>4185</v>
      </c>
      <c r="Y11" s="121" t="n">
        <f aca="false">FLOOR(Y9*1000/Y10,1)</f>
        <v>3876</v>
      </c>
    </row>
    <row r="12" customFormat="false" ht="15" hidden="false" customHeight="true" outlineLevel="0" collapsed="false">
      <c r="A12" s="14" t="s">
        <v>149</v>
      </c>
      <c r="B12" s="20" t="s">
        <v>686</v>
      </c>
      <c r="C12" s="26" t="n">
        <f aca="false">Spec_Rack!F6</f>
        <v>72</v>
      </c>
      <c r="D12" s="26" t="n">
        <f aca="false">Spec_Rack!F6</f>
        <v>72</v>
      </c>
      <c r="E12" s="26" t="n">
        <f aca="false">Spec_Rack!F6</f>
        <v>72</v>
      </c>
      <c r="F12" s="26" t="n">
        <f aca="false">Spec_Rack!F6</f>
        <v>72</v>
      </c>
      <c r="G12" s="26" t="n">
        <f aca="false">Spec_Rack!F6</f>
        <v>72</v>
      </c>
      <c r="H12" s="26" t="n">
        <f aca="false">Spec_Rack!F6</f>
        <v>72</v>
      </c>
      <c r="I12" s="26" t="n">
        <f aca="false">Spec_Rack!F6</f>
        <v>72</v>
      </c>
      <c r="J12" s="26" t="n">
        <f aca="false">Spec_Rack!F6</f>
        <v>72</v>
      </c>
      <c r="K12" s="26" t="n">
        <f aca="false">Spec_Rack!F6</f>
        <v>72</v>
      </c>
      <c r="L12" s="26" t="n">
        <f aca="false">Spec_Rack!F6</f>
        <v>72</v>
      </c>
      <c r="M12" s="26" t="n">
        <f aca="false">Spec_Rack!F6</f>
        <v>72</v>
      </c>
      <c r="N12" s="26" t="n">
        <f aca="false">Spec_Rack!F6</f>
        <v>72</v>
      </c>
      <c r="O12" s="26" t="n">
        <f aca="false">Spec_Rack!F6</f>
        <v>72</v>
      </c>
      <c r="P12" s="26" t="n">
        <f aca="false">Spec_Rack!F6</f>
        <v>72</v>
      </c>
      <c r="Q12" s="26" t="n">
        <f aca="false">Spec_Rack!F6</f>
        <v>72</v>
      </c>
      <c r="R12" s="26" t="n">
        <f aca="false">Spec_Rack!F6</f>
        <v>72</v>
      </c>
      <c r="S12" s="26" t="n">
        <f aca="false">Spec_Rack!F6</f>
        <v>72</v>
      </c>
      <c r="T12" s="26" t="n">
        <f aca="false">Spec_Rack!F6</f>
        <v>72</v>
      </c>
      <c r="U12" s="26" t="n">
        <f aca="false">Spec_Rack!F6</f>
        <v>72</v>
      </c>
      <c r="V12" s="26" t="n">
        <f aca="false">Spec_Rack!F6</f>
        <v>72</v>
      </c>
      <c r="W12" s="26" t="n">
        <f aca="false">Spec_Rack!F6</f>
        <v>72</v>
      </c>
      <c r="X12" s="26" t="n">
        <f aca="false">Spec_Rack!F6</f>
        <v>72</v>
      </c>
      <c r="Y12" s="26" t="n">
        <f aca="false">Spec_Rack!F6</f>
        <v>72</v>
      </c>
    </row>
    <row r="13" customFormat="false" ht="15" hidden="false" customHeight="true" outlineLevel="0" collapsed="false">
      <c r="A13" s="19" t="s">
        <v>1841</v>
      </c>
      <c r="B13" s="20" t="s">
        <v>686</v>
      </c>
      <c r="C13" s="16" t="n">
        <f aca="false">C11*C12</f>
        <v>291744</v>
      </c>
      <c r="D13" s="16" t="n">
        <f aca="false">D11*D12</f>
        <v>291744</v>
      </c>
      <c r="E13" s="16" t="n">
        <f aca="false">E11*E12</f>
        <v>291744</v>
      </c>
      <c r="F13" s="16" t="n">
        <f aca="false">F11*F12</f>
        <v>352296</v>
      </c>
      <c r="G13" s="16" t="n">
        <f aca="false">G11*G12</f>
        <v>288000</v>
      </c>
      <c r="H13" s="16" t="n">
        <f aca="false">H11*H12</f>
        <v>291744</v>
      </c>
      <c r="I13" s="16" t="n">
        <f aca="false">I11*I12</f>
        <v>291744</v>
      </c>
      <c r="J13" s="16" t="n">
        <f aca="false">J11*J12</f>
        <v>291744</v>
      </c>
      <c r="K13" s="16" t="n">
        <f aca="false">K11*K12</f>
        <v>291744</v>
      </c>
      <c r="L13" s="16" t="n">
        <f aca="false">L11*L12</f>
        <v>291744</v>
      </c>
      <c r="M13" s="16" t="n">
        <f aca="false">M11*M12</f>
        <v>291744</v>
      </c>
      <c r="N13" s="16" t="n">
        <f aca="false">N11*N12</f>
        <v>291744</v>
      </c>
      <c r="O13" s="16" t="n">
        <f aca="false">O11*O12</f>
        <v>291744</v>
      </c>
      <c r="P13" s="16" t="n">
        <f aca="false">P11*P12</f>
        <v>291744</v>
      </c>
      <c r="Q13" s="16" t="n">
        <f aca="false">Q11*Q12</f>
        <v>291744</v>
      </c>
      <c r="R13" s="16" t="n">
        <f aca="false">R11*R12</f>
        <v>291744</v>
      </c>
      <c r="S13" s="16" t="n">
        <f aca="false">S11*S12</f>
        <v>291744</v>
      </c>
      <c r="T13" s="16" t="n">
        <f aca="false">T11*T12</f>
        <v>291744</v>
      </c>
      <c r="U13" s="16" t="n">
        <f aca="false">U11*U12</f>
        <v>291744</v>
      </c>
      <c r="V13" s="16" t="n">
        <f aca="false">V11*V12</f>
        <v>291744</v>
      </c>
      <c r="W13" s="16" t="n">
        <f aca="false">W11*W12</f>
        <v>291744</v>
      </c>
      <c r="X13" s="16" t="n">
        <f aca="false">X11*X12</f>
        <v>301320</v>
      </c>
      <c r="Y13" s="16" t="n">
        <f aca="false">Y11*Y12</f>
        <v>279072</v>
      </c>
    </row>
    <row r="14" customFormat="false" ht="15" hidden="false" customHeight="true" outlineLevel="0" collapsed="false">
      <c r="A14" s="14" t="s">
        <v>74</v>
      </c>
      <c r="B14" s="15" t="s">
        <v>75</v>
      </c>
      <c r="C14" s="123" t="n">
        <f aca="false">Inputs!$E$9</f>
        <v>1.2</v>
      </c>
      <c r="D14" s="123" t="n">
        <f aca="false">Inputs!$E$9</f>
        <v>1.2</v>
      </c>
      <c r="E14" s="123" t="n">
        <f aca="false">Inputs!$E$9</f>
        <v>1.2</v>
      </c>
      <c r="F14" s="123" t="n">
        <f aca="false">Inputs!$E$9</f>
        <v>1.2</v>
      </c>
      <c r="G14" s="123" t="n">
        <f aca="false">Inputs!$E$9</f>
        <v>1.2</v>
      </c>
      <c r="H14" s="123" t="n">
        <f aca="false">Inputs!$E$9</f>
        <v>1.2</v>
      </c>
      <c r="I14" s="123" t="n">
        <f aca="false">Inputs!$E$9</f>
        <v>1.2</v>
      </c>
      <c r="J14" s="123" t="n">
        <f aca="false">Inputs!$E$9</f>
        <v>1.2</v>
      </c>
      <c r="K14" s="123" t="n">
        <f aca="false">Inputs!$E$9</f>
        <v>1.2</v>
      </c>
      <c r="L14" s="123" t="n">
        <f aca="false">Inputs!$E$9</f>
        <v>1.2</v>
      </c>
      <c r="M14" s="123" t="n">
        <f aca="false">Inputs!$E$9</f>
        <v>1.2</v>
      </c>
      <c r="N14" s="123" t="n">
        <f aca="false">Inputs!$E$9</f>
        <v>1.2</v>
      </c>
      <c r="O14" s="123" t="n">
        <f aca="false">Inputs!$E$9</f>
        <v>1.2</v>
      </c>
      <c r="P14" s="123" t="n">
        <f aca="false">Inputs!$E$9</f>
        <v>1.2</v>
      </c>
      <c r="Q14" s="123" t="n">
        <f aca="false">Inputs!$E$9</f>
        <v>1.2</v>
      </c>
      <c r="R14" s="123" t="n">
        <f aca="false">Inputs!$E$9</f>
        <v>1.2</v>
      </c>
      <c r="S14" s="123" t="n">
        <f aca="false">Inputs!$E$9</f>
        <v>1.2</v>
      </c>
      <c r="T14" s="123" t="n">
        <f aca="false">Inputs!$D$9</f>
        <v>1.1</v>
      </c>
      <c r="U14" s="123" t="n">
        <f aca="false">Inputs!$F$9</f>
        <v>1.3</v>
      </c>
      <c r="V14" s="123" t="n">
        <f aca="false">Inputs!$E$9</f>
        <v>1.2</v>
      </c>
      <c r="W14" s="123" t="n">
        <f aca="false">Inputs!$E$9</f>
        <v>1.2</v>
      </c>
      <c r="X14" s="123" t="n">
        <f aca="false">Inputs!$E$9</f>
        <v>1.2</v>
      </c>
      <c r="Y14" s="123" t="n">
        <f aca="false">Inputs!$E$9</f>
        <v>1.2</v>
      </c>
    </row>
    <row r="15" customFormat="false" ht="15" hidden="false" customHeight="true" outlineLevel="0" collapsed="false">
      <c r="A15" s="19" t="s">
        <v>825</v>
      </c>
      <c r="B15" s="15" t="s">
        <v>821</v>
      </c>
      <c r="C15" s="16" t="n">
        <f aca="false">C7*C14</f>
        <v>1200</v>
      </c>
      <c r="D15" s="16" t="n">
        <f aca="false">D7*D14</f>
        <v>1200</v>
      </c>
      <c r="E15" s="16" t="n">
        <f aca="false">E7*E14</f>
        <v>1200</v>
      </c>
      <c r="F15" s="16" t="n">
        <f aca="false">F7*F14</f>
        <v>1200</v>
      </c>
      <c r="G15" s="16" t="n">
        <f aca="false">G7*G14</f>
        <v>1200</v>
      </c>
      <c r="H15" s="16" t="n">
        <f aca="false">H7*H14</f>
        <v>1200</v>
      </c>
      <c r="I15" s="16" t="n">
        <f aca="false">I7*I14</f>
        <v>1200</v>
      </c>
      <c r="J15" s="16" t="n">
        <f aca="false">J7*J14</f>
        <v>1200</v>
      </c>
      <c r="K15" s="16" t="n">
        <f aca="false">K7*K14</f>
        <v>1200</v>
      </c>
      <c r="L15" s="16" t="n">
        <f aca="false">L7*L14</f>
        <v>1200</v>
      </c>
      <c r="M15" s="16" t="n">
        <f aca="false">M7*M14</f>
        <v>1200</v>
      </c>
      <c r="N15" s="16" t="n">
        <f aca="false">N7*N14</f>
        <v>1200</v>
      </c>
      <c r="O15" s="16" t="n">
        <f aca="false">O7*O14</f>
        <v>1200</v>
      </c>
      <c r="P15" s="16" t="n">
        <f aca="false">P7*P14</f>
        <v>1200</v>
      </c>
      <c r="Q15" s="16" t="n">
        <f aca="false">Q7*Q14</f>
        <v>1200</v>
      </c>
      <c r="R15" s="16" t="n">
        <f aca="false">R7*R14</f>
        <v>1200</v>
      </c>
      <c r="S15" s="16" t="n">
        <f aca="false">S7*S14</f>
        <v>1200</v>
      </c>
      <c r="T15" s="16" t="n">
        <f aca="false">T7*T14</f>
        <v>1100</v>
      </c>
      <c r="U15" s="16" t="n">
        <f aca="false">U7*U14</f>
        <v>1300</v>
      </c>
      <c r="V15" s="16" t="n">
        <f aca="false">V7*V14</f>
        <v>1200</v>
      </c>
      <c r="W15" s="16" t="n">
        <f aca="false">W7*W14</f>
        <v>1200</v>
      </c>
      <c r="X15" s="16" t="n">
        <f aca="false">X7*X14</f>
        <v>1200</v>
      </c>
      <c r="Y15" s="16" t="n">
        <f aca="false">Y7*Y14</f>
        <v>1200</v>
      </c>
    </row>
    <row r="16" customFormat="false" ht="15" hidden="false" customHeight="true" outlineLevel="0" collapsed="false">
      <c r="A16" s="24" t="s">
        <v>2366</v>
      </c>
      <c r="B16" s="13"/>
      <c r="C16" s="13"/>
    </row>
    <row r="17" customFormat="false" ht="15" hidden="false" customHeight="true" outlineLevel="0" collapsed="false">
      <c r="A17" s="19" t="s">
        <v>827</v>
      </c>
      <c r="B17" s="15" t="s">
        <v>828</v>
      </c>
      <c r="C17" s="29" t="n">
        <f aca="false">Spec_Rack!F12</f>
        <v>8.4</v>
      </c>
      <c r="D17" s="29" t="n">
        <f aca="false">Spec_Rack!F11</f>
        <v>7.8</v>
      </c>
      <c r="E17" s="29" t="n">
        <f aca="false">Spec_Rack!F13</f>
        <v>9.1</v>
      </c>
      <c r="F17" s="29" t="n">
        <f aca="false">Spec_Rack!F12</f>
        <v>8.4</v>
      </c>
      <c r="G17" s="29" t="n">
        <f aca="false">Spec_Rack!F12</f>
        <v>8.4</v>
      </c>
      <c r="H17" s="29" t="n">
        <f aca="false">Spec_Rack!F12</f>
        <v>8.4</v>
      </c>
      <c r="I17" s="29" t="n">
        <f aca="false">Spec_Rack!F12</f>
        <v>8.4</v>
      </c>
      <c r="J17" s="29" t="n">
        <f aca="false">Spec_Rack!F12</f>
        <v>8.4</v>
      </c>
      <c r="K17" s="29" t="n">
        <f aca="false">Spec_Rack!F12</f>
        <v>8.4</v>
      </c>
      <c r="L17" s="29" t="n">
        <f aca="false">Spec_Rack!F12</f>
        <v>8.4</v>
      </c>
      <c r="M17" s="29" t="n">
        <f aca="false">Spec_Rack!F12</f>
        <v>8.4</v>
      </c>
      <c r="N17" s="29" t="n">
        <f aca="false">Spec_Rack!F12</f>
        <v>8.4</v>
      </c>
      <c r="O17" s="29" t="n">
        <f aca="false">Spec_Rack!F12</f>
        <v>8.4</v>
      </c>
      <c r="P17" s="29" t="n">
        <f aca="false">Spec_Rack!F12</f>
        <v>8.4</v>
      </c>
      <c r="Q17" s="29" t="n">
        <f aca="false">Spec_Rack!F12</f>
        <v>8.4</v>
      </c>
      <c r="R17" s="29" t="n">
        <f aca="false">Spec_Rack!F12</f>
        <v>8.4</v>
      </c>
      <c r="S17" s="29" t="n">
        <f aca="false">Spec_Rack!F12</f>
        <v>8.4</v>
      </c>
      <c r="T17" s="29" t="n">
        <f aca="false">Spec_Rack!F12</f>
        <v>8.4</v>
      </c>
      <c r="U17" s="29" t="n">
        <f aca="false">Spec_Rack!F12</f>
        <v>8.4</v>
      </c>
      <c r="V17" s="29" t="n">
        <f aca="false">Spec_Rack!F12</f>
        <v>8.4</v>
      </c>
      <c r="W17" s="29" t="n">
        <f aca="false">Spec_Rack!F12</f>
        <v>8.4</v>
      </c>
      <c r="X17" s="29" t="n">
        <f aca="false">Spec_Rack!F12</f>
        <v>8.4</v>
      </c>
      <c r="Y17" s="29" t="n">
        <f aca="false">Spec_Rack!F12</f>
        <v>8.4</v>
      </c>
    </row>
    <row r="18" customFormat="false" ht="15" hidden="false" customHeight="true" outlineLevel="0" collapsed="false">
      <c r="A18" s="19" t="s">
        <v>829</v>
      </c>
      <c r="B18" s="15" t="s">
        <v>830</v>
      </c>
      <c r="C18" s="124" t="n">
        <f aca="false">C11*C17/1000</f>
        <v>34.0368</v>
      </c>
      <c r="D18" s="124" t="n">
        <f aca="false">D11*D17/1000</f>
        <v>31.6056</v>
      </c>
      <c r="E18" s="124" t="n">
        <f aca="false">E11*E17/1000</f>
        <v>36.8732</v>
      </c>
      <c r="F18" s="124" t="n">
        <f aca="false">F11*F17/1000</f>
        <v>41.1012</v>
      </c>
      <c r="G18" s="124" t="n">
        <f aca="false">G11*G17/1000</f>
        <v>33.6</v>
      </c>
      <c r="H18" s="124" t="n">
        <f aca="false">H11*H17/1000</f>
        <v>34.0368</v>
      </c>
      <c r="I18" s="124" t="n">
        <f aca="false">I11*I17/1000</f>
        <v>34.0368</v>
      </c>
      <c r="J18" s="124" t="n">
        <f aca="false">J11*J17/1000</f>
        <v>34.0368</v>
      </c>
      <c r="K18" s="124" t="n">
        <f aca="false">K11*K17/1000</f>
        <v>34.0368</v>
      </c>
      <c r="L18" s="124" t="n">
        <f aca="false">L11*L17/1000</f>
        <v>34.0368</v>
      </c>
      <c r="M18" s="124" t="n">
        <f aca="false">M11*M17/1000</f>
        <v>34.0368</v>
      </c>
      <c r="N18" s="124" t="n">
        <f aca="false">N11*N17/1000</f>
        <v>34.0368</v>
      </c>
      <c r="O18" s="124" t="n">
        <f aca="false">O11*O17/1000</f>
        <v>34.0368</v>
      </c>
      <c r="P18" s="124" t="n">
        <f aca="false">P11*P17/1000</f>
        <v>34.0368</v>
      </c>
      <c r="Q18" s="124" t="n">
        <f aca="false">Q11*Q17/1000</f>
        <v>34.0368</v>
      </c>
      <c r="R18" s="124" t="n">
        <f aca="false">R11*R17/1000</f>
        <v>34.0368</v>
      </c>
      <c r="S18" s="124" t="n">
        <f aca="false">S11*S17/1000</f>
        <v>34.0368</v>
      </c>
      <c r="T18" s="124" t="n">
        <f aca="false">T11*T17/1000</f>
        <v>34.0368</v>
      </c>
      <c r="U18" s="124" t="n">
        <f aca="false">U11*U17/1000</f>
        <v>34.0368</v>
      </c>
      <c r="V18" s="124" t="n">
        <f aca="false">V11*V17/1000</f>
        <v>34.0368</v>
      </c>
      <c r="W18" s="124" t="n">
        <f aca="false">W11*W17/1000</f>
        <v>34.0368</v>
      </c>
      <c r="X18" s="124" t="n">
        <f aca="false">X11*X17/1000</f>
        <v>35.154</v>
      </c>
      <c r="Y18" s="124" t="n">
        <f aca="false">Y11*Y17/1000</f>
        <v>32.5584</v>
      </c>
    </row>
    <row r="19" customFormat="false" ht="15" hidden="false" customHeight="true" outlineLevel="0" collapsed="false">
      <c r="A19" s="14" t="s">
        <v>85</v>
      </c>
      <c r="B19" s="15" t="s">
        <v>71</v>
      </c>
      <c r="C19" s="25" t="n">
        <f aca="false">Inputs!$E$13</f>
        <v>0.1</v>
      </c>
      <c r="D19" s="25" t="n">
        <f aca="false">Inputs!$E$13</f>
        <v>0.1</v>
      </c>
      <c r="E19" s="25" t="n">
        <f aca="false">Inputs!$E$13</f>
        <v>0.1</v>
      </c>
      <c r="F19" s="25" t="n">
        <f aca="false">Inputs!$E$13</f>
        <v>0.1</v>
      </c>
      <c r="G19" s="25" t="n">
        <f aca="false">Inputs!$E$13</f>
        <v>0.1</v>
      </c>
      <c r="H19" s="25" t="n">
        <f aca="false">Inputs!$D$13</f>
        <v>0.05</v>
      </c>
      <c r="I19" s="25" t="n">
        <f aca="false">Inputs!$F$13</f>
        <v>0.15</v>
      </c>
      <c r="J19" s="25" t="n">
        <f aca="false">Inputs!$E$13</f>
        <v>0.1</v>
      </c>
      <c r="K19" s="25" t="n">
        <f aca="false">Inputs!$E$13</f>
        <v>0.1</v>
      </c>
      <c r="L19" s="25" t="n">
        <f aca="false">Inputs!$E$13</f>
        <v>0.1</v>
      </c>
      <c r="M19" s="25" t="n">
        <f aca="false">Inputs!$E$13</f>
        <v>0.1</v>
      </c>
      <c r="N19" s="25" t="n">
        <f aca="false">Inputs!$E$13</f>
        <v>0.1</v>
      </c>
      <c r="O19" s="25" t="n">
        <f aca="false">Inputs!$E$13</f>
        <v>0.1</v>
      </c>
      <c r="P19" s="25" t="n">
        <f aca="false">Inputs!$E$13</f>
        <v>0.1</v>
      </c>
      <c r="Q19" s="25" t="n">
        <f aca="false">Inputs!$E$13</f>
        <v>0.1</v>
      </c>
      <c r="R19" s="25" t="n">
        <f aca="false">Inputs!$E$13</f>
        <v>0.1</v>
      </c>
      <c r="S19" s="25" t="n">
        <f aca="false">Inputs!$E$13</f>
        <v>0.1</v>
      </c>
      <c r="T19" s="25" t="n">
        <f aca="false">Inputs!$E$13</f>
        <v>0.1</v>
      </c>
      <c r="U19" s="25" t="n">
        <f aca="false">Inputs!$E$13</f>
        <v>0.1</v>
      </c>
      <c r="V19" s="25" t="n">
        <f aca="false">Inputs!$E$13</f>
        <v>0.1</v>
      </c>
      <c r="W19" s="25" t="n">
        <f aca="false">Inputs!$E$13</f>
        <v>0.1</v>
      </c>
      <c r="X19" s="25" t="n">
        <f aca="false">Inputs!$E$13</f>
        <v>0.1</v>
      </c>
      <c r="Y19" s="25" t="n">
        <f aca="false">Inputs!$E$13</f>
        <v>0.1</v>
      </c>
    </row>
    <row r="20" customFormat="false" ht="15" hidden="false" customHeight="true" outlineLevel="0" collapsed="false">
      <c r="A20" s="14" t="s">
        <v>831</v>
      </c>
      <c r="B20" s="15" t="s">
        <v>830</v>
      </c>
      <c r="C20" s="124" t="n">
        <f aca="false">C18*C19</f>
        <v>3.40368</v>
      </c>
      <c r="D20" s="124" t="n">
        <f aca="false">D18*D19</f>
        <v>3.16056</v>
      </c>
      <c r="E20" s="124" t="n">
        <f aca="false">E18*E19</f>
        <v>3.68732</v>
      </c>
      <c r="F20" s="124" t="n">
        <f aca="false">F18*F19</f>
        <v>4.11012</v>
      </c>
      <c r="G20" s="124" t="n">
        <f aca="false">G18*G19</f>
        <v>3.36</v>
      </c>
      <c r="H20" s="124" t="n">
        <f aca="false">H18*H19</f>
        <v>1.70184</v>
      </c>
      <c r="I20" s="124" t="n">
        <f aca="false">I18*I19</f>
        <v>5.10552</v>
      </c>
      <c r="J20" s="124" t="n">
        <f aca="false">J18*J19</f>
        <v>3.40368</v>
      </c>
      <c r="K20" s="124" t="n">
        <f aca="false">K18*K19</f>
        <v>3.40368</v>
      </c>
      <c r="L20" s="124" t="n">
        <f aca="false">L18*L19</f>
        <v>3.40368</v>
      </c>
      <c r="M20" s="124" t="n">
        <f aca="false">M18*M19</f>
        <v>3.40368</v>
      </c>
      <c r="N20" s="124" t="n">
        <f aca="false">N18*N19</f>
        <v>3.40368</v>
      </c>
      <c r="O20" s="124" t="n">
        <f aca="false">O18*O19</f>
        <v>3.40368</v>
      </c>
      <c r="P20" s="124" t="n">
        <f aca="false">P18*P19</f>
        <v>3.40368</v>
      </c>
      <c r="Q20" s="124" t="n">
        <f aca="false">Q18*Q19</f>
        <v>3.40368</v>
      </c>
      <c r="R20" s="124" t="n">
        <f aca="false">R18*R19</f>
        <v>3.40368</v>
      </c>
      <c r="S20" s="124" t="n">
        <f aca="false">S18*S19</f>
        <v>3.40368</v>
      </c>
      <c r="T20" s="124" t="n">
        <f aca="false">T18*T19</f>
        <v>3.40368</v>
      </c>
      <c r="U20" s="124" t="n">
        <f aca="false">U18*U19</f>
        <v>3.40368</v>
      </c>
      <c r="V20" s="124" t="n">
        <f aca="false">V18*V19</f>
        <v>3.40368</v>
      </c>
      <c r="W20" s="124" t="n">
        <f aca="false">W18*W19</f>
        <v>3.40368</v>
      </c>
      <c r="X20" s="124" t="n">
        <f aca="false">X18*X19</f>
        <v>3.5154</v>
      </c>
      <c r="Y20" s="124" t="n">
        <f aca="false">Y18*Y19</f>
        <v>3.25584</v>
      </c>
    </row>
    <row r="21" customFormat="false" ht="15" hidden="false" customHeight="true" outlineLevel="0" collapsed="false">
      <c r="A21" s="19" t="s">
        <v>832</v>
      </c>
      <c r="B21" s="15" t="s">
        <v>88</v>
      </c>
      <c r="C21" s="26" t="n">
        <f aca="false">Inputs!$E$14</f>
        <v>500</v>
      </c>
      <c r="D21" s="26" t="n">
        <f aca="false">Inputs!$E$14</f>
        <v>500</v>
      </c>
      <c r="E21" s="26" t="n">
        <f aca="false">Inputs!$E$14</f>
        <v>500</v>
      </c>
      <c r="F21" s="26" t="n">
        <f aca="false">Inputs!$E$14</f>
        <v>500</v>
      </c>
      <c r="G21" s="26" t="n">
        <f aca="false">Inputs!$E$14</f>
        <v>500</v>
      </c>
      <c r="H21" s="26" t="n">
        <f aca="false">Inputs!$E$14</f>
        <v>500</v>
      </c>
      <c r="I21" s="26" t="n">
        <f aca="false">Inputs!$E$14</f>
        <v>500</v>
      </c>
      <c r="J21" s="26" t="n">
        <f aca="false">Inputs!$E$14</f>
        <v>500</v>
      </c>
      <c r="K21" s="26" t="n">
        <f aca="false">Inputs!$E$14</f>
        <v>500</v>
      </c>
      <c r="L21" s="26" t="n">
        <f aca="false">Inputs!$E$14</f>
        <v>500</v>
      </c>
      <c r="M21" s="26" t="n">
        <f aca="false">Inputs!$E$14</f>
        <v>500</v>
      </c>
      <c r="N21" s="26" t="n">
        <f aca="false">Inputs!$E$14</f>
        <v>500</v>
      </c>
      <c r="O21" s="26" t="n">
        <f aca="false">Inputs!$E$14</f>
        <v>500</v>
      </c>
      <c r="P21" s="26" t="n">
        <f aca="false">Inputs!$E$14</f>
        <v>500</v>
      </c>
      <c r="Q21" s="26" t="n">
        <f aca="false">Inputs!$E$14</f>
        <v>500</v>
      </c>
      <c r="R21" s="26" t="n">
        <f aca="false">Inputs!$E$14</f>
        <v>500</v>
      </c>
      <c r="S21" s="26" t="n">
        <f aca="false">Inputs!$E$14</f>
        <v>500</v>
      </c>
      <c r="T21" s="26" t="n">
        <f aca="false">Inputs!$E$14</f>
        <v>500</v>
      </c>
      <c r="U21" s="26" t="n">
        <f aca="false">Inputs!$E$14</f>
        <v>500</v>
      </c>
      <c r="V21" s="26" t="n">
        <f aca="false">Inputs!$E$14</f>
        <v>500</v>
      </c>
      <c r="W21" s="26" t="n">
        <f aca="false">Inputs!$E$14</f>
        <v>500</v>
      </c>
      <c r="X21" s="26" t="n">
        <f aca="false">Inputs!$E$14</f>
        <v>500</v>
      </c>
      <c r="Y21" s="26" t="n">
        <f aca="false">Inputs!$E$14</f>
        <v>500</v>
      </c>
    </row>
    <row r="22" customFormat="false" ht="15" hidden="false" customHeight="true" outlineLevel="0" collapsed="false">
      <c r="A22" s="19" t="s">
        <v>832</v>
      </c>
      <c r="B22" s="15" t="s">
        <v>830</v>
      </c>
      <c r="C22" s="124" t="n">
        <f aca="false">C13*C21/1000000000</f>
        <v>0.145872</v>
      </c>
      <c r="D22" s="124" t="n">
        <f aca="false">D13*D21/1000000000</f>
        <v>0.145872</v>
      </c>
      <c r="E22" s="124" t="n">
        <f aca="false">E13*E21/1000000000</f>
        <v>0.145872</v>
      </c>
      <c r="F22" s="124" t="n">
        <f aca="false">F13*F21/1000000000</f>
        <v>0.176148</v>
      </c>
      <c r="G22" s="124" t="n">
        <f aca="false">G13*G21/1000000000</f>
        <v>0.144</v>
      </c>
      <c r="H22" s="124" t="n">
        <f aca="false">H13*H21/1000000000</f>
        <v>0.145872</v>
      </c>
      <c r="I22" s="124" t="n">
        <f aca="false">I13*I21/1000000000</f>
        <v>0.145872</v>
      </c>
      <c r="J22" s="124" t="n">
        <f aca="false">J13*J21/1000000000</f>
        <v>0.145872</v>
      </c>
      <c r="K22" s="124" t="n">
        <f aca="false">K13*K21/1000000000</f>
        <v>0.145872</v>
      </c>
      <c r="L22" s="124" t="n">
        <f aca="false">L13*L21/1000000000</f>
        <v>0.145872</v>
      </c>
      <c r="M22" s="124" t="n">
        <f aca="false">M13*M21/1000000000</f>
        <v>0.145872</v>
      </c>
      <c r="N22" s="124" t="n">
        <f aca="false">N13*N21/1000000000</f>
        <v>0.145872</v>
      </c>
      <c r="O22" s="124" t="n">
        <f aca="false">O13*O21/1000000000</f>
        <v>0.145872</v>
      </c>
      <c r="P22" s="124" t="n">
        <f aca="false">P13*P21/1000000000</f>
        <v>0.145872</v>
      </c>
      <c r="Q22" s="124" t="n">
        <f aca="false">Q13*Q21/1000000000</f>
        <v>0.145872</v>
      </c>
      <c r="R22" s="124" t="n">
        <f aca="false">R13*R21/1000000000</f>
        <v>0.145872</v>
      </c>
      <c r="S22" s="124" t="n">
        <f aca="false">S13*S21/1000000000</f>
        <v>0.145872</v>
      </c>
      <c r="T22" s="124" t="n">
        <f aca="false">T13*T21/1000000000</f>
        <v>0.145872</v>
      </c>
      <c r="U22" s="124" t="n">
        <f aca="false">U13*U21/1000000000</f>
        <v>0.145872</v>
      </c>
      <c r="V22" s="124" t="n">
        <f aca="false">V13*V21/1000000000</f>
        <v>0.145872</v>
      </c>
      <c r="W22" s="124" t="n">
        <f aca="false">W13*W21/1000000000</f>
        <v>0.145872</v>
      </c>
      <c r="X22" s="124" t="n">
        <f aca="false">X13*X21/1000000000</f>
        <v>0.15066</v>
      </c>
      <c r="Y22" s="124" t="n">
        <f aca="false">Y13*Y21/1000000000</f>
        <v>0.139536</v>
      </c>
    </row>
    <row r="23" customFormat="false" ht="15" hidden="false" customHeight="true" outlineLevel="0" collapsed="false">
      <c r="A23" s="14" t="s">
        <v>833</v>
      </c>
      <c r="B23" s="15" t="s">
        <v>830</v>
      </c>
      <c r="C23" s="124" t="n">
        <f aca="false">C18+C20+C22</f>
        <v>37.586352</v>
      </c>
      <c r="D23" s="124" t="n">
        <f aca="false">D18+D20+D22</f>
        <v>34.912032</v>
      </c>
      <c r="E23" s="124" t="n">
        <f aca="false">E18+E20+E22</f>
        <v>40.706392</v>
      </c>
      <c r="F23" s="124" t="n">
        <f aca="false">F18+F20+F22</f>
        <v>45.387468</v>
      </c>
      <c r="G23" s="124" t="n">
        <f aca="false">G18+G20+G22</f>
        <v>37.104</v>
      </c>
      <c r="H23" s="124" t="n">
        <f aca="false">H18+H20+H22</f>
        <v>35.884512</v>
      </c>
      <c r="I23" s="124" t="n">
        <f aca="false">I18+I20+I22</f>
        <v>39.288192</v>
      </c>
      <c r="J23" s="124" t="n">
        <f aca="false">J18+J20+J22</f>
        <v>37.586352</v>
      </c>
      <c r="K23" s="124" t="n">
        <f aca="false">K18+K20+K22</f>
        <v>37.586352</v>
      </c>
      <c r="L23" s="124" t="n">
        <f aca="false">L18+L20+L22</f>
        <v>37.586352</v>
      </c>
      <c r="M23" s="124" t="n">
        <f aca="false">M18+M20+M22</f>
        <v>37.586352</v>
      </c>
      <c r="N23" s="124" t="n">
        <f aca="false">N18+N20+N22</f>
        <v>37.586352</v>
      </c>
      <c r="O23" s="124" t="n">
        <f aca="false">O18+O20+O22</f>
        <v>37.586352</v>
      </c>
      <c r="P23" s="124" t="n">
        <f aca="false">P18+P20+P22</f>
        <v>37.586352</v>
      </c>
      <c r="Q23" s="124" t="n">
        <f aca="false">Q18+Q20+Q22</f>
        <v>37.586352</v>
      </c>
      <c r="R23" s="124" t="n">
        <f aca="false">R18+R20+R22</f>
        <v>37.586352</v>
      </c>
      <c r="S23" s="124" t="n">
        <f aca="false">S18+S20+S22</f>
        <v>37.586352</v>
      </c>
      <c r="T23" s="124" t="n">
        <f aca="false">T18+T20+T22</f>
        <v>37.586352</v>
      </c>
      <c r="U23" s="124" t="n">
        <f aca="false">U18+U20+U22</f>
        <v>37.586352</v>
      </c>
      <c r="V23" s="124" t="n">
        <f aca="false">V18+V20+V22</f>
        <v>37.586352</v>
      </c>
      <c r="W23" s="124" t="n">
        <f aca="false">W18+W20+W22</f>
        <v>37.586352</v>
      </c>
      <c r="X23" s="124" t="n">
        <f aca="false">X18+X20+X22</f>
        <v>38.82006</v>
      </c>
      <c r="Y23" s="124" t="n">
        <f aca="false">Y18+Y20+Y22</f>
        <v>35.953776</v>
      </c>
    </row>
    <row r="24" customFormat="false" ht="15" hidden="false" customHeight="true" outlineLevel="0" collapsed="false">
      <c r="A24" s="19" t="s">
        <v>91</v>
      </c>
      <c r="B24" s="15" t="s">
        <v>830</v>
      </c>
      <c r="C24" s="124" t="n">
        <f aca="false">C7*Inputs!$E$16/1000</f>
        <v>0.02</v>
      </c>
      <c r="D24" s="124" t="n">
        <f aca="false">D7*Inputs!$E$16/1000</f>
        <v>0.02</v>
      </c>
      <c r="E24" s="124" t="n">
        <f aca="false">E7*Inputs!$E$16/1000</f>
        <v>0.02</v>
      </c>
      <c r="F24" s="124" t="n">
        <f aca="false">F7*Inputs!$E$16/1000</f>
        <v>0.02</v>
      </c>
      <c r="G24" s="124" t="n">
        <f aca="false">G7*Inputs!$E$16/1000</f>
        <v>0.02</v>
      </c>
      <c r="H24" s="124" t="n">
        <f aca="false">H7*Inputs!$E$16/1000</f>
        <v>0.02</v>
      </c>
      <c r="I24" s="124" t="n">
        <f aca="false">I7*Inputs!$E$16/1000</f>
        <v>0.02</v>
      </c>
      <c r="J24" s="124" t="n">
        <f aca="false">J7*Inputs!$E$16/1000</f>
        <v>0.02</v>
      </c>
      <c r="K24" s="124" t="n">
        <f aca="false">K7*Inputs!$E$16/1000</f>
        <v>0.02</v>
      </c>
      <c r="L24" s="124" t="n">
        <f aca="false">L7*Inputs!$E$16/1000</f>
        <v>0.02</v>
      </c>
      <c r="M24" s="124" t="n">
        <f aca="false">M7*Inputs!$E$16/1000</f>
        <v>0.02</v>
      </c>
      <c r="N24" s="124" t="n">
        <f aca="false">N7*Inputs!$E$16/1000</f>
        <v>0.02</v>
      </c>
      <c r="O24" s="124" t="n">
        <f aca="false">O7*Inputs!$E$16/1000</f>
        <v>0.02</v>
      </c>
      <c r="P24" s="124" t="n">
        <f aca="false">P7*Inputs!$E$16/1000</f>
        <v>0.02</v>
      </c>
      <c r="Q24" s="124" t="n">
        <f aca="false">Q7*Inputs!$E$16/1000</f>
        <v>0.02</v>
      </c>
      <c r="R24" s="124" t="n">
        <f aca="false">R7*Inputs!$E$16/1000</f>
        <v>0.02</v>
      </c>
      <c r="S24" s="124" t="n">
        <f aca="false">S7*Inputs!$E$16/1000</f>
        <v>0.02</v>
      </c>
      <c r="T24" s="124" t="n">
        <f aca="false">T7*Inputs!$E$16/1000</f>
        <v>0.02</v>
      </c>
      <c r="U24" s="124" t="n">
        <f aca="false">U7*Inputs!$E$16/1000</f>
        <v>0.02</v>
      </c>
      <c r="V24" s="124" t="n">
        <f aca="false">V7*Inputs!$E$16/1000</f>
        <v>0.02</v>
      </c>
      <c r="W24" s="124" t="n">
        <f aca="false">W7*Inputs!$E$16/1000</f>
        <v>0.02</v>
      </c>
      <c r="X24" s="124" t="n">
        <f aca="false">X7*Inputs!$E$16/1000</f>
        <v>0.02</v>
      </c>
      <c r="Y24" s="124" t="n">
        <f aca="false">Y7*Inputs!$E$16/1000</f>
        <v>0.02</v>
      </c>
    </row>
    <row r="25" customFormat="false" ht="15" hidden="false" customHeight="true" outlineLevel="0" collapsed="false">
      <c r="A25" s="19" t="s">
        <v>834</v>
      </c>
      <c r="B25" s="15" t="s">
        <v>830</v>
      </c>
      <c r="C25" s="124" t="n">
        <f aca="false">C7*Inputs!$E$17/1000</f>
        <v>3.6</v>
      </c>
      <c r="D25" s="124" t="n">
        <f aca="false">D7*Inputs!$E$17/1000</f>
        <v>3.6</v>
      </c>
      <c r="E25" s="124" t="n">
        <f aca="false">E7*Inputs!$E$17/1000</f>
        <v>3.6</v>
      </c>
      <c r="F25" s="124" t="n">
        <f aca="false">F7*Inputs!$E$17/1000</f>
        <v>3.6</v>
      </c>
      <c r="G25" s="124" t="n">
        <f aca="false">G7*Inputs!$E$17/1000</f>
        <v>3.6</v>
      </c>
      <c r="H25" s="124" t="n">
        <f aca="false">H7*Inputs!$E$17/1000</f>
        <v>3.6</v>
      </c>
      <c r="I25" s="124" t="n">
        <f aca="false">I7*Inputs!$E$17/1000</f>
        <v>3.6</v>
      </c>
      <c r="J25" s="124" t="n">
        <f aca="false">J7*Inputs!$D$17/1000</f>
        <v>3</v>
      </c>
      <c r="K25" s="124" t="n">
        <f aca="false">K7*Inputs!$F$17/1000</f>
        <v>4.5</v>
      </c>
      <c r="L25" s="124" t="n">
        <f aca="false">L7*Inputs!$E$17/1000</f>
        <v>3.6</v>
      </c>
      <c r="M25" s="124" t="n">
        <f aca="false">M7*Inputs!$E$17/1000</f>
        <v>3.6</v>
      </c>
      <c r="N25" s="124" t="n">
        <f aca="false">N7*Inputs!$E$17/1000</f>
        <v>3.6</v>
      </c>
      <c r="O25" s="124" t="n">
        <f aca="false">O7*Inputs!$E$17/1000</f>
        <v>3.6</v>
      </c>
      <c r="P25" s="124" t="n">
        <f aca="false">P7*Inputs!$E$17/1000</f>
        <v>3.6</v>
      </c>
      <c r="Q25" s="124" t="n">
        <f aca="false">Q7*Inputs!$E$17/1000</f>
        <v>3.6</v>
      </c>
      <c r="R25" s="124" t="n">
        <f aca="false">R7*Inputs!$E$17/1000</f>
        <v>3.6</v>
      </c>
      <c r="S25" s="124" t="n">
        <f aca="false">S7*Inputs!$E$17/1000</f>
        <v>3.6</v>
      </c>
      <c r="T25" s="124" t="n">
        <f aca="false">T7*Inputs!$E$17/1000</f>
        <v>3.6</v>
      </c>
      <c r="U25" s="124" t="n">
        <f aca="false">U7*Inputs!$E$17/1000</f>
        <v>3.6</v>
      </c>
      <c r="V25" s="124" t="n">
        <f aca="false">V7*Inputs!$E$17/1000</f>
        <v>3.6</v>
      </c>
      <c r="W25" s="124" t="n">
        <f aca="false">W7*Inputs!$E$17/1000</f>
        <v>3.6</v>
      </c>
      <c r="X25" s="124" t="n">
        <f aca="false">X7*Inputs!$E$17/1000</f>
        <v>3.6</v>
      </c>
      <c r="Y25" s="124" t="n">
        <f aca="false">Y7*Inputs!$E$17/1000</f>
        <v>3.6</v>
      </c>
    </row>
    <row r="26" customFormat="false" ht="15" hidden="false" customHeight="true" outlineLevel="0" collapsed="false">
      <c r="A26" s="19" t="s">
        <v>835</v>
      </c>
      <c r="B26" s="15" t="s">
        <v>830</v>
      </c>
      <c r="C26" s="124" t="n">
        <f aca="false">C7*Inputs!$E$18/1000</f>
        <v>4.5</v>
      </c>
      <c r="D26" s="124" t="n">
        <f aca="false">D7*Inputs!$E$18/1000</f>
        <v>4.5</v>
      </c>
      <c r="E26" s="124" t="n">
        <f aca="false">E7*Inputs!$E$18/1000</f>
        <v>4.5</v>
      </c>
      <c r="F26" s="124" t="n">
        <f aca="false">F7*Inputs!$E$18/1000</f>
        <v>4.5</v>
      </c>
      <c r="G26" s="124" t="n">
        <f aca="false">G7*Inputs!$E$18/1000</f>
        <v>4.5</v>
      </c>
      <c r="H26" s="124" t="n">
        <f aca="false">H7*Inputs!$E$18/1000</f>
        <v>4.5</v>
      </c>
      <c r="I26" s="124" t="n">
        <f aca="false">I7*Inputs!$E$18/1000</f>
        <v>4.5</v>
      </c>
      <c r="J26" s="124" t="n">
        <f aca="false">J7*Inputs!$E$18/1000</f>
        <v>4.5</v>
      </c>
      <c r="K26" s="124" t="n">
        <f aca="false">K7*Inputs!$E$18/1000</f>
        <v>4.5</v>
      </c>
      <c r="L26" s="124" t="n">
        <f aca="false">L7*Inputs!$D$18/1000</f>
        <v>3.8</v>
      </c>
      <c r="M26" s="124" t="n">
        <f aca="false">M7*Inputs!$F$18/1000</f>
        <v>5.5</v>
      </c>
      <c r="N26" s="124" t="n">
        <f aca="false">N7*Inputs!$E$18/1000</f>
        <v>4.5</v>
      </c>
      <c r="O26" s="124" t="n">
        <f aca="false">O7*Inputs!$E$18/1000</f>
        <v>4.5</v>
      </c>
      <c r="P26" s="124" t="n">
        <f aca="false">P7*Inputs!$E$18/1000</f>
        <v>4.5</v>
      </c>
      <c r="Q26" s="124" t="n">
        <f aca="false">Q7*Inputs!$E$18/1000</f>
        <v>4.5</v>
      </c>
      <c r="R26" s="124" t="n">
        <f aca="false">R7*Inputs!$E$18/1000</f>
        <v>4.5</v>
      </c>
      <c r="S26" s="124" t="n">
        <f aca="false">S7*Inputs!$E$18/1000</f>
        <v>4.5</v>
      </c>
      <c r="T26" s="124" t="n">
        <f aca="false">T7*Inputs!$E$18/1000</f>
        <v>4.5</v>
      </c>
      <c r="U26" s="124" t="n">
        <f aca="false">U7*Inputs!$E$18/1000</f>
        <v>4.5</v>
      </c>
      <c r="V26" s="124" t="n">
        <f aca="false">V7*Inputs!$E$18/1000</f>
        <v>4.5</v>
      </c>
      <c r="W26" s="124" t="n">
        <f aca="false">W7*Inputs!$E$18/1000</f>
        <v>4.5</v>
      </c>
      <c r="X26" s="124" t="n">
        <f aca="false">X7*Inputs!$E$18/1000</f>
        <v>4.5</v>
      </c>
      <c r="Y26" s="124" t="n">
        <f aca="false">Y7*Inputs!$E$18/1000</f>
        <v>4.5</v>
      </c>
    </row>
    <row r="27" customFormat="false" ht="15" hidden="false" customHeight="true" outlineLevel="0" collapsed="false">
      <c r="A27" s="19" t="s">
        <v>836</v>
      </c>
      <c r="B27" s="15" t="s">
        <v>830</v>
      </c>
      <c r="C27" s="124" t="n">
        <f aca="false">C7*Inputs!$E$19/1000</f>
        <v>2.5</v>
      </c>
      <c r="D27" s="124" t="n">
        <f aca="false">D7*Inputs!$E$19/1000</f>
        <v>2.5</v>
      </c>
      <c r="E27" s="124" t="n">
        <f aca="false">E7*Inputs!$E$19/1000</f>
        <v>2.5</v>
      </c>
      <c r="F27" s="124" t="n">
        <f aca="false">F7*Inputs!$E$19/1000</f>
        <v>2.5</v>
      </c>
      <c r="G27" s="124" t="n">
        <f aca="false">G7*Inputs!$E$19/1000</f>
        <v>2.5</v>
      </c>
      <c r="H27" s="124" t="n">
        <f aca="false">H7*Inputs!$E$19/1000</f>
        <v>2.5</v>
      </c>
      <c r="I27" s="124" t="n">
        <f aca="false">I7*Inputs!$E$19/1000</f>
        <v>2.5</v>
      </c>
      <c r="J27" s="124" t="n">
        <f aca="false">J7*Inputs!$E$19/1000</f>
        <v>2.5</v>
      </c>
      <c r="K27" s="124" t="n">
        <f aca="false">K7*Inputs!$E$19/1000</f>
        <v>2.5</v>
      </c>
      <c r="L27" s="124" t="n">
        <f aca="false">L7*Inputs!$E$19/1000</f>
        <v>2.5</v>
      </c>
      <c r="M27" s="124" t="n">
        <f aca="false">M7*Inputs!$E$19/1000</f>
        <v>2.5</v>
      </c>
      <c r="N27" s="124" t="n">
        <f aca="false">N7*Inputs!$E$19/1000</f>
        <v>2.5</v>
      </c>
      <c r="O27" s="124" t="n">
        <f aca="false">O7*Inputs!$E$19/1000</f>
        <v>2.5</v>
      </c>
      <c r="P27" s="124" t="n">
        <f aca="false">P7*Inputs!$E$19/1000</f>
        <v>2.5</v>
      </c>
      <c r="Q27" s="124" t="n">
        <f aca="false">Q7*Inputs!$E$19/1000</f>
        <v>2.5</v>
      </c>
      <c r="R27" s="124" t="n">
        <f aca="false">R7*Inputs!$E$19/1000</f>
        <v>2.5</v>
      </c>
      <c r="S27" s="124" t="n">
        <f aca="false">S7*Inputs!$E$19/1000</f>
        <v>2.5</v>
      </c>
      <c r="T27" s="124" t="n">
        <f aca="false">T7*Inputs!$E$19/1000</f>
        <v>2.5</v>
      </c>
      <c r="U27" s="124" t="n">
        <f aca="false">U7*Inputs!$E$19/1000</f>
        <v>2.5</v>
      </c>
      <c r="V27" s="124" t="n">
        <f aca="false">V7*Inputs!$E$19/1000</f>
        <v>2.5</v>
      </c>
      <c r="W27" s="124" t="n">
        <f aca="false">W7*Inputs!$E$19/1000</f>
        <v>2.5</v>
      </c>
      <c r="X27" s="124" t="n">
        <f aca="false">X7*Inputs!$E$19/1000</f>
        <v>2.5</v>
      </c>
      <c r="Y27" s="124" t="n">
        <f aca="false">Y7*Inputs!$E$19/1000</f>
        <v>2.5</v>
      </c>
    </row>
    <row r="28" customFormat="false" ht="15" hidden="false" customHeight="true" outlineLevel="0" collapsed="false">
      <c r="A28" s="19" t="s">
        <v>837</v>
      </c>
      <c r="B28" s="15" t="s">
        <v>830</v>
      </c>
      <c r="C28" s="124" t="n">
        <f aca="false">C7*Inputs!$E$20/1000</f>
        <v>0.4</v>
      </c>
      <c r="D28" s="124" t="n">
        <f aca="false">D7*Inputs!$E$20/1000</f>
        <v>0.4</v>
      </c>
      <c r="E28" s="124" t="n">
        <f aca="false">E7*Inputs!$E$20/1000</f>
        <v>0.4</v>
      </c>
      <c r="F28" s="124" t="n">
        <f aca="false">F7*Inputs!$E$20/1000</f>
        <v>0.4</v>
      </c>
      <c r="G28" s="124" t="n">
        <f aca="false">G7*Inputs!$E$20/1000</f>
        <v>0.4</v>
      </c>
      <c r="H28" s="124" t="n">
        <f aca="false">H7*Inputs!$E$20/1000</f>
        <v>0.4</v>
      </c>
      <c r="I28" s="124" t="n">
        <f aca="false">I7*Inputs!$E$20/1000</f>
        <v>0.4</v>
      </c>
      <c r="J28" s="124" t="n">
        <f aca="false">J7*Inputs!$E$20/1000</f>
        <v>0.4</v>
      </c>
      <c r="K28" s="124" t="n">
        <f aca="false">K7*Inputs!$E$20/1000</f>
        <v>0.4</v>
      </c>
      <c r="L28" s="124" t="n">
        <f aca="false">L7*Inputs!$E$20/1000</f>
        <v>0.4</v>
      </c>
      <c r="M28" s="124" t="n">
        <f aca="false">M7*Inputs!$E$20/1000</f>
        <v>0.4</v>
      </c>
      <c r="N28" s="124" t="n">
        <f aca="false">N7*Inputs!$E$20/1000</f>
        <v>0.4</v>
      </c>
      <c r="O28" s="124" t="n">
        <f aca="false">O7*Inputs!$E$20/1000</f>
        <v>0.4</v>
      </c>
      <c r="P28" s="124" t="n">
        <f aca="false">P7*Inputs!$E$20/1000</f>
        <v>0.4</v>
      </c>
      <c r="Q28" s="124" t="n">
        <f aca="false">Q7*Inputs!$E$20/1000</f>
        <v>0.4</v>
      </c>
      <c r="R28" s="124" t="n">
        <f aca="false">R7*Inputs!$E$20/1000</f>
        <v>0.4</v>
      </c>
      <c r="S28" s="124" t="n">
        <f aca="false">S7*Inputs!$E$20/1000</f>
        <v>0.4</v>
      </c>
      <c r="T28" s="124" t="n">
        <f aca="false">T7*Inputs!$E$20/1000</f>
        <v>0.4</v>
      </c>
      <c r="U28" s="124" t="n">
        <f aca="false">U7*Inputs!$E$20/1000</f>
        <v>0.4</v>
      </c>
      <c r="V28" s="124" t="n">
        <f aca="false">V7*Inputs!$E$20/1000</f>
        <v>0.4</v>
      </c>
      <c r="W28" s="124" t="n">
        <f aca="false">W7*Inputs!$E$20/1000</f>
        <v>0.4</v>
      </c>
      <c r="X28" s="124" t="n">
        <f aca="false">X7*Inputs!$E$20/1000</f>
        <v>0.4</v>
      </c>
      <c r="Y28" s="124" t="n">
        <f aca="false">Y7*Inputs!$E$20/1000</f>
        <v>0.4</v>
      </c>
    </row>
    <row r="29" customFormat="false" ht="15" hidden="false" customHeight="true" outlineLevel="0" collapsed="false">
      <c r="A29" s="19" t="s">
        <v>838</v>
      </c>
      <c r="B29" s="15" t="s">
        <v>71</v>
      </c>
      <c r="C29" s="25" t="n">
        <f aca="false">Inputs!$E$21</f>
        <v>0.15</v>
      </c>
      <c r="D29" s="25" t="n">
        <f aca="false">Inputs!$E$21</f>
        <v>0.15</v>
      </c>
      <c r="E29" s="25" t="n">
        <f aca="false">Inputs!$E$21</f>
        <v>0.15</v>
      </c>
      <c r="F29" s="25" t="n">
        <f aca="false">Inputs!$E$21</f>
        <v>0.15</v>
      </c>
      <c r="G29" s="25" t="n">
        <f aca="false">Inputs!$E$21</f>
        <v>0.15</v>
      </c>
      <c r="H29" s="25" t="n">
        <f aca="false">Inputs!$E$21</f>
        <v>0.15</v>
      </c>
      <c r="I29" s="25" t="n">
        <f aca="false">Inputs!$E$21</f>
        <v>0.15</v>
      </c>
      <c r="J29" s="25" t="n">
        <f aca="false">Inputs!$E$21</f>
        <v>0.15</v>
      </c>
      <c r="K29" s="25" t="n">
        <f aca="false">Inputs!$E$21</f>
        <v>0.15</v>
      </c>
      <c r="L29" s="25" t="n">
        <f aca="false">Inputs!$E$21</f>
        <v>0.15</v>
      </c>
      <c r="M29" s="25" t="n">
        <f aca="false">Inputs!$E$21</f>
        <v>0.15</v>
      </c>
      <c r="N29" s="25" t="n">
        <f aca="false">Inputs!$E$21</f>
        <v>0.15</v>
      </c>
      <c r="O29" s="25" t="n">
        <f aca="false">Inputs!$E$21</f>
        <v>0.15</v>
      </c>
      <c r="P29" s="25" t="n">
        <f aca="false">Inputs!$E$21</f>
        <v>0.15</v>
      </c>
      <c r="Q29" s="25" t="n">
        <f aca="false">Inputs!$E$21</f>
        <v>0.15</v>
      </c>
      <c r="R29" s="25" t="n">
        <f aca="false">Inputs!$E$21</f>
        <v>0.15</v>
      </c>
      <c r="S29" s="25" t="n">
        <f aca="false">Inputs!$E$21</f>
        <v>0.15</v>
      </c>
      <c r="T29" s="25" t="n">
        <f aca="false">Inputs!$E$21</f>
        <v>0.15</v>
      </c>
      <c r="U29" s="25" t="n">
        <f aca="false">Inputs!$E$21</f>
        <v>0.15</v>
      </c>
      <c r="V29" s="25" t="n">
        <f aca="false">Inputs!$E$21</f>
        <v>0.15</v>
      </c>
      <c r="W29" s="25" t="n">
        <f aca="false">Inputs!$E$21</f>
        <v>0.15</v>
      </c>
      <c r="X29" s="25" t="n">
        <f aca="false">Inputs!$E$21</f>
        <v>0.15</v>
      </c>
      <c r="Y29" s="25" t="n">
        <f aca="false">Inputs!$E$21</f>
        <v>0.15</v>
      </c>
    </row>
    <row r="30" customFormat="false" ht="15" hidden="false" customHeight="true" outlineLevel="0" collapsed="false">
      <c r="A30" s="19" t="s">
        <v>101</v>
      </c>
      <c r="B30" s="15" t="s">
        <v>830</v>
      </c>
      <c r="C30" s="124" t="n">
        <f aca="false">(C25+C26+C27+C28)*C29</f>
        <v>1.65</v>
      </c>
      <c r="D30" s="124" t="n">
        <f aca="false">(D25+D26+D27+D28)*D29</f>
        <v>1.65</v>
      </c>
      <c r="E30" s="124" t="n">
        <f aca="false">(E25+E26+E27+E28)*E29</f>
        <v>1.65</v>
      </c>
      <c r="F30" s="124" t="n">
        <f aca="false">(F25+F26+F27+F28)*F29</f>
        <v>1.65</v>
      </c>
      <c r="G30" s="124" t="n">
        <f aca="false">(G25+G26+G27+G28)*G29</f>
        <v>1.65</v>
      </c>
      <c r="H30" s="124" t="n">
        <f aca="false">(H25+H26+H27+H28)*H29</f>
        <v>1.65</v>
      </c>
      <c r="I30" s="124" t="n">
        <f aca="false">(I25+I26+I27+I28)*I29</f>
        <v>1.65</v>
      </c>
      <c r="J30" s="124" t="n">
        <f aca="false">(J25+J26+J27+J28)*J29</f>
        <v>1.56</v>
      </c>
      <c r="K30" s="124" t="n">
        <f aca="false">(K25+K26+K27+K28)*K29</f>
        <v>1.785</v>
      </c>
      <c r="L30" s="124" t="n">
        <f aca="false">(L25+L26+L27+L28)*L29</f>
        <v>1.545</v>
      </c>
      <c r="M30" s="124" t="n">
        <f aca="false">(M25+M26+M27+M28)*M29</f>
        <v>1.8</v>
      </c>
      <c r="N30" s="124" t="n">
        <f aca="false">(N25+N26+N27+N28)*N29</f>
        <v>1.65</v>
      </c>
      <c r="O30" s="124" t="n">
        <f aca="false">(O25+O26+O27+O28)*O29</f>
        <v>1.65</v>
      </c>
      <c r="P30" s="124" t="n">
        <f aca="false">(P25+P26+P27+P28)*P29</f>
        <v>1.65</v>
      </c>
      <c r="Q30" s="124" t="n">
        <f aca="false">(Q25+Q26+Q27+Q28)*Q29</f>
        <v>1.65</v>
      </c>
      <c r="R30" s="124" t="n">
        <f aca="false">(R25+R26+R27+R28)*R29</f>
        <v>1.65</v>
      </c>
      <c r="S30" s="124" t="n">
        <f aca="false">(S25+S26+S27+S28)*S29</f>
        <v>1.65</v>
      </c>
      <c r="T30" s="124" t="n">
        <f aca="false">(T25+T26+T27+T28)*T29</f>
        <v>1.65</v>
      </c>
      <c r="U30" s="124" t="n">
        <f aca="false">(U25+U26+U27+U28)*U29</f>
        <v>1.65</v>
      </c>
      <c r="V30" s="124" t="n">
        <f aca="false">(V25+V26+V27+V28)*V29</f>
        <v>1.65</v>
      </c>
      <c r="W30" s="124" t="n">
        <f aca="false">(W25+W26+W27+W28)*W29</f>
        <v>1.65</v>
      </c>
      <c r="X30" s="124" t="n">
        <f aca="false">(X25+X26+X27+X28)*X29</f>
        <v>1.65</v>
      </c>
      <c r="Y30" s="124" t="n">
        <f aca="false">(Y25+Y26+Y27+Y28)*Y29</f>
        <v>1.65</v>
      </c>
    </row>
    <row r="31" customFormat="false" ht="15" hidden="false" customHeight="true" outlineLevel="0" collapsed="false">
      <c r="A31" s="19" t="s">
        <v>839</v>
      </c>
      <c r="B31" s="15" t="s">
        <v>830</v>
      </c>
      <c r="C31" s="124" t="n">
        <f aca="false">C24+C25+C26+C27+C28+C30</f>
        <v>12.67</v>
      </c>
      <c r="D31" s="124" t="n">
        <f aca="false">D24+D25+D26+D27+D28+D30</f>
        <v>12.67</v>
      </c>
      <c r="E31" s="124" t="n">
        <f aca="false">E24+E25+E26+E27+E28+E30</f>
        <v>12.67</v>
      </c>
      <c r="F31" s="124" t="n">
        <f aca="false">F24+F25+F26+F27+F28+F30</f>
        <v>12.67</v>
      </c>
      <c r="G31" s="124" t="n">
        <f aca="false">G24+G25+G26+G27+G28+G30</f>
        <v>12.67</v>
      </c>
      <c r="H31" s="124" t="n">
        <f aca="false">H24+H25+H26+H27+H28+H30</f>
        <v>12.67</v>
      </c>
      <c r="I31" s="124" t="n">
        <f aca="false">I24+I25+I26+I27+I28+I30</f>
        <v>12.67</v>
      </c>
      <c r="J31" s="124" t="n">
        <f aca="false">J24+J25+J26+J27+J28+J30</f>
        <v>11.98</v>
      </c>
      <c r="K31" s="124" t="n">
        <f aca="false">K24+K25+K26+K27+K28+K30</f>
        <v>13.705</v>
      </c>
      <c r="L31" s="124" t="n">
        <f aca="false">L24+L25+L26+L27+L28+L30</f>
        <v>11.865</v>
      </c>
      <c r="M31" s="124" t="n">
        <f aca="false">M24+M25+M26+M27+M28+M30</f>
        <v>13.82</v>
      </c>
      <c r="N31" s="124" t="n">
        <f aca="false">N24+N25+N26+N27+N28+N30</f>
        <v>12.67</v>
      </c>
      <c r="O31" s="124" t="n">
        <f aca="false">O24+O25+O26+O27+O28+O30</f>
        <v>12.67</v>
      </c>
      <c r="P31" s="124" t="n">
        <f aca="false">P24+P25+P26+P27+P28+P30</f>
        <v>12.67</v>
      </c>
      <c r="Q31" s="124" t="n">
        <f aca="false">Q24+Q25+Q26+Q27+Q28+Q30</f>
        <v>12.67</v>
      </c>
      <c r="R31" s="124" t="n">
        <f aca="false">R24+R25+R26+R27+R28+R30</f>
        <v>12.67</v>
      </c>
      <c r="S31" s="124" t="n">
        <f aca="false">S24+S25+S26+S27+S28+S30</f>
        <v>12.67</v>
      </c>
      <c r="T31" s="124" t="n">
        <f aca="false">T24+T25+T26+T27+T28+T30</f>
        <v>12.67</v>
      </c>
      <c r="U31" s="124" t="n">
        <f aca="false">U24+U25+U26+U27+U28+U30</f>
        <v>12.67</v>
      </c>
      <c r="V31" s="124" t="n">
        <f aca="false">V24+V25+V26+V27+V28+V30</f>
        <v>12.67</v>
      </c>
      <c r="W31" s="124" t="n">
        <f aca="false">W24+W25+W26+W27+W28+W30</f>
        <v>12.67</v>
      </c>
      <c r="X31" s="124" t="n">
        <f aca="false">X24+X25+X26+X27+X28+X30</f>
        <v>12.67</v>
      </c>
      <c r="Y31" s="124" t="n">
        <f aca="false">Y24+Y25+Y26+Y27+Y28+Y30</f>
        <v>12.67</v>
      </c>
    </row>
    <row r="32" customFormat="false" ht="15" hidden="false" customHeight="true" outlineLevel="0" collapsed="false">
      <c r="A32" s="19" t="s">
        <v>2367</v>
      </c>
      <c r="B32" s="15" t="s">
        <v>830</v>
      </c>
      <c r="C32" s="125" t="n">
        <f aca="false">C23+C31</f>
        <v>50.256352</v>
      </c>
      <c r="D32" s="125" t="n">
        <f aca="false">D23+D31</f>
        <v>47.582032</v>
      </c>
      <c r="E32" s="125" t="n">
        <f aca="false">E23+E31</f>
        <v>53.376392</v>
      </c>
      <c r="F32" s="125" t="n">
        <f aca="false">F23+F31</f>
        <v>58.057468</v>
      </c>
      <c r="G32" s="125" t="n">
        <f aca="false">G23+G31</f>
        <v>49.774</v>
      </c>
      <c r="H32" s="125" t="n">
        <f aca="false">H23+H31</f>
        <v>48.554512</v>
      </c>
      <c r="I32" s="125" t="n">
        <f aca="false">I23+I31</f>
        <v>51.958192</v>
      </c>
      <c r="J32" s="125" t="n">
        <f aca="false">J23+J31</f>
        <v>49.566352</v>
      </c>
      <c r="K32" s="125" t="n">
        <f aca="false">K23+K31</f>
        <v>51.291352</v>
      </c>
      <c r="L32" s="125" t="n">
        <f aca="false">L23+L31</f>
        <v>49.451352</v>
      </c>
      <c r="M32" s="125" t="n">
        <f aca="false">M23+M31</f>
        <v>51.406352</v>
      </c>
      <c r="N32" s="125" t="n">
        <f aca="false">N23+N31</f>
        <v>50.256352</v>
      </c>
      <c r="O32" s="125" t="n">
        <f aca="false">O23+O31</f>
        <v>50.256352</v>
      </c>
      <c r="P32" s="125" t="n">
        <f aca="false">P23+P31</f>
        <v>50.256352</v>
      </c>
      <c r="Q32" s="125" t="n">
        <f aca="false">Q23+Q31</f>
        <v>50.256352</v>
      </c>
      <c r="R32" s="125" t="n">
        <f aca="false">R23+R31</f>
        <v>50.256352</v>
      </c>
      <c r="S32" s="125" t="n">
        <f aca="false">S23+S31</f>
        <v>50.256352</v>
      </c>
      <c r="T32" s="125" t="n">
        <f aca="false">T23+T31</f>
        <v>50.256352</v>
      </c>
      <c r="U32" s="125" t="n">
        <f aca="false">U23+U31</f>
        <v>50.256352</v>
      </c>
      <c r="V32" s="125" t="n">
        <f aca="false">V23+V31</f>
        <v>50.256352</v>
      </c>
      <c r="W32" s="125" t="n">
        <f aca="false">W23+W31</f>
        <v>50.256352</v>
      </c>
      <c r="X32" s="125" t="n">
        <f aca="false">X23+X31</f>
        <v>51.49006</v>
      </c>
      <c r="Y32" s="125" t="n">
        <f aca="false">Y23+Y31</f>
        <v>48.623776</v>
      </c>
    </row>
    <row r="33" customFormat="false" ht="15" hidden="false" customHeight="true" outlineLevel="0" collapsed="false">
      <c r="A33" s="19" t="s">
        <v>841</v>
      </c>
      <c r="B33" s="15" t="s">
        <v>842</v>
      </c>
      <c r="C33" s="30" t="n">
        <f aca="false">C32*1000000/C13</f>
        <v>172.261818580673</v>
      </c>
      <c r="D33" s="30" t="n">
        <f aca="false">D32*1000000/D13</f>
        <v>163.095151914007</v>
      </c>
      <c r="E33" s="30" t="n">
        <f aca="false">E32*1000000/E13</f>
        <v>182.956263025118</v>
      </c>
      <c r="F33" s="30" t="n">
        <f aca="false">F32*1000000/F13</f>
        <v>164.79740899698</v>
      </c>
      <c r="G33" s="30" t="n">
        <f aca="false">G32*1000000/G13</f>
        <v>172.826388888889</v>
      </c>
      <c r="H33" s="30" t="n">
        <f aca="false">H32*1000000/H13</f>
        <v>166.42848524734</v>
      </c>
      <c r="I33" s="30" t="n">
        <f aca="false">I32*1000000/I13</f>
        <v>178.095151914007</v>
      </c>
      <c r="J33" s="30" t="n">
        <f aca="false">J32*1000000/J13</f>
        <v>169.896731380937</v>
      </c>
      <c r="K33" s="30" t="n">
        <f aca="false">K32*1000000/K13</f>
        <v>175.809449380279</v>
      </c>
      <c r="L33" s="30" t="n">
        <f aca="false">L32*1000000/L13</f>
        <v>169.502550180981</v>
      </c>
      <c r="M33" s="30" t="n">
        <f aca="false">M32*1000000/M13</f>
        <v>176.203630580235</v>
      </c>
      <c r="N33" s="30" t="n">
        <f aca="false">N32*1000000/N13</f>
        <v>172.261818580673</v>
      </c>
      <c r="O33" s="30" t="n">
        <f aca="false">O32*1000000/O13</f>
        <v>172.261818580673</v>
      </c>
      <c r="P33" s="30" t="n">
        <f aca="false">P32*1000000/P13</f>
        <v>172.261818580673</v>
      </c>
      <c r="Q33" s="30" t="n">
        <f aca="false">Q32*1000000/Q13</f>
        <v>172.261818580673</v>
      </c>
      <c r="R33" s="30" t="n">
        <f aca="false">R32*1000000/R13</f>
        <v>172.261818580673</v>
      </c>
      <c r="S33" s="30" t="n">
        <f aca="false">S32*1000000/S13</f>
        <v>172.261818580673</v>
      </c>
      <c r="T33" s="30" t="n">
        <f aca="false">T32*1000000/T13</f>
        <v>172.261818580673</v>
      </c>
      <c r="U33" s="30" t="n">
        <f aca="false">U32*1000000/U13</f>
        <v>172.261818580673</v>
      </c>
      <c r="V33" s="30" t="n">
        <f aca="false">V32*1000000/V13</f>
        <v>172.261818580673</v>
      </c>
      <c r="W33" s="30" t="n">
        <f aca="false">W32*1000000/W13</f>
        <v>172.261818580673</v>
      </c>
      <c r="X33" s="30" t="n">
        <f aca="false">X32*1000000/X13</f>
        <v>170.881654055489</v>
      </c>
      <c r="Y33" s="30" t="n">
        <f aca="false">Y32*1000000/Y13</f>
        <v>174.233803462906</v>
      </c>
    </row>
    <row r="34" customFormat="false" ht="15" hidden="false" customHeight="true" outlineLevel="0" collapsed="false">
      <c r="A34" s="19" t="s">
        <v>843</v>
      </c>
      <c r="B34" s="15" t="s">
        <v>828</v>
      </c>
      <c r="C34" s="30" t="n">
        <f aca="false">C32*1000/C7</f>
        <v>50.256352</v>
      </c>
      <c r="D34" s="30" t="n">
        <f aca="false">D32*1000/D7</f>
        <v>47.582032</v>
      </c>
      <c r="E34" s="30" t="n">
        <f aca="false">E32*1000/E7</f>
        <v>53.376392</v>
      </c>
      <c r="F34" s="30" t="n">
        <f aca="false">F32*1000/F7</f>
        <v>58.057468</v>
      </c>
      <c r="G34" s="30" t="n">
        <f aca="false">G32*1000/G7</f>
        <v>49.774</v>
      </c>
      <c r="H34" s="30" t="n">
        <f aca="false">H32*1000/H7</f>
        <v>48.554512</v>
      </c>
      <c r="I34" s="30" t="n">
        <f aca="false">I32*1000/I7</f>
        <v>51.958192</v>
      </c>
      <c r="J34" s="30" t="n">
        <f aca="false">J32*1000/J7</f>
        <v>49.566352</v>
      </c>
      <c r="K34" s="30" t="n">
        <f aca="false">K32*1000/K7</f>
        <v>51.291352</v>
      </c>
      <c r="L34" s="30" t="n">
        <f aca="false">L32*1000/L7</f>
        <v>49.451352</v>
      </c>
      <c r="M34" s="30" t="n">
        <f aca="false">M32*1000/M7</f>
        <v>51.406352</v>
      </c>
      <c r="N34" s="30" t="n">
        <f aca="false">N32*1000/N7</f>
        <v>50.256352</v>
      </c>
      <c r="O34" s="30" t="n">
        <f aca="false">O32*1000/O7</f>
        <v>50.256352</v>
      </c>
      <c r="P34" s="30" t="n">
        <f aca="false">P32*1000/P7</f>
        <v>50.256352</v>
      </c>
      <c r="Q34" s="30" t="n">
        <f aca="false">Q32*1000/Q7</f>
        <v>50.256352</v>
      </c>
      <c r="R34" s="30" t="n">
        <f aca="false">R32*1000/R7</f>
        <v>50.256352</v>
      </c>
      <c r="S34" s="30" t="n">
        <f aca="false">S32*1000/S7</f>
        <v>50.256352</v>
      </c>
      <c r="T34" s="30" t="n">
        <f aca="false">T32*1000/T7</f>
        <v>50.256352</v>
      </c>
      <c r="U34" s="30" t="n">
        <f aca="false">U32*1000/U7</f>
        <v>50.256352</v>
      </c>
      <c r="V34" s="30" t="n">
        <f aca="false">V32*1000/V7</f>
        <v>50.256352</v>
      </c>
      <c r="W34" s="30" t="n">
        <f aca="false">W32*1000/W7</f>
        <v>50.256352</v>
      </c>
      <c r="X34" s="30" t="n">
        <f aca="false">X32*1000/X7</f>
        <v>51.49006</v>
      </c>
      <c r="Y34" s="30" t="n">
        <f aca="false">Y32*1000/Y7</f>
        <v>48.623776</v>
      </c>
    </row>
    <row r="35" customFormat="false" ht="15" hidden="false" customHeight="true" outlineLevel="0" collapsed="false">
      <c r="A35" s="19" t="s">
        <v>844</v>
      </c>
      <c r="B35" s="15" t="s">
        <v>828</v>
      </c>
      <c r="C35" s="124" t="n">
        <f aca="false">C31*1000/C7</f>
        <v>12.67</v>
      </c>
      <c r="D35" s="124" t="n">
        <f aca="false">D31*1000/D7</f>
        <v>12.67</v>
      </c>
      <c r="E35" s="124" t="n">
        <f aca="false">E31*1000/E7</f>
        <v>12.67</v>
      </c>
      <c r="F35" s="124" t="n">
        <f aca="false">F31*1000/F7</f>
        <v>12.67</v>
      </c>
      <c r="G35" s="124" t="n">
        <f aca="false">G31*1000/G7</f>
        <v>12.67</v>
      </c>
      <c r="H35" s="124" t="n">
        <f aca="false">H31*1000/H7</f>
        <v>12.67</v>
      </c>
      <c r="I35" s="124" t="n">
        <f aca="false">I31*1000/I7</f>
        <v>12.67</v>
      </c>
      <c r="J35" s="124" t="n">
        <f aca="false">J31*1000/J7</f>
        <v>11.98</v>
      </c>
      <c r="K35" s="124" t="n">
        <f aca="false">K31*1000/K7</f>
        <v>13.705</v>
      </c>
      <c r="L35" s="124" t="n">
        <f aca="false">L31*1000/L7</f>
        <v>11.865</v>
      </c>
      <c r="M35" s="124" t="n">
        <f aca="false">M31*1000/M7</f>
        <v>13.82</v>
      </c>
      <c r="N35" s="124" t="n">
        <f aca="false">N31*1000/N7</f>
        <v>12.67</v>
      </c>
      <c r="O35" s="124" t="n">
        <f aca="false">O31*1000/O7</f>
        <v>12.67</v>
      </c>
      <c r="P35" s="124" t="n">
        <f aca="false">P31*1000/P7</f>
        <v>12.67</v>
      </c>
      <c r="Q35" s="124" t="n">
        <f aca="false">Q31*1000/Q7</f>
        <v>12.67</v>
      </c>
      <c r="R35" s="124" t="n">
        <f aca="false">R31*1000/R7</f>
        <v>12.67</v>
      </c>
      <c r="S35" s="124" t="n">
        <f aca="false">S31*1000/S7</f>
        <v>12.67</v>
      </c>
      <c r="T35" s="124" t="n">
        <f aca="false">T31*1000/T7</f>
        <v>12.67</v>
      </c>
      <c r="U35" s="124" t="n">
        <f aca="false">U31*1000/U7</f>
        <v>12.67</v>
      </c>
      <c r="V35" s="124" t="n">
        <f aca="false">V31*1000/V7</f>
        <v>12.67</v>
      </c>
      <c r="W35" s="124" t="n">
        <f aca="false">W31*1000/W7</f>
        <v>12.67</v>
      </c>
      <c r="X35" s="124" t="n">
        <f aca="false">X31*1000/X7</f>
        <v>12.67</v>
      </c>
      <c r="Y35" s="124" t="n">
        <f aca="false">Y31*1000/Y7</f>
        <v>12.67</v>
      </c>
    </row>
    <row r="36" customFormat="false" ht="15" hidden="false" customHeight="true" outlineLevel="0" collapsed="false">
      <c r="A36" s="24" t="s">
        <v>2368</v>
      </c>
      <c r="B36" s="13"/>
      <c r="C36" s="13"/>
    </row>
    <row r="37" customFormat="false" ht="15" hidden="false" customHeight="true" outlineLevel="0" collapsed="false">
      <c r="A37" s="14" t="s">
        <v>846</v>
      </c>
      <c r="B37" s="20" t="s">
        <v>106</v>
      </c>
      <c r="C37" s="126" t="n">
        <f aca="false">Inputs!$E$23</f>
        <v>6</v>
      </c>
      <c r="D37" s="126" t="n">
        <f aca="false">Inputs!$E$23</f>
        <v>6</v>
      </c>
      <c r="E37" s="126" t="n">
        <f aca="false">Inputs!$E$23</f>
        <v>6</v>
      </c>
      <c r="F37" s="126" t="n">
        <f aca="false">Inputs!$E$23</f>
        <v>6</v>
      </c>
      <c r="G37" s="126" t="n">
        <f aca="false">Inputs!$E$23</f>
        <v>6</v>
      </c>
      <c r="H37" s="126" t="n">
        <f aca="false">Inputs!$E$23</f>
        <v>6</v>
      </c>
      <c r="I37" s="126" t="n">
        <f aca="false">Inputs!$E$23</f>
        <v>6</v>
      </c>
      <c r="J37" s="126" t="n">
        <f aca="false">Inputs!$E$23</f>
        <v>6</v>
      </c>
      <c r="K37" s="126" t="n">
        <f aca="false">Inputs!$E$23</f>
        <v>6</v>
      </c>
      <c r="L37" s="126" t="n">
        <f aca="false">Inputs!$E$23</f>
        <v>6</v>
      </c>
      <c r="M37" s="126" t="n">
        <f aca="false">Inputs!$E$23</f>
        <v>6</v>
      </c>
      <c r="N37" s="199" t="n">
        <v>7</v>
      </c>
      <c r="O37" s="126" t="n">
        <f aca="false">Inputs!$F$23</f>
        <v>4</v>
      </c>
      <c r="P37" s="126" t="n">
        <f aca="false">Inputs!$E$23</f>
        <v>6</v>
      </c>
      <c r="Q37" s="126" t="n">
        <f aca="false">Inputs!$E$23</f>
        <v>6</v>
      </c>
      <c r="R37" s="126" t="n">
        <f aca="false">Inputs!$E$23</f>
        <v>6</v>
      </c>
      <c r="S37" s="126" t="n">
        <f aca="false">Inputs!$E$23</f>
        <v>6</v>
      </c>
      <c r="T37" s="126" t="n">
        <f aca="false">Inputs!$E$23</f>
        <v>6</v>
      </c>
      <c r="U37" s="126" t="n">
        <f aca="false">Inputs!$E$23</f>
        <v>6</v>
      </c>
      <c r="V37" s="126" t="n">
        <f aca="false">Inputs!$E$23</f>
        <v>6</v>
      </c>
      <c r="W37" s="126" t="n">
        <f aca="false">Inputs!$E$23</f>
        <v>6</v>
      </c>
      <c r="X37" s="126" t="n">
        <f aca="false">Inputs!$E$23</f>
        <v>6</v>
      </c>
      <c r="Y37" s="126" t="n">
        <f aca="false">Inputs!$E$23</f>
        <v>6</v>
      </c>
    </row>
    <row r="38" customFormat="false" ht="15" hidden="false" customHeight="true" outlineLevel="0" collapsed="false">
      <c r="A38" s="14" t="s">
        <v>847</v>
      </c>
      <c r="B38" s="15" t="s">
        <v>830</v>
      </c>
      <c r="C38" s="124" t="n">
        <f aca="false">C23/C37</f>
        <v>6.264392</v>
      </c>
      <c r="D38" s="124" t="n">
        <f aca="false">D23/D37</f>
        <v>5.818672</v>
      </c>
      <c r="E38" s="124" t="n">
        <f aca="false">E23/E37</f>
        <v>6.78439866666667</v>
      </c>
      <c r="F38" s="124" t="n">
        <f aca="false">F23/F37</f>
        <v>7.564578</v>
      </c>
      <c r="G38" s="124" t="n">
        <f aca="false">G23/G37</f>
        <v>6.184</v>
      </c>
      <c r="H38" s="124" t="n">
        <f aca="false">H23/H37</f>
        <v>5.980752</v>
      </c>
      <c r="I38" s="124" t="n">
        <f aca="false">I23/I37</f>
        <v>6.548032</v>
      </c>
      <c r="J38" s="124" t="n">
        <f aca="false">J23/J37</f>
        <v>6.264392</v>
      </c>
      <c r="K38" s="124" t="n">
        <f aca="false">K23/K37</f>
        <v>6.264392</v>
      </c>
      <c r="L38" s="124" t="n">
        <f aca="false">L23/L37</f>
        <v>6.264392</v>
      </c>
      <c r="M38" s="124" t="n">
        <f aca="false">M23/M37</f>
        <v>6.264392</v>
      </c>
      <c r="N38" s="124" t="n">
        <f aca="false">N23/N37</f>
        <v>5.36947885714286</v>
      </c>
      <c r="O38" s="124" t="n">
        <f aca="false">O23/O37</f>
        <v>9.396588</v>
      </c>
      <c r="P38" s="124" t="n">
        <f aca="false">P23/P37</f>
        <v>6.264392</v>
      </c>
      <c r="Q38" s="124" t="n">
        <f aca="false">Q23/Q37</f>
        <v>6.264392</v>
      </c>
      <c r="R38" s="124" t="n">
        <f aca="false">R23/R37</f>
        <v>6.264392</v>
      </c>
      <c r="S38" s="124" t="n">
        <f aca="false">S23/S37</f>
        <v>6.264392</v>
      </c>
      <c r="T38" s="124" t="n">
        <f aca="false">T23/T37</f>
        <v>6.264392</v>
      </c>
      <c r="U38" s="124" t="n">
        <f aca="false">U23/U37</f>
        <v>6.264392</v>
      </c>
      <c r="V38" s="124" t="n">
        <f aca="false">V23/V37</f>
        <v>6.264392</v>
      </c>
      <c r="W38" s="124" t="n">
        <f aca="false">W23/W37</f>
        <v>6.264392</v>
      </c>
      <c r="X38" s="124" t="n">
        <f aca="false">X23/X37</f>
        <v>6.47001</v>
      </c>
      <c r="Y38" s="124" t="n">
        <f aca="false">Y23/Y37</f>
        <v>5.992296</v>
      </c>
    </row>
    <row r="39" customFormat="false" ht="15" hidden="false" customHeight="true" outlineLevel="0" collapsed="false">
      <c r="A39" s="19" t="s">
        <v>848</v>
      </c>
      <c r="B39" s="15" t="s">
        <v>830</v>
      </c>
      <c r="C39" s="124" t="n">
        <f aca="false">(C25/Inputs!$E$24+C26/Inputs!$E$25+C27/Inputs!$E$26+C28/Inputs!$E$27)*(1+C29)</f>
        <v>0.634416666666667</v>
      </c>
      <c r="D39" s="124" t="n">
        <f aca="false">(D25/Inputs!$E$24+D26/Inputs!$E$25+D27/Inputs!$E$26+D28/Inputs!$E$27)*(1+D29)</f>
        <v>0.634416666666667</v>
      </c>
      <c r="E39" s="124" t="n">
        <f aca="false">(E25/Inputs!$E$24+E26/Inputs!$E$25+E27/Inputs!$E$26+E28/Inputs!$E$27)*(1+E29)</f>
        <v>0.634416666666667</v>
      </c>
      <c r="F39" s="124" t="n">
        <f aca="false">(F25/Inputs!$E$24+F26/Inputs!$E$25+F27/Inputs!$E$26+F28/Inputs!$E$27)*(1+F29)</f>
        <v>0.634416666666667</v>
      </c>
      <c r="G39" s="124" t="n">
        <f aca="false">(G25/Inputs!$E$24+G26/Inputs!$E$25+G27/Inputs!$E$26+G28/Inputs!$E$27)*(1+G29)</f>
        <v>0.634416666666667</v>
      </c>
      <c r="H39" s="124" t="n">
        <f aca="false">(H25/Inputs!$E$24+H26/Inputs!$E$25+H27/Inputs!$E$26+H28/Inputs!$E$27)*(1+H29)</f>
        <v>0.634416666666667</v>
      </c>
      <c r="I39" s="124" t="n">
        <f aca="false">(I25/Inputs!$E$24+I26/Inputs!$E$25+I27/Inputs!$E$26+I28/Inputs!$E$27)*(1+I29)</f>
        <v>0.634416666666667</v>
      </c>
      <c r="J39" s="124" t="n">
        <f aca="false">(J25/Inputs!$E$24+J26/Inputs!$E$25+J27/Inputs!$E$26+J28/Inputs!$E$27)*(1+J29)</f>
        <v>0.611416666666667</v>
      </c>
      <c r="K39" s="124" t="n">
        <f aca="false">(K25/Inputs!$E$24+K26/Inputs!$E$25+K27/Inputs!$E$26+K28/Inputs!$E$27)*(1+K29)</f>
        <v>0.668916666666667</v>
      </c>
      <c r="L39" s="124" t="n">
        <f aca="false">(L25/Inputs!$E$24+L26/Inputs!$E$25+L27/Inputs!$E$26+L28/Inputs!$E$27)*(1+L29)</f>
        <v>0.594166666666667</v>
      </c>
      <c r="M39" s="124" t="n">
        <f aca="false">(M25/Inputs!$E$24+M26/Inputs!$E$25+M27/Inputs!$E$26+M28/Inputs!$E$27)*(1+M29)</f>
        <v>0.691916666666667</v>
      </c>
      <c r="N39" s="124" t="n">
        <f aca="false">(N25/Inputs!$E$24+N26/Inputs!$E$25+N27/Inputs!$E$26+N28/Inputs!$E$27)*(1+N29)</f>
        <v>0.634416666666667</v>
      </c>
      <c r="O39" s="124" t="n">
        <f aca="false">(O25/Inputs!$E$24+O26/Inputs!$E$25+O27/Inputs!$E$26+O28/Inputs!$E$27)*(1+O29)</f>
        <v>0.634416666666667</v>
      </c>
      <c r="P39" s="124" t="n">
        <f aca="false">(P25/Inputs!$E$24+P26/Inputs!$E$25+P27/Inputs!$E$26+P28/Inputs!$E$27)*(1+P29)</f>
        <v>0.634416666666667</v>
      </c>
      <c r="Q39" s="124" t="n">
        <f aca="false">(Q25/Inputs!$E$24+Q26/Inputs!$E$25+Q27/Inputs!$E$26+Q28/Inputs!$E$27)*(1+Q29)</f>
        <v>0.634416666666667</v>
      </c>
      <c r="R39" s="124" t="n">
        <f aca="false">(R25/Inputs!$E$24+R26/Inputs!$E$25+R27/Inputs!$E$26+R28/Inputs!$E$27)*(1+R29)</f>
        <v>0.634416666666667</v>
      </c>
      <c r="S39" s="124" t="n">
        <f aca="false">(S25/Inputs!$E$24+S26/Inputs!$E$25+S27/Inputs!$E$26+S28/Inputs!$E$27)*(1+S29)</f>
        <v>0.634416666666667</v>
      </c>
      <c r="T39" s="124" t="n">
        <f aca="false">(T25/Inputs!$E$24+T26/Inputs!$E$25+T27/Inputs!$E$26+T28/Inputs!$E$27)*(1+T29)</f>
        <v>0.634416666666667</v>
      </c>
      <c r="U39" s="124" t="n">
        <f aca="false">(U25/Inputs!$E$24+U26/Inputs!$E$25+U27/Inputs!$E$26+U28/Inputs!$E$27)*(1+U29)</f>
        <v>0.634416666666667</v>
      </c>
      <c r="V39" s="124" t="n">
        <f aca="false">(V25/Inputs!$E$24+V26/Inputs!$E$25+V27/Inputs!$E$26+V28/Inputs!$E$27)*(1+V29)</f>
        <v>0.634416666666667</v>
      </c>
      <c r="W39" s="124" t="n">
        <f aca="false">(W25/Inputs!$E$24+W26/Inputs!$E$25+W27/Inputs!$E$26+W28/Inputs!$E$27)*(1+W29)</f>
        <v>0.634416666666667</v>
      </c>
      <c r="X39" s="124" t="n">
        <f aca="false">(X25/Inputs!$E$24+X26/Inputs!$E$25+X27/Inputs!$E$26+X28/Inputs!$E$27)*(1+X29)</f>
        <v>0.634416666666667</v>
      </c>
      <c r="Y39" s="124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19" t="s">
        <v>78</v>
      </c>
      <c r="B40" s="15" t="s">
        <v>71</v>
      </c>
      <c r="C40" s="25" t="n">
        <f aca="false">Inputs!$E$10</f>
        <v>0.8</v>
      </c>
      <c r="D40" s="25" t="n">
        <f aca="false">Inputs!$E$10</f>
        <v>0.8</v>
      </c>
      <c r="E40" s="25" t="n">
        <f aca="false">Inputs!$E$10</f>
        <v>0.8</v>
      </c>
      <c r="F40" s="25" t="n">
        <f aca="false">Inputs!$E$10</f>
        <v>0.8</v>
      </c>
      <c r="G40" s="25" t="n">
        <f aca="false">Inputs!$E$10</f>
        <v>0.8</v>
      </c>
      <c r="H40" s="25" t="n">
        <f aca="false">Inputs!$E$10</f>
        <v>0.8</v>
      </c>
      <c r="I40" s="25" t="n">
        <f aca="false">Inputs!$E$10</f>
        <v>0.8</v>
      </c>
      <c r="J40" s="25" t="n">
        <f aca="false">Inputs!$E$10</f>
        <v>0.8</v>
      </c>
      <c r="K40" s="25" t="n">
        <f aca="false">Inputs!$E$10</f>
        <v>0.8</v>
      </c>
      <c r="L40" s="25" t="n">
        <f aca="false">Inputs!$E$10</f>
        <v>0.8</v>
      </c>
      <c r="M40" s="25" t="n">
        <f aca="false">Inputs!$E$10</f>
        <v>0.8</v>
      </c>
      <c r="N40" s="25" t="n">
        <f aca="false">Inputs!$E$10</f>
        <v>0.8</v>
      </c>
      <c r="O40" s="25" t="n">
        <f aca="false">Inputs!$E$10</f>
        <v>0.8</v>
      </c>
      <c r="P40" s="25" t="n">
        <f aca="false">Inputs!$E$10</f>
        <v>0.8</v>
      </c>
      <c r="Q40" s="25" t="n">
        <f aca="false">Inputs!$E$10</f>
        <v>0.8</v>
      </c>
      <c r="R40" s="25" t="n">
        <f aca="false">Inputs!$E$10</f>
        <v>0.8</v>
      </c>
      <c r="S40" s="25" t="n">
        <f aca="false">Inputs!$E$10</f>
        <v>0.8</v>
      </c>
      <c r="T40" s="25" t="n">
        <f aca="false">Inputs!$E$10</f>
        <v>0.8</v>
      </c>
      <c r="U40" s="25" t="n">
        <f aca="false">Inputs!$E$10</f>
        <v>0.8</v>
      </c>
      <c r="V40" s="25" t="n">
        <f aca="false">Inputs!$D$10</f>
        <v>0.7</v>
      </c>
      <c r="W40" s="25" t="n">
        <f aca="false">Inputs!$F$10</f>
        <v>0.9</v>
      </c>
      <c r="X40" s="25" t="n">
        <f aca="false">Inputs!$E$10</f>
        <v>0.8</v>
      </c>
      <c r="Y40" s="25" t="n">
        <f aca="false">Inputs!$E$10</f>
        <v>0.8</v>
      </c>
    </row>
    <row r="41" customFormat="false" ht="15" hidden="false" customHeight="true" outlineLevel="0" collapsed="false">
      <c r="A41" s="19" t="s">
        <v>80</v>
      </c>
      <c r="B41" s="15" t="s">
        <v>81</v>
      </c>
      <c r="C41" s="127" t="n">
        <f aca="false">Inputs!$E$11</f>
        <v>0.08</v>
      </c>
      <c r="D41" s="127" t="n">
        <f aca="false">Inputs!$E$11</f>
        <v>0.08</v>
      </c>
      <c r="E41" s="127" t="n">
        <f aca="false">Inputs!$E$11</f>
        <v>0.08</v>
      </c>
      <c r="F41" s="127" t="n">
        <f aca="false">Inputs!$E$11</f>
        <v>0.08</v>
      </c>
      <c r="G41" s="127" t="n">
        <f aca="false">Inputs!$E$11</f>
        <v>0.08</v>
      </c>
      <c r="H41" s="127" t="n">
        <f aca="false">Inputs!$E$11</f>
        <v>0.08</v>
      </c>
      <c r="I41" s="127" t="n">
        <f aca="false">Inputs!$E$11</f>
        <v>0.08</v>
      </c>
      <c r="J41" s="127" t="n">
        <f aca="false">Inputs!$E$11</f>
        <v>0.08</v>
      </c>
      <c r="K41" s="127" t="n">
        <f aca="false">Inputs!$E$11</f>
        <v>0.08</v>
      </c>
      <c r="L41" s="127" t="n">
        <f aca="false">Inputs!$E$11</f>
        <v>0.08</v>
      </c>
      <c r="M41" s="127" t="n">
        <f aca="false">Inputs!$E$11</f>
        <v>0.08</v>
      </c>
      <c r="N41" s="127" t="n">
        <f aca="false">Inputs!$E$11</f>
        <v>0.08</v>
      </c>
      <c r="O41" s="127" t="n">
        <f aca="false">Inputs!$E$11</f>
        <v>0.08</v>
      </c>
      <c r="P41" s="127" t="n">
        <f aca="false">Inputs!$E$11</f>
        <v>0.08</v>
      </c>
      <c r="Q41" s="127" t="n">
        <f aca="false">Inputs!$E$11</f>
        <v>0.08</v>
      </c>
      <c r="R41" s="127" t="n">
        <f aca="false">Inputs!$D$11</f>
        <v>0.06</v>
      </c>
      <c r="S41" s="127" t="n">
        <f aca="false">Inputs!$F$11</f>
        <v>0.1</v>
      </c>
      <c r="T41" s="127" t="n">
        <f aca="false">Inputs!$E$11</f>
        <v>0.08</v>
      </c>
      <c r="U41" s="127" t="n">
        <f aca="false">Inputs!$E$11</f>
        <v>0.08</v>
      </c>
      <c r="V41" s="127" t="n">
        <f aca="false">Inputs!$E$11</f>
        <v>0.08</v>
      </c>
      <c r="W41" s="127" t="n">
        <f aca="false">Inputs!$E$11</f>
        <v>0.08</v>
      </c>
      <c r="X41" s="127" t="n">
        <f aca="false">Inputs!$E$11</f>
        <v>0.08</v>
      </c>
      <c r="Y41" s="127" t="n">
        <f aca="false">Inputs!$E$11</f>
        <v>0.08</v>
      </c>
    </row>
    <row r="42" customFormat="false" ht="15" hidden="false" customHeight="true" outlineLevel="0" collapsed="false">
      <c r="A42" s="19" t="s">
        <v>849</v>
      </c>
      <c r="B42" s="15" t="s">
        <v>830</v>
      </c>
      <c r="C42" s="124" t="n">
        <f aca="false">C7*1000*C40*C14*8760*C41/1000000000</f>
        <v>0.672768</v>
      </c>
      <c r="D42" s="124" t="n">
        <f aca="false">D7*1000*D40*D14*8760*D41/1000000000</f>
        <v>0.672768</v>
      </c>
      <c r="E42" s="124" t="n">
        <f aca="false">E7*1000*E40*E14*8760*E41/1000000000</f>
        <v>0.672768</v>
      </c>
      <c r="F42" s="124" t="n">
        <f aca="false">F7*1000*F40*F14*8760*F41/1000000000</f>
        <v>0.672768</v>
      </c>
      <c r="G42" s="124" t="n">
        <f aca="false">G7*1000*G40*G14*8760*G41/1000000000</f>
        <v>0.672768</v>
      </c>
      <c r="H42" s="124" t="n">
        <f aca="false">H7*1000*H40*H14*8760*H41/1000000000</f>
        <v>0.672768</v>
      </c>
      <c r="I42" s="124" t="n">
        <f aca="false">I7*1000*I40*I14*8760*I41/1000000000</f>
        <v>0.672768</v>
      </c>
      <c r="J42" s="124" t="n">
        <f aca="false">J7*1000*J40*J14*8760*J41/1000000000</f>
        <v>0.672768</v>
      </c>
      <c r="K42" s="124" t="n">
        <f aca="false">K7*1000*K40*K14*8760*K41/1000000000</f>
        <v>0.672768</v>
      </c>
      <c r="L42" s="124" t="n">
        <f aca="false">L7*1000*L40*L14*8760*L41/1000000000</f>
        <v>0.672768</v>
      </c>
      <c r="M42" s="124" t="n">
        <f aca="false">M7*1000*M40*M14*8760*M41/1000000000</f>
        <v>0.672768</v>
      </c>
      <c r="N42" s="124" t="n">
        <f aca="false">N7*1000*N40*N14*8760*N41/1000000000</f>
        <v>0.672768</v>
      </c>
      <c r="O42" s="124" t="n">
        <f aca="false">O7*1000*O40*O14*8760*O41/1000000000</f>
        <v>0.672768</v>
      </c>
      <c r="P42" s="124" t="n">
        <f aca="false">P7*1000*P40*P14*8760*P41/1000000000</f>
        <v>0.672768</v>
      </c>
      <c r="Q42" s="124" t="n">
        <f aca="false">Q7*1000*Q40*Q14*8760*Q41/1000000000</f>
        <v>0.672768</v>
      </c>
      <c r="R42" s="124" t="n">
        <f aca="false">R7*1000*R40*R14*8760*R41/1000000000</f>
        <v>0.504576</v>
      </c>
      <c r="S42" s="124" t="n">
        <f aca="false">S7*1000*S40*S14*8760*S41/1000000000</f>
        <v>0.84096</v>
      </c>
      <c r="T42" s="124" t="n">
        <f aca="false">T7*1000*T40*T14*8760*T41/1000000000</f>
        <v>0.616704</v>
      </c>
      <c r="U42" s="124" t="n">
        <f aca="false">U7*1000*U40*U14*8760*U41/1000000000</f>
        <v>0.728832</v>
      </c>
      <c r="V42" s="124" t="n">
        <f aca="false">V7*1000*V40*V14*8760*V41/1000000000</f>
        <v>0.588672</v>
      </c>
      <c r="W42" s="124" t="n">
        <f aca="false">W7*1000*W40*W14*8760*W41/1000000000</f>
        <v>0.756864</v>
      </c>
      <c r="X42" s="124" t="n">
        <f aca="false">X7*1000*X40*X14*8760*X41/1000000000</f>
        <v>0.672768</v>
      </c>
      <c r="Y42" s="124" t="n">
        <f aca="false">Y7*1000*Y40*Y14*8760*Y41/1000000000</f>
        <v>0.672768</v>
      </c>
    </row>
    <row r="43" customFormat="false" ht="15" hidden="false" customHeight="true" outlineLevel="0" collapsed="false">
      <c r="A43" s="14" t="s">
        <v>117</v>
      </c>
      <c r="B43" s="15" t="s">
        <v>830</v>
      </c>
      <c r="C43" s="124" t="n">
        <f aca="false">C23*Inputs!$E$30</f>
        <v>1.12759056</v>
      </c>
      <c r="D43" s="124" t="n">
        <f aca="false">D23*Inputs!$E$30</f>
        <v>1.04736096</v>
      </c>
      <c r="E43" s="124" t="n">
        <f aca="false">E23*Inputs!$E$30</f>
        <v>1.22119176</v>
      </c>
      <c r="F43" s="124" t="n">
        <f aca="false">F23*Inputs!$E$30</f>
        <v>1.36162404</v>
      </c>
      <c r="G43" s="124" t="n">
        <f aca="false">G23*Inputs!$E$30</f>
        <v>1.11312</v>
      </c>
      <c r="H43" s="124" t="n">
        <f aca="false">H23*Inputs!$E$30</f>
        <v>1.07653536</v>
      </c>
      <c r="I43" s="124" t="n">
        <f aca="false">I23*Inputs!$E$30</f>
        <v>1.17864576</v>
      </c>
      <c r="J43" s="124" t="n">
        <f aca="false">J23*Inputs!$E$30</f>
        <v>1.12759056</v>
      </c>
      <c r="K43" s="124" t="n">
        <f aca="false">K23*Inputs!$E$30</f>
        <v>1.12759056</v>
      </c>
      <c r="L43" s="124" t="n">
        <f aca="false">L23*Inputs!$E$30</f>
        <v>1.12759056</v>
      </c>
      <c r="M43" s="124" t="n">
        <f aca="false">M23*Inputs!$E$30</f>
        <v>1.12759056</v>
      </c>
      <c r="N43" s="124" t="n">
        <f aca="false">N23*Inputs!$E$30</f>
        <v>1.12759056</v>
      </c>
      <c r="O43" s="124" t="n">
        <f aca="false">O23*Inputs!$E$30</f>
        <v>1.12759056</v>
      </c>
      <c r="P43" s="124" t="n">
        <f aca="false">P23*Inputs!$E$30</f>
        <v>1.12759056</v>
      </c>
      <c r="Q43" s="124" t="n">
        <f aca="false">Q23*Inputs!$E$30</f>
        <v>1.12759056</v>
      </c>
      <c r="R43" s="124" t="n">
        <f aca="false">R23*Inputs!$E$30</f>
        <v>1.12759056</v>
      </c>
      <c r="S43" s="124" t="n">
        <f aca="false">S23*Inputs!$E$30</f>
        <v>1.12759056</v>
      </c>
      <c r="T43" s="124" t="n">
        <f aca="false">T23*Inputs!$E$30</f>
        <v>1.12759056</v>
      </c>
      <c r="U43" s="124" t="n">
        <f aca="false">U23*Inputs!$E$30</f>
        <v>1.12759056</v>
      </c>
      <c r="V43" s="124" t="n">
        <f aca="false">V23*Inputs!$E$30</f>
        <v>1.12759056</v>
      </c>
      <c r="W43" s="124" t="n">
        <f aca="false">W23*Inputs!$E$30</f>
        <v>1.12759056</v>
      </c>
      <c r="X43" s="124" t="n">
        <f aca="false">X23*Inputs!$E$30</f>
        <v>1.1646018</v>
      </c>
      <c r="Y43" s="124" t="n">
        <f aca="false">Y23*Inputs!$E$30</f>
        <v>1.07861328</v>
      </c>
    </row>
    <row r="44" customFormat="false" ht="15" hidden="false" customHeight="true" outlineLevel="0" collapsed="false">
      <c r="A44" s="19" t="s">
        <v>120</v>
      </c>
      <c r="B44" s="15" t="s">
        <v>830</v>
      </c>
      <c r="C44" s="124" t="n">
        <f aca="false">C31*Inputs!$E$31</f>
        <v>0.2534</v>
      </c>
      <c r="D44" s="124" t="n">
        <f aca="false">D31*Inputs!$E$31</f>
        <v>0.2534</v>
      </c>
      <c r="E44" s="124" t="n">
        <f aca="false">E31*Inputs!$E$31</f>
        <v>0.2534</v>
      </c>
      <c r="F44" s="124" t="n">
        <f aca="false">F31*Inputs!$E$31</f>
        <v>0.2534</v>
      </c>
      <c r="G44" s="124" t="n">
        <f aca="false">G31*Inputs!$E$31</f>
        <v>0.2534</v>
      </c>
      <c r="H44" s="124" t="n">
        <f aca="false">H31*Inputs!$E$31</f>
        <v>0.2534</v>
      </c>
      <c r="I44" s="124" t="n">
        <f aca="false">I31*Inputs!$E$31</f>
        <v>0.2534</v>
      </c>
      <c r="J44" s="124" t="n">
        <f aca="false">J31*Inputs!$E$31</f>
        <v>0.2396</v>
      </c>
      <c r="K44" s="124" t="n">
        <f aca="false">K31*Inputs!$E$31</f>
        <v>0.2741</v>
      </c>
      <c r="L44" s="124" t="n">
        <f aca="false">L31*Inputs!$E$31</f>
        <v>0.2373</v>
      </c>
      <c r="M44" s="124" t="n">
        <f aca="false">M31*Inputs!$E$31</f>
        <v>0.2764</v>
      </c>
      <c r="N44" s="124" t="n">
        <f aca="false">N31*Inputs!$E$31</f>
        <v>0.2534</v>
      </c>
      <c r="O44" s="124" t="n">
        <f aca="false">O31*Inputs!$E$31</f>
        <v>0.2534</v>
      </c>
      <c r="P44" s="124" t="n">
        <f aca="false">P31*Inputs!$E$31</f>
        <v>0.2534</v>
      </c>
      <c r="Q44" s="124" t="n">
        <f aca="false">Q31*Inputs!$E$31</f>
        <v>0.2534</v>
      </c>
      <c r="R44" s="124" t="n">
        <f aca="false">R31*Inputs!$E$31</f>
        <v>0.2534</v>
      </c>
      <c r="S44" s="124" t="n">
        <f aca="false">S31*Inputs!$E$31</f>
        <v>0.2534</v>
      </c>
      <c r="T44" s="124" t="n">
        <f aca="false">T31*Inputs!$E$31</f>
        <v>0.2534</v>
      </c>
      <c r="U44" s="124" t="n">
        <f aca="false">U31*Inputs!$E$31</f>
        <v>0.2534</v>
      </c>
      <c r="V44" s="124" t="n">
        <f aca="false">V31*Inputs!$E$31</f>
        <v>0.2534</v>
      </c>
      <c r="W44" s="124" t="n">
        <f aca="false">W31*Inputs!$E$31</f>
        <v>0.2534</v>
      </c>
      <c r="X44" s="124" t="n">
        <f aca="false">X31*Inputs!$E$31</f>
        <v>0.2534</v>
      </c>
      <c r="Y44" s="124" t="n">
        <f aca="false">Y31*Inputs!$E$31</f>
        <v>0.2534</v>
      </c>
    </row>
    <row r="45" customFormat="false" ht="15" hidden="false" customHeight="true" outlineLevel="0" collapsed="false">
      <c r="A45" s="19" t="s">
        <v>850</v>
      </c>
      <c r="B45" s="15" t="s">
        <v>830</v>
      </c>
      <c r="C45" s="124" t="n">
        <f aca="false">(Inputs!$E$32*C7/1000+Inputs!$E$33*C7/1000+Inputs!$E$34*C7)/1000</f>
        <v>0.325</v>
      </c>
      <c r="D45" s="124" t="n">
        <f aca="false">(Inputs!$E$32*D7/1000+Inputs!$E$33*D7/1000+Inputs!$E$34*D7)/1000</f>
        <v>0.325</v>
      </c>
      <c r="E45" s="124" t="n">
        <f aca="false">(Inputs!$E$32*E7/1000+Inputs!$E$33*E7/1000+Inputs!$E$34*E7)/1000</f>
        <v>0.325</v>
      </c>
      <c r="F45" s="124" t="n">
        <f aca="false">(Inputs!$E$32*F7/1000+Inputs!$E$33*F7/1000+Inputs!$E$34*F7)/1000</f>
        <v>0.325</v>
      </c>
      <c r="G45" s="124" t="n">
        <f aca="false">(Inputs!$E$32*G7/1000+Inputs!$E$33*G7/1000+Inputs!$E$34*G7)/1000</f>
        <v>0.325</v>
      </c>
      <c r="H45" s="124" t="n">
        <f aca="false">(Inputs!$E$32*H7/1000+Inputs!$E$33*H7/1000+Inputs!$E$34*H7)/1000</f>
        <v>0.325</v>
      </c>
      <c r="I45" s="124" t="n">
        <f aca="false">(Inputs!$E$32*I7/1000+Inputs!$E$33*I7/1000+Inputs!$E$34*I7)/1000</f>
        <v>0.325</v>
      </c>
      <c r="J45" s="124" t="n">
        <f aca="false">(Inputs!$E$32*J7/1000+Inputs!$E$33*J7/1000+Inputs!$E$34*J7)/1000</f>
        <v>0.325</v>
      </c>
      <c r="K45" s="124" t="n">
        <f aca="false">(Inputs!$E$32*K7/1000+Inputs!$E$33*K7/1000+Inputs!$E$34*K7)/1000</f>
        <v>0.325</v>
      </c>
      <c r="L45" s="124" t="n">
        <f aca="false">(Inputs!$E$32*L7/1000+Inputs!$E$33*L7/1000+Inputs!$E$34*L7)/1000</f>
        <v>0.325</v>
      </c>
      <c r="M45" s="124" t="n">
        <f aca="false">(Inputs!$E$32*M7/1000+Inputs!$E$33*M7/1000+Inputs!$E$34*M7)/1000</f>
        <v>0.325</v>
      </c>
      <c r="N45" s="124" t="n">
        <f aca="false">(Inputs!$E$32*N7/1000+Inputs!$E$33*N7/1000+Inputs!$E$34*N7)/1000</f>
        <v>0.325</v>
      </c>
      <c r="O45" s="124" t="n">
        <f aca="false">(Inputs!$E$32*O7/1000+Inputs!$E$33*O7/1000+Inputs!$E$34*O7)/1000</f>
        <v>0.325</v>
      </c>
      <c r="P45" s="124" t="n">
        <f aca="false">(Inputs!$E$32*P7/1000+Inputs!$E$33*P7/1000+Inputs!$E$34*P7)/1000</f>
        <v>0.325</v>
      </c>
      <c r="Q45" s="124" t="n">
        <f aca="false">(Inputs!$E$32*Q7/1000+Inputs!$E$33*Q7/1000+Inputs!$E$34*Q7)/1000</f>
        <v>0.325</v>
      </c>
      <c r="R45" s="124" t="n">
        <f aca="false">(Inputs!$E$32*R7/1000+Inputs!$E$33*R7/1000+Inputs!$E$34*R7)/1000</f>
        <v>0.325</v>
      </c>
      <c r="S45" s="124" t="n">
        <f aca="false">(Inputs!$E$32*S7/1000+Inputs!$E$33*S7/1000+Inputs!$E$34*S7)/1000</f>
        <v>0.325</v>
      </c>
      <c r="T45" s="124" t="n">
        <f aca="false">(Inputs!$E$32*T7/1000+Inputs!$E$33*T7/1000+Inputs!$E$34*T7)/1000</f>
        <v>0.325</v>
      </c>
      <c r="U45" s="124" t="n">
        <f aca="false">(Inputs!$E$32*U7/1000+Inputs!$E$33*U7/1000+Inputs!$E$34*U7)/1000</f>
        <v>0.325</v>
      </c>
      <c r="V45" s="124" t="n">
        <f aca="false">(Inputs!$E$32*V7/1000+Inputs!$E$33*V7/1000+Inputs!$E$34*V7)/1000</f>
        <v>0.325</v>
      </c>
      <c r="W45" s="124" t="n">
        <f aca="false">(Inputs!$E$32*W7/1000+Inputs!$E$33*W7/1000+Inputs!$E$34*W7)/1000</f>
        <v>0.325</v>
      </c>
      <c r="X45" s="124" t="n">
        <f aca="false">(Inputs!$E$32*X7/1000+Inputs!$E$33*X7/1000+Inputs!$E$34*X7)/1000</f>
        <v>0.325</v>
      </c>
      <c r="Y45" s="124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19" t="s">
        <v>131</v>
      </c>
      <c r="B46" s="15" t="s">
        <v>830</v>
      </c>
      <c r="C46" s="124" t="n">
        <f aca="false">C32*Inputs!$E$35</f>
        <v>0.25128176</v>
      </c>
      <c r="D46" s="124" t="n">
        <f aca="false">D32*Inputs!$E$35</f>
        <v>0.23791016</v>
      </c>
      <c r="E46" s="124" t="n">
        <f aca="false">E32*Inputs!$E$35</f>
        <v>0.26688196</v>
      </c>
      <c r="F46" s="124" t="n">
        <f aca="false">F32*Inputs!$E$35</f>
        <v>0.29028734</v>
      </c>
      <c r="G46" s="124" t="n">
        <f aca="false">G32*Inputs!$E$35</f>
        <v>0.24887</v>
      </c>
      <c r="H46" s="124" t="n">
        <f aca="false">H32*Inputs!$E$35</f>
        <v>0.24277256</v>
      </c>
      <c r="I46" s="124" t="n">
        <f aca="false">I32*Inputs!$E$35</f>
        <v>0.25979096</v>
      </c>
      <c r="J46" s="124" t="n">
        <f aca="false">J32*Inputs!$E$35</f>
        <v>0.24783176</v>
      </c>
      <c r="K46" s="124" t="n">
        <f aca="false">K32*Inputs!$E$35</f>
        <v>0.25645676</v>
      </c>
      <c r="L46" s="124" t="n">
        <f aca="false">L32*Inputs!$E$35</f>
        <v>0.24725676</v>
      </c>
      <c r="M46" s="124" t="n">
        <f aca="false">M32*Inputs!$E$35</f>
        <v>0.25703176</v>
      </c>
      <c r="N46" s="124" t="n">
        <f aca="false">N32*Inputs!$E$35</f>
        <v>0.25128176</v>
      </c>
      <c r="O46" s="124" t="n">
        <f aca="false">O32*Inputs!$E$35</f>
        <v>0.25128176</v>
      </c>
      <c r="P46" s="124" t="n">
        <f aca="false">P32*Inputs!$E$35</f>
        <v>0.25128176</v>
      </c>
      <c r="Q46" s="124" t="n">
        <f aca="false">Q32*Inputs!$E$35</f>
        <v>0.25128176</v>
      </c>
      <c r="R46" s="124" t="n">
        <f aca="false">R32*Inputs!$E$35</f>
        <v>0.25128176</v>
      </c>
      <c r="S46" s="124" t="n">
        <f aca="false">S32*Inputs!$E$35</f>
        <v>0.25128176</v>
      </c>
      <c r="T46" s="124" t="n">
        <f aca="false">T32*Inputs!$E$35</f>
        <v>0.25128176</v>
      </c>
      <c r="U46" s="124" t="n">
        <f aca="false">U32*Inputs!$E$35</f>
        <v>0.25128176</v>
      </c>
      <c r="V46" s="124" t="n">
        <f aca="false">V32*Inputs!$E$35</f>
        <v>0.25128176</v>
      </c>
      <c r="W46" s="124" t="n">
        <f aca="false">W32*Inputs!$E$35</f>
        <v>0.25128176</v>
      </c>
      <c r="X46" s="124" t="n">
        <f aca="false">X32*Inputs!$E$35</f>
        <v>0.2574503</v>
      </c>
      <c r="Y46" s="124" t="n">
        <f aca="false">Y32*Inputs!$E$35</f>
        <v>0.24311888</v>
      </c>
    </row>
    <row r="47" customFormat="false" ht="15" hidden="false" customHeight="true" outlineLevel="0" collapsed="false">
      <c r="A47" s="19" t="s">
        <v>851</v>
      </c>
      <c r="B47" s="15" t="s">
        <v>830</v>
      </c>
      <c r="C47" s="124" t="n">
        <f aca="false">C42+C43+C44+C45+C46</f>
        <v>2.63004032</v>
      </c>
      <c r="D47" s="124" t="n">
        <f aca="false">D42+D43+D44+D45+D46</f>
        <v>2.53643912</v>
      </c>
      <c r="E47" s="124" t="n">
        <f aca="false">E42+E43+E44+E45+E46</f>
        <v>2.73924172</v>
      </c>
      <c r="F47" s="124" t="n">
        <f aca="false">F42+F43+F44+F45+F46</f>
        <v>2.90307938</v>
      </c>
      <c r="G47" s="124" t="n">
        <f aca="false">G42+G43+G44+G45+G46</f>
        <v>2.613158</v>
      </c>
      <c r="H47" s="124" t="n">
        <f aca="false">H42+H43+H44+H45+H46</f>
        <v>2.57047592</v>
      </c>
      <c r="I47" s="124" t="n">
        <f aca="false">I42+I43+I44+I45+I46</f>
        <v>2.68960472</v>
      </c>
      <c r="J47" s="124" t="n">
        <f aca="false">J42+J43+J44+J45+J46</f>
        <v>2.61279032</v>
      </c>
      <c r="K47" s="124" t="n">
        <f aca="false">K42+K43+K44+K45+K46</f>
        <v>2.65591532</v>
      </c>
      <c r="L47" s="124" t="n">
        <f aca="false">L42+L43+L44+L45+L46</f>
        <v>2.60991532</v>
      </c>
      <c r="M47" s="124" t="n">
        <f aca="false">M42+M43+M44+M45+M46</f>
        <v>2.65879032</v>
      </c>
      <c r="N47" s="124" t="n">
        <f aca="false">N42+N43+N44+N45+N46</f>
        <v>2.63004032</v>
      </c>
      <c r="O47" s="124" t="n">
        <f aca="false">O42+O43+O44+O45+O46</f>
        <v>2.63004032</v>
      </c>
      <c r="P47" s="124" t="n">
        <f aca="false">P42+P43+P44+P45+P46</f>
        <v>2.63004032</v>
      </c>
      <c r="Q47" s="124" t="n">
        <f aca="false">Q42+Q43+Q44+Q45+Q46</f>
        <v>2.63004032</v>
      </c>
      <c r="R47" s="124" t="n">
        <f aca="false">R42+R43+R44+R45+R46</f>
        <v>2.46184832</v>
      </c>
      <c r="S47" s="124" t="n">
        <f aca="false">S42+S43+S44+S45+S46</f>
        <v>2.79823232</v>
      </c>
      <c r="T47" s="124" t="n">
        <f aca="false">T42+T43+T44+T45+T46</f>
        <v>2.57397632</v>
      </c>
      <c r="U47" s="124" t="n">
        <f aca="false">U42+U43+U44+U45+U46</f>
        <v>2.68610432</v>
      </c>
      <c r="V47" s="124" t="n">
        <f aca="false">V42+V43+V44+V45+V46</f>
        <v>2.54594432</v>
      </c>
      <c r="W47" s="124" t="n">
        <f aca="false">W42+W43+W44+W45+W46</f>
        <v>2.71413632</v>
      </c>
      <c r="X47" s="124" t="n">
        <f aca="false">X42+X43+X44+X45+X46</f>
        <v>2.6732201</v>
      </c>
      <c r="Y47" s="124" t="n">
        <f aca="false">Y42+Y43+Y44+Y45+Y46</f>
        <v>2.57290016</v>
      </c>
    </row>
    <row r="48" customFormat="false" ht="15" hidden="false" customHeight="true" outlineLevel="0" collapsed="false">
      <c r="A48" s="19" t="s">
        <v>852</v>
      </c>
      <c r="B48" s="15" t="s">
        <v>830</v>
      </c>
      <c r="C48" s="125" t="n">
        <f aca="false">C38+C39+C47</f>
        <v>9.52884898666667</v>
      </c>
      <c r="D48" s="125" t="n">
        <f aca="false">D38+D39+D47</f>
        <v>8.98952778666667</v>
      </c>
      <c r="E48" s="125" t="n">
        <f aca="false">E38+E39+E47</f>
        <v>10.1580570533333</v>
      </c>
      <c r="F48" s="125" t="n">
        <f aca="false">F38+F39+F47</f>
        <v>11.1020740466667</v>
      </c>
      <c r="G48" s="125" t="n">
        <f aca="false">G38+G39+G47</f>
        <v>9.43157466666667</v>
      </c>
      <c r="H48" s="125" t="n">
        <f aca="false">H38+H39+H47</f>
        <v>9.18564458666667</v>
      </c>
      <c r="I48" s="125" t="n">
        <f aca="false">I38+I39+I47</f>
        <v>9.87205338666667</v>
      </c>
      <c r="J48" s="125" t="n">
        <f aca="false">J38+J39+J47</f>
        <v>9.48859898666667</v>
      </c>
      <c r="K48" s="125" t="n">
        <f aca="false">K38+K39+K47</f>
        <v>9.58922398666667</v>
      </c>
      <c r="L48" s="125" t="n">
        <f aca="false">L38+L39+L47</f>
        <v>9.46847398666667</v>
      </c>
      <c r="M48" s="125" t="n">
        <f aca="false">M38+M39+M47</f>
        <v>9.61509898666667</v>
      </c>
      <c r="N48" s="125" t="n">
        <f aca="false">N38+N39+N47</f>
        <v>8.63393584380953</v>
      </c>
      <c r="O48" s="125" t="n">
        <f aca="false">O38+O39+O47</f>
        <v>12.6610449866667</v>
      </c>
      <c r="P48" s="125" t="n">
        <f aca="false">P38+P39+P47</f>
        <v>9.52884898666667</v>
      </c>
      <c r="Q48" s="125" t="n">
        <f aca="false">Q38+Q39+Q47</f>
        <v>9.52884898666667</v>
      </c>
      <c r="R48" s="125" t="n">
        <f aca="false">R38+R39+R47</f>
        <v>9.36065698666667</v>
      </c>
      <c r="S48" s="125" t="n">
        <f aca="false">S38+S39+S47</f>
        <v>9.69704098666667</v>
      </c>
      <c r="T48" s="125" t="n">
        <f aca="false">T38+T39+T47</f>
        <v>9.47278498666667</v>
      </c>
      <c r="U48" s="125" t="n">
        <f aca="false">U38+U39+U47</f>
        <v>9.58491298666667</v>
      </c>
      <c r="V48" s="125" t="n">
        <f aca="false">V38+V39+V47</f>
        <v>9.44475298666667</v>
      </c>
      <c r="W48" s="125" t="n">
        <f aca="false">W38+W39+W47</f>
        <v>9.61294498666667</v>
      </c>
      <c r="X48" s="125" t="n">
        <f aca="false">X38+X39+X47</f>
        <v>9.77764676666667</v>
      </c>
      <c r="Y48" s="125" t="n">
        <f aca="false">Y38+Y39+Y47</f>
        <v>9.19961282666667</v>
      </c>
    </row>
    <row r="49" customFormat="false" ht="15" hidden="false" customHeight="true" outlineLevel="0" collapsed="false">
      <c r="A49" s="24" t="s">
        <v>2369</v>
      </c>
      <c r="B49" s="13"/>
      <c r="C49" s="13"/>
    </row>
    <row r="50" customFormat="false" ht="15" hidden="false" customHeight="true" outlineLevel="0" collapsed="false">
      <c r="A50" s="14" t="s">
        <v>854</v>
      </c>
      <c r="B50" s="15" t="s">
        <v>71</v>
      </c>
      <c r="C50" s="25" t="n">
        <f aca="false">Inputs!$E$28</f>
        <v>0.1</v>
      </c>
      <c r="D50" s="25" t="n">
        <f aca="false">Inputs!$E$28</f>
        <v>0.1</v>
      </c>
      <c r="E50" s="25" t="n">
        <f aca="false">Inputs!$E$28</f>
        <v>0.1</v>
      </c>
      <c r="F50" s="25" t="n">
        <f aca="false">Inputs!$E$28</f>
        <v>0.1</v>
      </c>
      <c r="G50" s="25" t="n">
        <f aca="false">Inputs!$E$28</f>
        <v>0.1</v>
      </c>
      <c r="H50" s="25" t="n">
        <f aca="false">Inputs!$E$28</f>
        <v>0.1</v>
      </c>
      <c r="I50" s="25" t="n">
        <f aca="false">Inputs!$E$28</f>
        <v>0.1</v>
      </c>
      <c r="J50" s="25" t="n">
        <f aca="false">Inputs!$E$28</f>
        <v>0.1</v>
      </c>
      <c r="K50" s="25" t="n">
        <f aca="false">Inputs!$E$28</f>
        <v>0.1</v>
      </c>
      <c r="L50" s="25" t="n">
        <f aca="false">Inputs!$E$28</f>
        <v>0.1</v>
      </c>
      <c r="M50" s="25" t="n">
        <f aca="false">Inputs!$E$28</f>
        <v>0.1</v>
      </c>
      <c r="N50" s="25" t="n">
        <f aca="false">Inputs!$E$28</f>
        <v>0.1</v>
      </c>
      <c r="O50" s="25" t="n">
        <f aca="false">Inputs!$E$28</f>
        <v>0.1</v>
      </c>
      <c r="P50" s="25" t="n">
        <f aca="false">Inputs!$D$28</f>
        <v>0.08</v>
      </c>
      <c r="Q50" s="25" t="n">
        <f aca="false">Inputs!$F$28</f>
        <v>0.13</v>
      </c>
      <c r="R50" s="25" t="n">
        <f aca="false">Inputs!$E$28</f>
        <v>0.1</v>
      </c>
      <c r="S50" s="25" t="n">
        <f aca="false">Inputs!$E$28</f>
        <v>0.1</v>
      </c>
      <c r="T50" s="25" t="n">
        <f aca="false">Inputs!$E$28</f>
        <v>0.1</v>
      </c>
      <c r="U50" s="25" t="n">
        <f aca="false">Inputs!$E$28</f>
        <v>0.1</v>
      </c>
      <c r="V50" s="25" t="n">
        <f aca="false">Inputs!$E$28</f>
        <v>0.1</v>
      </c>
      <c r="W50" s="25" t="n">
        <f aca="false">Inputs!$E$28</f>
        <v>0.1</v>
      </c>
      <c r="X50" s="25" t="n">
        <f aca="false">Inputs!$E$28</f>
        <v>0.1</v>
      </c>
      <c r="Y50" s="25" t="n">
        <f aca="false">Inputs!$E$28</f>
        <v>0.1</v>
      </c>
    </row>
    <row r="51" customFormat="false" ht="15" hidden="false" customHeight="true" outlineLevel="0" collapsed="false">
      <c r="A51" s="14" t="s">
        <v>855</v>
      </c>
      <c r="B51" s="15" t="s">
        <v>75</v>
      </c>
      <c r="C51" s="128" t="n">
        <f aca="false">C50/(1-(1+C50)^(-C37))</f>
        <v>0.229607380362667</v>
      </c>
      <c r="D51" s="128" t="n">
        <f aca="false">D50/(1-(1+D50)^(-D37))</f>
        <v>0.229607380362667</v>
      </c>
      <c r="E51" s="128" t="n">
        <f aca="false">E50/(1-(1+E50)^(-E37))</f>
        <v>0.229607380362667</v>
      </c>
      <c r="F51" s="128" t="n">
        <f aca="false">F50/(1-(1+F50)^(-F37))</f>
        <v>0.229607380362667</v>
      </c>
      <c r="G51" s="128" t="n">
        <f aca="false">G50/(1-(1+G50)^(-G37))</f>
        <v>0.229607380362667</v>
      </c>
      <c r="H51" s="128" t="n">
        <f aca="false">H50/(1-(1+H50)^(-H37))</f>
        <v>0.229607380362667</v>
      </c>
      <c r="I51" s="128" t="n">
        <f aca="false">I50/(1-(1+I50)^(-I37))</f>
        <v>0.229607380362667</v>
      </c>
      <c r="J51" s="128" t="n">
        <f aca="false">J50/(1-(1+J50)^(-J37))</f>
        <v>0.229607380362667</v>
      </c>
      <c r="K51" s="128" t="n">
        <f aca="false">K50/(1-(1+K50)^(-K37))</f>
        <v>0.229607380362667</v>
      </c>
      <c r="L51" s="128" t="n">
        <f aca="false">L50/(1-(1+L50)^(-L37))</f>
        <v>0.229607380362667</v>
      </c>
      <c r="M51" s="128" t="n">
        <f aca="false">M50/(1-(1+M50)^(-M37))</f>
        <v>0.229607380362667</v>
      </c>
      <c r="N51" s="128" t="n">
        <f aca="false">N50/(1-(1+N50)^(-N37))</f>
        <v>0.205405499700596</v>
      </c>
      <c r="O51" s="128" t="n">
        <f aca="false">O50/(1-(1+O50)^(-O37))</f>
        <v>0.315470803706098</v>
      </c>
      <c r="P51" s="128" t="n">
        <f aca="false">P50/(1-(1+P50)^(-P37))</f>
        <v>0.21631538622901</v>
      </c>
      <c r="Q51" s="128" t="n">
        <f aca="false">Q50/(1-(1+Q50)^(-Q37))</f>
        <v>0.250153232051725</v>
      </c>
      <c r="R51" s="128" t="n">
        <f aca="false">R50/(1-(1+R50)^(-R37))</f>
        <v>0.229607380362667</v>
      </c>
      <c r="S51" s="128" t="n">
        <f aca="false">S50/(1-(1+S50)^(-S37))</f>
        <v>0.229607380362667</v>
      </c>
      <c r="T51" s="128" t="n">
        <f aca="false">T50/(1-(1+T50)^(-T37))</f>
        <v>0.229607380362667</v>
      </c>
      <c r="U51" s="128" t="n">
        <f aca="false">U50/(1-(1+U50)^(-U37))</f>
        <v>0.229607380362667</v>
      </c>
      <c r="V51" s="128" t="n">
        <f aca="false">V50/(1-(1+V50)^(-V37))</f>
        <v>0.229607380362667</v>
      </c>
      <c r="W51" s="128" t="n">
        <f aca="false">W50/(1-(1+W50)^(-W37))</f>
        <v>0.229607380362667</v>
      </c>
      <c r="X51" s="128" t="n">
        <f aca="false">X50/(1-(1+X50)^(-X37))</f>
        <v>0.229607380362667</v>
      </c>
      <c r="Y51" s="128" t="n">
        <f aca="false">Y50/(1-(1+Y50)^(-Y37))</f>
        <v>0.229607380362667</v>
      </c>
    </row>
    <row r="52" customFormat="false" ht="15" hidden="false" customHeight="true" outlineLevel="0" collapsed="false">
      <c r="A52" s="14" t="s">
        <v>856</v>
      </c>
      <c r="B52" s="15" t="s">
        <v>830</v>
      </c>
      <c r="C52" s="124" t="n">
        <f aca="false">C23*C51</f>
        <v>8.6301038201091</v>
      </c>
      <c r="D52" s="124" t="n">
        <f aca="false">D23*D51</f>
        <v>8.01606021065761</v>
      </c>
      <c r="E52" s="124" t="n">
        <f aca="false">E23*E51</f>
        <v>9.34648803113583</v>
      </c>
      <c r="F52" s="124" t="n">
        <f aca="false">F23*F51</f>
        <v>10.4212976287744</v>
      </c>
      <c r="G52" s="124" t="n">
        <f aca="false">G23*G51</f>
        <v>8.5193522409764</v>
      </c>
      <c r="H52" s="124" t="n">
        <f aca="false">H23*H51</f>
        <v>8.23934879591269</v>
      </c>
      <c r="I52" s="124" t="n">
        <f aca="false">I23*I51</f>
        <v>9.0208588443055</v>
      </c>
      <c r="J52" s="124" t="n">
        <f aca="false">J23*J51</f>
        <v>8.6301038201091</v>
      </c>
      <c r="K52" s="124" t="n">
        <f aca="false">K23*K51</f>
        <v>8.6301038201091</v>
      </c>
      <c r="L52" s="124" t="n">
        <f aca="false">L23*L51</f>
        <v>8.6301038201091</v>
      </c>
      <c r="M52" s="124" t="n">
        <f aca="false">M23*M51</f>
        <v>8.6301038201091</v>
      </c>
      <c r="N52" s="124" t="n">
        <f aca="false">N23*N51</f>
        <v>7.72044341448248</v>
      </c>
      <c r="O52" s="124" t="n">
        <f aca="false">O23*O51</f>
        <v>11.8573966738203</v>
      </c>
      <c r="P52" s="124" t="n">
        <f aca="false">P23*P51</f>
        <v>8.13050624981951</v>
      </c>
      <c r="Q52" s="124" t="n">
        <f aca="false">Q23*Q51</f>
        <v>9.40234743383383</v>
      </c>
      <c r="R52" s="124" t="n">
        <f aca="false">R23*R51</f>
        <v>8.6301038201091</v>
      </c>
      <c r="S52" s="124" t="n">
        <f aca="false">S23*S51</f>
        <v>8.6301038201091</v>
      </c>
      <c r="T52" s="124" t="n">
        <f aca="false">T23*T51</f>
        <v>8.6301038201091</v>
      </c>
      <c r="U52" s="124" t="n">
        <f aca="false">U23*U51</f>
        <v>8.6301038201091</v>
      </c>
      <c r="V52" s="124" t="n">
        <f aca="false">V23*V51</f>
        <v>8.6301038201091</v>
      </c>
      <c r="W52" s="124" t="n">
        <f aca="false">W23*W51</f>
        <v>8.6301038201091</v>
      </c>
      <c r="X52" s="124" t="n">
        <f aca="false">X23*X51</f>
        <v>8.91337228212156</v>
      </c>
      <c r="Y52" s="124" t="n">
        <f aca="false">Y23*Y51</f>
        <v>8.25525232150613</v>
      </c>
    </row>
    <row r="53" customFormat="false" ht="15" hidden="false" customHeight="true" outlineLevel="0" collapsed="false">
      <c r="A53" s="19" t="s">
        <v>857</v>
      </c>
      <c r="B53" s="15" t="s">
        <v>830</v>
      </c>
      <c r="C53" s="124" t="n">
        <f aca="false">(C25*C50/(1-(1+C50)^(-Inputs!$E$24))+C26*C50/(1-(1+C50)^(-Inputs!$E$25))+C27*C50/(1-(1+C50)^(-Inputs!$E$26))+C28*C50/(1-(1+C50)^(-Inputs!$E$27)))*(1+C29)+C24*C50</f>
        <v>1.50187163616098</v>
      </c>
      <c r="D53" s="124" t="n">
        <f aca="false">(D25*D50/(1-(1+D50)^(-Inputs!$E$24))+D26*D50/(1-(1+D50)^(-Inputs!$E$25))+D27*D50/(1-(1+D50)^(-Inputs!$E$26))+D28*D50/(1-(1+D50)^(-Inputs!$E$27)))*(1+D29)+D24*D50</f>
        <v>1.50187163616098</v>
      </c>
      <c r="E53" s="124" t="n">
        <f aca="false">(E25*E50/(1-(1+E50)^(-Inputs!$E$24))+E26*E50/(1-(1+E50)^(-Inputs!$E$25))+E27*E50/(1-(1+E50)^(-Inputs!$E$26))+E28*E50/(1-(1+E50)^(-Inputs!$E$27)))*(1+E29)+E24*E50</f>
        <v>1.50187163616098</v>
      </c>
      <c r="F53" s="124" t="n">
        <f aca="false">(F25*F50/(1-(1+F50)^(-Inputs!$E$24))+F26*F50/(1-(1+F50)^(-Inputs!$E$25))+F27*F50/(1-(1+F50)^(-Inputs!$E$26))+F28*F50/(1-(1+F50)^(-Inputs!$E$27)))*(1+F29)+F24*F50</f>
        <v>1.50187163616098</v>
      </c>
      <c r="G53" s="124" t="n">
        <f aca="false">(G25*G50/(1-(1+G50)^(-Inputs!$E$24))+G26*G50/(1-(1+G50)^(-Inputs!$E$25))+G27*G50/(1-(1+G50)^(-Inputs!$E$26))+G28*G50/(1-(1+G50)^(-Inputs!$E$27)))*(1+G29)+G24*G50</f>
        <v>1.50187163616098</v>
      </c>
      <c r="H53" s="124" t="n">
        <f aca="false">(H25*H50/(1-(1+H50)^(-Inputs!$E$24))+H26*H50/(1-(1+H50)^(-Inputs!$E$25))+H27*H50/(1-(1+H50)^(-Inputs!$E$26))+H28*H50/(1-(1+H50)^(-Inputs!$E$27)))*(1+H29)+H24*H50</f>
        <v>1.50187163616098</v>
      </c>
      <c r="I53" s="124" t="n">
        <f aca="false">(I25*I50/(1-(1+I50)^(-Inputs!$E$24))+I26*I50/(1-(1+I50)^(-Inputs!$E$25))+I27*I50/(1-(1+I50)^(-Inputs!$E$26))+I28*I50/(1-(1+I50)^(-Inputs!$E$27)))*(1+I29)+I24*I50</f>
        <v>1.50187163616098</v>
      </c>
      <c r="J53" s="124" t="n">
        <f aca="false">(J25*J50/(1-(1+J50)^(-Inputs!$E$24))+J26*J50/(1-(1+J50)^(-Inputs!$E$25))+J27*J50/(1-(1+J50)^(-Inputs!$E$26))+J28*J50/(1-(1+J50)^(-Inputs!$E$27)))*(1+J29)+J24*J50</f>
        <v>1.42867695486666</v>
      </c>
      <c r="K53" s="124" t="n">
        <f aca="false">(K25*K50/(1-(1+K50)^(-Inputs!$E$24))+K26*K50/(1-(1+K50)^(-Inputs!$E$25))+K27*K50/(1-(1+K50)^(-Inputs!$E$26))+K28*K50/(1-(1+K50)^(-Inputs!$E$27)))*(1+K29)+K24*K50</f>
        <v>1.61166365810245</v>
      </c>
      <c r="L53" s="124" t="n">
        <f aca="false">(L25*L50/(1-(1+L50)^(-Inputs!$E$24))+L26*L50/(1-(1+L50)^(-Inputs!$E$25))+L27*L50/(1-(1+L50)^(-Inputs!$E$26))+L28*L50/(1-(1+L50)^(-Inputs!$E$27)))*(1+L29)+L24*L50</f>
        <v>1.40731663821908</v>
      </c>
      <c r="M53" s="124" t="n">
        <f aca="false">(M25*M50/(1-(1+M50)^(-Inputs!$E$24))+M26*M50/(1-(1+M50)^(-Inputs!$E$25))+M27*M50/(1-(1+M50)^(-Inputs!$E$26))+M28*M50/(1-(1+M50)^(-Inputs!$E$27)))*(1+M29)+M24*M50</f>
        <v>1.63695020464941</v>
      </c>
      <c r="N53" s="124" t="n">
        <f aca="false">(N25*N50/(1-(1+N50)^(-Inputs!$E$24))+N26*N50/(1-(1+N50)^(-Inputs!$E$25))+N27*N50/(1-(1+N50)^(-Inputs!$E$26))+N28*N50/(1-(1+N50)^(-Inputs!$E$27)))*(1+N29)+N24*N50</f>
        <v>1.50187163616098</v>
      </c>
      <c r="O53" s="124" t="n">
        <f aca="false">(O25*O50/(1-(1+O50)^(-Inputs!$E$24))+O26*O50/(1-(1+O50)^(-Inputs!$E$25))+O27*O50/(1-(1+O50)^(-Inputs!$E$26))+O28*O50/(1-(1+O50)^(-Inputs!$E$27)))*(1+O29)+O24*O50</f>
        <v>1.50187163616098</v>
      </c>
      <c r="P53" s="124" t="n">
        <f aca="false">(P25*P50/(1-(1+P50)^(-Inputs!$E$24))+P26*P50/(1-(1+P50)^(-Inputs!$E$25))+P27*P50/(1-(1+P50)^(-Inputs!$E$26))+P28*P50/(1-(1+P50)^(-Inputs!$E$27)))*(1+P29)+P24*P50</f>
        <v>1.30086926137482</v>
      </c>
      <c r="Q53" s="124" t="n">
        <f aca="false">(Q25*Q50/(1-(1+Q50)^(-Inputs!$E$24))+Q26*Q50/(1-(1+Q50)^(-Inputs!$E$25))+Q27*Q50/(1-(1+Q50)^(-Inputs!$E$26))+Q28*Q50/(1-(1+Q50)^(-Inputs!$E$27)))*(1+Q29)+Q24*Q50</f>
        <v>1.82125675978435</v>
      </c>
      <c r="R53" s="124" t="n">
        <f aca="false">(R25*R50/(1-(1+R50)^(-Inputs!$E$24))+R26*R50/(1-(1+R50)^(-Inputs!$E$25))+R27*R50/(1-(1+R50)^(-Inputs!$E$26))+R28*R50/(1-(1+R50)^(-Inputs!$E$27)))*(1+R29)+R24*R50</f>
        <v>1.50187163616098</v>
      </c>
      <c r="S53" s="124" t="n">
        <f aca="false">(S25*S50/(1-(1+S50)^(-Inputs!$E$24))+S26*S50/(1-(1+S50)^(-Inputs!$E$25))+S27*S50/(1-(1+S50)^(-Inputs!$E$26))+S28*S50/(1-(1+S50)^(-Inputs!$E$27)))*(1+S29)+S24*S50</f>
        <v>1.50187163616098</v>
      </c>
      <c r="T53" s="124" t="n">
        <f aca="false">(T25*T50/(1-(1+T50)^(-Inputs!$E$24))+T26*T50/(1-(1+T50)^(-Inputs!$E$25))+T27*T50/(1-(1+T50)^(-Inputs!$E$26))+T28*T50/(1-(1+T50)^(-Inputs!$E$27)))*(1+T29)+T24*T50</f>
        <v>1.50187163616098</v>
      </c>
      <c r="U53" s="124" t="n">
        <f aca="false">(U25*U50/(1-(1+U50)^(-Inputs!$E$24))+U26*U50/(1-(1+U50)^(-Inputs!$E$25))+U27*U50/(1-(1+U50)^(-Inputs!$E$26))+U28*U50/(1-(1+U50)^(-Inputs!$E$27)))*(1+U29)+U24*U50</f>
        <v>1.50187163616098</v>
      </c>
      <c r="V53" s="124" t="n">
        <f aca="false">(V25*V50/(1-(1+V50)^(-Inputs!$E$24))+V26*V50/(1-(1+V50)^(-Inputs!$E$25))+V27*V50/(1-(1+V50)^(-Inputs!$E$26))+V28*V50/(1-(1+V50)^(-Inputs!$E$27)))*(1+V29)+V24*V50</f>
        <v>1.50187163616098</v>
      </c>
      <c r="W53" s="124" t="n">
        <f aca="false">(W25*W50/(1-(1+W50)^(-Inputs!$E$24))+W26*W50/(1-(1+W50)^(-Inputs!$E$25))+W27*W50/(1-(1+W50)^(-Inputs!$E$26))+W28*W50/(1-(1+W50)^(-Inputs!$E$27)))*(1+W29)+W24*W50</f>
        <v>1.50187163616098</v>
      </c>
      <c r="X53" s="124" t="n">
        <f aca="false">(X25*X50/(1-(1+X50)^(-Inputs!$E$24))+X26*X50/(1-(1+X50)^(-Inputs!$E$25))+X27*X50/(1-(1+X50)^(-Inputs!$E$26))+X28*X50/(1-(1+X50)^(-Inputs!$E$27)))*(1+X29)+X24*X50</f>
        <v>1.50187163616098</v>
      </c>
      <c r="Y53" s="124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19" t="s">
        <v>858</v>
      </c>
      <c r="B54" s="15" t="s">
        <v>830</v>
      </c>
      <c r="C54" s="125" t="n">
        <f aca="false">C52+C53+C47</f>
        <v>12.7620157762701</v>
      </c>
      <c r="D54" s="125" t="n">
        <f aca="false">D52+D53+D47</f>
        <v>12.0543709668186</v>
      </c>
      <c r="E54" s="125" t="n">
        <f aca="false">E52+E53+E47</f>
        <v>13.5876013872968</v>
      </c>
      <c r="F54" s="125" t="n">
        <f aca="false">F52+F53+F47</f>
        <v>14.8262486449354</v>
      </c>
      <c r="G54" s="125" t="n">
        <f aca="false">G52+G53+G47</f>
        <v>12.6343818771374</v>
      </c>
      <c r="H54" s="125" t="n">
        <f aca="false">H52+H53+H47</f>
        <v>12.3116963520737</v>
      </c>
      <c r="I54" s="125" t="n">
        <f aca="false">I52+I53+I47</f>
        <v>13.2123352004665</v>
      </c>
      <c r="J54" s="125" t="n">
        <f aca="false">J52+J53+J47</f>
        <v>12.6715710949758</v>
      </c>
      <c r="K54" s="125" t="n">
        <f aca="false">K52+K53+K47</f>
        <v>12.8976827982116</v>
      </c>
      <c r="L54" s="125" t="n">
        <f aca="false">L52+L53+L47</f>
        <v>12.6473357783282</v>
      </c>
      <c r="M54" s="125" t="n">
        <f aca="false">M52+M53+M47</f>
        <v>12.9258443447585</v>
      </c>
      <c r="N54" s="125" t="n">
        <f aca="false">N52+N53+N47</f>
        <v>11.8523553706435</v>
      </c>
      <c r="O54" s="125" t="n">
        <f aca="false">O52+O53+O47</f>
        <v>15.9893086299813</v>
      </c>
      <c r="P54" s="125" t="n">
        <f aca="false">P52+P53+P47</f>
        <v>12.0614158311943</v>
      </c>
      <c r="Q54" s="125" t="n">
        <f aca="false">Q52+Q53+Q47</f>
        <v>13.8536445136182</v>
      </c>
      <c r="R54" s="125" t="n">
        <f aca="false">R52+R53+R47</f>
        <v>12.5938237762701</v>
      </c>
      <c r="S54" s="125" t="n">
        <f aca="false">S52+S53+S47</f>
        <v>12.9302077762701</v>
      </c>
      <c r="T54" s="125" t="n">
        <f aca="false">T52+T53+T47</f>
        <v>12.7059517762701</v>
      </c>
      <c r="U54" s="125" t="n">
        <f aca="false">U52+U53+U47</f>
        <v>12.8180797762701</v>
      </c>
      <c r="V54" s="125" t="n">
        <f aca="false">V52+V53+V47</f>
        <v>12.6779197762701</v>
      </c>
      <c r="W54" s="125" t="n">
        <f aca="false">W52+W53+W47</f>
        <v>12.8461117762701</v>
      </c>
      <c r="X54" s="125" t="n">
        <f aca="false">X52+X53+X47</f>
        <v>13.0884640182825</v>
      </c>
      <c r="Y54" s="125" t="n">
        <f aca="false">Y52+Y53+Y47</f>
        <v>12.3300241176671</v>
      </c>
    </row>
    <row r="55" customFormat="false" ht="15" hidden="false" customHeight="true" outlineLevel="0" collapsed="false">
      <c r="A55" s="24" t="s">
        <v>859</v>
      </c>
      <c r="B55" s="13"/>
      <c r="C55" s="13"/>
    </row>
    <row r="56" customFormat="false" ht="15" hidden="false" customHeight="true" outlineLevel="0" collapsed="false">
      <c r="A56" s="19" t="s">
        <v>860</v>
      </c>
      <c r="B56" s="15" t="s">
        <v>803</v>
      </c>
      <c r="C56" s="124" t="n">
        <f aca="false">C48*1000000000/(C13*8760)</f>
        <v>3.72850221140062</v>
      </c>
      <c r="D56" s="124" t="n">
        <f aca="false">D48*1000000000/(D13*8760)</f>
        <v>3.51747354574866</v>
      </c>
      <c r="E56" s="124" t="n">
        <f aca="false">E48*1000000000/(E13*8760)</f>
        <v>3.9747023213279</v>
      </c>
      <c r="F56" s="124" t="n">
        <f aca="false">F48*1000000000/(F13*8760)</f>
        <v>3.59742957907369</v>
      </c>
      <c r="G56" s="124" t="n">
        <f aca="false">G48*1000000000/(G13*8760)</f>
        <v>3.7384158844918</v>
      </c>
      <c r="H56" s="124" t="n">
        <f aca="false">H48*1000000000/(H13*8760)</f>
        <v>3.59421124234937</v>
      </c>
      <c r="I56" s="124" t="n">
        <f aca="false">I48*1000000000/(I13*8760)</f>
        <v>3.86279318045186</v>
      </c>
      <c r="J56" s="124" t="n">
        <f aca="false">J48*1000000000/(J13*8760)</f>
        <v>3.71275296254392</v>
      </c>
      <c r="K56" s="124" t="n">
        <f aca="false">K48*1000000000/(K13*8760)</f>
        <v>3.75212608468566</v>
      </c>
      <c r="L56" s="124" t="n">
        <f aca="false">L48*1000000000/(L13*8760)</f>
        <v>3.70487833811557</v>
      </c>
      <c r="M56" s="124" t="n">
        <f aca="false">M48*1000000000/(M13*8760)</f>
        <v>3.76225060180782</v>
      </c>
      <c r="N56" s="124" t="n">
        <f aca="false">N48*1000000000/(N13*8760)</f>
        <v>3.37833550849419</v>
      </c>
      <c r="O56" s="124" t="n">
        <f aca="false">O48*1000000000/(O13*8760)</f>
        <v>4.95408567157312</v>
      </c>
      <c r="P56" s="124" t="n">
        <f aca="false">P48*1000000000/(P13*8760)</f>
        <v>3.72850221140062</v>
      </c>
      <c r="Q56" s="124" t="n">
        <f aca="false">Q48*1000000000/(Q13*8760)</f>
        <v>3.72850221140062</v>
      </c>
      <c r="R56" s="124" t="n">
        <f aca="false">R48*1000000000/(R13*8760)</f>
        <v>3.66269108932099</v>
      </c>
      <c r="S56" s="124" t="n">
        <f aca="false">S48*1000000000/(S13*8760)</f>
        <v>3.79431333348025</v>
      </c>
      <c r="T56" s="124" t="n">
        <f aca="false">T48*1000000000/(T13*8760)</f>
        <v>3.70656517070741</v>
      </c>
      <c r="U56" s="124" t="n">
        <f aca="false">U48*1000000000/(U13*8760)</f>
        <v>3.75043925209383</v>
      </c>
      <c r="V56" s="124" t="n">
        <f aca="false">V48*1000000000/(V13*8760)</f>
        <v>3.6955966503608</v>
      </c>
      <c r="W56" s="124" t="n">
        <f aca="false">W48*1000000000/(W13*8760)</f>
        <v>3.76140777244043</v>
      </c>
      <c r="X56" s="124" t="n">
        <f aca="false">X48*1000000000/(X13*8760)</f>
        <v>3.70426696608994</v>
      </c>
      <c r="Y56" s="124" t="n">
        <f aca="false">Y48*1000000000/(Y13*8760)</f>
        <v>3.76312963189851</v>
      </c>
    </row>
    <row r="57" customFormat="false" ht="15" hidden="false" customHeight="true" outlineLevel="0" collapsed="false">
      <c r="A57" s="19" t="s">
        <v>861</v>
      </c>
      <c r="B57" s="15" t="s">
        <v>803</v>
      </c>
      <c r="C57" s="125" t="n">
        <f aca="false">C54*1000000000/(C13*8760)</f>
        <v>4.99359409623699</v>
      </c>
      <c r="D57" s="125" t="n">
        <f aca="false">D54*1000000000/(D13*8760)</f>
        <v>4.71670281161092</v>
      </c>
      <c r="E57" s="125" t="n">
        <f aca="false">E54*1000000000/(E13*8760)</f>
        <v>5.31663392830075</v>
      </c>
      <c r="F57" s="125" t="n">
        <f aca="false">F54*1000000000/(F13*8760)</f>
        <v>4.80418210127194</v>
      </c>
      <c r="G57" s="125" t="n">
        <f aca="false">G54*1000000000/(G13*8760)</f>
        <v>5.0079202645934</v>
      </c>
      <c r="H57" s="125" t="n">
        <f aca="false">H54*1000000000/(H13*8760)</f>
        <v>4.81739055147494</v>
      </c>
      <c r="I57" s="125" t="n">
        <f aca="false">I54*1000000000/(I13*8760)</f>
        <v>5.16979764099904</v>
      </c>
      <c r="J57" s="125" t="n">
        <f aca="false">J54*1000000000/(J13*8760)</f>
        <v>4.9582043870825</v>
      </c>
      <c r="K57" s="125" t="n">
        <f aca="false">K54*1000000000/(K13*8760)</f>
        <v>5.04667865996874</v>
      </c>
      <c r="L57" s="125" t="n">
        <f aca="false">L54*1000000000/(L13*8760)</f>
        <v>4.94872145458551</v>
      </c>
      <c r="M57" s="125" t="n">
        <f aca="false">M54*1000000000/(M13*8760)</f>
        <v>5.05769787002483</v>
      </c>
      <c r="N57" s="125" t="n">
        <f aca="false">N54*1000000000/(N13*8760)</f>
        <v>4.63765700050295</v>
      </c>
      <c r="O57" s="125" t="n">
        <f aca="false">O54*1000000000/(O13*8760)</f>
        <v>6.25638759403897</v>
      </c>
      <c r="P57" s="125" t="n">
        <f aca="false">P54*1000000000/(P13*8760)</f>
        <v>4.71945936620012</v>
      </c>
      <c r="Q57" s="125" t="n">
        <f aca="false">Q54*1000000000/(Q13*8760)</f>
        <v>5.42073279545723</v>
      </c>
      <c r="R57" s="125" t="n">
        <f aca="false">R54*1000000000/(R13*8760)</f>
        <v>4.92778297415736</v>
      </c>
      <c r="S57" s="125" t="n">
        <f aca="false">S54*1000000000/(S13*8760)</f>
        <v>5.05940521831663</v>
      </c>
      <c r="T57" s="125" t="n">
        <f aca="false">T54*1000000000/(T13*8760)</f>
        <v>4.97165705554378</v>
      </c>
      <c r="U57" s="125" t="n">
        <f aca="false">U54*1000000000/(U13*8760)</f>
        <v>5.01553113693021</v>
      </c>
      <c r="V57" s="125" t="n">
        <f aca="false">V54*1000000000/(V13*8760)</f>
        <v>4.96068853519718</v>
      </c>
      <c r="W57" s="125" t="n">
        <f aca="false">W54*1000000000/(W13*8760)</f>
        <v>5.02649965727681</v>
      </c>
      <c r="X57" s="125" t="n">
        <f aca="false">X54*1000000000/(X13*8760)</f>
        <v>4.95857194034321</v>
      </c>
      <c r="Y57" s="125" t="n">
        <f aca="false">Y54*1000000000/(Y13*8760)</f>
        <v>5.04363389997452</v>
      </c>
    </row>
    <row r="58" customFormat="false" ht="15" hidden="false" customHeight="true" outlineLevel="0" collapsed="false">
      <c r="A58" s="19" t="s">
        <v>862</v>
      </c>
      <c r="B58" s="15" t="s">
        <v>863</v>
      </c>
      <c r="C58" s="16" t="n">
        <f aca="false">C54*1000000000/(C11*8760)</f>
        <v>359.538774929064</v>
      </c>
      <c r="D58" s="16" t="n">
        <f aca="false">D54*1000000000/(D11*8760)</f>
        <v>339.602602435986</v>
      </c>
      <c r="E58" s="16" t="n">
        <f aca="false">E54*1000000000/(E11*8760)</f>
        <v>382.797642837654</v>
      </c>
      <c r="F58" s="16" t="n">
        <f aca="false">F54*1000000000/(F11*8760)</f>
        <v>345.90111129158</v>
      </c>
      <c r="G58" s="16" t="n">
        <f aca="false">G54*1000000000/(G11*8760)</f>
        <v>360.570259050724</v>
      </c>
      <c r="H58" s="16" t="n">
        <f aca="false">H54*1000000000/(H11*8760)</f>
        <v>346.852119706196</v>
      </c>
      <c r="I58" s="16" t="n">
        <f aca="false">I54*1000000000/(I11*8760)</f>
        <v>372.225430151931</v>
      </c>
      <c r="J58" s="16" t="n">
        <f aca="false">J54*1000000000/(J11*8760)</f>
        <v>356.99071586994</v>
      </c>
      <c r="K58" s="16" t="n">
        <f aca="false">K54*1000000000/(K11*8760)</f>
        <v>363.36086351775</v>
      </c>
      <c r="L58" s="16" t="n">
        <f aca="false">L54*1000000000/(L11*8760)</f>
        <v>356.307944730157</v>
      </c>
      <c r="M58" s="16" t="n">
        <f aca="false">M54*1000000000/(M11*8760)</f>
        <v>364.154246641788</v>
      </c>
      <c r="N58" s="16" t="n">
        <f aca="false">N54*1000000000/(N11*8760)</f>
        <v>333.911304036212</v>
      </c>
      <c r="O58" s="16" t="n">
        <f aca="false">O54*1000000000/(O11*8760)</f>
        <v>450.459906770806</v>
      </c>
      <c r="P58" s="16" t="n">
        <f aca="false">P54*1000000000/(P11*8760)</f>
        <v>339.801074366408</v>
      </c>
      <c r="Q58" s="16" t="n">
        <f aca="false">Q54*1000000000/(Q11*8760)</f>
        <v>390.292761272921</v>
      </c>
      <c r="R58" s="16" t="n">
        <f aca="false">R54*1000000000/(R11*8760)</f>
        <v>354.80037413933</v>
      </c>
      <c r="S58" s="16" t="n">
        <f aca="false">S54*1000000000/(S11*8760)</f>
        <v>364.277175718797</v>
      </c>
      <c r="T58" s="16" t="n">
        <f aca="false">T54*1000000000/(T11*8760)</f>
        <v>357.959307999153</v>
      </c>
      <c r="U58" s="16" t="n">
        <f aca="false">U54*1000000000/(U11*8760)</f>
        <v>361.118241858975</v>
      </c>
      <c r="V58" s="16" t="n">
        <f aca="false">V54*1000000000/(V11*8760)</f>
        <v>357.169574534197</v>
      </c>
      <c r="W58" s="16" t="n">
        <f aca="false">W54*1000000000/(W11*8760)</f>
        <v>361.90797532393</v>
      </c>
      <c r="X58" s="16" t="n">
        <f aca="false">X54*1000000000/(X11*8760)</f>
        <v>357.017179704711</v>
      </c>
      <c r="Y58" s="16" t="n">
        <f aca="false">Y54*1000000000/(Y11*8760)</f>
        <v>363.141640798165</v>
      </c>
    </row>
    <row r="59" customFormat="false" ht="15" hidden="false" customHeight="true" outlineLevel="0" collapsed="false">
      <c r="A59" s="19" t="s">
        <v>864</v>
      </c>
      <c r="B59" s="15" t="s">
        <v>865</v>
      </c>
      <c r="C59" s="124" t="n">
        <f aca="false">C7*C40*C14*8760/1000000</f>
        <v>8.4096</v>
      </c>
      <c r="D59" s="124" t="n">
        <f aca="false">D7*D40*D14*8760/1000000</f>
        <v>8.4096</v>
      </c>
      <c r="E59" s="124" t="n">
        <f aca="false">E7*E40*E14*8760/1000000</f>
        <v>8.4096</v>
      </c>
      <c r="F59" s="124" t="n">
        <f aca="false">F7*F40*F14*8760/1000000</f>
        <v>8.4096</v>
      </c>
      <c r="G59" s="124" t="n">
        <f aca="false">G7*G40*G14*8760/1000000</f>
        <v>8.4096</v>
      </c>
      <c r="H59" s="124" t="n">
        <f aca="false">H7*H40*H14*8760/1000000</f>
        <v>8.4096</v>
      </c>
      <c r="I59" s="124" t="n">
        <f aca="false">I7*I40*I14*8760/1000000</f>
        <v>8.4096</v>
      </c>
      <c r="J59" s="124" t="n">
        <f aca="false">J7*J40*J14*8760/1000000</f>
        <v>8.4096</v>
      </c>
      <c r="K59" s="124" t="n">
        <f aca="false">K7*K40*K14*8760/1000000</f>
        <v>8.4096</v>
      </c>
      <c r="L59" s="124" t="n">
        <f aca="false">L7*L40*L14*8760/1000000</f>
        <v>8.4096</v>
      </c>
      <c r="M59" s="124" t="n">
        <f aca="false">M7*M40*M14*8760/1000000</f>
        <v>8.4096</v>
      </c>
      <c r="N59" s="124" t="n">
        <f aca="false">N7*N40*N14*8760/1000000</f>
        <v>8.4096</v>
      </c>
      <c r="O59" s="124" t="n">
        <f aca="false">O7*O40*O14*8760/1000000</f>
        <v>8.4096</v>
      </c>
      <c r="P59" s="124" t="n">
        <f aca="false">P7*P40*P14*8760/1000000</f>
        <v>8.4096</v>
      </c>
      <c r="Q59" s="124" t="n">
        <f aca="false">Q7*Q40*Q14*8760/1000000</f>
        <v>8.4096</v>
      </c>
      <c r="R59" s="124" t="n">
        <f aca="false">R7*R40*R14*8760/1000000</f>
        <v>8.4096</v>
      </c>
      <c r="S59" s="124" t="n">
        <f aca="false">S7*S40*S14*8760/1000000</f>
        <v>8.4096</v>
      </c>
      <c r="T59" s="124" t="n">
        <f aca="false">T7*T40*T14*8760/1000000</f>
        <v>7.7088</v>
      </c>
      <c r="U59" s="124" t="n">
        <f aca="false">U7*U40*U14*8760/1000000</f>
        <v>9.1104</v>
      </c>
      <c r="V59" s="124" t="n">
        <f aca="false">V7*V40*V14*8760/1000000</f>
        <v>7.3584</v>
      </c>
      <c r="W59" s="124" t="n">
        <f aca="false">W7*W40*W14*8760/1000000</f>
        <v>9.4608</v>
      </c>
      <c r="X59" s="124" t="n">
        <f aca="false">X7*X40*X14*8760/1000000</f>
        <v>8.4096</v>
      </c>
      <c r="Y59" s="124" t="n">
        <f aca="false">Y7*Y40*Y14*8760/1000000</f>
        <v>8.4096</v>
      </c>
    </row>
    <row r="60" customFormat="false" ht="15" hidden="false" customHeight="true" outlineLevel="0" collapsed="false">
      <c r="A60" s="19" t="s">
        <v>866</v>
      </c>
      <c r="B60" s="15" t="s">
        <v>71</v>
      </c>
      <c r="C60" s="21" t="n">
        <f aca="false">(C52+C53)/C54</f>
        <v>0.793916543741441</v>
      </c>
      <c r="D60" s="21" t="n">
        <f aca="false">(D52+D53)/D54</f>
        <v>0.789583452593095</v>
      </c>
      <c r="E60" s="21" t="n">
        <f aca="false">(E52+E53)/E54</f>
        <v>0.798401377702989</v>
      </c>
      <c r="F60" s="21" t="n">
        <f aca="false">(F52+F53)/F54</f>
        <v>0.804193262265861</v>
      </c>
      <c r="G60" s="21" t="n">
        <f aca="false">(G52+G53)/G54</f>
        <v>0.793170886758722</v>
      </c>
      <c r="H60" s="21" t="n">
        <f aca="false">(H52+H53)/H54</f>
        <v>0.791216754662159</v>
      </c>
      <c r="I60" s="21" t="n">
        <f aca="false">(I52+I53)/I54</f>
        <v>0.796432297607387</v>
      </c>
      <c r="J60" s="21" t="n">
        <f aca="false">(J52+J53)/J54</f>
        <v>0.7938069162524</v>
      </c>
      <c r="K60" s="21" t="n">
        <f aca="false">(K52+K53)/K54</f>
        <v>0.794078102124803</v>
      </c>
      <c r="L60" s="21" t="n">
        <f aca="false">(L52+L53)/L54</f>
        <v>0.793639121650252</v>
      </c>
      <c r="M60" s="21" t="n">
        <f aca="false">(M52+M53)/M54</f>
        <v>0.794304321707374</v>
      </c>
      <c r="N60" s="21" t="n">
        <f aca="false">(N52+N53)/N54</f>
        <v>0.778099775297472</v>
      </c>
      <c r="O60" s="21" t="n">
        <f aca="false">(O52+O53)/O54</f>
        <v>0.835512567749899</v>
      </c>
      <c r="P60" s="21" t="n">
        <f aca="false">(P52+P53)/P54</f>
        <v>0.781945970787447</v>
      </c>
      <c r="Q60" s="21" t="n">
        <f aca="false">(Q52+Q53)/Q54</f>
        <v>0.810155348116904</v>
      </c>
      <c r="R60" s="21" t="n">
        <f aca="false">(R52+R53)/R54</f>
        <v>0.804519392701148</v>
      </c>
      <c r="S60" s="21" t="n">
        <f aca="false">(S52+S53)/S54</f>
        <v>0.783589531706103</v>
      </c>
      <c r="T60" s="21" t="n">
        <f aca="false">(T52+T53)/T54</f>
        <v>0.797419637243767</v>
      </c>
      <c r="U60" s="21" t="n">
        <f aca="false">(U52+U53)/U54</f>
        <v>0.790444094054342</v>
      </c>
      <c r="V60" s="21" t="n">
        <f aca="false">(V52+V53)/V54</f>
        <v>0.799182802468479</v>
      </c>
      <c r="W60" s="21" t="n">
        <f aca="false">(W52+W53)/W54</f>
        <v>0.788719235262013</v>
      </c>
      <c r="X60" s="21" t="n">
        <f aca="false">(X52+X53)/X54</f>
        <v>0.795757539137829</v>
      </c>
      <c r="Y60" s="21" t="n">
        <f aca="false">(Y52+Y53)/Y54</f>
        <v>0.79133048439756</v>
      </c>
    </row>
    <row r="61" customFormat="false" ht="15" hidden="false" customHeight="true" outlineLevel="0" collapsed="false">
      <c r="A61" s="19" t="s">
        <v>867</v>
      </c>
      <c r="B61" s="15" t="s">
        <v>71</v>
      </c>
      <c r="C61" s="21" t="n">
        <f aca="false">C42/C54</f>
        <v>0.0527164369480688</v>
      </c>
      <c r="D61" s="21" t="n">
        <f aca="false">D42/D54</f>
        <v>0.0558111245996902</v>
      </c>
      <c r="E61" s="21" t="n">
        <f aca="false">E42/E54</f>
        <v>0.0495133747910045</v>
      </c>
      <c r="F61" s="21" t="n">
        <f aca="false">F42/F54</f>
        <v>0.0453768189183727</v>
      </c>
      <c r="G61" s="21" t="n">
        <f aca="false">G42/G54</f>
        <v>0.0532489841246141</v>
      </c>
      <c r="H61" s="21" t="n">
        <f aca="false">H42/H54</f>
        <v>0.0546446225411241</v>
      </c>
      <c r="I61" s="21" t="n">
        <f aca="false">I42/I54</f>
        <v>0.0509196890475688</v>
      </c>
      <c r="J61" s="21" t="n">
        <f aca="false">J42/J54</f>
        <v>0.0530927061023041</v>
      </c>
      <c r="K61" s="21" t="n">
        <f aca="false">K42/K54</f>
        <v>0.0521619278846964</v>
      </c>
      <c r="L61" s="21" t="n">
        <f aca="false">L42/L54</f>
        <v>0.0531944444104047</v>
      </c>
      <c r="M61" s="21" t="n">
        <f aca="false">M42/M54</f>
        <v>0.0520482826541858</v>
      </c>
      <c r="N61" s="21" t="n">
        <f aca="false">N42/N54</f>
        <v>0.0567623884840938</v>
      </c>
      <c r="O61" s="21" t="n">
        <f aca="false">O42/O54</f>
        <v>0.0420761157076238</v>
      </c>
      <c r="P61" s="21" t="n">
        <f aca="false">P42/P54</f>
        <v>0.0557785262871069</v>
      </c>
      <c r="Q61" s="21" t="n">
        <f aca="false">Q42/Q54</f>
        <v>0.048562528029261</v>
      </c>
      <c r="R61" s="21" t="n">
        <f aca="false">R42/R54</f>
        <v>0.0400653533798645</v>
      </c>
      <c r="S61" s="21" t="n">
        <f aca="false">S42/S54</f>
        <v>0.0650383980328109</v>
      </c>
      <c r="T61" s="21" t="n">
        <f aca="false">T42/T54</f>
        <v>0.048536623690936</v>
      </c>
      <c r="U61" s="21" t="n">
        <f aca="false">U42/U54</f>
        <v>0.0568596866864003</v>
      </c>
      <c r="V61" s="21" t="n">
        <f aca="false">V42/V54</f>
        <v>0.0464328541581284</v>
      </c>
      <c r="W61" s="21" t="n">
        <f aca="false">W42/W54</f>
        <v>0.0589177498360332</v>
      </c>
      <c r="X61" s="21" t="n">
        <f aca="false">X42/X54</f>
        <v>0.0514016006049486</v>
      </c>
      <c r="Y61" s="21" t="n">
        <f aca="false">Y42/Y54</f>
        <v>0.0545633969228026</v>
      </c>
    </row>
    <row r="64" customFormat="false" ht="15" hidden="false" customHeight="true" outlineLevel="0" collapsed="false">
      <c r="A64" s="12" t="s">
        <v>2370</v>
      </c>
      <c r="B64" s="13"/>
      <c r="C64" s="13"/>
      <c r="D64" s="13"/>
      <c r="E64" s="13"/>
      <c r="F64" s="13"/>
      <c r="G64" s="13"/>
      <c r="H64" s="13"/>
      <c r="I64" s="13"/>
      <c r="J64" s="13"/>
    </row>
    <row r="65" customFormat="false" ht="15" hidden="false" customHeight="true" outlineLevel="0" collapsed="false">
      <c r="A65" s="27" t="s">
        <v>2371</v>
      </c>
      <c r="B65" s="27"/>
      <c r="C65" s="27" t="s">
        <v>2372</v>
      </c>
      <c r="D65" s="27" t="s">
        <v>2373</v>
      </c>
      <c r="E65" s="27" t="s">
        <v>2374</v>
      </c>
      <c r="F65" s="27" t="s">
        <v>2375</v>
      </c>
      <c r="G65" s="27" t="s">
        <v>2376</v>
      </c>
      <c r="H65" s="27" t="s">
        <v>2377</v>
      </c>
      <c r="I65" s="200" t="s">
        <v>2378</v>
      </c>
      <c r="J65" s="200" t="s">
        <v>2379</v>
      </c>
    </row>
    <row r="66" customFormat="false" ht="15" hidden="false" customHeight="true" outlineLevel="0" collapsed="false">
      <c r="A66" s="19" t="s">
        <v>57</v>
      </c>
      <c r="C66" s="30" t="n">
        <f aca="false">C32</f>
        <v>50.256352</v>
      </c>
      <c r="F66" s="124" t="n">
        <f aca="false">C54</f>
        <v>12.7620157762701</v>
      </c>
      <c r="I66" s="124" t="n">
        <f aca="false">C57</f>
        <v>4.99359409623699</v>
      </c>
    </row>
    <row r="67" customFormat="false" ht="15" hidden="false" customHeight="true" outlineLevel="0" collapsed="false">
      <c r="A67" s="19" t="s">
        <v>2380</v>
      </c>
      <c r="C67" s="30" t="n">
        <f aca="false">D32</f>
        <v>47.582032</v>
      </c>
      <c r="D67" s="30" t="n">
        <f aca="false">E32</f>
        <v>53.376392</v>
      </c>
      <c r="E67" s="201" t="n">
        <f aca="false">ABS(D67-C67)</f>
        <v>5.79436</v>
      </c>
      <c r="F67" s="124" t="n">
        <f aca="false">D54</f>
        <v>12.0543709668186</v>
      </c>
      <c r="G67" s="124" t="n">
        <f aca="false">E54</f>
        <v>13.5876013872968</v>
      </c>
      <c r="H67" s="125" t="n">
        <f aca="false">ABS(G67-F67)</f>
        <v>1.53323042047822</v>
      </c>
      <c r="I67" s="124" t="n">
        <f aca="false">D57</f>
        <v>4.71670281161092</v>
      </c>
      <c r="J67" s="124" t="n">
        <f aca="false">E57</f>
        <v>5.31663392830075</v>
      </c>
    </row>
    <row r="68" customFormat="false" ht="15" hidden="false" customHeight="true" outlineLevel="0" collapsed="false">
      <c r="A68" s="19" t="s">
        <v>2381</v>
      </c>
      <c r="C68" s="30" t="n">
        <f aca="false">F32</f>
        <v>58.057468</v>
      </c>
      <c r="D68" s="30" t="n">
        <f aca="false">G32</f>
        <v>49.774</v>
      </c>
      <c r="E68" s="201" t="n">
        <f aca="false">ABS(D68-C68)</f>
        <v>8.28346800000001</v>
      </c>
      <c r="F68" s="124" t="n">
        <f aca="false">F54</f>
        <v>14.8262486449354</v>
      </c>
      <c r="G68" s="124" t="n">
        <f aca="false">G54</f>
        <v>12.6343818771374</v>
      </c>
      <c r="H68" s="125" t="n">
        <f aca="false">ABS(G68-F68)</f>
        <v>2.19186676779799</v>
      </c>
      <c r="I68" s="124" t="n">
        <f aca="false">F57</f>
        <v>4.80418210127194</v>
      </c>
      <c r="J68" s="124" t="n">
        <f aca="false">G57</f>
        <v>5.0079202645934</v>
      </c>
    </row>
    <row r="69" customFormat="false" ht="15" hidden="false" customHeight="true" outlineLevel="0" collapsed="false">
      <c r="A69" s="19" t="s">
        <v>2382</v>
      </c>
      <c r="C69" s="30" t="n">
        <f aca="false">H32</f>
        <v>48.554512</v>
      </c>
      <c r="D69" s="30" t="n">
        <f aca="false">I32</f>
        <v>51.958192</v>
      </c>
      <c r="E69" s="201" t="n">
        <f aca="false">ABS(D69-C69)</f>
        <v>3.40368</v>
      </c>
      <c r="F69" s="124" t="n">
        <f aca="false">H54</f>
        <v>12.3116963520737</v>
      </c>
      <c r="G69" s="124" t="n">
        <f aca="false">I54</f>
        <v>13.2123352004665</v>
      </c>
      <c r="H69" s="125" t="n">
        <f aca="false">ABS(G69-F69)</f>
        <v>0.900638848392804</v>
      </c>
      <c r="I69" s="124" t="n">
        <f aca="false">H57</f>
        <v>4.81739055147494</v>
      </c>
      <c r="J69" s="124" t="n">
        <f aca="false">I57</f>
        <v>5.16979764099904</v>
      </c>
    </row>
    <row r="70" customFormat="false" ht="15" hidden="false" customHeight="true" outlineLevel="0" collapsed="false">
      <c r="A70" s="19" t="s">
        <v>2383</v>
      </c>
      <c r="C70" s="30" t="n">
        <f aca="false">J32</f>
        <v>49.566352</v>
      </c>
      <c r="D70" s="30" t="n">
        <f aca="false">K32</f>
        <v>51.291352</v>
      </c>
      <c r="E70" s="201" t="n">
        <f aca="false">ABS(D70-C70)</f>
        <v>1.725</v>
      </c>
      <c r="F70" s="124" t="n">
        <f aca="false">J54</f>
        <v>12.6715710949758</v>
      </c>
      <c r="G70" s="124" t="n">
        <f aca="false">K54</f>
        <v>12.8976827982116</v>
      </c>
      <c r="H70" s="125" t="n">
        <f aca="false">ABS(G70-F70)</f>
        <v>0.226111703235793</v>
      </c>
      <c r="I70" s="124" t="n">
        <f aca="false">J57</f>
        <v>4.9582043870825</v>
      </c>
      <c r="J70" s="124" t="n">
        <f aca="false">K57</f>
        <v>5.04667865996874</v>
      </c>
    </row>
    <row r="71" customFormat="false" ht="15" hidden="false" customHeight="true" outlineLevel="0" collapsed="false">
      <c r="A71" s="19" t="s">
        <v>2384</v>
      </c>
      <c r="C71" s="30" t="n">
        <f aca="false">L32</f>
        <v>49.451352</v>
      </c>
      <c r="D71" s="30" t="n">
        <f aca="false">M32</f>
        <v>51.406352</v>
      </c>
      <c r="E71" s="201" t="n">
        <f aca="false">ABS(D71-C71)</f>
        <v>1.955</v>
      </c>
      <c r="F71" s="124" t="n">
        <f aca="false">L54</f>
        <v>12.6473357783282</v>
      </c>
      <c r="G71" s="124" t="n">
        <f aca="false">M54</f>
        <v>12.9258443447585</v>
      </c>
      <c r="H71" s="125" t="n">
        <f aca="false">ABS(G71-F71)</f>
        <v>0.278508566430325</v>
      </c>
      <c r="I71" s="124" t="n">
        <f aca="false">L57</f>
        <v>4.94872145458551</v>
      </c>
      <c r="J71" s="124" t="n">
        <f aca="false">M57</f>
        <v>5.05769787002483</v>
      </c>
    </row>
    <row r="72" customFormat="false" ht="15" hidden="false" customHeight="true" outlineLevel="0" collapsed="false">
      <c r="A72" s="14" t="s">
        <v>2385</v>
      </c>
      <c r="C72" s="30" t="n">
        <f aca="false">N32</f>
        <v>50.256352</v>
      </c>
      <c r="D72" s="30" t="n">
        <f aca="false">O32</f>
        <v>50.256352</v>
      </c>
      <c r="E72" s="201" t="n">
        <f aca="false">ABS(D72-C72)</f>
        <v>0</v>
      </c>
      <c r="F72" s="124" t="n">
        <f aca="false">N54</f>
        <v>11.8523553706435</v>
      </c>
      <c r="G72" s="124" t="n">
        <f aca="false">O54</f>
        <v>15.9893086299813</v>
      </c>
      <c r="H72" s="125" t="n">
        <f aca="false">ABS(G72-F72)</f>
        <v>4.13695325933781</v>
      </c>
      <c r="I72" s="124" t="n">
        <f aca="false">N57</f>
        <v>4.63765700050295</v>
      </c>
      <c r="J72" s="124" t="n">
        <f aca="false">O57</f>
        <v>6.25638759403897</v>
      </c>
    </row>
    <row r="73" customFormat="false" ht="15" hidden="false" customHeight="true" outlineLevel="0" collapsed="false">
      <c r="A73" s="14" t="s">
        <v>854</v>
      </c>
      <c r="C73" s="30" t="n">
        <f aca="false">P32</f>
        <v>50.256352</v>
      </c>
      <c r="D73" s="30" t="n">
        <f aca="false">Q32</f>
        <v>50.256352</v>
      </c>
      <c r="E73" s="201" t="n">
        <f aca="false">ABS(D73-C73)</f>
        <v>0</v>
      </c>
      <c r="F73" s="124" t="n">
        <f aca="false">P54</f>
        <v>12.0614158311943</v>
      </c>
      <c r="G73" s="124" t="n">
        <f aca="false">Q54</f>
        <v>13.8536445136182</v>
      </c>
      <c r="H73" s="125" t="n">
        <f aca="false">ABS(G73-F73)</f>
        <v>1.79222868242385</v>
      </c>
      <c r="I73" s="124" t="n">
        <f aca="false">P57</f>
        <v>4.71945936620012</v>
      </c>
      <c r="J73" s="124" t="n">
        <f aca="false">Q57</f>
        <v>5.42073279545723</v>
      </c>
    </row>
    <row r="74" customFormat="false" ht="15" hidden="false" customHeight="true" outlineLevel="0" collapsed="false">
      <c r="A74" s="19" t="s">
        <v>80</v>
      </c>
      <c r="C74" s="30" t="n">
        <f aca="false">R32</f>
        <v>50.256352</v>
      </c>
      <c r="D74" s="30" t="n">
        <f aca="false">S32</f>
        <v>50.256352</v>
      </c>
      <c r="E74" s="201" t="n">
        <f aca="false">ABS(D74-C74)</f>
        <v>0</v>
      </c>
      <c r="F74" s="124" t="n">
        <f aca="false">R54</f>
        <v>12.5938237762701</v>
      </c>
      <c r="G74" s="124" t="n">
        <f aca="false">S54</f>
        <v>12.9302077762701</v>
      </c>
      <c r="H74" s="125" t="n">
        <f aca="false">ABS(G74-F74)</f>
        <v>0.336384000000001</v>
      </c>
      <c r="I74" s="124" t="n">
        <f aca="false">R57</f>
        <v>4.92778297415736</v>
      </c>
      <c r="J74" s="124" t="n">
        <f aca="false">S57</f>
        <v>5.05940521831663</v>
      </c>
    </row>
    <row r="75" customFormat="false" ht="15" hidden="false" customHeight="true" outlineLevel="0" collapsed="false">
      <c r="A75" s="14" t="s">
        <v>74</v>
      </c>
      <c r="C75" s="30" t="n">
        <f aca="false">T32</f>
        <v>50.256352</v>
      </c>
      <c r="D75" s="30" t="n">
        <f aca="false">U32</f>
        <v>50.256352</v>
      </c>
      <c r="E75" s="201" t="n">
        <f aca="false">ABS(D75-C75)</f>
        <v>0</v>
      </c>
      <c r="F75" s="124" t="n">
        <f aca="false">T54</f>
        <v>12.7059517762701</v>
      </c>
      <c r="G75" s="124" t="n">
        <f aca="false">U54</f>
        <v>12.8180797762701</v>
      </c>
      <c r="H75" s="125" t="n">
        <f aca="false">ABS(G75-F75)</f>
        <v>0.112128</v>
      </c>
      <c r="I75" s="124" t="n">
        <f aca="false">T57</f>
        <v>4.97165705554378</v>
      </c>
      <c r="J75" s="124" t="n">
        <f aca="false">U57</f>
        <v>5.01553113693021</v>
      </c>
    </row>
    <row r="76" customFormat="false" ht="15" hidden="false" customHeight="true" outlineLevel="0" collapsed="false">
      <c r="A76" s="19" t="s">
        <v>2386</v>
      </c>
      <c r="C76" s="30" t="n">
        <f aca="false">V32</f>
        <v>50.256352</v>
      </c>
      <c r="D76" s="30" t="n">
        <f aca="false">W32</f>
        <v>50.256352</v>
      </c>
      <c r="E76" s="201" t="n">
        <f aca="false">ABS(D76-C76)</f>
        <v>0</v>
      </c>
      <c r="F76" s="124" t="n">
        <f aca="false">V54</f>
        <v>12.6779197762701</v>
      </c>
      <c r="G76" s="124" t="n">
        <f aca="false">W54</f>
        <v>12.8461117762701</v>
      </c>
      <c r="H76" s="125" t="n">
        <f aca="false">ABS(G76-F76)</f>
        <v>0.168191999999999</v>
      </c>
      <c r="I76" s="124" t="n">
        <f aca="false">V57</f>
        <v>4.96068853519718</v>
      </c>
      <c r="J76" s="124" t="n">
        <f aca="false">W57</f>
        <v>5.02649965727681</v>
      </c>
    </row>
    <row r="77" customFormat="false" ht="15" hidden="false" customHeight="true" outlineLevel="0" collapsed="false">
      <c r="A77" s="19" t="s">
        <v>2387</v>
      </c>
      <c r="C77" s="30" t="n">
        <f aca="false">X32</f>
        <v>51.49006</v>
      </c>
      <c r="D77" s="30" t="n">
        <f aca="false">Y32</f>
        <v>48.623776</v>
      </c>
      <c r="E77" s="201" t="n">
        <f aca="false">ABS(D77-C77)</f>
        <v>2.86628400000001</v>
      </c>
      <c r="F77" s="124" t="n">
        <f aca="false">X54</f>
        <v>13.0884640182825</v>
      </c>
      <c r="G77" s="124" t="n">
        <f aca="false">Y54</f>
        <v>12.3300241176671</v>
      </c>
      <c r="H77" s="125" t="n">
        <f aca="false">ABS(G77-F77)</f>
        <v>0.75843990061543</v>
      </c>
      <c r="I77" s="124" t="n">
        <f aca="false">X57</f>
        <v>4.95857194034321</v>
      </c>
      <c r="J77" s="124" t="n">
        <f aca="false">Y57</f>
        <v>5.04363389997452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</cols>
  <sheetData>
    <row r="1" customFormat="false" ht="19.5" hidden="false" customHeight="true" outlineLevel="0" collapsed="false">
      <c r="A1" s="2" t="s">
        <v>2388</v>
      </c>
    </row>
    <row r="2" customFormat="false" ht="15" hidden="false" customHeight="true" outlineLevel="0" collapsed="false">
      <c r="A2" s="10"/>
    </row>
    <row r="3" customFormat="false" ht="15" hidden="false" customHeight="true" outlineLevel="0" collapsed="false">
      <c r="A3" s="11" t="s">
        <v>328</v>
      </c>
      <c r="B3" s="11" t="s">
        <v>2389</v>
      </c>
      <c r="C3" s="11" t="s">
        <v>2390</v>
      </c>
      <c r="D3" s="11" t="s">
        <v>55</v>
      </c>
      <c r="E3" s="11" t="s">
        <v>496</v>
      </c>
      <c r="F3" s="11" t="s">
        <v>418</v>
      </c>
    </row>
    <row r="4" customFormat="false" ht="15" hidden="false" customHeight="true" outlineLevel="0" collapsed="false">
      <c r="A4" s="14" t="s">
        <v>2391</v>
      </c>
      <c r="B4" s="167" t="n">
        <f aca="false">(DC_Cost!M33)/CTL_GW</f>
        <v>50.256352</v>
      </c>
      <c r="C4" s="202" t="str">
        <f aca="false">TEXT(SRC_DC_010_Lo,"0")&amp;"–"&amp;TEXT(SRC_DC_010_Hi,"0")</f>
        <v>50–60</v>
      </c>
      <c r="D4" s="15" t="s">
        <v>2038</v>
      </c>
      <c r="E4" s="19" t="str">
        <f aca="false">IF(AND(B4&gt;=SRC_DC_010_Lo,B4&lt;=SRC_DC_010_Hi),"落在區間",IF(B4&lt;SRC_DC_010_Lo,"低於參照","高於參照"))</f>
        <v>落在區間</v>
      </c>
      <c r="F4" s="18" t="s">
        <v>2392</v>
      </c>
    </row>
    <row r="5" customFormat="false" ht="15" hidden="false" customHeight="true" outlineLevel="0" collapsed="false">
      <c r="A5" s="14" t="s">
        <v>2393</v>
      </c>
      <c r="B5" s="167" t="n">
        <f aca="false">(DC_Cost!M19)/CTL_GW</f>
        <v>34.0368</v>
      </c>
      <c r="C5" s="167" t="n">
        <f aca="false">SRC_DC_011</f>
        <v>35</v>
      </c>
      <c r="D5" s="15" t="s">
        <v>2038</v>
      </c>
      <c r="E5" s="19" t="str">
        <f aca="false">IF(ABS(B5-C5)/C5&lt;=0.2,"±20% 內","差距 &gt;20%")</f>
        <v>±20% 內</v>
      </c>
      <c r="F5" s="18" t="s">
        <v>2394</v>
      </c>
    </row>
    <row r="6" customFormat="false" ht="15" hidden="false" customHeight="true" outlineLevel="0" collapsed="false">
      <c r="A6" s="19" t="s">
        <v>844</v>
      </c>
      <c r="B6" s="167" t="n">
        <f aca="false">DC_Cost!M36</f>
        <v>12.67</v>
      </c>
      <c r="C6" s="202" t="str">
        <f aca="false">TEXT(SRC_DC_003,"0.0")&amp;" × "&amp;TEXT(1+SRC_DC_004_Lo,"0.00")&amp;"–"&amp;TEXT(1+SRC_DC_004_Hi,"0.00")</f>
        <v>11.3 × 1.07–1.10</v>
      </c>
      <c r="D6" s="15" t="s">
        <v>92</v>
      </c>
      <c r="E6" s="19" t="str">
        <f aca="false">IF(AND(B6&gt;=SRC_DC_003*(1+SRC_DC_004_Lo)*0.9,B6&lt;=SRC_DC_003*(1+SRC_DC_004_Hi)*1.3),"合理區間","需檢查")</f>
        <v>合理區間</v>
      </c>
      <c r="F6" s="6" t="s">
        <v>2395</v>
      </c>
    </row>
    <row r="7" customFormat="false" ht="15" hidden="false" customHeight="true" outlineLevel="0" collapsed="false">
      <c r="A7" s="14" t="s">
        <v>2396</v>
      </c>
      <c r="B7" s="167" t="n">
        <f aca="false">DC_Cost!G58</f>
        <v>2.08645378736555</v>
      </c>
      <c r="C7" s="167" t="n">
        <f aca="false">SRC_DC_012</f>
        <v>2.21</v>
      </c>
      <c r="D7" s="15" t="s">
        <v>803</v>
      </c>
      <c r="E7" s="19" t="str">
        <f aca="false">IF(B7&gt;C7,"高於參照（參照假設未知）","低於參照")</f>
        <v>低於參照</v>
      </c>
      <c r="F7" s="6" t="s">
        <v>2397</v>
      </c>
    </row>
    <row r="8" customFormat="false" ht="15" hidden="false" customHeight="true" outlineLevel="0" collapsed="false">
      <c r="A8" s="14" t="s">
        <v>2398</v>
      </c>
      <c r="B8" s="167" t="n">
        <f aca="false">DC_Cost!J58</f>
        <v>2.98269559427618</v>
      </c>
      <c r="C8" s="167" t="n">
        <f aca="false">SRC_DC_013</f>
        <v>2.65</v>
      </c>
      <c r="D8" s="15" t="s">
        <v>803</v>
      </c>
      <c r="E8" s="19" t="str">
        <f aca="false">IF(B8&gt;C8,"高於參照（參照假設未知）","低於參照")</f>
        <v>高於參照（參照假設未知）</v>
      </c>
      <c r="F8" s="18" t="s">
        <v>2399</v>
      </c>
    </row>
    <row r="9" customFormat="false" ht="15" hidden="false" customHeight="true" outlineLevel="0" collapsed="false">
      <c r="A9" s="14" t="s">
        <v>2400</v>
      </c>
      <c r="B9" s="167" t="n">
        <f aca="false">DC_Cost!G58</f>
        <v>2.08645378736555</v>
      </c>
      <c r="C9" s="167" t="n">
        <f aca="false">L1!$M$30</f>
        <v>10.5</v>
      </c>
      <c r="D9" s="15" t="s">
        <v>803</v>
      </c>
      <c r="E9" s="19" t="str">
        <f aca="false">"牌價 ÷ 持有成本＝"&amp;TEXT(C9/B9,"0.0")&amp;" 倍"</f>
        <v>牌價 ÷ 持有成本＝5.0 倍</v>
      </c>
      <c r="F9" s="6" t="s">
        <v>2401</v>
      </c>
    </row>
    <row r="10" customFormat="false" ht="15" hidden="false" customHeight="true" outlineLevel="0" collapsed="false">
      <c r="A10" s="19" t="s">
        <v>2402</v>
      </c>
      <c r="B10" s="167" t="n">
        <f aca="false">DC_Cost!J58</f>
        <v>2.98269559427618</v>
      </c>
      <c r="C10" s="167" t="n">
        <f aca="false">L1!$M$31</f>
        <v>3.57</v>
      </c>
      <c r="D10" s="15" t="s">
        <v>803</v>
      </c>
      <c r="E10" s="19" t="str">
        <f aca="false">"參照 ÷ 本模型＝"&amp;TEXT(C10/B10,"0.00")</f>
        <v>參照 ÷ 本模型＝1.20</v>
      </c>
      <c r="F10" s="18" t="s">
        <v>2403</v>
      </c>
    </row>
    <row r="12" customFormat="false" ht="15" hidden="false" customHeight="true" outlineLevel="0" collapsed="false">
      <c r="A12" s="33" t="s">
        <v>2404</v>
      </c>
      <c r="B12" s="13"/>
      <c r="C12" s="13"/>
      <c r="D12" s="13"/>
      <c r="E12" s="13"/>
      <c r="F12" s="13"/>
    </row>
    <row r="13" customFormat="false" ht="15" hidden="false" customHeight="true" outlineLevel="0" collapsed="false">
      <c r="A13" s="9" t="s">
        <v>328</v>
      </c>
      <c r="B13" s="9" t="s">
        <v>2405</v>
      </c>
      <c r="C13" s="9" t="s">
        <v>2390</v>
      </c>
      <c r="D13" s="9" t="s">
        <v>55</v>
      </c>
      <c r="E13" s="9" t="s">
        <v>496</v>
      </c>
      <c r="F13" s="9" t="s">
        <v>418</v>
      </c>
    </row>
    <row r="14" customFormat="false" ht="15" hidden="false" customHeight="true" outlineLevel="0" collapsed="false">
      <c r="A14" s="5" t="s">
        <v>2406</v>
      </c>
      <c r="B14" s="189" t="n">
        <f aca="false">Calib!C86</f>
        <v>1</v>
      </c>
      <c r="C14" s="35" t="s">
        <v>2407</v>
      </c>
      <c r="D14" s="35" t="s">
        <v>75</v>
      </c>
      <c r="E14" s="86" t="s">
        <v>2408</v>
      </c>
      <c r="F14" s="36" t="s">
        <v>2409</v>
      </c>
    </row>
    <row r="15" customFormat="false" ht="26.25" hidden="false" customHeight="true" outlineLevel="0" collapsed="false">
      <c r="A15" s="5" t="s">
        <v>2410</v>
      </c>
      <c r="B15" s="189" t="n">
        <f aca="false">Calib!E86</f>
        <v>0.99108369917347</v>
      </c>
      <c r="C15" s="40" t="n">
        <f aca="false">SRC_PERF_004</f>
        <v>11200</v>
      </c>
      <c r="D15" s="34" t="s">
        <v>2411</v>
      </c>
      <c r="E15" s="80" t="s">
        <v>2412</v>
      </c>
      <c r="F15" s="36" t="s">
        <v>2413</v>
      </c>
    </row>
    <row r="16" customFormat="false" ht="26.25" hidden="false" customHeight="true" outlineLevel="0" collapsed="false">
      <c r="A16" s="5" t="s">
        <v>2414</v>
      </c>
      <c r="B16" s="189" t="n">
        <f aca="false">Calib!F86</f>
        <v>2.18428412747673</v>
      </c>
      <c r="C16" s="40" t="n">
        <f aca="false">SRC_PERF_001</f>
        <v>6182</v>
      </c>
      <c r="D16" s="34" t="s">
        <v>2411</v>
      </c>
      <c r="E16" s="86" t="s">
        <v>2415</v>
      </c>
      <c r="F16" s="36" t="s">
        <v>2416</v>
      </c>
    </row>
    <row r="17" customFormat="false" ht="26.25" hidden="false" customHeight="true" outlineLevel="0" collapsed="false">
      <c r="A17" s="5" t="s">
        <v>2417</v>
      </c>
      <c r="B17" s="189" t="n">
        <f aca="false">Calib!G86</f>
        <v>4.1124545381639</v>
      </c>
      <c r="C17" s="40" t="n">
        <f aca="false">SRC_PERF_002</f>
        <v>2189</v>
      </c>
      <c r="D17" s="34" t="s">
        <v>2411</v>
      </c>
      <c r="E17" s="86" t="s">
        <v>2418</v>
      </c>
      <c r="F17" s="36" t="s">
        <v>2419</v>
      </c>
    </row>
    <row r="18" customFormat="false" ht="15" hidden="false" customHeight="true" outlineLevel="0" collapsed="false">
      <c r="A18" s="5" t="s">
        <v>2420</v>
      </c>
      <c r="B18" s="189" t="n">
        <f aca="false">Calib!H86</f>
        <v>1.00253190991747</v>
      </c>
      <c r="C18" s="40" t="n">
        <f aca="false">SRC_PERF_014</f>
        <v>3795.5</v>
      </c>
      <c r="D18" s="34" t="s">
        <v>2411</v>
      </c>
      <c r="E18" s="86" t="s">
        <v>2421</v>
      </c>
      <c r="F18" s="36" t="s">
        <v>2422</v>
      </c>
    </row>
    <row r="19" customFormat="false" ht="29.25" hidden="false" customHeight="true" outlineLevel="0" collapsed="false">
      <c r="A19" s="6" t="s">
        <v>2423</v>
      </c>
      <c r="B19" s="189" t="n">
        <f aca="false">DC_Cost!J58/(Calib!C17*3600)*1000000</f>
        <v>0.088687399403304</v>
      </c>
      <c r="C19" s="182" t="n">
        <f aca="false">SRC_PERF_011</f>
        <v>0.078</v>
      </c>
      <c r="D19" s="35" t="s">
        <v>2118</v>
      </c>
      <c r="E19" s="86" t="s">
        <v>2424</v>
      </c>
      <c r="F19" s="36" t="s">
        <v>2425</v>
      </c>
    </row>
    <row r="20" customFormat="false" ht="39" hidden="false" customHeight="true" outlineLevel="0" collapsed="false">
      <c r="A20" s="6" t="s">
        <v>2426</v>
      </c>
      <c r="B20" s="189" t="n">
        <f aca="false">Sens_Perf!C120</f>
        <v>1.56528522129431</v>
      </c>
      <c r="C20" s="182" t="n">
        <f aca="false">DC_Cost!M55/DC_Cost!J55</f>
        <v>1.00292889298276</v>
      </c>
      <c r="D20" s="35" t="s">
        <v>75</v>
      </c>
      <c r="E20" s="86" t="s">
        <v>2427</v>
      </c>
      <c r="F20" s="36" t="s">
        <v>2428</v>
      </c>
    </row>
    <row r="21" customFormat="false" ht="39" hidden="false" customHeight="true" outlineLevel="0" collapsed="false">
      <c r="A21" s="6" t="s">
        <v>2429</v>
      </c>
      <c r="B21" s="189" t="n">
        <f aca="false">DC_Cost!J11*Inputs!$E$10/72</f>
        <v>1.51111111111111</v>
      </c>
      <c r="C21" s="35" t="s">
        <v>2430</v>
      </c>
      <c r="D21" s="35" t="s">
        <v>2431</v>
      </c>
      <c r="E21" s="80" t="s">
        <v>2432</v>
      </c>
      <c r="F21" s="36" t="s">
        <v>419</v>
      </c>
    </row>
    <row r="22" customFormat="false" ht="29.25" hidden="false" customHeight="true" outlineLevel="0" collapsed="false">
      <c r="A22" s="6" t="s">
        <v>2433</v>
      </c>
      <c r="B22" s="189" t="n">
        <f aca="false">Sens_Perf!C121</f>
        <v>0.613909623905938</v>
      </c>
      <c r="C22" s="35" t="s">
        <v>2434</v>
      </c>
      <c r="D22" s="35" t="s">
        <v>75</v>
      </c>
      <c r="E22" s="86"/>
      <c r="F22" s="36" t="s">
        <v>2428</v>
      </c>
    </row>
    <row r="23" customFormat="false" ht="15" hidden="false" customHeight="true" outlineLevel="0" collapsed="false">
      <c r="A23" s="5" t="s">
        <v>2435</v>
      </c>
      <c r="B23" s="189" t="n">
        <f aca="false">Calib!C149</f>
        <v>0.702796711119185</v>
      </c>
      <c r="C23" s="35" t="s">
        <v>2407</v>
      </c>
      <c r="D23" s="35" t="s">
        <v>75</v>
      </c>
      <c r="E23" s="80" t="s">
        <v>2436</v>
      </c>
      <c r="F23" s="36" t="s">
        <v>2437</v>
      </c>
    </row>
    <row r="24" customFormat="false" ht="15" hidden="false" customHeight="true" outlineLevel="0" collapsed="false">
      <c r="A24" s="5" t="s">
        <v>2438</v>
      </c>
      <c r="B24" s="189" t="n">
        <f aca="false">Calib!C150</f>
        <v>2.5251262330147</v>
      </c>
      <c r="C24" s="172" t="n">
        <f aca="false">Calib!C151</f>
        <v>2.5748897461993</v>
      </c>
      <c r="D24" s="35" t="s">
        <v>75</v>
      </c>
      <c r="E24" s="86" t="s">
        <v>2439</v>
      </c>
      <c r="F24" s="36" t="s">
        <v>2440</v>
      </c>
    </row>
    <row r="25" customFormat="false" ht="39" hidden="false" customHeight="true" outlineLevel="0" collapsed="false">
      <c r="A25" s="5" t="s">
        <v>2441</v>
      </c>
      <c r="B25" s="189" t="n">
        <f aca="false">Calib!C152</f>
        <v>1.5</v>
      </c>
      <c r="C25" s="172" t="n">
        <f aca="false">Calib!D152</f>
        <v>1.05487728759394</v>
      </c>
      <c r="D25" s="35" t="s">
        <v>75</v>
      </c>
      <c r="E25" s="80" t="s">
        <v>2442</v>
      </c>
      <c r="F25" s="36" t="s">
        <v>2443</v>
      </c>
    </row>
    <row r="26" customFormat="false" ht="15" hidden="false" customHeight="true" outlineLevel="0" collapsed="false">
      <c r="A26" s="5" t="s">
        <v>2444</v>
      </c>
      <c r="B26" s="203" t="n">
        <f aca="false">MAX(Perf!C116:Q116)</f>
        <v>0.067482803137983</v>
      </c>
      <c r="C26" s="35" t="s">
        <v>2445</v>
      </c>
      <c r="D26" s="35" t="s">
        <v>71</v>
      </c>
      <c r="E26" s="86" t="s">
        <v>2446</v>
      </c>
      <c r="F26" s="36" t="s">
        <v>2447</v>
      </c>
    </row>
    <row r="27" customFormat="false" ht="15" hidden="false" customHeight="true" outlineLevel="0" collapsed="false">
      <c r="A27" s="6" t="s">
        <v>2448</v>
      </c>
      <c r="B27" s="189" t="n">
        <f aca="false">COUNTIF(Perf!C90:Q90,"SLO 不可達")</f>
        <v>0</v>
      </c>
      <c r="C27" s="35" t="s">
        <v>571</v>
      </c>
      <c r="D27" s="34" t="s">
        <v>2449</v>
      </c>
      <c r="E27" s="80" t="s">
        <v>2450</v>
      </c>
      <c r="F27" s="36" t="s">
        <v>2451</v>
      </c>
    </row>
    <row r="28" customFormat="false" ht="39" hidden="false" customHeight="true" outlineLevel="0" collapsed="false">
      <c r="A28" s="5" t="s">
        <v>2452</v>
      </c>
      <c r="B28" s="189" t="n">
        <f aca="false">((8*1.32+3.96)/9)/((8*Unit_Cost!J32+Unit_Cost!J34)/9)</f>
        <v>11.5320709000744</v>
      </c>
      <c r="C28" s="35" t="s">
        <v>571</v>
      </c>
      <c r="D28" s="35" t="s">
        <v>75</v>
      </c>
      <c r="E28" s="80" t="s">
        <v>2453</v>
      </c>
      <c r="F28" s="36" t="s">
        <v>2454</v>
      </c>
    </row>
    <row r="30" customFormat="false" ht="15" hidden="false" customHeight="true" outlineLevel="0" collapsed="false">
      <c r="A30" s="33" t="s">
        <v>2455</v>
      </c>
      <c r="B30" s="13"/>
      <c r="C30" s="13"/>
      <c r="D30" s="13"/>
      <c r="E30" s="13"/>
      <c r="F30" s="13"/>
    </row>
    <row r="31" customFormat="false" ht="15" hidden="false" customHeight="true" outlineLevel="0" collapsed="false">
      <c r="A31" s="9" t="s">
        <v>328</v>
      </c>
      <c r="B31" s="9" t="s">
        <v>2405</v>
      </c>
      <c r="C31" s="9" t="s">
        <v>2390</v>
      </c>
      <c r="D31" s="9" t="s">
        <v>55</v>
      </c>
      <c r="E31" s="9" t="s">
        <v>496</v>
      </c>
      <c r="F31" s="9" t="s">
        <v>418</v>
      </c>
    </row>
    <row r="32" customFormat="false" ht="39" hidden="false" customHeight="true" outlineLevel="0" collapsed="false">
      <c r="A32" s="6" t="s">
        <v>2456</v>
      </c>
      <c r="B32" s="177" t="n">
        <f aca="false">3*(2*Calib!$C$101*1000000000+Calib!$C$109*Train_In!$C$43/2)*Train_In!$C$41*1000000000000/(Train_In!$C$42*1000000*3600*Spec_Rack!$C$40*1000000000000000)</f>
        <v>0.197055428667677</v>
      </c>
      <c r="C32" s="176" t="n">
        <f aca="false">Training!C16</f>
        <v>0.25</v>
      </c>
      <c r="D32" s="35" t="s">
        <v>71</v>
      </c>
      <c r="E32" s="86" t="s">
        <v>2457</v>
      </c>
      <c r="F32" s="36" t="s">
        <v>935</v>
      </c>
    </row>
    <row r="33" customFormat="false" ht="26.25" hidden="false" customHeight="true" outlineLevel="0" collapsed="false">
      <c r="A33" s="6" t="s">
        <v>2458</v>
      </c>
      <c r="B33" s="189" t="n">
        <f aca="false">Training!N78</f>
        <v>0.972034022206469</v>
      </c>
      <c r="C33" s="42" t="n">
        <f aca="false">L1!$M$33</f>
        <v>1</v>
      </c>
      <c r="D33" s="35" t="s">
        <v>75</v>
      </c>
      <c r="E33" s="80" t="s">
        <v>2459</v>
      </c>
      <c r="F33" s="36" t="s">
        <v>2460</v>
      </c>
    </row>
    <row r="34" customFormat="false" ht="26.25" hidden="false" customHeight="true" outlineLevel="0" collapsed="false">
      <c r="A34" s="6" t="s">
        <v>2461</v>
      </c>
      <c r="B34" s="189" t="n">
        <f aca="false">Training!M78</f>
        <v>0.324106750891038</v>
      </c>
      <c r="C34" s="42" t="n">
        <f aca="false">L1!$M$32</f>
        <v>0.0551801801801802</v>
      </c>
      <c r="D34" s="35" t="s">
        <v>75</v>
      </c>
      <c r="E34" s="80" t="s">
        <v>2462</v>
      </c>
      <c r="F34" s="36" t="s">
        <v>2463</v>
      </c>
    </row>
    <row r="35" customFormat="false" ht="15" hidden="false" customHeight="true" outlineLevel="0" collapsed="false">
      <c r="A35" s="6" t="s">
        <v>2464</v>
      </c>
      <c r="B35" s="177" t="n">
        <f aca="false">Training!N77</f>
        <v>0.0788337934960808</v>
      </c>
      <c r="C35" s="195" t="s">
        <v>2465</v>
      </c>
      <c r="D35" s="35" t="s">
        <v>71</v>
      </c>
      <c r="E35" s="86" t="s">
        <v>2466</v>
      </c>
      <c r="F35" s="46" t="s">
        <v>2467</v>
      </c>
    </row>
    <row r="36" customFormat="false" ht="29.25" hidden="false" customHeight="true" outlineLevel="0" collapsed="false">
      <c r="A36" s="5" t="s">
        <v>2468</v>
      </c>
      <c r="B36" s="177" t="n">
        <f aca="false">Training!N111-Training!N110</f>
        <v>0.215357561648918</v>
      </c>
      <c r="C36" s="195" t="s">
        <v>2469</v>
      </c>
      <c r="D36" s="35" t="s">
        <v>71</v>
      </c>
      <c r="E36" s="80" t="s">
        <v>2470</v>
      </c>
      <c r="F36" s="36" t="s">
        <v>2471</v>
      </c>
    </row>
    <row r="37" customFormat="false" ht="15" hidden="false" customHeight="true" outlineLevel="0" collapsed="false">
      <c r="A37" s="5" t="s">
        <v>2472</v>
      </c>
      <c r="B37" s="177" t="n">
        <f aca="false">1/Train_In!$C$13</f>
        <v>0.125</v>
      </c>
      <c r="C37" s="176" t="str">
        <f aca="false">TEXT(L1!$M$34*100,"0.0")&amp;"%–"&amp;TEXT(L1!$N$34*100,"0.0")&amp;"%"</f>
        <v>9.6%–22.6%</v>
      </c>
      <c r="D37" s="35" t="s">
        <v>71</v>
      </c>
      <c r="E37" s="80" t="s">
        <v>2473</v>
      </c>
      <c r="F37" s="36" t="s">
        <v>2474</v>
      </c>
    </row>
    <row r="38" customFormat="false" ht="36.75" hidden="false" customHeight="true" outlineLevel="0" collapsed="false">
      <c r="A38" s="5" t="s">
        <v>2475</v>
      </c>
      <c r="B38" s="189" t="n">
        <f aca="false">Train_In!$C$47/(Training!N34*1000000000)/1000000000000</f>
        <v>438.443429242364</v>
      </c>
      <c r="C38" s="42" t="n">
        <f aca="false">Training!N31</f>
        <v>60</v>
      </c>
      <c r="D38" s="35" t="s">
        <v>904</v>
      </c>
      <c r="E38" s="80" t="s">
        <v>2476</v>
      </c>
      <c r="F38" s="36" t="s">
        <v>2477</v>
      </c>
    </row>
    <row r="39" customFormat="false" ht="29.25" hidden="false" customHeight="true" outlineLevel="0" collapsed="false">
      <c r="A39" s="6" t="s">
        <v>2478</v>
      </c>
      <c r="B39" s="177" t="n">
        <f aca="false">Training!N117</f>
        <v>0.00458050701268939</v>
      </c>
      <c r="C39" s="176" t="n">
        <f aca="false">Training!K117</f>
        <v>0.00819830093710954</v>
      </c>
      <c r="D39" s="35" t="s">
        <v>71</v>
      </c>
      <c r="E39" s="86" t="s">
        <v>2479</v>
      </c>
      <c r="F39" s="36" t="s">
        <v>2480</v>
      </c>
    </row>
    <row r="41" customFormat="false" ht="15" hidden="false" customHeight="true" outlineLevel="0" collapsed="false">
      <c r="A41" s="33" t="s">
        <v>2481</v>
      </c>
      <c r="B41" s="13"/>
      <c r="C41" s="13"/>
      <c r="D41" s="13"/>
      <c r="E41" s="13"/>
      <c r="F41" s="13"/>
    </row>
    <row r="42" customFormat="false" ht="15" hidden="false" customHeight="true" outlineLevel="0" collapsed="false">
      <c r="A42" s="9" t="s">
        <v>328</v>
      </c>
      <c r="B42" s="9" t="s">
        <v>2405</v>
      </c>
      <c r="C42" s="9" t="s">
        <v>2390</v>
      </c>
      <c r="D42" s="9" t="s">
        <v>55</v>
      </c>
      <c r="E42" s="9" t="s">
        <v>496</v>
      </c>
      <c r="F42" s="9" t="s">
        <v>418</v>
      </c>
      <c r="H42" s="9" t="s">
        <v>2482</v>
      </c>
    </row>
    <row r="43" customFormat="false" ht="51.75" hidden="false" customHeight="true" outlineLevel="0" collapsed="false">
      <c r="A43" s="6" t="s">
        <v>2483</v>
      </c>
      <c r="B43" s="189" t="n">
        <f aca="false">IF(AND(ISNUMBER(Theory_Rev!D67),ISNUMBER(Theory_Rev!G67)),$I$46*Theory_Rev!D67+(1-$I$46)*Theory_Rev!G67,"SLO 不可達")</f>
        <v>10.9578708377053</v>
      </c>
      <c r="C43" s="42" t="n">
        <f aca="false">L1!$M$35</f>
        <v>10.456</v>
      </c>
      <c r="D43" s="35" t="s">
        <v>2484</v>
      </c>
      <c r="E43" s="86" t="s">
        <v>2485</v>
      </c>
      <c r="F43" s="36" t="s">
        <v>2486</v>
      </c>
      <c r="H43" s="36" t="s">
        <v>2487</v>
      </c>
      <c r="I43" s="172" t="n">
        <f aca="false">SRC_DEM_007</f>
        <v>13.07</v>
      </c>
    </row>
    <row r="44" customFormat="false" ht="43.5" hidden="false" customHeight="true" outlineLevel="0" collapsed="false">
      <c r="A44" s="6" t="s">
        <v>2488</v>
      </c>
      <c r="B44" s="189" t="n">
        <f aca="false">IF(ISNUMBER(Unit_Cost!D34),INDEX(B4_MktOut,8,1)/Unit_Cost!D34,"SLO 不可達")</f>
        <v>0.902840925032714</v>
      </c>
      <c r="C44" s="204" t="s">
        <v>2489</v>
      </c>
      <c r="D44" s="35" t="s">
        <v>75</v>
      </c>
      <c r="E44" s="80" t="s">
        <v>2490</v>
      </c>
      <c r="F44" s="36" t="s">
        <v>2491</v>
      </c>
      <c r="H44" s="36" t="s">
        <v>2492</v>
      </c>
      <c r="I44" s="172" t="n">
        <f aca="false">SRC_DEM_008</f>
        <v>0.6</v>
      </c>
    </row>
    <row r="45" customFormat="false" ht="29.25" hidden="false" customHeight="true" outlineLevel="0" collapsed="false">
      <c r="A45" s="6" t="s">
        <v>2493</v>
      </c>
      <c r="B45" s="189" t="n">
        <f aca="false">IF(ISNUMBER(Unit_Cost!D31),INDEX(B4_MktOut,8,1)*B4_OffPeak/Unit_Cost!D31,"SLO 不可達")</f>
        <v>0.752367437527262</v>
      </c>
      <c r="C45" s="204" t="s">
        <v>2489</v>
      </c>
      <c r="D45" s="35" t="s">
        <v>75</v>
      </c>
      <c r="E45" s="86"/>
      <c r="F45" s="36" t="s">
        <v>2494</v>
      </c>
      <c r="H45" s="36" t="s">
        <v>2495</v>
      </c>
      <c r="I45" s="172" t="n">
        <f aca="false">SRC_DEM_009</f>
        <v>1.9</v>
      </c>
    </row>
    <row r="46" customFormat="false" ht="43.5" hidden="false" customHeight="true" outlineLevel="0" collapsed="false">
      <c r="A46" s="6" t="s">
        <v>2496</v>
      </c>
      <c r="B46" s="189" t="n">
        <f aca="false">IF(ISNUMBER(Unit_Cost!D21),INDEX(B4_MktOut,7,1)/Unit_Cost!D21,"SLO 不可達")</f>
        <v>0.938945282345837</v>
      </c>
      <c r="C46" s="204" t="s">
        <v>2489</v>
      </c>
      <c r="D46" s="35" t="s">
        <v>75</v>
      </c>
      <c r="E46" s="80" t="s">
        <v>2497</v>
      </c>
      <c r="F46" s="36" t="s">
        <v>2494</v>
      </c>
      <c r="H46" s="36" t="s">
        <v>2498</v>
      </c>
      <c r="I46" s="45" t="n">
        <v>0.57</v>
      </c>
      <c r="J46" s="50" t="s">
        <v>2499</v>
      </c>
    </row>
    <row r="47" customFormat="false" ht="15" hidden="false" customHeight="true" outlineLevel="0" collapsed="false">
      <c r="A47" s="5" t="s">
        <v>2500</v>
      </c>
      <c r="B47" s="189" t="str">
        <f aca="false">Price_Frontier!C26</f>
        <v>GPT-6 Luna</v>
      </c>
      <c r="C47" s="204" t="s">
        <v>571</v>
      </c>
      <c r="D47" s="34"/>
      <c r="E47" s="80" t="s">
        <v>2501</v>
      </c>
      <c r="F47" s="36" t="s">
        <v>2502</v>
      </c>
    </row>
    <row r="48" customFormat="false" ht="15" hidden="false" customHeight="true" outlineLevel="0" collapsed="false">
      <c r="A48" s="5" t="s">
        <v>2503</v>
      </c>
      <c r="B48" s="189" t="str">
        <f aca="false">Price_Frontier!D26</f>
        <v>GPT-6 Sol</v>
      </c>
      <c r="C48" s="204" t="s">
        <v>571</v>
      </c>
      <c r="D48" s="34"/>
      <c r="E48" s="86"/>
      <c r="F48" s="36" t="s">
        <v>2502</v>
      </c>
    </row>
    <row r="49" customFormat="false" ht="39" hidden="false" customHeight="true" outlineLevel="0" collapsed="false">
      <c r="A49" s="5" t="s">
        <v>2504</v>
      </c>
      <c r="B49" s="189" t="str">
        <f aca="false">Price_Frontier!E26</f>
        <v>Claude Fable 5.1</v>
      </c>
      <c r="C49" s="204" t="s">
        <v>571</v>
      </c>
      <c r="D49" s="34"/>
      <c r="E49" s="80" t="s">
        <v>2505</v>
      </c>
      <c r="F49" s="36" t="s">
        <v>2502</v>
      </c>
    </row>
    <row r="50" customFormat="false" ht="26.25" hidden="false" customHeight="true" outlineLevel="0" collapsed="false">
      <c r="A50" s="5" t="s">
        <v>2506</v>
      </c>
      <c r="B50" s="189" t="n">
        <f aca="false">Price_Frontier!C33</f>
        <v>1.29646017699115</v>
      </c>
      <c r="C50" s="204" t="s">
        <v>2507</v>
      </c>
      <c r="D50" s="35" t="s">
        <v>75</v>
      </c>
      <c r="E50" s="80" t="s">
        <v>2508</v>
      </c>
      <c r="F50" s="36" t="s">
        <v>2502</v>
      </c>
    </row>
    <row r="51" customFormat="false" ht="29.25" hidden="false" customHeight="true" outlineLevel="0" collapsed="false">
      <c r="A51" s="5" t="s">
        <v>2509</v>
      </c>
      <c r="B51" s="189" t="n">
        <f aca="false">Fleet_1GW!M34</f>
        <v>13.2983964044635</v>
      </c>
      <c r="C51" s="204" t="s">
        <v>2510</v>
      </c>
      <c r="D51" s="34" t="s">
        <v>287</v>
      </c>
      <c r="E51" s="86" t="s">
        <v>2511</v>
      </c>
      <c r="F51" s="36" t="s">
        <v>2512</v>
      </c>
    </row>
    <row r="52" customFormat="false" ht="29.25" hidden="false" customHeight="true" outlineLevel="0" collapsed="false">
      <c r="A52" s="6" t="s">
        <v>2513</v>
      </c>
      <c r="B52" s="189" t="n">
        <f aca="false">Fleet_1GW!M30</f>
        <v>0</v>
      </c>
      <c r="C52" s="204" t="s">
        <v>2514</v>
      </c>
      <c r="D52" s="35" t="s">
        <v>63</v>
      </c>
      <c r="E52" s="86"/>
      <c r="F52" s="36" t="s">
        <v>2512</v>
      </c>
    </row>
    <row r="53" customFormat="false" ht="29.25" hidden="false" customHeight="true" outlineLevel="0" collapsed="false">
      <c r="A53" s="5" t="s">
        <v>2515</v>
      </c>
      <c r="B53" s="178" t="n">
        <f aca="false">Amortize!M22/INDEX(B4_EffRef,1,2)</f>
        <v>0.00251193059849802</v>
      </c>
      <c r="C53" s="204" t="s">
        <v>571</v>
      </c>
      <c r="D53" s="35" t="s">
        <v>71</v>
      </c>
      <c r="E53" s="86" t="s">
        <v>2516</v>
      </c>
      <c r="F53" s="36" t="s">
        <v>2517</v>
      </c>
    </row>
    <row r="54" customFormat="false" ht="39" hidden="false" customHeight="true" outlineLevel="0" collapsed="false">
      <c r="A54" s="6" t="s">
        <v>2518</v>
      </c>
      <c r="B54" s="189" t="n">
        <f aca="false">Amortize!M41</f>
        <v>8.95986331195781</v>
      </c>
      <c r="C54" s="204" t="s">
        <v>2519</v>
      </c>
      <c r="D54" s="35" t="s">
        <v>75</v>
      </c>
      <c r="E54" s="86" t="s">
        <v>2520</v>
      </c>
      <c r="F54" s="36" t="s">
        <v>2517</v>
      </c>
    </row>
    <row r="55" customFormat="false" ht="29.25" hidden="false" customHeight="true" outlineLevel="0" collapsed="false">
      <c r="A55" s="6" t="s">
        <v>2521</v>
      </c>
      <c r="B55" s="178" t="n">
        <f aca="false">Amortize!M47/INDEX(B4_EffRef,1,3)</f>
        <v>0.186518204752821</v>
      </c>
      <c r="C55" s="204" t="s">
        <v>571</v>
      </c>
      <c r="D55" s="35" t="s">
        <v>71</v>
      </c>
      <c r="E55" s="86" t="s">
        <v>2522</v>
      </c>
      <c r="F55" s="36" t="s">
        <v>2517</v>
      </c>
    </row>
    <row r="56" customFormat="false" ht="29.25" hidden="false" customHeight="true" outlineLevel="0" collapsed="false">
      <c r="A56" s="5" t="s">
        <v>2523</v>
      </c>
      <c r="B56" s="189" t="n">
        <f aca="false">Theory_Rev!M64+Theory_Rev!M65+Theory_Rev!M66-Theory_Rev!M67</f>
        <v>0</v>
      </c>
      <c r="C56" s="204" t="s">
        <v>2514</v>
      </c>
      <c r="D56" s="35" t="s">
        <v>1349</v>
      </c>
      <c r="E56" s="86"/>
      <c r="F56" s="36" t="s">
        <v>2524</v>
      </c>
    </row>
    <row r="58" customFormat="false" ht="15" hidden="false" customHeight="true" outlineLevel="0" collapsed="false">
      <c r="A58" s="33" t="s">
        <v>2525</v>
      </c>
      <c r="B58" s="13"/>
      <c r="C58" s="13"/>
      <c r="D58" s="13"/>
      <c r="E58" s="13"/>
      <c r="F58" s="13"/>
    </row>
    <row r="59" customFormat="false" ht="15" hidden="false" customHeight="true" outlineLevel="0" collapsed="false">
      <c r="A59" s="9" t="s">
        <v>328</v>
      </c>
      <c r="B59" s="9" t="s">
        <v>2405</v>
      </c>
      <c r="C59" s="9" t="s">
        <v>2390</v>
      </c>
      <c r="D59" s="9" t="s">
        <v>55</v>
      </c>
      <c r="E59" s="9" t="s">
        <v>496</v>
      </c>
      <c r="F59" s="9" t="s">
        <v>418</v>
      </c>
    </row>
    <row r="60" customFormat="false" ht="39" hidden="false" customHeight="true" outlineLevel="0" collapsed="false">
      <c r="A60" s="5" t="s">
        <v>2526</v>
      </c>
      <c r="B60" s="205" t="n">
        <f aca="false">B5_W</f>
        <v>0</v>
      </c>
      <c r="C60" s="204" t="s">
        <v>2514</v>
      </c>
      <c r="D60" s="35" t="s">
        <v>75</v>
      </c>
      <c r="E60" s="80" t="s">
        <v>2527</v>
      </c>
      <c r="F60" s="36" t="s">
        <v>2528</v>
      </c>
    </row>
    <row r="61" customFormat="false" ht="29.25" hidden="false" customHeight="true" outlineLevel="0" collapsed="false">
      <c r="A61" s="6" t="s">
        <v>2529</v>
      </c>
      <c r="B61" s="189" t="n">
        <f aca="false">ABS(Workload!C35-Harness!C21)+ABS(Workload!D35-Harness!D21)+ABS(Workload!E35-Harness!E21)+ABS(Workload!F35-Harness!F21)+ABS(Workload!G35-Harness!G21)</f>
        <v>0</v>
      </c>
      <c r="C61" s="204" t="s">
        <v>2530</v>
      </c>
      <c r="D61" s="35" t="s">
        <v>249</v>
      </c>
      <c r="E61" s="80" t="s">
        <v>2531</v>
      </c>
      <c r="F61" s="36" t="s">
        <v>2532</v>
      </c>
    </row>
    <row r="62" customFormat="false" ht="39" hidden="false" customHeight="true" outlineLevel="0" collapsed="false">
      <c r="A62" s="6" t="s">
        <v>2533</v>
      </c>
      <c r="B62" s="189" t="n">
        <f aca="false">Harness!G45</f>
        <v>0.492530120481928</v>
      </c>
      <c r="C62" s="42" t="n">
        <f aca="false">Har_In!E72</f>
        <v>0.51</v>
      </c>
      <c r="D62" s="35" t="s">
        <v>75</v>
      </c>
      <c r="E62" s="86" t="s">
        <v>2534</v>
      </c>
      <c r="F62" s="36" t="s">
        <v>1496</v>
      </c>
    </row>
    <row r="63" customFormat="false" ht="39" hidden="false" customHeight="true" outlineLevel="0" collapsed="false">
      <c r="A63" s="6" t="s">
        <v>2535</v>
      </c>
      <c r="B63" s="189" t="n">
        <f aca="false">Harness!G138</f>
        <v>0.519416933036323</v>
      </c>
      <c r="C63" s="42" t="n">
        <f aca="false">(Har_In!D71/Har_In!C71)/(Har_In!D70/Har_In!C70)</f>
        <v>0.422310694422661</v>
      </c>
      <c r="D63" s="35" t="s">
        <v>75</v>
      </c>
      <c r="E63" s="86" t="s">
        <v>2536</v>
      </c>
      <c r="F63" s="36" t="s">
        <v>1496</v>
      </c>
    </row>
    <row r="64" customFormat="false" ht="39" hidden="false" customHeight="true" outlineLevel="0" collapsed="false">
      <c r="A64" s="6" t="s">
        <v>2537</v>
      </c>
      <c r="B64" s="189" t="n">
        <f aca="false">((1/Har_In!C70-1)/(1/Har_In!C71-1))^(1/B5_Beta)</f>
        <v>145.519176037217</v>
      </c>
      <c r="C64" s="204" t="s">
        <v>2538</v>
      </c>
      <c r="D64" s="35" t="s">
        <v>75</v>
      </c>
      <c r="E64" s="86" t="s">
        <v>2539</v>
      </c>
      <c r="F64" s="36" t="s">
        <v>2540</v>
      </c>
    </row>
    <row r="65" customFormat="false" ht="15" hidden="false" customHeight="true" outlineLevel="0" collapsed="false">
      <c r="A65" s="6" t="s">
        <v>2541</v>
      </c>
      <c r="B65" s="189" t="n">
        <f aca="false">AVERAGE(Har_In!F77:F80)</f>
        <v>0.80134078201291</v>
      </c>
      <c r="C65" s="204" t="n">
        <f aca="false">B5_Beta</f>
        <v>0.75</v>
      </c>
      <c r="D65" s="35" t="s">
        <v>75</v>
      </c>
      <c r="E65" s="86" t="s">
        <v>2542</v>
      </c>
      <c r="F65" s="36" t="s">
        <v>1515</v>
      </c>
    </row>
    <row r="66" customFormat="false" ht="29.25" hidden="false" customHeight="true" outlineLevel="0" collapsed="false">
      <c r="A66" s="6" t="s">
        <v>2543</v>
      </c>
      <c r="B66" s="177" t="n">
        <f aca="false">Harness!G62</f>
        <v>0.627115119175411</v>
      </c>
      <c r="C66" s="204" t="s">
        <v>571</v>
      </c>
      <c r="D66" s="35" t="s">
        <v>71</v>
      </c>
      <c r="E66" s="86" t="s">
        <v>2544</v>
      </c>
      <c r="F66" s="36" t="s">
        <v>2545</v>
      </c>
    </row>
    <row r="67" customFormat="false" ht="29.25" hidden="false" customHeight="true" outlineLevel="0" collapsed="false">
      <c r="A67" s="5" t="s">
        <v>2546</v>
      </c>
      <c r="B67" s="189" t="str">
        <f aca="false">Harness!G152</f>
        <v>Sol｜選定</v>
      </c>
      <c r="C67" s="42" t="str">
        <f aca="false">Harness!G148</f>
        <v>Luna｜選定</v>
      </c>
      <c r="D67" s="34"/>
      <c r="E67" s="86" t="s">
        <v>2547</v>
      </c>
      <c r="F67" s="36" t="s">
        <v>2548</v>
      </c>
    </row>
    <row r="68" customFormat="false" ht="29.25" hidden="false" customHeight="true" outlineLevel="0" collapsed="false">
      <c r="A68" s="6" t="s">
        <v>2549</v>
      </c>
      <c r="B68" s="189" t="n">
        <f aca="false">MIN(Sens_Har!C37:Z37)</f>
        <v>0.362029771999682</v>
      </c>
      <c r="C68" s="42" t="n">
        <f aca="false">MAX(Sens_Har!C37:Z37)</f>
        <v>0.768971159130678</v>
      </c>
      <c r="D68" s="35" t="s">
        <v>75</v>
      </c>
      <c r="E68" s="86" t="s">
        <v>2550</v>
      </c>
      <c r="F68" s="36" t="s">
        <v>2551</v>
      </c>
    </row>
    <row r="69" customFormat="false" ht="26.25" hidden="false" customHeight="true" outlineLevel="0" collapsed="false">
      <c r="A69" s="5" t="s">
        <v>2552</v>
      </c>
      <c r="B69" s="194" t="n">
        <f aca="false">B5_PFloor</f>
        <v>0.5</v>
      </c>
      <c r="C69" s="204" t="s">
        <v>2553</v>
      </c>
      <c r="D69" s="35" t="s">
        <v>71</v>
      </c>
      <c r="E69" s="86" t="s">
        <v>2554</v>
      </c>
      <c r="F69" s="36" t="s">
        <v>2555</v>
      </c>
    </row>
    <row r="70" customFormat="false" ht="29.25" hidden="false" customHeight="true" outlineLevel="0" collapsed="false">
      <c r="A70" s="5" t="s">
        <v>2556</v>
      </c>
      <c r="B70" s="189" t="n">
        <f aca="false">COUNTIF(Harness!C152:G152,"無合格")</f>
        <v>0</v>
      </c>
      <c r="C70" s="204" t="s">
        <v>2557</v>
      </c>
      <c r="D70" s="34"/>
      <c r="E70" s="80" t="s">
        <v>2558</v>
      </c>
      <c r="F70" s="36" t="s">
        <v>2548</v>
      </c>
    </row>
    <row r="72" customFormat="false" ht="15" hidden="false" customHeight="true" outlineLevel="0" collapsed="false">
      <c r="A72" s="33" t="s">
        <v>2559</v>
      </c>
      <c r="B72" s="13"/>
      <c r="C72" s="13"/>
      <c r="D72" s="13"/>
      <c r="E72" s="13"/>
      <c r="F72" s="13"/>
    </row>
    <row r="73" customFormat="false" ht="15" hidden="false" customHeight="true" outlineLevel="0" collapsed="false">
      <c r="A73" s="9" t="s">
        <v>2560</v>
      </c>
      <c r="B73" s="9" t="s">
        <v>2561</v>
      </c>
      <c r="C73" s="9" t="s">
        <v>2562</v>
      </c>
      <c r="D73" s="9" t="s">
        <v>2563</v>
      </c>
      <c r="E73" s="9" t="s">
        <v>2564</v>
      </c>
    </row>
    <row r="74" customFormat="false" ht="15" hidden="false" customHeight="true" outlineLevel="0" collapsed="false">
      <c r="A74" s="35" t="s">
        <v>2565</v>
      </c>
      <c r="B74" s="34" t="s">
        <v>2566</v>
      </c>
      <c r="C74" s="8" t="s">
        <v>2567</v>
      </c>
      <c r="D74" s="183" t="n">
        <f aca="false">COUNTIF(Gov_Map!$V$5:$V$700,1)</f>
        <v>0</v>
      </c>
      <c r="E74" s="36" t="s">
        <v>2568</v>
      </c>
    </row>
    <row r="75" customFormat="false" ht="15" hidden="false" customHeight="true" outlineLevel="0" collapsed="false">
      <c r="A75" s="35" t="s">
        <v>2569</v>
      </c>
      <c r="B75" s="35" t="s">
        <v>2570</v>
      </c>
      <c r="C75" s="8" t="s">
        <v>2567</v>
      </c>
      <c r="D75" s="183" t="n">
        <f aca="false">COUNTIF(Gov_Map!$W$5:$W$700,1)</f>
        <v>0</v>
      </c>
      <c r="E75" s="36" t="s">
        <v>2571</v>
      </c>
    </row>
    <row r="76" customFormat="false" ht="15" hidden="false" customHeight="true" outlineLevel="0" collapsed="false">
      <c r="A76" s="35" t="s">
        <v>2572</v>
      </c>
      <c r="B76" s="35" t="s">
        <v>2573</v>
      </c>
      <c r="C76" s="8" t="s">
        <v>2567</v>
      </c>
      <c r="D76" s="183" t="n">
        <f aca="false">COUNTIF(Gov_Map!$X$5:$X$700,1)</f>
        <v>0</v>
      </c>
      <c r="E76" s="36" t="s">
        <v>2574</v>
      </c>
    </row>
    <row r="77" customFormat="false" ht="15" hidden="false" customHeight="true" outlineLevel="0" collapsed="false">
      <c r="A77" s="35" t="s">
        <v>2575</v>
      </c>
      <c r="B77" s="35" t="s">
        <v>2576</v>
      </c>
      <c r="C77" s="8" t="s">
        <v>2567</v>
      </c>
      <c r="D77" s="183" t="n">
        <f aca="false">COUNTIF(Gov_Map!$Y$5:$Y$700,1)</f>
        <v>0</v>
      </c>
      <c r="E77" s="36" t="s">
        <v>2571</v>
      </c>
    </row>
    <row r="78" customFormat="false" ht="15" hidden="false" customHeight="true" outlineLevel="0" collapsed="false">
      <c r="A78" s="35" t="s">
        <v>2577</v>
      </c>
      <c r="B78" s="35" t="s">
        <v>2578</v>
      </c>
      <c r="C78" s="8" t="s">
        <v>2567</v>
      </c>
      <c r="D78" s="183" t="n">
        <f aca="false">COUNTIF(Gov_Map!$Z$5:$Z$700,1)</f>
        <v>0</v>
      </c>
      <c r="E78" s="36" t="s">
        <v>2571</v>
      </c>
    </row>
    <row r="79" customFormat="false" ht="15" hidden="false" customHeight="true" outlineLevel="0" collapsed="false">
      <c r="A79" s="35" t="s">
        <v>2579</v>
      </c>
      <c r="B79" s="34" t="s">
        <v>2580</v>
      </c>
      <c r="C79" s="8" t="s">
        <v>2567</v>
      </c>
      <c r="D79" s="183" t="n">
        <f aca="false">COUNTIF(Gov_Map!$AA$5:$AA$700,1)</f>
        <v>0</v>
      </c>
      <c r="E79" s="36" t="s">
        <v>2581</v>
      </c>
    </row>
    <row r="80" customFormat="false" ht="15" hidden="false" customHeight="true" outlineLevel="0" collapsed="false">
      <c r="A80" s="35" t="s">
        <v>2582</v>
      </c>
      <c r="B80" s="34" t="s">
        <v>2583</v>
      </c>
      <c r="C80" s="8" t="s">
        <v>2567</v>
      </c>
      <c r="D80" s="183" t="n">
        <f aca="false">COUNTIF(SRC_HW!$X$5:$X$400,"&gt;1")+COUNTIF(SRC_DC!$X$5:$X$400,"&gt;1")+COUNTIF(SRC_Model!$X$5:$X$400,"&gt;1")+COUNTIF(SRC_Perf!$X$5:$X$400,"&gt;1")+COUNTIF(SRC_Price!$X$5:$X$400,"&gt;1")+COUNTIF(SRC_Cap!$X$5:$X$400,"&gt;1")+COUNTIF(SRC_Harness!$X$5:$X$400,"&gt;1")+COUNTIF(SRC_Demand!$X$5:$X$400,"&gt;1")</f>
        <v>0</v>
      </c>
      <c r="E80" s="36" t="s">
        <v>2584</v>
      </c>
    </row>
    <row r="81" customFormat="false" ht="15" hidden="false" customHeight="true" outlineLevel="0" collapsed="false">
      <c r="A81" s="35" t="s">
        <v>2585</v>
      </c>
      <c r="B81" s="35" t="s">
        <v>2586</v>
      </c>
      <c r="C81" s="8" t="s">
        <v>2567</v>
      </c>
      <c r="D81" s="183" t="n">
        <f aca="false">COUNTIF(SRC_HW!$Y$5:$Y$400,"1")+COUNTIF(SRC_DC!$Y$5:$Y$400,"1")+COUNTIF(SRC_Model!$Y$5:$Y$400,"1")+COUNTIF(SRC_Perf!$Y$5:$Y$400,"1")+COUNTIF(SRC_Price!$Y$5:$Y$400,"1")+COUNTIF(SRC_Cap!$Y$5:$Y$400,"1")+COUNTIF(SRC_Harness!$Y$5:$Y$400,"1")+COUNTIF(SRC_Demand!$Y$5:$Y$400,"1")</f>
        <v>0</v>
      </c>
      <c r="E81" s="36" t="s">
        <v>2587</v>
      </c>
    </row>
    <row r="82" customFormat="false" ht="15" hidden="false" customHeight="true" outlineLevel="0" collapsed="false">
      <c r="A82" s="35" t="s">
        <v>2588</v>
      </c>
      <c r="B82" s="34" t="s">
        <v>2589</v>
      </c>
      <c r="C82" s="8" t="s">
        <v>2567</v>
      </c>
      <c r="D82" s="183" t="n">
        <f aca="false">COUNTIF(Gov_Map!$AB$5:$AB$700,1)</f>
        <v>0</v>
      </c>
      <c r="E82" s="36" t="s">
        <v>2590</v>
      </c>
    </row>
    <row r="83" customFormat="false" ht="15" hidden="false" customHeight="true" outlineLevel="0" collapsed="false">
      <c r="A83" s="35" t="s">
        <v>2591</v>
      </c>
      <c r="B83" s="34" t="s">
        <v>2592</v>
      </c>
      <c r="C83" s="8" t="s">
        <v>2567</v>
      </c>
      <c r="D83" s="183" t="n">
        <f aca="false">COUNTIF(Gov_Map!$AC$5:$AC$700,1)</f>
        <v>0</v>
      </c>
      <c r="E83" s="36" t="s">
        <v>2593</v>
      </c>
    </row>
    <row r="84" customFormat="false" ht="15" hidden="false" customHeight="true" outlineLevel="0" collapsed="false">
      <c r="A84" s="35" t="s">
        <v>2594</v>
      </c>
      <c r="B84" s="35" t="s">
        <v>2595</v>
      </c>
      <c r="C84" s="8" t="s">
        <v>2567</v>
      </c>
      <c r="D84" s="183" t="n">
        <v>0</v>
      </c>
      <c r="E84" s="46" t="s">
        <v>2596</v>
      </c>
    </row>
    <row r="85" customFormat="false" ht="15" hidden="false" customHeight="true" outlineLevel="0" collapsed="false">
      <c r="A85" s="35" t="s">
        <v>2597</v>
      </c>
      <c r="B85" s="34" t="s">
        <v>2598</v>
      </c>
      <c r="C85" s="8" t="s">
        <v>2567</v>
      </c>
      <c r="D85" s="183" t="n">
        <f aca="false">COUNTIF(Gov_Map!$AE$5:$AE$700,1)</f>
        <v>0</v>
      </c>
      <c r="E85" s="36" t="s">
        <v>2571</v>
      </c>
    </row>
    <row r="86" customFormat="false" ht="15" hidden="false" customHeight="true" outlineLevel="0" collapsed="false">
      <c r="A86" s="35" t="s">
        <v>2599</v>
      </c>
      <c r="B86" s="35" t="s">
        <v>2600</v>
      </c>
      <c r="C86" s="8" t="s">
        <v>2567</v>
      </c>
      <c r="D86" s="183" t="n">
        <f aca="false">COUNTIF(SRC_HW!$A$119:$A$400,"&lt;&gt;—")-COUNTIF(SRC_HW!$A$119:$A$400,"")+COUNTIF(SRC_DC!$A$68:$A$400,"&lt;&gt;—")-COUNTIF(SRC_DC!$A$68:$A$400,"")+COUNTIF(SRC_Model!$A$109:$A$400,"&lt;&gt;—")-COUNTIF(SRC_Model!$A$109:$A$400,"")+COUNTIF(SRC_Perf!$A$106:$A$400,"&lt;&gt;—")-COUNTIF(SRC_Perf!$A$106:$A$400,"")+COUNTIF(SRC_Price!$A$99:$A$400,"&lt;&gt;—")-COUNTIF(SRC_Price!$A$99:$A$400,"")+COUNTIF(SRC_Cap!$A$76:$A$400,"&lt;&gt;—")-COUNTIF(SRC_Cap!$A$76:$A$400,"")+COUNTIF(SRC_Harness!$A$70:$A$400,"&lt;&gt;—")-COUNTIF(SRC_Harness!$A$70:$A$400,"")+COUNTIF(SRC_Demand!$A$68:$A$400,"&lt;&gt;—")-COUNTIF(SRC_Demand!$A$68:$A$400,"")</f>
        <v>0</v>
      </c>
      <c r="E86" s="46" t="s">
        <v>2601</v>
      </c>
    </row>
    <row r="87" customFormat="false" ht="15" hidden="false" customHeight="true" outlineLevel="0" collapsed="false">
      <c r="A87" s="35" t="s">
        <v>2602</v>
      </c>
      <c r="B87" s="34" t="s">
        <v>2603</v>
      </c>
      <c r="C87" s="35" t="s">
        <v>2604</v>
      </c>
      <c r="D87" s="183" t="n">
        <f aca="false">COUNTIF(SRC_HW!$Z$5:$Z$400,"1")+COUNTIF(SRC_DC!$Z$5:$Z$400,"1")+COUNTIF(SRC_Model!$Z$5:$Z$400,"1")+COUNTIF(SRC_Perf!$Z$5:$Z$400,"1")+COUNTIF(SRC_Price!$Z$5:$Z$400,"1")+COUNTIF(SRC_Cap!$Z$5:$Z$400,"1")+COUNTIF(SRC_Harness!$Z$5:$Z$400,"1")+COUNTIF(SRC_Demand!$Z$5:$Z$400,"1")</f>
        <v>209</v>
      </c>
      <c r="E87" s="36" t="s">
        <v>2605</v>
      </c>
    </row>
    <row r="88" customFormat="false" ht="15" hidden="false" customHeight="true" outlineLevel="0" collapsed="false">
      <c r="A88" s="35" t="s">
        <v>2606</v>
      </c>
      <c r="B88" s="35" t="s">
        <v>2607</v>
      </c>
      <c r="C88" s="35" t="s">
        <v>2604</v>
      </c>
      <c r="D88" s="183" t="n">
        <f aca="false">COUNTIF(Gov_Map!$AD$5:$AD$700,1)</f>
        <v>0</v>
      </c>
      <c r="E88" s="36" t="s">
        <v>2608</v>
      </c>
    </row>
    <row r="89" customFormat="false" ht="15" hidden="false" customHeight="true" outlineLevel="0" collapsed="false">
      <c r="A89" s="35" t="s">
        <v>2609</v>
      </c>
      <c r="B89" s="35" t="s">
        <v>2610</v>
      </c>
      <c r="C89" s="35" t="s">
        <v>2611</v>
      </c>
      <c r="D89" s="183" t="n">
        <f aca="false">COUNTIF(DB_Evidence!$L$5:$L$500,"待判定")</f>
        <v>4</v>
      </c>
      <c r="E89" s="36" t="s">
        <v>2612</v>
      </c>
    </row>
    <row r="90" customFormat="false" ht="15" hidden="false" customHeight="true" outlineLevel="0" collapsed="false">
      <c r="A90" s="35" t="s">
        <v>2613</v>
      </c>
      <c r="B90" s="35" t="s">
        <v>2614</v>
      </c>
      <c r="C90" s="35" t="s">
        <v>2611</v>
      </c>
      <c r="D90" s="183" t="n">
        <f aca="false">COUNTIF(DB_Evidence!$L$5:$L$500,"待 Andy")</f>
        <v>0</v>
      </c>
      <c r="E90" s="36" t="s">
        <v>2612</v>
      </c>
    </row>
    <row r="91" customFormat="false" ht="15" hidden="false" customHeight="true" outlineLevel="0" collapsed="false">
      <c r="A91" s="35" t="s">
        <v>2615</v>
      </c>
      <c r="B91" s="35" t="s">
        <v>2616</v>
      </c>
      <c r="C91" s="35" t="s">
        <v>2611</v>
      </c>
      <c r="D91" s="183" t="n">
        <f aca="false">COUNTIF(L1!$P$5:$P$200,"低於外部區間")+COUNTIF(L1!$P$5:$P$200,"高於外部區間")+COUNTIF(L1!$P$5:$P$200,"差距 &gt;20%")</f>
        <v>7</v>
      </c>
      <c r="E91" s="36" t="s">
        <v>2617</v>
      </c>
    </row>
    <row r="92" customFormat="false" ht="15" hidden="false" customHeight="true" outlineLevel="0" collapsed="false">
      <c r="A92" s="35" t="s">
        <v>2618</v>
      </c>
      <c r="B92" s="34" t="s">
        <v>2619</v>
      </c>
      <c r="C92" s="35" t="s">
        <v>2611</v>
      </c>
      <c r="D92" s="183" t="n">
        <f aca="false">COUNTIF(Gov_Map!$F$5:$F$700,"原始數據（G0-2 保留）")</f>
        <v>14</v>
      </c>
      <c r="E92" s="36" t="s">
        <v>2571</v>
      </c>
    </row>
    <row r="93" customFormat="false" ht="15" hidden="false" customHeight="true" outlineLevel="0" collapsed="false">
      <c r="A93" s="35" t="s">
        <v>2620</v>
      </c>
      <c r="B93" s="35" t="s">
        <v>2621</v>
      </c>
      <c r="C93" s="35" t="s">
        <v>2611</v>
      </c>
      <c r="D93" s="183" t="n">
        <f aca="false">COUNTIF(Gov_Map!$F$5:$F$700,"Derived（待改公式）")</f>
        <v>0</v>
      </c>
      <c r="E93" s="36" t="s">
        <v>2622</v>
      </c>
    </row>
    <row r="94" customFormat="false" ht="15" hidden="false" customHeight="true" outlineLevel="0" collapsed="false">
      <c r="A94" s="35" t="s">
        <v>2623</v>
      </c>
      <c r="B94" s="34" t="s">
        <v>2624</v>
      </c>
      <c r="C94" s="35" t="s">
        <v>2611</v>
      </c>
      <c r="D94" s="183" t="n">
        <f aca="false">COUNTIF(Gov_Map!$M$5:$M$700,"結構選擇（無數值區間）")</f>
        <v>26</v>
      </c>
      <c r="E94" s="36" t="s">
        <v>2571</v>
      </c>
    </row>
    <row r="95" customFormat="false" ht="15" hidden="false" customHeight="true" outlineLevel="0" collapsed="false">
      <c r="A95" s="35" t="s">
        <v>2625</v>
      </c>
      <c r="B95" s="34" t="s">
        <v>2626</v>
      </c>
      <c r="C95" s="35" t="s">
        <v>2611</v>
      </c>
      <c r="D95" s="183" t="n">
        <f aca="false">COUNTIF(Gov_Map!$F$5:$F$700,"原始數據（切片二）")</f>
        <v>3</v>
      </c>
      <c r="E95" s="36" t="s">
        <v>2627</v>
      </c>
    </row>
    <row r="96" customFormat="false" ht="15" hidden="false" customHeight="true" outlineLevel="0" collapsed="false">
      <c r="A96" s="35" t="s">
        <v>2628</v>
      </c>
      <c r="B96" s="34" t="s">
        <v>2629</v>
      </c>
      <c r="C96" s="35" t="s">
        <v>2611</v>
      </c>
      <c r="D96" s="183" t="n">
        <f aca="false">COUNTIF(Gov_Map!$O$5:$O$700,"&lt;&gt;—")-COUNTIF(Gov_Map!$O$5:$O$700,"")</f>
        <v>53</v>
      </c>
      <c r="E96" s="36" t="s">
        <v>2630</v>
      </c>
    </row>
    <row r="97" customFormat="false" ht="15" hidden="false" customHeight="true" outlineLevel="0" collapsed="false">
      <c r="B97" s="8" t="s">
        <v>2631</v>
      </c>
      <c r="D97" s="206" t="n">
        <f aca="false">D74+D75+D76+D77+D78+D79+D80+D81+D82+D83+D84+D85+D86+D104+D105</f>
        <v>0</v>
      </c>
    </row>
    <row r="98" customFormat="false" ht="15" hidden="false" customHeight="true" outlineLevel="0" collapsed="false">
      <c r="B98" s="8" t="s">
        <v>2632</v>
      </c>
      <c r="D98" s="183" t="n">
        <f aca="false">D87+D88+D106</f>
        <v>209</v>
      </c>
    </row>
    <row r="99" customFormat="false" ht="15" hidden="false" customHeight="true" outlineLevel="0" collapsed="false">
      <c r="B99" s="8" t="s">
        <v>2633</v>
      </c>
      <c r="D99" s="183" t="n">
        <f aca="false">D89+D90+D91+D92+D93+D94+D95+D96</f>
        <v>107</v>
      </c>
    </row>
    <row r="100" customFormat="false" ht="15" hidden="false" customHeight="true" outlineLevel="0" collapsed="false">
      <c r="B100" s="46" t="s">
        <v>2634</v>
      </c>
    </row>
    <row r="102" customFormat="false" ht="15" hidden="false" customHeight="true" outlineLevel="0" collapsed="false">
      <c r="A102" s="33" t="s">
        <v>2635</v>
      </c>
      <c r="B102" s="13"/>
      <c r="C102" s="13"/>
      <c r="D102" s="13"/>
      <c r="E102" s="13"/>
      <c r="F102" s="13"/>
    </row>
    <row r="103" customFormat="false" ht="15" hidden="false" customHeight="true" outlineLevel="0" collapsed="false">
      <c r="A103" s="9" t="s">
        <v>2560</v>
      </c>
      <c r="B103" s="9" t="s">
        <v>2561</v>
      </c>
      <c r="C103" s="9" t="s">
        <v>2562</v>
      </c>
      <c r="D103" s="9" t="s">
        <v>2563</v>
      </c>
      <c r="E103" s="9" t="s">
        <v>2564</v>
      </c>
    </row>
    <row r="104" customFormat="false" ht="15" hidden="false" customHeight="true" outlineLevel="0" collapsed="false">
      <c r="A104" s="35" t="s">
        <v>2636</v>
      </c>
      <c r="B104" s="34" t="s">
        <v>2637</v>
      </c>
      <c r="C104" s="8" t="s">
        <v>2567</v>
      </c>
      <c r="D104" s="183" t="n">
        <f aca="false">IF(ABS(SUM(AL_MixGen)-1)&gt;0.000000001,1,0)</f>
        <v>0</v>
      </c>
      <c r="E104" s="36" t="s">
        <v>2638</v>
      </c>
    </row>
    <row r="105" customFormat="false" ht="15" hidden="false" customHeight="true" outlineLevel="0" collapsed="false">
      <c r="A105" s="35" t="s">
        <v>2639</v>
      </c>
      <c r="B105" s="35" t="s">
        <v>2640</v>
      </c>
      <c r="C105" s="8" t="s">
        <v>2567</v>
      </c>
      <c r="D105" s="183" t="n">
        <f aca="false">SUM(AL_SensCheck)</f>
        <v>0</v>
      </c>
      <c r="E105" s="36" t="s">
        <v>2641</v>
      </c>
    </row>
    <row r="106" customFormat="false" ht="15" hidden="false" customHeight="true" outlineLevel="0" collapsed="false">
      <c r="A106" s="35" t="s">
        <v>2642</v>
      </c>
      <c r="B106" s="35" t="s">
        <v>2643</v>
      </c>
      <c r="C106" s="8" t="s">
        <v>2604</v>
      </c>
      <c r="D106" s="180" t="n">
        <f aca="false">SUMPRODUCT(ISNUMBER(L1!$D$5:$D$200)*ISNUMBER(L1!$E$5:$E$200)*ISNUMBER(L1!$F$5:$F$200)*(((L1!$E$5:$E$200&gt;L1!$D$5:$D$200)+(L1!$D$5:$D$200&gt;L1!$F$5:$F$200))&gt;0))</f>
        <v>0</v>
      </c>
      <c r="E106" s="36" t="s">
        <v>2644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5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</cols>
  <sheetData>
    <row r="1" customFormat="false" ht="19.5" hidden="false" customHeight="true" outlineLevel="0" collapsed="false">
      <c r="A1" s="207" t="s">
        <v>2645</v>
      </c>
    </row>
    <row r="2" customFormat="false" ht="15" hidden="false" customHeight="true" outlineLevel="0" collapsed="false">
      <c r="A2" s="36" t="s">
        <v>2646</v>
      </c>
    </row>
    <row r="4" customFormat="false" ht="43.5" hidden="false" customHeight="true" outlineLevel="0" collapsed="false">
      <c r="A4" s="77" t="s">
        <v>2647</v>
      </c>
      <c r="B4" s="208" t="s">
        <v>2648</v>
      </c>
      <c r="C4" s="208" t="s">
        <v>12</v>
      </c>
      <c r="D4" s="208" t="s">
        <v>2649</v>
      </c>
      <c r="E4" s="208" t="s">
        <v>2650</v>
      </c>
      <c r="F4" s="208" t="s">
        <v>2651</v>
      </c>
      <c r="G4" s="208" t="s">
        <v>2652</v>
      </c>
      <c r="H4" s="77" t="s">
        <v>2653</v>
      </c>
      <c r="I4" s="208" t="s">
        <v>2654</v>
      </c>
      <c r="J4" s="208" t="s">
        <v>2655</v>
      </c>
      <c r="K4" s="208" t="s">
        <v>1099</v>
      </c>
      <c r="L4" s="208" t="s">
        <v>1100</v>
      </c>
      <c r="M4" s="208" t="s">
        <v>2656</v>
      </c>
      <c r="N4" s="208" t="s">
        <v>2657</v>
      </c>
      <c r="O4" s="208" t="s">
        <v>2658</v>
      </c>
      <c r="P4" s="77" t="s">
        <v>2659</v>
      </c>
      <c r="Q4" s="208" t="s">
        <v>2660</v>
      </c>
      <c r="R4" s="77" t="s">
        <v>2661</v>
      </c>
      <c r="S4" s="77" t="s">
        <v>2662</v>
      </c>
      <c r="T4" s="77" t="s">
        <v>2663</v>
      </c>
      <c r="U4" s="208" t="s">
        <v>2664</v>
      </c>
      <c r="V4" s="77" t="s">
        <v>2665</v>
      </c>
      <c r="W4" s="77" t="s">
        <v>2666</v>
      </c>
      <c r="X4" s="77" t="s">
        <v>2667</v>
      </c>
      <c r="Y4" s="77" t="s">
        <v>2668</v>
      </c>
      <c r="Z4" s="77" t="s">
        <v>2669</v>
      </c>
      <c r="AA4" s="77" t="s">
        <v>2670</v>
      </c>
      <c r="AB4" s="77" t="s">
        <v>2671</v>
      </c>
      <c r="AC4" s="77" t="s">
        <v>2672</v>
      </c>
      <c r="AD4" s="77" t="s">
        <v>2673</v>
      </c>
      <c r="AE4" s="77" t="s">
        <v>2674</v>
      </c>
      <c r="AF4" s="77" t="s">
        <v>2675</v>
      </c>
    </row>
    <row r="5" customFormat="false" ht="15" hidden="false" customHeight="true" outlineLevel="0" collapsed="false">
      <c r="A5" s="35" t="s">
        <v>2676</v>
      </c>
      <c r="B5" s="209" t="s">
        <v>2677</v>
      </c>
      <c r="C5" s="35" t="s">
        <v>2678</v>
      </c>
      <c r="D5" s="35" t="s">
        <v>2577</v>
      </c>
      <c r="E5" s="6" t="s">
        <v>62</v>
      </c>
      <c r="F5" s="35" t="s">
        <v>64</v>
      </c>
      <c r="G5" s="209" t="s">
        <v>2679</v>
      </c>
      <c r="H5" s="35" t="s">
        <v>571</v>
      </c>
      <c r="I5" s="6" t="s">
        <v>571</v>
      </c>
      <c r="J5" s="35" t="s">
        <v>2680</v>
      </c>
      <c r="K5" s="209"/>
      <c r="L5" s="209"/>
      <c r="M5" s="35" t="s">
        <v>571</v>
      </c>
      <c r="N5" s="6" t="s">
        <v>2681</v>
      </c>
      <c r="O5" s="6" t="s">
        <v>571</v>
      </c>
      <c r="P5" s="209" t="s">
        <v>2682</v>
      </c>
      <c r="Q5" s="40" t="n">
        <f aca="false">Inputs!E5</f>
        <v>1</v>
      </c>
      <c r="R5" s="35" t="s">
        <v>571</v>
      </c>
      <c r="S5" s="34" t="str">
        <f aca="false">IF(ISNUMBER($AF5),INDEX(IDX_SrcStat,$AF5),"—")</f>
        <v>—</v>
      </c>
      <c r="T5" s="34" t="str">
        <f aca="false">IF(ISNUMBER($AF5),INDEX(IDX_SrcGrade,$AF5),"—")</f>
        <v>—</v>
      </c>
      <c r="U5" s="34" t="s">
        <v>2683</v>
      </c>
      <c r="V5" s="183" t="n">
        <f aca="false">IF(AND($F5="原始數據",$U5&lt;&gt;"連結 SRC"),1,0)</f>
        <v>0</v>
      </c>
      <c r="W5" s="183" t="n">
        <f aca="false">IF(AND($F5="Analogy",OR($H5="—",$H5="")),1,0)</f>
        <v>0</v>
      </c>
      <c r="X5" s="183" t="n">
        <f aca="false">IF(AND(OR($F5="Analogy",$F5="Assumed"),$G5&lt;&gt;"低",$G5&lt;&gt;"高",NOT(ISNUMBER($K5)),NOT(ISNUMBER($L5)),OR($M5="—",$M5="")),1,0)</f>
        <v>0</v>
      </c>
      <c r="Y5" s="183" t="n">
        <f aca="false">IF(AND(OR($F5="Analogy",$F5="Assumed",$F5="Derived（待改公式）",$F5="Derived（公式）"),OR($N5="—",$N5="",$N5=0)),1,0)</f>
        <v>0</v>
      </c>
      <c r="Z5" s="183" t="n">
        <f aca="false">IF(AND($F5="Decision",OR($J5="—",$J5="")),1,0)</f>
        <v>0</v>
      </c>
      <c r="AA5" s="180" t="n">
        <f aca="false">IF(OR($J5="—",$J5=""),0,IF(COUNTIF(Decisions!$A$5:$A$300,$J5)=0,1,0))</f>
        <v>0</v>
      </c>
      <c r="AB5" s="183" t="n">
        <f aca="false">IF(AND($F5="原始數據",$S5&lt;&gt;"Active"),1,0)</f>
        <v>0</v>
      </c>
      <c r="AC5" s="183" t="n">
        <f aca="false">IF(AND(ISNUMBER($K5),ISNUMBER($L5),ISNUMBER($Q5)),IF(OR($Q5&lt;MIN($K5,$L5),$Q5&gt;MAX($K5,$L5)),1,0),0)</f>
        <v>0</v>
      </c>
      <c r="AD5" s="183" t="n">
        <f aca="false">IF(AND(ISNUMBER($T5),$P5="高"),IF($T5=3,1,0),0)</f>
        <v>0</v>
      </c>
      <c r="AE5" s="183" t="n">
        <f aca="false">IF($S5="不存在",1,0)</f>
        <v>0</v>
      </c>
      <c r="AF5" s="34" t="str">
        <f aca="false">IF(OR($H5="—",$H5=""),"—",MATCH($H5,IDX_SrcID,0))</f>
        <v>—</v>
      </c>
    </row>
    <row r="6" customFormat="false" ht="29.25" hidden="false" customHeight="true" outlineLevel="0" collapsed="false">
      <c r="A6" s="35" t="s">
        <v>2684</v>
      </c>
      <c r="B6" s="209" t="s">
        <v>2677</v>
      </c>
      <c r="C6" s="35" t="s">
        <v>2678</v>
      </c>
      <c r="D6" s="35" t="s">
        <v>2579</v>
      </c>
      <c r="E6" s="18" t="s">
        <v>66</v>
      </c>
      <c r="F6" s="35" t="s">
        <v>64</v>
      </c>
      <c r="G6" s="209" t="s">
        <v>2679</v>
      </c>
      <c r="H6" s="35" t="s">
        <v>571</v>
      </c>
      <c r="I6" s="6" t="s">
        <v>571</v>
      </c>
      <c r="J6" s="35" t="s">
        <v>2685</v>
      </c>
      <c r="K6" s="209"/>
      <c r="L6" s="209"/>
      <c r="M6" s="35" t="s">
        <v>571</v>
      </c>
      <c r="N6" s="6" t="s">
        <v>2686</v>
      </c>
      <c r="O6" s="6" t="s">
        <v>571</v>
      </c>
      <c r="P6" s="209" t="s">
        <v>2682</v>
      </c>
      <c r="Q6" s="40" t="n">
        <f aca="false">Inputs!E6</f>
        <v>2</v>
      </c>
      <c r="R6" s="35" t="s">
        <v>571</v>
      </c>
      <c r="S6" s="34" t="str">
        <f aca="false">IF(ISNUMBER($AF6),INDEX(IDX_SrcStat,$AF6),"—")</f>
        <v>—</v>
      </c>
      <c r="T6" s="34" t="str">
        <f aca="false">IF(ISNUMBER($AF6),INDEX(IDX_SrcGrade,$AF6),"—")</f>
        <v>—</v>
      </c>
      <c r="U6" s="34" t="s">
        <v>2683</v>
      </c>
      <c r="V6" s="183" t="n">
        <f aca="false">IF(AND($F6="原始數據",$U6&lt;&gt;"連結 SRC"),1,0)</f>
        <v>0</v>
      </c>
      <c r="W6" s="183" t="n">
        <f aca="false">IF(AND($F6="Analogy",OR($H6="—",$H6="")),1,0)</f>
        <v>0</v>
      </c>
      <c r="X6" s="183" t="n">
        <f aca="false">IF(AND(OR($F6="Analogy",$F6="Assumed"),$G6&lt;&gt;"低",$G6&lt;&gt;"高",NOT(ISNUMBER($K6)),NOT(ISNUMBER($L6)),OR($M6="—",$M6="")),1,0)</f>
        <v>0</v>
      </c>
      <c r="Y6" s="183" t="n">
        <f aca="false">IF(AND(OR($F6="Analogy",$F6="Assumed",$F6="Derived（待改公式）",$F6="Derived（公式）"),OR($N6="—",$N6="",$N6=0)),1,0)</f>
        <v>0</v>
      </c>
      <c r="Z6" s="183" t="n">
        <f aca="false">IF(AND($F6="Decision",OR($J6="—",$J6="")),1,0)</f>
        <v>0</v>
      </c>
      <c r="AA6" s="180" t="n">
        <f aca="false">IF(OR($J6="—",$J6=""),0,IF(COUNTIF(Decisions!$A$5:$A$300,$J6)=0,1,0))</f>
        <v>0</v>
      </c>
      <c r="AB6" s="183" t="n">
        <f aca="false">IF(AND($F6="原始數據",$S6&lt;&gt;"Active"),1,0)</f>
        <v>0</v>
      </c>
      <c r="AC6" s="183" t="n">
        <f aca="false">IF(AND(ISNUMBER($K6),ISNUMBER($L6),ISNUMBER($Q6)),IF(OR($Q6&lt;MIN($K6,$L6),$Q6&gt;MAX($K6,$L6)),1,0),0)</f>
        <v>0</v>
      </c>
      <c r="AD6" s="183" t="n">
        <f aca="false">IF(AND(ISNUMBER($T6),$P6="高"),IF($T6=3,1,0),0)</f>
        <v>0</v>
      </c>
      <c r="AE6" s="183" t="n">
        <f aca="false">IF($S6="不存在",1,0)</f>
        <v>0</v>
      </c>
      <c r="AF6" s="34" t="str">
        <f aca="false">IF(OR($H6="—",$H6=""),"—",MATCH($H6,IDX_SrcID,0))</f>
        <v>—</v>
      </c>
    </row>
    <row r="7" customFormat="false" ht="29.25" hidden="false" customHeight="true" outlineLevel="0" collapsed="false">
      <c r="A7" s="35" t="s">
        <v>2687</v>
      </c>
      <c r="B7" s="209" t="s">
        <v>2677</v>
      </c>
      <c r="C7" s="35" t="s">
        <v>2678</v>
      </c>
      <c r="D7" s="35" t="s">
        <v>2585</v>
      </c>
      <c r="E7" s="18" t="s">
        <v>70</v>
      </c>
      <c r="F7" s="35" t="s">
        <v>72</v>
      </c>
      <c r="G7" s="209" t="s">
        <v>57</v>
      </c>
      <c r="H7" s="35" t="s">
        <v>571</v>
      </c>
      <c r="I7" s="6" t="s">
        <v>571</v>
      </c>
      <c r="J7" s="35" t="s">
        <v>571</v>
      </c>
      <c r="K7" s="176" t="n">
        <f aca="false">Sensitivity!$X$8</f>
        <v>0.05</v>
      </c>
      <c r="L7" s="176" t="n">
        <f aca="false">Sensitivity!$Y$8</f>
        <v>0.12</v>
      </c>
      <c r="M7" s="35" t="s">
        <v>2688</v>
      </c>
      <c r="N7" s="210" t="str">
        <f aca="false">Inputs!$H$8&amp;" ｜補充旗標（IF 全欄分段，非分段依據）：中"</f>
        <v>管理、儲存、網路機櫃等；區間 5–12%（見 Sensitivity）。v4 未計 ｜補充旗標（IF 全欄分段，非分段依據）：中</v>
      </c>
      <c r="O7" s="6" t="s">
        <v>571</v>
      </c>
      <c r="P7" s="209" t="s">
        <v>1099</v>
      </c>
      <c r="Q7" s="176" t="n">
        <f aca="false">Inputs!E8</f>
        <v>0.08</v>
      </c>
      <c r="R7" s="35" t="s">
        <v>571</v>
      </c>
      <c r="S7" s="34" t="str">
        <f aca="false">IF(ISNUMBER($AF7),INDEX(IDX_SrcStat,$AF7),"—")</f>
        <v>—</v>
      </c>
      <c r="T7" s="34" t="str">
        <f aca="false">IF(ISNUMBER($AF7),INDEX(IDX_SrcGrade,$AF7),"—")</f>
        <v>—</v>
      </c>
      <c r="U7" s="34" t="s">
        <v>2683</v>
      </c>
      <c r="V7" s="183" t="n">
        <f aca="false">IF(AND($F7="原始數據",$U7&lt;&gt;"連結 SRC"),1,0)</f>
        <v>0</v>
      </c>
      <c r="W7" s="183" t="n">
        <f aca="false">IF(AND($F7="Analogy",OR($H7="—",$H7="")),1,0)</f>
        <v>0</v>
      </c>
      <c r="X7" s="183" t="n">
        <f aca="false">IF(AND(OR($F7="Analogy",$F7="Assumed"),$G7&lt;&gt;"低",$G7&lt;&gt;"高",NOT(ISNUMBER($K7)),NOT(ISNUMBER($L7)),OR($M7="—",$M7="")),1,0)</f>
        <v>0</v>
      </c>
      <c r="Y7" s="183" t="n">
        <f aca="false">IF(AND(OR($F7="Analogy",$F7="Assumed",$F7="Derived（待改公式）",$F7="Derived（公式）"),OR($N7="—",$N7="",$N7=0)),1,0)</f>
        <v>0</v>
      </c>
      <c r="Z7" s="183" t="n">
        <f aca="false">IF(AND($F7="Decision",OR($J7="—",$J7="")),1,0)</f>
        <v>0</v>
      </c>
      <c r="AA7" s="180" t="n">
        <f aca="false">IF(OR($J7="—",$J7=""),0,IF(COUNTIF(Decisions!$A$5:$A$300,$J7)=0,1,0))</f>
        <v>0</v>
      </c>
      <c r="AB7" s="183" t="n">
        <f aca="false">IF(AND($F7="原始數據",$S7&lt;&gt;"Active"),1,0)</f>
        <v>0</v>
      </c>
      <c r="AC7" s="183" t="n">
        <f aca="false">IF(AND(ISNUMBER($K7),ISNUMBER($L7),ISNUMBER($Q7)),IF(OR($Q7&lt;MIN($K7,$L7),$Q7&gt;MAX($K7,$L7)),1,0),0)</f>
        <v>0</v>
      </c>
      <c r="AD7" s="183" t="n">
        <f aca="false">IF(AND(ISNUMBER($T7),$P7="高"),IF($T7=3,1,0),0)</f>
        <v>0</v>
      </c>
      <c r="AE7" s="183" t="n">
        <f aca="false">IF($S7="不存在",1,0)</f>
        <v>0</v>
      </c>
      <c r="AF7" s="34" t="str">
        <f aca="false">IF(OR($H7="—",$H7=""),"—",MATCH($H7,IDX_SrcID,0))</f>
        <v>—</v>
      </c>
    </row>
    <row r="8" customFormat="false" ht="43.5" hidden="false" customHeight="true" outlineLevel="0" collapsed="false">
      <c r="A8" s="35" t="s">
        <v>2689</v>
      </c>
      <c r="B8" s="209" t="s">
        <v>2677</v>
      </c>
      <c r="C8" s="35" t="s">
        <v>2678</v>
      </c>
      <c r="D8" s="35" t="s">
        <v>2588</v>
      </c>
      <c r="E8" s="6" t="s">
        <v>74</v>
      </c>
      <c r="F8" s="35" t="s">
        <v>72</v>
      </c>
      <c r="G8" s="209" t="s">
        <v>57</v>
      </c>
      <c r="H8" s="35" t="s">
        <v>571</v>
      </c>
      <c r="I8" s="6" t="s">
        <v>571</v>
      </c>
      <c r="J8" s="35" t="s">
        <v>571</v>
      </c>
      <c r="K8" s="172" t="n">
        <f aca="false">Inputs!$D$9</f>
        <v>1.1</v>
      </c>
      <c r="L8" s="172" t="n">
        <f aca="false">Inputs!$F$9</f>
        <v>1.3</v>
      </c>
      <c r="M8" s="35" t="s">
        <v>571</v>
      </c>
      <c r="N8" s="210" t="str">
        <f aca="false">Inputs!$H$9&amp;" ｜補充旗標（IF 全欄分段，非分段依據）：高"</f>
        <v>液冷 AI 設施；v4＝1.2。S14 ｜補充旗標（IF 全欄分段，非分段依據）：高</v>
      </c>
      <c r="O8" s="6" t="s">
        <v>2690</v>
      </c>
      <c r="P8" s="209" t="s">
        <v>1099</v>
      </c>
      <c r="Q8" s="172" t="n">
        <f aca="false">Inputs!E9</f>
        <v>1.2</v>
      </c>
      <c r="R8" s="35" t="s">
        <v>571</v>
      </c>
      <c r="S8" s="34" t="str">
        <f aca="false">IF(ISNUMBER($AF8),INDEX(IDX_SrcStat,$AF8),"—")</f>
        <v>—</v>
      </c>
      <c r="T8" s="34" t="str">
        <f aca="false">IF(ISNUMBER($AF8),INDEX(IDX_SrcGrade,$AF8),"—")</f>
        <v>—</v>
      </c>
      <c r="U8" s="34" t="s">
        <v>2683</v>
      </c>
      <c r="V8" s="183" t="n">
        <f aca="false">IF(AND($F8="原始數據",$U8&lt;&gt;"連結 SRC"),1,0)</f>
        <v>0</v>
      </c>
      <c r="W8" s="183" t="n">
        <f aca="false">IF(AND($F8="Analogy",OR($H8="—",$H8="")),1,0)</f>
        <v>0</v>
      </c>
      <c r="X8" s="183" t="n">
        <f aca="false">IF(AND(OR($F8="Analogy",$F8="Assumed"),$G8&lt;&gt;"低",$G8&lt;&gt;"高",NOT(ISNUMBER($K8)),NOT(ISNUMBER($L8)),OR($M8="—",$M8="")),1,0)</f>
        <v>0</v>
      </c>
      <c r="Y8" s="183" t="n">
        <f aca="false">IF(AND(OR($F8="Analogy",$F8="Assumed",$F8="Derived（待改公式）",$F8="Derived（公式）"),OR($N8="—",$N8="",$N8=0)),1,0)</f>
        <v>0</v>
      </c>
      <c r="Z8" s="183" t="n">
        <f aca="false">IF(AND($F8="Decision",OR($J8="—",$J8="")),1,0)</f>
        <v>0</v>
      </c>
      <c r="AA8" s="180" t="n">
        <f aca="false">IF(OR($J8="—",$J8=""),0,IF(COUNTIF(Decisions!$A$5:$A$300,$J8)=0,1,0))</f>
        <v>0</v>
      </c>
      <c r="AB8" s="183" t="n">
        <f aca="false">IF(AND($F8="原始數據",$S8&lt;&gt;"Active"),1,0)</f>
        <v>0</v>
      </c>
      <c r="AC8" s="183" t="n">
        <f aca="false">IF(AND(ISNUMBER($K8),ISNUMBER($L8),ISNUMBER($Q8)),IF(OR($Q8&lt;MIN($K8,$L8),$Q8&gt;MAX($K8,$L8)),1,0),0)</f>
        <v>0</v>
      </c>
      <c r="AD8" s="183" t="n">
        <f aca="false">IF(AND(ISNUMBER($T8),$P8="高"),IF($T8=3,1,0),0)</f>
        <v>0</v>
      </c>
      <c r="AE8" s="183" t="n">
        <f aca="false">IF($S8="不存在",1,0)</f>
        <v>0</v>
      </c>
      <c r="AF8" s="34" t="str">
        <f aca="false">IF(OR($H8="—",$H8=""),"—",MATCH($H8,IDX_SrcID,0))</f>
        <v>—</v>
      </c>
    </row>
    <row r="9" customFormat="false" ht="43.5" hidden="false" customHeight="true" outlineLevel="0" collapsed="false">
      <c r="A9" s="35" t="s">
        <v>2691</v>
      </c>
      <c r="B9" s="209" t="s">
        <v>2677</v>
      </c>
      <c r="C9" s="35" t="s">
        <v>2678</v>
      </c>
      <c r="D9" s="35" t="s">
        <v>2692</v>
      </c>
      <c r="E9" s="6" t="s">
        <v>74</v>
      </c>
      <c r="F9" s="35" t="s">
        <v>72</v>
      </c>
      <c r="G9" s="209" t="s">
        <v>1099</v>
      </c>
      <c r="H9" s="35" t="s">
        <v>571</v>
      </c>
      <c r="I9" s="6" t="s">
        <v>571</v>
      </c>
      <c r="J9" s="35" t="s">
        <v>571</v>
      </c>
      <c r="K9" s="209"/>
      <c r="L9" s="209"/>
      <c r="M9" s="35" t="s">
        <v>571</v>
      </c>
      <c r="N9" s="210" t="str">
        <f aca="false">Inputs!$H$9&amp;" ｜補充旗標（IF 全欄分段，非分段依據）：高"</f>
        <v>液冷 AI 設施；v4＝1.2。S14 ｜補充旗標（IF 全欄分段，非分段依據）：高</v>
      </c>
      <c r="O9" s="6" t="s">
        <v>2690</v>
      </c>
      <c r="P9" s="209" t="s">
        <v>1099</v>
      </c>
      <c r="Q9" s="172" t="n">
        <f aca="false">Inputs!D9</f>
        <v>1.1</v>
      </c>
      <c r="R9" s="35" t="s">
        <v>571</v>
      </c>
      <c r="S9" s="34" t="str">
        <f aca="false">IF(ISNUMBER($AF9),INDEX(IDX_SrcStat,$AF9),"—")</f>
        <v>—</v>
      </c>
      <c r="T9" s="34" t="str">
        <f aca="false">IF(ISNUMBER($AF9),INDEX(IDX_SrcGrade,$AF9),"—")</f>
        <v>—</v>
      </c>
      <c r="U9" s="34" t="s">
        <v>2683</v>
      </c>
      <c r="V9" s="183" t="n">
        <f aca="false">IF(AND($F9="原始數據",$U9&lt;&gt;"連結 SRC"),1,0)</f>
        <v>0</v>
      </c>
      <c r="W9" s="183" t="n">
        <f aca="false">IF(AND($F9="Analogy",OR($H9="—",$H9="")),1,0)</f>
        <v>0</v>
      </c>
      <c r="X9" s="183" t="n">
        <f aca="false">IF(AND(OR($F9="Analogy",$F9="Assumed"),$G9&lt;&gt;"低",$G9&lt;&gt;"高",NOT(ISNUMBER($K9)),NOT(ISNUMBER($L9)),OR($M9="—",$M9="")),1,0)</f>
        <v>0</v>
      </c>
      <c r="Y9" s="183" t="n">
        <f aca="false">IF(AND(OR($F9="Analogy",$F9="Assumed",$F9="Derived（待改公式）",$F9="Derived（公式）"),OR($N9="—",$N9="",$N9=0)),1,0)</f>
        <v>0</v>
      </c>
      <c r="Z9" s="183" t="n">
        <f aca="false">IF(AND($F9="Decision",OR($J9="—",$J9="")),1,0)</f>
        <v>0</v>
      </c>
      <c r="AA9" s="180" t="n">
        <f aca="false">IF(OR($J9="—",$J9=""),0,IF(COUNTIF(Decisions!$A$5:$A$300,$J9)=0,1,0))</f>
        <v>0</v>
      </c>
      <c r="AB9" s="183" t="n">
        <f aca="false">IF(AND($F9="原始數據",$S9&lt;&gt;"Active"),1,0)</f>
        <v>0</v>
      </c>
      <c r="AC9" s="183" t="n">
        <f aca="false">IF(AND(ISNUMBER($K9),ISNUMBER($L9),ISNUMBER($Q9)),IF(OR($Q9&lt;MIN($K9,$L9),$Q9&gt;MAX($K9,$L9)),1,0),0)</f>
        <v>0</v>
      </c>
      <c r="AD9" s="183" t="n">
        <f aca="false">IF(AND(ISNUMBER($T9),$P9="高"),IF($T9=3,1,0),0)</f>
        <v>0</v>
      </c>
      <c r="AE9" s="183" t="n">
        <f aca="false">IF($S9="不存在",1,0)</f>
        <v>0</v>
      </c>
      <c r="AF9" s="34" t="str">
        <f aca="false">IF(OR($H9="—",$H9=""),"—",MATCH($H9,IDX_SrcID,0))</f>
        <v>—</v>
      </c>
    </row>
    <row r="10" customFormat="false" ht="43.5" hidden="false" customHeight="true" outlineLevel="0" collapsed="false">
      <c r="A10" s="35" t="s">
        <v>2693</v>
      </c>
      <c r="B10" s="209" t="s">
        <v>2677</v>
      </c>
      <c r="C10" s="35" t="s">
        <v>2678</v>
      </c>
      <c r="D10" s="35" t="s">
        <v>2694</v>
      </c>
      <c r="E10" s="6" t="s">
        <v>74</v>
      </c>
      <c r="F10" s="35" t="s">
        <v>72</v>
      </c>
      <c r="G10" s="209" t="s">
        <v>1100</v>
      </c>
      <c r="H10" s="35" t="s">
        <v>571</v>
      </c>
      <c r="I10" s="6" t="s">
        <v>571</v>
      </c>
      <c r="J10" s="35" t="s">
        <v>571</v>
      </c>
      <c r="K10" s="209"/>
      <c r="L10" s="209"/>
      <c r="M10" s="35" t="s">
        <v>571</v>
      </c>
      <c r="N10" s="210" t="str">
        <f aca="false">Inputs!$H$9&amp;" ｜補充旗標（IF 全欄分段，非分段依據）：高"</f>
        <v>液冷 AI 設施；v4＝1.2。S14 ｜補充旗標（IF 全欄分段，非分段依據）：高</v>
      </c>
      <c r="O10" s="6" t="s">
        <v>2690</v>
      </c>
      <c r="P10" s="209" t="s">
        <v>1099</v>
      </c>
      <c r="Q10" s="172" t="n">
        <f aca="false">Inputs!F9</f>
        <v>1.3</v>
      </c>
      <c r="R10" s="35" t="s">
        <v>571</v>
      </c>
      <c r="S10" s="34" t="str">
        <f aca="false">IF(ISNUMBER($AF10),INDEX(IDX_SrcStat,$AF10),"—")</f>
        <v>—</v>
      </c>
      <c r="T10" s="34" t="str">
        <f aca="false">IF(ISNUMBER($AF10),INDEX(IDX_SrcGrade,$AF10),"—")</f>
        <v>—</v>
      </c>
      <c r="U10" s="34" t="s">
        <v>2683</v>
      </c>
      <c r="V10" s="183" t="n">
        <f aca="false">IF(AND($F10="原始數據",$U10&lt;&gt;"連結 SRC"),1,0)</f>
        <v>0</v>
      </c>
      <c r="W10" s="183" t="n">
        <f aca="false">IF(AND($F10="Analogy",OR($H10="—",$H10="")),1,0)</f>
        <v>0</v>
      </c>
      <c r="X10" s="183" t="n">
        <f aca="false">IF(AND(OR($F10="Analogy",$F10="Assumed"),$G10&lt;&gt;"低",$G10&lt;&gt;"高",NOT(ISNUMBER($K10)),NOT(ISNUMBER($L10)),OR($M10="—",$M10="")),1,0)</f>
        <v>0</v>
      </c>
      <c r="Y10" s="183" t="n">
        <f aca="false">IF(AND(OR($F10="Analogy",$F10="Assumed",$F10="Derived（待改公式）",$F10="Derived（公式）"),OR($N10="—",$N10="",$N10=0)),1,0)</f>
        <v>0</v>
      </c>
      <c r="Z10" s="183" t="n">
        <f aca="false">IF(AND($F10="Decision",OR($J10="—",$J10="")),1,0)</f>
        <v>0</v>
      </c>
      <c r="AA10" s="180" t="n">
        <f aca="false">IF(OR($J10="—",$J10=""),0,IF(COUNTIF(Decisions!$A$5:$A$300,$J10)=0,1,0))</f>
        <v>0</v>
      </c>
      <c r="AB10" s="183" t="n">
        <f aca="false">IF(AND($F10="原始數據",$S10&lt;&gt;"Active"),1,0)</f>
        <v>0</v>
      </c>
      <c r="AC10" s="183" t="n">
        <f aca="false">IF(AND(ISNUMBER($K10),ISNUMBER($L10),ISNUMBER($Q10)),IF(OR($Q10&lt;MIN($K10,$L10),$Q10&gt;MAX($K10,$L10)),1,0),0)</f>
        <v>0</v>
      </c>
      <c r="AD10" s="183" t="n">
        <f aca="false">IF(AND(ISNUMBER($T10),$P10="高"),IF($T10=3,1,0),0)</f>
        <v>0</v>
      </c>
      <c r="AE10" s="183" t="n">
        <f aca="false">IF($S10="不存在",1,0)</f>
        <v>0</v>
      </c>
      <c r="AF10" s="34" t="str">
        <f aca="false">IF(OR($H10="—",$H10=""),"—",MATCH($H10,IDX_SrcID,0))</f>
        <v>—</v>
      </c>
    </row>
    <row r="11" customFormat="false" ht="15" hidden="false" customHeight="true" outlineLevel="0" collapsed="false">
      <c r="A11" s="35" t="s">
        <v>2695</v>
      </c>
      <c r="B11" s="209" t="s">
        <v>2677</v>
      </c>
      <c r="C11" s="35" t="s">
        <v>2678</v>
      </c>
      <c r="D11" s="35" t="s">
        <v>2591</v>
      </c>
      <c r="E11" s="18" t="s">
        <v>78</v>
      </c>
      <c r="F11" s="35" t="s">
        <v>72</v>
      </c>
      <c r="G11" s="209" t="s">
        <v>57</v>
      </c>
      <c r="H11" s="35" t="s">
        <v>571</v>
      </c>
      <c r="I11" s="6" t="s">
        <v>571</v>
      </c>
      <c r="J11" s="35" t="s">
        <v>571</v>
      </c>
      <c r="K11" s="176" t="n">
        <f aca="false">Inputs!$D$10</f>
        <v>0.7</v>
      </c>
      <c r="L11" s="176" t="n">
        <f aca="false">Inputs!$F$10</f>
        <v>0.9</v>
      </c>
      <c r="M11" s="35" t="s">
        <v>571</v>
      </c>
      <c r="N11" s="210" t="str">
        <f aca="false">Inputs!$H$10&amp;" ｜補充旗標（IF 全欄分段，非分段依據）：高"</f>
        <v>Block 2 以逐步能量模型閉合檢查 ｜補充旗標（IF 全欄分段，非分段依據）：高</v>
      </c>
      <c r="O11" s="6" t="s">
        <v>571</v>
      </c>
      <c r="P11" s="209" t="s">
        <v>1099</v>
      </c>
      <c r="Q11" s="176" t="n">
        <f aca="false">Inputs!E10</f>
        <v>0.8</v>
      </c>
      <c r="R11" s="35" t="s">
        <v>571</v>
      </c>
      <c r="S11" s="34" t="str">
        <f aca="false">IF(ISNUMBER($AF11),INDEX(IDX_SrcStat,$AF11),"—")</f>
        <v>—</v>
      </c>
      <c r="T11" s="34" t="str">
        <f aca="false">IF(ISNUMBER($AF11),INDEX(IDX_SrcGrade,$AF11),"—")</f>
        <v>—</v>
      </c>
      <c r="U11" s="34" t="s">
        <v>2683</v>
      </c>
      <c r="V11" s="183" t="n">
        <f aca="false">IF(AND($F11="原始數據",$U11&lt;&gt;"連結 SRC"),1,0)</f>
        <v>0</v>
      </c>
      <c r="W11" s="183" t="n">
        <f aca="false">IF(AND($F11="Analogy",OR($H11="—",$H11="")),1,0)</f>
        <v>0</v>
      </c>
      <c r="X11" s="183" t="n">
        <f aca="false">IF(AND(OR($F11="Analogy",$F11="Assumed"),$G11&lt;&gt;"低",$G11&lt;&gt;"高",NOT(ISNUMBER($K11)),NOT(ISNUMBER($L11)),OR($M11="—",$M11="")),1,0)</f>
        <v>0</v>
      </c>
      <c r="Y11" s="183" t="n">
        <f aca="false">IF(AND(OR($F11="Analogy",$F11="Assumed",$F11="Derived（待改公式）",$F11="Derived（公式）"),OR($N11="—",$N11="",$N11=0)),1,0)</f>
        <v>0</v>
      </c>
      <c r="Z11" s="183" t="n">
        <f aca="false">IF(AND($F11="Decision",OR($J11="—",$J11="")),1,0)</f>
        <v>0</v>
      </c>
      <c r="AA11" s="180" t="n">
        <f aca="false">IF(OR($J11="—",$J11=""),0,IF(COUNTIF(Decisions!$A$5:$A$300,$J11)=0,1,0))</f>
        <v>0</v>
      </c>
      <c r="AB11" s="183" t="n">
        <f aca="false">IF(AND($F11="原始數據",$S11&lt;&gt;"Active"),1,0)</f>
        <v>0</v>
      </c>
      <c r="AC11" s="183" t="n">
        <f aca="false">IF(AND(ISNUMBER($K11),ISNUMBER($L11),ISNUMBER($Q11)),IF(OR($Q11&lt;MIN($K11,$L11),$Q11&gt;MAX($K11,$L11)),1,0),0)</f>
        <v>0</v>
      </c>
      <c r="AD11" s="183" t="n">
        <f aca="false">IF(AND(ISNUMBER($T11),$P11="高"),IF($T11=3,1,0),0)</f>
        <v>0</v>
      </c>
      <c r="AE11" s="183" t="n">
        <f aca="false">IF($S11="不存在",1,0)</f>
        <v>0</v>
      </c>
      <c r="AF11" s="34" t="str">
        <f aca="false">IF(OR($H11="—",$H11=""),"—",MATCH($H11,IDX_SrcID,0))</f>
        <v>—</v>
      </c>
    </row>
    <row r="12" customFormat="false" ht="15" hidden="false" customHeight="true" outlineLevel="0" collapsed="false">
      <c r="A12" s="35" t="s">
        <v>2696</v>
      </c>
      <c r="B12" s="209" t="s">
        <v>2677</v>
      </c>
      <c r="C12" s="35" t="s">
        <v>2678</v>
      </c>
      <c r="D12" s="35" t="s">
        <v>2697</v>
      </c>
      <c r="E12" s="18" t="s">
        <v>78</v>
      </c>
      <c r="F12" s="35" t="s">
        <v>72</v>
      </c>
      <c r="G12" s="209" t="s">
        <v>1099</v>
      </c>
      <c r="H12" s="35" t="s">
        <v>571</v>
      </c>
      <c r="I12" s="6" t="s">
        <v>571</v>
      </c>
      <c r="J12" s="35" t="s">
        <v>571</v>
      </c>
      <c r="K12" s="209"/>
      <c r="L12" s="209"/>
      <c r="M12" s="35" t="s">
        <v>571</v>
      </c>
      <c r="N12" s="210" t="str">
        <f aca="false">Inputs!$H$10&amp;" ｜補充旗標（IF 全欄分段，非分段依據）：高"</f>
        <v>Block 2 以逐步能量模型閉合檢查 ｜補充旗標（IF 全欄分段，非分段依據）：高</v>
      </c>
      <c r="O12" s="6" t="s">
        <v>571</v>
      </c>
      <c r="P12" s="209" t="s">
        <v>1099</v>
      </c>
      <c r="Q12" s="176" t="n">
        <f aca="false">Inputs!D10</f>
        <v>0.7</v>
      </c>
      <c r="R12" s="35" t="s">
        <v>571</v>
      </c>
      <c r="S12" s="34" t="str">
        <f aca="false">IF(ISNUMBER($AF12),INDEX(IDX_SrcStat,$AF12),"—")</f>
        <v>—</v>
      </c>
      <c r="T12" s="34" t="str">
        <f aca="false">IF(ISNUMBER($AF12),INDEX(IDX_SrcGrade,$AF12),"—")</f>
        <v>—</v>
      </c>
      <c r="U12" s="34" t="s">
        <v>2683</v>
      </c>
      <c r="V12" s="183" t="n">
        <f aca="false">IF(AND($F12="原始數據",$U12&lt;&gt;"連結 SRC"),1,0)</f>
        <v>0</v>
      </c>
      <c r="W12" s="183" t="n">
        <f aca="false">IF(AND($F12="Analogy",OR($H12="—",$H12="")),1,0)</f>
        <v>0</v>
      </c>
      <c r="X12" s="183" t="n">
        <f aca="false">IF(AND(OR($F12="Analogy",$F12="Assumed"),$G12&lt;&gt;"低",$G12&lt;&gt;"高",NOT(ISNUMBER($K12)),NOT(ISNUMBER($L12)),OR($M12="—",$M12="")),1,0)</f>
        <v>0</v>
      </c>
      <c r="Y12" s="183" t="n">
        <f aca="false">IF(AND(OR($F12="Analogy",$F12="Assumed",$F12="Derived（待改公式）",$F12="Derived（公式）"),OR($N12="—",$N12="",$N12=0)),1,0)</f>
        <v>0</v>
      </c>
      <c r="Z12" s="183" t="n">
        <f aca="false">IF(AND($F12="Decision",OR($J12="—",$J12="")),1,0)</f>
        <v>0</v>
      </c>
      <c r="AA12" s="180" t="n">
        <f aca="false">IF(OR($J12="—",$J12=""),0,IF(COUNTIF(Decisions!$A$5:$A$300,$J12)=0,1,0))</f>
        <v>0</v>
      </c>
      <c r="AB12" s="183" t="n">
        <f aca="false">IF(AND($F12="原始數據",$S12&lt;&gt;"Active"),1,0)</f>
        <v>0</v>
      </c>
      <c r="AC12" s="183" t="n">
        <f aca="false">IF(AND(ISNUMBER($K12),ISNUMBER($L12),ISNUMBER($Q12)),IF(OR($Q12&lt;MIN($K12,$L12),$Q12&gt;MAX($K12,$L12)),1,0),0)</f>
        <v>0</v>
      </c>
      <c r="AD12" s="183" t="n">
        <f aca="false">IF(AND(ISNUMBER($T12),$P12="高"),IF($T12=3,1,0),0)</f>
        <v>0</v>
      </c>
      <c r="AE12" s="183" t="n">
        <f aca="false">IF($S12="不存在",1,0)</f>
        <v>0</v>
      </c>
      <c r="AF12" s="34" t="str">
        <f aca="false">IF(OR($H12="—",$H12=""),"—",MATCH($H12,IDX_SrcID,0))</f>
        <v>—</v>
      </c>
    </row>
    <row r="13" customFormat="false" ht="15" hidden="false" customHeight="true" outlineLevel="0" collapsed="false">
      <c r="A13" s="35" t="s">
        <v>2698</v>
      </c>
      <c r="B13" s="209" t="s">
        <v>2677</v>
      </c>
      <c r="C13" s="35" t="s">
        <v>2678</v>
      </c>
      <c r="D13" s="35" t="s">
        <v>2699</v>
      </c>
      <c r="E13" s="18" t="s">
        <v>78</v>
      </c>
      <c r="F13" s="35" t="s">
        <v>72</v>
      </c>
      <c r="G13" s="209" t="s">
        <v>1100</v>
      </c>
      <c r="H13" s="35" t="s">
        <v>571</v>
      </c>
      <c r="I13" s="6" t="s">
        <v>571</v>
      </c>
      <c r="J13" s="35" t="s">
        <v>571</v>
      </c>
      <c r="K13" s="209"/>
      <c r="L13" s="209"/>
      <c r="M13" s="35" t="s">
        <v>571</v>
      </c>
      <c r="N13" s="210" t="str">
        <f aca="false">Inputs!$H$10&amp;" ｜補充旗標（IF 全欄分段，非分段依據）：高"</f>
        <v>Block 2 以逐步能量模型閉合檢查 ｜補充旗標（IF 全欄分段，非分段依據）：高</v>
      </c>
      <c r="O13" s="6" t="s">
        <v>571</v>
      </c>
      <c r="P13" s="209" t="s">
        <v>1099</v>
      </c>
      <c r="Q13" s="176" t="n">
        <f aca="false">Inputs!F10</f>
        <v>0.9</v>
      </c>
      <c r="R13" s="35" t="s">
        <v>571</v>
      </c>
      <c r="S13" s="34" t="str">
        <f aca="false">IF(ISNUMBER($AF13),INDEX(IDX_SrcStat,$AF13),"—")</f>
        <v>—</v>
      </c>
      <c r="T13" s="34" t="str">
        <f aca="false">IF(ISNUMBER($AF13),INDEX(IDX_SrcGrade,$AF13),"—")</f>
        <v>—</v>
      </c>
      <c r="U13" s="34" t="s">
        <v>2683</v>
      </c>
      <c r="V13" s="183" t="n">
        <f aca="false">IF(AND($F13="原始數據",$U13&lt;&gt;"連結 SRC"),1,0)</f>
        <v>0</v>
      </c>
      <c r="W13" s="183" t="n">
        <f aca="false">IF(AND($F13="Analogy",OR($H13="—",$H13="")),1,0)</f>
        <v>0</v>
      </c>
      <c r="X13" s="183" t="n">
        <f aca="false">IF(AND(OR($F13="Analogy",$F13="Assumed"),$G13&lt;&gt;"低",$G13&lt;&gt;"高",NOT(ISNUMBER($K13)),NOT(ISNUMBER($L13)),OR($M13="—",$M13="")),1,0)</f>
        <v>0</v>
      </c>
      <c r="Y13" s="183" t="n">
        <f aca="false">IF(AND(OR($F13="Analogy",$F13="Assumed",$F13="Derived（待改公式）",$F13="Derived（公式）"),OR($N13="—",$N13="",$N13=0)),1,0)</f>
        <v>0</v>
      </c>
      <c r="Z13" s="183" t="n">
        <f aca="false">IF(AND($F13="Decision",OR($J13="—",$J13="")),1,0)</f>
        <v>0</v>
      </c>
      <c r="AA13" s="180" t="n">
        <f aca="false">IF(OR($J13="—",$J13=""),0,IF(COUNTIF(Decisions!$A$5:$A$300,$J13)=0,1,0))</f>
        <v>0</v>
      </c>
      <c r="AB13" s="183" t="n">
        <f aca="false">IF(AND($F13="原始數據",$S13&lt;&gt;"Active"),1,0)</f>
        <v>0</v>
      </c>
      <c r="AC13" s="183" t="n">
        <f aca="false">IF(AND(ISNUMBER($K13),ISNUMBER($L13),ISNUMBER($Q13)),IF(OR($Q13&lt;MIN($K13,$L13),$Q13&gt;MAX($K13,$L13)),1,0),0)</f>
        <v>0</v>
      </c>
      <c r="AD13" s="183" t="n">
        <f aca="false">IF(AND(ISNUMBER($T13),$P13="高"),IF($T13=3,1,0),0)</f>
        <v>0</v>
      </c>
      <c r="AE13" s="183" t="n">
        <f aca="false">IF($S13="不存在",1,0)</f>
        <v>0</v>
      </c>
      <c r="AF13" s="34" t="str">
        <f aca="false">IF(OR($H13="—",$H13=""),"—",MATCH($H13,IDX_SrcID,0))</f>
        <v>—</v>
      </c>
    </row>
    <row r="14" customFormat="false" ht="29.25" hidden="false" customHeight="true" outlineLevel="0" collapsed="false">
      <c r="A14" s="35" t="s">
        <v>2700</v>
      </c>
      <c r="B14" s="209" t="s">
        <v>2677</v>
      </c>
      <c r="C14" s="35" t="s">
        <v>2678</v>
      </c>
      <c r="D14" s="35" t="s">
        <v>2594</v>
      </c>
      <c r="E14" s="18" t="s">
        <v>80</v>
      </c>
      <c r="F14" s="35" t="s">
        <v>76</v>
      </c>
      <c r="G14" s="209" t="s">
        <v>57</v>
      </c>
      <c r="H14" s="35" t="s">
        <v>2701</v>
      </c>
      <c r="I14" s="18" t="s">
        <v>2702</v>
      </c>
      <c r="J14" s="35" t="s">
        <v>571</v>
      </c>
      <c r="K14" s="172" t="n">
        <f aca="false">Inputs!$D$11</f>
        <v>0.06</v>
      </c>
      <c r="L14" s="172" t="n">
        <f aca="false">Inputs!$F$11</f>
        <v>0.1</v>
      </c>
      <c r="M14" s="35" t="s">
        <v>571</v>
      </c>
      <c r="N14" s="210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4" s="6" t="s">
        <v>571</v>
      </c>
      <c r="P14" s="209" t="s">
        <v>1099</v>
      </c>
      <c r="Q14" s="172" t="n">
        <f aca="false">Inputs!E11</f>
        <v>0.08</v>
      </c>
      <c r="R14" s="182" t="n">
        <f aca="false">SRC_DC_006</f>
        <v>0.0871</v>
      </c>
      <c r="S14" s="34" t="str">
        <f aca="false">IF(ISNUMBER($AF14),INDEX(IDX_SrcStat,$AF14),"—")</f>
        <v>Active</v>
      </c>
      <c r="T14" s="34" t="n">
        <f aca="false">IF(ISNUMBER($AF14),INDEX(IDX_SrcGrade,$AF14),"—")</f>
        <v>2</v>
      </c>
      <c r="U14" s="34" t="s">
        <v>2683</v>
      </c>
      <c r="V14" s="183" t="n">
        <f aca="false">IF(AND($F14="原始數據",$U14&lt;&gt;"連結 SRC"),1,0)</f>
        <v>0</v>
      </c>
      <c r="W14" s="183" t="n">
        <f aca="false">IF(AND($F14="Analogy",OR($H14="—",$H14="")),1,0)</f>
        <v>0</v>
      </c>
      <c r="X14" s="183" t="n">
        <f aca="false">IF(AND(OR($F14="Analogy",$F14="Assumed"),$G14&lt;&gt;"低",$G14&lt;&gt;"高",NOT(ISNUMBER($K14)),NOT(ISNUMBER($L14)),OR($M14="—",$M14="")),1,0)</f>
        <v>0</v>
      </c>
      <c r="Y14" s="183" t="n">
        <f aca="false">IF(AND(OR($F14="Analogy",$F14="Assumed",$F14="Derived（待改公式）",$F14="Derived（公式）"),OR($N14="—",$N14="",$N14=0)),1,0)</f>
        <v>0</v>
      </c>
      <c r="Z14" s="183" t="n">
        <f aca="false">IF(AND($F14="Decision",OR($J14="—",$J14="")),1,0)</f>
        <v>0</v>
      </c>
      <c r="AA14" s="180" t="n">
        <f aca="false">IF(OR($J14="—",$J14=""),0,IF(COUNTIF(Decisions!$A$5:$A$300,$J14)=0,1,0))</f>
        <v>0</v>
      </c>
      <c r="AB14" s="183" t="n">
        <f aca="false">IF(AND($F14="原始數據",$S14&lt;&gt;"Active"),1,0)</f>
        <v>0</v>
      </c>
      <c r="AC14" s="183" t="n">
        <f aca="false">IF(AND(ISNUMBER($K14),ISNUMBER($L14),ISNUMBER($Q14)),IF(OR($Q14&lt;MIN($K14,$L14),$Q14&gt;MAX($K14,$L14)),1,0),0)</f>
        <v>0</v>
      </c>
      <c r="AD14" s="183" t="n">
        <f aca="false">IF(AND(ISNUMBER($T14),$P14="高"),IF($T14=3,1,0),0)</f>
        <v>0</v>
      </c>
      <c r="AE14" s="183" t="n">
        <f aca="false">IF($S14="不存在",1,0)</f>
        <v>0</v>
      </c>
      <c r="AF14" s="34" t="n">
        <f aca="false">IF(OR($H14="—",$H14=""),"—",MATCH($H14,IDX_SrcID,0))</f>
        <v>120</v>
      </c>
    </row>
    <row r="15" customFormat="false" ht="29.25" hidden="false" customHeight="true" outlineLevel="0" collapsed="false">
      <c r="A15" s="35" t="s">
        <v>2703</v>
      </c>
      <c r="B15" s="209" t="s">
        <v>2677</v>
      </c>
      <c r="C15" s="35" t="s">
        <v>2678</v>
      </c>
      <c r="D15" s="35" t="s">
        <v>2704</v>
      </c>
      <c r="E15" s="18" t="s">
        <v>80</v>
      </c>
      <c r="F15" s="35" t="s">
        <v>76</v>
      </c>
      <c r="G15" s="209" t="s">
        <v>1099</v>
      </c>
      <c r="H15" s="35" t="s">
        <v>2701</v>
      </c>
      <c r="I15" s="18" t="s">
        <v>2702</v>
      </c>
      <c r="J15" s="35" t="s">
        <v>571</v>
      </c>
      <c r="K15" s="209"/>
      <c r="L15" s="209"/>
      <c r="M15" s="35" t="s">
        <v>571</v>
      </c>
      <c r="N15" s="210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5" s="6" t="s">
        <v>571</v>
      </c>
      <c r="P15" s="209" t="s">
        <v>1099</v>
      </c>
      <c r="Q15" s="172" t="n">
        <f aca="false">Inputs!D11</f>
        <v>0.06</v>
      </c>
      <c r="R15" s="182" t="n">
        <f aca="false">SRC_DC_006</f>
        <v>0.0871</v>
      </c>
      <c r="S15" s="34" t="str">
        <f aca="false">IF(ISNUMBER($AF15),INDEX(IDX_SrcStat,$AF15),"—")</f>
        <v>Active</v>
      </c>
      <c r="T15" s="34" t="n">
        <f aca="false">IF(ISNUMBER($AF15),INDEX(IDX_SrcGrade,$AF15),"—")</f>
        <v>2</v>
      </c>
      <c r="U15" s="34" t="s">
        <v>2683</v>
      </c>
      <c r="V15" s="183" t="n">
        <f aca="false">IF(AND($F15="原始數據",$U15&lt;&gt;"連結 SRC"),1,0)</f>
        <v>0</v>
      </c>
      <c r="W15" s="183" t="n">
        <f aca="false">IF(AND($F15="Analogy",OR($H15="—",$H15="")),1,0)</f>
        <v>0</v>
      </c>
      <c r="X15" s="183" t="n">
        <f aca="false">IF(AND(OR($F15="Analogy",$F15="Assumed"),$G15&lt;&gt;"低",$G15&lt;&gt;"高",NOT(ISNUMBER($K15)),NOT(ISNUMBER($L15)),OR($M15="—",$M15="")),1,0)</f>
        <v>0</v>
      </c>
      <c r="Y15" s="183" t="n">
        <f aca="false">IF(AND(OR($F15="Analogy",$F15="Assumed",$F15="Derived（待改公式）",$F15="Derived（公式）"),OR($N15="—",$N15="",$N15=0)),1,0)</f>
        <v>0</v>
      </c>
      <c r="Z15" s="183" t="n">
        <f aca="false">IF(AND($F15="Decision",OR($J15="—",$J15="")),1,0)</f>
        <v>0</v>
      </c>
      <c r="AA15" s="180" t="n">
        <f aca="false">IF(OR($J15="—",$J15=""),0,IF(COUNTIF(Decisions!$A$5:$A$300,$J15)=0,1,0))</f>
        <v>0</v>
      </c>
      <c r="AB15" s="183" t="n">
        <f aca="false">IF(AND($F15="原始數據",$S15&lt;&gt;"Active"),1,0)</f>
        <v>0</v>
      </c>
      <c r="AC15" s="183" t="n">
        <f aca="false">IF(AND(ISNUMBER($K15),ISNUMBER($L15),ISNUMBER($Q15)),IF(OR($Q15&lt;MIN($K15,$L15),$Q15&gt;MAX($K15,$L15)),1,0),0)</f>
        <v>0</v>
      </c>
      <c r="AD15" s="183" t="n">
        <f aca="false">IF(AND(ISNUMBER($T15),$P15="高"),IF($T15=3,1,0),0)</f>
        <v>0</v>
      </c>
      <c r="AE15" s="183" t="n">
        <f aca="false">IF($S15="不存在",1,0)</f>
        <v>0</v>
      </c>
      <c r="AF15" s="34" t="n">
        <f aca="false">IF(OR($H15="—",$H15=""),"—",MATCH($H15,IDX_SrcID,0))</f>
        <v>120</v>
      </c>
    </row>
    <row r="16" customFormat="false" ht="29.25" hidden="false" customHeight="true" outlineLevel="0" collapsed="false">
      <c r="A16" s="35" t="s">
        <v>2705</v>
      </c>
      <c r="B16" s="209" t="s">
        <v>2677</v>
      </c>
      <c r="C16" s="35" t="s">
        <v>2678</v>
      </c>
      <c r="D16" s="35" t="s">
        <v>2706</v>
      </c>
      <c r="E16" s="18" t="s">
        <v>80</v>
      </c>
      <c r="F16" s="35" t="s">
        <v>76</v>
      </c>
      <c r="G16" s="209" t="s">
        <v>1100</v>
      </c>
      <c r="H16" s="35" t="s">
        <v>2701</v>
      </c>
      <c r="I16" s="18" t="s">
        <v>2702</v>
      </c>
      <c r="J16" s="35" t="s">
        <v>571</v>
      </c>
      <c r="K16" s="209"/>
      <c r="L16" s="209"/>
      <c r="M16" s="35" t="s">
        <v>571</v>
      </c>
      <c r="N16" s="210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6" s="6" t="s">
        <v>571</v>
      </c>
      <c r="P16" s="209" t="s">
        <v>1099</v>
      </c>
      <c r="Q16" s="172" t="n">
        <f aca="false">Inputs!F11</f>
        <v>0.1</v>
      </c>
      <c r="R16" s="182" t="n">
        <f aca="false">SRC_DC_006</f>
        <v>0.0871</v>
      </c>
      <c r="S16" s="34" t="str">
        <f aca="false">IF(ISNUMBER($AF16),INDEX(IDX_SrcStat,$AF16),"—")</f>
        <v>Active</v>
      </c>
      <c r="T16" s="34" t="n">
        <f aca="false">IF(ISNUMBER($AF16),INDEX(IDX_SrcGrade,$AF16),"—")</f>
        <v>2</v>
      </c>
      <c r="U16" s="34" t="s">
        <v>2683</v>
      </c>
      <c r="V16" s="183" t="n">
        <f aca="false">IF(AND($F16="原始數據",$U16&lt;&gt;"連結 SRC"),1,0)</f>
        <v>0</v>
      </c>
      <c r="W16" s="183" t="n">
        <f aca="false">IF(AND($F16="Analogy",OR($H16="—",$H16="")),1,0)</f>
        <v>0</v>
      </c>
      <c r="X16" s="183" t="n">
        <f aca="false">IF(AND(OR($F16="Analogy",$F16="Assumed"),$G16&lt;&gt;"低",$G16&lt;&gt;"高",NOT(ISNUMBER($K16)),NOT(ISNUMBER($L16)),OR($M16="—",$M16="")),1,0)</f>
        <v>0</v>
      </c>
      <c r="Y16" s="183" t="n">
        <f aca="false">IF(AND(OR($F16="Analogy",$F16="Assumed",$F16="Derived（待改公式）",$F16="Derived（公式）"),OR($N16="—",$N16="",$N16=0)),1,0)</f>
        <v>0</v>
      </c>
      <c r="Z16" s="183" t="n">
        <f aca="false">IF(AND($F16="Decision",OR($J16="—",$J16="")),1,0)</f>
        <v>0</v>
      </c>
      <c r="AA16" s="180" t="n">
        <f aca="false">IF(OR($J16="—",$J16=""),0,IF(COUNTIF(Decisions!$A$5:$A$300,$J16)=0,1,0))</f>
        <v>0</v>
      </c>
      <c r="AB16" s="183" t="n">
        <f aca="false">IF(AND($F16="原始數據",$S16&lt;&gt;"Active"),1,0)</f>
        <v>0</v>
      </c>
      <c r="AC16" s="183" t="n">
        <f aca="false">IF(AND(ISNUMBER($K16),ISNUMBER($L16),ISNUMBER($Q16)),IF(OR($Q16&lt;MIN($K16,$L16),$Q16&gt;MAX($K16,$L16)),1,0),0)</f>
        <v>0</v>
      </c>
      <c r="AD16" s="183" t="n">
        <f aca="false">IF(AND(ISNUMBER($T16),$P16="高"),IF($T16=3,1,0),0)</f>
        <v>0</v>
      </c>
      <c r="AE16" s="183" t="n">
        <f aca="false">IF($S16="不存在",1,0)</f>
        <v>0</v>
      </c>
      <c r="AF16" s="34" t="n">
        <f aca="false">IF(OR($H16="—",$H16=""),"—",MATCH($H16,IDX_SrcID,0))</f>
        <v>120</v>
      </c>
    </row>
    <row r="17" customFormat="false" ht="40.5" hidden="false" customHeight="true" outlineLevel="0" collapsed="false">
      <c r="A17" s="35" t="s">
        <v>2707</v>
      </c>
      <c r="B17" s="209" t="s">
        <v>2677</v>
      </c>
      <c r="C17" s="35" t="s">
        <v>2678</v>
      </c>
      <c r="D17" s="35" t="s">
        <v>2599</v>
      </c>
      <c r="E17" s="6" t="s">
        <v>85</v>
      </c>
      <c r="F17" s="35" t="s">
        <v>76</v>
      </c>
      <c r="G17" s="209" t="s">
        <v>57</v>
      </c>
      <c r="H17" s="35" t="s">
        <v>2708</v>
      </c>
      <c r="I17" s="18" t="s">
        <v>2702</v>
      </c>
      <c r="J17" s="35" t="s">
        <v>571</v>
      </c>
      <c r="K17" s="176" t="n">
        <f aca="false">Inputs!$D$13</f>
        <v>0.05</v>
      </c>
      <c r="L17" s="176" t="n">
        <f aca="false">Inputs!$F$13</f>
        <v>0.15</v>
      </c>
      <c r="M17" s="35" t="s">
        <v>571</v>
      </c>
      <c r="N17" s="210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7" s="6" t="s">
        <v>571</v>
      </c>
      <c r="P17" s="209" t="s">
        <v>1099</v>
      </c>
      <c r="Q17" s="176" t="n">
        <f aca="false">Inputs!E13</f>
        <v>0.1</v>
      </c>
      <c r="R17" s="182" t="n">
        <f aca="false">SRC_DC_001_Lo</f>
        <v>0.04</v>
      </c>
      <c r="S17" s="34" t="str">
        <f aca="false">IF(ISNUMBER($AF17),INDEX(IDX_SrcStat,$AF17),"—")</f>
        <v>Active</v>
      </c>
      <c r="T17" s="34" t="n">
        <f aca="false">IF(ISNUMBER($AF17),INDEX(IDX_SrcGrade,$AF17),"—")</f>
        <v>3</v>
      </c>
      <c r="U17" s="34" t="s">
        <v>2683</v>
      </c>
      <c r="V17" s="183" t="n">
        <f aca="false">IF(AND($F17="原始數據",$U17&lt;&gt;"連結 SRC"),1,0)</f>
        <v>0</v>
      </c>
      <c r="W17" s="183" t="n">
        <f aca="false">IF(AND($F17="Analogy",OR($H17="—",$H17="")),1,0)</f>
        <v>0</v>
      </c>
      <c r="X17" s="183" t="n">
        <f aca="false">IF(AND(OR($F17="Analogy",$F17="Assumed"),$G17&lt;&gt;"低",$G17&lt;&gt;"高",NOT(ISNUMBER($K17)),NOT(ISNUMBER($L17)),OR($M17="—",$M17="")),1,0)</f>
        <v>0</v>
      </c>
      <c r="Y17" s="183" t="n">
        <f aca="false">IF(AND(OR($F17="Analogy",$F17="Assumed",$F17="Derived（待改公式）",$F17="Derived（公式）"),OR($N17="—",$N17="",$N17=0)),1,0)</f>
        <v>0</v>
      </c>
      <c r="Z17" s="183" t="n">
        <f aca="false">IF(AND($F17="Decision",OR($J17="—",$J17="")),1,0)</f>
        <v>0</v>
      </c>
      <c r="AA17" s="180" t="n">
        <f aca="false">IF(OR($J17="—",$J17=""),0,IF(COUNTIF(Decisions!$A$5:$A$300,$J17)=0,1,0))</f>
        <v>0</v>
      </c>
      <c r="AB17" s="183" t="n">
        <f aca="false">IF(AND($F17="原始數據",$S17&lt;&gt;"Active"),1,0)</f>
        <v>0</v>
      </c>
      <c r="AC17" s="183" t="n">
        <f aca="false">IF(AND(ISNUMBER($K17),ISNUMBER($L17),ISNUMBER($Q17)),IF(OR($Q17&lt;MIN($K17,$L17),$Q17&gt;MAX($K17,$L17)),1,0),0)</f>
        <v>0</v>
      </c>
      <c r="AD17" s="183" t="n">
        <f aca="false">IF(AND(ISNUMBER($T17),$P17="高"),IF($T17=3,1,0),0)</f>
        <v>0</v>
      </c>
      <c r="AE17" s="183" t="n">
        <f aca="false">IF($S17="不存在",1,0)</f>
        <v>0</v>
      </c>
      <c r="AF17" s="34" t="n">
        <f aca="false">IF(OR($H17="—",$H17=""),"—",MATCH($H17,IDX_SrcID,0))</f>
        <v>115</v>
      </c>
    </row>
    <row r="18" customFormat="false" ht="40.5" hidden="false" customHeight="true" outlineLevel="0" collapsed="false">
      <c r="A18" s="35" t="s">
        <v>2709</v>
      </c>
      <c r="B18" s="209" t="s">
        <v>2677</v>
      </c>
      <c r="C18" s="35" t="s">
        <v>2678</v>
      </c>
      <c r="D18" s="35" t="s">
        <v>2710</v>
      </c>
      <c r="E18" s="6" t="s">
        <v>85</v>
      </c>
      <c r="F18" s="35" t="s">
        <v>76</v>
      </c>
      <c r="G18" s="209" t="s">
        <v>1099</v>
      </c>
      <c r="H18" s="35" t="s">
        <v>2708</v>
      </c>
      <c r="I18" s="18" t="s">
        <v>2702</v>
      </c>
      <c r="J18" s="35" t="s">
        <v>571</v>
      </c>
      <c r="K18" s="209"/>
      <c r="L18" s="209"/>
      <c r="M18" s="35" t="s">
        <v>571</v>
      </c>
      <c r="N18" s="210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8" s="6" t="s">
        <v>571</v>
      </c>
      <c r="P18" s="209" t="s">
        <v>1099</v>
      </c>
      <c r="Q18" s="176" t="n">
        <f aca="false">Inputs!D13</f>
        <v>0.05</v>
      </c>
      <c r="R18" s="182" t="n">
        <f aca="false">SRC_DC_001_Lo</f>
        <v>0.04</v>
      </c>
      <c r="S18" s="34" t="str">
        <f aca="false">IF(ISNUMBER($AF18),INDEX(IDX_SrcStat,$AF18),"—")</f>
        <v>Active</v>
      </c>
      <c r="T18" s="34" t="n">
        <f aca="false">IF(ISNUMBER($AF18),INDEX(IDX_SrcGrade,$AF18),"—")</f>
        <v>3</v>
      </c>
      <c r="U18" s="34" t="s">
        <v>2683</v>
      </c>
      <c r="V18" s="183" t="n">
        <f aca="false">IF(AND($F18="原始數據",$U18&lt;&gt;"連結 SRC"),1,0)</f>
        <v>0</v>
      </c>
      <c r="W18" s="183" t="n">
        <f aca="false">IF(AND($F18="Analogy",OR($H18="—",$H18="")),1,0)</f>
        <v>0</v>
      </c>
      <c r="X18" s="183" t="n">
        <f aca="false">IF(AND(OR($F18="Analogy",$F18="Assumed"),$G18&lt;&gt;"低",$G18&lt;&gt;"高",NOT(ISNUMBER($K18)),NOT(ISNUMBER($L18)),OR($M18="—",$M18="")),1,0)</f>
        <v>0</v>
      </c>
      <c r="Y18" s="183" t="n">
        <f aca="false">IF(AND(OR($F18="Analogy",$F18="Assumed",$F18="Derived（待改公式）",$F18="Derived（公式）"),OR($N18="—",$N18="",$N18=0)),1,0)</f>
        <v>0</v>
      </c>
      <c r="Z18" s="183" t="n">
        <f aca="false">IF(AND($F18="Decision",OR($J18="—",$J18="")),1,0)</f>
        <v>0</v>
      </c>
      <c r="AA18" s="180" t="n">
        <f aca="false">IF(OR($J18="—",$J18=""),0,IF(COUNTIF(Decisions!$A$5:$A$300,$J18)=0,1,0))</f>
        <v>0</v>
      </c>
      <c r="AB18" s="183" t="n">
        <f aca="false">IF(AND($F18="原始數據",$S18&lt;&gt;"Active"),1,0)</f>
        <v>0</v>
      </c>
      <c r="AC18" s="183" t="n">
        <f aca="false">IF(AND(ISNUMBER($K18),ISNUMBER($L18),ISNUMBER($Q18)),IF(OR($Q18&lt;MIN($K18,$L18),$Q18&gt;MAX($K18,$L18)),1,0),0)</f>
        <v>0</v>
      </c>
      <c r="AD18" s="183" t="n">
        <f aca="false">IF(AND(ISNUMBER($T18),$P18="高"),IF($T18=3,1,0),0)</f>
        <v>0</v>
      </c>
      <c r="AE18" s="183" t="n">
        <f aca="false">IF($S18="不存在",1,0)</f>
        <v>0</v>
      </c>
      <c r="AF18" s="34" t="n">
        <f aca="false">IF(OR($H18="—",$H18=""),"—",MATCH($H18,IDX_SrcID,0))</f>
        <v>115</v>
      </c>
    </row>
    <row r="19" customFormat="false" ht="15" hidden="false" customHeight="true" outlineLevel="0" collapsed="false">
      <c r="A19" s="35" t="s">
        <v>2711</v>
      </c>
      <c r="B19" s="209" t="s">
        <v>2677</v>
      </c>
      <c r="C19" s="35" t="s">
        <v>2678</v>
      </c>
      <c r="D19" s="35" t="s">
        <v>2712</v>
      </c>
      <c r="E19" s="6" t="s">
        <v>85</v>
      </c>
      <c r="F19" s="209" t="s">
        <v>290</v>
      </c>
      <c r="G19" s="209" t="s">
        <v>2679</v>
      </c>
      <c r="H19" s="35" t="s">
        <v>2713</v>
      </c>
      <c r="I19" s="18" t="s">
        <v>2714</v>
      </c>
      <c r="J19" s="35" t="s">
        <v>571</v>
      </c>
      <c r="K19" s="209"/>
      <c r="L19" s="209"/>
      <c r="M19" s="35" t="s">
        <v>571</v>
      </c>
      <c r="N19" s="18" t="s">
        <v>2715</v>
      </c>
      <c r="O19" s="6" t="s">
        <v>571</v>
      </c>
      <c r="P19" s="209" t="s">
        <v>1099</v>
      </c>
      <c r="Q19" s="176" t="n">
        <f aca="false">Inputs!F13</f>
        <v>0.15</v>
      </c>
      <c r="R19" s="182" t="n">
        <f aca="false">SRC_DC_002</f>
        <v>0.15</v>
      </c>
      <c r="S19" s="34" t="str">
        <f aca="false">IF(ISNUMBER($AF19),INDEX(IDX_SrcStat,$AF19),"—")</f>
        <v>Active</v>
      </c>
      <c r="T19" s="34" t="n">
        <f aca="false">IF(ISNUMBER($AF19),INDEX(IDX_SrcGrade,$AF19),"—")</f>
        <v>3</v>
      </c>
      <c r="U19" s="34" t="s">
        <v>2716</v>
      </c>
      <c r="V19" s="183" t="n">
        <f aca="false">IF(AND($F19="原始數據",$U19&lt;&gt;"連結 SRC"),1,0)</f>
        <v>0</v>
      </c>
      <c r="W19" s="183" t="n">
        <f aca="false">IF(AND($F19="Analogy",OR($H19="—",$H19="")),1,0)</f>
        <v>0</v>
      </c>
      <c r="X19" s="183" t="n">
        <f aca="false">IF(AND(OR($F19="Analogy",$F19="Assumed"),$G19&lt;&gt;"低",$G19&lt;&gt;"高",NOT(ISNUMBER($K19)),NOT(ISNUMBER($L19)),OR($M19="—",$M19="")),1,0)</f>
        <v>0</v>
      </c>
      <c r="Y19" s="183" t="n">
        <f aca="false">IF(AND(OR($F19="Analogy",$F19="Assumed",$F19="Derived（待改公式）",$F19="Derived（公式）"),OR($N19="—",$N19="",$N19=0)),1,0)</f>
        <v>0</v>
      </c>
      <c r="Z19" s="183" t="n">
        <f aca="false">IF(AND($F19="Decision",OR($J19="—",$J19="")),1,0)</f>
        <v>0</v>
      </c>
      <c r="AA19" s="180" t="n">
        <f aca="false">IF(OR($J19="—",$J19=""),0,IF(COUNTIF(Decisions!$A$5:$A$300,$J19)=0,1,0))</f>
        <v>0</v>
      </c>
      <c r="AB19" s="183" t="n">
        <f aca="false">IF(AND($F19="原始數據",$S19&lt;&gt;"Active"),1,0)</f>
        <v>0</v>
      </c>
      <c r="AC19" s="183" t="n">
        <f aca="false">IF(AND(ISNUMBER($K19),ISNUMBER($L19),ISNUMBER($Q19)),IF(OR($Q19&lt;MIN($K19,$L19),$Q19&gt;MAX($K19,$L19)),1,0),0)</f>
        <v>0</v>
      </c>
      <c r="AD19" s="183" t="n">
        <f aca="false">IF(AND(ISNUMBER($T19),$P19="高"),IF($T19=3,1,0),0)</f>
        <v>0</v>
      </c>
      <c r="AE19" s="183" t="n">
        <f aca="false">IF($S19="不存在",1,0)</f>
        <v>0</v>
      </c>
      <c r="AF19" s="34" t="n">
        <f aca="false">IF(OR($H19="—",$H19=""),"—",MATCH($H19,IDX_SrcID,0))</f>
        <v>116</v>
      </c>
    </row>
    <row r="20" customFormat="false" ht="15" hidden="false" customHeight="true" outlineLevel="0" collapsed="false">
      <c r="A20" s="35" t="s">
        <v>2717</v>
      </c>
      <c r="B20" s="209" t="s">
        <v>2677</v>
      </c>
      <c r="C20" s="35" t="s">
        <v>2678</v>
      </c>
      <c r="D20" s="35" t="s">
        <v>2718</v>
      </c>
      <c r="E20" s="18" t="s">
        <v>87</v>
      </c>
      <c r="F20" s="35" t="s">
        <v>72</v>
      </c>
      <c r="G20" s="209" t="s">
        <v>57</v>
      </c>
      <c r="H20" s="35" t="s">
        <v>571</v>
      </c>
      <c r="I20" s="6" t="s">
        <v>571</v>
      </c>
      <c r="J20" s="35" t="s">
        <v>571</v>
      </c>
      <c r="K20" s="40" t="n">
        <f aca="false">Inputs!$D$14</f>
        <v>300</v>
      </c>
      <c r="L20" s="40" t="n">
        <f aca="false">Inputs!$F$14</f>
        <v>800</v>
      </c>
      <c r="M20" s="35" t="s">
        <v>571</v>
      </c>
      <c r="N20" s="210" t="str">
        <f aca="false">Inputs!$H$14</f>
        <v>v4 約 $350/GPU（$25K/架）</v>
      </c>
      <c r="O20" s="6" t="s">
        <v>571</v>
      </c>
      <c r="P20" s="209" t="s">
        <v>1099</v>
      </c>
      <c r="Q20" s="40" t="n">
        <f aca="false">Inputs!E14</f>
        <v>500</v>
      </c>
      <c r="R20" s="35" t="s">
        <v>571</v>
      </c>
      <c r="S20" s="34" t="str">
        <f aca="false">IF(ISNUMBER($AF20),INDEX(IDX_SrcStat,$AF20),"—")</f>
        <v>—</v>
      </c>
      <c r="T20" s="34" t="str">
        <f aca="false">IF(ISNUMBER($AF20),INDEX(IDX_SrcGrade,$AF20),"—")</f>
        <v>—</v>
      </c>
      <c r="U20" s="34" t="s">
        <v>2683</v>
      </c>
      <c r="V20" s="183" t="n">
        <f aca="false">IF(AND($F20="原始數據",$U20&lt;&gt;"連結 SRC"),1,0)</f>
        <v>0</v>
      </c>
      <c r="W20" s="183" t="n">
        <f aca="false">IF(AND($F20="Analogy",OR($H20="—",$H20="")),1,0)</f>
        <v>0</v>
      </c>
      <c r="X20" s="183" t="n">
        <f aca="false">IF(AND(OR($F20="Analogy",$F20="Assumed"),$G20&lt;&gt;"低",$G20&lt;&gt;"高",NOT(ISNUMBER($K20)),NOT(ISNUMBER($L20)),OR($M20="—",$M20="")),1,0)</f>
        <v>0</v>
      </c>
      <c r="Y20" s="183" t="n">
        <f aca="false">IF(AND(OR($F20="Analogy",$F20="Assumed",$F20="Derived（待改公式）",$F20="Derived（公式）"),OR($N20="—",$N20="",$N20=0)),1,0)</f>
        <v>0</v>
      </c>
      <c r="Z20" s="183" t="n">
        <f aca="false">IF(AND($F20="Decision",OR($J20="—",$J20="")),1,0)</f>
        <v>0</v>
      </c>
      <c r="AA20" s="180" t="n">
        <f aca="false">IF(OR($J20="—",$J20=""),0,IF(COUNTIF(Decisions!$A$5:$A$300,$J20)=0,1,0))</f>
        <v>0</v>
      </c>
      <c r="AB20" s="183" t="n">
        <f aca="false">IF(AND($F20="原始數據",$S20&lt;&gt;"Active"),1,0)</f>
        <v>0</v>
      </c>
      <c r="AC20" s="183" t="n">
        <f aca="false">IF(AND(ISNUMBER($K20),ISNUMBER($L20),ISNUMBER($Q20)),IF(OR($Q20&lt;MIN($K20,$L20),$Q20&gt;MAX($K20,$L20)),1,0),0)</f>
        <v>0</v>
      </c>
      <c r="AD20" s="183" t="n">
        <f aca="false">IF(AND(ISNUMBER($T20),$P20="高"),IF($T20=3,1,0),0)</f>
        <v>0</v>
      </c>
      <c r="AE20" s="183" t="n">
        <f aca="false">IF($S20="不存在",1,0)</f>
        <v>0</v>
      </c>
      <c r="AF20" s="34" t="str">
        <f aca="false">IF(OR($H20="—",$H20=""),"—",MATCH($H20,IDX_SrcID,0))</f>
        <v>—</v>
      </c>
    </row>
    <row r="21" customFormat="false" ht="15" hidden="false" customHeight="true" outlineLevel="0" collapsed="false">
      <c r="A21" s="35" t="s">
        <v>2719</v>
      </c>
      <c r="B21" s="209" t="s">
        <v>2677</v>
      </c>
      <c r="C21" s="35" t="s">
        <v>2678</v>
      </c>
      <c r="D21" s="35" t="s">
        <v>2720</v>
      </c>
      <c r="E21" s="18" t="s">
        <v>87</v>
      </c>
      <c r="F21" s="35" t="s">
        <v>72</v>
      </c>
      <c r="G21" s="209" t="s">
        <v>1099</v>
      </c>
      <c r="H21" s="35" t="s">
        <v>571</v>
      </c>
      <c r="I21" s="6" t="s">
        <v>571</v>
      </c>
      <c r="J21" s="35" t="s">
        <v>571</v>
      </c>
      <c r="K21" s="209"/>
      <c r="L21" s="209"/>
      <c r="M21" s="35" t="s">
        <v>571</v>
      </c>
      <c r="N21" s="210" t="str">
        <f aca="false">Inputs!$H$14</f>
        <v>v4 約 $350/GPU（$25K/架）</v>
      </c>
      <c r="O21" s="6" t="s">
        <v>571</v>
      </c>
      <c r="P21" s="209" t="s">
        <v>1099</v>
      </c>
      <c r="Q21" s="40" t="n">
        <f aca="false">Inputs!D14</f>
        <v>300</v>
      </c>
      <c r="R21" s="35" t="s">
        <v>571</v>
      </c>
      <c r="S21" s="34" t="str">
        <f aca="false">IF(ISNUMBER($AF21),INDEX(IDX_SrcStat,$AF21),"—")</f>
        <v>—</v>
      </c>
      <c r="T21" s="34" t="str">
        <f aca="false">IF(ISNUMBER($AF21),INDEX(IDX_SrcGrade,$AF21),"—")</f>
        <v>—</v>
      </c>
      <c r="U21" s="34" t="s">
        <v>2683</v>
      </c>
      <c r="V21" s="183" t="n">
        <f aca="false">IF(AND($F21="原始數據",$U21&lt;&gt;"連結 SRC"),1,0)</f>
        <v>0</v>
      </c>
      <c r="W21" s="183" t="n">
        <f aca="false">IF(AND($F21="Analogy",OR($H21="—",$H21="")),1,0)</f>
        <v>0</v>
      </c>
      <c r="X21" s="183" t="n">
        <f aca="false">IF(AND(OR($F21="Analogy",$F21="Assumed"),$G21&lt;&gt;"低",$G21&lt;&gt;"高",NOT(ISNUMBER($K21)),NOT(ISNUMBER($L21)),OR($M21="—",$M21="")),1,0)</f>
        <v>0</v>
      </c>
      <c r="Y21" s="183" t="n">
        <f aca="false">IF(AND(OR($F21="Analogy",$F21="Assumed",$F21="Derived（待改公式）",$F21="Derived（公式）"),OR($N21="—",$N21="",$N21=0)),1,0)</f>
        <v>0</v>
      </c>
      <c r="Z21" s="183" t="n">
        <f aca="false">IF(AND($F21="Decision",OR($J21="—",$J21="")),1,0)</f>
        <v>0</v>
      </c>
      <c r="AA21" s="180" t="n">
        <f aca="false">IF(OR($J21="—",$J21=""),0,IF(COUNTIF(Decisions!$A$5:$A$300,$J21)=0,1,0))</f>
        <v>0</v>
      </c>
      <c r="AB21" s="183" t="n">
        <f aca="false">IF(AND($F21="原始數據",$S21&lt;&gt;"Active"),1,0)</f>
        <v>0</v>
      </c>
      <c r="AC21" s="183" t="n">
        <f aca="false">IF(AND(ISNUMBER($K21),ISNUMBER($L21),ISNUMBER($Q21)),IF(OR($Q21&lt;MIN($K21,$L21),$Q21&gt;MAX($K21,$L21)),1,0),0)</f>
        <v>0</v>
      </c>
      <c r="AD21" s="183" t="n">
        <f aca="false">IF(AND(ISNUMBER($T21),$P21="高"),IF($T21=3,1,0),0)</f>
        <v>0</v>
      </c>
      <c r="AE21" s="183" t="n">
        <f aca="false">IF($S21="不存在",1,0)</f>
        <v>0</v>
      </c>
      <c r="AF21" s="34" t="str">
        <f aca="false">IF(OR($H21="—",$H21=""),"—",MATCH($H21,IDX_SrcID,0))</f>
        <v>—</v>
      </c>
    </row>
    <row r="22" customFormat="false" ht="15" hidden="false" customHeight="true" outlineLevel="0" collapsed="false">
      <c r="A22" s="35" t="s">
        <v>2721</v>
      </c>
      <c r="B22" s="209" t="s">
        <v>2677</v>
      </c>
      <c r="C22" s="35" t="s">
        <v>2678</v>
      </c>
      <c r="D22" s="35" t="s">
        <v>2722</v>
      </c>
      <c r="E22" s="18" t="s">
        <v>87</v>
      </c>
      <c r="F22" s="35" t="s">
        <v>72</v>
      </c>
      <c r="G22" s="209" t="s">
        <v>1100</v>
      </c>
      <c r="H22" s="35" t="s">
        <v>571</v>
      </c>
      <c r="I22" s="6" t="s">
        <v>571</v>
      </c>
      <c r="J22" s="35" t="s">
        <v>571</v>
      </c>
      <c r="K22" s="209"/>
      <c r="L22" s="209"/>
      <c r="M22" s="35" t="s">
        <v>571</v>
      </c>
      <c r="N22" s="210" t="str">
        <f aca="false">Inputs!$H$14</f>
        <v>v4 約 $350/GPU（$25K/架）</v>
      </c>
      <c r="O22" s="6" t="s">
        <v>571</v>
      </c>
      <c r="P22" s="209" t="s">
        <v>1099</v>
      </c>
      <c r="Q22" s="40" t="n">
        <f aca="false">Inputs!F14</f>
        <v>800</v>
      </c>
      <c r="R22" s="35" t="s">
        <v>571</v>
      </c>
      <c r="S22" s="34" t="str">
        <f aca="false">IF(ISNUMBER($AF22),INDEX(IDX_SrcStat,$AF22),"—")</f>
        <v>—</v>
      </c>
      <c r="T22" s="34" t="str">
        <f aca="false">IF(ISNUMBER($AF22),INDEX(IDX_SrcGrade,$AF22),"—")</f>
        <v>—</v>
      </c>
      <c r="U22" s="34" t="s">
        <v>2683</v>
      </c>
      <c r="V22" s="183" t="n">
        <f aca="false">IF(AND($F22="原始數據",$U22&lt;&gt;"連結 SRC"),1,0)</f>
        <v>0</v>
      </c>
      <c r="W22" s="183" t="n">
        <f aca="false">IF(AND($F22="Analogy",OR($H22="—",$H22="")),1,0)</f>
        <v>0</v>
      </c>
      <c r="X22" s="183" t="n">
        <f aca="false">IF(AND(OR($F22="Analogy",$F22="Assumed"),$G22&lt;&gt;"低",$G22&lt;&gt;"高",NOT(ISNUMBER($K22)),NOT(ISNUMBER($L22)),OR($M22="—",$M22="")),1,0)</f>
        <v>0</v>
      </c>
      <c r="Y22" s="183" t="n">
        <f aca="false">IF(AND(OR($F22="Analogy",$F22="Assumed",$F22="Derived（待改公式）",$F22="Derived（公式）"),OR($N22="—",$N22="",$N22=0)),1,0)</f>
        <v>0</v>
      </c>
      <c r="Z22" s="183" t="n">
        <f aca="false">IF(AND($F22="Decision",OR($J22="—",$J22="")),1,0)</f>
        <v>0</v>
      </c>
      <c r="AA22" s="180" t="n">
        <f aca="false">IF(OR($J22="—",$J22=""),0,IF(COUNTIF(Decisions!$A$5:$A$300,$J22)=0,1,0))</f>
        <v>0</v>
      </c>
      <c r="AB22" s="183" t="n">
        <f aca="false">IF(AND($F22="原始數據",$S22&lt;&gt;"Active"),1,0)</f>
        <v>0</v>
      </c>
      <c r="AC22" s="183" t="n">
        <f aca="false">IF(AND(ISNUMBER($K22),ISNUMBER($L22),ISNUMBER($Q22)),IF(OR($Q22&lt;MIN($K22,$L22),$Q22&gt;MAX($K22,$L22)),1,0),0)</f>
        <v>0</v>
      </c>
      <c r="AD22" s="183" t="n">
        <f aca="false">IF(AND(ISNUMBER($T22),$P22="高"),IF($T22=3,1,0),0)</f>
        <v>0</v>
      </c>
      <c r="AE22" s="183" t="n">
        <f aca="false">IF($S22="不存在",1,0)</f>
        <v>0</v>
      </c>
      <c r="AF22" s="34" t="str">
        <f aca="false">IF(OR($H22="—",$H22=""),"—",MATCH($H22,IDX_SrcID,0))</f>
        <v>—</v>
      </c>
    </row>
    <row r="23" customFormat="false" ht="15" hidden="false" customHeight="true" outlineLevel="0" collapsed="false">
      <c r="A23" s="35" t="s">
        <v>2723</v>
      </c>
      <c r="B23" s="209" t="s">
        <v>2677</v>
      </c>
      <c r="C23" s="35" t="s">
        <v>2678</v>
      </c>
      <c r="D23" s="35" t="s">
        <v>2724</v>
      </c>
      <c r="E23" s="18" t="s">
        <v>91</v>
      </c>
      <c r="F23" s="35" t="s">
        <v>72</v>
      </c>
      <c r="G23" s="209" t="s">
        <v>57</v>
      </c>
      <c r="H23" s="35" t="s">
        <v>571</v>
      </c>
      <c r="I23" s="6" t="s">
        <v>571</v>
      </c>
      <c r="J23" s="35" t="s">
        <v>571</v>
      </c>
      <c r="K23" s="172" t="n">
        <f aca="false">Inputs!$D$16</f>
        <v>0.02</v>
      </c>
      <c r="L23" s="172" t="n">
        <f aca="false">Inputs!$F$16</f>
        <v>0.02</v>
      </c>
      <c r="M23" s="35" t="s">
        <v>571</v>
      </c>
      <c r="N23" s="210" t="str">
        <f aca="false">Inputs!$H$16</f>
        <v>v4：100 英畝 × $200K／GW</v>
      </c>
      <c r="O23" s="6" t="s">
        <v>571</v>
      </c>
      <c r="P23" s="209" t="s">
        <v>1099</v>
      </c>
      <c r="Q23" s="172" t="n">
        <f aca="false">Inputs!E16</f>
        <v>0.02</v>
      </c>
      <c r="R23" s="35" t="s">
        <v>571</v>
      </c>
      <c r="S23" s="34" t="str">
        <f aca="false">IF(ISNUMBER($AF23),INDEX(IDX_SrcStat,$AF23),"—")</f>
        <v>—</v>
      </c>
      <c r="T23" s="34" t="str">
        <f aca="false">IF(ISNUMBER($AF23),INDEX(IDX_SrcGrade,$AF23),"—")</f>
        <v>—</v>
      </c>
      <c r="U23" s="34" t="s">
        <v>2683</v>
      </c>
      <c r="V23" s="183" t="n">
        <f aca="false">IF(AND($F23="原始數據",$U23&lt;&gt;"連結 SRC"),1,0)</f>
        <v>0</v>
      </c>
      <c r="W23" s="183" t="n">
        <f aca="false">IF(AND($F23="Analogy",OR($H23="—",$H23="")),1,0)</f>
        <v>0</v>
      </c>
      <c r="X23" s="183" t="n">
        <f aca="false">IF(AND(OR($F23="Analogy",$F23="Assumed"),$G23&lt;&gt;"低",$G23&lt;&gt;"高",NOT(ISNUMBER($K23)),NOT(ISNUMBER($L23)),OR($M23="—",$M23="")),1,0)</f>
        <v>0</v>
      </c>
      <c r="Y23" s="183" t="n">
        <f aca="false">IF(AND(OR($F23="Analogy",$F23="Assumed",$F23="Derived（待改公式）",$F23="Derived（公式）"),OR($N23="—",$N23="",$N23=0)),1,0)</f>
        <v>0</v>
      </c>
      <c r="Z23" s="183" t="n">
        <f aca="false">IF(AND($F23="Decision",OR($J23="—",$J23="")),1,0)</f>
        <v>0</v>
      </c>
      <c r="AA23" s="180" t="n">
        <f aca="false">IF(OR($J23="—",$J23=""),0,IF(COUNTIF(Decisions!$A$5:$A$300,$J23)=0,1,0))</f>
        <v>0</v>
      </c>
      <c r="AB23" s="183" t="n">
        <f aca="false">IF(AND($F23="原始數據",$S23&lt;&gt;"Active"),1,0)</f>
        <v>0</v>
      </c>
      <c r="AC23" s="183" t="n">
        <f aca="false">IF(AND(ISNUMBER($K23),ISNUMBER($L23),ISNUMBER($Q23)),IF(OR($Q23&lt;MIN($K23,$L23),$Q23&gt;MAX($K23,$L23)),1,0),0)</f>
        <v>0</v>
      </c>
      <c r="AD23" s="183" t="n">
        <f aca="false">IF(AND(ISNUMBER($T23),$P23="高"),IF($T23=3,1,0),0)</f>
        <v>0</v>
      </c>
      <c r="AE23" s="183" t="n">
        <f aca="false">IF($S23="不存在",1,0)</f>
        <v>0</v>
      </c>
      <c r="AF23" s="34" t="str">
        <f aca="false">IF(OR($H23="—",$H23=""),"—",MATCH($H23,IDX_SrcID,0))</f>
        <v>—</v>
      </c>
    </row>
    <row r="24" customFormat="false" ht="15" hidden="false" customHeight="true" outlineLevel="0" collapsed="false">
      <c r="A24" s="35" t="s">
        <v>2725</v>
      </c>
      <c r="B24" s="209" t="s">
        <v>2677</v>
      </c>
      <c r="C24" s="35" t="s">
        <v>2678</v>
      </c>
      <c r="D24" s="35" t="s">
        <v>2726</v>
      </c>
      <c r="E24" s="18" t="s">
        <v>91</v>
      </c>
      <c r="F24" s="35" t="s">
        <v>72</v>
      </c>
      <c r="G24" s="209" t="s">
        <v>1099</v>
      </c>
      <c r="H24" s="35" t="s">
        <v>571</v>
      </c>
      <c r="I24" s="6" t="s">
        <v>571</v>
      </c>
      <c r="J24" s="35" t="s">
        <v>571</v>
      </c>
      <c r="K24" s="209"/>
      <c r="L24" s="209"/>
      <c r="M24" s="35" t="s">
        <v>571</v>
      </c>
      <c r="N24" s="210" t="str">
        <f aca="false">Inputs!$H$16</f>
        <v>v4：100 英畝 × $200K／GW</v>
      </c>
      <c r="O24" s="6" t="s">
        <v>571</v>
      </c>
      <c r="P24" s="209" t="s">
        <v>1099</v>
      </c>
      <c r="Q24" s="172" t="n">
        <f aca="false">Inputs!D16</f>
        <v>0.02</v>
      </c>
      <c r="R24" s="35" t="s">
        <v>571</v>
      </c>
      <c r="S24" s="34" t="str">
        <f aca="false">IF(ISNUMBER($AF24),INDEX(IDX_SrcStat,$AF24),"—")</f>
        <v>—</v>
      </c>
      <c r="T24" s="34" t="str">
        <f aca="false">IF(ISNUMBER($AF24),INDEX(IDX_SrcGrade,$AF24),"—")</f>
        <v>—</v>
      </c>
      <c r="U24" s="34" t="s">
        <v>2683</v>
      </c>
      <c r="V24" s="183" t="n">
        <f aca="false">IF(AND($F24="原始數據",$U24&lt;&gt;"連結 SRC"),1,0)</f>
        <v>0</v>
      </c>
      <c r="W24" s="183" t="n">
        <f aca="false">IF(AND($F24="Analogy",OR($H24="—",$H24="")),1,0)</f>
        <v>0</v>
      </c>
      <c r="X24" s="183" t="n">
        <f aca="false">IF(AND(OR($F24="Analogy",$F24="Assumed"),$G24&lt;&gt;"低",$G24&lt;&gt;"高",NOT(ISNUMBER($K24)),NOT(ISNUMBER($L24)),OR($M24="—",$M24="")),1,0)</f>
        <v>0</v>
      </c>
      <c r="Y24" s="183" t="n">
        <f aca="false">IF(AND(OR($F24="Analogy",$F24="Assumed",$F24="Derived（待改公式）",$F24="Derived（公式）"),OR($N24="—",$N24="",$N24=0)),1,0)</f>
        <v>0</v>
      </c>
      <c r="Z24" s="183" t="n">
        <f aca="false">IF(AND($F24="Decision",OR($J24="—",$J24="")),1,0)</f>
        <v>0</v>
      </c>
      <c r="AA24" s="180" t="n">
        <f aca="false">IF(OR($J24="—",$J24=""),0,IF(COUNTIF(Decisions!$A$5:$A$300,$J24)=0,1,0))</f>
        <v>0</v>
      </c>
      <c r="AB24" s="183" t="n">
        <f aca="false">IF(AND($F24="原始數據",$S24&lt;&gt;"Active"),1,0)</f>
        <v>0</v>
      </c>
      <c r="AC24" s="183" t="n">
        <f aca="false">IF(AND(ISNUMBER($K24),ISNUMBER($L24),ISNUMBER($Q24)),IF(OR($Q24&lt;MIN($K24,$L24),$Q24&gt;MAX($K24,$L24)),1,0),0)</f>
        <v>0</v>
      </c>
      <c r="AD24" s="183" t="n">
        <f aca="false">IF(AND(ISNUMBER($T24),$P24="高"),IF($T24=3,1,0),0)</f>
        <v>0</v>
      </c>
      <c r="AE24" s="183" t="n">
        <f aca="false">IF($S24="不存在",1,0)</f>
        <v>0</v>
      </c>
      <c r="AF24" s="34" t="str">
        <f aca="false">IF(OR($H24="—",$H24=""),"—",MATCH($H24,IDX_SrcID,0))</f>
        <v>—</v>
      </c>
    </row>
    <row r="25" customFormat="false" ht="15" hidden="false" customHeight="true" outlineLevel="0" collapsed="false">
      <c r="A25" s="35" t="s">
        <v>2727</v>
      </c>
      <c r="B25" s="209" t="s">
        <v>2677</v>
      </c>
      <c r="C25" s="35" t="s">
        <v>2678</v>
      </c>
      <c r="D25" s="35" t="s">
        <v>2728</v>
      </c>
      <c r="E25" s="18" t="s">
        <v>91</v>
      </c>
      <c r="F25" s="35" t="s">
        <v>72</v>
      </c>
      <c r="G25" s="209" t="s">
        <v>1100</v>
      </c>
      <c r="H25" s="35" t="s">
        <v>571</v>
      </c>
      <c r="I25" s="6" t="s">
        <v>571</v>
      </c>
      <c r="J25" s="35" t="s">
        <v>571</v>
      </c>
      <c r="K25" s="209"/>
      <c r="L25" s="209"/>
      <c r="M25" s="35" t="s">
        <v>571</v>
      </c>
      <c r="N25" s="210" t="str">
        <f aca="false">Inputs!$H$16</f>
        <v>v4：100 英畝 × $200K／GW</v>
      </c>
      <c r="O25" s="6" t="s">
        <v>571</v>
      </c>
      <c r="P25" s="209" t="s">
        <v>1099</v>
      </c>
      <c r="Q25" s="172" t="n">
        <f aca="false">Inputs!F16</f>
        <v>0.02</v>
      </c>
      <c r="R25" s="35" t="s">
        <v>571</v>
      </c>
      <c r="S25" s="34" t="str">
        <f aca="false">IF(ISNUMBER($AF25),INDEX(IDX_SrcStat,$AF25),"—")</f>
        <v>—</v>
      </c>
      <c r="T25" s="34" t="str">
        <f aca="false">IF(ISNUMBER($AF25),INDEX(IDX_SrcGrade,$AF25),"—")</f>
        <v>—</v>
      </c>
      <c r="U25" s="34" t="s">
        <v>2683</v>
      </c>
      <c r="V25" s="183" t="n">
        <f aca="false">IF(AND($F25="原始數據",$U25&lt;&gt;"連結 SRC"),1,0)</f>
        <v>0</v>
      </c>
      <c r="W25" s="183" t="n">
        <f aca="false">IF(AND($F25="Analogy",OR($H25="—",$H25="")),1,0)</f>
        <v>0</v>
      </c>
      <c r="X25" s="183" t="n">
        <f aca="false">IF(AND(OR($F25="Analogy",$F25="Assumed"),$G25&lt;&gt;"低",$G25&lt;&gt;"高",NOT(ISNUMBER($K25)),NOT(ISNUMBER($L25)),OR($M25="—",$M25="")),1,0)</f>
        <v>0</v>
      </c>
      <c r="Y25" s="183" t="n">
        <f aca="false">IF(AND(OR($F25="Analogy",$F25="Assumed",$F25="Derived（待改公式）",$F25="Derived（公式）"),OR($N25="—",$N25="",$N25=0)),1,0)</f>
        <v>0</v>
      </c>
      <c r="Z25" s="183" t="n">
        <f aca="false">IF(AND($F25="Decision",OR($J25="—",$J25="")),1,0)</f>
        <v>0</v>
      </c>
      <c r="AA25" s="180" t="n">
        <f aca="false">IF(OR($J25="—",$J25=""),0,IF(COUNTIF(Decisions!$A$5:$A$300,$J25)=0,1,0))</f>
        <v>0</v>
      </c>
      <c r="AB25" s="183" t="n">
        <f aca="false">IF(AND($F25="原始數據",$S25&lt;&gt;"Active"),1,0)</f>
        <v>0</v>
      </c>
      <c r="AC25" s="183" t="n">
        <f aca="false">IF(AND(ISNUMBER($K25),ISNUMBER($L25),ISNUMBER($Q25)),IF(OR($Q25&lt;MIN($K25,$L25),$Q25&gt;MAX($K25,$L25)),1,0),0)</f>
        <v>0</v>
      </c>
      <c r="AD25" s="183" t="n">
        <f aca="false">IF(AND(ISNUMBER($T25),$P25="高"),IF($T25=3,1,0),0)</f>
        <v>0</v>
      </c>
      <c r="AE25" s="183" t="n">
        <f aca="false">IF($S25="不存在",1,0)</f>
        <v>0</v>
      </c>
      <c r="AF25" s="34" t="str">
        <f aca="false">IF(OR($H25="—",$H25=""),"—",MATCH($H25,IDX_SrcID,0))</f>
        <v>—</v>
      </c>
    </row>
    <row r="26" customFormat="false" ht="15" hidden="false" customHeight="true" outlineLevel="0" collapsed="false">
      <c r="A26" s="35" t="s">
        <v>2729</v>
      </c>
      <c r="B26" s="209" t="s">
        <v>2677</v>
      </c>
      <c r="C26" s="35" t="s">
        <v>2678</v>
      </c>
      <c r="D26" s="35" t="s">
        <v>2730</v>
      </c>
      <c r="E26" s="18" t="s">
        <v>94</v>
      </c>
      <c r="F26" s="35" t="s">
        <v>72</v>
      </c>
      <c r="G26" s="209" t="s">
        <v>57</v>
      </c>
      <c r="H26" s="35" t="s">
        <v>571</v>
      </c>
      <c r="I26" s="6" t="s">
        <v>571</v>
      </c>
      <c r="J26" s="35" t="s">
        <v>571</v>
      </c>
      <c r="K26" s="172" t="n">
        <f aca="false">Inputs!$D$17</f>
        <v>3</v>
      </c>
      <c r="L26" s="172" t="n">
        <f aca="false">Inputs!$F$17</f>
        <v>4.5</v>
      </c>
      <c r="M26" s="35" t="s">
        <v>571</v>
      </c>
      <c r="N26" s="210" t="str">
        <f aca="false">Inputs!$H$17&amp;" ｜補充旗標（IF 全欄分段，非分段依據）：中"</f>
        <v>分項為假設；總額以 JLL 校準（S12） ｜補充旗標（IF 全欄分段，非分段依據）：中</v>
      </c>
      <c r="O26" s="6" t="s">
        <v>571</v>
      </c>
      <c r="P26" s="209" t="s">
        <v>1099</v>
      </c>
      <c r="Q26" s="172" t="n">
        <f aca="false">Inputs!E17</f>
        <v>3.6</v>
      </c>
      <c r="R26" s="35" t="s">
        <v>571</v>
      </c>
      <c r="S26" s="34" t="str">
        <f aca="false">IF(ISNUMBER($AF26),INDEX(IDX_SrcStat,$AF26),"—")</f>
        <v>—</v>
      </c>
      <c r="T26" s="34" t="str">
        <f aca="false">IF(ISNUMBER($AF26),INDEX(IDX_SrcGrade,$AF26),"—")</f>
        <v>—</v>
      </c>
      <c r="U26" s="34" t="s">
        <v>2683</v>
      </c>
      <c r="V26" s="183" t="n">
        <f aca="false">IF(AND($F26="原始數據",$U26&lt;&gt;"連結 SRC"),1,0)</f>
        <v>0</v>
      </c>
      <c r="W26" s="183" t="n">
        <f aca="false">IF(AND($F26="Analogy",OR($H26="—",$H26="")),1,0)</f>
        <v>0</v>
      </c>
      <c r="X26" s="183" t="n">
        <f aca="false">IF(AND(OR($F26="Analogy",$F26="Assumed"),$G26&lt;&gt;"低",$G26&lt;&gt;"高",NOT(ISNUMBER($K26)),NOT(ISNUMBER($L26)),OR($M26="—",$M26="")),1,0)</f>
        <v>0</v>
      </c>
      <c r="Y26" s="183" t="n">
        <f aca="false">IF(AND(OR($F26="Analogy",$F26="Assumed",$F26="Derived（待改公式）",$F26="Derived（公式）"),OR($N26="—",$N26="",$N26=0)),1,0)</f>
        <v>0</v>
      </c>
      <c r="Z26" s="183" t="n">
        <f aca="false">IF(AND($F26="Decision",OR($J26="—",$J26="")),1,0)</f>
        <v>0</v>
      </c>
      <c r="AA26" s="180" t="n">
        <f aca="false">IF(OR($J26="—",$J26=""),0,IF(COUNTIF(Decisions!$A$5:$A$300,$J26)=0,1,0))</f>
        <v>0</v>
      </c>
      <c r="AB26" s="183" t="n">
        <f aca="false">IF(AND($F26="原始數據",$S26&lt;&gt;"Active"),1,0)</f>
        <v>0</v>
      </c>
      <c r="AC26" s="183" t="n">
        <f aca="false">IF(AND(ISNUMBER($K26),ISNUMBER($L26),ISNUMBER($Q26)),IF(OR($Q26&lt;MIN($K26,$L26),$Q26&gt;MAX($K26,$L26)),1,0),0)</f>
        <v>0</v>
      </c>
      <c r="AD26" s="183" t="n">
        <f aca="false">IF(AND(ISNUMBER($T26),$P26="高"),IF($T26=3,1,0),0)</f>
        <v>0</v>
      </c>
      <c r="AE26" s="183" t="n">
        <f aca="false">IF($S26="不存在",1,0)</f>
        <v>0</v>
      </c>
      <c r="AF26" s="34" t="str">
        <f aca="false">IF(OR($H26="—",$H26=""),"—",MATCH($H26,IDX_SrcID,0))</f>
        <v>—</v>
      </c>
    </row>
    <row r="27" customFormat="false" ht="15" hidden="false" customHeight="true" outlineLevel="0" collapsed="false">
      <c r="A27" s="35" t="s">
        <v>2731</v>
      </c>
      <c r="B27" s="209" t="s">
        <v>2677</v>
      </c>
      <c r="C27" s="35" t="s">
        <v>2678</v>
      </c>
      <c r="D27" s="35" t="s">
        <v>2732</v>
      </c>
      <c r="E27" s="18" t="s">
        <v>94</v>
      </c>
      <c r="F27" s="35" t="s">
        <v>72</v>
      </c>
      <c r="G27" s="209" t="s">
        <v>1099</v>
      </c>
      <c r="H27" s="35" t="s">
        <v>571</v>
      </c>
      <c r="I27" s="6" t="s">
        <v>571</v>
      </c>
      <c r="J27" s="35" t="s">
        <v>571</v>
      </c>
      <c r="K27" s="209"/>
      <c r="L27" s="209"/>
      <c r="M27" s="35" t="s">
        <v>571</v>
      </c>
      <c r="N27" s="210" t="str">
        <f aca="false">Inputs!$H$17&amp;" ｜補充旗標（IF 全欄分段，非分段依據）：中"</f>
        <v>分項為假設；總額以 JLL 校準（S12） ｜補充旗標（IF 全欄分段，非分段依據）：中</v>
      </c>
      <c r="O27" s="6" t="s">
        <v>571</v>
      </c>
      <c r="P27" s="209" t="s">
        <v>1099</v>
      </c>
      <c r="Q27" s="172" t="n">
        <f aca="false">Inputs!D17</f>
        <v>3</v>
      </c>
      <c r="R27" s="35" t="s">
        <v>571</v>
      </c>
      <c r="S27" s="34" t="str">
        <f aca="false">IF(ISNUMBER($AF27),INDEX(IDX_SrcStat,$AF27),"—")</f>
        <v>—</v>
      </c>
      <c r="T27" s="34" t="str">
        <f aca="false">IF(ISNUMBER($AF27),INDEX(IDX_SrcGrade,$AF27),"—")</f>
        <v>—</v>
      </c>
      <c r="U27" s="34" t="s">
        <v>2683</v>
      </c>
      <c r="V27" s="183" t="n">
        <f aca="false">IF(AND($F27="原始數據",$U27&lt;&gt;"連結 SRC"),1,0)</f>
        <v>0</v>
      </c>
      <c r="W27" s="183" t="n">
        <f aca="false">IF(AND($F27="Analogy",OR($H27="—",$H27="")),1,0)</f>
        <v>0</v>
      </c>
      <c r="X27" s="183" t="n">
        <f aca="false">IF(AND(OR($F27="Analogy",$F27="Assumed"),$G27&lt;&gt;"低",$G27&lt;&gt;"高",NOT(ISNUMBER($K27)),NOT(ISNUMBER($L27)),OR($M27="—",$M27="")),1,0)</f>
        <v>0</v>
      </c>
      <c r="Y27" s="183" t="n">
        <f aca="false">IF(AND(OR($F27="Analogy",$F27="Assumed",$F27="Derived（待改公式）",$F27="Derived（公式）"),OR($N27="—",$N27="",$N27=0)),1,0)</f>
        <v>0</v>
      </c>
      <c r="Z27" s="183" t="n">
        <f aca="false">IF(AND($F27="Decision",OR($J27="—",$J27="")),1,0)</f>
        <v>0</v>
      </c>
      <c r="AA27" s="180" t="n">
        <f aca="false">IF(OR($J27="—",$J27=""),0,IF(COUNTIF(Decisions!$A$5:$A$300,$J27)=0,1,0))</f>
        <v>0</v>
      </c>
      <c r="AB27" s="183" t="n">
        <f aca="false">IF(AND($F27="原始數據",$S27&lt;&gt;"Active"),1,0)</f>
        <v>0</v>
      </c>
      <c r="AC27" s="183" t="n">
        <f aca="false">IF(AND(ISNUMBER($K27),ISNUMBER($L27),ISNUMBER($Q27)),IF(OR($Q27&lt;MIN($K27,$L27),$Q27&gt;MAX($K27,$L27)),1,0),0)</f>
        <v>0</v>
      </c>
      <c r="AD27" s="183" t="n">
        <f aca="false">IF(AND(ISNUMBER($T27),$P27="高"),IF($T27=3,1,0),0)</f>
        <v>0</v>
      </c>
      <c r="AE27" s="183" t="n">
        <f aca="false">IF($S27="不存在",1,0)</f>
        <v>0</v>
      </c>
      <c r="AF27" s="34" t="str">
        <f aca="false">IF(OR($H27="—",$H27=""),"—",MATCH($H27,IDX_SrcID,0))</f>
        <v>—</v>
      </c>
    </row>
    <row r="28" customFormat="false" ht="15" hidden="false" customHeight="true" outlineLevel="0" collapsed="false">
      <c r="A28" s="35" t="s">
        <v>2733</v>
      </c>
      <c r="B28" s="209" t="s">
        <v>2677</v>
      </c>
      <c r="C28" s="35" t="s">
        <v>2678</v>
      </c>
      <c r="D28" s="35" t="s">
        <v>2734</v>
      </c>
      <c r="E28" s="18" t="s">
        <v>94</v>
      </c>
      <c r="F28" s="35" t="s">
        <v>72</v>
      </c>
      <c r="G28" s="209" t="s">
        <v>1100</v>
      </c>
      <c r="H28" s="35" t="s">
        <v>571</v>
      </c>
      <c r="I28" s="6" t="s">
        <v>571</v>
      </c>
      <c r="J28" s="35" t="s">
        <v>571</v>
      </c>
      <c r="K28" s="209"/>
      <c r="L28" s="209"/>
      <c r="M28" s="35" t="s">
        <v>571</v>
      </c>
      <c r="N28" s="210" t="str">
        <f aca="false">Inputs!$H$17&amp;" ｜補充旗標（IF 全欄分段，非分段依據）：中"</f>
        <v>分項為假設；總額以 JLL 校準（S12） ｜補充旗標（IF 全欄分段，非分段依據）：中</v>
      </c>
      <c r="O28" s="6" t="s">
        <v>571</v>
      </c>
      <c r="P28" s="209" t="s">
        <v>1099</v>
      </c>
      <c r="Q28" s="172" t="n">
        <f aca="false">Inputs!F17</f>
        <v>4.5</v>
      </c>
      <c r="R28" s="35" t="s">
        <v>571</v>
      </c>
      <c r="S28" s="34" t="str">
        <f aca="false">IF(ISNUMBER($AF28),INDEX(IDX_SrcStat,$AF28),"—")</f>
        <v>—</v>
      </c>
      <c r="T28" s="34" t="str">
        <f aca="false">IF(ISNUMBER($AF28),INDEX(IDX_SrcGrade,$AF28),"—")</f>
        <v>—</v>
      </c>
      <c r="U28" s="34" t="s">
        <v>2683</v>
      </c>
      <c r="V28" s="183" t="n">
        <f aca="false">IF(AND($F28="原始數據",$U28&lt;&gt;"連結 SRC"),1,0)</f>
        <v>0</v>
      </c>
      <c r="W28" s="183" t="n">
        <f aca="false">IF(AND($F28="Analogy",OR($H28="—",$H28="")),1,0)</f>
        <v>0</v>
      </c>
      <c r="X28" s="183" t="n">
        <f aca="false">IF(AND(OR($F28="Analogy",$F28="Assumed"),$G28&lt;&gt;"低",$G28&lt;&gt;"高",NOT(ISNUMBER($K28)),NOT(ISNUMBER($L28)),OR($M28="—",$M28="")),1,0)</f>
        <v>0</v>
      </c>
      <c r="Y28" s="183" t="n">
        <f aca="false">IF(AND(OR($F28="Analogy",$F28="Assumed",$F28="Derived（待改公式）",$F28="Derived（公式）"),OR($N28="—",$N28="",$N28=0)),1,0)</f>
        <v>0</v>
      </c>
      <c r="Z28" s="183" t="n">
        <f aca="false">IF(AND($F28="Decision",OR($J28="—",$J28="")),1,0)</f>
        <v>0</v>
      </c>
      <c r="AA28" s="180" t="n">
        <f aca="false">IF(OR($J28="—",$J28=""),0,IF(COUNTIF(Decisions!$A$5:$A$300,$J28)=0,1,0))</f>
        <v>0</v>
      </c>
      <c r="AB28" s="183" t="n">
        <f aca="false">IF(AND($F28="原始數據",$S28&lt;&gt;"Active"),1,0)</f>
        <v>0</v>
      </c>
      <c r="AC28" s="183" t="n">
        <f aca="false">IF(AND(ISNUMBER($K28),ISNUMBER($L28),ISNUMBER($Q28)),IF(OR($Q28&lt;MIN($K28,$L28),$Q28&gt;MAX($K28,$L28)),1,0),0)</f>
        <v>0</v>
      </c>
      <c r="AD28" s="183" t="n">
        <f aca="false">IF(AND(ISNUMBER($T28),$P28="高"),IF($T28=3,1,0),0)</f>
        <v>0</v>
      </c>
      <c r="AE28" s="183" t="n">
        <f aca="false">IF($S28="不存在",1,0)</f>
        <v>0</v>
      </c>
      <c r="AF28" s="34" t="str">
        <f aca="false">IF(OR($H28="—",$H28=""),"—",MATCH($H28,IDX_SrcID,0))</f>
        <v>—</v>
      </c>
    </row>
    <row r="29" customFormat="false" ht="29.25" hidden="false" customHeight="true" outlineLevel="0" collapsed="false">
      <c r="A29" s="35" t="s">
        <v>2735</v>
      </c>
      <c r="B29" s="209" t="s">
        <v>2677</v>
      </c>
      <c r="C29" s="35" t="s">
        <v>2678</v>
      </c>
      <c r="D29" s="35" t="s">
        <v>2736</v>
      </c>
      <c r="E29" s="18" t="s">
        <v>96</v>
      </c>
      <c r="F29" s="35" t="s">
        <v>72</v>
      </c>
      <c r="G29" s="209" t="s">
        <v>57</v>
      </c>
      <c r="H29" s="35" t="s">
        <v>571</v>
      </c>
      <c r="I29" s="6" t="s">
        <v>571</v>
      </c>
      <c r="J29" s="35" t="s">
        <v>571</v>
      </c>
      <c r="K29" s="172" t="n">
        <f aca="false">Inputs!$D$18</f>
        <v>3.8</v>
      </c>
      <c r="L29" s="172" t="n">
        <f aca="false">Inputs!$F$18</f>
        <v>5.5</v>
      </c>
      <c r="M29" s="35" t="s">
        <v>571</v>
      </c>
      <c r="N29" s="18" t="s">
        <v>2737</v>
      </c>
      <c r="O29" s="6" t="s">
        <v>571</v>
      </c>
      <c r="P29" s="209" t="s">
        <v>2738</v>
      </c>
      <c r="Q29" s="172" t="n">
        <f aca="false">Inputs!E18</f>
        <v>4.5</v>
      </c>
      <c r="R29" s="35" t="s">
        <v>571</v>
      </c>
      <c r="S29" s="34" t="str">
        <f aca="false">IF(ISNUMBER($AF29),INDEX(IDX_SrcStat,$AF29),"—")</f>
        <v>—</v>
      </c>
      <c r="T29" s="34" t="str">
        <f aca="false">IF(ISNUMBER($AF29),INDEX(IDX_SrcGrade,$AF29),"—")</f>
        <v>—</v>
      </c>
      <c r="U29" s="34" t="s">
        <v>2683</v>
      </c>
      <c r="V29" s="183" t="n">
        <f aca="false">IF(AND($F29="原始數據",$U29&lt;&gt;"連結 SRC"),1,0)</f>
        <v>0</v>
      </c>
      <c r="W29" s="183" t="n">
        <f aca="false">IF(AND($F29="Analogy",OR($H29="—",$H29="")),1,0)</f>
        <v>0</v>
      </c>
      <c r="X29" s="183" t="n">
        <f aca="false">IF(AND(OR($F29="Analogy",$F29="Assumed"),$G29&lt;&gt;"低",$G29&lt;&gt;"高",NOT(ISNUMBER($K29)),NOT(ISNUMBER($L29)),OR($M29="—",$M29="")),1,0)</f>
        <v>0</v>
      </c>
      <c r="Y29" s="183" t="n">
        <f aca="false">IF(AND(OR($F29="Analogy",$F29="Assumed",$F29="Derived（待改公式）",$F29="Derived（公式）"),OR($N29="—",$N29="",$N29=0)),1,0)</f>
        <v>0</v>
      </c>
      <c r="Z29" s="183" t="n">
        <f aca="false">IF(AND($F29="Decision",OR($J29="—",$J29="")),1,0)</f>
        <v>0</v>
      </c>
      <c r="AA29" s="180" t="n">
        <f aca="false">IF(OR($J29="—",$J29=""),0,IF(COUNTIF(Decisions!$A$5:$A$300,$J29)=0,1,0))</f>
        <v>0</v>
      </c>
      <c r="AB29" s="183" t="n">
        <f aca="false">IF(AND($F29="原始數據",$S29&lt;&gt;"Active"),1,0)</f>
        <v>0</v>
      </c>
      <c r="AC29" s="183" t="n">
        <f aca="false">IF(AND(ISNUMBER($K29),ISNUMBER($L29),ISNUMBER($Q29)),IF(OR($Q29&lt;MIN($K29,$L29),$Q29&gt;MAX($K29,$L29)),1,0),0)</f>
        <v>0</v>
      </c>
      <c r="AD29" s="183" t="n">
        <f aca="false">IF(AND(ISNUMBER($T29),$P29="高"),IF($T29=3,1,0),0)</f>
        <v>0</v>
      </c>
      <c r="AE29" s="183" t="n">
        <f aca="false">IF($S29="不存在",1,0)</f>
        <v>0</v>
      </c>
      <c r="AF29" s="34" t="str">
        <f aca="false">IF(OR($H29="—",$H29=""),"—",MATCH($H29,IDX_SrcID,0))</f>
        <v>—</v>
      </c>
    </row>
    <row r="30" customFormat="false" ht="29.25" hidden="false" customHeight="true" outlineLevel="0" collapsed="false">
      <c r="A30" s="35" t="s">
        <v>2739</v>
      </c>
      <c r="B30" s="209" t="s">
        <v>2677</v>
      </c>
      <c r="C30" s="35" t="s">
        <v>2678</v>
      </c>
      <c r="D30" s="35" t="s">
        <v>2740</v>
      </c>
      <c r="E30" s="18" t="s">
        <v>96</v>
      </c>
      <c r="F30" s="35" t="s">
        <v>72</v>
      </c>
      <c r="G30" s="209" t="s">
        <v>1099</v>
      </c>
      <c r="H30" s="35" t="s">
        <v>571</v>
      </c>
      <c r="I30" s="6" t="s">
        <v>571</v>
      </c>
      <c r="J30" s="35" t="s">
        <v>571</v>
      </c>
      <c r="K30" s="209"/>
      <c r="L30" s="209"/>
      <c r="M30" s="35" t="s">
        <v>571</v>
      </c>
      <c r="N30" s="18" t="s">
        <v>2737</v>
      </c>
      <c r="O30" s="6" t="s">
        <v>571</v>
      </c>
      <c r="P30" s="209" t="s">
        <v>2738</v>
      </c>
      <c r="Q30" s="172" t="n">
        <f aca="false">Inputs!D18</f>
        <v>3.8</v>
      </c>
      <c r="R30" s="35" t="s">
        <v>571</v>
      </c>
      <c r="S30" s="34" t="str">
        <f aca="false">IF(ISNUMBER($AF30),INDEX(IDX_SrcStat,$AF30),"—")</f>
        <v>—</v>
      </c>
      <c r="T30" s="34" t="str">
        <f aca="false">IF(ISNUMBER($AF30),INDEX(IDX_SrcGrade,$AF30),"—")</f>
        <v>—</v>
      </c>
      <c r="U30" s="34" t="s">
        <v>2683</v>
      </c>
      <c r="V30" s="183" t="n">
        <f aca="false">IF(AND($F30="原始數據",$U30&lt;&gt;"連結 SRC"),1,0)</f>
        <v>0</v>
      </c>
      <c r="W30" s="183" t="n">
        <f aca="false">IF(AND($F30="Analogy",OR($H30="—",$H30="")),1,0)</f>
        <v>0</v>
      </c>
      <c r="X30" s="183" t="n">
        <f aca="false">IF(AND(OR($F30="Analogy",$F30="Assumed"),$G30&lt;&gt;"低",$G30&lt;&gt;"高",NOT(ISNUMBER($K30)),NOT(ISNUMBER($L30)),OR($M30="—",$M30="")),1,0)</f>
        <v>0</v>
      </c>
      <c r="Y30" s="183" t="n">
        <f aca="false">IF(AND(OR($F30="Analogy",$F30="Assumed",$F30="Derived（待改公式）",$F30="Derived（公式）"),OR($N30="—",$N30="",$N30=0)),1,0)</f>
        <v>0</v>
      </c>
      <c r="Z30" s="183" t="n">
        <f aca="false">IF(AND($F30="Decision",OR($J30="—",$J30="")),1,0)</f>
        <v>0</v>
      </c>
      <c r="AA30" s="180" t="n">
        <f aca="false">IF(OR($J30="—",$J30=""),0,IF(COUNTIF(Decisions!$A$5:$A$300,$J30)=0,1,0))</f>
        <v>0</v>
      </c>
      <c r="AB30" s="183" t="n">
        <f aca="false">IF(AND($F30="原始數據",$S30&lt;&gt;"Active"),1,0)</f>
        <v>0</v>
      </c>
      <c r="AC30" s="183" t="n">
        <f aca="false">IF(AND(ISNUMBER($K30),ISNUMBER($L30),ISNUMBER($Q30)),IF(OR($Q30&lt;MIN($K30,$L30),$Q30&gt;MAX($K30,$L30)),1,0),0)</f>
        <v>0</v>
      </c>
      <c r="AD30" s="183" t="n">
        <f aca="false">IF(AND(ISNUMBER($T30),$P30="高"),IF($T30=3,1,0),0)</f>
        <v>0</v>
      </c>
      <c r="AE30" s="183" t="n">
        <f aca="false">IF($S30="不存在",1,0)</f>
        <v>0</v>
      </c>
      <c r="AF30" s="34" t="str">
        <f aca="false">IF(OR($H30="—",$H30=""),"—",MATCH($H30,IDX_SrcID,0))</f>
        <v>—</v>
      </c>
    </row>
    <row r="31" customFormat="false" ht="29.25" hidden="false" customHeight="true" outlineLevel="0" collapsed="false">
      <c r="A31" s="35" t="s">
        <v>2741</v>
      </c>
      <c r="B31" s="209" t="s">
        <v>2677</v>
      </c>
      <c r="C31" s="35" t="s">
        <v>2678</v>
      </c>
      <c r="D31" s="35" t="s">
        <v>2742</v>
      </c>
      <c r="E31" s="18" t="s">
        <v>96</v>
      </c>
      <c r="F31" s="35" t="s">
        <v>72</v>
      </c>
      <c r="G31" s="209" t="s">
        <v>1100</v>
      </c>
      <c r="H31" s="35" t="s">
        <v>571</v>
      </c>
      <c r="I31" s="6" t="s">
        <v>571</v>
      </c>
      <c r="J31" s="35" t="s">
        <v>571</v>
      </c>
      <c r="K31" s="209"/>
      <c r="L31" s="209"/>
      <c r="M31" s="35" t="s">
        <v>571</v>
      </c>
      <c r="N31" s="18" t="s">
        <v>2737</v>
      </c>
      <c r="O31" s="6" t="s">
        <v>571</v>
      </c>
      <c r="P31" s="209" t="s">
        <v>2738</v>
      </c>
      <c r="Q31" s="172" t="n">
        <f aca="false">Inputs!F18</f>
        <v>5.5</v>
      </c>
      <c r="R31" s="35" t="s">
        <v>571</v>
      </c>
      <c r="S31" s="34" t="str">
        <f aca="false">IF(ISNUMBER($AF31),INDEX(IDX_SrcStat,$AF31),"—")</f>
        <v>—</v>
      </c>
      <c r="T31" s="34" t="str">
        <f aca="false">IF(ISNUMBER($AF31),INDEX(IDX_SrcGrade,$AF31),"—")</f>
        <v>—</v>
      </c>
      <c r="U31" s="34" t="s">
        <v>2683</v>
      </c>
      <c r="V31" s="183" t="n">
        <f aca="false">IF(AND($F31="原始數據",$U31&lt;&gt;"連結 SRC"),1,0)</f>
        <v>0</v>
      </c>
      <c r="W31" s="183" t="n">
        <f aca="false">IF(AND($F31="Analogy",OR($H31="—",$H31="")),1,0)</f>
        <v>0</v>
      </c>
      <c r="X31" s="183" t="n">
        <f aca="false">IF(AND(OR($F31="Analogy",$F31="Assumed"),$G31&lt;&gt;"低",$G31&lt;&gt;"高",NOT(ISNUMBER($K31)),NOT(ISNUMBER($L31)),OR($M31="—",$M31="")),1,0)</f>
        <v>0</v>
      </c>
      <c r="Y31" s="183" t="n">
        <f aca="false">IF(AND(OR($F31="Analogy",$F31="Assumed",$F31="Derived（待改公式）",$F31="Derived（公式）"),OR($N31="—",$N31="",$N31=0)),1,0)</f>
        <v>0</v>
      </c>
      <c r="Z31" s="183" t="n">
        <f aca="false">IF(AND($F31="Decision",OR($J31="—",$J31="")),1,0)</f>
        <v>0</v>
      </c>
      <c r="AA31" s="180" t="n">
        <f aca="false">IF(OR($J31="—",$J31=""),0,IF(COUNTIF(Decisions!$A$5:$A$300,$J31)=0,1,0))</f>
        <v>0</v>
      </c>
      <c r="AB31" s="183" t="n">
        <f aca="false">IF(AND($F31="原始數據",$S31&lt;&gt;"Active"),1,0)</f>
        <v>0</v>
      </c>
      <c r="AC31" s="183" t="n">
        <f aca="false">IF(AND(ISNUMBER($K31),ISNUMBER($L31),ISNUMBER($Q31)),IF(OR($Q31&lt;MIN($K31,$L31),$Q31&gt;MAX($K31,$L31)),1,0),0)</f>
        <v>0</v>
      </c>
      <c r="AD31" s="183" t="n">
        <f aca="false">IF(AND(ISNUMBER($T31),$P31="高"),IF($T31=3,1,0),0)</f>
        <v>0</v>
      </c>
      <c r="AE31" s="183" t="n">
        <f aca="false">IF($S31="不存在",1,0)</f>
        <v>0</v>
      </c>
      <c r="AF31" s="34" t="str">
        <f aca="false">IF(OR($H31="—",$H31=""),"—",MATCH($H31,IDX_SrcID,0))</f>
        <v>—</v>
      </c>
    </row>
    <row r="32" customFormat="false" ht="29.25" hidden="false" customHeight="true" outlineLevel="0" collapsed="false">
      <c r="A32" s="35" t="s">
        <v>2743</v>
      </c>
      <c r="B32" s="209" t="s">
        <v>2677</v>
      </c>
      <c r="C32" s="35" t="s">
        <v>2678</v>
      </c>
      <c r="D32" s="35" t="s">
        <v>2744</v>
      </c>
      <c r="E32" s="18" t="s">
        <v>98</v>
      </c>
      <c r="F32" s="35" t="s">
        <v>72</v>
      </c>
      <c r="G32" s="209" t="s">
        <v>57</v>
      </c>
      <c r="H32" s="35" t="s">
        <v>571</v>
      </c>
      <c r="I32" s="6" t="s">
        <v>571</v>
      </c>
      <c r="J32" s="35" t="s">
        <v>571</v>
      </c>
      <c r="K32" s="172" t="n">
        <f aca="false">Inputs!$D$19</f>
        <v>2</v>
      </c>
      <c r="L32" s="172" t="n">
        <f aca="false">Inputs!$F$19</f>
        <v>3.2</v>
      </c>
      <c r="M32" s="35" t="s">
        <v>571</v>
      </c>
      <c r="N32" s="210" t="str">
        <f aca="false">Inputs!$H$19&amp;" ｜補充旗標（IF 全欄分段，非分段依據）：中"</f>
        <v>機架內冷板與 manifold 含在機架價格 ｜補充旗標（IF 全欄分段，非分段依據）：中</v>
      </c>
      <c r="O32" s="6" t="s">
        <v>571</v>
      </c>
      <c r="P32" s="209" t="s">
        <v>1099</v>
      </c>
      <c r="Q32" s="172" t="n">
        <f aca="false">Inputs!E19</f>
        <v>2.5</v>
      </c>
      <c r="R32" s="35" t="s">
        <v>571</v>
      </c>
      <c r="S32" s="34" t="str">
        <f aca="false">IF(ISNUMBER($AF32),INDEX(IDX_SrcStat,$AF32),"—")</f>
        <v>—</v>
      </c>
      <c r="T32" s="34" t="str">
        <f aca="false">IF(ISNUMBER($AF32),INDEX(IDX_SrcGrade,$AF32),"—")</f>
        <v>—</v>
      </c>
      <c r="U32" s="34" t="s">
        <v>2683</v>
      </c>
      <c r="V32" s="183" t="n">
        <f aca="false">IF(AND($F32="原始數據",$U32&lt;&gt;"連結 SRC"),1,0)</f>
        <v>0</v>
      </c>
      <c r="W32" s="183" t="n">
        <f aca="false">IF(AND($F32="Analogy",OR($H32="—",$H32="")),1,0)</f>
        <v>0</v>
      </c>
      <c r="X32" s="183" t="n">
        <f aca="false">IF(AND(OR($F32="Analogy",$F32="Assumed"),$G32&lt;&gt;"低",$G32&lt;&gt;"高",NOT(ISNUMBER($K32)),NOT(ISNUMBER($L32)),OR($M32="—",$M32="")),1,0)</f>
        <v>0</v>
      </c>
      <c r="Y32" s="183" t="n">
        <f aca="false">IF(AND(OR($F32="Analogy",$F32="Assumed",$F32="Derived（待改公式）",$F32="Derived（公式）"),OR($N32="—",$N32="",$N32=0)),1,0)</f>
        <v>0</v>
      </c>
      <c r="Z32" s="183" t="n">
        <f aca="false">IF(AND($F32="Decision",OR($J32="—",$J32="")),1,0)</f>
        <v>0</v>
      </c>
      <c r="AA32" s="180" t="n">
        <f aca="false">IF(OR($J32="—",$J32=""),0,IF(COUNTIF(Decisions!$A$5:$A$300,$J32)=0,1,0))</f>
        <v>0</v>
      </c>
      <c r="AB32" s="183" t="n">
        <f aca="false">IF(AND($F32="原始數據",$S32&lt;&gt;"Active"),1,0)</f>
        <v>0</v>
      </c>
      <c r="AC32" s="183" t="n">
        <f aca="false">IF(AND(ISNUMBER($K32),ISNUMBER($L32),ISNUMBER($Q32)),IF(OR($Q32&lt;MIN($K32,$L32),$Q32&gt;MAX($K32,$L32)),1,0),0)</f>
        <v>0</v>
      </c>
      <c r="AD32" s="183" t="n">
        <f aca="false">IF(AND(ISNUMBER($T32),$P32="高"),IF($T32=3,1,0),0)</f>
        <v>0</v>
      </c>
      <c r="AE32" s="183" t="n">
        <f aca="false">IF($S32="不存在",1,0)</f>
        <v>0</v>
      </c>
      <c r="AF32" s="34" t="str">
        <f aca="false">IF(OR($H32="—",$H32=""),"—",MATCH($H32,IDX_SrcID,0))</f>
        <v>—</v>
      </c>
    </row>
    <row r="33" customFormat="false" ht="29.25" hidden="false" customHeight="true" outlineLevel="0" collapsed="false">
      <c r="A33" s="35" t="s">
        <v>2745</v>
      </c>
      <c r="B33" s="209" t="s">
        <v>2677</v>
      </c>
      <c r="C33" s="35" t="s">
        <v>2678</v>
      </c>
      <c r="D33" s="35" t="s">
        <v>2746</v>
      </c>
      <c r="E33" s="18" t="s">
        <v>98</v>
      </c>
      <c r="F33" s="35" t="s">
        <v>72</v>
      </c>
      <c r="G33" s="209" t="s">
        <v>1099</v>
      </c>
      <c r="H33" s="35" t="s">
        <v>571</v>
      </c>
      <c r="I33" s="6" t="s">
        <v>571</v>
      </c>
      <c r="J33" s="35" t="s">
        <v>571</v>
      </c>
      <c r="K33" s="209"/>
      <c r="L33" s="209"/>
      <c r="M33" s="35" t="s">
        <v>571</v>
      </c>
      <c r="N33" s="210" t="str">
        <f aca="false">Inputs!$H$19&amp;" ｜補充旗標（IF 全欄分段，非分段依據）：中"</f>
        <v>機架內冷板與 manifold 含在機架價格 ｜補充旗標（IF 全欄分段，非分段依據）：中</v>
      </c>
      <c r="O33" s="6" t="s">
        <v>571</v>
      </c>
      <c r="P33" s="209" t="s">
        <v>1099</v>
      </c>
      <c r="Q33" s="172" t="n">
        <f aca="false">Inputs!D19</f>
        <v>2</v>
      </c>
      <c r="R33" s="35" t="s">
        <v>571</v>
      </c>
      <c r="S33" s="34" t="str">
        <f aca="false">IF(ISNUMBER($AF33),INDEX(IDX_SrcStat,$AF33),"—")</f>
        <v>—</v>
      </c>
      <c r="T33" s="34" t="str">
        <f aca="false">IF(ISNUMBER($AF33),INDEX(IDX_SrcGrade,$AF33),"—")</f>
        <v>—</v>
      </c>
      <c r="U33" s="34" t="s">
        <v>2683</v>
      </c>
      <c r="V33" s="183" t="n">
        <f aca="false">IF(AND($F33="原始數據",$U33&lt;&gt;"連結 SRC"),1,0)</f>
        <v>0</v>
      </c>
      <c r="W33" s="183" t="n">
        <f aca="false">IF(AND($F33="Analogy",OR($H33="—",$H33="")),1,0)</f>
        <v>0</v>
      </c>
      <c r="X33" s="183" t="n">
        <f aca="false">IF(AND(OR($F33="Analogy",$F33="Assumed"),$G33&lt;&gt;"低",$G33&lt;&gt;"高",NOT(ISNUMBER($K33)),NOT(ISNUMBER($L33)),OR($M33="—",$M33="")),1,0)</f>
        <v>0</v>
      </c>
      <c r="Y33" s="183" t="n">
        <f aca="false">IF(AND(OR($F33="Analogy",$F33="Assumed",$F33="Derived（待改公式）",$F33="Derived（公式）"),OR($N33="—",$N33="",$N33=0)),1,0)</f>
        <v>0</v>
      </c>
      <c r="Z33" s="183" t="n">
        <f aca="false">IF(AND($F33="Decision",OR($J33="—",$J33="")),1,0)</f>
        <v>0</v>
      </c>
      <c r="AA33" s="180" t="n">
        <f aca="false">IF(OR($J33="—",$J33=""),0,IF(COUNTIF(Decisions!$A$5:$A$300,$J33)=0,1,0))</f>
        <v>0</v>
      </c>
      <c r="AB33" s="183" t="n">
        <f aca="false">IF(AND($F33="原始數據",$S33&lt;&gt;"Active"),1,0)</f>
        <v>0</v>
      </c>
      <c r="AC33" s="183" t="n">
        <f aca="false">IF(AND(ISNUMBER($K33),ISNUMBER($L33),ISNUMBER($Q33)),IF(OR($Q33&lt;MIN($K33,$L33),$Q33&gt;MAX($K33,$L33)),1,0),0)</f>
        <v>0</v>
      </c>
      <c r="AD33" s="183" t="n">
        <f aca="false">IF(AND(ISNUMBER($T33),$P33="高"),IF($T33=3,1,0),0)</f>
        <v>0</v>
      </c>
      <c r="AE33" s="183" t="n">
        <f aca="false">IF($S33="不存在",1,0)</f>
        <v>0</v>
      </c>
      <c r="AF33" s="34" t="str">
        <f aca="false">IF(OR($H33="—",$H33=""),"—",MATCH($H33,IDX_SrcID,0))</f>
        <v>—</v>
      </c>
    </row>
    <row r="34" customFormat="false" ht="29.25" hidden="false" customHeight="true" outlineLevel="0" collapsed="false">
      <c r="A34" s="35" t="s">
        <v>2747</v>
      </c>
      <c r="B34" s="209" t="s">
        <v>2677</v>
      </c>
      <c r="C34" s="35" t="s">
        <v>2678</v>
      </c>
      <c r="D34" s="35" t="s">
        <v>2748</v>
      </c>
      <c r="E34" s="18" t="s">
        <v>98</v>
      </c>
      <c r="F34" s="35" t="s">
        <v>72</v>
      </c>
      <c r="G34" s="209" t="s">
        <v>1100</v>
      </c>
      <c r="H34" s="35" t="s">
        <v>571</v>
      </c>
      <c r="I34" s="6" t="s">
        <v>571</v>
      </c>
      <c r="J34" s="35" t="s">
        <v>571</v>
      </c>
      <c r="K34" s="209"/>
      <c r="L34" s="209"/>
      <c r="M34" s="35" t="s">
        <v>571</v>
      </c>
      <c r="N34" s="210" t="str">
        <f aca="false">Inputs!$H$19&amp;" ｜補充旗標（IF 全欄分段，非分段依據）：中"</f>
        <v>機架內冷板與 manifold 含在機架價格 ｜補充旗標（IF 全欄分段，非分段依據）：中</v>
      </c>
      <c r="O34" s="6" t="s">
        <v>571</v>
      </c>
      <c r="P34" s="209" t="s">
        <v>1099</v>
      </c>
      <c r="Q34" s="172" t="n">
        <f aca="false">Inputs!F19</f>
        <v>3.2</v>
      </c>
      <c r="R34" s="35" t="s">
        <v>571</v>
      </c>
      <c r="S34" s="34" t="str">
        <f aca="false">IF(ISNUMBER($AF34),INDEX(IDX_SrcStat,$AF34),"—")</f>
        <v>—</v>
      </c>
      <c r="T34" s="34" t="str">
        <f aca="false">IF(ISNUMBER($AF34),INDEX(IDX_SrcGrade,$AF34),"—")</f>
        <v>—</v>
      </c>
      <c r="U34" s="34" t="s">
        <v>2683</v>
      </c>
      <c r="V34" s="183" t="n">
        <f aca="false">IF(AND($F34="原始數據",$U34&lt;&gt;"連結 SRC"),1,0)</f>
        <v>0</v>
      </c>
      <c r="W34" s="183" t="n">
        <f aca="false">IF(AND($F34="Analogy",OR($H34="—",$H34="")),1,0)</f>
        <v>0</v>
      </c>
      <c r="X34" s="183" t="n">
        <f aca="false">IF(AND(OR($F34="Analogy",$F34="Assumed"),$G34&lt;&gt;"低",$G34&lt;&gt;"高",NOT(ISNUMBER($K34)),NOT(ISNUMBER($L34)),OR($M34="—",$M34="")),1,0)</f>
        <v>0</v>
      </c>
      <c r="Y34" s="183" t="n">
        <f aca="false">IF(AND(OR($F34="Analogy",$F34="Assumed",$F34="Derived（待改公式）",$F34="Derived（公式）"),OR($N34="—",$N34="",$N34=0)),1,0)</f>
        <v>0</v>
      </c>
      <c r="Z34" s="183" t="n">
        <f aca="false">IF(AND($F34="Decision",OR($J34="—",$J34="")),1,0)</f>
        <v>0</v>
      </c>
      <c r="AA34" s="180" t="n">
        <f aca="false">IF(OR($J34="—",$J34=""),0,IF(COUNTIF(Decisions!$A$5:$A$300,$J34)=0,1,0))</f>
        <v>0</v>
      </c>
      <c r="AB34" s="183" t="n">
        <f aca="false">IF(AND($F34="原始數據",$S34&lt;&gt;"Active"),1,0)</f>
        <v>0</v>
      </c>
      <c r="AC34" s="183" t="n">
        <f aca="false">IF(AND(ISNUMBER($K34),ISNUMBER($L34),ISNUMBER($Q34)),IF(OR($Q34&lt;MIN($K34,$L34),$Q34&gt;MAX($K34,$L34)),1,0),0)</f>
        <v>0</v>
      </c>
      <c r="AD34" s="183" t="n">
        <f aca="false">IF(AND(ISNUMBER($T34),$P34="高"),IF($T34=3,1,0),0)</f>
        <v>0</v>
      </c>
      <c r="AE34" s="183" t="n">
        <f aca="false">IF($S34="不存在",1,0)</f>
        <v>0</v>
      </c>
      <c r="AF34" s="34" t="str">
        <f aca="false">IF(OR($H34="—",$H34=""),"—",MATCH($H34,IDX_SrcID,0))</f>
        <v>—</v>
      </c>
    </row>
    <row r="35" customFormat="false" ht="15" hidden="false" customHeight="true" outlineLevel="0" collapsed="false">
      <c r="A35" s="35" t="s">
        <v>2749</v>
      </c>
      <c r="B35" s="209" t="s">
        <v>2677</v>
      </c>
      <c r="C35" s="35" t="s">
        <v>2678</v>
      </c>
      <c r="D35" s="35" t="s">
        <v>2750</v>
      </c>
      <c r="E35" s="18" t="s">
        <v>100</v>
      </c>
      <c r="F35" s="35" t="s">
        <v>72</v>
      </c>
      <c r="G35" s="209" t="s">
        <v>57</v>
      </c>
      <c r="H35" s="35" t="s">
        <v>571</v>
      </c>
      <c r="I35" s="6" t="s">
        <v>571</v>
      </c>
      <c r="J35" s="35" t="s">
        <v>571</v>
      </c>
      <c r="K35" s="172" t="n">
        <f aca="false">Inputs!$D$20</f>
        <v>0.3</v>
      </c>
      <c r="L35" s="172" t="n">
        <f aca="false">Inputs!$F$20</f>
        <v>0.5</v>
      </c>
      <c r="M35" s="35" t="s">
        <v>571</v>
      </c>
      <c r="N35" s="18" t="s">
        <v>2751</v>
      </c>
      <c r="O35" s="6" t="s">
        <v>571</v>
      </c>
      <c r="P35" s="209" t="s">
        <v>1099</v>
      </c>
      <c r="Q35" s="172" t="n">
        <f aca="false">Inputs!E20</f>
        <v>0.4</v>
      </c>
      <c r="R35" s="35" t="s">
        <v>571</v>
      </c>
      <c r="S35" s="34" t="str">
        <f aca="false">IF(ISNUMBER($AF35),INDEX(IDX_SrcStat,$AF35),"—")</f>
        <v>—</v>
      </c>
      <c r="T35" s="34" t="str">
        <f aca="false">IF(ISNUMBER($AF35),INDEX(IDX_SrcGrade,$AF35),"—")</f>
        <v>—</v>
      </c>
      <c r="U35" s="34" t="s">
        <v>2683</v>
      </c>
      <c r="V35" s="183" t="n">
        <f aca="false">IF(AND($F35="原始數據",$U35&lt;&gt;"連結 SRC"),1,0)</f>
        <v>0</v>
      </c>
      <c r="W35" s="183" t="n">
        <f aca="false">IF(AND($F35="Analogy",OR($H35="—",$H35="")),1,0)</f>
        <v>0</v>
      </c>
      <c r="X35" s="183" t="n">
        <f aca="false">IF(AND(OR($F35="Analogy",$F35="Assumed"),$G35&lt;&gt;"低",$G35&lt;&gt;"高",NOT(ISNUMBER($K35)),NOT(ISNUMBER($L35)),OR($M35="—",$M35="")),1,0)</f>
        <v>0</v>
      </c>
      <c r="Y35" s="183" t="n">
        <f aca="false">IF(AND(OR($F35="Analogy",$F35="Assumed",$F35="Derived（待改公式）",$F35="Derived（公式）"),OR($N35="—",$N35="",$N35=0)),1,0)</f>
        <v>0</v>
      </c>
      <c r="Z35" s="183" t="n">
        <f aca="false">IF(AND($F35="Decision",OR($J35="—",$J35="")),1,0)</f>
        <v>0</v>
      </c>
      <c r="AA35" s="180" t="n">
        <f aca="false">IF(OR($J35="—",$J35=""),0,IF(COUNTIF(Decisions!$A$5:$A$300,$J35)=0,1,0))</f>
        <v>0</v>
      </c>
      <c r="AB35" s="183" t="n">
        <f aca="false">IF(AND($F35="原始數據",$S35&lt;&gt;"Active"),1,0)</f>
        <v>0</v>
      </c>
      <c r="AC35" s="183" t="n">
        <f aca="false">IF(AND(ISNUMBER($K35),ISNUMBER($L35),ISNUMBER($Q35)),IF(OR($Q35&lt;MIN($K35,$L35),$Q35&gt;MAX($K35,$L35)),1,0),0)</f>
        <v>0</v>
      </c>
      <c r="AD35" s="183" t="n">
        <f aca="false">IF(AND(ISNUMBER($T35),$P35="高"),IF($T35=3,1,0),0)</f>
        <v>0</v>
      </c>
      <c r="AE35" s="183" t="n">
        <f aca="false">IF($S35="不存在",1,0)</f>
        <v>0</v>
      </c>
      <c r="AF35" s="34" t="str">
        <f aca="false">IF(OR($H35="—",$H35=""),"—",MATCH($H35,IDX_SrcID,0))</f>
        <v>—</v>
      </c>
    </row>
    <row r="36" customFormat="false" ht="15" hidden="false" customHeight="true" outlineLevel="0" collapsed="false">
      <c r="A36" s="35" t="s">
        <v>2752</v>
      </c>
      <c r="B36" s="209" t="s">
        <v>2677</v>
      </c>
      <c r="C36" s="35" t="s">
        <v>2678</v>
      </c>
      <c r="D36" s="35" t="s">
        <v>2753</v>
      </c>
      <c r="E36" s="18" t="s">
        <v>100</v>
      </c>
      <c r="F36" s="35" t="s">
        <v>72</v>
      </c>
      <c r="G36" s="209" t="s">
        <v>1099</v>
      </c>
      <c r="H36" s="35" t="s">
        <v>571</v>
      </c>
      <c r="I36" s="6" t="s">
        <v>571</v>
      </c>
      <c r="J36" s="35" t="s">
        <v>571</v>
      </c>
      <c r="K36" s="209"/>
      <c r="L36" s="209"/>
      <c r="M36" s="35" t="s">
        <v>571</v>
      </c>
      <c r="N36" s="18" t="s">
        <v>2751</v>
      </c>
      <c r="O36" s="6" t="s">
        <v>571</v>
      </c>
      <c r="P36" s="209" t="s">
        <v>1099</v>
      </c>
      <c r="Q36" s="172" t="n">
        <f aca="false">Inputs!D20</f>
        <v>0.3</v>
      </c>
      <c r="R36" s="35" t="s">
        <v>571</v>
      </c>
      <c r="S36" s="34" t="str">
        <f aca="false">IF(ISNUMBER($AF36),INDEX(IDX_SrcStat,$AF36),"—")</f>
        <v>—</v>
      </c>
      <c r="T36" s="34" t="str">
        <f aca="false">IF(ISNUMBER($AF36),INDEX(IDX_SrcGrade,$AF36),"—")</f>
        <v>—</v>
      </c>
      <c r="U36" s="34" t="s">
        <v>2683</v>
      </c>
      <c r="V36" s="183" t="n">
        <f aca="false">IF(AND($F36="原始數據",$U36&lt;&gt;"連結 SRC"),1,0)</f>
        <v>0</v>
      </c>
      <c r="W36" s="183" t="n">
        <f aca="false">IF(AND($F36="Analogy",OR($H36="—",$H36="")),1,0)</f>
        <v>0</v>
      </c>
      <c r="X36" s="183" t="n">
        <f aca="false">IF(AND(OR($F36="Analogy",$F36="Assumed"),$G36&lt;&gt;"低",$G36&lt;&gt;"高",NOT(ISNUMBER($K36)),NOT(ISNUMBER($L36)),OR($M36="—",$M36="")),1,0)</f>
        <v>0</v>
      </c>
      <c r="Y36" s="183" t="n">
        <f aca="false">IF(AND(OR($F36="Analogy",$F36="Assumed",$F36="Derived（待改公式）",$F36="Derived（公式）"),OR($N36="—",$N36="",$N36=0)),1,0)</f>
        <v>0</v>
      </c>
      <c r="Z36" s="183" t="n">
        <f aca="false">IF(AND($F36="Decision",OR($J36="—",$J36="")),1,0)</f>
        <v>0</v>
      </c>
      <c r="AA36" s="180" t="n">
        <f aca="false">IF(OR($J36="—",$J36=""),0,IF(COUNTIF(Decisions!$A$5:$A$300,$J36)=0,1,0))</f>
        <v>0</v>
      </c>
      <c r="AB36" s="183" t="n">
        <f aca="false">IF(AND($F36="原始數據",$S36&lt;&gt;"Active"),1,0)</f>
        <v>0</v>
      </c>
      <c r="AC36" s="183" t="n">
        <f aca="false">IF(AND(ISNUMBER($K36),ISNUMBER($L36),ISNUMBER($Q36)),IF(OR($Q36&lt;MIN($K36,$L36),$Q36&gt;MAX($K36,$L36)),1,0),0)</f>
        <v>0</v>
      </c>
      <c r="AD36" s="183" t="n">
        <f aca="false">IF(AND(ISNUMBER($T36),$P36="高"),IF($T36=3,1,0),0)</f>
        <v>0</v>
      </c>
      <c r="AE36" s="183" t="n">
        <f aca="false">IF($S36="不存在",1,0)</f>
        <v>0</v>
      </c>
      <c r="AF36" s="34" t="str">
        <f aca="false">IF(OR($H36="—",$H36=""),"—",MATCH($H36,IDX_SrcID,0))</f>
        <v>—</v>
      </c>
    </row>
    <row r="37" customFormat="false" ht="15" hidden="false" customHeight="true" outlineLevel="0" collapsed="false">
      <c r="A37" s="35" t="s">
        <v>2754</v>
      </c>
      <c r="B37" s="209" t="s">
        <v>2677</v>
      </c>
      <c r="C37" s="35" t="s">
        <v>2678</v>
      </c>
      <c r="D37" s="35" t="s">
        <v>2755</v>
      </c>
      <c r="E37" s="18" t="s">
        <v>100</v>
      </c>
      <c r="F37" s="35" t="s">
        <v>72</v>
      </c>
      <c r="G37" s="209" t="s">
        <v>1100</v>
      </c>
      <c r="H37" s="35" t="s">
        <v>571</v>
      </c>
      <c r="I37" s="6" t="s">
        <v>571</v>
      </c>
      <c r="J37" s="35" t="s">
        <v>571</v>
      </c>
      <c r="K37" s="209"/>
      <c r="L37" s="209"/>
      <c r="M37" s="35" t="s">
        <v>571</v>
      </c>
      <c r="N37" s="18" t="s">
        <v>2751</v>
      </c>
      <c r="O37" s="6" t="s">
        <v>571</v>
      </c>
      <c r="P37" s="209" t="s">
        <v>1099</v>
      </c>
      <c r="Q37" s="172" t="n">
        <f aca="false">Inputs!F20</f>
        <v>0.5</v>
      </c>
      <c r="R37" s="35" t="s">
        <v>571</v>
      </c>
      <c r="S37" s="34" t="str">
        <f aca="false">IF(ISNUMBER($AF37),INDEX(IDX_SrcStat,$AF37),"—")</f>
        <v>—</v>
      </c>
      <c r="T37" s="34" t="str">
        <f aca="false">IF(ISNUMBER($AF37),INDEX(IDX_SrcGrade,$AF37),"—")</f>
        <v>—</v>
      </c>
      <c r="U37" s="34" t="s">
        <v>2683</v>
      </c>
      <c r="V37" s="183" t="n">
        <f aca="false">IF(AND($F37="原始數據",$U37&lt;&gt;"連結 SRC"),1,0)</f>
        <v>0</v>
      </c>
      <c r="W37" s="183" t="n">
        <f aca="false">IF(AND($F37="Analogy",OR($H37="—",$H37="")),1,0)</f>
        <v>0</v>
      </c>
      <c r="X37" s="183" t="n">
        <f aca="false">IF(AND(OR($F37="Analogy",$F37="Assumed"),$G37&lt;&gt;"低",$G37&lt;&gt;"高",NOT(ISNUMBER($K37)),NOT(ISNUMBER($L37)),OR($M37="—",$M37="")),1,0)</f>
        <v>0</v>
      </c>
      <c r="Y37" s="183" t="n">
        <f aca="false">IF(AND(OR($F37="Analogy",$F37="Assumed",$F37="Derived（待改公式）",$F37="Derived（公式）"),OR($N37="—",$N37="",$N37=0)),1,0)</f>
        <v>0</v>
      </c>
      <c r="Z37" s="183" t="n">
        <f aca="false">IF(AND($F37="Decision",OR($J37="—",$J37="")),1,0)</f>
        <v>0</v>
      </c>
      <c r="AA37" s="180" t="n">
        <f aca="false">IF(OR($J37="—",$J37=""),0,IF(COUNTIF(Decisions!$A$5:$A$300,$J37)=0,1,0))</f>
        <v>0</v>
      </c>
      <c r="AB37" s="183" t="n">
        <f aca="false">IF(AND($F37="原始數據",$S37&lt;&gt;"Active"),1,0)</f>
        <v>0</v>
      </c>
      <c r="AC37" s="183" t="n">
        <f aca="false">IF(AND(ISNUMBER($K37),ISNUMBER($L37),ISNUMBER($Q37)),IF(OR($Q37&lt;MIN($K37,$L37),$Q37&gt;MAX($K37,$L37)),1,0),0)</f>
        <v>0</v>
      </c>
      <c r="AD37" s="183" t="n">
        <f aca="false">IF(AND(ISNUMBER($T37),$P37="高"),IF($T37=3,1,0),0)</f>
        <v>0</v>
      </c>
      <c r="AE37" s="183" t="n">
        <f aca="false">IF($S37="不存在",1,0)</f>
        <v>0</v>
      </c>
      <c r="AF37" s="34" t="str">
        <f aca="false">IF(OR($H37="—",$H37=""),"—",MATCH($H37,IDX_SrcID,0))</f>
        <v>—</v>
      </c>
    </row>
    <row r="38" customFormat="false" ht="15" hidden="false" customHeight="true" outlineLevel="0" collapsed="false">
      <c r="A38" s="35" t="s">
        <v>2756</v>
      </c>
      <c r="B38" s="209" t="s">
        <v>2677</v>
      </c>
      <c r="C38" s="35" t="s">
        <v>2678</v>
      </c>
      <c r="D38" s="35" t="s">
        <v>2757</v>
      </c>
      <c r="E38" s="18" t="s">
        <v>101</v>
      </c>
      <c r="F38" s="35" t="s">
        <v>72</v>
      </c>
      <c r="G38" s="209" t="s">
        <v>57</v>
      </c>
      <c r="H38" s="35" t="s">
        <v>571</v>
      </c>
      <c r="I38" s="6" t="s">
        <v>571</v>
      </c>
      <c r="J38" s="35" t="s">
        <v>571</v>
      </c>
      <c r="K38" s="176" t="n">
        <f aca="false">Inputs!$D$21</f>
        <v>0.12</v>
      </c>
      <c r="L38" s="176" t="n">
        <f aca="false">Inputs!$F$21</f>
        <v>0.18</v>
      </c>
      <c r="M38" s="35" t="s">
        <v>571</v>
      </c>
      <c r="N38" s="6" t="s">
        <v>2758</v>
      </c>
      <c r="O38" s="6" t="s">
        <v>571</v>
      </c>
      <c r="P38" s="209" t="s">
        <v>1099</v>
      </c>
      <c r="Q38" s="176" t="n">
        <f aca="false">Inputs!E21</f>
        <v>0.15</v>
      </c>
      <c r="R38" s="35" t="s">
        <v>571</v>
      </c>
      <c r="S38" s="34" t="str">
        <f aca="false">IF(ISNUMBER($AF38),INDEX(IDX_SrcStat,$AF38),"—")</f>
        <v>—</v>
      </c>
      <c r="T38" s="34" t="str">
        <f aca="false">IF(ISNUMBER($AF38),INDEX(IDX_SrcGrade,$AF38),"—")</f>
        <v>—</v>
      </c>
      <c r="U38" s="34" t="s">
        <v>2683</v>
      </c>
      <c r="V38" s="183" t="n">
        <f aca="false">IF(AND($F38="原始數據",$U38&lt;&gt;"連結 SRC"),1,0)</f>
        <v>0</v>
      </c>
      <c r="W38" s="183" t="n">
        <f aca="false">IF(AND($F38="Analogy",OR($H38="—",$H38="")),1,0)</f>
        <v>0</v>
      </c>
      <c r="X38" s="183" t="n">
        <f aca="false">IF(AND(OR($F38="Analogy",$F38="Assumed"),$G38&lt;&gt;"低",$G38&lt;&gt;"高",NOT(ISNUMBER($K38)),NOT(ISNUMBER($L38)),OR($M38="—",$M38="")),1,0)</f>
        <v>0</v>
      </c>
      <c r="Y38" s="183" t="n">
        <f aca="false">IF(AND(OR($F38="Analogy",$F38="Assumed",$F38="Derived（待改公式）",$F38="Derived（公式）"),OR($N38="—",$N38="",$N38=0)),1,0)</f>
        <v>0</v>
      </c>
      <c r="Z38" s="183" t="n">
        <f aca="false">IF(AND($F38="Decision",OR($J38="—",$J38="")),1,0)</f>
        <v>0</v>
      </c>
      <c r="AA38" s="180" t="n">
        <f aca="false">IF(OR($J38="—",$J38=""),0,IF(COUNTIF(Decisions!$A$5:$A$300,$J38)=0,1,0))</f>
        <v>0</v>
      </c>
      <c r="AB38" s="183" t="n">
        <f aca="false">IF(AND($F38="原始數據",$S38&lt;&gt;"Active"),1,0)</f>
        <v>0</v>
      </c>
      <c r="AC38" s="183" t="n">
        <f aca="false">IF(AND(ISNUMBER($K38),ISNUMBER($L38),ISNUMBER($Q38)),IF(OR($Q38&lt;MIN($K38,$L38),$Q38&gt;MAX($K38,$L38)),1,0),0)</f>
        <v>0</v>
      </c>
      <c r="AD38" s="183" t="n">
        <f aca="false">IF(AND(ISNUMBER($T38),$P38="高"),IF($T38=3,1,0),0)</f>
        <v>0</v>
      </c>
      <c r="AE38" s="183" t="n">
        <f aca="false">IF($S38="不存在",1,0)</f>
        <v>0</v>
      </c>
      <c r="AF38" s="34" t="str">
        <f aca="false">IF(OR($H38="—",$H38=""),"—",MATCH($H38,IDX_SrcID,0))</f>
        <v>—</v>
      </c>
    </row>
    <row r="39" customFormat="false" ht="15" hidden="false" customHeight="true" outlineLevel="0" collapsed="false">
      <c r="A39" s="35" t="s">
        <v>2759</v>
      </c>
      <c r="B39" s="209" t="s">
        <v>2677</v>
      </c>
      <c r="C39" s="35" t="s">
        <v>2678</v>
      </c>
      <c r="D39" s="35" t="s">
        <v>2760</v>
      </c>
      <c r="E39" s="18" t="s">
        <v>101</v>
      </c>
      <c r="F39" s="35" t="s">
        <v>72</v>
      </c>
      <c r="G39" s="209" t="s">
        <v>1099</v>
      </c>
      <c r="H39" s="35" t="s">
        <v>571</v>
      </c>
      <c r="I39" s="6" t="s">
        <v>571</v>
      </c>
      <c r="J39" s="35" t="s">
        <v>571</v>
      </c>
      <c r="K39" s="209"/>
      <c r="L39" s="209"/>
      <c r="M39" s="35" t="s">
        <v>571</v>
      </c>
      <c r="N39" s="6" t="s">
        <v>2758</v>
      </c>
      <c r="O39" s="6" t="s">
        <v>571</v>
      </c>
      <c r="P39" s="209" t="s">
        <v>1099</v>
      </c>
      <c r="Q39" s="176" t="n">
        <f aca="false">Inputs!D21</f>
        <v>0.12</v>
      </c>
      <c r="R39" s="35" t="s">
        <v>571</v>
      </c>
      <c r="S39" s="34" t="str">
        <f aca="false">IF(ISNUMBER($AF39),INDEX(IDX_SrcStat,$AF39),"—")</f>
        <v>—</v>
      </c>
      <c r="T39" s="34" t="str">
        <f aca="false">IF(ISNUMBER($AF39),INDEX(IDX_SrcGrade,$AF39),"—")</f>
        <v>—</v>
      </c>
      <c r="U39" s="34" t="s">
        <v>2683</v>
      </c>
      <c r="V39" s="183" t="n">
        <f aca="false">IF(AND($F39="原始數據",$U39&lt;&gt;"連結 SRC"),1,0)</f>
        <v>0</v>
      </c>
      <c r="W39" s="183" t="n">
        <f aca="false">IF(AND($F39="Analogy",OR($H39="—",$H39="")),1,0)</f>
        <v>0</v>
      </c>
      <c r="X39" s="183" t="n">
        <f aca="false">IF(AND(OR($F39="Analogy",$F39="Assumed"),$G39&lt;&gt;"低",$G39&lt;&gt;"高",NOT(ISNUMBER($K39)),NOT(ISNUMBER($L39)),OR($M39="—",$M39="")),1,0)</f>
        <v>0</v>
      </c>
      <c r="Y39" s="183" t="n">
        <f aca="false">IF(AND(OR($F39="Analogy",$F39="Assumed",$F39="Derived（待改公式）",$F39="Derived（公式）"),OR($N39="—",$N39="",$N39=0)),1,0)</f>
        <v>0</v>
      </c>
      <c r="Z39" s="183" t="n">
        <f aca="false">IF(AND($F39="Decision",OR($J39="—",$J39="")),1,0)</f>
        <v>0</v>
      </c>
      <c r="AA39" s="180" t="n">
        <f aca="false">IF(OR($J39="—",$J39=""),0,IF(COUNTIF(Decisions!$A$5:$A$300,$J39)=0,1,0))</f>
        <v>0</v>
      </c>
      <c r="AB39" s="183" t="n">
        <f aca="false">IF(AND($F39="原始數據",$S39&lt;&gt;"Active"),1,0)</f>
        <v>0</v>
      </c>
      <c r="AC39" s="183" t="n">
        <f aca="false">IF(AND(ISNUMBER($K39),ISNUMBER($L39),ISNUMBER($Q39)),IF(OR($Q39&lt;MIN($K39,$L39),$Q39&gt;MAX($K39,$L39)),1,0),0)</f>
        <v>0</v>
      </c>
      <c r="AD39" s="183" t="n">
        <f aca="false">IF(AND(ISNUMBER($T39),$P39="高"),IF($T39=3,1,0),0)</f>
        <v>0</v>
      </c>
      <c r="AE39" s="183" t="n">
        <f aca="false">IF($S39="不存在",1,0)</f>
        <v>0</v>
      </c>
      <c r="AF39" s="34" t="str">
        <f aca="false">IF(OR($H39="—",$H39=""),"—",MATCH($H39,IDX_SrcID,0))</f>
        <v>—</v>
      </c>
    </row>
    <row r="40" customFormat="false" ht="15" hidden="false" customHeight="true" outlineLevel="0" collapsed="false">
      <c r="A40" s="35" t="s">
        <v>2761</v>
      </c>
      <c r="B40" s="209" t="s">
        <v>2677</v>
      </c>
      <c r="C40" s="35" t="s">
        <v>2678</v>
      </c>
      <c r="D40" s="35" t="s">
        <v>2762</v>
      </c>
      <c r="E40" s="18" t="s">
        <v>101</v>
      </c>
      <c r="F40" s="35" t="s">
        <v>72</v>
      </c>
      <c r="G40" s="209" t="s">
        <v>1100</v>
      </c>
      <c r="H40" s="35" t="s">
        <v>571</v>
      </c>
      <c r="I40" s="6" t="s">
        <v>571</v>
      </c>
      <c r="J40" s="35" t="s">
        <v>571</v>
      </c>
      <c r="K40" s="209"/>
      <c r="L40" s="209"/>
      <c r="M40" s="35" t="s">
        <v>571</v>
      </c>
      <c r="N40" s="6" t="s">
        <v>2758</v>
      </c>
      <c r="O40" s="6" t="s">
        <v>571</v>
      </c>
      <c r="P40" s="209" t="s">
        <v>1099</v>
      </c>
      <c r="Q40" s="176" t="n">
        <f aca="false">Inputs!F21</f>
        <v>0.18</v>
      </c>
      <c r="R40" s="35" t="s">
        <v>571</v>
      </c>
      <c r="S40" s="34" t="str">
        <f aca="false">IF(ISNUMBER($AF40),INDEX(IDX_SrcStat,$AF40),"—")</f>
        <v>—</v>
      </c>
      <c r="T40" s="34" t="str">
        <f aca="false">IF(ISNUMBER($AF40),INDEX(IDX_SrcGrade,$AF40),"—")</f>
        <v>—</v>
      </c>
      <c r="U40" s="34" t="s">
        <v>2683</v>
      </c>
      <c r="V40" s="183" t="n">
        <f aca="false">IF(AND($F40="原始數據",$U40&lt;&gt;"連結 SRC"),1,0)</f>
        <v>0</v>
      </c>
      <c r="W40" s="183" t="n">
        <f aca="false">IF(AND($F40="Analogy",OR($H40="—",$H40="")),1,0)</f>
        <v>0</v>
      </c>
      <c r="X40" s="183" t="n">
        <f aca="false">IF(AND(OR($F40="Analogy",$F40="Assumed"),$G40&lt;&gt;"低",$G40&lt;&gt;"高",NOT(ISNUMBER($K40)),NOT(ISNUMBER($L40)),OR($M40="—",$M40="")),1,0)</f>
        <v>0</v>
      </c>
      <c r="Y40" s="183" t="n">
        <f aca="false">IF(AND(OR($F40="Analogy",$F40="Assumed",$F40="Derived（待改公式）",$F40="Derived（公式）"),OR($N40="—",$N40="",$N40=0)),1,0)</f>
        <v>0</v>
      </c>
      <c r="Z40" s="183" t="n">
        <f aca="false">IF(AND($F40="Decision",OR($J40="—",$J40="")),1,0)</f>
        <v>0</v>
      </c>
      <c r="AA40" s="180" t="n">
        <f aca="false">IF(OR($J40="—",$J40=""),0,IF(COUNTIF(Decisions!$A$5:$A$300,$J40)=0,1,0))</f>
        <v>0</v>
      </c>
      <c r="AB40" s="183" t="n">
        <f aca="false">IF(AND($F40="原始數據",$S40&lt;&gt;"Active"),1,0)</f>
        <v>0</v>
      </c>
      <c r="AC40" s="183" t="n">
        <f aca="false">IF(AND(ISNUMBER($K40),ISNUMBER($L40),ISNUMBER($Q40)),IF(OR($Q40&lt;MIN($K40,$L40),$Q40&gt;MAX($K40,$L40)),1,0),0)</f>
        <v>0</v>
      </c>
      <c r="AD40" s="183" t="n">
        <f aca="false">IF(AND(ISNUMBER($T40),$P40="高"),IF($T40=3,1,0),0)</f>
        <v>0</v>
      </c>
      <c r="AE40" s="183" t="n">
        <f aca="false">IF($S40="不存在",1,0)</f>
        <v>0</v>
      </c>
      <c r="AF40" s="34" t="str">
        <f aca="false">IF(OR($H40="—",$H40=""),"—",MATCH($H40,IDX_SrcID,0))</f>
        <v>—</v>
      </c>
    </row>
    <row r="41" customFormat="false" ht="29.25" hidden="false" customHeight="true" outlineLevel="0" collapsed="false">
      <c r="A41" s="35" t="s">
        <v>2763</v>
      </c>
      <c r="B41" s="209" t="s">
        <v>2677</v>
      </c>
      <c r="C41" s="35" t="s">
        <v>2678</v>
      </c>
      <c r="D41" s="35" t="s">
        <v>2764</v>
      </c>
      <c r="E41" s="6" t="s">
        <v>114</v>
      </c>
      <c r="F41" s="35" t="s">
        <v>72</v>
      </c>
      <c r="G41" s="209" t="s">
        <v>57</v>
      </c>
      <c r="H41" s="35" t="s">
        <v>571</v>
      </c>
      <c r="I41" s="6" t="s">
        <v>571</v>
      </c>
      <c r="J41" s="35" t="s">
        <v>2697</v>
      </c>
      <c r="K41" s="176" t="n">
        <f aca="false">Inputs!$D$28</f>
        <v>0.08</v>
      </c>
      <c r="L41" s="176" t="n">
        <f aca="false">Inputs!$F$28</f>
        <v>0.13</v>
      </c>
      <c r="M41" s="35" t="s">
        <v>571</v>
      </c>
      <c r="N41" s="210" t="str">
        <f aca="false">Inputs!$H$28</f>
        <v>與擁有者無關的單一假設；下游公司模型以自身 WACC 覆寫（Andy 2026-09-30 決定）</v>
      </c>
      <c r="O41" s="6" t="s">
        <v>571</v>
      </c>
      <c r="P41" s="209" t="s">
        <v>2738</v>
      </c>
      <c r="Q41" s="176" t="n">
        <f aca="false">Inputs!E28</f>
        <v>0.1</v>
      </c>
      <c r="R41" s="35" t="s">
        <v>571</v>
      </c>
      <c r="S41" s="34" t="str">
        <f aca="false">IF(ISNUMBER($AF41),INDEX(IDX_SrcStat,$AF41),"—")</f>
        <v>—</v>
      </c>
      <c r="T41" s="34" t="str">
        <f aca="false">IF(ISNUMBER($AF41),INDEX(IDX_SrcGrade,$AF41),"—")</f>
        <v>—</v>
      </c>
      <c r="U41" s="34" t="s">
        <v>2683</v>
      </c>
      <c r="V41" s="183" t="n">
        <f aca="false">IF(AND($F41="原始數據",$U41&lt;&gt;"連結 SRC"),1,0)</f>
        <v>0</v>
      </c>
      <c r="W41" s="183" t="n">
        <f aca="false">IF(AND($F41="Analogy",OR($H41="—",$H41="")),1,0)</f>
        <v>0</v>
      </c>
      <c r="X41" s="183" t="n">
        <f aca="false">IF(AND(OR($F41="Analogy",$F41="Assumed"),$G41&lt;&gt;"低",$G41&lt;&gt;"高",NOT(ISNUMBER($K41)),NOT(ISNUMBER($L41)),OR($M41="—",$M41="")),1,0)</f>
        <v>0</v>
      </c>
      <c r="Y41" s="183" t="n">
        <f aca="false">IF(AND(OR($F41="Analogy",$F41="Assumed",$F41="Derived（待改公式）",$F41="Derived（公式）"),OR($N41="—",$N41="",$N41=0)),1,0)</f>
        <v>0</v>
      </c>
      <c r="Z41" s="183" t="n">
        <f aca="false">IF(AND($F41="Decision",OR($J41="—",$J41="")),1,0)</f>
        <v>0</v>
      </c>
      <c r="AA41" s="180" t="n">
        <f aca="false">IF(OR($J41="—",$J41=""),0,IF(COUNTIF(Decisions!$A$5:$A$300,$J41)=0,1,0))</f>
        <v>0</v>
      </c>
      <c r="AB41" s="183" t="n">
        <f aca="false">IF(AND($F41="原始數據",$S41&lt;&gt;"Active"),1,0)</f>
        <v>0</v>
      </c>
      <c r="AC41" s="183" t="n">
        <f aca="false">IF(AND(ISNUMBER($K41),ISNUMBER($L41),ISNUMBER($Q41)),IF(OR($Q41&lt;MIN($K41,$L41),$Q41&gt;MAX($K41,$L41)),1,0),0)</f>
        <v>0</v>
      </c>
      <c r="AD41" s="183" t="n">
        <f aca="false">IF(AND(ISNUMBER($T41),$P41="高"),IF($T41=3,1,0),0)</f>
        <v>0</v>
      </c>
      <c r="AE41" s="183" t="n">
        <f aca="false">IF($S41="不存在",1,0)</f>
        <v>0</v>
      </c>
      <c r="AF41" s="34" t="str">
        <f aca="false">IF(OR($H41="—",$H41=""),"—",MATCH($H41,IDX_SrcID,0))</f>
        <v>—</v>
      </c>
    </row>
    <row r="42" customFormat="false" ht="29.25" hidden="false" customHeight="true" outlineLevel="0" collapsed="false">
      <c r="A42" s="35" t="s">
        <v>2765</v>
      </c>
      <c r="B42" s="209" t="s">
        <v>2677</v>
      </c>
      <c r="C42" s="35" t="s">
        <v>2678</v>
      </c>
      <c r="D42" s="35" t="s">
        <v>2766</v>
      </c>
      <c r="E42" s="6" t="s">
        <v>114</v>
      </c>
      <c r="F42" s="35" t="s">
        <v>72</v>
      </c>
      <c r="G42" s="209" t="s">
        <v>1099</v>
      </c>
      <c r="H42" s="35" t="s">
        <v>571</v>
      </c>
      <c r="I42" s="6" t="s">
        <v>571</v>
      </c>
      <c r="J42" s="35" t="s">
        <v>571</v>
      </c>
      <c r="K42" s="209"/>
      <c r="L42" s="209"/>
      <c r="M42" s="35" t="s">
        <v>571</v>
      </c>
      <c r="N42" s="210" t="str">
        <f aca="false">Inputs!$H$28</f>
        <v>與擁有者無關的單一假設；下游公司模型以自身 WACC 覆寫（Andy 2026-09-30 決定）</v>
      </c>
      <c r="O42" s="6" t="s">
        <v>571</v>
      </c>
      <c r="P42" s="209" t="s">
        <v>2738</v>
      </c>
      <c r="Q42" s="176" t="n">
        <f aca="false">Inputs!D28</f>
        <v>0.08</v>
      </c>
      <c r="R42" s="35" t="s">
        <v>571</v>
      </c>
      <c r="S42" s="34" t="str">
        <f aca="false">IF(ISNUMBER($AF42),INDEX(IDX_SrcStat,$AF42),"—")</f>
        <v>—</v>
      </c>
      <c r="T42" s="34" t="str">
        <f aca="false">IF(ISNUMBER($AF42),INDEX(IDX_SrcGrade,$AF42),"—")</f>
        <v>—</v>
      </c>
      <c r="U42" s="34" t="s">
        <v>2683</v>
      </c>
      <c r="V42" s="183" t="n">
        <f aca="false">IF(AND($F42="原始數據",$U42&lt;&gt;"連結 SRC"),1,0)</f>
        <v>0</v>
      </c>
      <c r="W42" s="183" t="n">
        <f aca="false">IF(AND($F42="Analogy",OR($H42="—",$H42="")),1,0)</f>
        <v>0</v>
      </c>
      <c r="X42" s="183" t="n">
        <f aca="false">IF(AND(OR($F42="Analogy",$F42="Assumed"),$G42&lt;&gt;"低",$G42&lt;&gt;"高",NOT(ISNUMBER($K42)),NOT(ISNUMBER($L42)),OR($M42="—",$M42="")),1,0)</f>
        <v>0</v>
      </c>
      <c r="Y42" s="183" t="n">
        <f aca="false">IF(AND(OR($F42="Analogy",$F42="Assumed",$F42="Derived（待改公式）",$F42="Derived（公式）"),OR($N42="—",$N42="",$N42=0)),1,0)</f>
        <v>0</v>
      </c>
      <c r="Z42" s="183" t="n">
        <f aca="false">IF(AND($F42="Decision",OR($J42="—",$J42="")),1,0)</f>
        <v>0</v>
      </c>
      <c r="AA42" s="180" t="n">
        <f aca="false">IF(OR($J42="—",$J42=""),0,IF(COUNTIF(Decisions!$A$5:$A$300,$J42)=0,1,0))</f>
        <v>0</v>
      </c>
      <c r="AB42" s="183" t="n">
        <f aca="false">IF(AND($F42="原始數據",$S42&lt;&gt;"Active"),1,0)</f>
        <v>0</v>
      </c>
      <c r="AC42" s="183" t="n">
        <f aca="false">IF(AND(ISNUMBER($K42),ISNUMBER($L42),ISNUMBER($Q42)),IF(OR($Q42&lt;MIN($K42,$L42),$Q42&gt;MAX($K42,$L42)),1,0),0)</f>
        <v>0</v>
      </c>
      <c r="AD42" s="183" t="n">
        <f aca="false">IF(AND(ISNUMBER($T42),$P42="高"),IF($T42=3,1,0),0)</f>
        <v>0</v>
      </c>
      <c r="AE42" s="183" t="n">
        <f aca="false">IF($S42="不存在",1,0)</f>
        <v>0</v>
      </c>
      <c r="AF42" s="34" t="str">
        <f aca="false">IF(OR($H42="—",$H42=""),"—",MATCH($H42,IDX_SrcID,0))</f>
        <v>—</v>
      </c>
    </row>
    <row r="43" customFormat="false" ht="29.25" hidden="false" customHeight="true" outlineLevel="0" collapsed="false">
      <c r="A43" s="35" t="s">
        <v>2767</v>
      </c>
      <c r="B43" s="209" t="s">
        <v>2677</v>
      </c>
      <c r="C43" s="35" t="s">
        <v>2678</v>
      </c>
      <c r="D43" s="35" t="s">
        <v>2768</v>
      </c>
      <c r="E43" s="6" t="s">
        <v>114</v>
      </c>
      <c r="F43" s="35" t="s">
        <v>72</v>
      </c>
      <c r="G43" s="209" t="s">
        <v>1100</v>
      </c>
      <c r="H43" s="35" t="s">
        <v>571</v>
      </c>
      <c r="I43" s="6" t="s">
        <v>571</v>
      </c>
      <c r="J43" s="35" t="s">
        <v>571</v>
      </c>
      <c r="K43" s="209"/>
      <c r="L43" s="209"/>
      <c r="M43" s="35" t="s">
        <v>571</v>
      </c>
      <c r="N43" s="210" t="str">
        <f aca="false">Inputs!$H$28</f>
        <v>與擁有者無關的單一假設；下游公司模型以自身 WACC 覆寫（Andy 2026-09-30 決定）</v>
      </c>
      <c r="O43" s="6" t="s">
        <v>571</v>
      </c>
      <c r="P43" s="209" t="s">
        <v>2738</v>
      </c>
      <c r="Q43" s="176" t="n">
        <f aca="false">Inputs!F28</f>
        <v>0.13</v>
      </c>
      <c r="R43" s="35" t="s">
        <v>571</v>
      </c>
      <c r="S43" s="34" t="str">
        <f aca="false">IF(ISNUMBER($AF43),INDEX(IDX_SrcStat,$AF43),"—")</f>
        <v>—</v>
      </c>
      <c r="T43" s="34" t="str">
        <f aca="false">IF(ISNUMBER($AF43),INDEX(IDX_SrcGrade,$AF43),"—")</f>
        <v>—</v>
      </c>
      <c r="U43" s="34" t="s">
        <v>2683</v>
      </c>
      <c r="V43" s="183" t="n">
        <f aca="false">IF(AND($F43="原始數據",$U43&lt;&gt;"連結 SRC"),1,0)</f>
        <v>0</v>
      </c>
      <c r="W43" s="183" t="n">
        <f aca="false">IF(AND($F43="Analogy",OR($H43="—",$H43="")),1,0)</f>
        <v>0</v>
      </c>
      <c r="X43" s="183" t="n">
        <f aca="false">IF(AND(OR($F43="Analogy",$F43="Assumed"),$G43&lt;&gt;"低",$G43&lt;&gt;"高",NOT(ISNUMBER($K43)),NOT(ISNUMBER($L43)),OR($M43="—",$M43="")),1,0)</f>
        <v>0</v>
      </c>
      <c r="Y43" s="183" t="n">
        <f aca="false">IF(AND(OR($F43="Analogy",$F43="Assumed",$F43="Derived（待改公式）",$F43="Derived（公式）"),OR($N43="—",$N43="",$N43=0)),1,0)</f>
        <v>0</v>
      </c>
      <c r="Z43" s="183" t="n">
        <f aca="false">IF(AND($F43="Decision",OR($J43="—",$J43="")),1,0)</f>
        <v>0</v>
      </c>
      <c r="AA43" s="180" t="n">
        <f aca="false">IF(OR($J43="—",$J43=""),0,IF(COUNTIF(Decisions!$A$5:$A$300,$J43)=0,1,0))</f>
        <v>0</v>
      </c>
      <c r="AB43" s="183" t="n">
        <f aca="false">IF(AND($F43="原始數據",$S43&lt;&gt;"Active"),1,0)</f>
        <v>0</v>
      </c>
      <c r="AC43" s="183" t="n">
        <f aca="false">IF(AND(ISNUMBER($K43),ISNUMBER($L43),ISNUMBER($Q43)),IF(OR($Q43&lt;MIN($K43,$L43),$Q43&gt;MAX($K43,$L43)),1,0),0)</f>
        <v>0</v>
      </c>
      <c r="AD43" s="183" t="n">
        <f aca="false">IF(AND(ISNUMBER($T43),$P43="高"),IF($T43=3,1,0),0)</f>
        <v>0</v>
      </c>
      <c r="AE43" s="183" t="n">
        <f aca="false">IF($S43="不存在",1,0)</f>
        <v>0</v>
      </c>
      <c r="AF43" s="34" t="str">
        <f aca="false">IF(OR($H43="—",$H43=""),"—",MATCH($H43,IDX_SrcID,0))</f>
        <v>—</v>
      </c>
    </row>
    <row r="44" customFormat="false" ht="29.25" hidden="false" customHeight="true" outlineLevel="0" collapsed="false">
      <c r="A44" s="35" t="s">
        <v>2769</v>
      </c>
      <c r="B44" s="209" t="s">
        <v>2677</v>
      </c>
      <c r="C44" s="35" t="s">
        <v>2678</v>
      </c>
      <c r="D44" s="35" t="s">
        <v>2770</v>
      </c>
      <c r="E44" s="6" t="s">
        <v>117</v>
      </c>
      <c r="F44" s="35" t="s">
        <v>72</v>
      </c>
      <c r="G44" s="209" t="s">
        <v>57</v>
      </c>
      <c r="H44" s="35" t="s">
        <v>571</v>
      </c>
      <c r="I44" s="6" t="s">
        <v>571</v>
      </c>
      <c r="J44" s="35" t="s">
        <v>571</v>
      </c>
      <c r="K44" s="176" t="n">
        <f aca="false">Inputs!$D$30</f>
        <v>0.02</v>
      </c>
      <c r="L44" s="176" t="n">
        <f aca="false">Inputs!$F$30</f>
        <v>0.04</v>
      </c>
      <c r="M44" s="35" t="s">
        <v>571</v>
      </c>
      <c r="N44" s="6" t="s">
        <v>2771</v>
      </c>
      <c r="O44" s="6" t="s">
        <v>2772</v>
      </c>
      <c r="P44" s="209" t="s">
        <v>1099</v>
      </c>
      <c r="Q44" s="176" t="n">
        <f aca="false">Inputs!E30</f>
        <v>0.03</v>
      </c>
      <c r="R44" s="35" t="s">
        <v>571</v>
      </c>
      <c r="S44" s="34" t="str">
        <f aca="false">IF(ISNUMBER($AF44),INDEX(IDX_SrcStat,$AF44),"—")</f>
        <v>—</v>
      </c>
      <c r="T44" s="34" t="str">
        <f aca="false">IF(ISNUMBER($AF44),INDEX(IDX_SrcGrade,$AF44),"—")</f>
        <v>—</v>
      </c>
      <c r="U44" s="34" t="s">
        <v>2683</v>
      </c>
      <c r="V44" s="183" t="n">
        <f aca="false">IF(AND($F44="原始數據",$U44&lt;&gt;"連結 SRC"),1,0)</f>
        <v>0</v>
      </c>
      <c r="W44" s="183" t="n">
        <f aca="false">IF(AND($F44="Analogy",OR($H44="—",$H44="")),1,0)</f>
        <v>0</v>
      </c>
      <c r="X44" s="183" t="n">
        <f aca="false">IF(AND(OR($F44="Analogy",$F44="Assumed"),$G44&lt;&gt;"低",$G44&lt;&gt;"高",NOT(ISNUMBER($K44)),NOT(ISNUMBER($L44)),OR($M44="—",$M44="")),1,0)</f>
        <v>0</v>
      </c>
      <c r="Y44" s="183" t="n">
        <f aca="false">IF(AND(OR($F44="Analogy",$F44="Assumed",$F44="Derived（待改公式）",$F44="Derived（公式）"),OR($N44="—",$N44="",$N44=0)),1,0)</f>
        <v>0</v>
      </c>
      <c r="Z44" s="183" t="n">
        <f aca="false">IF(AND($F44="Decision",OR($J44="—",$J44="")),1,0)</f>
        <v>0</v>
      </c>
      <c r="AA44" s="180" t="n">
        <f aca="false">IF(OR($J44="—",$J44=""),0,IF(COUNTIF(Decisions!$A$5:$A$300,$J44)=0,1,0))</f>
        <v>0</v>
      </c>
      <c r="AB44" s="183" t="n">
        <f aca="false">IF(AND($F44="原始數據",$S44&lt;&gt;"Active"),1,0)</f>
        <v>0</v>
      </c>
      <c r="AC44" s="183" t="n">
        <f aca="false">IF(AND(ISNUMBER($K44),ISNUMBER($L44),ISNUMBER($Q44)),IF(OR($Q44&lt;MIN($K44,$L44),$Q44&gt;MAX($K44,$L44)),1,0),0)</f>
        <v>0</v>
      </c>
      <c r="AD44" s="183" t="n">
        <f aca="false">IF(AND(ISNUMBER($T44),$P44="高"),IF($T44=3,1,0),0)</f>
        <v>0</v>
      </c>
      <c r="AE44" s="183" t="n">
        <f aca="false">IF($S44="不存在",1,0)</f>
        <v>0</v>
      </c>
      <c r="AF44" s="34" t="str">
        <f aca="false">IF(OR($H44="—",$H44=""),"—",MATCH($H44,IDX_SrcID,0))</f>
        <v>—</v>
      </c>
    </row>
    <row r="45" customFormat="false" ht="29.25" hidden="false" customHeight="true" outlineLevel="0" collapsed="false">
      <c r="A45" s="35" t="s">
        <v>2773</v>
      </c>
      <c r="B45" s="209" t="s">
        <v>2677</v>
      </c>
      <c r="C45" s="35" t="s">
        <v>2678</v>
      </c>
      <c r="D45" s="35" t="s">
        <v>2774</v>
      </c>
      <c r="E45" s="6" t="s">
        <v>117</v>
      </c>
      <c r="F45" s="35" t="s">
        <v>72</v>
      </c>
      <c r="G45" s="209" t="s">
        <v>1099</v>
      </c>
      <c r="H45" s="35" t="s">
        <v>571</v>
      </c>
      <c r="I45" s="6" t="s">
        <v>571</v>
      </c>
      <c r="J45" s="35" t="s">
        <v>571</v>
      </c>
      <c r="K45" s="209"/>
      <c r="L45" s="209"/>
      <c r="M45" s="35" t="s">
        <v>571</v>
      </c>
      <c r="N45" s="6" t="s">
        <v>2771</v>
      </c>
      <c r="O45" s="6" t="s">
        <v>2772</v>
      </c>
      <c r="P45" s="209" t="s">
        <v>1099</v>
      </c>
      <c r="Q45" s="176" t="n">
        <f aca="false">Inputs!D30</f>
        <v>0.02</v>
      </c>
      <c r="R45" s="35" t="s">
        <v>571</v>
      </c>
      <c r="S45" s="34" t="str">
        <f aca="false">IF(ISNUMBER($AF45),INDEX(IDX_SrcStat,$AF45),"—")</f>
        <v>—</v>
      </c>
      <c r="T45" s="34" t="str">
        <f aca="false">IF(ISNUMBER($AF45),INDEX(IDX_SrcGrade,$AF45),"—")</f>
        <v>—</v>
      </c>
      <c r="U45" s="34" t="s">
        <v>2683</v>
      </c>
      <c r="V45" s="183" t="n">
        <f aca="false">IF(AND($F45="原始數據",$U45&lt;&gt;"連結 SRC"),1,0)</f>
        <v>0</v>
      </c>
      <c r="W45" s="183" t="n">
        <f aca="false">IF(AND($F45="Analogy",OR($H45="—",$H45="")),1,0)</f>
        <v>0</v>
      </c>
      <c r="X45" s="183" t="n">
        <f aca="false">IF(AND(OR($F45="Analogy",$F45="Assumed"),$G45&lt;&gt;"低",$G45&lt;&gt;"高",NOT(ISNUMBER($K45)),NOT(ISNUMBER($L45)),OR($M45="—",$M45="")),1,0)</f>
        <v>0</v>
      </c>
      <c r="Y45" s="183" t="n">
        <f aca="false">IF(AND(OR($F45="Analogy",$F45="Assumed",$F45="Derived（待改公式）",$F45="Derived（公式）"),OR($N45="—",$N45="",$N45=0)),1,0)</f>
        <v>0</v>
      </c>
      <c r="Z45" s="183" t="n">
        <f aca="false">IF(AND($F45="Decision",OR($J45="—",$J45="")),1,0)</f>
        <v>0</v>
      </c>
      <c r="AA45" s="180" t="n">
        <f aca="false">IF(OR($J45="—",$J45=""),0,IF(COUNTIF(Decisions!$A$5:$A$300,$J45)=0,1,0))</f>
        <v>0</v>
      </c>
      <c r="AB45" s="183" t="n">
        <f aca="false">IF(AND($F45="原始數據",$S45&lt;&gt;"Active"),1,0)</f>
        <v>0</v>
      </c>
      <c r="AC45" s="183" t="n">
        <f aca="false">IF(AND(ISNUMBER($K45),ISNUMBER($L45),ISNUMBER($Q45)),IF(OR($Q45&lt;MIN($K45,$L45),$Q45&gt;MAX($K45,$L45)),1,0),0)</f>
        <v>0</v>
      </c>
      <c r="AD45" s="183" t="n">
        <f aca="false">IF(AND(ISNUMBER($T45),$P45="高"),IF($T45=3,1,0),0)</f>
        <v>0</v>
      </c>
      <c r="AE45" s="183" t="n">
        <f aca="false">IF($S45="不存在",1,0)</f>
        <v>0</v>
      </c>
      <c r="AF45" s="34" t="str">
        <f aca="false">IF(OR($H45="—",$H45=""),"—",MATCH($H45,IDX_SrcID,0))</f>
        <v>—</v>
      </c>
    </row>
    <row r="46" customFormat="false" ht="29.25" hidden="false" customHeight="true" outlineLevel="0" collapsed="false">
      <c r="A46" s="35" t="s">
        <v>2775</v>
      </c>
      <c r="B46" s="209" t="s">
        <v>2677</v>
      </c>
      <c r="C46" s="35" t="s">
        <v>2678</v>
      </c>
      <c r="D46" s="35" t="s">
        <v>2776</v>
      </c>
      <c r="E46" s="6" t="s">
        <v>117</v>
      </c>
      <c r="F46" s="35" t="s">
        <v>72</v>
      </c>
      <c r="G46" s="209" t="s">
        <v>1100</v>
      </c>
      <c r="H46" s="35" t="s">
        <v>571</v>
      </c>
      <c r="I46" s="6" t="s">
        <v>571</v>
      </c>
      <c r="J46" s="35" t="s">
        <v>571</v>
      </c>
      <c r="K46" s="209"/>
      <c r="L46" s="209"/>
      <c r="M46" s="35" t="s">
        <v>571</v>
      </c>
      <c r="N46" s="6" t="s">
        <v>2771</v>
      </c>
      <c r="O46" s="6" t="s">
        <v>2772</v>
      </c>
      <c r="P46" s="209" t="s">
        <v>1099</v>
      </c>
      <c r="Q46" s="176" t="n">
        <f aca="false">Inputs!F30</f>
        <v>0.04</v>
      </c>
      <c r="R46" s="35" t="s">
        <v>571</v>
      </c>
      <c r="S46" s="34" t="str">
        <f aca="false">IF(ISNUMBER($AF46),INDEX(IDX_SrcStat,$AF46),"—")</f>
        <v>—</v>
      </c>
      <c r="T46" s="34" t="str">
        <f aca="false">IF(ISNUMBER($AF46),INDEX(IDX_SrcGrade,$AF46),"—")</f>
        <v>—</v>
      </c>
      <c r="U46" s="34" t="s">
        <v>2683</v>
      </c>
      <c r="V46" s="183" t="n">
        <f aca="false">IF(AND($F46="原始數據",$U46&lt;&gt;"連結 SRC"),1,0)</f>
        <v>0</v>
      </c>
      <c r="W46" s="183" t="n">
        <f aca="false">IF(AND($F46="Analogy",OR($H46="—",$H46="")),1,0)</f>
        <v>0</v>
      </c>
      <c r="X46" s="183" t="n">
        <f aca="false">IF(AND(OR($F46="Analogy",$F46="Assumed"),$G46&lt;&gt;"低",$G46&lt;&gt;"高",NOT(ISNUMBER($K46)),NOT(ISNUMBER($L46)),OR($M46="—",$M46="")),1,0)</f>
        <v>0</v>
      </c>
      <c r="Y46" s="183" t="n">
        <f aca="false">IF(AND(OR($F46="Analogy",$F46="Assumed",$F46="Derived（待改公式）",$F46="Derived（公式）"),OR($N46="—",$N46="",$N46=0)),1,0)</f>
        <v>0</v>
      </c>
      <c r="Z46" s="183" t="n">
        <f aca="false">IF(AND($F46="Decision",OR($J46="—",$J46="")),1,0)</f>
        <v>0</v>
      </c>
      <c r="AA46" s="180" t="n">
        <f aca="false">IF(OR($J46="—",$J46=""),0,IF(COUNTIF(Decisions!$A$5:$A$300,$J46)=0,1,0))</f>
        <v>0</v>
      </c>
      <c r="AB46" s="183" t="n">
        <f aca="false">IF(AND($F46="原始數據",$S46&lt;&gt;"Active"),1,0)</f>
        <v>0</v>
      </c>
      <c r="AC46" s="183" t="n">
        <f aca="false">IF(AND(ISNUMBER($K46),ISNUMBER($L46),ISNUMBER($Q46)),IF(OR($Q46&lt;MIN($K46,$L46),$Q46&gt;MAX($K46,$L46)),1,0),0)</f>
        <v>0</v>
      </c>
      <c r="AD46" s="183" t="n">
        <f aca="false">IF(AND(ISNUMBER($T46),$P46="高"),IF($T46=3,1,0),0)</f>
        <v>0</v>
      </c>
      <c r="AE46" s="183" t="n">
        <f aca="false">IF($S46="不存在",1,0)</f>
        <v>0</v>
      </c>
      <c r="AF46" s="34" t="str">
        <f aca="false">IF(OR($H46="—",$H46=""),"—",MATCH($H46,IDX_SrcID,0))</f>
        <v>—</v>
      </c>
    </row>
    <row r="47" customFormat="false" ht="29.25" hidden="false" customHeight="true" outlineLevel="0" collapsed="false">
      <c r="A47" s="35" t="s">
        <v>2777</v>
      </c>
      <c r="B47" s="209" t="s">
        <v>2677</v>
      </c>
      <c r="C47" s="35" t="s">
        <v>2678</v>
      </c>
      <c r="D47" s="35" t="s">
        <v>2778</v>
      </c>
      <c r="E47" s="18" t="s">
        <v>120</v>
      </c>
      <c r="F47" s="35" t="s">
        <v>72</v>
      </c>
      <c r="G47" s="209" t="s">
        <v>57</v>
      </c>
      <c r="H47" s="35" t="s">
        <v>571</v>
      </c>
      <c r="I47" s="6" t="s">
        <v>571</v>
      </c>
      <c r="J47" s="35" t="s">
        <v>571</v>
      </c>
      <c r="K47" s="176" t="n">
        <f aca="false">Inputs!$D$31</f>
        <v>0.015</v>
      </c>
      <c r="L47" s="176" t="n">
        <f aca="false">Inputs!$F$31</f>
        <v>0.025</v>
      </c>
      <c r="M47" s="35" t="s">
        <v>571</v>
      </c>
      <c r="N47" s="6" t="s">
        <v>122</v>
      </c>
      <c r="O47" s="6" t="s">
        <v>2779</v>
      </c>
      <c r="P47" s="209" t="s">
        <v>1099</v>
      </c>
      <c r="Q47" s="176" t="n">
        <f aca="false">Inputs!E31</f>
        <v>0.02</v>
      </c>
      <c r="R47" s="35" t="s">
        <v>571</v>
      </c>
      <c r="S47" s="34" t="str">
        <f aca="false">IF(ISNUMBER($AF47),INDEX(IDX_SrcStat,$AF47),"—")</f>
        <v>—</v>
      </c>
      <c r="T47" s="34" t="str">
        <f aca="false">IF(ISNUMBER($AF47),INDEX(IDX_SrcGrade,$AF47),"—")</f>
        <v>—</v>
      </c>
      <c r="U47" s="34" t="s">
        <v>2683</v>
      </c>
      <c r="V47" s="183" t="n">
        <f aca="false">IF(AND($F47="原始數據",$U47&lt;&gt;"連結 SRC"),1,0)</f>
        <v>0</v>
      </c>
      <c r="W47" s="183" t="n">
        <f aca="false">IF(AND($F47="Analogy",OR($H47="—",$H47="")),1,0)</f>
        <v>0</v>
      </c>
      <c r="X47" s="183" t="n">
        <f aca="false">IF(AND(OR($F47="Analogy",$F47="Assumed"),$G47&lt;&gt;"低",$G47&lt;&gt;"高",NOT(ISNUMBER($K47)),NOT(ISNUMBER($L47)),OR($M47="—",$M47="")),1,0)</f>
        <v>0</v>
      </c>
      <c r="Y47" s="183" t="n">
        <f aca="false">IF(AND(OR($F47="Analogy",$F47="Assumed",$F47="Derived（待改公式）",$F47="Derived（公式）"),OR($N47="—",$N47="",$N47=0)),1,0)</f>
        <v>0</v>
      </c>
      <c r="Z47" s="183" t="n">
        <f aca="false">IF(AND($F47="Decision",OR($J47="—",$J47="")),1,0)</f>
        <v>0</v>
      </c>
      <c r="AA47" s="180" t="n">
        <f aca="false">IF(OR($J47="—",$J47=""),0,IF(COUNTIF(Decisions!$A$5:$A$300,$J47)=0,1,0))</f>
        <v>0</v>
      </c>
      <c r="AB47" s="183" t="n">
        <f aca="false">IF(AND($F47="原始數據",$S47&lt;&gt;"Active"),1,0)</f>
        <v>0</v>
      </c>
      <c r="AC47" s="183" t="n">
        <f aca="false">IF(AND(ISNUMBER($K47),ISNUMBER($L47),ISNUMBER($Q47)),IF(OR($Q47&lt;MIN($K47,$L47),$Q47&gt;MAX($K47,$L47)),1,0),0)</f>
        <v>0</v>
      </c>
      <c r="AD47" s="183" t="n">
        <f aca="false">IF(AND(ISNUMBER($T47),$P47="高"),IF($T47=3,1,0),0)</f>
        <v>0</v>
      </c>
      <c r="AE47" s="183" t="n">
        <f aca="false">IF($S47="不存在",1,0)</f>
        <v>0</v>
      </c>
      <c r="AF47" s="34" t="str">
        <f aca="false">IF(OR($H47="—",$H47=""),"—",MATCH($H47,IDX_SrcID,0))</f>
        <v>—</v>
      </c>
    </row>
    <row r="48" customFormat="false" ht="29.25" hidden="false" customHeight="true" outlineLevel="0" collapsed="false">
      <c r="A48" s="35" t="s">
        <v>2780</v>
      </c>
      <c r="B48" s="209" t="s">
        <v>2677</v>
      </c>
      <c r="C48" s="35" t="s">
        <v>2678</v>
      </c>
      <c r="D48" s="35" t="s">
        <v>2781</v>
      </c>
      <c r="E48" s="18" t="s">
        <v>120</v>
      </c>
      <c r="F48" s="35" t="s">
        <v>72</v>
      </c>
      <c r="G48" s="209" t="s">
        <v>1099</v>
      </c>
      <c r="H48" s="35" t="s">
        <v>571</v>
      </c>
      <c r="I48" s="6" t="s">
        <v>571</v>
      </c>
      <c r="J48" s="35" t="s">
        <v>571</v>
      </c>
      <c r="K48" s="209"/>
      <c r="L48" s="209"/>
      <c r="M48" s="35" t="s">
        <v>571</v>
      </c>
      <c r="N48" s="6" t="s">
        <v>122</v>
      </c>
      <c r="O48" s="6" t="s">
        <v>2779</v>
      </c>
      <c r="P48" s="209" t="s">
        <v>1099</v>
      </c>
      <c r="Q48" s="176" t="n">
        <f aca="false">Inputs!D31</f>
        <v>0.015</v>
      </c>
      <c r="R48" s="35" t="s">
        <v>571</v>
      </c>
      <c r="S48" s="34" t="str">
        <f aca="false">IF(ISNUMBER($AF48),INDEX(IDX_SrcStat,$AF48),"—")</f>
        <v>—</v>
      </c>
      <c r="T48" s="34" t="str">
        <f aca="false">IF(ISNUMBER($AF48),INDEX(IDX_SrcGrade,$AF48),"—")</f>
        <v>—</v>
      </c>
      <c r="U48" s="34" t="s">
        <v>2683</v>
      </c>
      <c r="V48" s="183" t="n">
        <f aca="false">IF(AND($F48="原始數據",$U48&lt;&gt;"連結 SRC"),1,0)</f>
        <v>0</v>
      </c>
      <c r="W48" s="183" t="n">
        <f aca="false">IF(AND($F48="Analogy",OR($H48="—",$H48="")),1,0)</f>
        <v>0</v>
      </c>
      <c r="X48" s="183" t="n">
        <f aca="false">IF(AND(OR($F48="Analogy",$F48="Assumed"),$G48&lt;&gt;"低",$G48&lt;&gt;"高",NOT(ISNUMBER($K48)),NOT(ISNUMBER($L48)),OR($M48="—",$M48="")),1,0)</f>
        <v>0</v>
      </c>
      <c r="Y48" s="183" t="n">
        <f aca="false">IF(AND(OR($F48="Analogy",$F48="Assumed",$F48="Derived（待改公式）",$F48="Derived（公式）"),OR($N48="—",$N48="",$N48=0)),1,0)</f>
        <v>0</v>
      </c>
      <c r="Z48" s="183" t="n">
        <f aca="false">IF(AND($F48="Decision",OR($J48="—",$J48="")),1,0)</f>
        <v>0</v>
      </c>
      <c r="AA48" s="180" t="n">
        <f aca="false">IF(OR($J48="—",$J48=""),0,IF(COUNTIF(Decisions!$A$5:$A$300,$J48)=0,1,0))</f>
        <v>0</v>
      </c>
      <c r="AB48" s="183" t="n">
        <f aca="false">IF(AND($F48="原始數據",$S48&lt;&gt;"Active"),1,0)</f>
        <v>0</v>
      </c>
      <c r="AC48" s="183" t="n">
        <f aca="false">IF(AND(ISNUMBER($K48),ISNUMBER($L48),ISNUMBER($Q48)),IF(OR($Q48&lt;MIN($K48,$L48),$Q48&gt;MAX($K48,$L48)),1,0),0)</f>
        <v>0</v>
      </c>
      <c r="AD48" s="183" t="n">
        <f aca="false">IF(AND(ISNUMBER($T48),$P48="高"),IF($T48=3,1,0),0)</f>
        <v>0</v>
      </c>
      <c r="AE48" s="183" t="n">
        <f aca="false">IF($S48="不存在",1,0)</f>
        <v>0</v>
      </c>
      <c r="AF48" s="34" t="str">
        <f aca="false">IF(OR($H48="—",$H48=""),"—",MATCH($H48,IDX_SrcID,0))</f>
        <v>—</v>
      </c>
    </row>
    <row r="49" customFormat="false" ht="29.25" hidden="false" customHeight="true" outlineLevel="0" collapsed="false">
      <c r="A49" s="35" t="s">
        <v>2782</v>
      </c>
      <c r="B49" s="209" t="s">
        <v>2677</v>
      </c>
      <c r="C49" s="35" t="s">
        <v>2678</v>
      </c>
      <c r="D49" s="35" t="s">
        <v>2783</v>
      </c>
      <c r="E49" s="18" t="s">
        <v>120</v>
      </c>
      <c r="F49" s="35" t="s">
        <v>72</v>
      </c>
      <c r="G49" s="209" t="s">
        <v>1100</v>
      </c>
      <c r="H49" s="35" t="s">
        <v>571</v>
      </c>
      <c r="I49" s="6" t="s">
        <v>571</v>
      </c>
      <c r="J49" s="35" t="s">
        <v>571</v>
      </c>
      <c r="K49" s="209"/>
      <c r="L49" s="209"/>
      <c r="M49" s="35" t="s">
        <v>571</v>
      </c>
      <c r="N49" s="6" t="s">
        <v>122</v>
      </c>
      <c r="O49" s="6" t="s">
        <v>2779</v>
      </c>
      <c r="P49" s="209" t="s">
        <v>1099</v>
      </c>
      <c r="Q49" s="176" t="n">
        <f aca="false">Inputs!F31</f>
        <v>0.025</v>
      </c>
      <c r="R49" s="35" t="s">
        <v>571</v>
      </c>
      <c r="S49" s="34" t="str">
        <f aca="false">IF(ISNUMBER($AF49),INDEX(IDX_SrcStat,$AF49),"—")</f>
        <v>—</v>
      </c>
      <c r="T49" s="34" t="str">
        <f aca="false">IF(ISNUMBER($AF49),INDEX(IDX_SrcGrade,$AF49),"—")</f>
        <v>—</v>
      </c>
      <c r="U49" s="34" t="s">
        <v>2683</v>
      </c>
      <c r="V49" s="183" t="n">
        <f aca="false">IF(AND($F49="原始數據",$U49&lt;&gt;"連結 SRC"),1,0)</f>
        <v>0</v>
      </c>
      <c r="W49" s="183" t="n">
        <f aca="false">IF(AND($F49="Analogy",OR($H49="—",$H49="")),1,0)</f>
        <v>0</v>
      </c>
      <c r="X49" s="183" t="n">
        <f aca="false">IF(AND(OR($F49="Analogy",$F49="Assumed"),$G49&lt;&gt;"低",$G49&lt;&gt;"高",NOT(ISNUMBER($K49)),NOT(ISNUMBER($L49)),OR($M49="—",$M49="")),1,0)</f>
        <v>0</v>
      </c>
      <c r="Y49" s="183" t="n">
        <f aca="false">IF(AND(OR($F49="Analogy",$F49="Assumed",$F49="Derived（待改公式）",$F49="Derived（公式）"),OR($N49="—",$N49="",$N49=0)),1,0)</f>
        <v>0</v>
      </c>
      <c r="Z49" s="183" t="n">
        <f aca="false">IF(AND($F49="Decision",OR($J49="—",$J49="")),1,0)</f>
        <v>0</v>
      </c>
      <c r="AA49" s="180" t="n">
        <f aca="false">IF(OR($J49="—",$J49=""),0,IF(COUNTIF(Decisions!$A$5:$A$300,$J49)=0,1,0))</f>
        <v>0</v>
      </c>
      <c r="AB49" s="183" t="n">
        <f aca="false">IF(AND($F49="原始數據",$S49&lt;&gt;"Active"),1,0)</f>
        <v>0</v>
      </c>
      <c r="AC49" s="183" t="n">
        <f aca="false">IF(AND(ISNUMBER($K49),ISNUMBER($L49),ISNUMBER($Q49)),IF(OR($Q49&lt;MIN($K49,$L49),$Q49&gt;MAX($K49,$L49)),1,0),0)</f>
        <v>0</v>
      </c>
      <c r="AD49" s="183" t="n">
        <f aca="false">IF(AND(ISNUMBER($T49),$P49="高"),IF($T49=3,1,0),0)</f>
        <v>0</v>
      </c>
      <c r="AE49" s="183" t="n">
        <f aca="false">IF($S49="不存在",1,0)</f>
        <v>0</v>
      </c>
      <c r="AF49" s="34" t="str">
        <f aca="false">IF(OR($H49="—",$H49=""),"—",MATCH($H49,IDX_SrcID,0))</f>
        <v>—</v>
      </c>
    </row>
    <row r="50" customFormat="false" ht="15" hidden="false" customHeight="true" outlineLevel="0" collapsed="false">
      <c r="A50" s="35" t="s">
        <v>2784</v>
      </c>
      <c r="B50" s="209" t="s">
        <v>2677</v>
      </c>
      <c r="C50" s="35" t="s">
        <v>2678</v>
      </c>
      <c r="D50" s="35" t="s">
        <v>2785</v>
      </c>
      <c r="E50" s="18" t="s">
        <v>123</v>
      </c>
      <c r="F50" s="35" t="s">
        <v>72</v>
      </c>
      <c r="G50" s="209" t="s">
        <v>57</v>
      </c>
      <c r="H50" s="35" t="s">
        <v>571</v>
      </c>
      <c r="I50" s="6" t="s">
        <v>571</v>
      </c>
      <c r="J50" s="35" t="s">
        <v>571</v>
      </c>
      <c r="K50" s="40" t="n">
        <f aca="false">Inputs!$D$32</f>
        <v>50</v>
      </c>
      <c r="L50" s="40" t="n">
        <f aca="false">Inputs!$F$32</f>
        <v>100</v>
      </c>
      <c r="M50" s="35" t="s">
        <v>571</v>
      </c>
      <c r="N50" s="210" t="str">
        <f aca="false">Inputs!$H$32</f>
        <v>v4：500 FTE × $150K</v>
      </c>
      <c r="O50" s="6" t="s">
        <v>571</v>
      </c>
      <c r="P50" s="209" t="s">
        <v>1099</v>
      </c>
      <c r="Q50" s="40" t="n">
        <f aca="false">Inputs!E32</f>
        <v>75</v>
      </c>
      <c r="R50" s="35" t="s">
        <v>571</v>
      </c>
      <c r="S50" s="34" t="str">
        <f aca="false">IF(ISNUMBER($AF50),INDEX(IDX_SrcStat,$AF50),"—")</f>
        <v>—</v>
      </c>
      <c r="T50" s="34" t="str">
        <f aca="false">IF(ISNUMBER($AF50),INDEX(IDX_SrcGrade,$AF50),"—")</f>
        <v>—</v>
      </c>
      <c r="U50" s="34" t="s">
        <v>2683</v>
      </c>
      <c r="V50" s="183" t="n">
        <f aca="false">IF(AND($F50="原始數據",$U50&lt;&gt;"連結 SRC"),1,0)</f>
        <v>0</v>
      </c>
      <c r="W50" s="183" t="n">
        <f aca="false">IF(AND($F50="Analogy",OR($H50="—",$H50="")),1,0)</f>
        <v>0</v>
      </c>
      <c r="X50" s="183" t="n">
        <f aca="false">IF(AND(OR($F50="Analogy",$F50="Assumed"),$G50&lt;&gt;"低",$G50&lt;&gt;"高",NOT(ISNUMBER($K50)),NOT(ISNUMBER($L50)),OR($M50="—",$M50="")),1,0)</f>
        <v>0</v>
      </c>
      <c r="Y50" s="183" t="n">
        <f aca="false">IF(AND(OR($F50="Analogy",$F50="Assumed",$F50="Derived（待改公式）",$F50="Derived（公式）"),OR($N50="—",$N50="",$N50=0)),1,0)</f>
        <v>0</v>
      </c>
      <c r="Z50" s="183" t="n">
        <f aca="false">IF(AND($F50="Decision",OR($J50="—",$J50="")),1,0)</f>
        <v>0</v>
      </c>
      <c r="AA50" s="180" t="n">
        <f aca="false">IF(OR($J50="—",$J50=""),0,IF(COUNTIF(Decisions!$A$5:$A$300,$J50)=0,1,0))</f>
        <v>0</v>
      </c>
      <c r="AB50" s="183" t="n">
        <f aca="false">IF(AND($F50="原始數據",$S50&lt;&gt;"Active"),1,0)</f>
        <v>0</v>
      </c>
      <c r="AC50" s="183" t="n">
        <f aca="false">IF(AND(ISNUMBER($K50),ISNUMBER($L50),ISNUMBER($Q50)),IF(OR($Q50&lt;MIN($K50,$L50),$Q50&gt;MAX($K50,$L50)),1,0),0)</f>
        <v>0</v>
      </c>
      <c r="AD50" s="183" t="n">
        <f aca="false">IF(AND(ISNUMBER($T50),$P50="高"),IF($T50=3,1,0),0)</f>
        <v>0</v>
      </c>
      <c r="AE50" s="183" t="n">
        <f aca="false">IF($S50="不存在",1,0)</f>
        <v>0</v>
      </c>
      <c r="AF50" s="34" t="str">
        <f aca="false">IF(OR($H50="—",$H50=""),"—",MATCH($H50,IDX_SrcID,0))</f>
        <v>—</v>
      </c>
    </row>
    <row r="51" customFormat="false" ht="15" hidden="false" customHeight="true" outlineLevel="0" collapsed="false">
      <c r="A51" s="35" t="s">
        <v>2786</v>
      </c>
      <c r="B51" s="209" t="s">
        <v>2677</v>
      </c>
      <c r="C51" s="35" t="s">
        <v>2678</v>
      </c>
      <c r="D51" s="35" t="s">
        <v>2787</v>
      </c>
      <c r="E51" s="18" t="s">
        <v>123</v>
      </c>
      <c r="F51" s="35" t="s">
        <v>72</v>
      </c>
      <c r="G51" s="209" t="s">
        <v>1099</v>
      </c>
      <c r="H51" s="35" t="s">
        <v>571</v>
      </c>
      <c r="I51" s="6" t="s">
        <v>571</v>
      </c>
      <c r="J51" s="35" t="s">
        <v>571</v>
      </c>
      <c r="K51" s="209"/>
      <c r="L51" s="209"/>
      <c r="M51" s="35" t="s">
        <v>571</v>
      </c>
      <c r="N51" s="210" t="str">
        <f aca="false">Inputs!$H$32</f>
        <v>v4：500 FTE × $150K</v>
      </c>
      <c r="O51" s="6" t="s">
        <v>571</v>
      </c>
      <c r="P51" s="209" t="s">
        <v>1099</v>
      </c>
      <c r="Q51" s="40" t="n">
        <f aca="false">Inputs!D32</f>
        <v>50</v>
      </c>
      <c r="R51" s="35" t="s">
        <v>571</v>
      </c>
      <c r="S51" s="34" t="str">
        <f aca="false">IF(ISNUMBER($AF51),INDEX(IDX_SrcStat,$AF51),"—")</f>
        <v>—</v>
      </c>
      <c r="T51" s="34" t="str">
        <f aca="false">IF(ISNUMBER($AF51),INDEX(IDX_SrcGrade,$AF51),"—")</f>
        <v>—</v>
      </c>
      <c r="U51" s="34" t="s">
        <v>2683</v>
      </c>
      <c r="V51" s="183" t="n">
        <f aca="false">IF(AND($F51="原始數據",$U51&lt;&gt;"連結 SRC"),1,0)</f>
        <v>0</v>
      </c>
      <c r="W51" s="183" t="n">
        <f aca="false">IF(AND($F51="Analogy",OR($H51="—",$H51="")),1,0)</f>
        <v>0</v>
      </c>
      <c r="X51" s="183" t="n">
        <f aca="false">IF(AND(OR($F51="Analogy",$F51="Assumed"),$G51&lt;&gt;"低",$G51&lt;&gt;"高",NOT(ISNUMBER($K51)),NOT(ISNUMBER($L51)),OR($M51="—",$M51="")),1,0)</f>
        <v>0</v>
      </c>
      <c r="Y51" s="183" t="n">
        <f aca="false">IF(AND(OR($F51="Analogy",$F51="Assumed",$F51="Derived（待改公式）",$F51="Derived（公式）"),OR($N51="—",$N51="",$N51=0)),1,0)</f>
        <v>0</v>
      </c>
      <c r="Z51" s="183" t="n">
        <f aca="false">IF(AND($F51="Decision",OR($J51="—",$J51="")),1,0)</f>
        <v>0</v>
      </c>
      <c r="AA51" s="180" t="n">
        <f aca="false">IF(OR($J51="—",$J51=""),0,IF(COUNTIF(Decisions!$A$5:$A$300,$J51)=0,1,0))</f>
        <v>0</v>
      </c>
      <c r="AB51" s="183" t="n">
        <f aca="false">IF(AND($F51="原始數據",$S51&lt;&gt;"Active"),1,0)</f>
        <v>0</v>
      </c>
      <c r="AC51" s="183" t="n">
        <f aca="false">IF(AND(ISNUMBER($K51),ISNUMBER($L51),ISNUMBER($Q51)),IF(OR($Q51&lt;MIN($K51,$L51),$Q51&gt;MAX($K51,$L51)),1,0),0)</f>
        <v>0</v>
      </c>
      <c r="AD51" s="183" t="n">
        <f aca="false">IF(AND(ISNUMBER($T51),$P51="高"),IF($T51=3,1,0),0)</f>
        <v>0</v>
      </c>
      <c r="AE51" s="183" t="n">
        <f aca="false">IF($S51="不存在",1,0)</f>
        <v>0</v>
      </c>
      <c r="AF51" s="34" t="str">
        <f aca="false">IF(OR($H51="—",$H51=""),"—",MATCH($H51,IDX_SrcID,0))</f>
        <v>—</v>
      </c>
    </row>
    <row r="52" customFormat="false" ht="15" hidden="false" customHeight="true" outlineLevel="0" collapsed="false">
      <c r="A52" s="35" t="s">
        <v>2788</v>
      </c>
      <c r="B52" s="209" t="s">
        <v>2677</v>
      </c>
      <c r="C52" s="35" t="s">
        <v>2678</v>
      </c>
      <c r="D52" s="35" t="s">
        <v>2789</v>
      </c>
      <c r="E52" s="18" t="s">
        <v>123</v>
      </c>
      <c r="F52" s="35" t="s">
        <v>72</v>
      </c>
      <c r="G52" s="209" t="s">
        <v>1100</v>
      </c>
      <c r="H52" s="35" t="s">
        <v>571</v>
      </c>
      <c r="I52" s="6" t="s">
        <v>571</v>
      </c>
      <c r="J52" s="35" t="s">
        <v>571</v>
      </c>
      <c r="K52" s="209"/>
      <c r="L52" s="209"/>
      <c r="M52" s="35" t="s">
        <v>571</v>
      </c>
      <c r="N52" s="210" t="str">
        <f aca="false">Inputs!$H$32</f>
        <v>v4：500 FTE × $150K</v>
      </c>
      <c r="O52" s="6" t="s">
        <v>571</v>
      </c>
      <c r="P52" s="209" t="s">
        <v>1099</v>
      </c>
      <c r="Q52" s="40" t="n">
        <f aca="false">Inputs!F32</f>
        <v>100</v>
      </c>
      <c r="R52" s="35" t="s">
        <v>571</v>
      </c>
      <c r="S52" s="34" t="str">
        <f aca="false">IF(ISNUMBER($AF52),INDEX(IDX_SrcStat,$AF52),"—")</f>
        <v>—</v>
      </c>
      <c r="T52" s="34" t="str">
        <f aca="false">IF(ISNUMBER($AF52),INDEX(IDX_SrcGrade,$AF52),"—")</f>
        <v>—</v>
      </c>
      <c r="U52" s="34" t="s">
        <v>2683</v>
      </c>
      <c r="V52" s="183" t="n">
        <f aca="false">IF(AND($F52="原始數據",$U52&lt;&gt;"連結 SRC"),1,0)</f>
        <v>0</v>
      </c>
      <c r="W52" s="183" t="n">
        <f aca="false">IF(AND($F52="Analogy",OR($H52="—",$H52="")),1,0)</f>
        <v>0</v>
      </c>
      <c r="X52" s="183" t="n">
        <f aca="false">IF(AND(OR($F52="Analogy",$F52="Assumed"),$G52&lt;&gt;"低",$G52&lt;&gt;"高",NOT(ISNUMBER($K52)),NOT(ISNUMBER($L52)),OR($M52="—",$M52="")),1,0)</f>
        <v>0</v>
      </c>
      <c r="Y52" s="183" t="n">
        <f aca="false">IF(AND(OR($F52="Analogy",$F52="Assumed",$F52="Derived（待改公式）",$F52="Derived（公式）"),OR($N52="—",$N52="",$N52=0)),1,0)</f>
        <v>0</v>
      </c>
      <c r="Z52" s="183" t="n">
        <f aca="false">IF(AND($F52="Decision",OR($J52="—",$J52="")),1,0)</f>
        <v>0</v>
      </c>
      <c r="AA52" s="180" t="n">
        <f aca="false">IF(OR($J52="—",$J52=""),0,IF(COUNTIF(Decisions!$A$5:$A$300,$J52)=0,1,0))</f>
        <v>0</v>
      </c>
      <c r="AB52" s="183" t="n">
        <f aca="false">IF(AND($F52="原始數據",$S52&lt;&gt;"Active"),1,0)</f>
        <v>0</v>
      </c>
      <c r="AC52" s="183" t="n">
        <f aca="false">IF(AND(ISNUMBER($K52),ISNUMBER($L52),ISNUMBER($Q52)),IF(OR($Q52&lt;MIN($K52,$L52),$Q52&gt;MAX($K52,$L52)),1,0),0)</f>
        <v>0</v>
      </c>
      <c r="AD52" s="183" t="n">
        <f aca="false">IF(AND(ISNUMBER($T52),$P52="高"),IF($T52=3,1,0),0)</f>
        <v>0</v>
      </c>
      <c r="AE52" s="183" t="n">
        <f aca="false">IF($S52="不存在",1,0)</f>
        <v>0</v>
      </c>
      <c r="AF52" s="34" t="str">
        <f aca="false">IF(OR($H52="—",$H52=""),"—",MATCH($H52,IDX_SrcID,0))</f>
        <v>—</v>
      </c>
    </row>
    <row r="53" customFormat="false" ht="15" hidden="false" customHeight="true" outlineLevel="0" collapsed="false">
      <c r="A53" s="35" t="s">
        <v>2790</v>
      </c>
      <c r="B53" s="209" t="s">
        <v>2677</v>
      </c>
      <c r="C53" s="35" t="s">
        <v>2678</v>
      </c>
      <c r="D53" s="35" t="s">
        <v>2791</v>
      </c>
      <c r="E53" s="18" t="s">
        <v>126</v>
      </c>
      <c r="F53" s="35" t="s">
        <v>72</v>
      </c>
      <c r="G53" s="209" t="s">
        <v>57</v>
      </c>
      <c r="H53" s="35" t="s">
        <v>571</v>
      </c>
      <c r="I53" s="6" t="s">
        <v>571</v>
      </c>
      <c r="J53" s="35" t="s">
        <v>571</v>
      </c>
      <c r="K53" s="40" t="n">
        <f aca="false">Inputs!$D$33</f>
        <v>150</v>
      </c>
      <c r="L53" s="40" t="n">
        <f aca="false">Inputs!$F$33</f>
        <v>250</v>
      </c>
      <c r="M53" s="35" t="s">
        <v>571</v>
      </c>
      <c r="N53" s="210" t="str">
        <f aca="false">Inputs!$H$33</f>
        <v>v4＝$200M</v>
      </c>
      <c r="O53" s="6" t="s">
        <v>571</v>
      </c>
      <c r="P53" s="209" t="s">
        <v>1099</v>
      </c>
      <c r="Q53" s="40" t="n">
        <f aca="false">Inputs!E33</f>
        <v>200</v>
      </c>
      <c r="R53" s="35" t="s">
        <v>571</v>
      </c>
      <c r="S53" s="34" t="str">
        <f aca="false">IF(ISNUMBER($AF53),INDEX(IDX_SrcStat,$AF53),"—")</f>
        <v>—</v>
      </c>
      <c r="T53" s="34" t="str">
        <f aca="false">IF(ISNUMBER($AF53),INDEX(IDX_SrcGrade,$AF53),"—")</f>
        <v>—</v>
      </c>
      <c r="U53" s="34" t="s">
        <v>2683</v>
      </c>
      <c r="V53" s="183" t="n">
        <f aca="false">IF(AND($F53="原始數據",$U53&lt;&gt;"連結 SRC"),1,0)</f>
        <v>0</v>
      </c>
      <c r="W53" s="183" t="n">
        <f aca="false">IF(AND($F53="Analogy",OR($H53="—",$H53="")),1,0)</f>
        <v>0</v>
      </c>
      <c r="X53" s="183" t="n">
        <f aca="false">IF(AND(OR($F53="Analogy",$F53="Assumed"),$G53&lt;&gt;"低",$G53&lt;&gt;"高",NOT(ISNUMBER($K53)),NOT(ISNUMBER($L53)),OR($M53="—",$M53="")),1,0)</f>
        <v>0</v>
      </c>
      <c r="Y53" s="183" t="n">
        <f aca="false">IF(AND(OR($F53="Analogy",$F53="Assumed",$F53="Derived（待改公式）",$F53="Derived（公式）"),OR($N53="—",$N53="",$N53=0)),1,0)</f>
        <v>0</v>
      </c>
      <c r="Z53" s="183" t="n">
        <f aca="false">IF(AND($F53="Decision",OR($J53="—",$J53="")),1,0)</f>
        <v>0</v>
      </c>
      <c r="AA53" s="180" t="n">
        <f aca="false">IF(OR($J53="—",$J53=""),0,IF(COUNTIF(Decisions!$A$5:$A$300,$J53)=0,1,0))</f>
        <v>0</v>
      </c>
      <c r="AB53" s="183" t="n">
        <f aca="false">IF(AND($F53="原始數據",$S53&lt;&gt;"Active"),1,0)</f>
        <v>0</v>
      </c>
      <c r="AC53" s="183" t="n">
        <f aca="false">IF(AND(ISNUMBER($K53),ISNUMBER($L53),ISNUMBER($Q53)),IF(OR($Q53&lt;MIN($K53,$L53),$Q53&gt;MAX($K53,$L53)),1,0),0)</f>
        <v>0</v>
      </c>
      <c r="AD53" s="183" t="n">
        <f aca="false">IF(AND(ISNUMBER($T53),$P53="高"),IF($T53=3,1,0),0)</f>
        <v>0</v>
      </c>
      <c r="AE53" s="183" t="n">
        <f aca="false">IF($S53="不存在",1,0)</f>
        <v>0</v>
      </c>
      <c r="AF53" s="34" t="str">
        <f aca="false">IF(OR($H53="—",$H53=""),"—",MATCH($H53,IDX_SrcID,0))</f>
        <v>—</v>
      </c>
    </row>
    <row r="54" customFormat="false" ht="15" hidden="false" customHeight="true" outlineLevel="0" collapsed="false">
      <c r="A54" s="35" t="s">
        <v>2792</v>
      </c>
      <c r="B54" s="209" t="s">
        <v>2677</v>
      </c>
      <c r="C54" s="35" t="s">
        <v>2678</v>
      </c>
      <c r="D54" s="35" t="s">
        <v>2793</v>
      </c>
      <c r="E54" s="18" t="s">
        <v>126</v>
      </c>
      <c r="F54" s="35" t="s">
        <v>72</v>
      </c>
      <c r="G54" s="209" t="s">
        <v>1099</v>
      </c>
      <c r="H54" s="35" t="s">
        <v>571</v>
      </c>
      <c r="I54" s="6" t="s">
        <v>571</v>
      </c>
      <c r="J54" s="35" t="s">
        <v>571</v>
      </c>
      <c r="K54" s="209"/>
      <c r="L54" s="209"/>
      <c r="M54" s="35" t="s">
        <v>571</v>
      </c>
      <c r="N54" s="210" t="str">
        <f aca="false">Inputs!$H$33</f>
        <v>v4＝$200M</v>
      </c>
      <c r="O54" s="6" t="s">
        <v>571</v>
      </c>
      <c r="P54" s="209" t="s">
        <v>1099</v>
      </c>
      <c r="Q54" s="40" t="n">
        <f aca="false">Inputs!D33</f>
        <v>150</v>
      </c>
      <c r="R54" s="35" t="s">
        <v>571</v>
      </c>
      <c r="S54" s="34" t="str">
        <f aca="false">IF(ISNUMBER($AF54),INDEX(IDX_SrcStat,$AF54),"—")</f>
        <v>—</v>
      </c>
      <c r="T54" s="34" t="str">
        <f aca="false">IF(ISNUMBER($AF54),INDEX(IDX_SrcGrade,$AF54),"—")</f>
        <v>—</v>
      </c>
      <c r="U54" s="34" t="s">
        <v>2683</v>
      </c>
      <c r="V54" s="183" t="n">
        <f aca="false">IF(AND($F54="原始數據",$U54&lt;&gt;"連結 SRC"),1,0)</f>
        <v>0</v>
      </c>
      <c r="W54" s="183" t="n">
        <f aca="false">IF(AND($F54="Analogy",OR($H54="—",$H54="")),1,0)</f>
        <v>0</v>
      </c>
      <c r="X54" s="183" t="n">
        <f aca="false">IF(AND(OR($F54="Analogy",$F54="Assumed"),$G54&lt;&gt;"低",$G54&lt;&gt;"高",NOT(ISNUMBER($K54)),NOT(ISNUMBER($L54)),OR($M54="—",$M54="")),1,0)</f>
        <v>0</v>
      </c>
      <c r="Y54" s="183" t="n">
        <f aca="false">IF(AND(OR($F54="Analogy",$F54="Assumed",$F54="Derived（待改公式）",$F54="Derived（公式）"),OR($N54="—",$N54="",$N54=0)),1,0)</f>
        <v>0</v>
      </c>
      <c r="Z54" s="183" t="n">
        <f aca="false">IF(AND($F54="Decision",OR($J54="—",$J54="")),1,0)</f>
        <v>0</v>
      </c>
      <c r="AA54" s="180" t="n">
        <f aca="false">IF(OR($J54="—",$J54=""),0,IF(COUNTIF(Decisions!$A$5:$A$300,$J54)=0,1,0))</f>
        <v>0</v>
      </c>
      <c r="AB54" s="183" t="n">
        <f aca="false">IF(AND($F54="原始數據",$S54&lt;&gt;"Active"),1,0)</f>
        <v>0</v>
      </c>
      <c r="AC54" s="183" t="n">
        <f aca="false">IF(AND(ISNUMBER($K54),ISNUMBER($L54),ISNUMBER($Q54)),IF(OR($Q54&lt;MIN($K54,$L54),$Q54&gt;MAX($K54,$L54)),1,0),0)</f>
        <v>0</v>
      </c>
      <c r="AD54" s="183" t="n">
        <f aca="false">IF(AND(ISNUMBER($T54),$P54="高"),IF($T54=3,1,0),0)</f>
        <v>0</v>
      </c>
      <c r="AE54" s="183" t="n">
        <f aca="false">IF($S54="不存在",1,0)</f>
        <v>0</v>
      </c>
      <c r="AF54" s="34" t="str">
        <f aca="false">IF(OR($H54="—",$H54=""),"—",MATCH($H54,IDX_SrcID,0))</f>
        <v>—</v>
      </c>
    </row>
    <row r="55" customFormat="false" ht="15" hidden="false" customHeight="true" outlineLevel="0" collapsed="false">
      <c r="A55" s="35" t="s">
        <v>2794</v>
      </c>
      <c r="B55" s="209" t="s">
        <v>2677</v>
      </c>
      <c r="C55" s="35" t="s">
        <v>2678</v>
      </c>
      <c r="D55" s="35" t="s">
        <v>2795</v>
      </c>
      <c r="E55" s="18" t="s">
        <v>126</v>
      </c>
      <c r="F55" s="35" t="s">
        <v>72</v>
      </c>
      <c r="G55" s="209" t="s">
        <v>1100</v>
      </c>
      <c r="H55" s="35" t="s">
        <v>571</v>
      </c>
      <c r="I55" s="6" t="s">
        <v>571</v>
      </c>
      <c r="J55" s="35" t="s">
        <v>571</v>
      </c>
      <c r="K55" s="209"/>
      <c r="L55" s="209"/>
      <c r="M55" s="35" t="s">
        <v>571</v>
      </c>
      <c r="N55" s="210" t="str">
        <f aca="false">Inputs!$H$33</f>
        <v>v4＝$200M</v>
      </c>
      <c r="O55" s="6" t="s">
        <v>571</v>
      </c>
      <c r="P55" s="209" t="s">
        <v>1099</v>
      </c>
      <c r="Q55" s="40" t="n">
        <f aca="false">Inputs!F33</f>
        <v>250</v>
      </c>
      <c r="R55" s="35" t="s">
        <v>571</v>
      </c>
      <c r="S55" s="34" t="str">
        <f aca="false">IF(ISNUMBER($AF55),INDEX(IDX_SrcStat,$AF55),"—")</f>
        <v>—</v>
      </c>
      <c r="T55" s="34" t="str">
        <f aca="false">IF(ISNUMBER($AF55),INDEX(IDX_SrcGrade,$AF55),"—")</f>
        <v>—</v>
      </c>
      <c r="U55" s="34" t="s">
        <v>2683</v>
      </c>
      <c r="V55" s="183" t="n">
        <f aca="false">IF(AND($F55="原始數據",$U55&lt;&gt;"連結 SRC"),1,0)</f>
        <v>0</v>
      </c>
      <c r="W55" s="183" t="n">
        <f aca="false">IF(AND($F55="Analogy",OR($H55="—",$H55="")),1,0)</f>
        <v>0</v>
      </c>
      <c r="X55" s="183" t="n">
        <f aca="false">IF(AND(OR($F55="Analogy",$F55="Assumed"),$G55&lt;&gt;"低",$G55&lt;&gt;"高",NOT(ISNUMBER($K55)),NOT(ISNUMBER($L55)),OR($M55="—",$M55="")),1,0)</f>
        <v>0</v>
      </c>
      <c r="Y55" s="183" t="n">
        <f aca="false">IF(AND(OR($F55="Analogy",$F55="Assumed",$F55="Derived（待改公式）",$F55="Derived（公式）"),OR($N55="—",$N55="",$N55=0)),1,0)</f>
        <v>0</v>
      </c>
      <c r="Z55" s="183" t="n">
        <f aca="false">IF(AND($F55="Decision",OR($J55="—",$J55="")),1,0)</f>
        <v>0</v>
      </c>
      <c r="AA55" s="180" t="n">
        <f aca="false">IF(OR($J55="—",$J55=""),0,IF(COUNTIF(Decisions!$A$5:$A$300,$J55)=0,1,0))</f>
        <v>0</v>
      </c>
      <c r="AB55" s="183" t="n">
        <f aca="false">IF(AND($F55="原始數據",$S55&lt;&gt;"Active"),1,0)</f>
        <v>0</v>
      </c>
      <c r="AC55" s="183" t="n">
        <f aca="false">IF(AND(ISNUMBER($K55),ISNUMBER($L55),ISNUMBER($Q55)),IF(OR($Q55&lt;MIN($K55,$L55),$Q55&gt;MAX($K55,$L55)),1,0),0)</f>
        <v>0</v>
      </c>
      <c r="AD55" s="183" t="n">
        <f aca="false">IF(AND(ISNUMBER($T55),$P55="高"),IF($T55=3,1,0),0)</f>
        <v>0</v>
      </c>
      <c r="AE55" s="183" t="n">
        <f aca="false">IF($S55="不存在",1,0)</f>
        <v>0</v>
      </c>
      <c r="AF55" s="34" t="str">
        <f aca="false">IF(OR($H55="—",$H55=""),"—",MATCH($H55,IDX_SrcID,0))</f>
        <v>—</v>
      </c>
    </row>
    <row r="56" customFormat="false" ht="15" hidden="false" customHeight="true" outlineLevel="0" collapsed="false">
      <c r="A56" s="35" t="s">
        <v>2796</v>
      </c>
      <c r="B56" s="209" t="s">
        <v>2677</v>
      </c>
      <c r="C56" s="35" t="s">
        <v>2678</v>
      </c>
      <c r="D56" s="35" t="s">
        <v>2797</v>
      </c>
      <c r="E56" s="18" t="s">
        <v>128</v>
      </c>
      <c r="F56" s="35" t="s">
        <v>72</v>
      </c>
      <c r="G56" s="209" t="s">
        <v>57</v>
      </c>
      <c r="H56" s="35" t="s">
        <v>571</v>
      </c>
      <c r="I56" s="6" t="s">
        <v>571</v>
      </c>
      <c r="J56" s="35" t="s">
        <v>571</v>
      </c>
      <c r="K56" s="172" t="n">
        <f aca="false">Inputs!$D$34</f>
        <v>0.04</v>
      </c>
      <c r="L56" s="172" t="n">
        <f aca="false">Inputs!$F$34</f>
        <v>0.06</v>
      </c>
      <c r="M56" s="35" t="s">
        <v>571</v>
      </c>
      <c r="N56" s="210" t="str">
        <f aca="false">Inputs!$H$34</f>
        <v>v4＝$50K/MW</v>
      </c>
      <c r="O56" s="6" t="s">
        <v>571</v>
      </c>
      <c r="P56" s="209" t="s">
        <v>1099</v>
      </c>
      <c r="Q56" s="172" t="n">
        <f aca="false">Inputs!E34</f>
        <v>0.05</v>
      </c>
      <c r="R56" s="35" t="s">
        <v>571</v>
      </c>
      <c r="S56" s="34" t="str">
        <f aca="false">IF(ISNUMBER($AF56),INDEX(IDX_SrcStat,$AF56),"—")</f>
        <v>—</v>
      </c>
      <c r="T56" s="34" t="str">
        <f aca="false">IF(ISNUMBER($AF56),INDEX(IDX_SrcGrade,$AF56),"—")</f>
        <v>—</v>
      </c>
      <c r="U56" s="34" t="s">
        <v>2683</v>
      </c>
      <c r="V56" s="183" t="n">
        <f aca="false">IF(AND($F56="原始數據",$U56&lt;&gt;"連結 SRC"),1,0)</f>
        <v>0</v>
      </c>
      <c r="W56" s="183" t="n">
        <f aca="false">IF(AND($F56="Analogy",OR($H56="—",$H56="")),1,0)</f>
        <v>0</v>
      </c>
      <c r="X56" s="183" t="n">
        <f aca="false">IF(AND(OR($F56="Analogy",$F56="Assumed"),$G56&lt;&gt;"低",$G56&lt;&gt;"高",NOT(ISNUMBER($K56)),NOT(ISNUMBER($L56)),OR($M56="—",$M56="")),1,0)</f>
        <v>0</v>
      </c>
      <c r="Y56" s="183" t="n">
        <f aca="false">IF(AND(OR($F56="Analogy",$F56="Assumed",$F56="Derived（待改公式）",$F56="Derived（公式）"),OR($N56="—",$N56="",$N56=0)),1,0)</f>
        <v>0</v>
      </c>
      <c r="Z56" s="183" t="n">
        <f aca="false">IF(AND($F56="Decision",OR($J56="—",$J56="")),1,0)</f>
        <v>0</v>
      </c>
      <c r="AA56" s="180" t="n">
        <f aca="false">IF(OR($J56="—",$J56=""),0,IF(COUNTIF(Decisions!$A$5:$A$300,$J56)=0,1,0))</f>
        <v>0</v>
      </c>
      <c r="AB56" s="183" t="n">
        <f aca="false">IF(AND($F56="原始數據",$S56&lt;&gt;"Active"),1,0)</f>
        <v>0</v>
      </c>
      <c r="AC56" s="183" t="n">
        <f aca="false">IF(AND(ISNUMBER($K56),ISNUMBER($L56),ISNUMBER($Q56)),IF(OR($Q56&lt;MIN($K56,$L56),$Q56&gt;MAX($K56,$L56)),1,0),0)</f>
        <v>0</v>
      </c>
      <c r="AD56" s="183" t="n">
        <f aca="false">IF(AND(ISNUMBER($T56),$P56="高"),IF($T56=3,1,0),0)</f>
        <v>0</v>
      </c>
      <c r="AE56" s="183" t="n">
        <f aca="false">IF($S56="不存在",1,0)</f>
        <v>0</v>
      </c>
      <c r="AF56" s="34" t="str">
        <f aca="false">IF(OR($H56="—",$H56=""),"—",MATCH($H56,IDX_SrcID,0))</f>
        <v>—</v>
      </c>
    </row>
    <row r="57" customFormat="false" ht="15" hidden="false" customHeight="true" outlineLevel="0" collapsed="false">
      <c r="A57" s="35" t="s">
        <v>2798</v>
      </c>
      <c r="B57" s="209" t="s">
        <v>2677</v>
      </c>
      <c r="C57" s="35" t="s">
        <v>2678</v>
      </c>
      <c r="D57" s="35" t="s">
        <v>2799</v>
      </c>
      <c r="E57" s="18" t="s">
        <v>128</v>
      </c>
      <c r="F57" s="35" t="s">
        <v>72</v>
      </c>
      <c r="G57" s="209" t="s">
        <v>1099</v>
      </c>
      <c r="H57" s="35" t="s">
        <v>571</v>
      </c>
      <c r="I57" s="6" t="s">
        <v>571</v>
      </c>
      <c r="J57" s="35" t="s">
        <v>571</v>
      </c>
      <c r="K57" s="209"/>
      <c r="L57" s="209"/>
      <c r="M57" s="35" t="s">
        <v>571</v>
      </c>
      <c r="N57" s="210" t="str">
        <f aca="false">Inputs!$H$34</f>
        <v>v4＝$50K/MW</v>
      </c>
      <c r="O57" s="6" t="s">
        <v>571</v>
      </c>
      <c r="P57" s="209" t="s">
        <v>1099</v>
      </c>
      <c r="Q57" s="172" t="n">
        <f aca="false">Inputs!D34</f>
        <v>0.04</v>
      </c>
      <c r="R57" s="35" t="s">
        <v>571</v>
      </c>
      <c r="S57" s="34" t="str">
        <f aca="false">IF(ISNUMBER($AF57),INDEX(IDX_SrcStat,$AF57),"—")</f>
        <v>—</v>
      </c>
      <c r="T57" s="34" t="str">
        <f aca="false">IF(ISNUMBER($AF57),INDEX(IDX_SrcGrade,$AF57),"—")</f>
        <v>—</v>
      </c>
      <c r="U57" s="34" t="s">
        <v>2683</v>
      </c>
      <c r="V57" s="183" t="n">
        <f aca="false">IF(AND($F57="原始數據",$U57&lt;&gt;"連結 SRC"),1,0)</f>
        <v>0</v>
      </c>
      <c r="W57" s="183" t="n">
        <f aca="false">IF(AND($F57="Analogy",OR($H57="—",$H57="")),1,0)</f>
        <v>0</v>
      </c>
      <c r="X57" s="183" t="n">
        <f aca="false">IF(AND(OR($F57="Analogy",$F57="Assumed"),$G57&lt;&gt;"低",$G57&lt;&gt;"高",NOT(ISNUMBER($K57)),NOT(ISNUMBER($L57)),OR($M57="—",$M57="")),1,0)</f>
        <v>0</v>
      </c>
      <c r="Y57" s="183" t="n">
        <f aca="false">IF(AND(OR($F57="Analogy",$F57="Assumed",$F57="Derived（待改公式）",$F57="Derived（公式）"),OR($N57="—",$N57="",$N57=0)),1,0)</f>
        <v>0</v>
      </c>
      <c r="Z57" s="183" t="n">
        <f aca="false">IF(AND($F57="Decision",OR($J57="—",$J57="")),1,0)</f>
        <v>0</v>
      </c>
      <c r="AA57" s="180" t="n">
        <f aca="false">IF(OR($J57="—",$J57=""),0,IF(COUNTIF(Decisions!$A$5:$A$300,$J57)=0,1,0))</f>
        <v>0</v>
      </c>
      <c r="AB57" s="183" t="n">
        <f aca="false">IF(AND($F57="原始數據",$S57&lt;&gt;"Active"),1,0)</f>
        <v>0</v>
      </c>
      <c r="AC57" s="183" t="n">
        <f aca="false">IF(AND(ISNUMBER($K57),ISNUMBER($L57),ISNUMBER($Q57)),IF(OR($Q57&lt;MIN($K57,$L57),$Q57&gt;MAX($K57,$L57)),1,0),0)</f>
        <v>0</v>
      </c>
      <c r="AD57" s="183" t="n">
        <f aca="false">IF(AND(ISNUMBER($T57),$P57="高"),IF($T57=3,1,0),0)</f>
        <v>0</v>
      </c>
      <c r="AE57" s="183" t="n">
        <f aca="false">IF($S57="不存在",1,0)</f>
        <v>0</v>
      </c>
      <c r="AF57" s="34" t="str">
        <f aca="false">IF(OR($H57="—",$H57=""),"—",MATCH($H57,IDX_SrcID,0))</f>
        <v>—</v>
      </c>
    </row>
    <row r="58" customFormat="false" ht="15" hidden="false" customHeight="true" outlineLevel="0" collapsed="false">
      <c r="A58" s="35" t="s">
        <v>2800</v>
      </c>
      <c r="B58" s="209" t="s">
        <v>2677</v>
      </c>
      <c r="C58" s="35" t="s">
        <v>2678</v>
      </c>
      <c r="D58" s="35" t="s">
        <v>2801</v>
      </c>
      <c r="E58" s="18" t="s">
        <v>128</v>
      </c>
      <c r="F58" s="35" t="s">
        <v>72</v>
      </c>
      <c r="G58" s="209" t="s">
        <v>1100</v>
      </c>
      <c r="H58" s="35" t="s">
        <v>571</v>
      </c>
      <c r="I58" s="6" t="s">
        <v>571</v>
      </c>
      <c r="J58" s="35" t="s">
        <v>571</v>
      </c>
      <c r="K58" s="209"/>
      <c r="L58" s="209"/>
      <c r="M58" s="35" t="s">
        <v>571</v>
      </c>
      <c r="N58" s="210" t="str">
        <f aca="false">Inputs!$H$34</f>
        <v>v4＝$50K/MW</v>
      </c>
      <c r="O58" s="6" t="s">
        <v>571</v>
      </c>
      <c r="P58" s="209" t="s">
        <v>1099</v>
      </c>
      <c r="Q58" s="172" t="n">
        <f aca="false">Inputs!F34</f>
        <v>0.06</v>
      </c>
      <c r="R58" s="35" t="s">
        <v>571</v>
      </c>
      <c r="S58" s="34" t="str">
        <f aca="false">IF(ISNUMBER($AF58),INDEX(IDX_SrcStat,$AF58),"—")</f>
        <v>—</v>
      </c>
      <c r="T58" s="34" t="str">
        <f aca="false">IF(ISNUMBER($AF58),INDEX(IDX_SrcGrade,$AF58),"—")</f>
        <v>—</v>
      </c>
      <c r="U58" s="34" t="s">
        <v>2683</v>
      </c>
      <c r="V58" s="183" t="n">
        <f aca="false">IF(AND($F58="原始數據",$U58&lt;&gt;"連結 SRC"),1,0)</f>
        <v>0</v>
      </c>
      <c r="W58" s="183" t="n">
        <f aca="false">IF(AND($F58="Analogy",OR($H58="—",$H58="")),1,0)</f>
        <v>0</v>
      </c>
      <c r="X58" s="183" t="n">
        <f aca="false">IF(AND(OR($F58="Analogy",$F58="Assumed"),$G58&lt;&gt;"低",$G58&lt;&gt;"高",NOT(ISNUMBER($K58)),NOT(ISNUMBER($L58)),OR($M58="—",$M58="")),1,0)</f>
        <v>0</v>
      </c>
      <c r="Y58" s="183" t="n">
        <f aca="false">IF(AND(OR($F58="Analogy",$F58="Assumed",$F58="Derived（待改公式）",$F58="Derived（公式）"),OR($N58="—",$N58="",$N58=0)),1,0)</f>
        <v>0</v>
      </c>
      <c r="Z58" s="183" t="n">
        <f aca="false">IF(AND($F58="Decision",OR($J58="—",$J58="")),1,0)</f>
        <v>0</v>
      </c>
      <c r="AA58" s="180" t="n">
        <f aca="false">IF(OR($J58="—",$J58=""),0,IF(COUNTIF(Decisions!$A$5:$A$300,$J58)=0,1,0))</f>
        <v>0</v>
      </c>
      <c r="AB58" s="183" t="n">
        <f aca="false">IF(AND($F58="原始數據",$S58&lt;&gt;"Active"),1,0)</f>
        <v>0</v>
      </c>
      <c r="AC58" s="183" t="n">
        <f aca="false">IF(AND(ISNUMBER($K58),ISNUMBER($L58),ISNUMBER($Q58)),IF(OR($Q58&lt;MIN($K58,$L58),$Q58&gt;MAX($K58,$L58)),1,0),0)</f>
        <v>0</v>
      </c>
      <c r="AD58" s="183" t="n">
        <f aca="false">IF(AND(ISNUMBER($T58),$P58="高"),IF($T58=3,1,0),0)</f>
        <v>0</v>
      </c>
      <c r="AE58" s="183" t="n">
        <f aca="false">IF($S58="不存在",1,0)</f>
        <v>0</v>
      </c>
      <c r="AF58" s="34" t="str">
        <f aca="false">IF(OR($H58="—",$H58=""),"—",MATCH($H58,IDX_SrcID,0))</f>
        <v>—</v>
      </c>
    </row>
    <row r="59" customFormat="false" ht="29.25" hidden="false" customHeight="true" outlineLevel="0" collapsed="false">
      <c r="A59" s="35" t="s">
        <v>2802</v>
      </c>
      <c r="B59" s="209" t="s">
        <v>2677</v>
      </c>
      <c r="C59" s="35" t="s">
        <v>2678</v>
      </c>
      <c r="D59" s="35" t="s">
        <v>2803</v>
      </c>
      <c r="E59" s="18" t="s">
        <v>131</v>
      </c>
      <c r="F59" s="35" t="s">
        <v>72</v>
      </c>
      <c r="G59" s="209" t="s">
        <v>57</v>
      </c>
      <c r="H59" s="35" t="s">
        <v>571</v>
      </c>
      <c r="I59" s="6" t="s">
        <v>571</v>
      </c>
      <c r="J59" s="35" t="s">
        <v>571</v>
      </c>
      <c r="K59" s="176" t="n">
        <f aca="false">Inputs!$D$35</f>
        <v>0.003</v>
      </c>
      <c r="L59" s="176" t="n">
        <f aca="false">Inputs!$F$35</f>
        <v>0.008</v>
      </c>
      <c r="M59" s="35" t="s">
        <v>571</v>
      </c>
      <c r="N59" s="210" t="str">
        <f aca="false">Inputs!$H$35</f>
        <v>v4＝0.5%</v>
      </c>
      <c r="O59" s="6" t="s">
        <v>2779</v>
      </c>
      <c r="P59" s="209" t="s">
        <v>1099</v>
      </c>
      <c r="Q59" s="176" t="n">
        <f aca="false">Inputs!E35</f>
        <v>0.005</v>
      </c>
      <c r="R59" s="35" t="s">
        <v>571</v>
      </c>
      <c r="S59" s="34" t="str">
        <f aca="false">IF(ISNUMBER($AF59),INDEX(IDX_SrcStat,$AF59),"—")</f>
        <v>—</v>
      </c>
      <c r="T59" s="34" t="str">
        <f aca="false">IF(ISNUMBER($AF59),INDEX(IDX_SrcGrade,$AF59),"—")</f>
        <v>—</v>
      </c>
      <c r="U59" s="34" t="s">
        <v>2683</v>
      </c>
      <c r="V59" s="183" t="n">
        <f aca="false">IF(AND($F59="原始數據",$U59&lt;&gt;"連結 SRC"),1,0)</f>
        <v>0</v>
      </c>
      <c r="W59" s="183" t="n">
        <f aca="false">IF(AND($F59="Analogy",OR($H59="—",$H59="")),1,0)</f>
        <v>0</v>
      </c>
      <c r="X59" s="183" t="n">
        <f aca="false">IF(AND(OR($F59="Analogy",$F59="Assumed"),$G59&lt;&gt;"低",$G59&lt;&gt;"高",NOT(ISNUMBER($K59)),NOT(ISNUMBER($L59)),OR($M59="—",$M59="")),1,0)</f>
        <v>0</v>
      </c>
      <c r="Y59" s="183" t="n">
        <f aca="false">IF(AND(OR($F59="Analogy",$F59="Assumed",$F59="Derived（待改公式）",$F59="Derived（公式）"),OR($N59="—",$N59="",$N59=0)),1,0)</f>
        <v>0</v>
      </c>
      <c r="Z59" s="183" t="n">
        <f aca="false">IF(AND($F59="Decision",OR($J59="—",$J59="")),1,0)</f>
        <v>0</v>
      </c>
      <c r="AA59" s="180" t="n">
        <f aca="false">IF(OR($J59="—",$J59=""),0,IF(COUNTIF(Decisions!$A$5:$A$300,$J59)=0,1,0))</f>
        <v>0</v>
      </c>
      <c r="AB59" s="183" t="n">
        <f aca="false">IF(AND($F59="原始數據",$S59&lt;&gt;"Active"),1,0)</f>
        <v>0</v>
      </c>
      <c r="AC59" s="183" t="n">
        <f aca="false">IF(AND(ISNUMBER($K59),ISNUMBER($L59),ISNUMBER($Q59)),IF(OR($Q59&lt;MIN($K59,$L59),$Q59&gt;MAX($K59,$L59)),1,0),0)</f>
        <v>0</v>
      </c>
      <c r="AD59" s="183" t="n">
        <f aca="false">IF(AND(ISNUMBER($T59),$P59="高"),IF($T59=3,1,0),0)</f>
        <v>0</v>
      </c>
      <c r="AE59" s="183" t="n">
        <f aca="false">IF($S59="不存在",1,0)</f>
        <v>0</v>
      </c>
      <c r="AF59" s="34" t="str">
        <f aca="false">IF(OR($H59="—",$H59=""),"—",MATCH($H59,IDX_SrcID,0))</f>
        <v>—</v>
      </c>
    </row>
    <row r="60" customFormat="false" ht="29.25" hidden="false" customHeight="true" outlineLevel="0" collapsed="false">
      <c r="A60" s="35" t="s">
        <v>2804</v>
      </c>
      <c r="B60" s="209" t="s">
        <v>2677</v>
      </c>
      <c r="C60" s="35" t="s">
        <v>2678</v>
      </c>
      <c r="D60" s="35" t="s">
        <v>2805</v>
      </c>
      <c r="E60" s="18" t="s">
        <v>131</v>
      </c>
      <c r="F60" s="35" t="s">
        <v>72</v>
      </c>
      <c r="G60" s="209" t="s">
        <v>1099</v>
      </c>
      <c r="H60" s="35" t="s">
        <v>571</v>
      </c>
      <c r="I60" s="6" t="s">
        <v>571</v>
      </c>
      <c r="J60" s="35" t="s">
        <v>571</v>
      </c>
      <c r="K60" s="209"/>
      <c r="L60" s="209"/>
      <c r="M60" s="35" t="s">
        <v>571</v>
      </c>
      <c r="N60" s="210" t="str">
        <f aca="false">Inputs!$H$35</f>
        <v>v4＝0.5%</v>
      </c>
      <c r="O60" s="6" t="s">
        <v>2779</v>
      </c>
      <c r="P60" s="209" t="s">
        <v>1099</v>
      </c>
      <c r="Q60" s="176" t="n">
        <f aca="false">Inputs!D35</f>
        <v>0.003</v>
      </c>
      <c r="R60" s="35" t="s">
        <v>571</v>
      </c>
      <c r="S60" s="34" t="str">
        <f aca="false">IF(ISNUMBER($AF60),INDEX(IDX_SrcStat,$AF60),"—")</f>
        <v>—</v>
      </c>
      <c r="T60" s="34" t="str">
        <f aca="false">IF(ISNUMBER($AF60),INDEX(IDX_SrcGrade,$AF60),"—")</f>
        <v>—</v>
      </c>
      <c r="U60" s="34" t="s">
        <v>2683</v>
      </c>
      <c r="V60" s="183" t="n">
        <f aca="false">IF(AND($F60="原始數據",$U60&lt;&gt;"連結 SRC"),1,0)</f>
        <v>0</v>
      </c>
      <c r="W60" s="183" t="n">
        <f aca="false">IF(AND($F60="Analogy",OR($H60="—",$H60="")),1,0)</f>
        <v>0</v>
      </c>
      <c r="X60" s="183" t="n">
        <f aca="false">IF(AND(OR($F60="Analogy",$F60="Assumed"),$G60&lt;&gt;"低",$G60&lt;&gt;"高",NOT(ISNUMBER($K60)),NOT(ISNUMBER($L60)),OR($M60="—",$M60="")),1,0)</f>
        <v>0</v>
      </c>
      <c r="Y60" s="183" t="n">
        <f aca="false">IF(AND(OR($F60="Analogy",$F60="Assumed",$F60="Derived（待改公式）",$F60="Derived（公式）"),OR($N60="—",$N60="",$N60=0)),1,0)</f>
        <v>0</v>
      </c>
      <c r="Z60" s="183" t="n">
        <f aca="false">IF(AND($F60="Decision",OR($J60="—",$J60="")),1,0)</f>
        <v>0</v>
      </c>
      <c r="AA60" s="180" t="n">
        <f aca="false">IF(OR($J60="—",$J60=""),0,IF(COUNTIF(Decisions!$A$5:$A$300,$J60)=0,1,0))</f>
        <v>0</v>
      </c>
      <c r="AB60" s="183" t="n">
        <f aca="false">IF(AND($F60="原始數據",$S60&lt;&gt;"Active"),1,0)</f>
        <v>0</v>
      </c>
      <c r="AC60" s="183" t="n">
        <f aca="false">IF(AND(ISNUMBER($K60),ISNUMBER($L60),ISNUMBER($Q60)),IF(OR($Q60&lt;MIN($K60,$L60),$Q60&gt;MAX($K60,$L60)),1,0),0)</f>
        <v>0</v>
      </c>
      <c r="AD60" s="183" t="n">
        <f aca="false">IF(AND(ISNUMBER($T60),$P60="高"),IF($T60=3,1,0),0)</f>
        <v>0</v>
      </c>
      <c r="AE60" s="183" t="n">
        <f aca="false">IF($S60="不存在",1,0)</f>
        <v>0</v>
      </c>
      <c r="AF60" s="34" t="str">
        <f aca="false">IF(OR($H60="—",$H60=""),"—",MATCH($H60,IDX_SrcID,0))</f>
        <v>—</v>
      </c>
    </row>
    <row r="61" customFormat="false" ht="29.25" hidden="false" customHeight="true" outlineLevel="0" collapsed="false">
      <c r="A61" s="35" t="s">
        <v>2806</v>
      </c>
      <c r="B61" s="209" t="s">
        <v>2677</v>
      </c>
      <c r="C61" s="35" t="s">
        <v>2678</v>
      </c>
      <c r="D61" s="35" t="s">
        <v>2807</v>
      </c>
      <c r="E61" s="18" t="s">
        <v>131</v>
      </c>
      <c r="F61" s="35" t="s">
        <v>72</v>
      </c>
      <c r="G61" s="209" t="s">
        <v>1100</v>
      </c>
      <c r="H61" s="35" t="s">
        <v>571</v>
      </c>
      <c r="I61" s="6" t="s">
        <v>571</v>
      </c>
      <c r="J61" s="35" t="s">
        <v>571</v>
      </c>
      <c r="K61" s="209"/>
      <c r="L61" s="209"/>
      <c r="M61" s="35" t="s">
        <v>571</v>
      </c>
      <c r="N61" s="210" t="str">
        <f aca="false">Inputs!$H$35</f>
        <v>v4＝0.5%</v>
      </c>
      <c r="O61" s="6" t="s">
        <v>2779</v>
      </c>
      <c r="P61" s="209" t="s">
        <v>1099</v>
      </c>
      <c r="Q61" s="176" t="n">
        <f aca="false">Inputs!F35</f>
        <v>0.008</v>
      </c>
      <c r="R61" s="35" t="s">
        <v>571</v>
      </c>
      <c r="S61" s="34" t="str">
        <f aca="false">IF(ISNUMBER($AF61),INDEX(IDX_SrcStat,$AF61),"—")</f>
        <v>—</v>
      </c>
      <c r="T61" s="34" t="str">
        <f aca="false">IF(ISNUMBER($AF61),INDEX(IDX_SrcGrade,$AF61),"—")</f>
        <v>—</v>
      </c>
      <c r="U61" s="34" t="s">
        <v>2683</v>
      </c>
      <c r="V61" s="183" t="n">
        <f aca="false">IF(AND($F61="原始數據",$U61&lt;&gt;"連結 SRC"),1,0)</f>
        <v>0</v>
      </c>
      <c r="W61" s="183" t="n">
        <f aca="false">IF(AND($F61="Analogy",OR($H61="—",$H61="")),1,0)</f>
        <v>0</v>
      </c>
      <c r="X61" s="183" t="n">
        <f aca="false">IF(AND(OR($F61="Analogy",$F61="Assumed"),$G61&lt;&gt;"低",$G61&lt;&gt;"高",NOT(ISNUMBER($K61)),NOT(ISNUMBER($L61)),OR($M61="—",$M61="")),1,0)</f>
        <v>0</v>
      </c>
      <c r="Y61" s="183" t="n">
        <f aca="false">IF(AND(OR($F61="Analogy",$F61="Assumed",$F61="Derived（待改公式）",$F61="Derived（公式）"),OR($N61="—",$N61="",$N61=0)),1,0)</f>
        <v>0</v>
      </c>
      <c r="Z61" s="183" t="n">
        <f aca="false">IF(AND($F61="Decision",OR($J61="—",$J61="")),1,0)</f>
        <v>0</v>
      </c>
      <c r="AA61" s="180" t="n">
        <f aca="false">IF(OR($J61="—",$J61=""),0,IF(COUNTIF(Decisions!$A$5:$A$300,$J61)=0,1,0))</f>
        <v>0</v>
      </c>
      <c r="AB61" s="183" t="n">
        <f aca="false">IF(AND($F61="原始數據",$S61&lt;&gt;"Active"),1,0)</f>
        <v>0</v>
      </c>
      <c r="AC61" s="183" t="n">
        <f aca="false">IF(AND(ISNUMBER($K61),ISNUMBER($L61),ISNUMBER($Q61)),IF(OR($Q61&lt;MIN($K61,$L61),$Q61&gt;MAX($K61,$L61)),1,0),0)</f>
        <v>0</v>
      </c>
      <c r="AD61" s="183" t="n">
        <f aca="false">IF(AND(ISNUMBER($T61),$P61="高"),IF($T61=3,1,0),0)</f>
        <v>0</v>
      </c>
      <c r="AE61" s="183" t="n">
        <f aca="false">IF($S61="不存在",1,0)</f>
        <v>0</v>
      </c>
      <c r="AF61" s="34" t="str">
        <f aca="false">IF(OR($H61="—",$H61=""),"—",MATCH($H61,IDX_SrcID,0))</f>
        <v>—</v>
      </c>
    </row>
    <row r="62" customFormat="false" ht="15" hidden="false" customHeight="true" outlineLevel="0" collapsed="false">
      <c r="A62" s="35" t="s">
        <v>2808</v>
      </c>
      <c r="B62" s="209" t="s">
        <v>2677</v>
      </c>
      <c r="C62" s="35" t="s">
        <v>2678</v>
      </c>
      <c r="D62" s="35" t="s">
        <v>2809</v>
      </c>
      <c r="E62" s="6" t="s">
        <v>105</v>
      </c>
      <c r="F62" s="209" t="s">
        <v>290</v>
      </c>
      <c r="G62" s="209" t="s">
        <v>2679</v>
      </c>
      <c r="H62" s="35" t="s">
        <v>2810</v>
      </c>
      <c r="I62" s="18" t="s">
        <v>2714</v>
      </c>
      <c r="J62" s="35" t="s">
        <v>2811</v>
      </c>
      <c r="K62" s="209"/>
      <c r="L62" s="209"/>
      <c r="M62" s="35" t="s">
        <v>571</v>
      </c>
      <c r="N62" s="18" t="s">
        <v>2812</v>
      </c>
      <c r="O62" s="6" t="s">
        <v>571</v>
      </c>
      <c r="P62" s="209" t="s">
        <v>1100</v>
      </c>
      <c r="Q62" s="40" t="n">
        <f aca="false">Inputs!D23</f>
        <v>6</v>
      </c>
      <c r="R62" s="182" t="n">
        <f aca="false">SRC_DC_007</f>
        <v>6</v>
      </c>
      <c r="S62" s="34" t="str">
        <f aca="false">IF(ISNUMBER($AF62),INDEX(IDX_SrcStat,$AF62),"—")</f>
        <v>Active</v>
      </c>
      <c r="T62" s="34" t="n">
        <f aca="false">IF(ISNUMBER($AF62),INDEX(IDX_SrcGrade,$AF62),"—")</f>
        <v>2</v>
      </c>
      <c r="U62" s="34" t="s">
        <v>2716</v>
      </c>
      <c r="V62" s="183" t="n">
        <f aca="false">IF(AND($F62="原始數據",$U62&lt;&gt;"連結 SRC"),1,0)</f>
        <v>0</v>
      </c>
      <c r="W62" s="183" t="n">
        <f aca="false">IF(AND($F62="Analogy",OR($H62="—",$H62="")),1,0)</f>
        <v>0</v>
      </c>
      <c r="X62" s="183" t="n">
        <f aca="false">IF(AND(OR($F62="Analogy",$F62="Assumed"),$G62&lt;&gt;"低",$G62&lt;&gt;"高",NOT(ISNUMBER($K62)),NOT(ISNUMBER($L62)),OR($M62="—",$M62="")),1,0)</f>
        <v>0</v>
      </c>
      <c r="Y62" s="183" t="n">
        <f aca="false">IF(AND(OR($F62="Analogy",$F62="Assumed",$F62="Derived（待改公式）",$F62="Derived（公式）"),OR($N62="—",$N62="",$N62=0)),1,0)</f>
        <v>0</v>
      </c>
      <c r="Z62" s="183" t="n">
        <f aca="false">IF(AND($F62="Decision",OR($J62="—",$J62="")),1,0)</f>
        <v>0</v>
      </c>
      <c r="AA62" s="180" t="n">
        <f aca="false">IF(OR($J62="—",$J62=""),0,IF(COUNTIF(Decisions!$A$5:$A$300,$J62)=0,1,0))</f>
        <v>0</v>
      </c>
      <c r="AB62" s="183" t="n">
        <f aca="false">IF(AND($F62="原始數據",$S62&lt;&gt;"Active"),1,0)</f>
        <v>0</v>
      </c>
      <c r="AC62" s="183" t="n">
        <f aca="false">IF(AND(ISNUMBER($K62),ISNUMBER($L62),ISNUMBER($Q62)),IF(OR($Q62&lt;MIN($K62,$L62),$Q62&gt;MAX($K62,$L62)),1,0),0)</f>
        <v>0</v>
      </c>
      <c r="AD62" s="183" t="n">
        <f aca="false">IF(AND(ISNUMBER($T62),$P62="高"),IF($T62=3,1,0),0)</f>
        <v>0</v>
      </c>
      <c r="AE62" s="183" t="n">
        <f aca="false">IF($S62="不存在",1,0)</f>
        <v>0</v>
      </c>
      <c r="AF62" s="34" t="n">
        <f aca="false">IF(OR($H62="—",$H62=""),"—",MATCH($H62,IDX_SrcID,0))</f>
        <v>121</v>
      </c>
    </row>
    <row r="63" customFormat="false" ht="15" hidden="false" customHeight="true" outlineLevel="0" collapsed="false">
      <c r="A63" s="35" t="s">
        <v>2813</v>
      </c>
      <c r="B63" s="209" t="s">
        <v>2677</v>
      </c>
      <c r="C63" s="35" t="s">
        <v>2678</v>
      </c>
      <c r="D63" s="35" t="s">
        <v>2814</v>
      </c>
      <c r="E63" s="6" t="s">
        <v>105</v>
      </c>
      <c r="F63" s="209" t="s">
        <v>290</v>
      </c>
      <c r="G63" s="209" t="s">
        <v>2679</v>
      </c>
      <c r="H63" s="35" t="s">
        <v>2810</v>
      </c>
      <c r="I63" s="18" t="s">
        <v>2714</v>
      </c>
      <c r="J63" s="35" t="s">
        <v>2811</v>
      </c>
      <c r="K63" s="209"/>
      <c r="L63" s="209"/>
      <c r="M63" s="35" t="s">
        <v>571</v>
      </c>
      <c r="N63" s="18" t="s">
        <v>2812</v>
      </c>
      <c r="O63" s="6" t="s">
        <v>571</v>
      </c>
      <c r="P63" s="209" t="s">
        <v>1100</v>
      </c>
      <c r="Q63" s="40" t="n">
        <f aca="false">Inputs!E23</f>
        <v>6</v>
      </c>
      <c r="R63" s="182" t="n">
        <f aca="false">SRC_DC_007</f>
        <v>6</v>
      </c>
      <c r="S63" s="34" t="str">
        <f aca="false">IF(ISNUMBER($AF63),INDEX(IDX_SrcStat,$AF63),"—")</f>
        <v>Active</v>
      </c>
      <c r="T63" s="34" t="n">
        <f aca="false">IF(ISNUMBER($AF63),INDEX(IDX_SrcGrade,$AF63),"—")</f>
        <v>2</v>
      </c>
      <c r="U63" s="34" t="s">
        <v>2716</v>
      </c>
      <c r="V63" s="183" t="n">
        <f aca="false">IF(AND($F63="原始數據",$U63&lt;&gt;"連結 SRC"),1,0)</f>
        <v>0</v>
      </c>
      <c r="W63" s="183" t="n">
        <f aca="false">IF(AND($F63="Analogy",OR($H63="—",$H63="")),1,0)</f>
        <v>0</v>
      </c>
      <c r="X63" s="183" t="n">
        <f aca="false">IF(AND(OR($F63="Analogy",$F63="Assumed"),$G63&lt;&gt;"低",$G63&lt;&gt;"高",NOT(ISNUMBER($K63)),NOT(ISNUMBER($L63)),OR($M63="—",$M63="")),1,0)</f>
        <v>0</v>
      </c>
      <c r="Y63" s="183" t="n">
        <f aca="false">IF(AND(OR($F63="Analogy",$F63="Assumed",$F63="Derived（待改公式）",$F63="Derived（公式）"),OR($N63="—",$N63="",$N63=0)),1,0)</f>
        <v>0</v>
      </c>
      <c r="Z63" s="183" t="n">
        <f aca="false">IF(AND($F63="Decision",OR($J63="—",$J63="")),1,0)</f>
        <v>0</v>
      </c>
      <c r="AA63" s="180" t="n">
        <f aca="false">IF(OR($J63="—",$J63=""),0,IF(COUNTIF(Decisions!$A$5:$A$300,$J63)=0,1,0))</f>
        <v>0</v>
      </c>
      <c r="AB63" s="183" t="n">
        <f aca="false">IF(AND($F63="原始數據",$S63&lt;&gt;"Active"),1,0)</f>
        <v>0</v>
      </c>
      <c r="AC63" s="183" t="n">
        <f aca="false">IF(AND(ISNUMBER($K63),ISNUMBER($L63),ISNUMBER($Q63)),IF(OR($Q63&lt;MIN($K63,$L63),$Q63&gt;MAX($K63,$L63)),1,0),0)</f>
        <v>0</v>
      </c>
      <c r="AD63" s="183" t="n">
        <f aca="false">IF(AND(ISNUMBER($T63),$P63="高"),IF($T63=3,1,0),0)</f>
        <v>0</v>
      </c>
      <c r="AE63" s="183" t="n">
        <f aca="false">IF($S63="不存在",1,0)</f>
        <v>0</v>
      </c>
      <c r="AF63" s="34" t="n">
        <f aca="false">IF(OR($H63="—",$H63=""),"—",MATCH($H63,IDX_SrcID,0))</f>
        <v>121</v>
      </c>
    </row>
    <row r="64" customFormat="false" ht="15" hidden="false" customHeight="true" outlineLevel="0" collapsed="false">
      <c r="A64" s="35" t="s">
        <v>2815</v>
      </c>
      <c r="B64" s="209" t="s">
        <v>2677</v>
      </c>
      <c r="C64" s="35" t="s">
        <v>2678</v>
      </c>
      <c r="D64" s="35" t="s">
        <v>2816</v>
      </c>
      <c r="E64" s="6" t="s">
        <v>105</v>
      </c>
      <c r="F64" s="209" t="s">
        <v>290</v>
      </c>
      <c r="G64" s="209" t="s">
        <v>2679</v>
      </c>
      <c r="H64" s="35" t="s">
        <v>2817</v>
      </c>
      <c r="I64" s="18" t="s">
        <v>2714</v>
      </c>
      <c r="J64" s="35" t="s">
        <v>2811</v>
      </c>
      <c r="K64" s="209"/>
      <c r="L64" s="209"/>
      <c r="M64" s="35" t="s">
        <v>571</v>
      </c>
      <c r="N64" s="18" t="s">
        <v>2812</v>
      </c>
      <c r="O64" s="6" t="s">
        <v>571</v>
      </c>
      <c r="P64" s="209" t="s">
        <v>1100</v>
      </c>
      <c r="Q64" s="40" t="n">
        <f aca="false">Inputs!F23</f>
        <v>4</v>
      </c>
      <c r="R64" s="182" t="n">
        <f aca="false">SRC_DC_008</f>
        <v>4</v>
      </c>
      <c r="S64" s="34" t="str">
        <f aca="false">IF(ISNUMBER($AF64),INDEX(IDX_SrcStat,$AF64),"—")</f>
        <v>Active</v>
      </c>
      <c r="T64" s="34" t="n">
        <f aca="false">IF(ISNUMBER($AF64),INDEX(IDX_SrcGrade,$AF64),"—")</f>
        <v>2</v>
      </c>
      <c r="U64" s="34" t="s">
        <v>2716</v>
      </c>
      <c r="V64" s="183" t="n">
        <f aca="false">IF(AND($F64="原始數據",$U64&lt;&gt;"連結 SRC"),1,0)</f>
        <v>0</v>
      </c>
      <c r="W64" s="183" t="n">
        <f aca="false">IF(AND($F64="Analogy",OR($H64="—",$H64="")),1,0)</f>
        <v>0</v>
      </c>
      <c r="X64" s="183" t="n">
        <f aca="false">IF(AND(OR($F64="Analogy",$F64="Assumed"),$G64&lt;&gt;"低",$G64&lt;&gt;"高",NOT(ISNUMBER($K64)),NOT(ISNUMBER($L64)),OR($M64="—",$M64="")),1,0)</f>
        <v>0</v>
      </c>
      <c r="Y64" s="183" t="n">
        <f aca="false">IF(AND(OR($F64="Analogy",$F64="Assumed",$F64="Derived（待改公式）",$F64="Derived（公式）"),OR($N64="—",$N64="",$N64=0)),1,0)</f>
        <v>0</v>
      </c>
      <c r="Z64" s="183" t="n">
        <f aca="false">IF(AND($F64="Decision",OR($J64="—",$J64="")),1,0)</f>
        <v>0</v>
      </c>
      <c r="AA64" s="180" t="n">
        <f aca="false">IF(OR($J64="—",$J64=""),0,IF(COUNTIF(Decisions!$A$5:$A$300,$J64)=0,1,0))</f>
        <v>0</v>
      </c>
      <c r="AB64" s="183" t="n">
        <f aca="false">IF(AND($F64="原始數據",$S64&lt;&gt;"Active"),1,0)</f>
        <v>0</v>
      </c>
      <c r="AC64" s="183" t="n">
        <f aca="false">IF(AND(ISNUMBER($K64),ISNUMBER($L64),ISNUMBER($Q64)),IF(OR($Q64&lt;MIN($K64,$L64),$Q64&gt;MAX($K64,$L64)),1,0),0)</f>
        <v>0</v>
      </c>
      <c r="AD64" s="183" t="n">
        <f aca="false">IF(AND(ISNUMBER($T64),$P64="高"),IF($T64=3,1,0),0)</f>
        <v>0</v>
      </c>
      <c r="AE64" s="183" t="n">
        <f aca="false">IF($S64="不存在",1,0)</f>
        <v>0</v>
      </c>
      <c r="AF64" s="34" t="n">
        <f aca="false">IF(OR($H64="—",$H64=""),"—",MATCH($H64,IDX_SrcID,0))</f>
        <v>122</v>
      </c>
    </row>
    <row r="65" customFormat="false" ht="29.25" hidden="false" customHeight="true" outlineLevel="0" collapsed="false">
      <c r="A65" s="35" t="s">
        <v>2818</v>
      </c>
      <c r="B65" s="209" t="s">
        <v>2677</v>
      </c>
      <c r="C65" s="35" t="s">
        <v>2678</v>
      </c>
      <c r="D65" s="35" t="s">
        <v>2819</v>
      </c>
      <c r="E65" s="18" t="s">
        <v>109</v>
      </c>
      <c r="F65" s="35" t="s">
        <v>72</v>
      </c>
      <c r="G65" s="209" t="s">
        <v>57</v>
      </c>
      <c r="H65" s="35" t="s">
        <v>571</v>
      </c>
      <c r="I65" s="6" t="s">
        <v>571</v>
      </c>
      <c r="J65" s="35" t="s">
        <v>571</v>
      </c>
      <c r="K65" s="211" t="n">
        <v>25</v>
      </c>
      <c r="L65" s="211" t="n">
        <v>40</v>
      </c>
      <c r="M65" s="35" t="s">
        <v>2820</v>
      </c>
      <c r="N65" s="18" t="s">
        <v>2821</v>
      </c>
      <c r="O65" s="6" t="s">
        <v>2772</v>
      </c>
      <c r="P65" s="209" t="s">
        <v>1099</v>
      </c>
      <c r="Q65" s="40" t="n">
        <f aca="false">Inputs!E24</f>
        <v>30</v>
      </c>
      <c r="R65" s="35" t="s">
        <v>571</v>
      </c>
      <c r="S65" s="34" t="str">
        <f aca="false">IF(ISNUMBER($AF65),INDEX(IDX_SrcStat,$AF65),"—")</f>
        <v>—</v>
      </c>
      <c r="T65" s="34" t="str">
        <f aca="false">IF(ISNUMBER($AF65),INDEX(IDX_SrcGrade,$AF65),"—")</f>
        <v>—</v>
      </c>
      <c r="U65" s="34" t="s">
        <v>2683</v>
      </c>
      <c r="V65" s="183" t="n">
        <f aca="false">IF(AND($F65="原始數據",$U65&lt;&gt;"連結 SRC"),1,0)</f>
        <v>0</v>
      </c>
      <c r="W65" s="183" t="n">
        <f aca="false">IF(AND($F65="Analogy",OR($H65="—",$H65="")),1,0)</f>
        <v>0</v>
      </c>
      <c r="X65" s="183" t="n">
        <f aca="false">IF(AND(OR($F65="Analogy",$F65="Assumed"),$G65&lt;&gt;"低",$G65&lt;&gt;"高",NOT(ISNUMBER($K65)),NOT(ISNUMBER($L65)),OR($M65="—",$M65="")),1,0)</f>
        <v>0</v>
      </c>
      <c r="Y65" s="183" t="n">
        <f aca="false">IF(AND(OR($F65="Analogy",$F65="Assumed",$F65="Derived（待改公式）",$F65="Derived（公式）"),OR($N65="—",$N65="",$N65=0)),1,0)</f>
        <v>0</v>
      </c>
      <c r="Z65" s="183" t="n">
        <f aca="false">IF(AND($F65="Decision",OR($J65="—",$J65="")),1,0)</f>
        <v>0</v>
      </c>
      <c r="AA65" s="180" t="n">
        <f aca="false">IF(OR($J65="—",$J65=""),0,IF(COUNTIF(Decisions!$A$5:$A$300,$J65)=0,1,0))</f>
        <v>0</v>
      </c>
      <c r="AB65" s="183" t="n">
        <f aca="false">IF(AND($F65="原始數據",$S65&lt;&gt;"Active"),1,0)</f>
        <v>0</v>
      </c>
      <c r="AC65" s="183" t="n">
        <f aca="false">IF(AND(ISNUMBER($K65),ISNUMBER($L65),ISNUMBER($Q65)),IF(OR($Q65&lt;MIN($K65,$L65),$Q65&gt;MAX($K65,$L65)),1,0),0)</f>
        <v>0</v>
      </c>
      <c r="AD65" s="183" t="n">
        <f aca="false">IF(AND(ISNUMBER($T65),$P65="高"),IF($T65=3,1,0),0)</f>
        <v>0</v>
      </c>
      <c r="AE65" s="183" t="n">
        <f aca="false">IF($S65="不存在",1,0)</f>
        <v>0</v>
      </c>
      <c r="AF65" s="34" t="str">
        <f aca="false">IF(OR($H65="—",$H65=""),"—",MATCH($H65,IDX_SrcID,0))</f>
        <v>—</v>
      </c>
    </row>
    <row r="66" customFormat="false" ht="29.25" hidden="false" customHeight="true" outlineLevel="0" collapsed="false">
      <c r="A66" s="35" t="s">
        <v>2822</v>
      </c>
      <c r="B66" s="209" t="s">
        <v>2677</v>
      </c>
      <c r="C66" s="35" t="s">
        <v>2678</v>
      </c>
      <c r="D66" s="35" t="s">
        <v>2823</v>
      </c>
      <c r="E66" s="18" t="s">
        <v>111</v>
      </c>
      <c r="F66" s="35" t="s">
        <v>72</v>
      </c>
      <c r="G66" s="209" t="s">
        <v>57</v>
      </c>
      <c r="H66" s="35" t="s">
        <v>571</v>
      </c>
      <c r="I66" s="6" t="s">
        <v>571</v>
      </c>
      <c r="J66" s="35" t="s">
        <v>571</v>
      </c>
      <c r="K66" s="211" t="n">
        <v>15</v>
      </c>
      <c r="L66" s="211" t="n">
        <v>25</v>
      </c>
      <c r="M66" s="35" t="s">
        <v>2824</v>
      </c>
      <c r="N66" s="18" t="s">
        <v>2825</v>
      </c>
      <c r="O66" s="6" t="s">
        <v>2772</v>
      </c>
      <c r="P66" s="209" t="s">
        <v>1099</v>
      </c>
      <c r="Q66" s="40" t="n">
        <f aca="false">Inputs!E25</f>
        <v>20</v>
      </c>
      <c r="R66" s="35" t="s">
        <v>571</v>
      </c>
      <c r="S66" s="34" t="str">
        <f aca="false">IF(ISNUMBER($AF66),INDEX(IDX_SrcStat,$AF66),"—")</f>
        <v>—</v>
      </c>
      <c r="T66" s="34" t="str">
        <f aca="false">IF(ISNUMBER($AF66),INDEX(IDX_SrcGrade,$AF66),"—")</f>
        <v>—</v>
      </c>
      <c r="U66" s="34" t="s">
        <v>2683</v>
      </c>
      <c r="V66" s="183" t="n">
        <f aca="false">IF(AND($F66="原始數據",$U66&lt;&gt;"連結 SRC"),1,0)</f>
        <v>0</v>
      </c>
      <c r="W66" s="183" t="n">
        <f aca="false">IF(AND($F66="Analogy",OR($H66="—",$H66="")),1,0)</f>
        <v>0</v>
      </c>
      <c r="X66" s="183" t="n">
        <f aca="false">IF(AND(OR($F66="Analogy",$F66="Assumed"),$G66&lt;&gt;"低",$G66&lt;&gt;"高",NOT(ISNUMBER($K66)),NOT(ISNUMBER($L66)),OR($M66="—",$M66="")),1,0)</f>
        <v>0</v>
      </c>
      <c r="Y66" s="183" t="n">
        <f aca="false">IF(AND(OR($F66="Analogy",$F66="Assumed",$F66="Derived（待改公式）",$F66="Derived（公式）"),OR($N66="—",$N66="",$N66=0)),1,0)</f>
        <v>0</v>
      </c>
      <c r="Z66" s="183" t="n">
        <f aca="false">IF(AND($F66="Decision",OR($J66="—",$J66="")),1,0)</f>
        <v>0</v>
      </c>
      <c r="AA66" s="180" t="n">
        <f aca="false">IF(OR($J66="—",$J66=""),0,IF(COUNTIF(Decisions!$A$5:$A$300,$J66)=0,1,0))</f>
        <v>0</v>
      </c>
      <c r="AB66" s="183" t="n">
        <f aca="false">IF(AND($F66="原始數據",$S66&lt;&gt;"Active"),1,0)</f>
        <v>0</v>
      </c>
      <c r="AC66" s="183" t="n">
        <f aca="false">IF(AND(ISNUMBER($K66),ISNUMBER($L66),ISNUMBER($Q66)),IF(OR($Q66&lt;MIN($K66,$L66),$Q66&gt;MAX($K66,$L66)),1,0),0)</f>
        <v>0</v>
      </c>
      <c r="AD66" s="183" t="n">
        <f aca="false">IF(AND(ISNUMBER($T66),$P66="高"),IF($T66=3,1,0),0)</f>
        <v>0</v>
      </c>
      <c r="AE66" s="183" t="n">
        <f aca="false">IF($S66="不存在",1,0)</f>
        <v>0</v>
      </c>
      <c r="AF66" s="34" t="str">
        <f aca="false">IF(OR($H66="—",$H66=""),"—",MATCH($H66,IDX_SrcID,0))</f>
        <v>—</v>
      </c>
    </row>
    <row r="67" customFormat="false" ht="29.25" hidden="false" customHeight="true" outlineLevel="0" collapsed="false">
      <c r="A67" s="35" t="s">
        <v>2826</v>
      </c>
      <c r="B67" s="209" t="s">
        <v>2677</v>
      </c>
      <c r="C67" s="35" t="s">
        <v>2678</v>
      </c>
      <c r="D67" s="35" t="s">
        <v>2827</v>
      </c>
      <c r="E67" s="18" t="s">
        <v>112</v>
      </c>
      <c r="F67" s="35" t="s">
        <v>72</v>
      </c>
      <c r="G67" s="209" t="s">
        <v>57</v>
      </c>
      <c r="H67" s="35" t="s">
        <v>571</v>
      </c>
      <c r="I67" s="6" t="s">
        <v>571</v>
      </c>
      <c r="J67" s="35" t="s">
        <v>571</v>
      </c>
      <c r="K67" s="211" t="n">
        <v>10</v>
      </c>
      <c r="L67" s="211" t="n">
        <v>20</v>
      </c>
      <c r="M67" s="35" t="s">
        <v>2828</v>
      </c>
      <c r="N67" s="18" t="s">
        <v>2829</v>
      </c>
      <c r="O67" s="6" t="s">
        <v>2772</v>
      </c>
      <c r="P67" s="209" t="s">
        <v>1099</v>
      </c>
      <c r="Q67" s="40" t="n">
        <f aca="false">Inputs!E26</f>
        <v>15</v>
      </c>
      <c r="R67" s="35" t="s">
        <v>571</v>
      </c>
      <c r="S67" s="34" t="str">
        <f aca="false">IF(ISNUMBER($AF67),INDEX(IDX_SrcStat,$AF67),"—")</f>
        <v>—</v>
      </c>
      <c r="T67" s="34" t="str">
        <f aca="false">IF(ISNUMBER($AF67),INDEX(IDX_SrcGrade,$AF67),"—")</f>
        <v>—</v>
      </c>
      <c r="U67" s="34" t="s">
        <v>2683</v>
      </c>
      <c r="V67" s="183" t="n">
        <f aca="false">IF(AND($F67="原始數據",$U67&lt;&gt;"連結 SRC"),1,0)</f>
        <v>0</v>
      </c>
      <c r="W67" s="183" t="n">
        <f aca="false">IF(AND($F67="Analogy",OR($H67="—",$H67="")),1,0)</f>
        <v>0</v>
      </c>
      <c r="X67" s="183" t="n">
        <f aca="false">IF(AND(OR($F67="Analogy",$F67="Assumed"),$G67&lt;&gt;"低",$G67&lt;&gt;"高",NOT(ISNUMBER($K67)),NOT(ISNUMBER($L67)),OR($M67="—",$M67="")),1,0)</f>
        <v>0</v>
      </c>
      <c r="Y67" s="183" t="n">
        <f aca="false">IF(AND(OR($F67="Analogy",$F67="Assumed",$F67="Derived（待改公式）",$F67="Derived（公式）"),OR($N67="—",$N67="",$N67=0)),1,0)</f>
        <v>0</v>
      </c>
      <c r="Z67" s="183" t="n">
        <f aca="false">IF(AND($F67="Decision",OR($J67="—",$J67="")),1,0)</f>
        <v>0</v>
      </c>
      <c r="AA67" s="180" t="n">
        <f aca="false">IF(OR($J67="—",$J67=""),0,IF(COUNTIF(Decisions!$A$5:$A$300,$J67)=0,1,0))</f>
        <v>0</v>
      </c>
      <c r="AB67" s="183" t="n">
        <f aca="false">IF(AND($F67="原始數據",$S67&lt;&gt;"Active"),1,0)</f>
        <v>0</v>
      </c>
      <c r="AC67" s="183" t="n">
        <f aca="false">IF(AND(ISNUMBER($K67),ISNUMBER($L67),ISNUMBER($Q67)),IF(OR($Q67&lt;MIN($K67,$L67),$Q67&gt;MAX($K67,$L67)),1,0),0)</f>
        <v>0</v>
      </c>
      <c r="AD67" s="183" t="n">
        <f aca="false">IF(AND(ISNUMBER($T67),$P67="高"),IF($T67=3,1,0),0)</f>
        <v>0</v>
      </c>
      <c r="AE67" s="183" t="n">
        <f aca="false">IF($S67="不存在",1,0)</f>
        <v>0</v>
      </c>
      <c r="AF67" s="34" t="str">
        <f aca="false">IF(OR($H67="—",$H67=""),"—",MATCH($H67,IDX_SrcID,0))</f>
        <v>—</v>
      </c>
    </row>
    <row r="68" customFormat="false" ht="29.25" hidden="false" customHeight="true" outlineLevel="0" collapsed="false">
      <c r="A68" s="35" t="s">
        <v>2830</v>
      </c>
      <c r="B68" s="209" t="s">
        <v>2677</v>
      </c>
      <c r="C68" s="35" t="s">
        <v>2678</v>
      </c>
      <c r="D68" s="35" t="s">
        <v>2831</v>
      </c>
      <c r="E68" s="18" t="s">
        <v>113</v>
      </c>
      <c r="F68" s="35" t="s">
        <v>72</v>
      </c>
      <c r="G68" s="209" t="s">
        <v>57</v>
      </c>
      <c r="H68" s="35" t="s">
        <v>571</v>
      </c>
      <c r="I68" s="6" t="s">
        <v>571</v>
      </c>
      <c r="J68" s="35" t="s">
        <v>571</v>
      </c>
      <c r="K68" s="211" t="n">
        <v>7</v>
      </c>
      <c r="L68" s="211" t="n">
        <v>15</v>
      </c>
      <c r="M68" s="35" t="s">
        <v>2832</v>
      </c>
      <c r="N68" s="18" t="s">
        <v>2833</v>
      </c>
      <c r="O68" s="6" t="s">
        <v>2772</v>
      </c>
      <c r="P68" s="209" t="s">
        <v>1099</v>
      </c>
      <c r="Q68" s="40" t="n">
        <f aca="false">Inputs!E27</f>
        <v>10</v>
      </c>
      <c r="R68" s="35" t="s">
        <v>571</v>
      </c>
      <c r="S68" s="34" t="str">
        <f aca="false">IF(ISNUMBER($AF68),INDEX(IDX_SrcStat,$AF68),"—")</f>
        <v>—</v>
      </c>
      <c r="T68" s="34" t="str">
        <f aca="false">IF(ISNUMBER($AF68),INDEX(IDX_SrcGrade,$AF68),"—")</f>
        <v>—</v>
      </c>
      <c r="U68" s="34" t="s">
        <v>2683</v>
      </c>
      <c r="V68" s="183" t="n">
        <f aca="false">IF(AND($F68="原始數據",$U68&lt;&gt;"連結 SRC"),1,0)</f>
        <v>0</v>
      </c>
      <c r="W68" s="183" t="n">
        <f aca="false">IF(AND($F68="Analogy",OR($H68="—",$H68="")),1,0)</f>
        <v>0</v>
      </c>
      <c r="X68" s="183" t="n">
        <f aca="false">IF(AND(OR($F68="Analogy",$F68="Assumed"),$G68&lt;&gt;"低",$G68&lt;&gt;"高",NOT(ISNUMBER($K68)),NOT(ISNUMBER($L68)),OR($M68="—",$M68="")),1,0)</f>
        <v>0</v>
      </c>
      <c r="Y68" s="183" t="n">
        <f aca="false">IF(AND(OR($F68="Analogy",$F68="Assumed",$F68="Derived（待改公式）",$F68="Derived（公式）"),OR($N68="—",$N68="",$N68=0)),1,0)</f>
        <v>0</v>
      </c>
      <c r="Z68" s="183" t="n">
        <f aca="false">IF(AND($F68="Decision",OR($J68="—",$J68="")),1,0)</f>
        <v>0</v>
      </c>
      <c r="AA68" s="180" t="n">
        <f aca="false">IF(OR($J68="—",$J68=""),0,IF(COUNTIF(Decisions!$A$5:$A$300,$J68)=0,1,0))</f>
        <v>0</v>
      </c>
      <c r="AB68" s="183" t="n">
        <f aca="false">IF(AND($F68="原始數據",$S68&lt;&gt;"Active"),1,0)</f>
        <v>0</v>
      </c>
      <c r="AC68" s="183" t="n">
        <f aca="false">IF(AND(ISNUMBER($K68),ISNUMBER($L68),ISNUMBER($Q68)),IF(OR($Q68&lt;MIN($K68,$L68),$Q68&gt;MAX($K68,$L68)),1,0),0)</f>
        <v>0</v>
      </c>
      <c r="AD68" s="183" t="n">
        <f aca="false">IF(AND(ISNUMBER($T68),$P68="高"),IF($T68=3,1,0),0)</f>
        <v>0</v>
      </c>
      <c r="AE68" s="183" t="n">
        <f aca="false">IF($S68="不存在",1,0)</f>
        <v>0</v>
      </c>
      <c r="AF68" s="34" t="str">
        <f aca="false">IF(OR($H68="—",$H68=""),"—",MATCH($H68,IDX_SrcID,0))</f>
        <v>—</v>
      </c>
    </row>
    <row r="69" customFormat="false" ht="15" hidden="false" customHeight="true" outlineLevel="0" collapsed="false">
      <c r="A69" s="35" t="s">
        <v>2834</v>
      </c>
      <c r="B69" s="209" t="s">
        <v>2677</v>
      </c>
      <c r="C69" s="35" t="s">
        <v>2835</v>
      </c>
      <c r="D69" s="35" t="s">
        <v>2836</v>
      </c>
      <c r="E69" s="6" t="s">
        <v>149</v>
      </c>
      <c r="F69" s="35" t="s">
        <v>64</v>
      </c>
      <c r="G69" s="209" t="s">
        <v>2679</v>
      </c>
      <c r="H69" s="35" t="s">
        <v>571</v>
      </c>
      <c r="I69" s="6" t="s">
        <v>571</v>
      </c>
      <c r="J69" s="35" t="s">
        <v>2837</v>
      </c>
      <c r="K69" s="209"/>
      <c r="L69" s="209"/>
      <c r="M69" s="35" t="s">
        <v>571</v>
      </c>
      <c r="N69" s="6" t="s">
        <v>2838</v>
      </c>
      <c r="O69" s="6" t="s">
        <v>571</v>
      </c>
      <c r="P69" s="209" t="s">
        <v>1100</v>
      </c>
      <c r="Q69" s="40" t="n">
        <f aca="false">Spec_Rack!C6</f>
        <v>32</v>
      </c>
      <c r="R69" s="35" t="s">
        <v>571</v>
      </c>
      <c r="S69" s="34" t="str">
        <f aca="false">IF(ISNUMBER($AF69),INDEX(IDX_SrcStat,$AF69),"—")</f>
        <v>—</v>
      </c>
      <c r="T69" s="34" t="str">
        <f aca="false">IF(ISNUMBER($AF69),INDEX(IDX_SrcGrade,$AF69),"—")</f>
        <v>—</v>
      </c>
      <c r="U69" s="34" t="s">
        <v>2683</v>
      </c>
      <c r="V69" s="183" t="n">
        <f aca="false">IF(AND($F69="原始數據",$U69&lt;&gt;"連結 SRC"),1,0)</f>
        <v>0</v>
      </c>
      <c r="W69" s="183" t="n">
        <f aca="false">IF(AND($F69="Analogy",OR($H69="—",$H69="")),1,0)</f>
        <v>0</v>
      </c>
      <c r="X69" s="183" t="n">
        <f aca="false">IF(AND(OR($F69="Analogy",$F69="Assumed"),$G69&lt;&gt;"低",$G69&lt;&gt;"高",NOT(ISNUMBER($K69)),NOT(ISNUMBER($L69)),OR($M69="—",$M69="")),1,0)</f>
        <v>0</v>
      </c>
      <c r="Y69" s="183" t="n">
        <f aca="false">IF(AND(OR($F69="Analogy",$F69="Assumed",$F69="Derived（待改公式）",$F69="Derived（公式）"),OR($N69="—",$N69="",$N69=0)),1,0)</f>
        <v>0</v>
      </c>
      <c r="Z69" s="183" t="n">
        <f aca="false">IF(AND($F69="Decision",OR($J69="—",$J69="")),1,0)</f>
        <v>0</v>
      </c>
      <c r="AA69" s="180" t="n">
        <f aca="false">IF(OR($J69="—",$J69=""),0,IF(COUNTIF(Decisions!$A$5:$A$300,$J69)=0,1,0))</f>
        <v>0</v>
      </c>
      <c r="AB69" s="183" t="n">
        <f aca="false">IF(AND($F69="原始數據",$S69&lt;&gt;"Active"),1,0)</f>
        <v>0</v>
      </c>
      <c r="AC69" s="183" t="n">
        <f aca="false">IF(AND(ISNUMBER($K69),ISNUMBER($L69),ISNUMBER($Q69)),IF(OR($Q69&lt;MIN($K69,$L69),$Q69&gt;MAX($K69,$L69)),1,0),0)</f>
        <v>0</v>
      </c>
      <c r="AD69" s="183" t="n">
        <f aca="false">IF(AND(ISNUMBER($T69),$P69="高"),IF($T69=3,1,0),0)</f>
        <v>0</v>
      </c>
      <c r="AE69" s="183" t="n">
        <f aca="false">IF($S69="不存在",1,0)</f>
        <v>0</v>
      </c>
      <c r="AF69" s="34" t="str">
        <f aca="false">IF(OR($H69="—",$H69=""),"—",MATCH($H69,IDX_SrcID,0))</f>
        <v>—</v>
      </c>
    </row>
    <row r="70" customFormat="false" ht="15" hidden="false" customHeight="true" outlineLevel="0" collapsed="false">
      <c r="A70" s="35" t="s">
        <v>2839</v>
      </c>
      <c r="B70" s="209" t="s">
        <v>2677</v>
      </c>
      <c r="C70" s="35" t="s">
        <v>2835</v>
      </c>
      <c r="D70" s="35" t="s">
        <v>2840</v>
      </c>
      <c r="E70" s="6" t="s">
        <v>149</v>
      </c>
      <c r="F70" s="209" t="s">
        <v>290</v>
      </c>
      <c r="G70" s="209" t="s">
        <v>2679</v>
      </c>
      <c r="H70" s="35" t="s">
        <v>2841</v>
      </c>
      <c r="I70" s="18" t="s">
        <v>2714</v>
      </c>
      <c r="J70" s="35" t="s">
        <v>571</v>
      </c>
      <c r="K70" s="209"/>
      <c r="L70" s="209"/>
      <c r="M70" s="35" t="s">
        <v>571</v>
      </c>
      <c r="N70" s="18" t="s">
        <v>2812</v>
      </c>
      <c r="O70" s="6" t="s">
        <v>571</v>
      </c>
      <c r="P70" s="209" t="s">
        <v>1100</v>
      </c>
      <c r="Q70" s="40" t="n">
        <f aca="false">Spec_Rack!D6</f>
        <v>72</v>
      </c>
      <c r="R70" s="182" t="n">
        <f aca="false">SRC_HW_047</f>
        <v>72</v>
      </c>
      <c r="S70" s="34" t="str">
        <f aca="false">IF(ISNUMBER($AF70),INDEX(IDX_SrcStat,$AF70),"—")</f>
        <v>Active</v>
      </c>
      <c r="T70" s="34" t="n">
        <f aca="false">IF(ISNUMBER($AF70),INDEX(IDX_SrcGrade,$AF70),"—")</f>
        <v>1</v>
      </c>
      <c r="U70" s="34" t="s">
        <v>2716</v>
      </c>
      <c r="V70" s="183" t="n">
        <f aca="false">IF(AND($F70="原始數據",$U70&lt;&gt;"連結 SRC"),1,0)</f>
        <v>0</v>
      </c>
      <c r="W70" s="183" t="n">
        <f aca="false">IF(AND($F70="Analogy",OR($H70="—",$H70="")),1,0)</f>
        <v>0</v>
      </c>
      <c r="X70" s="183" t="n">
        <f aca="false">IF(AND(OR($F70="Analogy",$F70="Assumed"),$G70&lt;&gt;"低",$G70&lt;&gt;"高",NOT(ISNUMBER($K70)),NOT(ISNUMBER($L70)),OR($M70="—",$M70="")),1,0)</f>
        <v>0</v>
      </c>
      <c r="Y70" s="183" t="n">
        <f aca="false">IF(AND(OR($F70="Analogy",$F70="Assumed",$F70="Derived（待改公式）",$F70="Derived（公式）"),OR($N70="—",$N70="",$N70=0)),1,0)</f>
        <v>0</v>
      </c>
      <c r="Z70" s="183" t="n">
        <f aca="false">IF(AND($F70="Decision",OR($J70="—",$J70="")),1,0)</f>
        <v>0</v>
      </c>
      <c r="AA70" s="180" t="n">
        <f aca="false">IF(OR($J70="—",$J70=""),0,IF(COUNTIF(Decisions!$A$5:$A$300,$J70)=0,1,0))</f>
        <v>0</v>
      </c>
      <c r="AB70" s="183" t="n">
        <f aca="false">IF(AND($F70="原始數據",$S70&lt;&gt;"Active"),1,0)</f>
        <v>0</v>
      </c>
      <c r="AC70" s="183" t="n">
        <f aca="false">IF(AND(ISNUMBER($K70),ISNUMBER($L70),ISNUMBER($Q70)),IF(OR($Q70&lt;MIN($K70,$L70),$Q70&gt;MAX($K70,$L70)),1,0),0)</f>
        <v>0</v>
      </c>
      <c r="AD70" s="183" t="n">
        <f aca="false">IF(AND(ISNUMBER($T70),$P70="高"),IF($T70=3,1,0),0)</f>
        <v>0</v>
      </c>
      <c r="AE70" s="183" t="n">
        <f aca="false">IF($S70="不存在",1,0)</f>
        <v>0</v>
      </c>
      <c r="AF70" s="34" t="n">
        <f aca="false">IF(OR($H70="—",$H70=""),"—",MATCH($H70,IDX_SrcID,0))</f>
        <v>47</v>
      </c>
    </row>
    <row r="71" customFormat="false" ht="15" hidden="false" customHeight="true" outlineLevel="0" collapsed="false">
      <c r="A71" s="35" t="s">
        <v>2842</v>
      </c>
      <c r="B71" s="209" t="s">
        <v>2677</v>
      </c>
      <c r="C71" s="35" t="s">
        <v>2835</v>
      </c>
      <c r="D71" s="35" t="s">
        <v>2579</v>
      </c>
      <c r="E71" s="6" t="s">
        <v>149</v>
      </c>
      <c r="F71" s="209" t="s">
        <v>290</v>
      </c>
      <c r="G71" s="209" t="s">
        <v>2679</v>
      </c>
      <c r="H71" s="35" t="s">
        <v>2841</v>
      </c>
      <c r="I71" s="18" t="s">
        <v>2714</v>
      </c>
      <c r="J71" s="35" t="s">
        <v>571</v>
      </c>
      <c r="K71" s="209"/>
      <c r="L71" s="209"/>
      <c r="M71" s="35" t="s">
        <v>571</v>
      </c>
      <c r="N71" s="18" t="s">
        <v>2812</v>
      </c>
      <c r="O71" s="6" t="s">
        <v>571</v>
      </c>
      <c r="P71" s="209" t="s">
        <v>1100</v>
      </c>
      <c r="Q71" s="40" t="n">
        <f aca="false">Spec_Rack!E6</f>
        <v>72</v>
      </c>
      <c r="R71" s="182" t="n">
        <f aca="false">SRC_HW_047</f>
        <v>72</v>
      </c>
      <c r="S71" s="34" t="str">
        <f aca="false">IF(ISNUMBER($AF71),INDEX(IDX_SrcStat,$AF71),"—")</f>
        <v>Active</v>
      </c>
      <c r="T71" s="34" t="n">
        <f aca="false">IF(ISNUMBER($AF71),INDEX(IDX_SrcGrade,$AF71),"—")</f>
        <v>1</v>
      </c>
      <c r="U71" s="34" t="s">
        <v>2716</v>
      </c>
      <c r="V71" s="183" t="n">
        <f aca="false">IF(AND($F71="原始數據",$U71&lt;&gt;"連結 SRC"),1,0)</f>
        <v>0</v>
      </c>
      <c r="W71" s="183" t="n">
        <f aca="false">IF(AND($F71="Analogy",OR($H71="—",$H71="")),1,0)</f>
        <v>0</v>
      </c>
      <c r="X71" s="183" t="n">
        <f aca="false">IF(AND(OR($F71="Analogy",$F71="Assumed"),$G71&lt;&gt;"低",$G71&lt;&gt;"高",NOT(ISNUMBER($K71)),NOT(ISNUMBER($L71)),OR($M71="—",$M71="")),1,0)</f>
        <v>0</v>
      </c>
      <c r="Y71" s="183" t="n">
        <f aca="false">IF(AND(OR($F71="Analogy",$F71="Assumed",$F71="Derived（待改公式）",$F71="Derived（公式）"),OR($N71="—",$N71="",$N71=0)),1,0)</f>
        <v>0</v>
      </c>
      <c r="Z71" s="183" t="n">
        <f aca="false">IF(AND($F71="Decision",OR($J71="—",$J71="")),1,0)</f>
        <v>0</v>
      </c>
      <c r="AA71" s="180" t="n">
        <f aca="false">IF(OR($J71="—",$J71=""),0,IF(COUNTIF(Decisions!$A$5:$A$300,$J71)=0,1,0))</f>
        <v>0</v>
      </c>
      <c r="AB71" s="183" t="n">
        <f aca="false">IF(AND($F71="原始數據",$S71&lt;&gt;"Active"),1,0)</f>
        <v>0</v>
      </c>
      <c r="AC71" s="183" t="n">
        <f aca="false">IF(AND(ISNUMBER($K71),ISNUMBER($L71),ISNUMBER($Q71)),IF(OR($Q71&lt;MIN($K71,$L71),$Q71&gt;MAX($K71,$L71)),1,0),0)</f>
        <v>0</v>
      </c>
      <c r="AD71" s="183" t="n">
        <f aca="false">IF(AND(ISNUMBER($T71),$P71="高"),IF($T71=3,1,0),0)</f>
        <v>0</v>
      </c>
      <c r="AE71" s="183" t="n">
        <f aca="false">IF($S71="不存在",1,0)</f>
        <v>0</v>
      </c>
      <c r="AF71" s="34" t="n">
        <f aca="false">IF(OR($H71="—",$H71=""),"—",MATCH($H71,IDX_SrcID,0))</f>
        <v>47</v>
      </c>
    </row>
    <row r="72" customFormat="false" ht="15" hidden="false" customHeight="true" outlineLevel="0" collapsed="false">
      <c r="A72" s="35" t="s">
        <v>2843</v>
      </c>
      <c r="B72" s="209" t="s">
        <v>2677</v>
      </c>
      <c r="C72" s="35" t="s">
        <v>2835</v>
      </c>
      <c r="D72" s="35" t="s">
        <v>2844</v>
      </c>
      <c r="E72" s="6" t="s">
        <v>149</v>
      </c>
      <c r="F72" s="209" t="s">
        <v>290</v>
      </c>
      <c r="G72" s="209" t="s">
        <v>2679</v>
      </c>
      <c r="H72" s="35" t="s">
        <v>2841</v>
      </c>
      <c r="I72" s="18" t="s">
        <v>2714</v>
      </c>
      <c r="J72" s="35" t="s">
        <v>571</v>
      </c>
      <c r="K72" s="209"/>
      <c r="L72" s="209"/>
      <c r="M72" s="35" t="s">
        <v>571</v>
      </c>
      <c r="N72" s="18" t="s">
        <v>2812</v>
      </c>
      <c r="O72" s="6" t="s">
        <v>571</v>
      </c>
      <c r="P72" s="209" t="s">
        <v>1100</v>
      </c>
      <c r="Q72" s="40" t="n">
        <f aca="false">Spec_Rack!F6</f>
        <v>72</v>
      </c>
      <c r="R72" s="182" t="n">
        <f aca="false">SRC_HW_047</f>
        <v>72</v>
      </c>
      <c r="S72" s="34" t="str">
        <f aca="false">IF(ISNUMBER($AF72),INDEX(IDX_SrcStat,$AF72),"—")</f>
        <v>Active</v>
      </c>
      <c r="T72" s="34" t="n">
        <f aca="false">IF(ISNUMBER($AF72),INDEX(IDX_SrcGrade,$AF72),"—")</f>
        <v>1</v>
      </c>
      <c r="U72" s="34" t="s">
        <v>2716</v>
      </c>
      <c r="V72" s="183" t="n">
        <f aca="false">IF(AND($F72="原始數據",$U72&lt;&gt;"連結 SRC"),1,0)</f>
        <v>0</v>
      </c>
      <c r="W72" s="183" t="n">
        <f aca="false">IF(AND($F72="Analogy",OR($H72="—",$H72="")),1,0)</f>
        <v>0</v>
      </c>
      <c r="X72" s="183" t="n">
        <f aca="false">IF(AND(OR($F72="Analogy",$F72="Assumed"),$G72&lt;&gt;"低",$G72&lt;&gt;"高",NOT(ISNUMBER($K72)),NOT(ISNUMBER($L72)),OR($M72="—",$M72="")),1,0)</f>
        <v>0</v>
      </c>
      <c r="Y72" s="183" t="n">
        <f aca="false">IF(AND(OR($F72="Analogy",$F72="Assumed",$F72="Derived（待改公式）",$F72="Derived（公式）"),OR($N72="—",$N72="",$N72=0)),1,0)</f>
        <v>0</v>
      </c>
      <c r="Z72" s="183" t="n">
        <f aca="false">IF(AND($F72="Decision",OR($J72="—",$J72="")),1,0)</f>
        <v>0</v>
      </c>
      <c r="AA72" s="180" t="n">
        <f aca="false">IF(OR($J72="—",$J72=""),0,IF(COUNTIF(Decisions!$A$5:$A$300,$J72)=0,1,0))</f>
        <v>0</v>
      </c>
      <c r="AB72" s="183" t="n">
        <f aca="false">IF(AND($F72="原始數據",$S72&lt;&gt;"Active"),1,0)</f>
        <v>0</v>
      </c>
      <c r="AC72" s="183" t="n">
        <f aca="false">IF(AND(ISNUMBER($K72),ISNUMBER($L72),ISNUMBER($Q72)),IF(OR($Q72&lt;MIN($K72,$L72),$Q72&gt;MAX($K72,$L72)),1,0),0)</f>
        <v>0</v>
      </c>
      <c r="AD72" s="183" t="n">
        <f aca="false">IF(AND(ISNUMBER($T72),$P72="高"),IF($T72=3,1,0),0)</f>
        <v>0</v>
      </c>
      <c r="AE72" s="183" t="n">
        <f aca="false">IF($S72="不存在",1,0)</f>
        <v>0</v>
      </c>
      <c r="AF72" s="34" t="n">
        <f aca="false">IF(OR($H72="—",$H72=""),"—",MATCH($H72,IDX_SrcID,0))</f>
        <v>47</v>
      </c>
    </row>
    <row r="73" customFormat="false" ht="15" hidden="false" customHeight="true" outlineLevel="0" collapsed="false">
      <c r="A73" s="35" t="s">
        <v>2845</v>
      </c>
      <c r="B73" s="209" t="s">
        <v>2677</v>
      </c>
      <c r="C73" s="35" t="s">
        <v>2835</v>
      </c>
      <c r="D73" s="35" t="s">
        <v>2846</v>
      </c>
      <c r="E73" s="6" t="s">
        <v>149</v>
      </c>
      <c r="F73" s="209" t="s">
        <v>290</v>
      </c>
      <c r="G73" s="209" t="s">
        <v>2679</v>
      </c>
      <c r="H73" s="35" t="s">
        <v>2847</v>
      </c>
      <c r="I73" s="18" t="s">
        <v>2714</v>
      </c>
      <c r="J73" s="35" t="s">
        <v>571</v>
      </c>
      <c r="K73" s="209"/>
      <c r="L73" s="209"/>
      <c r="M73" s="35" t="s">
        <v>571</v>
      </c>
      <c r="N73" s="18" t="s">
        <v>2812</v>
      </c>
      <c r="O73" s="6" t="s">
        <v>571</v>
      </c>
      <c r="P73" s="209" t="s">
        <v>1100</v>
      </c>
      <c r="Q73" s="40" t="n">
        <f aca="false">Spec_Rack!G6</f>
        <v>72</v>
      </c>
      <c r="R73" s="182" t="n">
        <f aca="false">SRC_HW_061</f>
        <v>72</v>
      </c>
      <c r="S73" s="34" t="str">
        <f aca="false">IF(ISNUMBER($AF73),INDEX(IDX_SrcStat,$AF73),"—")</f>
        <v>Active</v>
      </c>
      <c r="T73" s="34" t="n">
        <f aca="false">IF(ISNUMBER($AF73),INDEX(IDX_SrcGrade,$AF73),"—")</f>
        <v>1</v>
      </c>
      <c r="U73" s="34" t="s">
        <v>2716</v>
      </c>
      <c r="V73" s="183" t="n">
        <f aca="false">IF(AND($F73="原始數據",$U73&lt;&gt;"連結 SRC"),1,0)</f>
        <v>0</v>
      </c>
      <c r="W73" s="183" t="n">
        <f aca="false">IF(AND($F73="Analogy",OR($H73="—",$H73="")),1,0)</f>
        <v>0</v>
      </c>
      <c r="X73" s="183" t="n">
        <f aca="false">IF(AND(OR($F73="Analogy",$F73="Assumed"),$G73&lt;&gt;"低",$G73&lt;&gt;"高",NOT(ISNUMBER($K73)),NOT(ISNUMBER($L73)),OR($M73="—",$M73="")),1,0)</f>
        <v>0</v>
      </c>
      <c r="Y73" s="183" t="n">
        <f aca="false">IF(AND(OR($F73="Analogy",$F73="Assumed",$F73="Derived（待改公式）",$F73="Derived（公式）"),OR($N73="—",$N73="",$N73=0)),1,0)</f>
        <v>0</v>
      </c>
      <c r="Z73" s="183" t="n">
        <f aca="false">IF(AND($F73="Decision",OR($J73="—",$J73="")),1,0)</f>
        <v>0</v>
      </c>
      <c r="AA73" s="180" t="n">
        <f aca="false">IF(OR($J73="—",$J73=""),0,IF(COUNTIF(Decisions!$A$5:$A$300,$J73)=0,1,0))</f>
        <v>0</v>
      </c>
      <c r="AB73" s="183" t="n">
        <f aca="false">IF(AND($F73="原始數據",$S73&lt;&gt;"Active"),1,0)</f>
        <v>0</v>
      </c>
      <c r="AC73" s="183" t="n">
        <f aca="false">IF(AND(ISNUMBER($K73),ISNUMBER($L73),ISNUMBER($Q73)),IF(OR($Q73&lt;MIN($K73,$L73),$Q73&gt;MAX($K73,$L73)),1,0),0)</f>
        <v>0</v>
      </c>
      <c r="AD73" s="183" t="n">
        <f aca="false">IF(AND(ISNUMBER($T73),$P73="高"),IF($T73=3,1,0),0)</f>
        <v>0</v>
      </c>
      <c r="AE73" s="183" t="n">
        <f aca="false">IF($S73="不存在",1,0)</f>
        <v>0</v>
      </c>
      <c r="AF73" s="34" t="n">
        <f aca="false">IF(OR($H73="—",$H73=""),"—",MATCH($H73,IDX_SrcID,0))</f>
        <v>61</v>
      </c>
    </row>
    <row r="74" customFormat="false" ht="29.25" hidden="false" customHeight="true" outlineLevel="0" collapsed="false">
      <c r="A74" s="35" t="s">
        <v>2848</v>
      </c>
      <c r="B74" s="209" t="s">
        <v>2677</v>
      </c>
      <c r="C74" s="35" t="s">
        <v>2835</v>
      </c>
      <c r="D74" s="35" t="s">
        <v>2849</v>
      </c>
      <c r="E74" s="18" t="s">
        <v>154</v>
      </c>
      <c r="F74" s="35" t="s">
        <v>72</v>
      </c>
      <c r="G74" s="209" t="s">
        <v>1099</v>
      </c>
      <c r="H74" s="35" t="s">
        <v>571</v>
      </c>
      <c r="I74" s="6" t="s">
        <v>571</v>
      </c>
      <c r="J74" s="35" t="s">
        <v>571</v>
      </c>
      <c r="K74" s="209"/>
      <c r="L74" s="209"/>
      <c r="M74" s="35" t="s">
        <v>571</v>
      </c>
      <c r="N74" s="6" t="s">
        <v>2850</v>
      </c>
      <c r="O74" s="6" t="s">
        <v>571</v>
      </c>
      <c r="P74" s="209" t="s">
        <v>2682</v>
      </c>
      <c r="Q74" s="40" t="n">
        <f aca="false">Spec_Rack!C8</f>
        <v>38</v>
      </c>
      <c r="R74" s="35" t="s">
        <v>571</v>
      </c>
      <c r="S74" s="34" t="str">
        <f aca="false">IF(ISNUMBER($AF74),INDEX(IDX_SrcStat,$AF74),"—")</f>
        <v>—</v>
      </c>
      <c r="T74" s="34" t="str">
        <f aca="false">IF(ISNUMBER($AF74),INDEX(IDX_SrcGrade,$AF74),"—")</f>
        <v>—</v>
      </c>
      <c r="U74" s="34" t="s">
        <v>2683</v>
      </c>
      <c r="V74" s="183" t="n">
        <f aca="false">IF(AND($F74="原始數據",$U74&lt;&gt;"連結 SRC"),1,0)</f>
        <v>0</v>
      </c>
      <c r="W74" s="183" t="n">
        <f aca="false">IF(AND($F74="Analogy",OR($H74="—",$H74="")),1,0)</f>
        <v>0</v>
      </c>
      <c r="X74" s="183" t="n">
        <f aca="false">IF(AND(OR($F74="Analogy",$F74="Assumed"),$G74&lt;&gt;"低",$G74&lt;&gt;"高",NOT(ISNUMBER($K74)),NOT(ISNUMBER($L74)),OR($M74="—",$M74="")),1,0)</f>
        <v>0</v>
      </c>
      <c r="Y74" s="183" t="n">
        <f aca="false">IF(AND(OR($F74="Analogy",$F74="Assumed",$F74="Derived（待改公式）",$F74="Derived（公式）"),OR($N74="—",$N74="",$N74=0)),1,0)</f>
        <v>0</v>
      </c>
      <c r="Z74" s="183" t="n">
        <f aca="false">IF(AND($F74="Decision",OR($J74="—",$J74="")),1,0)</f>
        <v>0</v>
      </c>
      <c r="AA74" s="180" t="n">
        <f aca="false">IF(OR($J74="—",$J74=""),0,IF(COUNTIF(Decisions!$A$5:$A$300,$J74)=0,1,0))</f>
        <v>0</v>
      </c>
      <c r="AB74" s="183" t="n">
        <f aca="false">IF(AND($F74="原始數據",$S74&lt;&gt;"Active"),1,0)</f>
        <v>0</v>
      </c>
      <c r="AC74" s="183" t="n">
        <f aca="false">IF(AND(ISNUMBER($K74),ISNUMBER($L74),ISNUMBER($Q74)),IF(OR($Q74&lt;MIN($K74,$L74),$Q74&gt;MAX($K74,$L74)),1,0),0)</f>
        <v>0</v>
      </c>
      <c r="AD74" s="183" t="n">
        <f aca="false">IF(AND(ISNUMBER($T74),$P74="高"),IF($T74=3,1,0),0)</f>
        <v>0</v>
      </c>
      <c r="AE74" s="183" t="n">
        <f aca="false">IF($S74="不存在",1,0)</f>
        <v>0</v>
      </c>
      <c r="AF74" s="34" t="str">
        <f aca="false">IF(OR($H74="—",$H74=""),"—",MATCH($H74,IDX_SrcID,0))</f>
        <v>—</v>
      </c>
    </row>
    <row r="75" customFormat="false" ht="15" hidden="false" customHeight="true" outlineLevel="0" collapsed="false">
      <c r="A75" s="35" t="s">
        <v>2851</v>
      </c>
      <c r="B75" s="209" t="s">
        <v>2677</v>
      </c>
      <c r="C75" s="35" t="s">
        <v>2835</v>
      </c>
      <c r="D75" s="35" t="s">
        <v>2852</v>
      </c>
      <c r="E75" s="18" t="s">
        <v>154</v>
      </c>
      <c r="F75" s="209" t="s">
        <v>290</v>
      </c>
      <c r="G75" s="209" t="s">
        <v>2679</v>
      </c>
      <c r="H75" s="35" t="s">
        <v>2853</v>
      </c>
      <c r="I75" s="18" t="s">
        <v>2714</v>
      </c>
      <c r="J75" s="35" t="s">
        <v>571</v>
      </c>
      <c r="K75" s="209"/>
      <c r="L75" s="209"/>
      <c r="M75" s="35" t="s">
        <v>571</v>
      </c>
      <c r="N75" s="18" t="s">
        <v>2812</v>
      </c>
      <c r="O75" s="6" t="s">
        <v>571</v>
      </c>
      <c r="P75" s="209" t="s">
        <v>2682</v>
      </c>
      <c r="Q75" s="40" t="n">
        <f aca="false">Spec_Rack!D8</f>
        <v>120</v>
      </c>
      <c r="R75" s="182" t="n">
        <f aca="false">SRC_HW_004_Lo</f>
        <v>120</v>
      </c>
      <c r="S75" s="34" t="str">
        <f aca="false">IF(ISNUMBER($AF75),INDEX(IDX_SrcStat,$AF75),"—")</f>
        <v>Active</v>
      </c>
      <c r="T75" s="34" t="n">
        <f aca="false">IF(ISNUMBER($AF75),INDEX(IDX_SrcGrade,$AF75),"—")</f>
        <v>1</v>
      </c>
      <c r="U75" s="34" t="s">
        <v>2716</v>
      </c>
      <c r="V75" s="183" t="n">
        <f aca="false">IF(AND($F75="原始數據",$U75&lt;&gt;"連結 SRC"),1,0)</f>
        <v>0</v>
      </c>
      <c r="W75" s="183" t="n">
        <f aca="false">IF(AND($F75="Analogy",OR($H75="—",$H75="")),1,0)</f>
        <v>0</v>
      </c>
      <c r="X75" s="183" t="n">
        <f aca="false">IF(AND(OR($F75="Analogy",$F75="Assumed"),$G75&lt;&gt;"低",$G75&lt;&gt;"高",NOT(ISNUMBER($K75)),NOT(ISNUMBER($L75)),OR($M75="—",$M75="")),1,0)</f>
        <v>0</v>
      </c>
      <c r="Y75" s="183" t="n">
        <f aca="false">IF(AND(OR($F75="Analogy",$F75="Assumed",$F75="Derived（待改公式）",$F75="Derived（公式）"),OR($N75="—",$N75="",$N75=0)),1,0)</f>
        <v>0</v>
      </c>
      <c r="Z75" s="183" t="n">
        <f aca="false">IF(AND($F75="Decision",OR($J75="—",$J75="")),1,0)</f>
        <v>0</v>
      </c>
      <c r="AA75" s="180" t="n">
        <f aca="false">IF(OR($J75="—",$J75=""),0,IF(COUNTIF(Decisions!$A$5:$A$300,$J75)=0,1,0))</f>
        <v>0</v>
      </c>
      <c r="AB75" s="183" t="n">
        <f aca="false">IF(AND($F75="原始數據",$S75&lt;&gt;"Active"),1,0)</f>
        <v>0</v>
      </c>
      <c r="AC75" s="183" t="n">
        <f aca="false">IF(AND(ISNUMBER($K75),ISNUMBER($L75),ISNUMBER($Q75)),IF(OR($Q75&lt;MIN($K75,$L75),$Q75&gt;MAX($K75,$L75)),1,0),0)</f>
        <v>0</v>
      </c>
      <c r="AD75" s="183" t="n">
        <f aca="false">IF(AND(ISNUMBER($T75),$P75="高"),IF($T75=3,1,0),0)</f>
        <v>0</v>
      </c>
      <c r="AE75" s="183" t="n">
        <f aca="false">IF($S75="不存在",1,0)</f>
        <v>0</v>
      </c>
      <c r="AF75" s="34" t="n">
        <f aca="false">IF(OR($H75="—",$H75=""),"—",MATCH($H75,IDX_SrcID,0))</f>
        <v>4</v>
      </c>
    </row>
    <row r="76" customFormat="false" ht="15" hidden="false" customHeight="true" outlineLevel="0" collapsed="false">
      <c r="A76" s="35" t="s">
        <v>2854</v>
      </c>
      <c r="B76" s="209" t="s">
        <v>2677</v>
      </c>
      <c r="C76" s="35" t="s">
        <v>2835</v>
      </c>
      <c r="D76" s="35" t="s">
        <v>2585</v>
      </c>
      <c r="E76" s="18" t="s">
        <v>154</v>
      </c>
      <c r="F76" s="209" t="s">
        <v>290</v>
      </c>
      <c r="G76" s="209" t="s">
        <v>2679</v>
      </c>
      <c r="H76" s="35" t="s">
        <v>2855</v>
      </c>
      <c r="I76" s="18" t="s">
        <v>2714</v>
      </c>
      <c r="J76" s="35" t="s">
        <v>571</v>
      </c>
      <c r="K76" s="209"/>
      <c r="L76" s="209"/>
      <c r="M76" s="35" t="s">
        <v>571</v>
      </c>
      <c r="N76" s="18" t="s">
        <v>2812</v>
      </c>
      <c r="O76" s="6" t="s">
        <v>571</v>
      </c>
      <c r="P76" s="209" t="s">
        <v>2682</v>
      </c>
      <c r="Q76" s="40" t="n">
        <f aca="false">Spec_Rack!E8</f>
        <v>132</v>
      </c>
      <c r="R76" s="182" t="n">
        <f aca="false">SRC_HW_005_Lo</f>
        <v>132</v>
      </c>
      <c r="S76" s="34" t="str">
        <f aca="false">IF(ISNUMBER($AF76),INDEX(IDX_SrcStat,$AF76),"—")</f>
        <v>Active</v>
      </c>
      <c r="T76" s="34" t="n">
        <f aca="false">IF(ISNUMBER($AF76),INDEX(IDX_SrcGrade,$AF76),"—")</f>
        <v>2</v>
      </c>
      <c r="U76" s="34" t="s">
        <v>2716</v>
      </c>
      <c r="V76" s="183" t="n">
        <f aca="false">IF(AND($F76="原始數據",$U76&lt;&gt;"連結 SRC"),1,0)</f>
        <v>0</v>
      </c>
      <c r="W76" s="183" t="n">
        <f aca="false">IF(AND($F76="Analogy",OR($H76="—",$H76="")),1,0)</f>
        <v>0</v>
      </c>
      <c r="X76" s="183" t="n">
        <f aca="false">IF(AND(OR($F76="Analogy",$F76="Assumed"),$G76&lt;&gt;"低",$G76&lt;&gt;"高",NOT(ISNUMBER($K76)),NOT(ISNUMBER($L76)),OR($M76="—",$M76="")),1,0)</f>
        <v>0</v>
      </c>
      <c r="Y76" s="183" t="n">
        <f aca="false">IF(AND(OR($F76="Analogy",$F76="Assumed",$F76="Derived（待改公式）",$F76="Derived（公式）"),OR($N76="—",$N76="",$N76=0)),1,0)</f>
        <v>0</v>
      </c>
      <c r="Z76" s="183" t="n">
        <f aca="false">IF(AND($F76="Decision",OR($J76="—",$J76="")),1,0)</f>
        <v>0</v>
      </c>
      <c r="AA76" s="180" t="n">
        <f aca="false">IF(OR($J76="—",$J76=""),0,IF(COUNTIF(Decisions!$A$5:$A$300,$J76)=0,1,0))</f>
        <v>0</v>
      </c>
      <c r="AB76" s="183" t="n">
        <f aca="false">IF(AND($F76="原始數據",$S76&lt;&gt;"Active"),1,0)</f>
        <v>0</v>
      </c>
      <c r="AC76" s="183" t="n">
        <f aca="false">IF(AND(ISNUMBER($K76),ISNUMBER($L76),ISNUMBER($Q76)),IF(OR($Q76&lt;MIN($K76,$L76),$Q76&gt;MAX($K76,$L76)),1,0),0)</f>
        <v>0</v>
      </c>
      <c r="AD76" s="183" t="n">
        <f aca="false">IF(AND(ISNUMBER($T76),$P76="高"),IF($T76=3,1,0),0)</f>
        <v>0</v>
      </c>
      <c r="AE76" s="183" t="n">
        <f aca="false">IF($S76="不存在",1,0)</f>
        <v>0</v>
      </c>
      <c r="AF76" s="34" t="n">
        <f aca="false">IF(OR($H76="—",$H76=""),"—",MATCH($H76,IDX_SrcID,0))</f>
        <v>5</v>
      </c>
    </row>
    <row r="77" customFormat="false" ht="15" hidden="false" customHeight="true" outlineLevel="0" collapsed="false">
      <c r="A77" s="35" t="s">
        <v>2856</v>
      </c>
      <c r="B77" s="209" t="s">
        <v>2677</v>
      </c>
      <c r="C77" s="35" t="s">
        <v>2835</v>
      </c>
      <c r="D77" s="35" t="s">
        <v>2857</v>
      </c>
      <c r="E77" s="18" t="s">
        <v>154</v>
      </c>
      <c r="F77" s="209" t="s">
        <v>290</v>
      </c>
      <c r="G77" s="209" t="s">
        <v>2679</v>
      </c>
      <c r="H77" s="35" t="s">
        <v>2858</v>
      </c>
      <c r="I77" s="18" t="s">
        <v>2714</v>
      </c>
      <c r="J77" s="35" t="s">
        <v>571</v>
      </c>
      <c r="K77" s="209"/>
      <c r="L77" s="209"/>
      <c r="M77" s="35" t="s">
        <v>571</v>
      </c>
      <c r="N77" s="18" t="s">
        <v>2812</v>
      </c>
      <c r="O77" s="6" t="s">
        <v>571</v>
      </c>
      <c r="P77" s="209" t="s">
        <v>2682</v>
      </c>
      <c r="Q77" s="40" t="n">
        <f aca="false">Spec_Rack!F8</f>
        <v>188</v>
      </c>
      <c r="R77" s="182" t="n">
        <f aca="false">SRC_HW_011</f>
        <v>188</v>
      </c>
      <c r="S77" s="34" t="str">
        <f aca="false">IF(ISNUMBER($AF77),INDEX(IDX_SrcStat,$AF77),"—")</f>
        <v>Active</v>
      </c>
      <c r="T77" s="34" t="n">
        <f aca="false">IF(ISNUMBER($AF77),INDEX(IDX_SrcGrade,$AF77),"—")</f>
        <v>1</v>
      </c>
      <c r="U77" s="34" t="s">
        <v>2716</v>
      </c>
      <c r="V77" s="183" t="n">
        <f aca="false">IF(AND($F77="原始數據",$U77&lt;&gt;"連結 SRC"),1,0)</f>
        <v>0</v>
      </c>
      <c r="W77" s="183" t="n">
        <f aca="false">IF(AND($F77="Analogy",OR($H77="—",$H77="")),1,0)</f>
        <v>0</v>
      </c>
      <c r="X77" s="183" t="n">
        <f aca="false">IF(AND(OR($F77="Analogy",$F77="Assumed"),$G77&lt;&gt;"低",$G77&lt;&gt;"高",NOT(ISNUMBER($K77)),NOT(ISNUMBER($L77)),OR($M77="—",$M77="")),1,0)</f>
        <v>0</v>
      </c>
      <c r="Y77" s="183" t="n">
        <f aca="false">IF(AND(OR($F77="Analogy",$F77="Assumed",$F77="Derived（待改公式）",$F77="Derived（公式）"),OR($N77="—",$N77="",$N77=0)),1,0)</f>
        <v>0</v>
      </c>
      <c r="Z77" s="183" t="n">
        <f aca="false">IF(AND($F77="Decision",OR($J77="—",$J77="")),1,0)</f>
        <v>0</v>
      </c>
      <c r="AA77" s="180" t="n">
        <f aca="false">IF(OR($J77="—",$J77=""),0,IF(COUNTIF(Decisions!$A$5:$A$300,$J77)=0,1,0))</f>
        <v>0</v>
      </c>
      <c r="AB77" s="183" t="n">
        <f aca="false">IF(AND($F77="原始數據",$S77&lt;&gt;"Active"),1,0)</f>
        <v>0</v>
      </c>
      <c r="AC77" s="183" t="n">
        <f aca="false">IF(AND(ISNUMBER($K77),ISNUMBER($L77),ISNUMBER($Q77)),IF(OR($Q77&lt;MIN($K77,$L77),$Q77&gt;MAX($K77,$L77)),1,0),0)</f>
        <v>0</v>
      </c>
      <c r="AD77" s="183" t="n">
        <f aca="false">IF(AND(ISNUMBER($T77),$P77="高"),IF($T77=3,1,0),0)</f>
        <v>0</v>
      </c>
      <c r="AE77" s="183" t="n">
        <f aca="false">IF($S77="不存在",1,0)</f>
        <v>0</v>
      </c>
      <c r="AF77" s="34" t="n">
        <f aca="false">IF(OR($H77="—",$H77=""),"—",MATCH($H77,IDX_SrcID,0))</f>
        <v>11</v>
      </c>
    </row>
    <row r="78" customFormat="false" ht="29.25" hidden="false" customHeight="true" outlineLevel="0" collapsed="false">
      <c r="A78" s="35" t="s">
        <v>2859</v>
      </c>
      <c r="B78" s="209" t="s">
        <v>2677</v>
      </c>
      <c r="C78" s="35" t="s">
        <v>2835</v>
      </c>
      <c r="D78" s="35" t="s">
        <v>2860</v>
      </c>
      <c r="E78" s="18" t="s">
        <v>154</v>
      </c>
      <c r="F78" s="35" t="s">
        <v>250</v>
      </c>
      <c r="G78" s="209" t="s">
        <v>1099</v>
      </c>
      <c r="H78" s="35" t="s">
        <v>571</v>
      </c>
      <c r="I78" s="6" t="s">
        <v>571</v>
      </c>
      <c r="J78" s="35" t="s">
        <v>571</v>
      </c>
      <c r="K78" s="209"/>
      <c r="L78" s="209"/>
      <c r="M78" s="35" t="s">
        <v>571</v>
      </c>
      <c r="N78" s="6" t="s">
        <v>2861</v>
      </c>
      <c r="O78" s="6" t="s">
        <v>571</v>
      </c>
      <c r="P78" s="209" t="s">
        <v>2682</v>
      </c>
      <c r="Q78" s="40" t="n">
        <f aca="false">Spec_Rack!G8</f>
        <v>300</v>
      </c>
      <c r="R78" s="35" t="s">
        <v>571</v>
      </c>
      <c r="S78" s="34" t="str">
        <f aca="false">IF(ISNUMBER($AF78),INDEX(IDX_SrcStat,$AF78),"—")</f>
        <v>—</v>
      </c>
      <c r="T78" s="34" t="str">
        <f aca="false">IF(ISNUMBER($AF78),INDEX(IDX_SrcGrade,$AF78),"—")</f>
        <v>—</v>
      </c>
      <c r="U78" s="34" t="s">
        <v>2683</v>
      </c>
      <c r="V78" s="183" t="n">
        <f aca="false">IF(AND($F78="原始數據",$U78&lt;&gt;"連結 SRC"),1,0)</f>
        <v>0</v>
      </c>
      <c r="W78" s="183" t="n">
        <f aca="false">IF(AND($F78="Analogy",OR($H78="—",$H78="")),1,0)</f>
        <v>0</v>
      </c>
      <c r="X78" s="183" t="n">
        <f aca="false">IF(AND(OR($F78="Analogy",$F78="Assumed"),$G78&lt;&gt;"低",$G78&lt;&gt;"高",NOT(ISNUMBER($K78)),NOT(ISNUMBER($L78)),OR($M78="—",$M78="")),1,0)</f>
        <v>0</v>
      </c>
      <c r="Y78" s="183" t="n">
        <f aca="false">IF(AND(OR($F78="Analogy",$F78="Assumed",$F78="Derived（待改公式）",$F78="Derived（公式）"),OR($N78="—",$N78="",$N78=0)),1,0)</f>
        <v>0</v>
      </c>
      <c r="Z78" s="183" t="n">
        <f aca="false">IF(AND($F78="Decision",OR($J78="—",$J78="")),1,0)</f>
        <v>0</v>
      </c>
      <c r="AA78" s="180" t="n">
        <f aca="false">IF(OR($J78="—",$J78=""),0,IF(COUNTIF(Decisions!$A$5:$A$300,$J78)=0,1,0))</f>
        <v>0</v>
      </c>
      <c r="AB78" s="183" t="n">
        <f aca="false">IF(AND($F78="原始數據",$S78&lt;&gt;"Active"),1,0)</f>
        <v>0</v>
      </c>
      <c r="AC78" s="183" t="n">
        <f aca="false">IF(AND(ISNUMBER($K78),ISNUMBER($L78),ISNUMBER($Q78)),IF(OR($Q78&lt;MIN($K78,$L78),$Q78&gt;MAX($K78,$L78)),1,0),0)</f>
        <v>0</v>
      </c>
      <c r="AD78" s="183" t="n">
        <f aca="false">IF(AND(ISNUMBER($T78),$P78="高"),IF($T78=3,1,0),0)</f>
        <v>0</v>
      </c>
      <c r="AE78" s="183" t="n">
        <f aca="false">IF($S78="不存在",1,0)</f>
        <v>0</v>
      </c>
      <c r="AF78" s="34" t="str">
        <f aca="false">IF(OR($H78="—",$H78=""),"—",MATCH($H78,IDX_SrcID,0))</f>
        <v>—</v>
      </c>
    </row>
    <row r="79" customFormat="false" ht="43.5" hidden="false" customHeight="true" outlineLevel="0" collapsed="false">
      <c r="A79" s="35" t="s">
        <v>2862</v>
      </c>
      <c r="B79" s="209" t="s">
        <v>2677</v>
      </c>
      <c r="C79" s="35" t="s">
        <v>2835</v>
      </c>
      <c r="D79" s="35" t="s">
        <v>2863</v>
      </c>
      <c r="E79" s="18" t="s">
        <v>155</v>
      </c>
      <c r="F79" s="209" t="s">
        <v>2864</v>
      </c>
      <c r="G79" s="209" t="s">
        <v>57</v>
      </c>
      <c r="H79" s="35" t="s">
        <v>2865</v>
      </c>
      <c r="I79" s="18" t="s">
        <v>2866</v>
      </c>
      <c r="J79" s="35" t="s">
        <v>571</v>
      </c>
      <c r="K79" s="40" t="n">
        <f aca="false">Spec_Rack!C8</f>
        <v>38</v>
      </c>
      <c r="L79" s="40" t="n">
        <f aca="false">Spec_Rack!C10</f>
        <v>44</v>
      </c>
      <c r="M79" s="35" t="s">
        <v>571</v>
      </c>
      <c r="N79" s="18" t="s">
        <v>2867</v>
      </c>
      <c r="O79" s="6" t="s">
        <v>571</v>
      </c>
      <c r="P79" s="209" t="s">
        <v>1100</v>
      </c>
      <c r="Q79" s="40" t="n">
        <f aca="false">Spec_Rack!C9</f>
        <v>41</v>
      </c>
      <c r="R79" s="182" t="n">
        <f aca="false">SRC_HW_001</f>
        <v>10.2</v>
      </c>
      <c r="S79" s="34" t="str">
        <f aca="false">IF(ISNUMBER($AF79),INDEX(IDX_SrcStat,$AF79),"—")</f>
        <v>Active</v>
      </c>
      <c r="T79" s="34" t="n">
        <f aca="false">IF(ISNUMBER($AF79),INDEX(IDX_SrcGrade,$AF79),"—")</f>
        <v>1</v>
      </c>
      <c r="U79" s="34" t="s">
        <v>2683</v>
      </c>
      <c r="V79" s="183" t="n">
        <f aca="false">IF(AND($F79="原始數據",$U79&lt;&gt;"連結 SRC"),1,0)</f>
        <v>0</v>
      </c>
      <c r="W79" s="183" t="n">
        <f aca="false">IF(AND($F79="Analogy",OR($H79="—",$H79="")),1,0)</f>
        <v>0</v>
      </c>
      <c r="X79" s="183" t="n">
        <f aca="false">IF(AND(OR($F79="Analogy",$F79="Assumed"),$G79&lt;&gt;"低",$G79&lt;&gt;"高",NOT(ISNUMBER($K79)),NOT(ISNUMBER($L79)),OR($M79="—",$M79="")),1,0)</f>
        <v>0</v>
      </c>
      <c r="Y79" s="183" t="n">
        <f aca="false">IF(AND(OR($F79="Analogy",$F79="Assumed",$F79="Derived（待改公式）",$F79="Derived（公式）"),OR($N79="—",$N79="",$N79=0)),1,0)</f>
        <v>0</v>
      </c>
      <c r="Z79" s="183" t="n">
        <f aca="false">IF(AND($F79="Decision",OR($J79="—",$J79="")),1,0)</f>
        <v>0</v>
      </c>
      <c r="AA79" s="180" t="n">
        <f aca="false">IF(OR($J79="—",$J79=""),0,IF(COUNTIF(Decisions!$A$5:$A$300,$J79)=0,1,0))</f>
        <v>0</v>
      </c>
      <c r="AB79" s="183" t="n">
        <f aca="false">IF(AND($F79="原始數據",$S79&lt;&gt;"Active"),1,0)</f>
        <v>0</v>
      </c>
      <c r="AC79" s="183" t="n">
        <f aca="false">IF(AND(ISNUMBER($K79),ISNUMBER($L79),ISNUMBER($Q79)),IF(OR($Q79&lt;MIN($K79,$L79),$Q79&gt;MAX($K79,$L79)),1,0),0)</f>
        <v>0</v>
      </c>
      <c r="AD79" s="183" t="n">
        <f aca="false">IF(AND(ISNUMBER($T79),$P79="高"),IF($T79=3,1,0),0)</f>
        <v>0</v>
      </c>
      <c r="AE79" s="183" t="n">
        <f aca="false">IF($S79="不存在",1,0)</f>
        <v>0</v>
      </c>
      <c r="AF79" s="34" t="n">
        <f aca="false">IF(OR($H79="—",$H79=""),"—",MATCH($H79,IDX_SrcID,0))</f>
        <v>1</v>
      </c>
    </row>
    <row r="80" customFormat="false" ht="43.5" hidden="false" customHeight="true" outlineLevel="0" collapsed="false">
      <c r="A80" s="35" t="s">
        <v>2868</v>
      </c>
      <c r="B80" s="209" t="s">
        <v>2677</v>
      </c>
      <c r="C80" s="35" t="s">
        <v>2835</v>
      </c>
      <c r="D80" s="35" t="s">
        <v>2692</v>
      </c>
      <c r="E80" s="18" t="s">
        <v>155</v>
      </c>
      <c r="F80" s="209" t="s">
        <v>290</v>
      </c>
      <c r="G80" s="209" t="s">
        <v>57</v>
      </c>
      <c r="H80" s="35" t="s">
        <v>2853</v>
      </c>
      <c r="I80" s="18" t="s">
        <v>2869</v>
      </c>
      <c r="J80" s="35" t="s">
        <v>571</v>
      </c>
      <c r="K80" s="40" t="n">
        <f aca="false">Spec_Rack!D8</f>
        <v>120</v>
      </c>
      <c r="L80" s="40" t="n">
        <f aca="false">Spec_Rack!D10</f>
        <v>140</v>
      </c>
      <c r="M80" s="35" t="s">
        <v>571</v>
      </c>
      <c r="N80" s="18" t="s">
        <v>2870</v>
      </c>
      <c r="O80" s="6" t="s">
        <v>571</v>
      </c>
      <c r="P80" s="209" t="s">
        <v>1100</v>
      </c>
      <c r="Q80" s="40" t="n">
        <f aca="false">Spec_Rack!D9</f>
        <v>132</v>
      </c>
      <c r="R80" s="182" t="n">
        <f aca="false">SRC_HW_004_Hi</f>
        <v>132</v>
      </c>
      <c r="S80" s="34" t="str">
        <f aca="false">IF(ISNUMBER($AF80),INDEX(IDX_SrcStat,$AF80),"—")</f>
        <v>Active</v>
      </c>
      <c r="T80" s="34" t="n">
        <f aca="false">IF(ISNUMBER($AF80),INDEX(IDX_SrcGrade,$AF80),"—")</f>
        <v>1</v>
      </c>
      <c r="U80" s="34" t="s">
        <v>2716</v>
      </c>
      <c r="V80" s="183" t="n">
        <f aca="false">IF(AND($F80="原始數據",$U80&lt;&gt;"連結 SRC"),1,0)</f>
        <v>0</v>
      </c>
      <c r="W80" s="183" t="n">
        <f aca="false">IF(AND($F80="Analogy",OR($H80="—",$H80="")),1,0)</f>
        <v>0</v>
      </c>
      <c r="X80" s="183" t="n">
        <f aca="false">IF(AND(OR($F80="Analogy",$F80="Assumed"),$G80&lt;&gt;"低",$G80&lt;&gt;"高",NOT(ISNUMBER($K80)),NOT(ISNUMBER($L80)),OR($M80="—",$M80="")),1,0)</f>
        <v>0</v>
      </c>
      <c r="Y80" s="183" t="n">
        <f aca="false">IF(AND(OR($F80="Analogy",$F80="Assumed",$F80="Derived（待改公式）",$F80="Derived（公式）"),OR($N80="—",$N80="",$N80=0)),1,0)</f>
        <v>0</v>
      </c>
      <c r="Z80" s="183" t="n">
        <f aca="false">IF(AND($F80="Decision",OR($J80="—",$J80="")),1,0)</f>
        <v>0</v>
      </c>
      <c r="AA80" s="180" t="n">
        <f aca="false">IF(OR($J80="—",$J80=""),0,IF(COUNTIF(Decisions!$A$5:$A$300,$J80)=0,1,0))</f>
        <v>0</v>
      </c>
      <c r="AB80" s="183" t="n">
        <f aca="false">IF(AND($F80="原始數據",$S80&lt;&gt;"Active"),1,0)</f>
        <v>0</v>
      </c>
      <c r="AC80" s="183" t="n">
        <f aca="false">IF(AND(ISNUMBER($K80),ISNUMBER($L80),ISNUMBER($Q80)),IF(OR($Q80&lt;MIN($K80,$L80),$Q80&gt;MAX($K80,$L80)),1,0),0)</f>
        <v>0</v>
      </c>
      <c r="AD80" s="183" t="n">
        <f aca="false">IF(AND(ISNUMBER($T80),$P80="高"),IF($T80=3,1,0),0)</f>
        <v>0</v>
      </c>
      <c r="AE80" s="183" t="n">
        <f aca="false">IF($S80="不存在",1,0)</f>
        <v>0</v>
      </c>
      <c r="AF80" s="34" t="n">
        <f aca="false">IF(OR($H80="—",$H80=""),"—",MATCH($H80,IDX_SrcID,0))</f>
        <v>4</v>
      </c>
    </row>
    <row r="81" customFormat="false" ht="29.25" hidden="false" customHeight="true" outlineLevel="0" collapsed="false">
      <c r="A81" s="35" t="s">
        <v>2871</v>
      </c>
      <c r="B81" s="209" t="s">
        <v>2677</v>
      </c>
      <c r="C81" s="35" t="s">
        <v>2835</v>
      </c>
      <c r="D81" s="35" t="s">
        <v>2588</v>
      </c>
      <c r="E81" s="18" t="s">
        <v>155</v>
      </c>
      <c r="F81" s="209" t="s">
        <v>250</v>
      </c>
      <c r="G81" s="209" t="s">
        <v>57</v>
      </c>
      <c r="H81" s="35" t="s">
        <v>2855</v>
      </c>
      <c r="I81" s="18" t="s">
        <v>2872</v>
      </c>
      <c r="J81" s="35" t="s">
        <v>571</v>
      </c>
      <c r="K81" s="40" t="n">
        <f aca="false">Spec_Rack!E8</f>
        <v>132</v>
      </c>
      <c r="L81" s="40" t="n">
        <f aca="false">Spec_Rack!E10</f>
        <v>140</v>
      </c>
      <c r="M81" s="35" t="s">
        <v>571</v>
      </c>
      <c r="N81" s="18" t="s">
        <v>2873</v>
      </c>
      <c r="O81" s="5" t="s">
        <v>2874</v>
      </c>
      <c r="P81" s="209" t="s">
        <v>1100</v>
      </c>
      <c r="Q81" s="40" t="n">
        <f aca="false">Spec_Rack!E9</f>
        <v>136</v>
      </c>
      <c r="R81" s="182" t="n">
        <f aca="false">SRC_HW_005_Lo</f>
        <v>132</v>
      </c>
      <c r="S81" s="34" t="str">
        <f aca="false">IF(ISNUMBER($AF81),INDEX(IDX_SrcStat,$AF81),"—")</f>
        <v>Active</v>
      </c>
      <c r="T81" s="34" t="n">
        <f aca="false">IF(ISNUMBER($AF81),INDEX(IDX_SrcGrade,$AF81),"—")</f>
        <v>2</v>
      </c>
      <c r="U81" s="34" t="s">
        <v>2683</v>
      </c>
      <c r="V81" s="183" t="n">
        <f aca="false">IF(AND($F81="原始數據",$U81&lt;&gt;"連結 SRC"),1,0)</f>
        <v>0</v>
      </c>
      <c r="W81" s="183" t="n">
        <f aca="false">IF(AND($F81="Analogy",OR($H81="—",$H81="")),1,0)</f>
        <v>0</v>
      </c>
      <c r="X81" s="183" t="n">
        <f aca="false">IF(AND(OR($F81="Analogy",$F81="Assumed"),$G81&lt;&gt;"低",$G81&lt;&gt;"高",NOT(ISNUMBER($K81)),NOT(ISNUMBER($L81)),OR($M81="—",$M81="")),1,0)</f>
        <v>0</v>
      </c>
      <c r="Y81" s="183" t="n">
        <f aca="false">IF(AND(OR($F81="Analogy",$F81="Assumed",$F81="Derived（待改公式）",$F81="Derived（公式）"),OR($N81="—",$N81="",$N81=0)),1,0)</f>
        <v>0</v>
      </c>
      <c r="Z81" s="183" t="n">
        <f aca="false">IF(AND($F81="Decision",OR($J81="—",$J81="")),1,0)</f>
        <v>0</v>
      </c>
      <c r="AA81" s="180" t="n">
        <f aca="false">IF(OR($J81="—",$J81=""),0,IF(COUNTIF(Decisions!$A$5:$A$300,$J81)=0,1,0))</f>
        <v>0</v>
      </c>
      <c r="AB81" s="183" t="n">
        <f aca="false">IF(AND($F81="原始數據",$S81&lt;&gt;"Active"),1,0)</f>
        <v>0</v>
      </c>
      <c r="AC81" s="183" t="n">
        <f aca="false">IF(AND(ISNUMBER($K81),ISNUMBER($L81),ISNUMBER($Q81)),IF(OR($Q81&lt;MIN($K81,$L81),$Q81&gt;MAX($K81,$L81)),1,0),0)</f>
        <v>0</v>
      </c>
      <c r="AD81" s="183" t="n">
        <f aca="false">IF(AND(ISNUMBER($T81),$P81="高"),IF($T81=3,1,0),0)</f>
        <v>0</v>
      </c>
      <c r="AE81" s="183" t="n">
        <f aca="false">IF($S81="不存在",1,0)</f>
        <v>0</v>
      </c>
      <c r="AF81" s="34" t="n">
        <f aca="false">IF(OR($H81="—",$H81=""),"—",MATCH($H81,IDX_SrcID,0))</f>
        <v>5</v>
      </c>
    </row>
    <row r="82" customFormat="false" ht="15" hidden="false" customHeight="true" outlineLevel="0" collapsed="false">
      <c r="A82" s="35" t="s">
        <v>2875</v>
      </c>
      <c r="B82" s="209" t="s">
        <v>2677</v>
      </c>
      <c r="C82" s="35" t="s">
        <v>2835</v>
      </c>
      <c r="D82" s="35" t="s">
        <v>2694</v>
      </c>
      <c r="E82" s="18" t="s">
        <v>155</v>
      </c>
      <c r="F82" s="209" t="s">
        <v>290</v>
      </c>
      <c r="G82" s="209" t="s">
        <v>2679</v>
      </c>
      <c r="H82" s="35" t="s">
        <v>2876</v>
      </c>
      <c r="I82" s="18" t="s">
        <v>2714</v>
      </c>
      <c r="J82" s="35" t="s">
        <v>571</v>
      </c>
      <c r="K82" s="209"/>
      <c r="L82" s="209"/>
      <c r="M82" s="35" t="s">
        <v>571</v>
      </c>
      <c r="N82" s="18" t="s">
        <v>2812</v>
      </c>
      <c r="O82" s="6" t="s">
        <v>571</v>
      </c>
      <c r="P82" s="209" t="s">
        <v>1100</v>
      </c>
      <c r="Q82" s="40" t="n">
        <f aca="false">Spec_Rack!F9</f>
        <v>227</v>
      </c>
      <c r="R82" s="182" t="n">
        <f aca="false">SRC_HW_014</f>
        <v>227</v>
      </c>
      <c r="S82" s="34" t="str">
        <f aca="false">IF(ISNUMBER($AF82),INDEX(IDX_SrcStat,$AF82),"—")</f>
        <v>Active</v>
      </c>
      <c r="T82" s="34" t="n">
        <f aca="false">IF(ISNUMBER($AF82),INDEX(IDX_SrcGrade,$AF82),"—")</f>
        <v>1</v>
      </c>
      <c r="U82" s="34" t="s">
        <v>2716</v>
      </c>
      <c r="V82" s="183" t="n">
        <f aca="false">IF(AND($F82="原始數據",$U82&lt;&gt;"連結 SRC"),1,0)</f>
        <v>0</v>
      </c>
      <c r="W82" s="183" t="n">
        <f aca="false">IF(AND($F82="Analogy",OR($H82="—",$H82="")),1,0)</f>
        <v>0</v>
      </c>
      <c r="X82" s="183" t="n">
        <f aca="false">IF(AND(OR($F82="Analogy",$F82="Assumed"),$G82&lt;&gt;"低",$G82&lt;&gt;"高",NOT(ISNUMBER($K82)),NOT(ISNUMBER($L82)),OR($M82="—",$M82="")),1,0)</f>
        <v>0</v>
      </c>
      <c r="Y82" s="183" t="n">
        <f aca="false">IF(AND(OR($F82="Analogy",$F82="Assumed",$F82="Derived（待改公式）",$F82="Derived（公式）"),OR($N82="—",$N82="",$N82=0)),1,0)</f>
        <v>0</v>
      </c>
      <c r="Z82" s="183" t="n">
        <f aca="false">IF(AND($F82="Decision",OR($J82="—",$J82="")),1,0)</f>
        <v>0</v>
      </c>
      <c r="AA82" s="180" t="n">
        <f aca="false">IF(OR($J82="—",$J82=""),0,IF(COUNTIF(Decisions!$A$5:$A$300,$J82)=0,1,0))</f>
        <v>0</v>
      </c>
      <c r="AB82" s="183" t="n">
        <f aca="false">IF(AND($F82="原始數據",$S82&lt;&gt;"Active"),1,0)</f>
        <v>0</v>
      </c>
      <c r="AC82" s="183" t="n">
        <f aca="false">IF(AND(ISNUMBER($K82),ISNUMBER($L82),ISNUMBER($Q82)),IF(OR($Q82&lt;MIN($K82,$L82),$Q82&gt;MAX($K82,$L82)),1,0),0)</f>
        <v>0</v>
      </c>
      <c r="AD82" s="183" t="n">
        <f aca="false">IF(AND(ISNUMBER($T82),$P82="高"),IF($T82=3,1,0),0)</f>
        <v>0</v>
      </c>
      <c r="AE82" s="183" t="n">
        <f aca="false">IF($S82="不存在",1,0)</f>
        <v>0</v>
      </c>
      <c r="AF82" s="34" t="n">
        <f aca="false">IF(OR($H82="—",$H82=""),"—",MATCH($H82,IDX_SrcID,0))</f>
        <v>14</v>
      </c>
    </row>
    <row r="83" customFormat="false" ht="15" hidden="false" customHeight="true" outlineLevel="0" collapsed="false">
      <c r="A83" s="35" t="s">
        <v>2877</v>
      </c>
      <c r="B83" s="209" t="s">
        <v>2677</v>
      </c>
      <c r="C83" s="35" t="s">
        <v>2835</v>
      </c>
      <c r="D83" s="35" t="s">
        <v>2878</v>
      </c>
      <c r="E83" s="18" t="s">
        <v>155</v>
      </c>
      <c r="F83" s="209" t="s">
        <v>250</v>
      </c>
      <c r="G83" s="209" t="s">
        <v>57</v>
      </c>
      <c r="H83" s="35" t="s">
        <v>571</v>
      </c>
      <c r="I83" s="18" t="s">
        <v>2879</v>
      </c>
      <c r="J83" s="35" t="s">
        <v>571</v>
      </c>
      <c r="K83" s="212" t="n">
        <f aca="false">Spec_Rack!G8</f>
        <v>300</v>
      </c>
      <c r="L83" s="212" t="n">
        <f aca="false">Spec_Rack!G10</f>
        <v>454</v>
      </c>
      <c r="M83" s="35" t="s">
        <v>571</v>
      </c>
      <c r="N83" s="18" t="s">
        <v>2880</v>
      </c>
      <c r="O83" s="5" t="s">
        <v>2881</v>
      </c>
      <c r="P83" s="209" t="s">
        <v>1100</v>
      </c>
      <c r="Q83" s="40" t="n">
        <f aca="false">Spec_Rack!G9</f>
        <v>340</v>
      </c>
      <c r="R83" s="35" t="s">
        <v>571</v>
      </c>
      <c r="S83" s="34" t="str">
        <f aca="false">IF(ISNUMBER($AF83),INDEX(IDX_SrcStat,$AF83),"—")</f>
        <v>—</v>
      </c>
      <c r="T83" s="34" t="str">
        <f aca="false">IF(ISNUMBER($AF83),INDEX(IDX_SrcGrade,$AF83),"—")</f>
        <v>—</v>
      </c>
      <c r="U83" s="34" t="s">
        <v>2683</v>
      </c>
      <c r="V83" s="183" t="n">
        <f aca="false">IF(AND($F83="原始數據",$U83&lt;&gt;"連結 SRC"),1,0)</f>
        <v>0</v>
      </c>
      <c r="W83" s="183" t="n">
        <f aca="false">IF(AND($F83="Analogy",OR($H83="—",$H83="")),1,0)</f>
        <v>0</v>
      </c>
      <c r="X83" s="183" t="n">
        <f aca="false">IF(AND(OR($F83="Analogy",$F83="Assumed"),$G83&lt;&gt;"低",$G83&lt;&gt;"高",NOT(ISNUMBER($K83)),NOT(ISNUMBER($L83)),OR($M83="—",$M83="")),1,0)</f>
        <v>0</v>
      </c>
      <c r="Y83" s="183" t="n">
        <f aca="false">IF(AND(OR($F83="Analogy",$F83="Assumed",$F83="Derived（待改公式）",$F83="Derived（公式）"),OR($N83="—",$N83="",$N83=0)),1,0)</f>
        <v>0</v>
      </c>
      <c r="Z83" s="183" t="n">
        <f aca="false">IF(AND($F83="Decision",OR($J83="—",$J83="")),1,0)</f>
        <v>0</v>
      </c>
      <c r="AA83" s="180" t="n">
        <f aca="false">IF(OR($J83="—",$J83=""),0,IF(COUNTIF(Decisions!$A$5:$A$300,$J83)=0,1,0))</f>
        <v>0</v>
      </c>
      <c r="AB83" s="183" t="n">
        <f aca="false">IF(AND($F83="原始數據",$S83&lt;&gt;"Active"),1,0)</f>
        <v>0</v>
      </c>
      <c r="AC83" s="183" t="n">
        <f aca="false">IF(AND(ISNUMBER($K83),ISNUMBER($L83),ISNUMBER($Q83)),IF(OR($Q83&lt;MIN($K83,$L83),$Q83&gt;MAX($K83,$L83)),1,0),0)</f>
        <v>0</v>
      </c>
      <c r="AD83" s="183" t="n">
        <f aca="false">IF(AND(ISNUMBER($T83),$P83="高"),IF($T83=3,1,0),0)</f>
        <v>0</v>
      </c>
      <c r="AE83" s="183" t="n">
        <f aca="false">IF($S83="不存在",1,0)</f>
        <v>0</v>
      </c>
      <c r="AF83" s="34" t="str">
        <f aca="false">IF(OR($H83="—",$H83=""),"—",MATCH($H83,IDX_SrcID,0))</f>
        <v>—</v>
      </c>
    </row>
    <row r="84" customFormat="false" ht="29.25" hidden="false" customHeight="true" outlineLevel="0" collapsed="false">
      <c r="A84" s="35" t="s">
        <v>2882</v>
      </c>
      <c r="B84" s="209" t="s">
        <v>2677</v>
      </c>
      <c r="C84" s="35" t="s">
        <v>2835</v>
      </c>
      <c r="D84" s="35" t="s">
        <v>2883</v>
      </c>
      <c r="E84" s="18" t="s">
        <v>156</v>
      </c>
      <c r="F84" s="35" t="s">
        <v>72</v>
      </c>
      <c r="G84" s="209" t="s">
        <v>1100</v>
      </c>
      <c r="H84" s="35" t="s">
        <v>571</v>
      </c>
      <c r="I84" s="6" t="s">
        <v>571</v>
      </c>
      <c r="J84" s="35" t="s">
        <v>571</v>
      </c>
      <c r="K84" s="209"/>
      <c r="L84" s="209"/>
      <c r="M84" s="35" t="s">
        <v>571</v>
      </c>
      <c r="N84" s="6" t="s">
        <v>2884</v>
      </c>
      <c r="O84" s="6" t="s">
        <v>571</v>
      </c>
      <c r="P84" s="209" t="s">
        <v>2682</v>
      </c>
      <c r="Q84" s="40" t="n">
        <f aca="false">Spec_Rack!C10</f>
        <v>44</v>
      </c>
      <c r="R84" s="35" t="s">
        <v>571</v>
      </c>
      <c r="S84" s="34" t="str">
        <f aca="false">IF(ISNUMBER($AF84),INDEX(IDX_SrcStat,$AF84),"—")</f>
        <v>—</v>
      </c>
      <c r="T84" s="34" t="str">
        <f aca="false">IF(ISNUMBER($AF84),INDEX(IDX_SrcGrade,$AF84),"—")</f>
        <v>—</v>
      </c>
      <c r="U84" s="34" t="s">
        <v>2683</v>
      </c>
      <c r="V84" s="183" t="n">
        <f aca="false">IF(AND($F84="原始數據",$U84&lt;&gt;"連結 SRC"),1,0)</f>
        <v>0</v>
      </c>
      <c r="W84" s="183" t="n">
        <f aca="false">IF(AND($F84="Analogy",OR($H84="—",$H84="")),1,0)</f>
        <v>0</v>
      </c>
      <c r="X84" s="183" t="n">
        <f aca="false">IF(AND(OR($F84="Analogy",$F84="Assumed"),$G84&lt;&gt;"低",$G84&lt;&gt;"高",NOT(ISNUMBER($K84)),NOT(ISNUMBER($L84)),OR($M84="—",$M84="")),1,0)</f>
        <v>0</v>
      </c>
      <c r="Y84" s="183" t="n">
        <f aca="false">IF(AND(OR($F84="Analogy",$F84="Assumed",$F84="Derived（待改公式）",$F84="Derived（公式）"),OR($N84="—",$N84="",$N84=0)),1,0)</f>
        <v>0</v>
      </c>
      <c r="Z84" s="183" t="n">
        <f aca="false">IF(AND($F84="Decision",OR($J84="—",$J84="")),1,0)</f>
        <v>0</v>
      </c>
      <c r="AA84" s="180" t="n">
        <f aca="false">IF(OR($J84="—",$J84=""),0,IF(COUNTIF(Decisions!$A$5:$A$300,$J84)=0,1,0))</f>
        <v>0</v>
      </c>
      <c r="AB84" s="183" t="n">
        <f aca="false">IF(AND($F84="原始數據",$S84&lt;&gt;"Active"),1,0)</f>
        <v>0</v>
      </c>
      <c r="AC84" s="183" t="n">
        <f aca="false">IF(AND(ISNUMBER($K84),ISNUMBER($L84),ISNUMBER($Q84)),IF(OR($Q84&lt;MIN($K84,$L84),$Q84&gt;MAX($K84,$L84)),1,0),0)</f>
        <v>0</v>
      </c>
      <c r="AD84" s="183" t="n">
        <f aca="false">IF(AND(ISNUMBER($T84),$P84="高"),IF($T84=3,1,0),0)</f>
        <v>0</v>
      </c>
      <c r="AE84" s="183" t="n">
        <f aca="false">IF($S84="不存在",1,0)</f>
        <v>0</v>
      </c>
      <c r="AF84" s="34" t="str">
        <f aca="false">IF(OR($H84="—",$H84=""),"—",MATCH($H84,IDX_SrcID,0))</f>
        <v>—</v>
      </c>
    </row>
    <row r="85" customFormat="false" ht="15" hidden="false" customHeight="true" outlineLevel="0" collapsed="false">
      <c r="A85" s="35" t="s">
        <v>2885</v>
      </c>
      <c r="B85" s="209" t="s">
        <v>2677</v>
      </c>
      <c r="C85" s="35" t="s">
        <v>2835</v>
      </c>
      <c r="D85" s="35" t="s">
        <v>2697</v>
      </c>
      <c r="E85" s="18" t="s">
        <v>156</v>
      </c>
      <c r="F85" s="35" t="s">
        <v>72</v>
      </c>
      <c r="G85" s="209" t="s">
        <v>1100</v>
      </c>
      <c r="H85" s="35" t="s">
        <v>571</v>
      </c>
      <c r="I85" s="6" t="s">
        <v>571</v>
      </c>
      <c r="J85" s="35" t="s">
        <v>571</v>
      </c>
      <c r="K85" s="209"/>
      <c r="L85" s="209"/>
      <c r="M85" s="35" t="s">
        <v>571</v>
      </c>
      <c r="N85" s="6" t="s">
        <v>2886</v>
      </c>
      <c r="O85" s="6" t="s">
        <v>571</v>
      </c>
      <c r="P85" s="209" t="s">
        <v>2682</v>
      </c>
      <c r="Q85" s="40" t="n">
        <f aca="false">Spec_Rack!D10</f>
        <v>140</v>
      </c>
      <c r="R85" s="35" t="s">
        <v>571</v>
      </c>
      <c r="S85" s="34" t="str">
        <f aca="false">IF(ISNUMBER($AF85),INDEX(IDX_SrcStat,$AF85),"—")</f>
        <v>—</v>
      </c>
      <c r="T85" s="34" t="str">
        <f aca="false">IF(ISNUMBER($AF85),INDEX(IDX_SrcGrade,$AF85),"—")</f>
        <v>—</v>
      </c>
      <c r="U85" s="34" t="s">
        <v>2683</v>
      </c>
      <c r="V85" s="183" t="n">
        <f aca="false">IF(AND($F85="原始數據",$U85&lt;&gt;"連結 SRC"),1,0)</f>
        <v>0</v>
      </c>
      <c r="W85" s="183" t="n">
        <f aca="false">IF(AND($F85="Analogy",OR($H85="—",$H85="")),1,0)</f>
        <v>0</v>
      </c>
      <c r="X85" s="183" t="n">
        <f aca="false">IF(AND(OR($F85="Analogy",$F85="Assumed"),$G85&lt;&gt;"低",$G85&lt;&gt;"高",NOT(ISNUMBER($K85)),NOT(ISNUMBER($L85)),OR($M85="—",$M85="")),1,0)</f>
        <v>0</v>
      </c>
      <c r="Y85" s="183" t="n">
        <f aca="false">IF(AND(OR($F85="Analogy",$F85="Assumed",$F85="Derived（待改公式）",$F85="Derived（公式）"),OR($N85="—",$N85="",$N85=0)),1,0)</f>
        <v>0</v>
      </c>
      <c r="Z85" s="183" t="n">
        <f aca="false">IF(AND($F85="Decision",OR($J85="—",$J85="")),1,0)</f>
        <v>0</v>
      </c>
      <c r="AA85" s="180" t="n">
        <f aca="false">IF(OR($J85="—",$J85=""),0,IF(COUNTIF(Decisions!$A$5:$A$300,$J85)=0,1,0))</f>
        <v>0</v>
      </c>
      <c r="AB85" s="183" t="n">
        <f aca="false">IF(AND($F85="原始數據",$S85&lt;&gt;"Active"),1,0)</f>
        <v>0</v>
      </c>
      <c r="AC85" s="183" t="n">
        <f aca="false">IF(AND(ISNUMBER($K85),ISNUMBER($L85),ISNUMBER($Q85)),IF(OR($Q85&lt;MIN($K85,$L85),$Q85&gt;MAX($K85,$L85)),1,0),0)</f>
        <v>0</v>
      </c>
      <c r="AD85" s="183" t="n">
        <f aca="false">IF(AND(ISNUMBER($T85),$P85="高"),IF($T85=3,1,0),0)</f>
        <v>0</v>
      </c>
      <c r="AE85" s="183" t="n">
        <f aca="false">IF($S85="不存在",1,0)</f>
        <v>0</v>
      </c>
      <c r="AF85" s="34" t="str">
        <f aca="false">IF(OR($H85="—",$H85=""),"—",MATCH($H85,IDX_SrcID,0))</f>
        <v>—</v>
      </c>
    </row>
    <row r="86" customFormat="false" ht="15" hidden="false" customHeight="true" outlineLevel="0" collapsed="false">
      <c r="A86" s="35" t="s">
        <v>2887</v>
      </c>
      <c r="B86" s="209" t="s">
        <v>2677</v>
      </c>
      <c r="C86" s="35" t="s">
        <v>2835</v>
      </c>
      <c r="D86" s="35" t="s">
        <v>2591</v>
      </c>
      <c r="E86" s="18" t="s">
        <v>156</v>
      </c>
      <c r="F86" s="209" t="s">
        <v>290</v>
      </c>
      <c r="G86" s="209" t="s">
        <v>2679</v>
      </c>
      <c r="H86" s="35" t="s">
        <v>2855</v>
      </c>
      <c r="I86" s="18" t="s">
        <v>2714</v>
      </c>
      <c r="J86" s="35" t="s">
        <v>571</v>
      </c>
      <c r="K86" s="209"/>
      <c r="L86" s="209"/>
      <c r="M86" s="35" t="s">
        <v>571</v>
      </c>
      <c r="N86" s="18" t="s">
        <v>2812</v>
      </c>
      <c r="O86" s="6" t="s">
        <v>571</v>
      </c>
      <c r="P86" s="209" t="s">
        <v>2682</v>
      </c>
      <c r="Q86" s="40" t="n">
        <f aca="false">Spec_Rack!E10</f>
        <v>140</v>
      </c>
      <c r="R86" s="182" t="n">
        <f aca="false">SRC_HW_005_Hi</f>
        <v>140</v>
      </c>
      <c r="S86" s="34" t="str">
        <f aca="false">IF(ISNUMBER($AF86),INDEX(IDX_SrcStat,$AF86),"—")</f>
        <v>Active</v>
      </c>
      <c r="T86" s="34" t="n">
        <f aca="false">IF(ISNUMBER($AF86),INDEX(IDX_SrcGrade,$AF86),"—")</f>
        <v>2</v>
      </c>
      <c r="U86" s="34" t="s">
        <v>2716</v>
      </c>
      <c r="V86" s="183" t="n">
        <f aca="false">IF(AND($F86="原始數據",$U86&lt;&gt;"連結 SRC"),1,0)</f>
        <v>0</v>
      </c>
      <c r="W86" s="183" t="n">
        <f aca="false">IF(AND($F86="Analogy",OR($H86="—",$H86="")),1,0)</f>
        <v>0</v>
      </c>
      <c r="X86" s="183" t="n">
        <f aca="false">IF(AND(OR($F86="Analogy",$F86="Assumed"),$G86&lt;&gt;"低",$G86&lt;&gt;"高",NOT(ISNUMBER($K86)),NOT(ISNUMBER($L86)),OR($M86="—",$M86="")),1,0)</f>
        <v>0</v>
      </c>
      <c r="Y86" s="183" t="n">
        <f aca="false">IF(AND(OR($F86="Analogy",$F86="Assumed",$F86="Derived（待改公式）",$F86="Derived（公式）"),OR($N86="—",$N86="",$N86=0)),1,0)</f>
        <v>0</v>
      </c>
      <c r="Z86" s="183" t="n">
        <f aca="false">IF(AND($F86="Decision",OR($J86="—",$J86="")),1,0)</f>
        <v>0</v>
      </c>
      <c r="AA86" s="180" t="n">
        <f aca="false">IF(OR($J86="—",$J86=""),0,IF(COUNTIF(Decisions!$A$5:$A$300,$J86)=0,1,0))</f>
        <v>0</v>
      </c>
      <c r="AB86" s="183" t="n">
        <f aca="false">IF(AND($F86="原始數據",$S86&lt;&gt;"Active"),1,0)</f>
        <v>0</v>
      </c>
      <c r="AC86" s="183" t="n">
        <f aca="false">IF(AND(ISNUMBER($K86),ISNUMBER($L86),ISNUMBER($Q86)),IF(OR($Q86&lt;MIN($K86,$L86),$Q86&gt;MAX($K86,$L86)),1,0),0)</f>
        <v>0</v>
      </c>
      <c r="AD86" s="183" t="n">
        <f aca="false">IF(AND(ISNUMBER($T86),$P86="高"),IF($T86=3,1,0),0)</f>
        <v>0</v>
      </c>
      <c r="AE86" s="183" t="n">
        <f aca="false">IF($S86="不存在",1,0)</f>
        <v>0</v>
      </c>
      <c r="AF86" s="34" t="n">
        <f aca="false">IF(OR($H86="—",$H86=""),"—",MATCH($H86,IDX_SrcID,0))</f>
        <v>5</v>
      </c>
    </row>
    <row r="87" customFormat="false" ht="15" hidden="false" customHeight="true" outlineLevel="0" collapsed="false">
      <c r="A87" s="35" t="s">
        <v>2888</v>
      </c>
      <c r="B87" s="209" t="s">
        <v>2677</v>
      </c>
      <c r="C87" s="35" t="s">
        <v>2835</v>
      </c>
      <c r="D87" s="35" t="s">
        <v>2699</v>
      </c>
      <c r="E87" s="18" t="s">
        <v>156</v>
      </c>
      <c r="F87" s="209" t="s">
        <v>290</v>
      </c>
      <c r="G87" s="209" t="s">
        <v>2679</v>
      </c>
      <c r="H87" s="35" t="s">
        <v>2889</v>
      </c>
      <c r="I87" s="18" t="s">
        <v>2714</v>
      </c>
      <c r="J87" s="35" t="s">
        <v>571</v>
      </c>
      <c r="K87" s="209"/>
      <c r="L87" s="209"/>
      <c r="M87" s="35" t="s">
        <v>571</v>
      </c>
      <c r="N87" s="18" t="s">
        <v>2812</v>
      </c>
      <c r="O87" s="6" t="s">
        <v>571</v>
      </c>
      <c r="P87" s="209" t="s">
        <v>2682</v>
      </c>
      <c r="Q87" s="40" t="n">
        <f aca="false">Spec_Rack!F10</f>
        <v>230</v>
      </c>
      <c r="R87" s="182" t="n">
        <f aca="false">SRC_HW_012</f>
        <v>230</v>
      </c>
      <c r="S87" s="34" t="str">
        <f aca="false">IF(ISNUMBER($AF87),INDEX(IDX_SrcStat,$AF87),"—")</f>
        <v>Active</v>
      </c>
      <c r="T87" s="34" t="n">
        <f aca="false">IF(ISNUMBER($AF87),INDEX(IDX_SrcGrade,$AF87),"—")</f>
        <v>3</v>
      </c>
      <c r="U87" s="34" t="s">
        <v>2716</v>
      </c>
      <c r="V87" s="183" t="n">
        <f aca="false">IF(AND($F87="原始數據",$U87&lt;&gt;"連結 SRC"),1,0)</f>
        <v>0</v>
      </c>
      <c r="W87" s="183" t="n">
        <f aca="false">IF(AND($F87="Analogy",OR($H87="—",$H87="")),1,0)</f>
        <v>0</v>
      </c>
      <c r="X87" s="183" t="n">
        <f aca="false">IF(AND(OR($F87="Analogy",$F87="Assumed"),$G87&lt;&gt;"低",$G87&lt;&gt;"高",NOT(ISNUMBER($K87)),NOT(ISNUMBER($L87)),OR($M87="—",$M87="")),1,0)</f>
        <v>0</v>
      </c>
      <c r="Y87" s="183" t="n">
        <f aca="false">IF(AND(OR($F87="Analogy",$F87="Assumed",$F87="Derived（待改公式）",$F87="Derived（公式）"),OR($N87="—",$N87="",$N87=0)),1,0)</f>
        <v>0</v>
      </c>
      <c r="Z87" s="183" t="n">
        <f aca="false">IF(AND($F87="Decision",OR($J87="—",$J87="")),1,0)</f>
        <v>0</v>
      </c>
      <c r="AA87" s="180" t="n">
        <f aca="false">IF(OR($J87="—",$J87=""),0,IF(COUNTIF(Decisions!$A$5:$A$300,$J87)=0,1,0))</f>
        <v>0</v>
      </c>
      <c r="AB87" s="183" t="n">
        <f aca="false">IF(AND($F87="原始數據",$S87&lt;&gt;"Active"),1,0)</f>
        <v>0</v>
      </c>
      <c r="AC87" s="183" t="n">
        <f aca="false">IF(AND(ISNUMBER($K87),ISNUMBER($L87),ISNUMBER($Q87)),IF(OR($Q87&lt;MIN($K87,$L87),$Q87&gt;MAX($K87,$L87)),1,0),0)</f>
        <v>0</v>
      </c>
      <c r="AD87" s="183" t="n">
        <f aca="false">IF(AND(ISNUMBER($T87),$P87="高"),IF($T87=3,1,0),0)</f>
        <v>0</v>
      </c>
      <c r="AE87" s="183" t="n">
        <f aca="false">IF($S87="不存在",1,0)</f>
        <v>0</v>
      </c>
      <c r="AF87" s="34" t="n">
        <f aca="false">IF(OR($H87="—",$H87=""),"—",MATCH($H87,IDX_SrcID,0))</f>
        <v>12</v>
      </c>
    </row>
    <row r="88" customFormat="false" ht="29.25" hidden="false" customHeight="true" outlineLevel="0" collapsed="false">
      <c r="A88" s="35" t="s">
        <v>2890</v>
      </c>
      <c r="B88" s="209" t="s">
        <v>2677</v>
      </c>
      <c r="C88" s="35" t="s">
        <v>2835</v>
      </c>
      <c r="D88" s="35" t="s">
        <v>2891</v>
      </c>
      <c r="E88" s="18" t="s">
        <v>156</v>
      </c>
      <c r="F88" s="35" t="s">
        <v>250</v>
      </c>
      <c r="G88" s="209" t="s">
        <v>1100</v>
      </c>
      <c r="H88" s="35" t="s">
        <v>571</v>
      </c>
      <c r="I88" s="6" t="s">
        <v>571</v>
      </c>
      <c r="J88" s="35" t="s">
        <v>571</v>
      </c>
      <c r="K88" s="209"/>
      <c r="L88" s="209"/>
      <c r="M88" s="35" t="s">
        <v>571</v>
      </c>
      <c r="N88" s="6" t="s">
        <v>2892</v>
      </c>
      <c r="O88" s="6" t="s">
        <v>571</v>
      </c>
      <c r="P88" s="209" t="s">
        <v>2682</v>
      </c>
      <c r="Q88" s="40" t="n">
        <f aca="false">Spec_Rack!G10</f>
        <v>454</v>
      </c>
      <c r="R88" s="35" t="s">
        <v>571</v>
      </c>
      <c r="S88" s="34" t="str">
        <f aca="false">IF(ISNUMBER($AF88),INDEX(IDX_SrcStat,$AF88),"—")</f>
        <v>—</v>
      </c>
      <c r="T88" s="34" t="str">
        <f aca="false">IF(ISNUMBER($AF88),INDEX(IDX_SrcGrade,$AF88),"—")</f>
        <v>—</v>
      </c>
      <c r="U88" s="34" t="s">
        <v>2683</v>
      </c>
      <c r="V88" s="183" t="n">
        <f aca="false">IF(AND($F88="原始數據",$U88&lt;&gt;"連結 SRC"),1,0)</f>
        <v>0</v>
      </c>
      <c r="W88" s="183" t="n">
        <f aca="false">IF(AND($F88="Analogy",OR($H88="—",$H88="")),1,0)</f>
        <v>0</v>
      </c>
      <c r="X88" s="183" t="n">
        <f aca="false">IF(AND(OR($F88="Analogy",$F88="Assumed"),$G88&lt;&gt;"低",$G88&lt;&gt;"高",NOT(ISNUMBER($K88)),NOT(ISNUMBER($L88)),OR($M88="—",$M88="")),1,0)</f>
        <v>0</v>
      </c>
      <c r="Y88" s="183" t="n">
        <f aca="false">IF(AND(OR($F88="Analogy",$F88="Assumed",$F88="Derived（待改公式）",$F88="Derived（公式）"),OR($N88="—",$N88="",$N88=0)),1,0)</f>
        <v>0</v>
      </c>
      <c r="Z88" s="183" t="n">
        <f aca="false">IF(AND($F88="Decision",OR($J88="—",$J88="")),1,0)</f>
        <v>0</v>
      </c>
      <c r="AA88" s="180" t="n">
        <f aca="false">IF(OR($J88="—",$J88=""),0,IF(COUNTIF(Decisions!$A$5:$A$300,$J88)=0,1,0))</f>
        <v>0</v>
      </c>
      <c r="AB88" s="183" t="n">
        <f aca="false">IF(AND($F88="原始數據",$S88&lt;&gt;"Active"),1,0)</f>
        <v>0</v>
      </c>
      <c r="AC88" s="183" t="n">
        <f aca="false">IF(AND(ISNUMBER($K88),ISNUMBER($L88),ISNUMBER($Q88)),IF(OR($Q88&lt;MIN($K88,$L88),$Q88&gt;MAX($K88,$L88)),1,0),0)</f>
        <v>0</v>
      </c>
      <c r="AD88" s="183" t="n">
        <f aca="false">IF(AND(ISNUMBER($T88),$P88="高"),IF($T88=3,1,0),0)</f>
        <v>0</v>
      </c>
      <c r="AE88" s="183" t="n">
        <f aca="false">IF($S88="不存在",1,0)</f>
        <v>0</v>
      </c>
      <c r="AF88" s="34" t="str">
        <f aca="false">IF(OR($H88="—",$H88=""),"—",MATCH($H88,IDX_SrcID,0))</f>
        <v>—</v>
      </c>
    </row>
    <row r="89" customFormat="false" ht="43.5" hidden="false" customHeight="true" outlineLevel="0" collapsed="false">
      <c r="A89" s="35" t="s">
        <v>2893</v>
      </c>
      <c r="B89" s="209" t="s">
        <v>2677</v>
      </c>
      <c r="C89" s="35" t="s">
        <v>2835</v>
      </c>
      <c r="D89" s="35" t="s">
        <v>2894</v>
      </c>
      <c r="E89" s="18" t="s">
        <v>157</v>
      </c>
      <c r="F89" s="209" t="s">
        <v>2864</v>
      </c>
      <c r="G89" s="209" t="s">
        <v>1099</v>
      </c>
      <c r="H89" s="35" t="s">
        <v>2895</v>
      </c>
      <c r="I89" s="18" t="s">
        <v>2896</v>
      </c>
      <c r="J89" s="35" t="s">
        <v>571</v>
      </c>
      <c r="K89" s="209"/>
      <c r="L89" s="209"/>
      <c r="M89" s="35" t="s">
        <v>571</v>
      </c>
      <c r="N89" s="18" t="s">
        <v>2897</v>
      </c>
      <c r="O89" s="6" t="s">
        <v>571</v>
      </c>
      <c r="P89" s="209" t="s">
        <v>2682</v>
      </c>
      <c r="Q89" s="175" t="n">
        <f aca="false">Spec_Rack!C11</f>
        <v>0.9</v>
      </c>
      <c r="R89" s="182" t="n">
        <f aca="false">SRC_HW_003_Lo</f>
        <v>220000</v>
      </c>
      <c r="S89" s="34" t="str">
        <f aca="false">IF(ISNUMBER($AF89),INDEX(IDX_SrcStat,$AF89),"—")</f>
        <v>Active</v>
      </c>
      <c r="T89" s="34" t="n">
        <f aca="false">IF(ISNUMBER($AF89),INDEX(IDX_SrcGrade,$AF89),"—")</f>
        <v>2</v>
      </c>
      <c r="U89" s="34" t="s">
        <v>2683</v>
      </c>
      <c r="V89" s="183" t="n">
        <f aca="false">IF(AND($F89="原始數據",$U89&lt;&gt;"連結 SRC"),1,0)</f>
        <v>0</v>
      </c>
      <c r="W89" s="183" t="n">
        <f aca="false">IF(AND($F89="Analogy",OR($H89="—",$H89="")),1,0)</f>
        <v>0</v>
      </c>
      <c r="X89" s="183" t="n">
        <f aca="false">IF(AND(OR($F89="Analogy",$F89="Assumed"),$G89&lt;&gt;"低",$G89&lt;&gt;"高",NOT(ISNUMBER($K89)),NOT(ISNUMBER($L89)),OR($M89="—",$M89="")),1,0)</f>
        <v>0</v>
      </c>
      <c r="Y89" s="183" t="n">
        <f aca="false">IF(AND(OR($F89="Analogy",$F89="Assumed",$F89="Derived（待改公式）",$F89="Derived（公式）"),OR($N89="—",$N89="",$N89=0)),1,0)</f>
        <v>0</v>
      </c>
      <c r="Z89" s="183" t="n">
        <f aca="false">IF(AND($F89="Decision",OR($J89="—",$J89="")),1,0)</f>
        <v>0</v>
      </c>
      <c r="AA89" s="180" t="n">
        <f aca="false">IF(OR($J89="—",$J89=""),0,IF(COUNTIF(Decisions!$A$5:$A$300,$J89)=0,1,0))</f>
        <v>0</v>
      </c>
      <c r="AB89" s="183" t="n">
        <f aca="false">IF(AND($F89="原始數據",$S89&lt;&gt;"Active"),1,0)</f>
        <v>0</v>
      </c>
      <c r="AC89" s="183" t="n">
        <f aca="false">IF(AND(ISNUMBER($K89),ISNUMBER($L89),ISNUMBER($Q89)),IF(OR($Q89&lt;MIN($K89,$L89),$Q89&gt;MAX($K89,$L89)),1,0),0)</f>
        <v>0</v>
      </c>
      <c r="AD89" s="183" t="n">
        <f aca="false">IF(AND(ISNUMBER($T89),$P89="高"),IF($T89=3,1,0),0)</f>
        <v>0</v>
      </c>
      <c r="AE89" s="183" t="n">
        <f aca="false">IF($S89="不存在",1,0)</f>
        <v>0</v>
      </c>
      <c r="AF89" s="34" t="n">
        <f aca="false">IF(OR($H89="—",$H89=""),"—",MATCH($H89,IDX_SrcID,0))</f>
        <v>3</v>
      </c>
    </row>
    <row r="90" customFormat="false" ht="15" hidden="false" customHeight="true" outlineLevel="0" collapsed="false">
      <c r="A90" s="35" t="s">
        <v>2898</v>
      </c>
      <c r="B90" s="209" t="s">
        <v>2677</v>
      </c>
      <c r="C90" s="35" t="s">
        <v>2835</v>
      </c>
      <c r="D90" s="35" t="s">
        <v>2704</v>
      </c>
      <c r="E90" s="18" t="s">
        <v>157</v>
      </c>
      <c r="F90" s="209" t="s">
        <v>290</v>
      </c>
      <c r="G90" s="209" t="s">
        <v>2679</v>
      </c>
      <c r="H90" s="35" t="s">
        <v>2899</v>
      </c>
      <c r="I90" s="18" t="s">
        <v>2714</v>
      </c>
      <c r="J90" s="35" t="s">
        <v>571</v>
      </c>
      <c r="K90" s="209"/>
      <c r="L90" s="209"/>
      <c r="M90" s="35" t="s">
        <v>571</v>
      </c>
      <c r="N90" s="18" t="s">
        <v>2900</v>
      </c>
      <c r="O90" s="6" t="s">
        <v>571</v>
      </c>
      <c r="P90" s="209" t="s">
        <v>2682</v>
      </c>
      <c r="Q90" s="175" t="n">
        <f aca="false">Spec_Rack!D11</f>
        <v>2.8</v>
      </c>
      <c r="R90" s="182" t="n">
        <f aca="false">SRC_HW_006_Lo</f>
        <v>2.8</v>
      </c>
      <c r="S90" s="34" t="str">
        <f aca="false">IF(ISNUMBER($AF90),INDEX(IDX_SrcStat,$AF90),"—")</f>
        <v>Active</v>
      </c>
      <c r="T90" s="34" t="n">
        <f aca="false">IF(ISNUMBER($AF90),INDEX(IDX_SrcGrade,$AF90),"—")</f>
        <v>2</v>
      </c>
      <c r="U90" s="34" t="s">
        <v>2716</v>
      </c>
      <c r="V90" s="183" t="n">
        <f aca="false">IF(AND($F90="原始數據",$U90&lt;&gt;"連結 SRC"),1,0)</f>
        <v>0</v>
      </c>
      <c r="W90" s="183" t="n">
        <f aca="false">IF(AND($F90="Analogy",OR($H90="—",$H90="")),1,0)</f>
        <v>0</v>
      </c>
      <c r="X90" s="183" t="n">
        <f aca="false">IF(AND(OR($F90="Analogy",$F90="Assumed"),$G90&lt;&gt;"低",$G90&lt;&gt;"高",NOT(ISNUMBER($K90)),NOT(ISNUMBER($L90)),OR($M90="—",$M90="")),1,0)</f>
        <v>0</v>
      </c>
      <c r="Y90" s="183" t="n">
        <f aca="false">IF(AND(OR($F90="Analogy",$F90="Assumed",$F90="Derived（待改公式）",$F90="Derived（公式）"),OR($N90="—",$N90="",$N90=0)),1,0)</f>
        <v>0</v>
      </c>
      <c r="Z90" s="183" t="n">
        <f aca="false">IF(AND($F90="Decision",OR($J90="—",$J90="")),1,0)</f>
        <v>0</v>
      </c>
      <c r="AA90" s="180" t="n">
        <f aca="false">IF(OR($J90="—",$J90=""),0,IF(COUNTIF(Decisions!$A$5:$A$300,$J90)=0,1,0))</f>
        <v>0</v>
      </c>
      <c r="AB90" s="183" t="n">
        <f aca="false">IF(AND($F90="原始數據",$S90&lt;&gt;"Active"),1,0)</f>
        <v>0</v>
      </c>
      <c r="AC90" s="183" t="n">
        <f aca="false">IF(AND(ISNUMBER($K90),ISNUMBER($L90),ISNUMBER($Q90)),IF(OR($Q90&lt;MIN($K90,$L90),$Q90&gt;MAX($K90,$L90)),1,0),0)</f>
        <v>0</v>
      </c>
      <c r="AD90" s="183" t="n">
        <f aca="false">IF(AND(ISNUMBER($T90),$P90="高"),IF($T90=3,1,0),0)</f>
        <v>0</v>
      </c>
      <c r="AE90" s="183" t="n">
        <f aca="false">IF($S90="不存在",1,0)</f>
        <v>0</v>
      </c>
      <c r="AF90" s="34" t="n">
        <f aca="false">IF(OR($H90="—",$H90=""),"—",MATCH($H90,IDX_SrcID,0))</f>
        <v>6</v>
      </c>
    </row>
    <row r="91" customFormat="false" ht="15" hidden="false" customHeight="true" outlineLevel="0" collapsed="false">
      <c r="A91" s="35" t="s">
        <v>2901</v>
      </c>
      <c r="B91" s="209" t="s">
        <v>2677</v>
      </c>
      <c r="C91" s="35" t="s">
        <v>2835</v>
      </c>
      <c r="D91" s="35" t="s">
        <v>2594</v>
      </c>
      <c r="E91" s="18" t="s">
        <v>157</v>
      </c>
      <c r="F91" s="209" t="s">
        <v>290</v>
      </c>
      <c r="G91" s="209" t="s">
        <v>2679</v>
      </c>
      <c r="H91" s="35" t="s">
        <v>2902</v>
      </c>
      <c r="I91" s="18" t="s">
        <v>2714</v>
      </c>
      <c r="J91" s="35" t="s">
        <v>571</v>
      </c>
      <c r="K91" s="209"/>
      <c r="L91" s="209"/>
      <c r="M91" s="35" t="s">
        <v>571</v>
      </c>
      <c r="N91" s="18" t="s">
        <v>2900</v>
      </c>
      <c r="O91" s="6" t="s">
        <v>571</v>
      </c>
      <c r="P91" s="209" t="s">
        <v>2682</v>
      </c>
      <c r="Q91" s="175" t="n">
        <f aca="false">Spec_Rack!E11</f>
        <v>4</v>
      </c>
      <c r="R91" s="182" t="n">
        <f aca="false">SRC_HW_052</f>
        <v>4</v>
      </c>
      <c r="S91" s="34" t="str">
        <f aca="false">IF(ISNUMBER($AF91),INDEX(IDX_SrcStat,$AF91),"—")</f>
        <v>Active</v>
      </c>
      <c r="T91" s="34" t="n">
        <f aca="false">IF(ISNUMBER($AF91),INDEX(IDX_SrcGrade,$AF91),"—")</f>
        <v>3</v>
      </c>
      <c r="U91" s="34" t="s">
        <v>2716</v>
      </c>
      <c r="V91" s="183" t="n">
        <f aca="false">IF(AND($F91="原始數據",$U91&lt;&gt;"連結 SRC"),1,0)</f>
        <v>0</v>
      </c>
      <c r="W91" s="183" t="n">
        <f aca="false">IF(AND($F91="Analogy",OR($H91="—",$H91="")),1,0)</f>
        <v>0</v>
      </c>
      <c r="X91" s="183" t="n">
        <f aca="false">IF(AND(OR($F91="Analogy",$F91="Assumed"),$G91&lt;&gt;"低",$G91&lt;&gt;"高",NOT(ISNUMBER($K91)),NOT(ISNUMBER($L91)),OR($M91="—",$M91="")),1,0)</f>
        <v>0</v>
      </c>
      <c r="Y91" s="183" t="n">
        <f aca="false">IF(AND(OR($F91="Analogy",$F91="Assumed",$F91="Derived（待改公式）",$F91="Derived（公式）"),OR($N91="—",$N91="",$N91=0)),1,0)</f>
        <v>0</v>
      </c>
      <c r="Z91" s="183" t="n">
        <f aca="false">IF(AND($F91="Decision",OR($J91="—",$J91="")),1,0)</f>
        <v>0</v>
      </c>
      <c r="AA91" s="180" t="n">
        <f aca="false">IF(OR($J91="—",$J91=""),0,IF(COUNTIF(Decisions!$A$5:$A$300,$J91)=0,1,0))</f>
        <v>0</v>
      </c>
      <c r="AB91" s="183" t="n">
        <f aca="false">IF(AND($F91="原始數據",$S91&lt;&gt;"Active"),1,0)</f>
        <v>0</v>
      </c>
      <c r="AC91" s="183" t="n">
        <f aca="false">IF(AND(ISNUMBER($K91),ISNUMBER($L91),ISNUMBER($Q91)),IF(OR($Q91&lt;MIN($K91,$L91),$Q91&gt;MAX($K91,$L91)),1,0),0)</f>
        <v>0</v>
      </c>
      <c r="AD91" s="183" t="n">
        <f aca="false">IF(AND(ISNUMBER($T91),$P91="高"),IF($T91=3,1,0),0)</f>
        <v>0</v>
      </c>
      <c r="AE91" s="183" t="n">
        <f aca="false">IF($S91="不存在",1,0)</f>
        <v>0</v>
      </c>
      <c r="AF91" s="34" t="n">
        <f aca="false">IF(OR($H91="—",$H91=""),"—",MATCH($H91,IDX_SrcID,0))</f>
        <v>52</v>
      </c>
    </row>
    <row r="92" customFormat="false" ht="43.5" hidden="false" customHeight="true" outlineLevel="0" collapsed="false">
      <c r="A92" s="35" t="s">
        <v>2903</v>
      </c>
      <c r="B92" s="209" t="s">
        <v>2677</v>
      </c>
      <c r="C92" s="35" t="s">
        <v>2835</v>
      </c>
      <c r="D92" s="35" t="s">
        <v>2706</v>
      </c>
      <c r="E92" s="18" t="s">
        <v>157</v>
      </c>
      <c r="F92" s="209" t="s">
        <v>250</v>
      </c>
      <c r="G92" s="209" t="s">
        <v>1099</v>
      </c>
      <c r="H92" s="35" t="s">
        <v>2904</v>
      </c>
      <c r="I92" s="18" t="s">
        <v>2905</v>
      </c>
      <c r="J92" s="35" t="s">
        <v>571</v>
      </c>
      <c r="K92" s="209"/>
      <c r="L92" s="209"/>
      <c r="M92" s="35" t="s">
        <v>571</v>
      </c>
      <c r="N92" s="18" t="s">
        <v>2906</v>
      </c>
      <c r="O92" s="5" t="s">
        <v>2907</v>
      </c>
      <c r="P92" s="209" t="s">
        <v>2682</v>
      </c>
      <c r="Q92" s="175" t="n">
        <f aca="false">Spec_Rack!F11</f>
        <v>7.8</v>
      </c>
      <c r="R92" s="182" t="n">
        <f aca="false">SRC_HW_015</f>
        <v>7.8</v>
      </c>
      <c r="S92" s="34" t="str">
        <f aca="false">IF(ISNUMBER($AF92),INDEX(IDX_SrcStat,$AF92),"—")</f>
        <v>Active</v>
      </c>
      <c r="T92" s="34" t="n">
        <f aca="false">IF(ISNUMBER($AF92),INDEX(IDX_SrcGrade,$AF92),"—")</f>
        <v>2</v>
      </c>
      <c r="U92" s="34" t="s">
        <v>2683</v>
      </c>
      <c r="V92" s="183" t="n">
        <f aca="false">IF(AND($F92="原始數據",$U92&lt;&gt;"連結 SRC"),1,0)</f>
        <v>0</v>
      </c>
      <c r="W92" s="183" t="n">
        <f aca="false">IF(AND($F92="Analogy",OR($H92="—",$H92="")),1,0)</f>
        <v>0</v>
      </c>
      <c r="X92" s="183" t="n">
        <f aca="false">IF(AND(OR($F92="Analogy",$F92="Assumed"),$G92&lt;&gt;"低",$G92&lt;&gt;"高",NOT(ISNUMBER($K92)),NOT(ISNUMBER($L92)),OR($M92="—",$M92="")),1,0)</f>
        <v>0</v>
      </c>
      <c r="Y92" s="183" t="n">
        <f aca="false">IF(AND(OR($F92="Analogy",$F92="Assumed",$F92="Derived（待改公式）",$F92="Derived（公式）"),OR($N92="—",$N92="",$N92=0)),1,0)</f>
        <v>0</v>
      </c>
      <c r="Z92" s="183" t="n">
        <f aca="false">IF(AND($F92="Decision",OR($J92="—",$J92="")),1,0)</f>
        <v>0</v>
      </c>
      <c r="AA92" s="180" t="n">
        <f aca="false">IF(OR($J92="—",$J92=""),0,IF(COUNTIF(Decisions!$A$5:$A$300,$J92)=0,1,0))</f>
        <v>0</v>
      </c>
      <c r="AB92" s="183" t="n">
        <f aca="false">IF(AND($F92="原始數據",$S92&lt;&gt;"Active"),1,0)</f>
        <v>0</v>
      </c>
      <c r="AC92" s="183" t="n">
        <f aca="false">IF(AND(ISNUMBER($K92),ISNUMBER($L92),ISNUMBER($Q92)),IF(OR($Q92&lt;MIN($K92,$L92),$Q92&gt;MAX($K92,$L92)),1,0),0)</f>
        <v>0</v>
      </c>
      <c r="AD92" s="183" t="n">
        <f aca="false">IF(AND(ISNUMBER($T92),$P92="高"),IF($T92=3,1,0),0)</f>
        <v>0</v>
      </c>
      <c r="AE92" s="183" t="n">
        <f aca="false">IF($S92="不存在",1,0)</f>
        <v>0</v>
      </c>
      <c r="AF92" s="34" t="n">
        <f aca="false">IF(OR($H92="—",$H92=""),"—",MATCH($H92,IDX_SrcID,0))</f>
        <v>15</v>
      </c>
    </row>
    <row r="93" customFormat="false" ht="29.25" hidden="false" customHeight="true" outlineLevel="0" collapsed="false">
      <c r="A93" s="35" t="s">
        <v>2908</v>
      </c>
      <c r="B93" s="209" t="s">
        <v>2677</v>
      </c>
      <c r="C93" s="35" t="s">
        <v>2835</v>
      </c>
      <c r="D93" s="35" t="s">
        <v>2909</v>
      </c>
      <c r="E93" s="18" t="s">
        <v>157</v>
      </c>
      <c r="F93" s="35" t="s">
        <v>72</v>
      </c>
      <c r="G93" s="209" t="s">
        <v>1099</v>
      </c>
      <c r="H93" s="35" t="s">
        <v>571</v>
      </c>
      <c r="I93" s="6" t="s">
        <v>571</v>
      </c>
      <c r="J93" s="35" t="s">
        <v>571</v>
      </c>
      <c r="K93" s="209"/>
      <c r="L93" s="209"/>
      <c r="M93" s="35" t="s">
        <v>571</v>
      </c>
      <c r="N93" s="6" t="s">
        <v>2910</v>
      </c>
      <c r="O93" s="6" t="s">
        <v>2911</v>
      </c>
      <c r="P93" s="209" t="s">
        <v>2682</v>
      </c>
      <c r="Q93" s="175" t="n">
        <f aca="false">Spec_Rack!G11</f>
        <v>12.6</v>
      </c>
      <c r="R93" s="35" t="s">
        <v>571</v>
      </c>
      <c r="S93" s="34" t="str">
        <f aca="false">IF(ISNUMBER($AF93),INDEX(IDX_SrcStat,$AF93),"—")</f>
        <v>—</v>
      </c>
      <c r="T93" s="34" t="str">
        <f aca="false">IF(ISNUMBER($AF93),INDEX(IDX_SrcGrade,$AF93),"—")</f>
        <v>—</v>
      </c>
      <c r="U93" s="34" t="s">
        <v>2912</v>
      </c>
      <c r="V93" s="183" t="n">
        <f aca="false">IF(AND($F93="原始數據",$U93&lt;&gt;"連結 SRC"),1,0)</f>
        <v>0</v>
      </c>
      <c r="W93" s="183" t="n">
        <f aca="false">IF(AND($F93="Analogy",OR($H93="—",$H93="")),1,0)</f>
        <v>0</v>
      </c>
      <c r="X93" s="183" t="n">
        <f aca="false">IF(AND(OR($F93="Analogy",$F93="Assumed"),$G93&lt;&gt;"低",$G93&lt;&gt;"高",NOT(ISNUMBER($K93)),NOT(ISNUMBER($L93)),OR($M93="—",$M93="")),1,0)</f>
        <v>0</v>
      </c>
      <c r="Y93" s="183" t="n">
        <f aca="false">IF(AND(OR($F93="Analogy",$F93="Assumed",$F93="Derived（待改公式）",$F93="Derived（公式）"),OR($N93="—",$N93="",$N93=0)),1,0)</f>
        <v>0</v>
      </c>
      <c r="Z93" s="183" t="n">
        <f aca="false">IF(AND($F93="Decision",OR($J93="—",$J93="")),1,0)</f>
        <v>0</v>
      </c>
      <c r="AA93" s="180" t="n">
        <f aca="false">IF(OR($J93="—",$J93=""),0,IF(COUNTIF(Decisions!$A$5:$A$300,$J93)=0,1,0))</f>
        <v>0</v>
      </c>
      <c r="AB93" s="183" t="n">
        <f aca="false">IF(AND($F93="原始數據",$S93&lt;&gt;"Active"),1,0)</f>
        <v>0</v>
      </c>
      <c r="AC93" s="183" t="n">
        <f aca="false">IF(AND(ISNUMBER($K93),ISNUMBER($L93),ISNUMBER($Q93)),IF(OR($Q93&lt;MIN($K93,$L93),$Q93&gt;MAX($K93,$L93)),1,0),0)</f>
        <v>0</v>
      </c>
      <c r="AD93" s="183" t="n">
        <f aca="false">IF(AND(ISNUMBER($T93),$P93="高"),IF($T93=3,1,0),0)</f>
        <v>0</v>
      </c>
      <c r="AE93" s="183" t="n">
        <f aca="false">IF($S93="不存在",1,0)</f>
        <v>0</v>
      </c>
      <c r="AF93" s="34" t="str">
        <f aca="false">IF(OR($H93="—",$H93=""),"—",MATCH($H93,IDX_SrcID,0))</f>
        <v>—</v>
      </c>
    </row>
    <row r="94" customFormat="false" ht="43.5" hidden="false" customHeight="true" outlineLevel="0" collapsed="false">
      <c r="A94" s="35" t="s">
        <v>2913</v>
      </c>
      <c r="B94" s="209" t="s">
        <v>2677</v>
      </c>
      <c r="C94" s="35" t="s">
        <v>2835</v>
      </c>
      <c r="D94" s="35" t="s">
        <v>2914</v>
      </c>
      <c r="E94" s="18" t="s">
        <v>158</v>
      </c>
      <c r="F94" s="209" t="s">
        <v>2864</v>
      </c>
      <c r="G94" s="209" t="s">
        <v>57</v>
      </c>
      <c r="H94" s="35" t="s">
        <v>2895</v>
      </c>
      <c r="I94" s="18" t="s">
        <v>2915</v>
      </c>
      <c r="J94" s="35" t="s">
        <v>571</v>
      </c>
      <c r="K94" s="175" t="n">
        <f aca="false">Spec_Rack!C11</f>
        <v>0.9</v>
      </c>
      <c r="L94" s="175" t="n">
        <f aca="false">Spec_Rack!C13</f>
        <v>1.3</v>
      </c>
      <c r="M94" s="35" t="s">
        <v>571</v>
      </c>
      <c r="N94" s="18" t="s">
        <v>2916</v>
      </c>
      <c r="O94" s="6" t="s">
        <v>571</v>
      </c>
      <c r="P94" s="209" t="s">
        <v>1100</v>
      </c>
      <c r="Q94" s="175" t="n">
        <f aca="false">Spec_Rack!C12</f>
        <v>1.1</v>
      </c>
      <c r="R94" s="182" t="n">
        <f aca="false">SRC_HW_003_Lo</f>
        <v>220000</v>
      </c>
      <c r="S94" s="34" t="str">
        <f aca="false">IF(ISNUMBER($AF94),INDEX(IDX_SrcStat,$AF94),"—")</f>
        <v>Active</v>
      </c>
      <c r="T94" s="34" t="n">
        <f aca="false">IF(ISNUMBER($AF94),INDEX(IDX_SrcGrade,$AF94),"—")</f>
        <v>2</v>
      </c>
      <c r="U94" s="34" t="s">
        <v>2683</v>
      </c>
      <c r="V94" s="183" t="n">
        <f aca="false">IF(AND($F94="原始數據",$U94&lt;&gt;"連結 SRC"),1,0)</f>
        <v>0</v>
      </c>
      <c r="W94" s="183" t="n">
        <f aca="false">IF(AND($F94="Analogy",OR($H94="—",$H94="")),1,0)</f>
        <v>0</v>
      </c>
      <c r="X94" s="183" t="n">
        <f aca="false">IF(AND(OR($F94="Analogy",$F94="Assumed"),$G94&lt;&gt;"低",$G94&lt;&gt;"高",NOT(ISNUMBER($K94)),NOT(ISNUMBER($L94)),OR($M94="—",$M94="")),1,0)</f>
        <v>0</v>
      </c>
      <c r="Y94" s="183" t="n">
        <f aca="false">IF(AND(OR($F94="Analogy",$F94="Assumed",$F94="Derived（待改公式）",$F94="Derived（公式）"),OR($N94="—",$N94="",$N94=0)),1,0)</f>
        <v>0</v>
      </c>
      <c r="Z94" s="183" t="n">
        <f aca="false">IF(AND($F94="Decision",OR($J94="—",$J94="")),1,0)</f>
        <v>0</v>
      </c>
      <c r="AA94" s="180" t="n">
        <f aca="false">IF(OR($J94="—",$J94=""),0,IF(COUNTIF(Decisions!$A$5:$A$300,$J94)=0,1,0))</f>
        <v>0</v>
      </c>
      <c r="AB94" s="183" t="n">
        <f aca="false">IF(AND($F94="原始數據",$S94&lt;&gt;"Active"),1,0)</f>
        <v>0</v>
      </c>
      <c r="AC94" s="183" t="n">
        <f aca="false">IF(AND(ISNUMBER($K94),ISNUMBER($L94),ISNUMBER($Q94)),IF(OR($Q94&lt;MIN($K94,$L94),$Q94&gt;MAX($K94,$L94)),1,0),0)</f>
        <v>0</v>
      </c>
      <c r="AD94" s="183" t="n">
        <f aca="false">IF(AND(ISNUMBER($T94),$P94="高"),IF($T94=3,1,0),0)</f>
        <v>0</v>
      </c>
      <c r="AE94" s="183" t="n">
        <f aca="false">IF($S94="不存在",1,0)</f>
        <v>0</v>
      </c>
      <c r="AF94" s="34" t="n">
        <f aca="false">IF(OR($H94="—",$H94=""),"—",MATCH($H94,IDX_SrcID,0))</f>
        <v>3</v>
      </c>
    </row>
    <row r="95" customFormat="false" ht="29.25" hidden="false" customHeight="true" outlineLevel="0" collapsed="false">
      <c r="A95" s="35" t="s">
        <v>2917</v>
      </c>
      <c r="B95" s="209" t="s">
        <v>2677</v>
      </c>
      <c r="C95" s="35" t="s">
        <v>2835</v>
      </c>
      <c r="D95" s="35" t="s">
        <v>2918</v>
      </c>
      <c r="E95" s="18" t="s">
        <v>158</v>
      </c>
      <c r="F95" s="209" t="s">
        <v>2864</v>
      </c>
      <c r="G95" s="209" t="s">
        <v>57</v>
      </c>
      <c r="H95" s="35" t="s">
        <v>2899</v>
      </c>
      <c r="I95" s="18" t="s">
        <v>2919</v>
      </c>
      <c r="J95" s="35" t="s">
        <v>571</v>
      </c>
      <c r="K95" s="175" t="n">
        <f aca="false">Spec_Rack!D11</f>
        <v>2.8</v>
      </c>
      <c r="L95" s="175" t="n">
        <f aca="false">Spec_Rack!D13</f>
        <v>3.4</v>
      </c>
      <c r="M95" s="35" t="s">
        <v>571</v>
      </c>
      <c r="N95" s="18" t="s">
        <v>2920</v>
      </c>
      <c r="O95" s="6" t="s">
        <v>571</v>
      </c>
      <c r="P95" s="209" t="s">
        <v>1100</v>
      </c>
      <c r="Q95" s="175" t="n">
        <f aca="false">Spec_Rack!D12</f>
        <v>3.1</v>
      </c>
      <c r="R95" s="182" t="n">
        <f aca="false">SRC_HW_006_Lo</f>
        <v>2.8</v>
      </c>
      <c r="S95" s="34" t="str">
        <f aca="false">IF(ISNUMBER($AF95),INDEX(IDX_SrcStat,$AF95),"—")</f>
        <v>Active</v>
      </c>
      <c r="T95" s="34" t="n">
        <f aca="false">IF(ISNUMBER($AF95),INDEX(IDX_SrcGrade,$AF95),"—")</f>
        <v>2</v>
      </c>
      <c r="U95" s="34" t="s">
        <v>2683</v>
      </c>
      <c r="V95" s="183" t="n">
        <f aca="false">IF(AND($F95="原始數據",$U95&lt;&gt;"連結 SRC"),1,0)</f>
        <v>0</v>
      </c>
      <c r="W95" s="183" t="n">
        <f aca="false">IF(AND($F95="Analogy",OR($H95="—",$H95="")),1,0)</f>
        <v>0</v>
      </c>
      <c r="X95" s="183" t="n">
        <f aca="false">IF(AND(OR($F95="Analogy",$F95="Assumed"),$G95&lt;&gt;"低",$G95&lt;&gt;"高",NOT(ISNUMBER($K95)),NOT(ISNUMBER($L95)),OR($M95="—",$M95="")),1,0)</f>
        <v>0</v>
      </c>
      <c r="Y95" s="183" t="n">
        <f aca="false">IF(AND(OR($F95="Analogy",$F95="Assumed",$F95="Derived（待改公式）",$F95="Derived（公式）"),OR($N95="—",$N95="",$N95=0)),1,0)</f>
        <v>0</v>
      </c>
      <c r="Z95" s="183" t="n">
        <f aca="false">IF(AND($F95="Decision",OR($J95="—",$J95="")),1,0)</f>
        <v>0</v>
      </c>
      <c r="AA95" s="180" t="n">
        <f aca="false">IF(OR($J95="—",$J95=""),0,IF(COUNTIF(Decisions!$A$5:$A$300,$J95)=0,1,0))</f>
        <v>0</v>
      </c>
      <c r="AB95" s="183" t="n">
        <f aca="false">IF(AND($F95="原始數據",$S95&lt;&gt;"Active"),1,0)</f>
        <v>0</v>
      </c>
      <c r="AC95" s="183" t="n">
        <f aca="false">IF(AND(ISNUMBER($K95),ISNUMBER($L95),ISNUMBER($Q95)),IF(OR($Q95&lt;MIN($K95,$L95),$Q95&gt;MAX($K95,$L95)),1,0),0)</f>
        <v>0</v>
      </c>
      <c r="AD95" s="183" t="n">
        <f aca="false">IF(AND(ISNUMBER($T95),$P95="高"),IF($T95=3,1,0),0)</f>
        <v>0</v>
      </c>
      <c r="AE95" s="183" t="n">
        <f aca="false">IF($S95="不存在",1,0)</f>
        <v>0</v>
      </c>
      <c r="AF95" s="34" t="n">
        <f aca="false">IF(OR($H95="—",$H95=""),"—",MATCH($H95,IDX_SrcID,0))</f>
        <v>6</v>
      </c>
    </row>
    <row r="96" customFormat="false" ht="15" hidden="false" customHeight="true" outlineLevel="0" collapsed="false">
      <c r="A96" s="35" t="s">
        <v>2921</v>
      </c>
      <c r="B96" s="209" t="s">
        <v>2677</v>
      </c>
      <c r="C96" s="35" t="s">
        <v>2835</v>
      </c>
      <c r="D96" s="35" t="s">
        <v>2597</v>
      </c>
      <c r="E96" s="18" t="s">
        <v>158</v>
      </c>
      <c r="F96" s="209" t="s">
        <v>290</v>
      </c>
      <c r="G96" s="209" t="s">
        <v>2679</v>
      </c>
      <c r="H96" s="35" t="s">
        <v>2922</v>
      </c>
      <c r="I96" s="18" t="s">
        <v>2714</v>
      </c>
      <c r="J96" s="35" t="s">
        <v>571</v>
      </c>
      <c r="K96" s="209"/>
      <c r="L96" s="209"/>
      <c r="M96" s="35" t="s">
        <v>571</v>
      </c>
      <c r="N96" s="18" t="s">
        <v>2812</v>
      </c>
      <c r="O96" s="6" t="s">
        <v>571</v>
      </c>
      <c r="P96" s="209" t="s">
        <v>1100</v>
      </c>
      <c r="Q96" s="175" t="n">
        <f aca="false">Spec_Rack!E12</f>
        <v>5</v>
      </c>
      <c r="R96" s="182" t="n">
        <f aca="false">SRC_HW_010</f>
        <v>5</v>
      </c>
      <c r="S96" s="34" t="str">
        <f aca="false">IF(ISNUMBER($AF96),INDEX(IDX_SrcStat,$AF96),"—")</f>
        <v>Active</v>
      </c>
      <c r="T96" s="34" t="n">
        <f aca="false">IF(ISNUMBER($AF96),INDEX(IDX_SrcGrade,$AF96),"—")</f>
        <v>2</v>
      </c>
      <c r="U96" s="34" t="s">
        <v>2716</v>
      </c>
      <c r="V96" s="183" t="n">
        <f aca="false">IF(AND($F96="原始數據",$U96&lt;&gt;"連結 SRC"),1,0)</f>
        <v>0</v>
      </c>
      <c r="W96" s="183" t="n">
        <f aca="false">IF(AND($F96="Analogy",OR($H96="—",$H96="")),1,0)</f>
        <v>0</v>
      </c>
      <c r="X96" s="183" t="n">
        <f aca="false">IF(AND(OR($F96="Analogy",$F96="Assumed"),$G96&lt;&gt;"低",$G96&lt;&gt;"高",NOT(ISNUMBER($K96)),NOT(ISNUMBER($L96)),OR($M96="—",$M96="")),1,0)</f>
        <v>0</v>
      </c>
      <c r="Y96" s="183" t="n">
        <f aca="false">IF(AND(OR($F96="Analogy",$F96="Assumed",$F96="Derived（待改公式）",$F96="Derived（公式）"),OR($N96="—",$N96="",$N96=0)),1,0)</f>
        <v>0</v>
      </c>
      <c r="Z96" s="183" t="n">
        <f aca="false">IF(AND($F96="Decision",OR($J96="—",$J96="")),1,0)</f>
        <v>0</v>
      </c>
      <c r="AA96" s="180" t="n">
        <f aca="false">IF(OR($J96="—",$J96=""),0,IF(COUNTIF(Decisions!$A$5:$A$300,$J96)=0,1,0))</f>
        <v>0</v>
      </c>
      <c r="AB96" s="183" t="n">
        <f aca="false">IF(AND($F96="原始數據",$S96&lt;&gt;"Active"),1,0)</f>
        <v>0</v>
      </c>
      <c r="AC96" s="183" t="n">
        <f aca="false">IF(AND(ISNUMBER($K96),ISNUMBER($L96),ISNUMBER($Q96)),IF(OR($Q96&lt;MIN($K96,$L96),$Q96&gt;MAX($K96,$L96)),1,0),0)</f>
        <v>0</v>
      </c>
      <c r="AD96" s="183" t="n">
        <f aca="false">IF(AND(ISNUMBER($T96),$P96="高"),IF($T96=3,1,0),0)</f>
        <v>0</v>
      </c>
      <c r="AE96" s="183" t="n">
        <f aca="false">IF($S96="不存在",1,0)</f>
        <v>0</v>
      </c>
      <c r="AF96" s="34" t="n">
        <f aca="false">IF(OR($H96="—",$H96=""),"—",MATCH($H96,IDX_SrcID,0))</f>
        <v>10</v>
      </c>
    </row>
    <row r="97" customFormat="false" ht="15" hidden="false" customHeight="true" outlineLevel="0" collapsed="false">
      <c r="A97" s="35" t="s">
        <v>2923</v>
      </c>
      <c r="B97" s="209" t="s">
        <v>2677</v>
      </c>
      <c r="C97" s="35" t="s">
        <v>2835</v>
      </c>
      <c r="D97" s="35" t="s">
        <v>2924</v>
      </c>
      <c r="E97" s="18" t="s">
        <v>158</v>
      </c>
      <c r="F97" s="209" t="s">
        <v>250</v>
      </c>
      <c r="G97" s="209" t="s">
        <v>57</v>
      </c>
      <c r="H97" s="35" t="s">
        <v>2904</v>
      </c>
      <c r="I97" s="18" t="s">
        <v>2925</v>
      </c>
      <c r="J97" s="35" t="s">
        <v>571</v>
      </c>
      <c r="K97" s="213" t="n">
        <f aca="false">Spec_Rack!F11</f>
        <v>7.8</v>
      </c>
      <c r="L97" s="213" t="n">
        <f aca="false">Spec_Rack!F13</f>
        <v>9.1</v>
      </c>
      <c r="M97" s="35" t="s">
        <v>571</v>
      </c>
      <c r="N97" s="18" t="s">
        <v>2926</v>
      </c>
      <c r="O97" s="5" t="s">
        <v>2927</v>
      </c>
      <c r="P97" s="209" t="s">
        <v>1100</v>
      </c>
      <c r="Q97" s="175" t="n">
        <f aca="false">Spec_Rack!F12</f>
        <v>8.4</v>
      </c>
      <c r="R97" s="182" t="n">
        <f aca="false">SRC_HW_015</f>
        <v>7.8</v>
      </c>
      <c r="S97" s="34" t="str">
        <f aca="false">IF(ISNUMBER($AF97),INDEX(IDX_SrcStat,$AF97),"—")</f>
        <v>Active</v>
      </c>
      <c r="T97" s="34" t="n">
        <f aca="false">IF(ISNUMBER($AF97),INDEX(IDX_SrcGrade,$AF97),"—")</f>
        <v>2</v>
      </c>
      <c r="U97" s="34" t="s">
        <v>2683</v>
      </c>
      <c r="V97" s="183" t="n">
        <f aca="false">IF(AND($F97="原始數據",$U97&lt;&gt;"連結 SRC"),1,0)</f>
        <v>0</v>
      </c>
      <c r="W97" s="183" t="n">
        <f aca="false">IF(AND($F97="Analogy",OR($H97="—",$H97="")),1,0)</f>
        <v>0</v>
      </c>
      <c r="X97" s="183" t="n">
        <f aca="false">IF(AND(OR($F97="Analogy",$F97="Assumed"),$G97&lt;&gt;"低",$G97&lt;&gt;"高",NOT(ISNUMBER($K97)),NOT(ISNUMBER($L97)),OR($M97="—",$M97="")),1,0)</f>
        <v>0</v>
      </c>
      <c r="Y97" s="183" t="n">
        <f aca="false">IF(AND(OR($F97="Analogy",$F97="Assumed",$F97="Derived（待改公式）",$F97="Derived（公式）"),OR($N97="—",$N97="",$N97=0)),1,0)</f>
        <v>0</v>
      </c>
      <c r="Z97" s="183" t="n">
        <f aca="false">IF(AND($F97="Decision",OR($J97="—",$J97="")),1,0)</f>
        <v>0</v>
      </c>
      <c r="AA97" s="180" t="n">
        <f aca="false">IF(OR($J97="—",$J97=""),0,IF(COUNTIF(Decisions!$A$5:$A$300,$J97)=0,1,0))</f>
        <v>0</v>
      </c>
      <c r="AB97" s="183" t="n">
        <f aca="false">IF(AND($F97="原始數據",$S97&lt;&gt;"Active"),1,0)</f>
        <v>0</v>
      </c>
      <c r="AC97" s="183" t="n">
        <f aca="false">IF(AND(ISNUMBER($K97),ISNUMBER($L97),ISNUMBER($Q97)),IF(OR($Q97&lt;MIN($K97,$L97),$Q97&gt;MAX($K97,$L97)),1,0),0)</f>
        <v>0</v>
      </c>
      <c r="AD97" s="183" t="n">
        <f aca="false">IF(AND(ISNUMBER($T97),$P97="高"),IF($T97=3,1,0),0)</f>
        <v>0</v>
      </c>
      <c r="AE97" s="183" t="n">
        <f aca="false">IF($S97="不存在",1,0)</f>
        <v>0</v>
      </c>
      <c r="AF97" s="34" t="n">
        <f aca="false">IF(OR($H97="—",$H97=""),"—",MATCH($H97,IDX_SrcID,0))</f>
        <v>15</v>
      </c>
    </row>
    <row r="98" customFormat="false" ht="29.25" hidden="false" customHeight="true" outlineLevel="0" collapsed="false">
      <c r="A98" s="35" t="s">
        <v>2928</v>
      </c>
      <c r="B98" s="209" t="s">
        <v>2677</v>
      </c>
      <c r="C98" s="35" t="s">
        <v>2835</v>
      </c>
      <c r="D98" s="35" t="s">
        <v>2929</v>
      </c>
      <c r="E98" s="18" t="s">
        <v>158</v>
      </c>
      <c r="F98" s="35" t="s">
        <v>72</v>
      </c>
      <c r="G98" s="209" t="s">
        <v>57</v>
      </c>
      <c r="H98" s="35" t="s">
        <v>571</v>
      </c>
      <c r="I98" s="6" t="s">
        <v>571</v>
      </c>
      <c r="J98" s="35" t="s">
        <v>571</v>
      </c>
      <c r="K98" s="175" t="n">
        <f aca="false">Spec_Rack!G11</f>
        <v>12.6</v>
      </c>
      <c r="L98" s="175" t="n">
        <f aca="false">Spec_Rack!G13</f>
        <v>21</v>
      </c>
      <c r="M98" s="35" t="s">
        <v>571</v>
      </c>
      <c r="N98" s="6" t="s">
        <v>2930</v>
      </c>
      <c r="O98" s="6" t="s">
        <v>2911</v>
      </c>
      <c r="P98" s="209" t="s">
        <v>1100</v>
      </c>
      <c r="Q98" s="175" t="n">
        <f aca="false">Spec_Rack!G12</f>
        <v>16.8</v>
      </c>
      <c r="R98" s="35" t="s">
        <v>571</v>
      </c>
      <c r="S98" s="34" t="str">
        <f aca="false">IF(ISNUMBER($AF98),INDEX(IDX_SrcStat,$AF98),"—")</f>
        <v>—</v>
      </c>
      <c r="T98" s="34" t="str">
        <f aca="false">IF(ISNUMBER($AF98),INDEX(IDX_SrcGrade,$AF98),"—")</f>
        <v>—</v>
      </c>
      <c r="U98" s="34" t="s">
        <v>2912</v>
      </c>
      <c r="V98" s="183" t="n">
        <f aca="false">IF(AND($F98="原始數據",$U98&lt;&gt;"連結 SRC"),1,0)</f>
        <v>0</v>
      </c>
      <c r="W98" s="183" t="n">
        <f aca="false">IF(AND($F98="Analogy",OR($H98="—",$H98="")),1,0)</f>
        <v>0</v>
      </c>
      <c r="X98" s="183" t="n">
        <f aca="false">IF(AND(OR($F98="Analogy",$F98="Assumed"),$G98&lt;&gt;"低",$G98&lt;&gt;"高",NOT(ISNUMBER($K98)),NOT(ISNUMBER($L98)),OR($M98="—",$M98="")),1,0)</f>
        <v>0</v>
      </c>
      <c r="Y98" s="183" t="n">
        <f aca="false">IF(AND(OR($F98="Analogy",$F98="Assumed",$F98="Derived（待改公式）",$F98="Derived（公式）"),OR($N98="—",$N98="",$N98=0)),1,0)</f>
        <v>0</v>
      </c>
      <c r="Z98" s="183" t="n">
        <f aca="false">IF(AND($F98="Decision",OR($J98="—",$J98="")),1,0)</f>
        <v>0</v>
      </c>
      <c r="AA98" s="180" t="n">
        <f aca="false">IF(OR($J98="—",$J98=""),0,IF(COUNTIF(Decisions!$A$5:$A$300,$J98)=0,1,0))</f>
        <v>0</v>
      </c>
      <c r="AB98" s="183" t="n">
        <f aca="false">IF(AND($F98="原始數據",$S98&lt;&gt;"Active"),1,0)</f>
        <v>0</v>
      </c>
      <c r="AC98" s="183" t="n">
        <f aca="false">IF(AND(ISNUMBER($K98),ISNUMBER($L98),ISNUMBER($Q98)),IF(OR($Q98&lt;MIN($K98,$L98),$Q98&gt;MAX($K98,$L98)),1,0),0)</f>
        <v>0</v>
      </c>
      <c r="AD98" s="183" t="n">
        <f aca="false">IF(AND(ISNUMBER($T98),$P98="高"),IF($T98=3,1,0),0)</f>
        <v>0</v>
      </c>
      <c r="AE98" s="183" t="n">
        <f aca="false">IF($S98="不存在",1,0)</f>
        <v>0</v>
      </c>
      <c r="AF98" s="34" t="str">
        <f aca="false">IF(OR($H98="—",$H98=""),"—",MATCH($H98,IDX_SrcID,0))</f>
        <v>—</v>
      </c>
    </row>
    <row r="99" customFormat="false" ht="43.5" hidden="false" customHeight="true" outlineLevel="0" collapsed="false">
      <c r="A99" s="35" t="s">
        <v>2931</v>
      </c>
      <c r="B99" s="209" t="s">
        <v>2677</v>
      </c>
      <c r="C99" s="35" t="s">
        <v>2835</v>
      </c>
      <c r="D99" s="35" t="s">
        <v>2932</v>
      </c>
      <c r="E99" s="18" t="s">
        <v>159</v>
      </c>
      <c r="F99" s="209" t="s">
        <v>2864</v>
      </c>
      <c r="G99" s="209" t="s">
        <v>1100</v>
      </c>
      <c r="H99" s="35" t="s">
        <v>2895</v>
      </c>
      <c r="I99" s="18" t="s">
        <v>2933</v>
      </c>
      <c r="J99" s="35" t="s">
        <v>571</v>
      </c>
      <c r="K99" s="209"/>
      <c r="L99" s="209"/>
      <c r="M99" s="35" t="s">
        <v>571</v>
      </c>
      <c r="N99" s="18" t="s">
        <v>2934</v>
      </c>
      <c r="O99" s="6" t="s">
        <v>571</v>
      </c>
      <c r="P99" s="209" t="s">
        <v>2682</v>
      </c>
      <c r="Q99" s="175" t="n">
        <f aca="false">Spec_Rack!C13</f>
        <v>1.3</v>
      </c>
      <c r="R99" s="182" t="n">
        <f aca="false">SRC_HW_003_Lo</f>
        <v>220000</v>
      </c>
      <c r="S99" s="34" t="str">
        <f aca="false">IF(ISNUMBER($AF99),INDEX(IDX_SrcStat,$AF99),"—")</f>
        <v>Active</v>
      </c>
      <c r="T99" s="34" t="n">
        <f aca="false">IF(ISNUMBER($AF99),INDEX(IDX_SrcGrade,$AF99),"—")</f>
        <v>2</v>
      </c>
      <c r="U99" s="34" t="s">
        <v>2683</v>
      </c>
      <c r="V99" s="183" t="n">
        <f aca="false">IF(AND($F99="原始數據",$U99&lt;&gt;"連結 SRC"),1,0)</f>
        <v>0</v>
      </c>
      <c r="W99" s="183" t="n">
        <f aca="false">IF(AND($F99="Analogy",OR($H99="—",$H99="")),1,0)</f>
        <v>0</v>
      </c>
      <c r="X99" s="183" t="n">
        <f aca="false">IF(AND(OR($F99="Analogy",$F99="Assumed"),$G99&lt;&gt;"低",$G99&lt;&gt;"高",NOT(ISNUMBER($K99)),NOT(ISNUMBER($L99)),OR($M99="—",$M99="")),1,0)</f>
        <v>0</v>
      </c>
      <c r="Y99" s="183" t="n">
        <f aca="false">IF(AND(OR($F99="Analogy",$F99="Assumed",$F99="Derived（待改公式）",$F99="Derived（公式）"),OR($N99="—",$N99="",$N99=0)),1,0)</f>
        <v>0</v>
      </c>
      <c r="Z99" s="183" t="n">
        <f aca="false">IF(AND($F99="Decision",OR($J99="—",$J99="")),1,0)</f>
        <v>0</v>
      </c>
      <c r="AA99" s="180" t="n">
        <f aca="false">IF(OR($J99="—",$J99=""),0,IF(COUNTIF(Decisions!$A$5:$A$300,$J99)=0,1,0))</f>
        <v>0</v>
      </c>
      <c r="AB99" s="183" t="n">
        <f aca="false">IF(AND($F99="原始數據",$S99&lt;&gt;"Active"),1,0)</f>
        <v>0</v>
      </c>
      <c r="AC99" s="183" t="n">
        <f aca="false">IF(AND(ISNUMBER($K99),ISNUMBER($L99),ISNUMBER($Q99)),IF(OR($Q99&lt;MIN($K99,$L99),$Q99&gt;MAX($K99,$L99)),1,0),0)</f>
        <v>0</v>
      </c>
      <c r="AD99" s="183" t="n">
        <f aca="false">IF(AND(ISNUMBER($T99),$P99="高"),IF($T99=3,1,0),0)</f>
        <v>0</v>
      </c>
      <c r="AE99" s="183" t="n">
        <f aca="false">IF($S99="不存在",1,0)</f>
        <v>0</v>
      </c>
      <c r="AF99" s="34" t="n">
        <f aca="false">IF(OR($H99="—",$H99=""),"—",MATCH($H99,IDX_SrcID,0))</f>
        <v>3</v>
      </c>
    </row>
    <row r="100" customFormat="false" ht="15" hidden="false" customHeight="true" outlineLevel="0" collapsed="false">
      <c r="A100" s="35" t="s">
        <v>2935</v>
      </c>
      <c r="B100" s="209" t="s">
        <v>2677</v>
      </c>
      <c r="C100" s="35" t="s">
        <v>2835</v>
      </c>
      <c r="D100" s="35" t="s">
        <v>2710</v>
      </c>
      <c r="E100" s="18" t="s">
        <v>159</v>
      </c>
      <c r="F100" s="209" t="s">
        <v>290</v>
      </c>
      <c r="G100" s="209" t="s">
        <v>2679</v>
      </c>
      <c r="H100" s="35" t="s">
        <v>2899</v>
      </c>
      <c r="I100" s="18" t="s">
        <v>2714</v>
      </c>
      <c r="J100" s="35" t="s">
        <v>571</v>
      </c>
      <c r="K100" s="209"/>
      <c r="L100" s="209"/>
      <c r="M100" s="35" t="s">
        <v>571</v>
      </c>
      <c r="N100" s="18" t="s">
        <v>2900</v>
      </c>
      <c r="O100" s="6" t="s">
        <v>571</v>
      </c>
      <c r="P100" s="209" t="s">
        <v>2682</v>
      </c>
      <c r="Q100" s="175" t="n">
        <f aca="false">Spec_Rack!D13</f>
        <v>3.4</v>
      </c>
      <c r="R100" s="182" t="n">
        <f aca="false">SRC_HW_006_Hi</f>
        <v>3.4</v>
      </c>
      <c r="S100" s="34" t="str">
        <f aca="false">IF(ISNUMBER($AF100),INDEX(IDX_SrcStat,$AF100),"—")</f>
        <v>Active</v>
      </c>
      <c r="T100" s="34" t="n">
        <f aca="false">IF(ISNUMBER($AF100),INDEX(IDX_SrcGrade,$AF100),"—")</f>
        <v>2</v>
      </c>
      <c r="U100" s="34" t="s">
        <v>2716</v>
      </c>
      <c r="V100" s="183" t="n">
        <f aca="false">IF(AND($F100="原始數據",$U100&lt;&gt;"連結 SRC"),1,0)</f>
        <v>0</v>
      </c>
      <c r="W100" s="183" t="n">
        <f aca="false">IF(AND($F100="Analogy",OR($H100="—",$H100="")),1,0)</f>
        <v>0</v>
      </c>
      <c r="X100" s="183" t="n">
        <f aca="false">IF(AND(OR($F100="Analogy",$F100="Assumed"),$G100&lt;&gt;"低",$G100&lt;&gt;"高",NOT(ISNUMBER($K100)),NOT(ISNUMBER($L100)),OR($M100="—",$M100="")),1,0)</f>
        <v>0</v>
      </c>
      <c r="Y100" s="183" t="n">
        <f aca="false">IF(AND(OR($F100="Analogy",$F100="Assumed",$F100="Derived（待改公式）",$F100="Derived（公式）"),OR($N100="—",$N100="",$N100=0)),1,0)</f>
        <v>0</v>
      </c>
      <c r="Z100" s="183" t="n">
        <f aca="false">IF(AND($F100="Decision",OR($J100="—",$J100="")),1,0)</f>
        <v>0</v>
      </c>
      <c r="AA100" s="180" t="n">
        <f aca="false">IF(OR($J100="—",$J100=""),0,IF(COUNTIF(Decisions!$A$5:$A$300,$J100)=0,1,0))</f>
        <v>0</v>
      </c>
      <c r="AB100" s="183" t="n">
        <f aca="false">IF(AND($F100="原始數據",$S100&lt;&gt;"Active"),1,0)</f>
        <v>0</v>
      </c>
      <c r="AC100" s="183" t="n">
        <f aca="false">IF(AND(ISNUMBER($K100),ISNUMBER($L100),ISNUMBER($Q100)),IF(OR($Q100&lt;MIN($K100,$L100),$Q100&gt;MAX($K100,$L100)),1,0),0)</f>
        <v>0</v>
      </c>
      <c r="AD100" s="183" t="n">
        <f aca="false">IF(AND(ISNUMBER($T100),$P100="高"),IF($T100=3,1,0),0)</f>
        <v>0</v>
      </c>
      <c r="AE100" s="183" t="n">
        <f aca="false">IF($S100="不存在",1,0)</f>
        <v>0</v>
      </c>
      <c r="AF100" s="34" t="n">
        <f aca="false">IF(OR($H100="—",$H100=""),"—",MATCH($H100,IDX_SrcID,0))</f>
        <v>6</v>
      </c>
    </row>
    <row r="101" customFormat="false" ht="15" hidden="false" customHeight="true" outlineLevel="0" collapsed="false">
      <c r="A101" s="35" t="s">
        <v>2936</v>
      </c>
      <c r="B101" s="209" t="s">
        <v>2677</v>
      </c>
      <c r="C101" s="35" t="s">
        <v>2835</v>
      </c>
      <c r="D101" s="35" t="s">
        <v>2599</v>
      </c>
      <c r="E101" s="18" t="s">
        <v>159</v>
      </c>
      <c r="F101" s="209" t="s">
        <v>290</v>
      </c>
      <c r="G101" s="209" t="s">
        <v>2679</v>
      </c>
      <c r="H101" s="35" t="s">
        <v>2937</v>
      </c>
      <c r="I101" s="18" t="s">
        <v>2714</v>
      </c>
      <c r="J101" s="35" t="s">
        <v>571</v>
      </c>
      <c r="K101" s="209"/>
      <c r="L101" s="209"/>
      <c r="M101" s="35" t="s">
        <v>571</v>
      </c>
      <c r="N101" s="18" t="s">
        <v>2900</v>
      </c>
      <c r="O101" s="6" t="s">
        <v>571</v>
      </c>
      <c r="P101" s="209" t="s">
        <v>2682</v>
      </c>
      <c r="Q101" s="175" t="n">
        <f aca="false">Spec_Rack!E13</f>
        <v>6.5</v>
      </c>
      <c r="R101" s="182" t="n">
        <f aca="false">SRC_HW_007_Hi</f>
        <v>6.5</v>
      </c>
      <c r="S101" s="34" t="str">
        <f aca="false">IF(ISNUMBER($AF101),INDEX(IDX_SrcStat,$AF101),"—")</f>
        <v>Active</v>
      </c>
      <c r="T101" s="34" t="n">
        <f aca="false">IF(ISNUMBER($AF101),INDEX(IDX_SrcGrade,$AF101),"—")</f>
        <v>3</v>
      </c>
      <c r="U101" s="34" t="s">
        <v>2716</v>
      </c>
      <c r="V101" s="183" t="n">
        <f aca="false">IF(AND($F101="原始數據",$U101&lt;&gt;"連結 SRC"),1,0)</f>
        <v>0</v>
      </c>
      <c r="W101" s="183" t="n">
        <f aca="false">IF(AND($F101="Analogy",OR($H101="—",$H101="")),1,0)</f>
        <v>0</v>
      </c>
      <c r="X101" s="183" t="n">
        <f aca="false">IF(AND(OR($F101="Analogy",$F101="Assumed"),$G101&lt;&gt;"低",$G101&lt;&gt;"高",NOT(ISNUMBER($K101)),NOT(ISNUMBER($L101)),OR($M101="—",$M101="")),1,0)</f>
        <v>0</v>
      </c>
      <c r="Y101" s="183" t="n">
        <f aca="false">IF(AND(OR($F101="Analogy",$F101="Assumed",$F101="Derived（待改公式）",$F101="Derived（公式）"),OR($N101="—",$N101="",$N101=0)),1,0)</f>
        <v>0</v>
      </c>
      <c r="Z101" s="183" t="n">
        <f aca="false">IF(AND($F101="Decision",OR($J101="—",$J101="")),1,0)</f>
        <v>0</v>
      </c>
      <c r="AA101" s="180" t="n">
        <f aca="false">IF(OR($J101="—",$J101=""),0,IF(COUNTIF(Decisions!$A$5:$A$300,$J101)=0,1,0))</f>
        <v>0</v>
      </c>
      <c r="AB101" s="183" t="n">
        <f aca="false">IF(AND($F101="原始數據",$S101&lt;&gt;"Active"),1,0)</f>
        <v>0</v>
      </c>
      <c r="AC101" s="183" t="n">
        <f aca="false">IF(AND(ISNUMBER($K101),ISNUMBER($L101),ISNUMBER($Q101)),IF(OR($Q101&lt;MIN($K101,$L101),$Q101&gt;MAX($K101,$L101)),1,0),0)</f>
        <v>0</v>
      </c>
      <c r="AD101" s="183" t="n">
        <f aca="false">IF(AND(ISNUMBER($T101),$P101="高"),IF($T101=3,1,0),0)</f>
        <v>0</v>
      </c>
      <c r="AE101" s="183" t="n">
        <f aca="false">IF($S101="不存在",1,0)</f>
        <v>0</v>
      </c>
      <c r="AF101" s="34" t="n">
        <f aca="false">IF(OR($H101="—",$H101=""),"—",MATCH($H101,IDX_SrcID,0))</f>
        <v>7</v>
      </c>
    </row>
    <row r="102" customFormat="false" ht="43.5" hidden="false" customHeight="true" outlineLevel="0" collapsed="false">
      <c r="A102" s="35" t="s">
        <v>2938</v>
      </c>
      <c r="B102" s="209" t="s">
        <v>2677</v>
      </c>
      <c r="C102" s="35" t="s">
        <v>2835</v>
      </c>
      <c r="D102" s="35" t="s">
        <v>2712</v>
      </c>
      <c r="E102" s="18" t="s">
        <v>159</v>
      </c>
      <c r="F102" s="209" t="s">
        <v>2864</v>
      </c>
      <c r="G102" s="209" t="s">
        <v>1100</v>
      </c>
      <c r="H102" s="35" t="s">
        <v>2939</v>
      </c>
      <c r="I102" s="18" t="s">
        <v>2940</v>
      </c>
      <c r="J102" s="35" t="s">
        <v>571</v>
      </c>
      <c r="K102" s="209"/>
      <c r="L102" s="209"/>
      <c r="M102" s="35" t="s">
        <v>571</v>
      </c>
      <c r="N102" s="18" t="s">
        <v>2941</v>
      </c>
      <c r="O102" s="6" t="s">
        <v>571</v>
      </c>
      <c r="P102" s="209" t="s">
        <v>2682</v>
      </c>
      <c r="Q102" s="175" t="n">
        <f aca="false">Spec_Rack!F13</f>
        <v>9.1</v>
      </c>
      <c r="R102" s="182" t="n">
        <f aca="false">SRC_HW_017</f>
        <v>9.09</v>
      </c>
      <c r="S102" s="34" t="str">
        <f aca="false">IF(ISNUMBER($AF102),INDEX(IDX_SrcStat,$AF102),"—")</f>
        <v>Alt</v>
      </c>
      <c r="T102" s="34" t="n">
        <f aca="false">IF(ISNUMBER($AF102),INDEX(IDX_SrcGrade,$AF102),"—")</f>
        <v>3</v>
      </c>
      <c r="U102" s="34" t="s">
        <v>2683</v>
      </c>
      <c r="V102" s="183" t="n">
        <f aca="false">IF(AND($F102="原始數據",$U102&lt;&gt;"連結 SRC"),1,0)</f>
        <v>0</v>
      </c>
      <c r="W102" s="183" t="n">
        <f aca="false">IF(AND($F102="Analogy",OR($H102="—",$H102="")),1,0)</f>
        <v>0</v>
      </c>
      <c r="X102" s="183" t="n">
        <f aca="false">IF(AND(OR($F102="Analogy",$F102="Assumed"),$G102&lt;&gt;"低",$G102&lt;&gt;"高",NOT(ISNUMBER($K102)),NOT(ISNUMBER($L102)),OR($M102="—",$M102="")),1,0)</f>
        <v>0</v>
      </c>
      <c r="Y102" s="183" t="n">
        <f aca="false">IF(AND(OR($F102="Analogy",$F102="Assumed",$F102="Derived（待改公式）",$F102="Derived（公式）"),OR($N102="—",$N102="",$N102=0)),1,0)</f>
        <v>0</v>
      </c>
      <c r="Z102" s="183" t="n">
        <f aca="false">IF(AND($F102="Decision",OR($J102="—",$J102="")),1,0)</f>
        <v>0</v>
      </c>
      <c r="AA102" s="180" t="n">
        <f aca="false">IF(OR($J102="—",$J102=""),0,IF(COUNTIF(Decisions!$A$5:$A$300,$J102)=0,1,0))</f>
        <v>0</v>
      </c>
      <c r="AB102" s="183" t="n">
        <f aca="false">IF(AND($F102="原始數據",$S102&lt;&gt;"Active"),1,0)</f>
        <v>0</v>
      </c>
      <c r="AC102" s="183" t="n">
        <f aca="false">IF(AND(ISNUMBER($K102),ISNUMBER($L102),ISNUMBER($Q102)),IF(OR($Q102&lt;MIN($K102,$L102),$Q102&gt;MAX($K102,$L102)),1,0),0)</f>
        <v>0</v>
      </c>
      <c r="AD102" s="183" t="n">
        <f aca="false">IF(AND(ISNUMBER($T102),$P102="高"),IF($T102=3,1,0),0)</f>
        <v>0</v>
      </c>
      <c r="AE102" s="183" t="n">
        <f aca="false">IF($S102="不存在",1,0)</f>
        <v>0</v>
      </c>
      <c r="AF102" s="34" t="n">
        <f aca="false">IF(OR($H102="—",$H102=""),"—",MATCH($H102,IDX_SrcID,0))</f>
        <v>17</v>
      </c>
    </row>
    <row r="103" customFormat="false" ht="29.25" hidden="false" customHeight="true" outlineLevel="0" collapsed="false">
      <c r="A103" s="35" t="s">
        <v>2942</v>
      </c>
      <c r="B103" s="209" t="s">
        <v>2677</v>
      </c>
      <c r="C103" s="35" t="s">
        <v>2835</v>
      </c>
      <c r="D103" s="35" t="s">
        <v>2943</v>
      </c>
      <c r="E103" s="18" t="s">
        <v>159</v>
      </c>
      <c r="F103" s="35" t="s">
        <v>72</v>
      </c>
      <c r="G103" s="209" t="s">
        <v>1100</v>
      </c>
      <c r="H103" s="35" t="s">
        <v>571</v>
      </c>
      <c r="I103" s="6" t="s">
        <v>571</v>
      </c>
      <c r="J103" s="35" t="s">
        <v>571</v>
      </c>
      <c r="K103" s="209"/>
      <c r="L103" s="209"/>
      <c r="M103" s="35" t="s">
        <v>571</v>
      </c>
      <c r="N103" s="6" t="s">
        <v>2944</v>
      </c>
      <c r="O103" s="6" t="s">
        <v>2911</v>
      </c>
      <c r="P103" s="209" t="s">
        <v>2682</v>
      </c>
      <c r="Q103" s="175" t="n">
        <f aca="false">Spec_Rack!G13</f>
        <v>21</v>
      </c>
      <c r="R103" s="35" t="s">
        <v>571</v>
      </c>
      <c r="S103" s="34" t="str">
        <f aca="false">IF(ISNUMBER($AF103),INDEX(IDX_SrcStat,$AF103),"—")</f>
        <v>—</v>
      </c>
      <c r="T103" s="34" t="str">
        <f aca="false">IF(ISNUMBER($AF103),INDEX(IDX_SrcGrade,$AF103),"—")</f>
        <v>—</v>
      </c>
      <c r="U103" s="34" t="s">
        <v>2912</v>
      </c>
      <c r="V103" s="183" t="n">
        <f aca="false">IF(AND($F103="原始數據",$U103&lt;&gt;"連結 SRC"),1,0)</f>
        <v>0</v>
      </c>
      <c r="W103" s="183" t="n">
        <f aca="false">IF(AND($F103="Analogy",OR($H103="—",$H103="")),1,0)</f>
        <v>0</v>
      </c>
      <c r="X103" s="183" t="n">
        <f aca="false">IF(AND(OR($F103="Analogy",$F103="Assumed"),$G103&lt;&gt;"低",$G103&lt;&gt;"高",NOT(ISNUMBER($K103)),NOT(ISNUMBER($L103)),OR($M103="—",$M103="")),1,0)</f>
        <v>0</v>
      </c>
      <c r="Y103" s="183" t="n">
        <f aca="false">IF(AND(OR($F103="Analogy",$F103="Assumed",$F103="Derived（待改公式）",$F103="Derived（公式）"),OR($N103="—",$N103="",$N103=0)),1,0)</f>
        <v>0</v>
      </c>
      <c r="Z103" s="183" t="n">
        <f aca="false">IF(AND($F103="Decision",OR($J103="—",$J103="")),1,0)</f>
        <v>0</v>
      </c>
      <c r="AA103" s="180" t="n">
        <f aca="false">IF(OR($J103="—",$J103=""),0,IF(COUNTIF(Decisions!$A$5:$A$300,$J103)=0,1,0))</f>
        <v>0</v>
      </c>
      <c r="AB103" s="183" t="n">
        <f aca="false">IF(AND($F103="原始數據",$S103&lt;&gt;"Active"),1,0)</f>
        <v>0</v>
      </c>
      <c r="AC103" s="183" t="n">
        <f aca="false">IF(AND(ISNUMBER($K103),ISNUMBER($L103),ISNUMBER($Q103)),IF(OR($Q103&lt;MIN($K103,$L103),$Q103&gt;MAX($K103,$L103)),1,0),0)</f>
        <v>0</v>
      </c>
      <c r="AD103" s="183" t="n">
        <f aca="false">IF(AND(ISNUMBER($T103),$P103="高"),IF($T103=3,1,0),0)</f>
        <v>0</v>
      </c>
      <c r="AE103" s="183" t="n">
        <f aca="false">IF($S103="不存在",1,0)</f>
        <v>0</v>
      </c>
      <c r="AF103" s="34" t="str">
        <f aca="false">IF(OR($H103="—",$H103=""),"—",MATCH($H103,IDX_SrcID,0))</f>
        <v>—</v>
      </c>
    </row>
    <row r="104" customFormat="false" ht="15" hidden="false" customHeight="true" outlineLevel="0" collapsed="false">
      <c r="A104" s="35" t="s">
        <v>2945</v>
      </c>
      <c r="B104" s="209" t="s">
        <v>2677</v>
      </c>
      <c r="C104" s="35" t="s">
        <v>2835</v>
      </c>
      <c r="D104" s="35" t="s">
        <v>2946</v>
      </c>
      <c r="E104" s="18" t="s">
        <v>2947</v>
      </c>
      <c r="F104" s="209" t="s">
        <v>290</v>
      </c>
      <c r="G104" s="209" t="s">
        <v>2679</v>
      </c>
      <c r="H104" s="35" t="s">
        <v>2948</v>
      </c>
      <c r="I104" s="18" t="s">
        <v>2714</v>
      </c>
      <c r="J104" s="35" t="s">
        <v>571</v>
      </c>
      <c r="K104" s="209"/>
      <c r="L104" s="209"/>
      <c r="M104" s="35" t="s">
        <v>571</v>
      </c>
      <c r="N104" s="18" t="s">
        <v>2900</v>
      </c>
      <c r="O104" s="6" t="s">
        <v>571</v>
      </c>
      <c r="P104" s="209" t="s">
        <v>2738</v>
      </c>
      <c r="Q104" s="37" t="n">
        <f aca="false">Spec_Rack!C23</f>
        <v>1.979</v>
      </c>
      <c r="R104" s="182" t="n">
        <f aca="false">SRC_HW_040</f>
        <v>1.979</v>
      </c>
      <c r="S104" s="34" t="str">
        <f aca="false">IF(ISNUMBER($AF104),INDEX(IDX_SrcStat,$AF104),"—")</f>
        <v>Active</v>
      </c>
      <c r="T104" s="34" t="n">
        <f aca="false">IF(ISNUMBER($AF104),INDEX(IDX_SrcGrade,$AF104),"—")</f>
        <v>1</v>
      </c>
      <c r="U104" s="34" t="s">
        <v>2716</v>
      </c>
      <c r="V104" s="183" t="n">
        <f aca="false">IF(AND($F104="原始數據",$U104&lt;&gt;"連結 SRC"),1,0)</f>
        <v>0</v>
      </c>
      <c r="W104" s="183" t="n">
        <f aca="false">IF(AND($F104="Analogy",OR($H104="—",$H104="")),1,0)</f>
        <v>0</v>
      </c>
      <c r="X104" s="183" t="n">
        <f aca="false">IF(AND(OR($F104="Analogy",$F104="Assumed"),$G104&lt;&gt;"低",$G104&lt;&gt;"高",NOT(ISNUMBER($K104)),NOT(ISNUMBER($L104)),OR($M104="—",$M104="")),1,0)</f>
        <v>0</v>
      </c>
      <c r="Y104" s="183" t="n">
        <f aca="false">IF(AND(OR($F104="Analogy",$F104="Assumed",$F104="Derived（待改公式）",$F104="Derived（公式）"),OR($N104="—",$N104="",$N104=0)),1,0)</f>
        <v>0</v>
      </c>
      <c r="Z104" s="183" t="n">
        <f aca="false">IF(AND($F104="Decision",OR($J104="—",$J104="")),1,0)</f>
        <v>0</v>
      </c>
      <c r="AA104" s="180" t="n">
        <f aca="false">IF(OR($J104="—",$J104=""),0,IF(COUNTIF(Decisions!$A$5:$A$300,$J104)=0,1,0))</f>
        <v>0</v>
      </c>
      <c r="AB104" s="183" t="n">
        <f aca="false">IF(AND($F104="原始數據",$S104&lt;&gt;"Active"),1,0)</f>
        <v>0</v>
      </c>
      <c r="AC104" s="183" t="n">
        <f aca="false">IF(AND(ISNUMBER($K104),ISNUMBER($L104),ISNUMBER($Q104)),IF(OR($Q104&lt;MIN($K104,$L104),$Q104&gt;MAX($K104,$L104)),1,0),0)</f>
        <v>0</v>
      </c>
      <c r="AD104" s="183" t="n">
        <f aca="false">IF(AND(ISNUMBER($T104),$P104="高"),IF($T104=3,1,0),0)</f>
        <v>0</v>
      </c>
      <c r="AE104" s="183" t="n">
        <f aca="false">IF($S104="不存在",1,0)</f>
        <v>0</v>
      </c>
      <c r="AF104" s="34" t="n">
        <f aca="false">IF(OR($H104="—",$H104=""),"—",MATCH($H104,IDX_SrcID,0))</f>
        <v>40</v>
      </c>
    </row>
    <row r="105" customFormat="false" ht="15" hidden="false" customHeight="true" outlineLevel="0" collapsed="false">
      <c r="A105" s="35" t="s">
        <v>2949</v>
      </c>
      <c r="B105" s="209" t="s">
        <v>2677</v>
      </c>
      <c r="C105" s="35" t="s">
        <v>2835</v>
      </c>
      <c r="D105" s="35" t="s">
        <v>2809</v>
      </c>
      <c r="E105" s="18" t="s">
        <v>2947</v>
      </c>
      <c r="F105" s="209" t="s">
        <v>290</v>
      </c>
      <c r="G105" s="209" t="s">
        <v>2679</v>
      </c>
      <c r="H105" s="35" t="s">
        <v>2950</v>
      </c>
      <c r="I105" s="18" t="s">
        <v>2714</v>
      </c>
      <c r="J105" s="35" t="s">
        <v>571</v>
      </c>
      <c r="K105" s="209"/>
      <c r="L105" s="209"/>
      <c r="M105" s="35" t="s">
        <v>571</v>
      </c>
      <c r="N105" s="18" t="s">
        <v>2900</v>
      </c>
      <c r="O105" s="6" t="s">
        <v>571</v>
      </c>
      <c r="P105" s="209" t="s">
        <v>2738</v>
      </c>
      <c r="Q105" s="37" t="n">
        <f aca="false">Spec_Rack!D23</f>
        <v>10</v>
      </c>
      <c r="R105" s="182" t="n">
        <f aca="false">SRC_HW_022</f>
        <v>10</v>
      </c>
      <c r="S105" s="34" t="str">
        <f aca="false">IF(ISNUMBER($AF105),INDEX(IDX_SrcStat,$AF105),"—")</f>
        <v>Active</v>
      </c>
      <c r="T105" s="34" t="n">
        <f aca="false">IF(ISNUMBER($AF105),INDEX(IDX_SrcGrade,$AF105),"—")</f>
        <v>1</v>
      </c>
      <c r="U105" s="34" t="s">
        <v>2716</v>
      </c>
      <c r="V105" s="183" t="n">
        <f aca="false">IF(AND($F105="原始數據",$U105&lt;&gt;"連結 SRC"),1,0)</f>
        <v>0</v>
      </c>
      <c r="W105" s="183" t="n">
        <f aca="false">IF(AND($F105="Analogy",OR($H105="—",$H105="")),1,0)</f>
        <v>0</v>
      </c>
      <c r="X105" s="183" t="n">
        <f aca="false">IF(AND(OR($F105="Analogy",$F105="Assumed"),$G105&lt;&gt;"低",$G105&lt;&gt;"高",NOT(ISNUMBER($K105)),NOT(ISNUMBER($L105)),OR($M105="—",$M105="")),1,0)</f>
        <v>0</v>
      </c>
      <c r="Y105" s="183" t="n">
        <f aca="false">IF(AND(OR($F105="Analogy",$F105="Assumed",$F105="Derived（待改公式）",$F105="Derived（公式）"),OR($N105="—",$N105="",$N105=0)),1,0)</f>
        <v>0</v>
      </c>
      <c r="Z105" s="183" t="n">
        <f aca="false">IF(AND($F105="Decision",OR($J105="—",$J105="")),1,0)</f>
        <v>0</v>
      </c>
      <c r="AA105" s="180" t="n">
        <f aca="false">IF(OR($J105="—",$J105=""),0,IF(COUNTIF(Decisions!$A$5:$A$300,$J105)=0,1,0))</f>
        <v>0</v>
      </c>
      <c r="AB105" s="183" t="n">
        <f aca="false">IF(AND($F105="原始數據",$S105&lt;&gt;"Active"),1,0)</f>
        <v>0</v>
      </c>
      <c r="AC105" s="183" t="n">
        <f aca="false">IF(AND(ISNUMBER($K105),ISNUMBER($L105),ISNUMBER($Q105)),IF(OR($Q105&lt;MIN($K105,$L105),$Q105&gt;MAX($K105,$L105)),1,0),0)</f>
        <v>0</v>
      </c>
      <c r="AD105" s="183" t="n">
        <f aca="false">IF(AND(ISNUMBER($T105),$P105="高"),IF($T105=3,1,0),0)</f>
        <v>0</v>
      </c>
      <c r="AE105" s="183" t="n">
        <f aca="false">IF($S105="不存在",1,0)</f>
        <v>0</v>
      </c>
      <c r="AF105" s="34" t="n">
        <f aca="false">IF(OR($H105="—",$H105=""),"—",MATCH($H105,IDX_SrcID,0))</f>
        <v>22</v>
      </c>
    </row>
    <row r="106" customFormat="false" ht="15" hidden="false" customHeight="true" outlineLevel="0" collapsed="false">
      <c r="A106" s="35" t="s">
        <v>2951</v>
      </c>
      <c r="B106" s="209" t="s">
        <v>2677</v>
      </c>
      <c r="C106" s="35" t="s">
        <v>2835</v>
      </c>
      <c r="D106" s="35" t="s">
        <v>2814</v>
      </c>
      <c r="E106" s="18" t="s">
        <v>2947</v>
      </c>
      <c r="F106" s="209" t="s">
        <v>290</v>
      </c>
      <c r="G106" s="209" t="s">
        <v>2679</v>
      </c>
      <c r="H106" s="35" t="s">
        <v>2952</v>
      </c>
      <c r="I106" s="18" t="s">
        <v>2714</v>
      </c>
      <c r="J106" s="35" t="s">
        <v>571</v>
      </c>
      <c r="K106" s="209"/>
      <c r="L106" s="209"/>
      <c r="M106" s="35" t="s">
        <v>571</v>
      </c>
      <c r="N106" s="18" t="s">
        <v>2900</v>
      </c>
      <c r="O106" s="6" t="s">
        <v>571</v>
      </c>
      <c r="P106" s="209" t="s">
        <v>2738</v>
      </c>
      <c r="Q106" s="37" t="n">
        <f aca="false">Spec_Rack!E23</f>
        <v>15</v>
      </c>
      <c r="R106" s="182" t="n">
        <f aca="false">SRC_HW_025</f>
        <v>15</v>
      </c>
      <c r="S106" s="34" t="str">
        <f aca="false">IF(ISNUMBER($AF106),INDEX(IDX_SrcStat,$AF106),"—")</f>
        <v>Active</v>
      </c>
      <c r="T106" s="34" t="n">
        <f aca="false">IF(ISNUMBER($AF106),INDEX(IDX_SrcGrade,$AF106),"—")</f>
        <v>1</v>
      </c>
      <c r="U106" s="34" t="s">
        <v>2716</v>
      </c>
      <c r="V106" s="183" t="n">
        <f aca="false">IF(AND($F106="原始數據",$U106&lt;&gt;"連結 SRC"),1,0)</f>
        <v>0</v>
      </c>
      <c r="W106" s="183" t="n">
        <f aca="false">IF(AND($F106="Analogy",OR($H106="—",$H106="")),1,0)</f>
        <v>0</v>
      </c>
      <c r="X106" s="183" t="n">
        <f aca="false">IF(AND(OR($F106="Analogy",$F106="Assumed"),$G106&lt;&gt;"低",$G106&lt;&gt;"高",NOT(ISNUMBER($K106)),NOT(ISNUMBER($L106)),OR($M106="—",$M106="")),1,0)</f>
        <v>0</v>
      </c>
      <c r="Y106" s="183" t="n">
        <f aca="false">IF(AND(OR($F106="Analogy",$F106="Assumed",$F106="Derived（待改公式）",$F106="Derived（公式）"),OR($N106="—",$N106="",$N106=0)),1,0)</f>
        <v>0</v>
      </c>
      <c r="Z106" s="183" t="n">
        <f aca="false">IF(AND($F106="Decision",OR($J106="—",$J106="")),1,0)</f>
        <v>0</v>
      </c>
      <c r="AA106" s="180" t="n">
        <f aca="false">IF(OR($J106="—",$J106=""),0,IF(COUNTIF(Decisions!$A$5:$A$300,$J106)=0,1,0))</f>
        <v>0</v>
      </c>
      <c r="AB106" s="183" t="n">
        <f aca="false">IF(AND($F106="原始數據",$S106&lt;&gt;"Active"),1,0)</f>
        <v>0</v>
      </c>
      <c r="AC106" s="183" t="n">
        <f aca="false">IF(AND(ISNUMBER($K106),ISNUMBER($L106),ISNUMBER($Q106)),IF(OR($Q106&lt;MIN($K106,$L106),$Q106&gt;MAX($K106,$L106)),1,0),0)</f>
        <v>0</v>
      </c>
      <c r="AD106" s="183" t="n">
        <f aca="false">IF(AND(ISNUMBER($T106),$P106="高"),IF($T106=3,1,0),0)</f>
        <v>0</v>
      </c>
      <c r="AE106" s="183" t="n">
        <f aca="false">IF($S106="不存在",1,0)</f>
        <v>0</v>
      </c>
      <c r="AF106" s="34" t="n">
        <f aca="false">IF(OR($H106="—",$H106=""),"—",MATCH($H106,IDX_SrcID,0))</f>
        <v>25</v>
      </c>
    </row>
    <row r="107" customFormat="false" ht="15" hidden="false" customHeight="true" outlineLevel="0" collapsed="false">
      <c r="A107" s="35" t="s">
        <v>2953</v>
      </c>
      <c r="B107" s="209" t="s">
        <v>2677</v>
      </c>
      <c r="C107" s="35" t="s">
        <v>2835</v>
      </c>
      <c r="D107" s="35" t="s">
        <v>2816</v>
      </c>
      <c r="E107" s="18" t="s">
        <v>2947</v>
      </c>
      <c r="F107" s="209" t="s">
        <v>290</v>
      </c>
      <c r="G107" s="209" t="s">
        <v>2679</v>
      </c>
      <c r="H107" s="35" t="s">
        <v>2954</v>
      </c>
      <c r="I107" s="18" t="s">
        <v>2714</v>
      </c>
      <c r="J107" s="35" t="s">
        <v>571</v>
      </c>
      <c r="K107" s="209"/>
      <c r="L107" s="209"/>
      <c r="M107" s="35" t="s">
        <v>571</v>
      </c>
      <c r="N107" s="18" t="s">
        <v>2900</v>
      </c>
      <c r="O107" s="6" t="s">
        <v>571</v>
      </c>
      <c r="P107" s="209" t="s">
        <v>2738</v>
      </c>
      <c r="Q107" s="37" t="n">
        <f aca="false">Spec_Rack!F23</f>
        <v>35</v>
      </c>
      <c r="R107" s="182" t="n">
        <f aca="false">SRC_HW_028</f>
        <v>35</v>
      </c>
      <c r="S107" s="34" t="str">
        <f aca="false">IF(ISNUMBER($AF107),INDEX(IDX_SrcStat,$AF107),"—")</f>
        <v>Active</v>
      </c>
      <c r="T107" s="34" t="n">
        <f aca="false">IF(ISNUMBER($AF107),INDEX(IDX_SrcGrade,$AF107),"—")</f>
        <v>1</v>
      </c>
      <c r="U107" s="34" t="s">
        <v>2716</v>
      </c>
      <c r="V107" s="183" t="n">
        <f aca="false">IF(AND($F107="原始數據",$U107&lt;&gt;"連結 SRC"),1,0)</f>
        <v>0</v>
      </c>
      <c r="W107" s="183" t="n">
        <f aca="false">IF(AND($F107="Analogy",OR($H107="—",$H107="")),1,0)</f>
        <v>0</v>
      </c>
      <c r="X107" s="183" t="n">
        <f aca="false">IF(AND(OR($F107="Analogy",$F107="Assumed"),$G107&lt;&gt;"低",$G107&lt;&gt;"高",NOT(ISNUMBER($K107)),NOT(ISNUMBER($L107)),OR($M107="—",$M107="")),1,0)</f>
        <v>0</v>
      </c>
      <c r="Y107" s="183" t="n">
        <f aca="false">IF(AND(OR($F107="Analogy",$F107="Assumed",$F107="Derived（待改公式）",$F107="Derived（公式）"),OR($N107="—",$N107="",$N107=0)),1,0)</f>
        <v>0</v>
      </c>
      <c r="Z107" s="183" t="n">
        <f aca="false">IF(AND($F107="Decision",OR($J107="—",$J107="")),1,0)</f>
        <v>0</v>
      </c>
      <c r="AA107" s="180" t="n">
        <f aca="false">IF(OR($J107="—",$J107=""),0,IF(COUNTIF(Decisions!$A$5:$A$300,$J107)=0,1,0))</f>
        <v>0</v>
      </c>
      <c r="AB107" s="183" t="n">
        <f aca="false">IF(AND($F107="原始數據",$S107&lt;&gt;"Active"),1,0)</f>
        <v>0</v>
      </c>
      <c r="AC107" s="183" t="n">
        <f aca="false">IF(AND(ISNUMBER($K107),ISNUMBER($L107),ISNUMBER($Q107)),IF(OR($Q107&lt;MIN($K107,$L107),$Q107&gt;MAX($K107,$L107)),1,0),0)</f>
        <v>0</v>
      </c>
      <c r="AD107" s="183" t="n">
        <f aca="false">IF(AND(ISNUMBER($T107),$P107="高"),IF($T107=3,1,0),0)</f>
        <v>0</v>
      </c>
      <c r="AE107" s="183" t="n">
        <f aca="false">IF($S107="不存在",1,0)</f>
        <v>0</v>
      </c>
      <c r="AF107" s="34" t="n">
        <f aca="false">IF(OR($H107="—",$H107=""),"—",MATCH($H107,IDX_SrcID,0))</f>
        <v>28</v>
      </c>
    </row>
    <row r="108" customFormat="false" ht="15" hidden="false" customHeight="true" outlineLevel="0" collapsed="false">
      <c r="A108" s="35" t="s">
        <v>2955</v>
      </c>
      <c r="B108" s="209" t="s">
        <v>2677</v>
      </c>
      <c r="C108" s="35" t="s">
        <v>2835</v>
      </c>
      <c r="D108" s="35" t="s">
        <v>2956</v>
      </c>
      <c r="E108" s="18" t="s">
        <v>2947</v>
      </c>
      <c r="F108" s="35" t="s">
        <v>250</v>
      </c>
      <c r="G108" s="209" t="s">
        <v>57</v>
      </c>
      <c r="H108" s="35" t="s">
        <v>2957</v>
      </c>
      <c r="I108" s="6" t="s">
        <v>2958</v>
      </c>
      <c r="J108" s="35" t="s">
        <v>571</v>
      </c>
      <c r="K108" s="182" t="n">
        <f aca="false">Spec_Rack!G23*0.7</f>
        <v>49</v>
      </c>
      <c r="L108" s="182" t="n">
        <f aca="false">Spec_Rack!G23*1.3</f>
        <v>91</v>
      </c>
      <c r="M108" s="35" t="s">
        <v>2959</v>
      </c>
      <c r="N108" s="6" t="s">
        <v>2960</v>
      </c>
      <c r="O108" s="6" t="s">
        <v>2961</v>
      </c>
      <c r="P108" s="209" t="s">
        <v>2738</v>
      </c>
      <c r="Q108" s="37" t="n">
        <f aca="false">Spec_Rack!G23</f>
        <v>70</v>
      </c>
      <c r="R108" s="182" t="n">
        <f aca="false">SRC_HW_063</f>
        <v>2520</v>
      </c>
      <c r="S108" s="34" t="str">
        <f aca="false">IF(ISNUMBER($AF108),INDEX(IDX_SrcStat,$AF108),"—")</f>
        <v>Active</v>
      </c>
      <c r="T108" s="34" t="n">
        <f aca="false">IF(ISNUMBER($AF108),INDEX(IDX_SrcGrade,$AF108),"—")</f>
        <v>1</v>
      </c>
      <c r="U108" s="34" t="s">
        <v>2683</v>
      </c>
      <c r="V108" s="183" t="n">
        <f aca="false">IF(AND($F108="原始數據",$U108&lt;&gt;"連結 SRC"),1,0)</f>
        <v>0</v>
      </c>
      <c r="W108" s="183" t="n">
        <f aca="false">IF(AND($F108="Analogy",OR($H108="—",$H108="")),1,0)</f>
        <v>0</v>
      </c>
      <c r="X108" s="183" t="n">
        <f aca="false">IF(AND(OR($F108="Analogy",$F108="Assumed"),$G108&lt;&gt;"低",$G108&lt;&gt;"高",NOT(ISNUMBER($K108)),NOT(ISNUMBER($L108)),OR($M108="—",$M108="")),1,0)</f>
        <v>0</v>
      </c>
      <c r="Y108" s="183" t="n">
        <f aca="false">IF(AND(OR($F108="Analogy",$F108="Assumed",$F108="Derived（待改公式）",$F108="Derived（公式）"),OR($N108="—",$N108="",$N108=0)),1,0)</f>
        <v>0</v>
      </c>
      <c r="Z108" s="183" t="n">
        <f aca="false">IF(AND($F108="Decision",OR($J108="—",$J108="")),1,0)</f>
        <v>0</v>
      </c>
      <c r="AA108" s="180" t="n">
        <f aca="false">IF(OR($J108="—",$J108=""),0,IF(COUNTIF(Decisions!$A$5:$A$300,$J108)=0,1,0))</f>
        <v>0</v>
      </c>
      <c r="AB108" s="183" t="n">
        <f aca="false">IF(AND($F108="原始數據",$S108&lt;&gt;"Active"),1,0)</f>
        <v>0</v>
      </c>
      <c r="AC108" s="183" t="n">
        <f aca="false">IF(AND(ISNUMBER($K108),ISNUMBER($L108),ISNUMBER($Q108)),IF(OR($Q108&lt;MIN($K108,$L108),$Q108&gt;MAX($K108,$L108)),1,0),0)</f>
        <v>0</v>
      </c>
      <c r="AD108" s="183" t="n">
        <f aca="false">IF(AND(ISNUMBER($T108),$P108="高"),IF($T108=3,1,0),0)</f>
        <v>0</v>
      </c>
      <c r="AE108" s="183" t="n">
        <f aca="false">IF($S108="不存在",1,0)</f>
        <v>0</v>
      </c>
      <c r="AF108" s="34" t="n">
        <f aca="false">IF(OR($H108="—",$H108=""),"—",MATCH($H108,IDX_SrcID,0))</f>
        <v>63</v>
      </c>
    </row>
    <row r="109" customFormat="false" ht="29.25" hidden="false" customHeight="true" outlineLevel="0" collapsed="false">
      <c r="A109" s="35" t="s">
        <v>2962</v>
      </c>
      <c r="B109" s="209" t="s">
        <v>2677</v>
      </c>
      <c r="C109" s="35" t="s">
        <v>2835</v>
      </c>
      <c r="D109" s="35" t="s">
        <v>2963</v>
      </c>
      <c r="E109" s="18" t="s">
        <v>2964</v>
      </c>
      <c r="F109" s="35" t="s">
        <v>2965</v>
      </c>
      <c r="G109" s="209" t="s">
        <v>2679</v>
      </c>
      <c r="H109" s="35" t="s">
        <v>571</v>
      </c>
      <c r="I109" s="6" t="s">
        <v>571</v>
      </c>
      <c r="J109" s="35" t="s">
        <v>571</v>
      </c>
      <c r="K109" s="209"/>
      <c r="L109" s="209"/>
      <c r="M109" s="35" t="s">
        <v>571</v>
      </c>
      <c r="N109" s="6" t="s">
        <v>2966</v>
      </c>
      <c r="O109" s="6" t="s">
        <v>571</v>
      </c>
      <c r="P109" s="209" t="s">
        <v>1100</v>
      </c>
      <c r="Q109" s="37" t="n">
        <f aca="false">Spec_Rack!C24</f>
        <v>1.979</v>
      </c>
      <c r="R109" s="35" t="s">
        <v>571</v>
      </c>
      <c r="S109" s="34" t="str">
        <f aca="false">IF(ISNUMBER($AF109),INDEX(IDX_SrcStat,$AF109),"—")</f>
        <v>—</v>
      </c>
      <c r="T109" s="34" t="str">
        <f aca="false">IF(ISNUMBER($AF109),INDEX(IDX_SrcGrade,$AF109),"—")</f>
        <v>—</v>
      </c>
      <c r="U109" s="34" t="s">
        <v>2912</v>
      </c>
      <c r="V109" s="183" t="n">
        <f aca="false">IF(AND($F109="原始數據",$U109&lt;&gt;"連結 SRC"),1,0)</f>
        <v>0</v>
      </c>
      <c r="W109" s="183" t="n">
        <f aca="false">IF(AND($F109="Analogy",OR($H109="—",$H109="")),1,0)</f>
        <v>0</v>
      </c>
      <c r="X109" s="183" t="n">
        <f aca="false">IF(AND(OR($F109="Analogy",$F109="Assumed"),$G109&lt;&gt;"低",$G109&lt;&gt;"高",NOT(ISNUMBER($K109)),NOT(ISNUMBER($L109)),OR($M109="—",$M109="")),1,0)</f>
        <v>0</v>
      </c>
      <c r="Y109" s="183" t="n">
        <f aca="false">IF(AND(OR($F109="Analogy",$F109="Assumed",$F109="Derived（待改公式）",$F109="Derived（公式）"),OR($N109="—",$N109="",$N109=0)),1,0)</f>
        <v>0</v>
      </c>
      <c r="Z109" s="183" t="n">
        <f aca="false">IF(AND($F109="Decision",OR($J109="—",$J109="")),1,0)</f>
        <v>0</v>
      </c>
      <c r="AA109" s="180" t="n">
        <f aca="false">IF(OR($J109="—",$J109=""),0,IF(COUNTIF(Decisions!$A$5:$A$300,$J109)=0,1,0))</f>
        <v>0</v>
      </c>
      <c r="AB109" s="183" t="n">
        <f aca="false">IF(AND($F109="原始數據",$S109&lt;&gt;"Active"),1,0)</f>
        <v>0</v>
      </c>
      <c r="AC109" s="183" t="n">
        <f aca="false">IF(AND(ISNUMBER($K109),ISNUMBER($L109),ISNUMBER($Q109)),IF(OR($Q109&lt;MIN($K109,$L109),$Q109&gt;MAX($K109,$L109)),1,0),0)</f>
        <v>0</v>
      </c>
      <c r="AD109" s="183" t="n">
        <f aca="false">IF(AND(ISNUMBER($T109),$P109="高"),IF($T109=3,1,0),0)</f>
        <v>0</v>
      </c>
      <c r="AE109" s="183" t="n">
        <f aca="false">IF($S109="不存在",1,0)</f>
        <v>0</v>
      </c>
      <c r="AF109" s="34" t="str">
        <f aca="false">IF(OR($H109="—",$H109=""),"—",MATCH($H109,IDX_SrcID,0))</f>
        <v>—</v>
      </c>
    </row>
    <row r="110" customFormat="false" ht="29.25" hidden="false" customHeight="true" outlineLevel="0" collapsed="false">
      <c r="A110" s="35" t="s">
        <v>2967</v>
      </c>
      <c r="B110" s="209" t="s">
        <v>2677</v>
      </c>
      <c r="C110" s="35" t="s">
        <v>2835</v>
      </c>
      <c r="D110" s="35" t="s">
        <v>2968</v>
      </c>
      <c r="E110" s="18" t="s">
        <v>2964</v>
      </c>
      <c r="F110" s="209" t="s">
        <v>290</v>
      </c>
      <c r="G110" s="209" t="s">
        <v>2679</v>
      </c>
      <c r="H110" s="35" t="s">
        <v>2950</v>
      </c>
      <c r="I110" s="18" t="s">
        <v>2714</v>
      </c>
      <c r="J110" s="35" t="s">
        <v>571</v>
      </c>
      <c r="K110" s="209"/>
      <c r="L110" s="209"/>
      <c r="M110" s="35" t="s">
        <v>571</v>
      </c>
      <c r="N110" s="18" t="s">
        <v>2812</v>
      </c>
      <c r="O110" s="6" t="s">
        <v>571</v>
      </c>
      <c r="P110" s="209" t="s">
        <v>1100</v>
      </c>
      <c r="Q110" s="37" t="n">
        <f aca="false">Spec_Rack!D24</f>
        <v>10</v>
      </c>
      <c r="R110" s="182" t="n">
        <f aca="false">SRC_HW_022</f>
        <v>10</v>
      </c>
      <c r="S110" s="34" t="str">
        <f aca="false">IF(ISNUMBER($AF110),INDEX(IDX_SrcStat,$AF110),"—")</f>
        <v>Active</v>
      </c>
      <c r="T110" s="34" t="n">
        <f aca="false">IF(ISNUMBER($AF110),INDEX(IDX_SrcGrade,$AF110),"—")</f>
        <v>1</v>
      </c>
      <c r="U110" s="34" t="s">
        <v>2716</v>
      </c>
      <c r="V110" s="183" t="n">
        <f aca="false">IF(AND($F110="原始數據",$U110&lt;&gt;"連結 SRC"),1,0)</f>
        <v>0</v>
      </c>
      <c r="W110" s="183" t="n">
        <f aca="false">IF(AND($F110="Analogy",OR($H110="—",$H110="")),1,0)</f>
        <v>0</v>
      </c>
      <c r="X110" s="183" t="n">
        <f aca="false">IF(AND(OR($F110="Analogy",$F110="Assumed"),$G110&lt;&gt;"低",$G110&lt;&gt;"高",NOT(ISNUMBER($K110)),NOT(ISNUMBER($L110)),OR($M110="—",$M110="")),1,0)</f>
        <v>0</v>
      </c>
      <c r="Y110" s="183" t="n">
        <f aca="false">IF(AND(OR($F110="Analogy",$F110="Assumed",$F110="Derived（待改公式）",$F110="Derived（公式）"),OR($N110="—",$N110="",$N110=0)),1,0)</f>
        <v>0</v>
      </c>
      <c r="Z110" s="183" t="n">
        <f aca="false">IF(AND($F110="Decision",OR($J110="—",$J110="")),1,0)</f>
        <v>0</v>
      </c>
      <c r="AA110" s="180" t="n">
        <f aca="false">IF(OR($J110="—",$J110=""),0,IF(COUNTIF(Decisions!$A$5:$A$300,$J110)=0,1,0))</f>
        <v>0</v>
      </c>
      <c r="AB110" s="183" t="n">
        <f aca="false">IF(AND($F110="原始數據",$S110&lt;&gt;"Active"),1,0)</f>
        <v>0</v>
      </c>
      <c r="AC110" s="183" t="n">
        <f aca="false">IF(AND(ISNUMBER($K110),ISNUMBER($L110),ISNUMBER($Q110)),IF(OR($Q110&lt;MIN($K110,$L110),$Q110&gt;MAX($K110,$L110)),1,0),0)</f>
        <v>0</v>
      </c>
      <c r="AD110" s="183" t="n">
        <f aca="false">IF(AND(ISNUMBER($T110),$P110="高"),IF($T110=3,1,0),0)</f>
        <v>0</v>
      </c>
      <c r="AE110" s="183" t="n">
        <f aca="false">IF($S110="不存在",1,0)</f>
        <v>0</v>
      </c>
      <c r="AF110" s="34" t="n">
        <f aca="false">IF(OR($H110="—",$H110=""),"—",MATCH($H110,IDX_SrcID,0))</f>
        <v>22</v>
      </c>
    </row>
    <row r="111" customFormat="false" ht="29.25" hidden="false" customHeight="true" outlineLevel="0" collapsed="false">
      <c r="A111" s="35" t="s">
        <v>2969</v>
      </c>
      <c r="B111" s="209" t="s">
        <v>2677</v>
      </c>
      <c r="C111" s="35" t="s">
        <v>2835</v>
      </c>
      <c r="D111" s="35" t="s">
        <v>2819</v>
      </c>
      <c r="E111" s="18" t="s">
        <v>2964</v>
      </c>
      <c r="F111" s="209" t="s">
        <v>290</v>
      </c>
      <c r="G111" s="209" t="s">
        <v>2679</v>
      </c>
      <c r="H111" s="35" t="s">
        <v>2952</v>
      </c>
      <c r="I111" s="18" t="s">
        <v>2714</v>
      </c>
      <c r="J111" s="35" t="s">
        <v>571</v>
      </c>
      <c r="K111" s="209"/>
      <c r="L111" s="209"/>
      <c r="M111" s="35" t="s">
        <v>571</v>
      </c>
      <c r="N111" s="18" t="s">
        <v>2812</v>
      </c>
      <c r="O111" s="6" t="s">
        <v>571</v>
      </c>
      <c r="P111" s="209" t="s">
        <v>1100</v>
      </c>
      <c r="Q111" s="37" t="n">
        <f aca="false">Spec_Rack!E24</f>
        <v>15</v>
      </c>
      <c r="R111" s="182" t="n">
        <f aca="false">SRC_HW_025</f>
        <v>15</v>
      </c>
      <c r="S111" s="34" t="str">
        <f aca="false">IF(ISNUMBER($AF111),INDEX(IDX_SrcStat,$AF111),"—")</f>
        <v>Active</v>
      </c>
      <c r="T111" s="34" t="n">
        <f aca="false">IF(ISNUMBER($AF111),INDEX(IDX_SrcGrade,$AF111),"—")</f>
        <v>1</v>
      </c>
      <c r="U111" s="34" t="s">
        <v>2716</v>
      </c>
      <c r="V111" s="183" t="n">
        <f aca="false">IF(AND($F111="原始數據",$U111&lt;&gt;"連結 SRC"),1,0)</f>
        <v>0</v>
      </c>
      <c r="W111" s="183" t="n">
        <f aca="false">IF(AND($F111="Analogy",OR($H111="—",$H111="")),1,0)</f>
        <v>0</v>
      </c>
      <c r="X111" s="183" t="n">
        <f aca="false">IF(AND(OR($F111="Analogy",$F111="Assumed"),$G111&lt;&gt;"低",$G111&lt;&gt;"高",NOT(ISNUMBER($K111)),NOT(ISNUMBER($L111)),OR($M111="—",$M111="")),1,0)</f>
        <v>0</v>
      </c>
      <c r="Y111" s="183" t="n">
        <f aca="false">IF(AND(OR($F111="Analogy",$F111="Assumed",$F111="Derived（待改公式）",$F111="Derived（公式）"),OR($N111="—",$N111="",$N111=0)),1,0)</f>
        <v>0</v>
      </c>
      <c r="Z111" s="183" t="n">
        <f aca="false">IF(AND($F111="Decision",OR($J111="—",$J111="")),1,0)</f>
        <v>0</v>
      </c>
      <c r="AA111" s="180" t="n">
        <f aca="false">IF(OR($J111="—",$J111=""),0,IF(COUNTIF(Decisions!$A$5:$A$300,$J111)=0,1,0))</f>
        <v>0</v>
      </c>
      <c r="AB111" s="183" t="n">
        <f aca="false">IF(AND($F111="原始數據",$S111&lt;&gt;"Active"),1,0)</f>
        <v>0</v>
      </c>
      <c r="AC111" s="183" t="n">
        <f aca="false">IF(AND(ISNUMBER($K111),ISNUMBER($L111),ISNUMBER($Q111)),IF(OR($Q111&lt;MIN($K111,$L111),$Q111&gt;MAX($K111,$L111)),1,0),0)</f>
        <v>0</v>
      </c>
      <c r="AD111" s="183" t="n">
        <f aca="false">IF(AND(ISNUMBER($T111),$P111="高"),IF($T111=3,1,0),0)</f>
        <v>0</v>
      </c>
      <c r="AE111" s="183" t="n">
        <f aca="false">IF($S111="不存在",1,0)</f>
        <v>0</v>
      </c>
      <c r="AF111" s="34" t="n">
        <f aca="false">IF(OR($H111="—",$H111=""),"—",MATCH($H111,IDX_SrcID,0))</f>
        <v>25</v>
      </c>
    </row>
    <row r="112" customFormat="false" ht="29.25" hidden="false" customHeight="true" outlineLevel="0" collapsed="false">
      <c r="A112" s="35" t="s">
        <v>2970</v>
      </c>
      <c r="B112" s="209" t="s">
        <v>2677</v>
      </c>
      <c r="C112" s="35" t="s">
        <v>2835</v>
      </c>
      <c r="D112" s="35" t="s">
        <v>2971</v>
      </c>
      <c r="E112" s="18" t="s">
        <v>2964</v>
      </c>
      <c r="F112" s="209" t="s">
        <v>290</v>
      </c>
      <c r="G112" s="209" t="s">
        <v>2679</v>
      </c>
      <c r="H112" s="35" t="s">
        <v>2972</v>
      </c>
      <c r="I112" s="18" t="s">
        <v>2714</v>
      </c>
      <c r="J112" s="35" t="s">
        <v>571</v>
      </c>
      <c r="K112" s="209"/>
      <c r="L112" s="209"/>
      <c r="M112" s="35" t="s">
        <v>571</v>
      </c>
      <c r="N112" s="18" t="s">
        <v>2812</v>
      </c>
      <c r="O112" s="6" t="s">
        <v>571</v>
      </c>
      <c r="P112" s="209" t="s">
        <v>1100</v>
      </c>
      <c r="Q112" s="37" t="n">
        <f aca="false">Spec_Rack!F24</f>
        <v>50</v>
      </c>
      <c r="R112" s="182" t="n">
        <f aca="false">SRC_HW_027</f>
        <v>50</v>
      </c>
      <c r="S112" s="34" t="str">
        <f aca="false">IF(ISNUMBER($AF112),INDEX(IDX_SrcStat,$AF112),"—")</f>
        <v>Active</v>
      </c>
      <c r="T112" s="34" t="n">
        <f aca="false">IF(ISNUMBER($AF112),INDEX(IDX_SrcGrade,$AF112),"—")</f>
        <v>1</v>
      </c>
      <c r="U112" s="34" t="s">
        <v>2716</v>
      </c>
      <c r="V112" s="183" t="n">
        <f aca="false">IF(AND($F112="原始數據",$U112&lt;&gt;"連結 SRC"),1,0)</f>
        <v>0</v>
      </c>
      <c r="W112" s="183" t="n">
        <f aca="false">IF(AND($F112="Analogy",OR($H112="—",$H112="")),1,0)</f>
        <v>0</v>
      </c>
      <c r="X112" s="183" t="n">
        <f aca="false">IF(AND(OR($F112="Analogy",$F112="Assumed"),$G112&lt;&gt;"低",$G112&lt;&gt;"高",NOT(ISNUMBER($K112)),NOT(ISNUMBER($L112)),OR($M112="—",$M112="")),1,0)</f>
        <v>0</v>
      </c>
      <c r="Y112" s="183" t="n">
        <f aca="false">IF(AND(OR($F112="Analogy",$F112="Assumed",$F112="Derived（待改公式）",$F112="Derived（公式）"),OR($N112="—",$N112="",$N112=0)),1,0)</f>
        <v>0</v>
      </c>
      <c r="Z112" s="183" t="n">
        <f aca="false">IF(AND($F112="Decision",OR($J112="—",$J112="")),1,0)</f>
        <v>0</v>
      </c>
      <c r="AA112" s="180" t="n">
        <f aca="false">IF(OR($J112="—",$J112=""),0,IF(COUNTIF(Decisions!$A$5:$A$300,$J112)=0,1,0))</f>
        <v>0</v>
      </c>
      <c r="AB112" s="183" t="n">
        <f aca="false">IF(AND($F112="原始數據",$S112&lt;&gt;"Active"),1,0)</f>
        <v>0</v>
      </c>
      <c r="AC112" s="183" t="n">
        <f aca="false">IF(AND(ISNUMBER($K112),ISNUMBER($L112),ISNUMBER($Q112)),IF(OR($Q112&lt;MIN($K112,$L112),$Q112&gt;MAX($K112,$L112)),1,0),0)</f>
        <v>0</v>
      </c>
      <c r="AD112" s="183" t="n">
        <f aca="false">IF(AND(ISNUMBER($T112),$P112="高"),IF($T112=3,1,0),0)</f>
        <v>0</v>
      </c>
      <c r="AE112" s="183" t="n">
        <f aca="false">IF($S112="不存在",1,0)</f>
        <v>0</v>
      </c>
      <c r="AF112" s="34" t="n">
        <f aca="false">IF(OR($H112="—",$H112=""),"—",MATCH($H112,IDX_SrcID,0))</f>
        <v>27</v>
      </c>
    </row>
    <row r="113" customFormat="false" ht="43.5" hidden="false" customHeight="true" outlineLevel="0" collapsed="false">
      <c r="A113" s="35" t="s">
        <v>2973</v>
      </c>
      <c r="B113" s="209" t="s">
        <v>2677</v>
      </c>
      <c r="C113" s="35" t="s">
        <v>2835</v>
      </c>
      <c r="D113" s="35" t="s">
        <v>2974</v>
      </c>
      <c r="E113" s="18" t="s">
        <v>2964</v>
      </c>
      <c r="F113" s="209" t="s">
        <v>250</v>
      </c>
      <c r="G113" s="209" t="s">
        <v>2679</v>
      </c>
      <c r="H113" s="35" t="s">
        <v>2957</v>
      </c>
      <c r="I113" s="18" t="s">
        <v>2975</v>
      </c>
      <c r="J113" s="35" t="s">
        <v>571</v>
      </c>
      <c r="K113" s="209"/>
      <c r="L113" s="209"/>
      <c r="M113" s="35" t="s">
        <v>571</v>
      </c>
      <c r="N113" s="18" t="s">
        <v>2976</v>
      </c>
      <c r="O113" s="5" t="s">
        <v>2977</v>
      </c>
      <c r="P113" s="209" t="s">
        <v>1100</v>
      </c>
      <c r="Q113" s="37" t="n">
        <f aca="false">Spec_Rack!G24</f>
        <v>100</v>
      </c>
      <c r="R113" s="182" t="n">
        <f aca="false">SRC_HW_063</f>
        <v>2520</v>
      </c>
      <c r="S113" s="34" t="str">
        <f aca="false">IF(ISNUMBER($AF113),INDEX(IDX_SrcStat,$AF113),"—")</f>
        <v>Active</v>
      </c>
      <c r="T113" s="34" t="n">
        <f aca="false">IF(ISNUMBER($AF113),INDEX(IDX_SrcGrade,$AF113),"—")</f>
        <v>1</v>
      </c>
      <c r="U113" s="34" t="s">
        <v>2683</v>
      </c>
      <c r="V113" s="183" t="n">
        <f aca="false">IF(AND($F113="原始數據",$U113&lt;&gt;"連結 SRC"),1,0)</f>
        <v>0</v>
      </c>
      <c r="W113" s="183" t="n">
        <f aca="false">IF(AND($F113="Analogy",OR($H113="—",$H113="")),1,0)</f>
        <v>0</v>
      </c>
      <c r="X113" s="183" t="n">
        <f aca="false">IF(AND(OR($F113="Analogy",$F113="Assumed"),$G113&lt;&gt;"低",$G113&lt;&gt;"高",NOT(ISNUMBER($K113)),NOT(ISNUMBER($L113)),OR($M113="—",$M113="")),1,0)</f>
        <v>0</v>
      </c>
      <c r="Y113" s="183" t="n">
        <f aca="false">IF(AND(OR($F113="Analogy",$F113="Assumed",$F113="Derived（待改公式）",$F113="Derived（公式）"),OR($N113="—",$N113="",$N113=0)),1,0)</f>
        <v>0</v>
      </c>
      <c r="Z113" s="183" t="n">
        <f aca="false">IF(AND($F113="Decision",OR($J113="—",$J113="")),1,0)</f>
        <v>0</v>
      </c>
      <c r="AA113" s="180" t="n">
        <f aca="false">IF(OR($J113="—",$J113=""),0,IF(COUNTIF(Decisions!$A$5:$A$300,$J113)=0,1,0))</f>
        <v>0</v>
      </c>
      <c r="AB113" s="183" t="n">
        <f aca="false">IF(AND($F113="原始數據",$S113&lt;&gt;"Active"),1,0)</f>
        <v>0</v>
      </c>
      <c r="AC113" s="183" t="n">
        <f aca="false">IF(AND(ISNUMBER($K113),ISNUMBER($L113),ISNUMBER($Q113)),IF(OR($Q113&lt;MIN($K113,$L113),$Q113&gt;MAX($K113,$L113)),1,0),0)</f>
        <v>0</v>
      </c>
      <c r="AD113" s="183" t="n">
        <f aca="false">IF(AND(ISNUMBER($T113),$P113="高"),IF($T113=3,1,0),0)</f>
        <v>0</v>
      </c>
      <c r="AE113" s="183" t="n">
        <f aca="false">IF($S113="不存在",1,0)</f>
        <v>0</v>
      </c>
      <c r="AF113" s="34" t="n">
        <f aca="false">IF(OR($H113="—",$H113=""),"—",MATCH($H113,IDX_SrcID,0))</f>
        <v>63</v>
      </c>
    </row>
    <row r="114" customFormat="false" ht="15" hidden="false" customHeight="true" outlineLevel="0" collapsed="false">
      <c r="A114" s="35" t="s">
        <v>2978</v>
      </c>
      <c r="B114" s="209" t="s">
        <v>2677</v>
      </c>
      <c r="C114" s="35" t="s">
        <v>2835</v>
      </c>
      <c r="D114" s="35" t="s">
        <v>2979</v>
      </c>
      <c r="E114" s="6" t="s">
        <v>189</v>
      </c>
      <c r="F114" s="209" t="s">
        <v>290</v>
      </c>
      <c r="G114" s="209" t="s">
        <v>2679</v>
      </c>
      <c r="H114" s="35" t="s">
        <v>2980</v>
      </c>
      <c r="I114" s="18" t="s">
        <v>2714</v>
      </c>
      <c r="J114" s="35" t="s">
        <v>571</v>
      </c>
      <c r="K114" s="209"/>
      <c r="L114" s="209"/>
      <c r="M114" s="35" t="s">
        <v>571</v>
      </c>
      <c r="N114" s="18" t="s">
        <v>2900</v>
      </c>
      <c r="O114" s="6" t="s">
        <v>571</v>
      </c>
      <c r="P114" s="209" t="s">
        <v>2738</v>
      </c>
      <c r="Q114" s="40" t="n">
        <f aca="false">Spec_Rack!C25</f>
        <v>80</v>
      </c>
      <c r="R114" s="182" t="n">
        <f aca="false">SRC_HW_020</f>
        <v>80</v>
      </c>
      <c r="S114" s="34" t="str">
        <f aca="false">IF(ISNUMBER($AF114),INDEX(IDX_SrcStat,$AF114),"—")</f>
        <v>Active</v>
      </c>
      <c r="T114" s="34" t="n">
        <f aca="false">IF(ISNUMBER($AF114),INDEX(IDX_SrcGrade,$AF114),"—")</f>
        <v>3</v>
      </c>
      <c r="U114" s="34" t="s">
        <v>2716</v>
      </c>
      <c r="V114" s="183" t="n">
        <f aca="false">IF(AND($F114="原始數據",$U114&lt;&gt;"連結 SRC"),1,0)</f>
        <v>0</v>
      </c>
      <c r="W114" s="183" t="n">
        <f aca="false">IF(AND($F114="Analogy",OR($H114="—",$H114="")),1,0)</f>
        <v>0</v>
      </c>
      <c r="X114" s="183" t="n">
        <f aca="false">IF(AND(OR($F114="Analogy",$F114="Assumed"),$G114&lt;&gt;"低",$G114&lt;&gt;"高",NOT(ISNUMBER($K114)),NOT(ISNUMBER($L114)),OR($M114="—",$M114="")),1,0)</f>
        <v>0</v>
      </c>
      <c r="Y114" s="183" t="n">
        <f aca="false">IF(AND(OR($F114="Analogy",$F114="Assumed",$F114="Derived（待改公式）",$F114="Derived（公式）"),OR($N114="—",$N114="",$N114=0)),1,0)</f>
        <v>0</v>
      </c>
      <c r="Z114" s="183" t="n">
        <f aca="false">IF(AND($F114="Decision",OR($J114="—",$J114="")),1,0)</f>
        <v>0</v>
      </c>
      <c r="AA114" s="180" t="n">
        <f aca="false">IF(OR($J114="—",$J114=""),0,IF(COUNTIF(Decisions!$A$5:$A$300,$J114)=0,1,0))</f>
        <v>0</v>
      </c>
      <c r="AB114" s="183" t="n">
        <f aca="false">IF(AND($F114="原始數據",$S114&lt;&gt;"Active"),1,0)</f>
        <v>0</v>
      </c>
      <c r="AC114" s="183" t="n">
        <f aca="false">IF(AND(ISNUMBER($K114),ISNUMBER($L114),ISNUMBER($Q114)),IF(OR($Q114&lt;MIN($K114,$L114),$Q114&gt;MAX($K114,$L114)),1,0),0)</f>
        <v>0</v>
      </c>
      <c r="AD114" s="183" t="n">
        <f aca="false">IF(AND(ISNUMBER($T114),$P114="高"),IF($T114=3,1,0),0)</f>
        <v>0</v>
      </c>
      <c r="AE114" s="183" t="n">
        <f aca="false">IF($S114="不存在",1,0)</f>
        <v>0</v>
      </c>
      <c r="AF114" s="34" t="n">
        <f aca="false">IF(OR($H114="—",$H114=""),"—",MATCH($H114,IDX_SrcID,0))</f>
        <v>20</v>
      </c>
    </row>
    <row r="115" customFormat="false" ht="43.5" hidden="false" customHeight="true" outlineLevel="0" collapsed="false">
      <c r="A115" s="35" t="s">
        <v>2981</v>
      </c>
      <c r="B115" s="209" t="s">
        <v>2677</v>
      </c>
      <c r="C115" s="35" t="s">
        <v>2835</v>
      </c>
      <c r="D115" s="35" t="s">
        <v>2982</v>
      </c>
      <c r="E115" s="6" t="s">
        <v>189</v>
      </c>
      <c r="F115" s="209" t="s">
        <v>2864</v>
      </c>
      <c r="G115" s="209" t="s">
        <v>2679</v>
      </c>
      <c r="H115" s="35" t="s">
        <v>2983</v>
      </c>
      <c r="I115" s="18" t="s">
        <v>2984</v>
      </c>
      <c r="J115" s="35" t="s">
        <v>571</v>
      </c>
      <c r="K115" s="209"/>
      <c r="L115" s="209"/>
      <c r="M115" s="35" t="s">
        <v>571</v>
      </c>
      <c r="N115" s="18" t="s">
        <v>2985</v>
      </c>
      <c r="O115" s="6" t="s">
        <v>571</v>
      </c>
      <c r="P115" s="209" t="s">
        <v>2738</v>
      </c>
      <c r="Q115" s="40" t="n">
        <f aca="false">Spec_Rack!D25</f>
        <v>186</v>
      </c>
      <c r="R115" s="182" t="n">
        <f aca="false">SRC_HW_041</f>
        <v>13.4</v>
      </c>
      <c r="S115" s="34" t="str">
        <f aca="false">IF(ISNUMBER($AF115),INDEX(IDX_SrcStat,$AF115),"—")</f>
        <v>Active</v>
      </c>
      <c r="T115" s="34" t="n">
        <f aca="false">IF(ISNUMBER($AF115),INDEX(IDX_SrcGrade,$AF115),"—")</f>
        <v>3</v>
      </c>
      <c r="U115" s="34" t="s">
        <v>2683</v>
      </c>
      <c r="V115" s="183" t="n">
        <f aca="false">IF(AND($F115="原始數據",$U115&lt;&gt;"連結 SRC"),1,0)</f>
        <v>0</v>
      </c>
      <c r="W115" s="183" t="n">
        <f aca="false">IF(AND($F115="Analogy",OR($H115="—",$H115="")),1,0)</f>
        <v>0</v>
      </c>
      <c r="X115" s="183" t="n">
        <f aca="false">IF(AND(OR($F115="Analogy",$F115="Assumed"),$G115&lt;&gt;"低",$G115&lt;&gt;"高",NOT(ISNUMBER($K115)),NOT(ISNUMBER($L115)),OR($M115="—",$M115="")),1,0)</f>
        <v>0</v>
      </c>
      <c r="Y115" s="183" t="n">
        <f aca="false">IF(AND(OR($F115="Analogy",$F115="Assumed",$F115="Derived（待改公式）",$F115="Derived（公式）"),OR($N115="—",$N115="",$N115=0)),1,0)</f>
        <v>0</v>
      </c>
      <c r="Z115" s="183" t="n">
        <f aca="false">IF(AND($F115="Decision",OR($J115="—",$J115="")),1,0)</f>
        <v>0</v>
      </c>
      <c r="AA115" s="180" t="n">
        <f aca="false">IF(OR($J115="—",$J115=""),0,IF(COUNTIF(Decisions!$A$5:$A$300,$J115)=0,1,0))</f>
        <v>0</v>
      </c>
      <c r="AB115" s="183" t="n">
        <f aca="false">IF(AND($F115="原始數據",$S115&lt;&gt;"Active"),1,0)</f>
        <v>0</v>
      </c>
      <c r="AC115" s="183" t="n">
        <f aca="false">IF(AND(ISNUMBER($K115),ISNUMBER($L115),ISNUMBER($Q115)),IF(OR($Q115&lt;MIN($K115,$L115),$Q115&gt;MAX($K115,$L115)),1,0),0)</f>
        <v>0</v>
      </c>
      <c r="AD115" s="183" t="n">
        <f aca="false">IF(AND(ISNUMBER($T115),$P115="高"),IF($T115=3,1,0),0)</f>
        <v>0</v>
      </c>
      <c r="AE115" s="183" t="n">
        <f aca="false">IF($S115="不存在",1,0)</f>
        <v>0</v>
      </c>
      <c r="AF115" s="34" t="n">
        <f aca="false">IF(OR($H115="—",$H115=""),"—",MATCH($H115,IDX_SrcID,0))</f>
        <v>41</v>
      </c>
    </row>
    <row r="116" customFormat="false" ht="15" hidden="false" customHeight="true" outlineLevel="0" collapsed="false">
      <c r="A116" s="35" t="s">
        <v>2986</v>
      </c>
      <c r="B116" s="209" t="s">
        <v>2677</v>
      </c>
      <c r="C116" s="35" t="s">
        <v>2835</v>
      </c>
      <c r="D116" s="35" t="s">
        <v>2823</v>
      </c>
      <c r="E116" s="6" t="s">
        <v>189</v>
      </c>
      <c r="F116" s="209" t="s">
        <v>290</v>
      </c>
      <c r="G116" s="209" t="s">
        <v>2679</v>
      </c>
      <c r="H116" s="35" t="s">
        <v>2987</v>
      </c>
      <c r="I116" s="18" t="s">
        <v>2714</v>
      </c>
      <c r="J116" s="35" t="s">
        <v>571</v>
      </c>
      <c r="K116" s="209"/>
      <c r="L116" s="209"/>
      <c r="M116" s="35" t="s">
        <v>571</v>
      </c>
      <c r="N116" s="18" t="s">
        <v>2900</v>
      </c>
      <c r="O116" s="6" t="s">
        <v>571</v>
      </c>
      <c r="P116" s="209" t="s">
        <v>2738</v>
      </c>
      <c r="Q116" s="40" t="n">
        <f aca="false">Spec_Rack!E25</f>
        <v>288</v>
      </c>
      <c r="R116" s="182" t="n">
        <f aca="false">SRC_HW_026</f>
        <v>288</v>
      </c>
      <c r="S116" s="34" t="str">
        <f aca="false">IF(ISNUMBER($AF116),INDEX(IDX_SrcStat,$AF116),"—")</f>
        <v>Active</v>
      </c>
      <c r="T116" s="34" t="n">
        <f aca="false">IF(ISNUMBER($AF116),INDEX(IDX_SrcGrade,$AF116),"—")</f>
        <v>3</v>
      </c>
      <c r="U116" s="34" t="s">
        <v>2716</v>
      </c>
      <c r="V116" s="183" t="n">
        <f aca="false">IF(AND($F116="原始數據",$U116&lt;&gt;"連結 SRC"),1,0)</f>
        <v>0</v>
      </c>
      <c r="W116" s="183" t="n">
        <f aca="false">IF(AND($F116="Analogy",OR($H116="—",$H116="")),1,0)</f>
        <v>0</v>
      </c>
      <c r="X116" s="183" t="n">
        <f aca="false">IF(AND(OR($F116="Analogy",$F116="Assumed"),$G116&lt;&gt;"低",$G116&lt;&gt;"高",NOT(ISNUMBER($K116)),NOT(ISNUMBER($L116)),OR($M116="—",$M116="")),1,0)</f>
        <v>0</v>
      </c>
      <c r="Y116" s="183" t="n">
        <f aca="false">IF(AND(OR($F116="Analogy",$F116="Assumed",$F116="Derived（待改公式）",$F116="Derived（公式）"),OR($N116="—",$N116="",$N116=0)),1,0)</f>
        <v>0</v>
      </c>
      <c r="Z116" s="183" t="n">
        <f aca="false">IF(AND($F116="Decision",OR($J116="—",$J116="")),1,0)</f>
        <v>0</v>
      </c>
      <c r="AA116" s="180" t="n">
        <f aca="false">IF(OR($J116="—",$J116=""),0,IF(COUNTIF(Decisions!$A$5:$A$300,$J116)=0,1,0))</f>
        <v>0</v>
      </c>
      <c r="AB116" s="183" t="n">
        <f aca="false">IF(AND($F116="原始數據",$S116&lt;&gt;"Active"),1,0)</f>
        <v>0</v>
      </c>
      <c r="AC116" s="183" t="n">
        <f aca="false">IF(AND(ISNUMBER($K116),ISNUMBER($L116),ISNUMBER($Q116)),IF(OR($Q116&lt;MIN($K116,$L116),$Q116&gt;MAX($K116,$L116)),1,0),0)</f>
        <v>0</v>
      </c>
      <c r="AD116" s="183" t="n">
        <f aca="false">IF(AND(ISNUMBER($T116),$P116="高"),IF($T116=3,1,0),0)</f>
        <v>0</v>
      </c>
      <c r="AE116" s="183" t="n">
        <f aca="false">IF($S116="不存在",1,0)</f>
        <v>0</v>
      </c>
      <c r="AF116" s="34" t="n">
        <f aca="false">IF(OR($H116="—",$H116=""),"—",MATCH($H116,IDX_SrcID,0))</f>
        <v>26</v>
      </c>
    </row>
    <row r="117" customFormat="false" ht="15" hidden="false" customHeight="true" outlineLevel="0" collapsed="false">
      <c r="A117" s="35" t="s">
        <v>2988</v>
      </c>
      <c r="B117" s="209" t="s">
        <v>2677</v>
      </c>
      <c r="C117" s="35" t="s">
        <v>2835</v>
      </c>
      <c r="D117" s="35" t="s">
        <v>2989</v>
      </c>
      <c r="E117" s="6" t="s">
        <v>189</v>
      </c>
      <c r="F117" s="209" t="s">
        <v>290</v>
      </c>
      <c r="G117" s="209" t="s">
        <v>2679</v>
      </c>
      <c r="H117" s="35" t="s">
        <v>2990</v>
      </c>
      <c r="I117" s="18" t="s">
        <v>2714</v>
      </c>
      <c r="J117" s="35" t="s">
        <v>571</v>
      </c>
      <c r="K117" s="209"/>
      <c r="L117" s="209"/>
      <c r="M117" s="35" t="s">
        <v>571</v>
      </c>
      <c r="N117" s="18" t="s">
        <v>2900</v>
      </c>
      <c r="O117" s="6" t="s">
        <v>571</v>
      </c>
      <c r="P117" s="209" t="s">
        <v>2738</v>
      </c>
      <c r="Q117" s="40" t="n">
        <f aca="false">Spec_Rack!F25</f>
        <v>288</v>
      </c>
      <c r="R117" s="182" t="n">
        <f aca="false">SRC_HW_029</f>
        <v>288</v>
      </c>
      <c r="S117" s="34" t="str">
        <f aca="false">IF(ISNUMBER($AF117),INDEX(IDX_SrcStat,$AF117),"—")</f>
        <v>Active</v>
      </c>
      <c r="T117" s="34" t="n">
        <f aca="false">IF(ISNUMBER($AF117),INDEX(IDX_SrcGrade,$AF117),"—")</f>
        <v>3</v>
      </c>
      <c r="U117" s="34" t="s">
        <v>2716</v>
      </c>
      <c r="V117" s="183" t="n">
        <f aca="false">IF(AND($F117="原始數據",$U117&lt;&gt;"連結 SRC"),1,0)</f>
        <v>0</v>
      </c>
      <c r="W117" s="183" t="n">
        <f aca="false">IF(AND($F117="Analogy",OR($H117="—",$H117="")),1,0)</f>
        <v>0</v>
      </c>
      <c r="X117" s="183" t="n">
        <f aca="false">IF(AND(OR($F117="Analogy",$F117="Assumed"),$G117&lt;&gt;"低",$G117&lt;&gt;"高",NOT(ISNUMBER($K117)),NOT(ISNUMBER($L117)),OR($M117="—",$M117="")),1,0)</f>
        <v>0</v>
      </c>
      <c r="Y117" s="183" t="n">
        <f aca="false">IF(AND(OR($F117="Analogy",$F117="Assumed",$F117="Derived（待改公式）",$F117="Derived（公式）"),OR($N117="—",$N117="",$N117=0)),1,0)</f>
        <v>0</v>
      </c>
      <c r="Z117" s="183" t="n">
        <f aca="false">IF(AND($F117="Decision",OR($J117="—",$J117="")),1,0)</f>
        <v>0</v>
      </c>
      <c r="AA117" s="180" t="n">
        <f aca="false">IF(OR($J117="—",$J117=""),0,IF(COUNTIF(Decisions!$A$5:$A$300,$J117)=0,1,0))</f>
        <v>0</v>
      </c>
      <c r="AB117" s="183" t="n">
        <f aca="false">IF(AND($F117="原始數據",$S117&lt;&gt;"Active"),1,0)</f>
        <v>0</v>
      </c>
      <c r="AC117" s="183" t="n">
        <f aca="false">IF(AND(ISNUMBER($K117),ISNUMBER($L117),ISNUMBER($Q117)),IF(OR($Q117&lt;MIN($K117,$L117),$Q117&gt;MAX($K117,$L117)),1,0),0)</f>
        <v>0</v>
      </c>
      <c r="AD117" s="183" t="n">
        <f aca="false">IF(AND(ISNUMBER($T117),$P117="高"),IF($T117=3,1,0),0)</f>
        <v>0</v>
      </c>
      <c r="AE117" s="183" t="n">
        <f aca="false">IF($S117="不存在",1,0)</f>
        <v>0</v>
      </c>
      <c r="AF117" s="34" t="n">
        <f aca="false">IF(OR($H117="—",$H117=""),"—",MATCH($H117,IDX_SrcID,0))</f>
        <v>29</v>
      </c>
    </row>
    <row r="118" customFormat="false" ht="15" hidden="false" customHeight="true" outlineLevel="0" collapsed="false">
      <c r="A118" s="35" t="s">
        <v>2991</v>
      </c>
      <c r="B118" s="209" t="s">
        <v>2677</v>
      </c>
      <c r="C118" s="35" t="s">
        <v>2835</v>
      </c>
      <c r="D118" s="35" t="s">
        <v>2992</v>
      </c>
      <c r="E118" s="6" t="s">
        <v>189</v>
      </c>
      <c r="F118" s="35" t="s">
        <v>72</v>
      </c>
      <c r="G118" s="209" t="s">
        <v>57</v>
      </c>
      <c r="H118" s="35" t="s">
        <v>571</v>
      </c>
      <c r="I118" s="6" t="s">
        <v>571</v>
      </c>
      <c r="J118" s="35" t="s">
        <v>571</v>
      </c>
      <c r="K118" s="182" t="n">
        <f aca="false">Spec_Rack!G25*0.7</f>
        <v>716.8</v>
      </c>
      <c r="L118" s="182" t="n">
        <f aca="false">Spec_Rack!G25*1.3</f>
        <v>1331.2</v>
      </c>
      <c r="M118" s="35" t="s">
        <v>2959</v>
      </c>
      <c r="N118" s="6" t="s">
        <v>2993</v>
      </c>
      <c r="O118" s="6" t="s">
        <v>571</v>
      </c>
      <c r="P118" s="209" t="s">
        <v>2738</v>
      </c>
      <c r="Q118" s="40" t="n">
        <f aca="false">Spec_Rack!G25</f>
        <v>1024</v>
      </c>
      <c r="R118" s="35" t="s">
        <v>571</v>
      </c>
      <c r="S118" s="34" t="str">
        <f aca="false">IF(ISNUMBER($AF118),INDEX(IDX_SrcStat,$AF118),"—")</f>
        <v>—</v>
      </c>
      <c r="T118" s="34" t="str">
        <f aca="false">IF(ISNUMBER($AF118),INDEX(IDX_SrcGrade,$AF118),"—")</f>
        <v>—</v>
      </c>
      <c r="U118" s="34" t="s">
        <v>2683</v>
      </c>
      <c r="V118" s="183" t="n">
        <f aca="false">IF(AND($F118="原始數據",$U118&lt;&gt;"連結 SRC"),1,0)</f>
        <v>0</v>
      </c>
      <c r="W118" s="183" t="n">
        <f aca="false">IF(AND($F118="Analogy",OR($H118="—",$H118="")),1,0)</f>
        <v>0</v>
      </c>
      <c r="X118" s="183" t="n">
        <f aca="false">IF(AND(OR($F118="Analogy",$F118="Assumed"),$G118&lt;&gt;"低",$G118&lt;&gt;"高",NOT(ISNUMBER($K118)),NOT(ISNUMBER($L118)),OR($M118="—",$M118="")),1,0)</f>
        <v>0</v>
      </c>
      <c r="Y118" s="183" t="n">
        <f aca="false">IF(AND(OR($F118="Analogy",$F118="Assumed",$F118="Derived（待改公式）",$F118="Derived（公式）"),OR($N118="—",$N118="",$N118=0)),1,0)</f>
        <v>0</v>
      </c>
      <c r="Z118" s="183" t="n">
        <f aca="false">IF(AND($F118="Decision",OR($J118="—",$J118="")),1,0)</f>
        <v>0</v>
      </c>
      <c r="AA118" s="180" t="n">
        <f aca="false">IF(OR($J118="—",$J118=""),0,IF(COUNTIF(Decisions!$A$5:$A$300,$J118)=0,1,0))</f>
        <v>0</v>
      </c>
      <c r="AB118" s="183" t="n">
        <f aca="false">IF(AND($F118="原始數據",$S118&lt;&gt;"Active"),1,0)</f>
        <v>0</v>
      </c>
      <c r="AC118" s="183" t="n">
        <f aca="false">IF(AND(ISNUMBER($K118),ISNUMBER($L118),ISNUMBER($Q118)),IF(OR($Q118&lt;MIN($K118,$L118),$Q118&gt;MAX($K118,$L118)),1,0),0)</f>
        <v>0</v>
      </c>
      <c r="AD118" s="183" t="n">
        <f aca="false">IF(AND(ISNUMBER($T118),$P118="高"),IF($T118=3,1,0),0)</f>
        <v>0</v>
      </c>
      <c r="AE118" s="183" t="n">
        <f aca="false">IF($S118="不存在",1,0)</f>
        <v>0</v>
      </c>
      <c r="AF118" s="34" t="str">
        <f aca="false">IF(OR($H118="—",$H118=""),"—",MATCH($H118,IDX_SrcID,0))</f>
        <v>—</v>
      </c>
    </row>
    <row r="119" customFormat="false" ht="15" hidden="false" customHeight="true" outlineLevel="0" collapsed="false">
      <c r="A119" s="35" t="s">
        <v>2994</v>
      </c>
      <c r="B119" s="209" t="s">
        <v>2677</v>
      </c>
      <c r="C119" s="35" t="s">
        <v>2835</v>
      </c>
      <c r="D119" s="35" t="s">
        <v>2995</v>
      </c>
      <c r="E119" s="6" t="s">
        <v>191</v>
      </c>
      <c r="F119" s="209" t="s">
        <v>290</v>
      </c>
      <c r="G119" s="209" t="s">
        <v>2679</v>
      </c>
      <c r="H119" s="35" t="s">
        <v>2996</v>
      </c>
      <c r="I119" s="18" t="s">
        <v>2714</v>
      </c>
      <c r="J119" s="35" t="s">
        <v>571</v>
      </c>
      <c r="K119" s="209"/>
      <c r="L119" s="209"/>
      <c r="M119" s="35" t="s">
        <v>571</v>
      </c>
      <c r="N119" s="18" t="s">
        <v>2900</v>
      </c>
      <c r="O119" s="6" t="s">
        <v>571</v>
      </c>
      <c r="P119" s="209" t="s">
        <v>2738</v>
      </c>
      <c r="Q119" s="42" t="n">
        <f aca="false">Spec_Rack!C26</f>
        <v>3.35</v>
      </c>
      <c r="R119" s="182" t="n">
        <f aca="false">SRC_HW_021</f>
        <v>3.35</v>
      </c>
      <c r="S119" s="34" t="str">
        <f aca="false">IF(ISNUMBER($AF119),INDEX(IDX_SrcStat,$AF119),"—")</f>
        <v>Active</v>
      </c>
      <c r="T119" s="34" t="n">
        <f aca="false">IF(ISNUMBER($AF119),INDEX(IDX_SrcGrade,$AF119),"—")</f>
        <v>3</v>
      </c>
      <c r="U119" s="34" t="s">
        <v>2716</v>
      </c>
      <c r="V119" s="183" t="n">
        <f aca="false">IF(AND($F119="原始數據",$U119&lt;&gt;"連結 SRC"),1,0)</f>
        <v>0</v>
      </c>
      <c r="W119" s="183" t="n">
        <f aca="false">IF(AND($F119="Analogy",OR($H119="—",$H119="")),1,0)</f>
        <v>0</v>
      </c>
      <c r="X119" s="183" t="n">
        <f aca="false">IF(AND(OR($F119="Analogy",$F119="Assumed"),$G119&lt;&gt;"低",$G119&lt;&gt;"高",NOT(ISNUMBER($K119)),NOT(ISNUMBER($L119)),OR($M119="—",$M119="")),1,0)</f>
        <v>0</v>
      </c>
      <c r="Y119" s="183" t="n">
        <f aca="false">IF(AND(OR($F119="Analogy",$F119="Assumed",$F119="Derived（待改公式）",$F119="Derived（公式）"),OR($N119="—",$N119="",$N119=0)),1,0)</f>
        <v>0</v>
      </c>
      <c r="Z119" s="183" t="n">
        <f aca="false">IF(AND($F119="Decision",OR($J119="—",$J119="")),1,0)</f>
        <v>0</v>
      </c>
      <c r="AA119" s="180" t="n">
        <f aca="false">IF(OR($J119="—",$J119=""),0,IF(COUNTIF(Decisions!$A$5:$A$300,$J119)=0,1,0))</f>
        <v>0</v>
      </c>
      <c r="AB119" s="183" t="n">
        <f aca="false">IF(AND($F119="原始數據",$S119&lt;&gt;"Active"),1,0)</f>
        <v>0</v>
      </c>
      <c r="AC119" s="183" t="n">
        <f aca="false">IF(AND(ISNUMBER($K119),ISNUMBER($L119),ISNUMBER($Q119)),IF(OR($Q119&lt;MIN($K119,$L119),$Q119&gt;MAX($K119,$L119)),1,0),0)</f>
        <v>0</v>
      </c>
      <c r="AD119" s="183" t="n">
        <f aca="false">IF(AND(ISNUMBER($T119),$P119="高"),IF($T119=3,1,0),0)</f>
        <v>0</v>
      </c>
      <c r="AE119" s="183" t="n">
        <f aca="false">IF($S119="不存在",1,0)</f>
        <v>0</v>
      </c>
      <c r="AF119" s="34" t="n">
        <f aca="false">IF(OR($H119="—",$H119=""),"—",MATCH($H119,IDX_SrcID,0))</f>
        <v>21</v>
      </c>
    </row>
    <row r="120" customFormat="false" ht="15" hidden="false" customHeight="true" outlineLevel="0" collapsed="false">
      <c r="A120" s="35" t="s">
        <v>2997</v>
      </c>
      <c r="B120" s="209" t="s">
        <v>2677</v>
      </c>
      <c r="C120" s="35" t="s">
        <v>2835</v>
      </c>
      <c r="D120" s="35" t="s">
        <v>2998</v>
      </c>
      <c r="E120" s="6" t="s">
        <v>191</v>
      </c>
      <c r="F120" s="209" t="s">
        <v>290</v>
      </c>
      <c r="G120" s="209" t="s">
        <v>2679</v>
      </c>
      <c r="H120" s="35" t="s">
        <v>2999</v>
      </c>
      <c r="I120" s="18" t="s">
        <v>2714</v>
      </c>
      <c r="J120" s="35" t="s">
        <v>571</v>
      </c>
      <c r="K120" s="209"/>
      <c r="L120" s="209"/>
      <c r="M120" s="35" t="s">
        <v>571</v>
      </c>
      <c r="N120" s="18" t="s">
        <v>2900</v>
      </c>
      <c r="O120" s="6" t="s">
        <v>571</v>
      </c>
      <c r="P120" s="209" t="s">
        <v>2738</v>
      </c>
      <c r="Q120" s="42" t="n">
        <f aca="false">Spec_Rack!D26</f>
        <v>8</v>
      </c>
      <c r="R120" s="182" t="n">
        <f aca="false">SRC_HW_023</f>
        <v>8</v>
      </c>
      <c r="S120" s="34" t="str">
        <f aca="false">IF(ISNUMBER($AF120),INDEX(IDX_SrcStat,$AF120),"—")</f>
        <v>Active</v>
      </c>
      <c r="T120" s="34" t="n">
        <f aca="false">IF(ISNUMBER($AF120),INDEX(IDX_SrcGrade,$AF120),"—")</f>
        <v>3</v>
      </c>
      <c r="U120" s="34" t="s">
        <v>2716</v>
      </c>
      <c r="V120" s="183" t="n">
        <f aca="false">IF(AND($F120="原始數據",$U120&lt;&gt;"連結 SRC"),1,0)</f>
        <v>0</v>
      </c>
      <c r="W120" s="183" t="n">
        <f aca="false">IF(AND($F120="Analogy",OR($H120="—",$H120="")),1,0)</f>
        <v>0</v>
      </c>
      <c r="X120" s="183" t="n">
        <f aca="false">IF(AND(OR($F120="Analogy",$F120="Assumed"),$G120&lt;&gt;"低",$G120&lt;&gt;"高",NOT(ISNUMBER($K120)),NOT(ISNUMBER($L120)),OR($M120="—",$M120="")),1,0)</f>
        <v>0</v>
      </c>
      <c r="Y120" s="183" t="n">
        <f aca="false">IF(AND(OR($F120="Analogy",$F120="Assumed",$F120="Derived（待改公式）",$F120="Derived（公式）"),OR($N120="—",$N120="",$N120=0)),1,0)</f>
        <v>0</v>
      </c>
      <c r="Z120" s="183" t="n">
        <f aca="false">IF(AND($F120="Decision",OR($J120="—",$J120="")),1,0)</f>
        <v>0</v>
      </c>
      <c r="AA120" s="180" t="n">
        <f aca="false">IF(OR($J120="—",$J120=""),0,IF(COUNTIF(Decisions!$A$5:$A$300,$J120)=0,1,0))</f>
        <v>0</v>
      </c>
      <c r="AB120" s="183" t="n">
        <f aca="false">IF(AND($F120="原始數據",$S120&lt;&gt;"Active"),1,0)</f>
        <v>0</v>
      </c>
      <c r="AC120" s="183" t="n">
        <f aca="false">IF(AND(ISNUMBER($K120),ISNUMBER($L120),ISNUMBER($Q120)),IF(OR($Q120&lt;MIN($K120,$L120),$Q120&gt;MAX($K120,$L120)),1,0),0)</f>
        <v>0</v>
      </c>
      <c r="AD120" s="183" t="n">
        <f aca="false">IF(AND(ISNUMBER($T120),$P120="高"),IF($T120=3,1,0),0)</f>
        <v>0</v>
      </c>
      <c r="AE120" s="183" t="n">
        <f aca="false">IF($S120="不存在",1,0)</f>
        <v>0</v>
      </c>
      <c r="AF120" s="34" t="n">
        <f aca="false">IF(OR($H120="—",$H120=""),"—",MATCH($H120,IDX_SrcID,0))</f>
        <v>23</v>
      </c>
    </row>
    <row r="121" customFormat="false" ht="15" hidden="false" customHeight="true" outlineLevel="0" collapsed="false">
      <c r="A121" s="35" t="s">
        <v>3000</v>
      </c>
      <c r="B121" s="209" t="s">
        <v>2677</v>
      </c>
      <c r="C121" s="35" t="s">
        <v>2835</v>
      </c>
      <c r="D121" s="35" t="s">
        <v>2827</v>
      </c>
      <c r="E121" s="6" t="s">
        <v>191</v>
      </c>
      <c r="F121" s="209" t="s">
        <v>290</v>
      </c>
      <c r="G121" s="209" t="s">
        <v>2679</v>
      </c>
      <c r="H121" s="35" t="s">
        <v>3001</v>
      </c>
      <c r="I121" s="18" t="s">
        <v>2714</v>
      </c>
      <c r="J121" s="35" t="s">
        <v>571</v>
      </c>
      <c r="K121" s="209"/>
      <c r="L121" s="209"/>
      <c r="M121" s="35" t="s">
        <v>571</v>
      </c>
      <c r="N121" s="18" t="s">
        <v>2900</v>
      </c>
      <c r="O121" s="6" t="s">
        <v>571</v>
      </c>
      <c r="P121" s="209" t="s">
        <v>2738</v>
      </c>
      <c r="Q121" s="42" t="n">
        <f aca="false">Spec_Rack!E26</f>
        <v>8</v>
      </c>
      <c r="R121" s="182" t="n">
        <f aca="false">SRC_HW_059</f>
        <v>8</v>
      </c>
      <c r="S121" s="34" t="str">
        <f aca="false">IF(ISNUMBER($AF121),INDEX(IDX_SrcStat,$AF121),"—")</f>
        <v>Active</v>
      </c>
      <c r="T121" s="34" t="n">
        <f aca="false">IF(ISNUMBER($AF121),INDEX(IDX_SrcGrade,$AF121),"—")</f>
        <v>3</v>
      </c>
      <c r="U121" s="34" t="s">
        <v>2716</v>
      </c>
      <c r="V121" s="183" t="n">
        <f aca="false">IF(AND($F121="原始數據",$U121&lt;&gt;"連結 SRC"),1,0)</f>
        <v>0</v>
      </c>
      <c r="W121" s="183" t="n">
        <f aca="false">IF(AND($F121="Analogy",OR($H121="—",$H121="")),1,0)</f>
        <v>0</v>
      </c>
      <c r="X121" s="183" t="n">
        <f aca="false">IF(AND(OR($F121="Analogy",$F121="Assumed"),$G121&lt;&gt;"低",$G121&lt;&gt;"高",NOT(ISNUMBER($K121)),NOT(ISNUMBER($L121)),OR($M121="—",$M121="")),1,0)</f>
        <v>0</v>
      </c>
      <c r="Y121" s="183" t="n">
        <f aca="false">IF(AND(OR($F121="Analogy",$F121="Assumed",$F121="Derived（待改公式）",$F121="Derived（公式）"),OR($N121="—",$N121="",$N121=0)),1,0)</f>
        <v>0</v>
      </c>
      <c r="Z121" s="183" t="n">
        <f aca="false">IF(AND($F121="Decision",OR($J121="—",$J121="")),1,0)</f>
        <v>0</v>
      </c>
      <c r="AA121" s="180" t="n">
        <f aca="false">IF(OR($J121="—",$J121=""),0,IF(COUNTIF(Decisions!$A$5:$A$300,$J121)=0,1,0))</f>
        <v>0</v>
      </c>
      <c r="AB121" s="183" t="n">
        <f aca="false">IF(AND($F121="原始數據",$S121&lt;&gt;"Active"),1,0)</f>
        <v>0</v>
      </c>
      <c r="AC121" s="183" t="n">
        <f aca="false">IF(AND(ISNUMBER($K121),ISNUMBER($L121),ISNUMBER($Q121)),IF(OR($Q121&lt;MIN($K121,$L121),$Q121&gt;MAX($K121,$L121)),1,0),0)</f>
        <v>0</v>
      </c>
      <c r="AD121" s="183" t="n">
        <f aca="false">IF(AND(ISNUMBER($T121),$P121="高"),IF($T121=3,1,0),0)</f>
        <v>0</v>
      </c>
      <c r="AE121" s="183" t="n">
        <f aca="false">IF($S121="不存在",1,0)</f>
        <v>0</v>
      </c>
      <c r="AF121" s="34" t="n">
        <f aca="false">IF(OR($H121="—",$H121=""),"—",MATCH($H121,IDX_SrcID,0))</f>
        <v>59</v>
      </c>
    </row>
    <row r="122" customFormat="false" ht="15" hidden="false" customHeight="true" outlineLevel="0" collapsed="false">
      <c r="A122" s="35" t="s">
        <v>3002</v>
      </c>
      <c r="B122" s="209" t="s">
        <v>2677</v>
      </c>
      <c r="C122" s="35" t="s">
        <v>2835</v>
      </c>
      <c r="D122" s="35" t="s">
        <v>3003</v>
      </c>
      <c r="E122" s="6" t="s">
        <v>191</v>
      </c>
      <c r="F122" s="209" t="s">
        <v>290</v>
      </c>
      <c r="G122" s="209" t="s">
        <v>2679</v>
      </c>
      <c r="H122" s="35" t="s">
        <v>3004</v>
      </c>
      <c r="I122" s="18" t="s">
        <v>2714</v>
      </c>
      <c r="J122" s="35" t="s">
        <v>571</v>
      </c>
      <c r="K122" s="209"/>
      <c r="L122" s="209"/>
      <c r="M122" s="35" t="s">
        <v>571</v>
      </c>
      <c r="N122" s="18" t="s">
        <v>2900</v>
      </c>
      <c r="O122" s="6" t="s">
        <v>571</v>
      </c>
      <c r="P122" s="209" t="s">
        <v>2738</v>
      </c>
      <c r="Q122" s="42" t="n">
        <f aca="false">Spec_Rack!F26</f>
        <v>22</v>
      </c>
      <c r="R122" s="182" t="n">
        <f aca="false">SRC_HW_030</f>
        <v>22</v>
      </c>
      <c r="S122" s="34" t="str">
        <f aca="false">IF(ISNUMBER($AF122),INDEX(IDX_SrcStat,$AF122),"—")</f>
        <v>Active</v>
      </c>
      <c r="T122" s="34" t="n">
        <f aca="false">IF(ISNUMBER($AF122),INDEX(IDX_SrcGrade,$AF122),"—")</f>
        <v>3</v>
      </c>
      <c r="U122" s="34" t="s">
        <v>2716</v>
      </c>
      <c r="V122" s="183" t="n">
        <f aca="false">IF(AND($F122="原始數據",$U122&lt;&gt;"連結 SRC"),1,0)</f>
        <v>0</v>
      </c>
      <c r="W122" s="183" t="n">
        <f aca="false">IF(AND($F122="Analogy",OR($H122="—",$H122="")),1,0)</f>
        <v>0</v>
      </c>
      <c r="X122" s="183" t="n">
        <f aca="false">IF(AND(OR($F122="Analogy",$F122="Assumed"),$G122&lt;&gt;"低",$G122&lt;&gt;"高",NOT(ISNUMBER($K122)),NOT(ISNUMBER($L122)),OR($M122="—",$M122="")),1,0)</f>
        <v>0</v>
      </c>
      <c r="Y122" s="183" t="n">
        <f aca="false">IF(AND(OR($F122="Analogy",$F122="Assumed",$F122="Derived（待改公式）",$F122="Derived（公式）"),OR($N122="—",$N122="",$N122=0)),1,0)</f>
        <v>0</v>
      </c>
      <c r="Z122" s="183" t="n">
        <f aca="false">IF(AND($F122="Decision",OR($J122="—",$J122="")),1,0)</f>
        <v>0</v>
      </c>
      <c r="AA122" s="180" t="n">
        <f aca="false">IF(OR($J122="—",$J122=""),0,IF(COUNTIF(Decisions!$A$5:$A$300,$J122)=0,1,0))</f>
        <v>0</v>
      </c>
      <c r="AB122" s="183" t="n">
        <f aca="false">IF(AND($F122="原始數據",$S122&lt;&gt;"Active"),1,0)</f>
        <v>0</v>
      </c>
      <c r="AC122" s="183" t="n">
        <f aca="false">IF(AND(ISNUMBER($K122),ISNUMBER($L122),ISNUMBER($Q122)),IF(OR($Q122&lt;MIN($K122,$L122),$Q122&gt;MAX($K122,$L122)),1,0),0)</f>
        <v>0</v>
      </c>
      <c r="AD122" s="183" t="n">
        <f aca="false">IF(AND(ISNUMBER($T122),$P122="高"),IF($T122=3,1,0),0)</f>
        <v>0</v>
      </c>
      <c r="AE122" s="183" t="n">
        <f aca="false">IF($S122="不存在",1,0)</f>
        <v>0</v>
      </c>
      <c r="AF122" s="34" t="n">
        <f aca="false">IF(OR($H122="—",$H122=""),"—",MATCH($H122,IDX_SrcID,0))</f>
        <v>30</v>
      </c>
    </row>
    <row r="123" customFormat="false" ht="43.5" hidden="false" customHeight="true" outlineLevel="0" collapsed="false">
      <c r="A123" s="35" t="s">
        <v>3005</v>
      </c>
      <c r="B123" s="209" t="s">
        <v>2677</v>
      </c>
      <c r="C123" s="35" t="s">
        <v>2835</v>
      </c>
      <c r="D123" s="35" t="s">
        <v>3006</v>
      </c>
      <c r="E123" s="6" t="s">
        <v>191</v>
      </c>
      <c r="F123" s="209" t="s">
        <v>2864</v>
      </c>
      <c r="G123" s="209" t="s">
        <v>2679</v>
      </c>
      <c r="H123" s="35" t="s">
        <v>3007</v>
      </c>
      <c r="I123" s="18" t="s">
        <v>3008</v>
      </c>
      <c r="J123" s="35" t="s">
        <v>571</v>
      </c>
      <c r="K123" s="209"/>
      <c r="L123" s="209"/>
      <c r="M123" s="35" t="s">
        <v>571</v>
      </c>
      <c r="N123" s="18" t="s">
        <v>3009</v>
      </c>
      <c r="O123" s="6" t="s">
        <v>571</v>
      </c>
      <c r="P123" s="209" t="s">
        <v>2738</v>
      </c>
      <c r="Q123" s="42" t="n">
        <f aca="false">Spec_Rack!G26</f>
        <v>32</v>
      </c>
      <c r="R123" s="182" t="n">
        <f aca="false">SRC_HW_044</f>
        <v>4600</v>
      </c>
      <c r="S123" s="34" t="str">
        <f aca="false">IF(ISNUMBER($AF123),INDEX(IDX_SrcStat,$AF123),"—")</f>
        <v>Active</v>
      </c>
      <c r="T123" s="34" t="n">
        <f aca="false">IF(ISNUMBER($AF123),INDEX(IDX_SrcGrade,$AF123),"—")</f>
        <v>3</v>
      </c>
      <c r="U123" s="34" t="s">
        <v>2683</v>
      </c>
      <c r="V123" s="183" t="n">
        <f aca="false">IF(AND($F123="原始數據",$U123&lt;&gt;"連結 SRC"),1,0)</f>
        <v>0</v>
      </c>
      <c r="W123" s="183" t="n">
        <f aca="false">IF(AND($F123="Analogy",OR($H123="—",$H123="")),1,0)</f>
        <v>0</v>
      </c>
      <c r="X123" s="183" t="n">
        <f aca="false">IF(AND(OR($F123="Analogy",$F123="Assumed"),$G123&lt;&gt;"低",$G123&lt;&gt;"高",NOT(ISNUMBER($K123)),NOT(ISNUMBER($L123)),OR($M123="—",$M123="")),1,0)</f>
        <v>0</v>
      </c>
      <c r="Y123" s="183" t="n">
        <f aca="false">IF(AND(OR($F123="Analogy",$F123="Assumed",$F123="Derived（待改公式）",$F123="Derived（公式）"),OR($N123="—",$N123="",$N123=0)),1,0)</f>
        <v>0</v>
      </c>
      <c r="Z123" s="183" t="n">
        <f aca="false">IF(AND($F123="Decision",OR($J123="—",$J123="")),1,0)</f>
        <v>0</v>
      </c>
      <c r="AA123" s="180" t="n">
        <f aca="false">IF(OR($J123="—",$J123=""),0,IF(COUNTIF(Decisions!$A$5:$A$300,$J123)=0,1,0))</f>
        <v>0</v>
      </c>
      <c r="AB123" s="183" t="n">
        <f aca="false">IF(AND($F123="原始數據",$S123&lt;&gt;"Active"),1,0)</f>
        <v>0</v>
      </c>
      <c r="AC123" s="183" t="n">
        <f aca="false">IF(AND(ISNUMBER($K123),ISNUMBER($L123),ISNUMBER($Q123)),IF(OR($Q123&lt;MIN($K123,$L123),$Q123&gt;MAX($K123,$L123)),1,0),0)</f>
        <v>0</v>
      </c>
      <c r="AD123" s="183" t="n">
        <f aca="false">IF(AND(ISNUMBER($T123),$P123="高"),IF($T123=3,1,0),0)</f>
        <v>0</v>
      </c>
      <c r="AE123" s="183" t="n">
        <f aca="false">IF($S123="不存在",1,0)</f>
        <v>0</v>
      </c>
      <c r="AF123" s="34" t="n">
        <f aca="false">IF(OR($H123="—",$H123=""),"—",MATCH($H123,IDX_SrcID,0))</f>
        <v>44</v>
      </c>
    </row>
    <row r="124" customFormat="false" ht="29.25" hidden="false" customHeight="true" outlineLevel="0" collapsed="false">
      <c r="A124" s="35" t="s">
        <v>3010</v>
      </c>
      <c r="B124" s="209" t="s">
        <v>2677</v>
      </c>
      <c r="C124" s="35" t="s">
        <v>2835</v>
      </c>
      <c r="D124" s="35" t="s">
        <v>3011</v>
      </c>
      <c r="E124" s="6" t="s">
        <v>193</v>
      </c>
      <c r="F124" s="209" t="s">
        <v>290</v>
      </c>
      <c r="G124" s="209" t="s">
        <v>2679</v>
      </c>
      <c r="H124" s="35" t="s">
        <v>3012</v>
      </c>
      <c r="I124" s="18" t="s">
        <v>3013</v>
      </c>
      <c r="J124" s="35" t="s">
        <v>571</v>
      </c>
      <c r="K124" s="209"/>
      <c r="L124" s="209"/>
      <c r="M124" s="35" t="s">
        <v>571</v>
      </c>
      <c r="N124" s="18" t="s">
        <v>2812</v>
      </c>
      <c r="O124" s="6" t="s">
        <v>571</v>
      </c>
      <c r="P124" s="209" t="s">
        <v>2682</v>
      </c>
      <c r="Q124" s="42" t="n">
        <f aca="false">Spec_Rack!C27</f>
        <v>0.05</v>
      </c>
      <c r="R124" s="182" t="n">
        <f aca="false">SRC_HW_060</f>
        <v>400</v>
      </c>
      <c r="S124" s="34" t="str">
        <f aca="false">IF(ISNUMBER($AF124),INDEX(IDX_SrcStat,$AF124),"—")</f>
        <v>Active</v>
      </c>
      <c r="T124" s="34" t="n">
        <f aca="false">IF(ISNUMBER($AF124),INDEX(IDX_SrcGrade,$AF124),"—")</f>
        <v>3</v>
      </c>
      <c r="U124" s="34" t="s">
        <v>2716</v>
      </c>
      <c r="V124" s="183" t="n">
        <f aca="false">IF(AND($F124="原始數據",$U124&lt;&gt;"連結 SRC"),1,0)</f>
        <v>0</v>
      </c>
      <c r="W124" s="183" t="n">
        <f aca="false">IF(AND($F124="Analogy",OR($H124="—",$H124="")),1,0)</f>
        <v>0</v>
      </c>
      <c r="X124" s="183" t="n">
        <f aca="false">IF(AND(OR($F124="Analogy",$F124="Assumed"),$G124&lt;&gt;"低",$G124&lt;&gt;"高",NOT(ISNUMBER($K124)),NOT(ISNUMBER($L124)),OR($M124="—",$M124="")),1,0)</f>
        <v>0</v>
      </c>
      <c r="Y124" s="183" t="n">
        <f aca="false">IF(AND(OR($F124="Analogy",$F124="Assumed",$F124="Derived（待改公式）",$F124="Derived（公式）"),OR($N124="—",$N124="",$N124=0)),1,0)</f>
        <v>0</v>
      </c>
      <c r="Z124" s="183" t="n">
        <f aca="false">IF(AND($F124="Decision",OR($J124="—",$J124="")),1,0)</f>
        <v>0</v>
      </c>
      <c r="AA124" s="180" t="n">
        <f aca="false">IF(OR($J124="—",$J124=""),0,IF(COUNTIF(Decisions!$A$5:$A$300,$J124)=0,1,0))</f>
        <v>0</v>
      </c>
      <c r="AB124" s="183" t="n">
        <f aca="false">IF(AND($F124="原始數據",$S124&lt;&gt;"Active"),1,0)</f>
        <v>0</v>
      </c>
      <c r="AC124" s="183" t="n">
        <f aca="false">IF(AND(ISNUMBER($K124),ISNUMBER($L124),ISNUMBER($Q124)),IF(OR($Q124&lt;MIN($K124,$L124),$Q124&gt;MAX($K124,$L124)),1,0),0)</f>
        <v>0</v>
      </c>
      <c r="AD124" s="183" t="n">
        <f aca="false">IF(AND(ISNUMBER($T124),$P124="高"),IF($T124=3,1,0),0)</f>
        <v>0</v>
      </c>
      <c r="AE124" s="183" t="n">
        <f aca="false">IF($S124="不存在",1,0)</f>
        <v>0</v>
      </c>
      <c r="AF124" s="34" t="n">
        <f aca="false">IF(OR($H124="—",$H124=""),"—",MATCH($H124,IDX_SrcID,0))</f>
        <v>60</v>
      </c>
    </row>
    <row r="125" customFormat="false" ht="29.25" hidden="false" customHeight="true" outlineLevel="0" collapsed="false">
      <c r="A125" s="35" t="s">
        <v>3014</v>
      </c>
      <c r="B125" s="209" t="s">
        <v>2677</v>
      </c>
      <c r="C125" s="35" t="s">
        <v>2835</v>
      </c>
      <c r="D125" s="35" t="s">
        <v>3015</v>
      </c>
      <c r="E125" s="6" t="s">
        <v>193</v>
      </c>
      <c r="F125" s="209" t="s">
        <v>290</v>
      </c>
      <c r="G125" s="209" t="s">
        <v>2679</v>
      </c>
      <c r="H125" s="35" t="s">
        <v>3016</v>
      </c>
      <c r="I125" s="18" t="s">
        <v>2714</v>
      </c>
      <c r="J125" s="35" t="s">
        <v>571</v>
      </c>
      <c r="K125" s="209"/>
      <c r="L125" s="209"/>
      <c r="M125" s="35" t="s">
        <v>571</v>
      </c>
      <c r="N125" s="18" t="s">
        <v>2812</v>
      </c>
      <c r="O125" s="6" t="s">
        <v>571</v>
      </c>
      <c r="P125" s="209" t="s">
        <v>2682</v>
      </c>
      <c r="Q125" s="42" t="n">
        <f aca="false">Spec_Rack!D27</f>
        <v>0.9</v>
      </c>
      <c r="R125" s="182" t="n">
        <f aca="false">SRC_HW_048</f>
        <v>0.9</v>
      </c>
      <c r="S125" s="34" t="str">
        <f aca="false">IF(ISNUMBER($AF125),INDEX(IDX_SrcStat,$AF125),"—")</f>
        <v>Active</v>
      </c>
      <c r="T125" s="34" t="n">
        <f aca="false">IF(ISNUMBER($AF125),INDEX(IDX_SrcGrade,$AF125),"—")</f>
        <v>3</v>
      </c>
      <c r="U125" s="34" t="s">
        <v>2716</v>
      </c>
      <c r="V125" s="183" t="n">
        <f aca="false">IF(AND($F125="原始數據",$U125&lt;&gt;"連結 SRC"),1,0)</f>
        <v>0</v>
      </c>
      <c r="W125" s="183" t="n">
        <f aca="false">IF(AND($F125="Analogy",OR($H125="—",$H125="")),1,0)</f>
        <v>0</v>
      </c>
      <c r="X125" s="183" t="n">
        <f aca="false">IF(AND(OR($F125="Analogy",$F125="Assumed"),$G125&lt;&gt;"低",$G125&lt;&gt;"高",NOT(ISNUMBER($K125)),NOT(ISNUMBER($L125)),OR($M125="—",$M125="")),1,0)</f>
        <v>0</v>
      </c>
      <c r="Y125" s="183" t="n">
        <f aca="false">IF(AND(OR($F125="Analogy",$F125="Assumed",$F125="Derived（待改公式）",$F125="Derived（公式）"),OR($N125="—",$N125="",$N125=0)),1,0)</f>
        <v>0</v>
      </c>
      <c r="Z125" s="183" t="n">
        <f aca="false">IF(AND($F125="Decision",OR($J125="—",$J125="")),1,0)</f>
        <v>0</v>
      </c>
      <c r="AA125" s="180" t="n">
        <f aca="false">IF(OR($J125="—",$J125=""),0,IF(COUNTIF(Decisions!$A$5:$A$300,$J125)=0,1,0))</f>
        <v>0</v>
      </c>
      <c r="AB125" s="183" t="n">
        <f aca="false">IF(AND($F125="原始數據",$S125&lt;&gt;"Active"),1,0)</f>
        <v>0</v>
      </c>
      <c r="AC125" s="183" t="n">
        <f aca="false">IF(AND(ISNUMBER($K125),ISNUMBER($L125),ISNUMBER($Q125)),IF(OR($Q125&lt;MIN($K125,$L125),$Q125&gt;MAX($K125,$L125)),1,0),0)</f>
        <v>0</v>
      </c>
      <c r="AD125" s="183" t="n">
        <f aca="false">IF(AND(ISNUMBER($T125),$P125="高"),IF($T125=3,1,0),0)</f>
        <v>0</v>
      </c>
      <c r="AE125" s="183" t="n">
        <f aca="false">IF($S125="不存在",1,0)</f>
        <v>0</v>
      </c>
      <c r="AF125" s="34" t="n">
        <f aca="false">IF(OR($H125="—",$H125=""),"—",MATCH($H125,IDX_SrcID,0))</f>
        <v>48</v>
      </c>
    </row>
    <row r="126" customFormat="false" ht="29.25" hidden="false" customHeight="true" outlineLevel="0" collapsed="false">
      <c r="A126" s="35" t="s">
        <v>3017</v>
      </c>
      <c r="B126" s="209" t="s">
        <v>2677</v>
      </c>
      <c r="C126" s="35" t="s">
        <v>2835</v>
      </c>
      <c r="D126" s="35" t="s">
        <v>2831</v>
      </c>
      <c r="E126" s="6" t="s">
        <v>193</v>
      </c>
      <c r="F126" s="209" t="s">
        <v>290</v>
      </c>
      <c r="G126" s="209" t="s">
        <v>2679</v>
      </c>
      <c r="H126" s="35" t="s">
        <v>3016</v>
      </c>
      <c r="I126" s="18" t="s">
        <v>2714</v>
      </c>
      <c r="J126" s="35" t="s">
        <v>571</v>
      </c>
      <c r="K126" s="209"/>
      <c r="L126" s="209"/>
      <c r="M126" s="35" t="s">
        <v>571</v>
      </c>
      <c r="N126" s="18" t="s">
        <v>2812</v>
      </c>
      <c r="O126" s="6" t="s">
        <v>571</v>
      </c>
      <c r="P126" s="209" t="s">
        <v>2682</v>
      </c>
      <c r="Q126" s="42" t="n">
        <f aca="false">Spec_Rack!E27</f>
        <v>0.9</v>
      </c>
      <c r="R126" s="182" t="n">
        <f aca="false">SRC_HW_048</f>
        <v>0.9</v>
      </c>
      <c r="S126" s="34" t="str">
        <f aca="false">IF(ISNUMBER($AF126),INDEX(IDX_SrcStat,$AF126),"—")</f>
        <v>Active</v>
      </c>
      <c r="T126" s="34" t="n">
        <f aca="false">IF(ISNUMBER($AF126),INDEX(IDX_SrcGrade,$AF126),"—")</f>
        <v>3</v>
      </c>
      <c r="U126" s="34" t="s">
        <v>2716</v>
      </c>
      <c r="V126" s="183" t="n">
        <f aca="false">IF(AND($F126="原始數據",$U126&lt;&gt;"連結 SRC"),1,0)</f>
        <v>0</v>
      </c>
      <c r="W126" s="183" t="n">
        <f aca="false">IF(AND($F126="Analogy",OR($H126="—",$H126="")),1,0)</f>
        <v>0</v>
      </c>
      <c r="X126" s="183" t="n">
        <f aca="false">IF(AND(OR($F126="Analogy",$F126="Assumed"),$G126&lt;&gt;"低",$G126&lt;&gt;"高",NOT(ISNUMBER($K126)),NOT(ISNUMBER($L126)),OR($M126="—",$M126="")),1,0)</f>
        <v>0</v>
      </c>
      <c r="Y126" s="183" t="n">
        <f aca="false">IF(AND(OR($F126="Analogy",$F126="Assumed",$F126="Derived（待改公式）",$F126="Derived（公式）"),OR($N126="—",$N126="",$N126=0)),1,0)</f>
        <v>0</v>
      </c>
      <c r="Z126" s="183" t="n">
        <f aca="false">IF(AND($F126="Decision",OR($J126="—",$J126="")),1,0)</f>
        <v>0</v>
      </c>
      <c r="AA126" s="180" t="n">
        <f aca="false">IF(OR($J126="—",$J126=""),0,IF(COUNTIF(Decisions!$A$5:$A$300,$J126)=0,1,0))</f>
        <v>0</v>
      </c>
      <c r="AB126" s="183" t="n">
        <f aca="false">IF(AND($F126="原始數據",$S126&lt;&gt;"Active"),1,0)</f>
        <v>0</v>
      </c>
      <c r="AC126" s="183" t="n">
        <f aca="false">IF(AND(ISNUMBER($K126),ISNUMBER($L126),ISNUMBER($Q126)),IF(OR($Q126&lt;MIN($K126,$L126),$Q126&gt;MAX($K126,$L126)),1,0),0)</f>
        <v>0</v>
      </c>
      <c r="AD126" s="183" t="n">
        <f aca="false">IF(AND(ISNUMBER($T126),$P126="高"),IF($T126=3,1,0),0)</f>
        <v>0</v>
      </c>
      <c r="AE126" s="183" t="n">
        <f aca="false">IF($S126="不存在",1,0)</f>
        <v>0</v>
      </c>
      <c r="AF126" s="34" t="n">
        <f aca="false">IF(OR($H126="—",$H126=""),"—",MATCH($H126,IDX_SrcID,0))</f>
        <v>48</v>
      </c>
    </row>
    <row r="127" customFormat="false" ht="29.25" hidden="false" customHeight="true" outlineLevel="0" collapsed="false">
      <c r="A127" s="35" t="s">
        <v>3018</v>
      </c>
      <c r="B127" s="209" t="s">
        <v>2677</v>
      </c>
      <c r="C127" s="35" t="s">
        <v>2835</v>
      </c>
      <c r="D127" s="35" t="s">
        <v>3019</v>
      </c>
      <c r="E127" s="6" t="s">
        <v>193</v>
      </c>
      <c r="F127" s="209" t="s">
        <v>290</v>
      </c>
      <c r="G127" s="209" t="s">
        <v>2679</v>
      </c>
      <c r="H127" s="35" t="s">
        <v>3020</v>
      </c>
      <c r="I127" s="18" t="s">
        <v>2714</v>
      </c>
      <c r="J127" s="35" t="s">
        <v>571</v>
      </c>
      <c r="K127" s="209"/>
      <c r="L127" s="209"/>
      <c r="M127" s="35" t="s">
        <v>571</v>
      </c>
      <c r="N127" s="18" t="s">
        <v>2812</v>
      </c>
      <c r="O127" s="6" t="s">
        <v>571</v>
      </c>
      <c r="P127" s="209" t="s">
        <v>2682</v>
      </c>
      <c r="Q127" s="42" t="n">
        <f aca="false">Spec_Rack!F27</f>
        <v>1.8</v>
      </c>
      <c r="R127" s="182" t="n">
        <f aca="false">SRC_HW_049</f>
        <v>1.8</v>
      </c>
      <c r="S127" s="34" t="str">
        <f aca="false">IF(ISNUMBER($AF127),INDEX(IDX_SrcStat,$AF127),"—")</f>
        <v>Active</v>
      </c>
      <c r="T127" s="34" t="n">
        <f aca="false">IF(ISNUMBER($AF127),INDEX(IDX_SrcGrade,$AF127),"—")</f>
        <v>3</v>
      </c>
      <c r="U127" s="34" t="s">
        <v>2716</v>
      </c>
      <c r="V127" s="183" t="n">
        <f aca="false">IF(AND($F127="原始數據",$U127&lt;&gt;"連結 SRC"),1,0)</f>
        <v>0</v>
      </c>
      <c r="W127" s="183" t="n">
        <f aca="false">IF(AND($F127="Analogy",OR($H127="—",$H127="")),1,0)</f>
        <v>0</v>
      </c>
      <c r="X127" s="183" t="n">
        <f aca="false">IF(AND(OR($F127="Analogy",$F127="Assumed"),$G127&lt;&gt;"低",$G127&lt;&gt;"高",NOT(ISNUMBER($K127)),NOT(ISNUMBER($L127)),OR($M127="—",$M127="")),1,0)</f>
        <v>0</v>
      </c>
      <c r="Y127" s="183" t="n">
        <f aca="false">IF(AND(OR($F127="Analogy",$F127="Assumed",$F127="Derived（待改公式）",$F127="Derived（公式）"),OR($N127="—",$N127="",$N127=0)),1,0)</f>
        <v>0</v>
      </c>
      <c r="Z127" s="183" t="n">
        <f aca="false">IF(AND($F127="Decision",OR($J127="—",$J127="")),1,0)</f>
        <v>0</v>
      </c>
      <c r="AA127" s="180" t="n">
        <f aca="false">IF(OR($J127="—",$J127=""),0,IF(COUNTIF(Decisions!$A$5:$A$300,$J127)=0,1,0))</f>
        <v>0</v>
      </c>
      <c r="AB127" s="183" t="n">
        <f aca="false">IF(AND($F127="原始數據",$S127&lt;&gt;"Active"),1,0)</f>
        <v>0</v>
      </c>
      <c r="AC127" s="183" t="n">
        <f aca="false">IF(AND(ISNUMBER($K127),ISNUMBER($L127),ISNUMBER($Q127)),IF(OR($Q127&lt;MIN($K127,$L127),$Q127&gt;MAX($K127,$L127)),1,0),0)</f>
        <v>0</v>
      </c>
      <c r="AD127" s="183" t="n">
        <f aca="false">IF(AND(ISNUMBER($T127),$P127="高"),IF($T127=3,1,0),0)</f>
        <v>0</v>
      </c>
      <c r="AE127" s="183" t="n">
        <f aca="false">IF($S127="不存在",1,0)</f>
        <v>0</v>
      </c>
      <c r="AF127" s="34" t="n">
        <f aca="false">IF(OR($H127="—",$H127=""),"—",MATCH($H127,IDX_SrcID,0))</f>
        <v>49</v>
      </c>
    </row>
    <row r="128" customFormat="false" ht="29.25" hidden="false" customHeight="true" outlineLevel="0" collapsed="false">
      <c r="A128" s="35" t="s">
        <v>3021</v>
      </c>
      <c r="B128" s="209" t="s">
        <v>2677</v>
      </c>
      <c r="C128" s="35" t="s">
        <v>2835</v>
      </c>
      <c r="D128" s="35" t="s">
        <v>3022</v>
      </c>
      <c r="E128" s="6" t="s">
        <v>193</v>
      </c>
      <c r="F128" s="35" t="s">
        <v>72</v>
      </c>
      <c r="G128" s="209" t="s">
        <v>2679</v>
      </c>
      <c r="H128" s="35" t="s">
        <v>571</v>
      </c>
      <c r="I128" s="6" t="s">
        <v>571</v>
      </c>
      <c r="J128" s="35" t="s">
        <v>571</v>
      </c>
      <c r="K128" s="211" t="n">
        <v>1.8</v>
      </c>
      <c r="L128" s="211" t="n">
        <v>3.6</v>
      </c>
      <c r="M128" s="35" t="s">
        <v>3023</v>
      </c>
      <c r="N128" s="6" t="s">
        <v>3024</v>
      </c>
      <c r="O128" s="6" t="s">
        <v>571</v>
      </c>
      <c r="P128" s="209" t="s">
        <v>2682</v>
      </c>
      <c r="Q128" s="42" t="n">
        <f aca="false">Spec_Rack!G27</f>
        <v>1.8</v>
      </c>
      <c r="R128" s="35" t="s">
        <v>571</v>
      </c>
      <c r="S128" s="34" t="str">
        <f aca="false">IF(ISNUMBER($AF128),INDEX(IDX_SrcStat,$AF128),"—")</f>
        <v>—</v>
      </c>
      <c r="T128" s="34" t="str">
        <f aca="false">IF(ISNUMBER($AF128),INDEX(IDX_SrcGrade,$AF128),"—")</f>
        <v>—</v>
      </c>
      <c r="U128" s="34" t="s">
        <v>2683</v>
      </c>
      <c r="V128" s="183" t="n">
        <f aca="false">IF(AND($F128="原始數據",$U128&lt;&gt;"連結 SRC"),1,0)</f>
        <v>0</v>
      </c>
      <c r="W128" s="183" t="n">
        <f aca="false">IF(AND($F128="Analogy",OR($H128="—",$H128="")),1,0)</f>
        <v>0</v>
      </c>
      <c r="X128" s="183" t="n">
        <f aca="false">IF(AND(OR($F128="Analogy",$F128="Assumed"),$G128&lt;&gt;"低",$G128&lt;&gt;"高",NOT(ISNUMBER($K128)),NOT(ISNUMBER($L128)),OR($M128="—",$M128="")),1,0)</f>
        <v>0</v>
      </c>
      <c r="Y128" s="183" t="n">
        <f aca="false">IF(AND(OR($F128="Analogy",$F128="Assumed",$F128="Derived（待改公式）",$F128="Derived（公式）"),OR($N128="—",$N128="",$N128=0)),1,0)</f>
        <v>0</v>
      </c>
      <c r="Z128" s="183" t="n">
        <f aca="false">IF(AND($F128="Decision",OR($J128="—",$J128="")),1,0)</f>
        <v>0</v>
      </c>
      <c r="AA128" s="180" t="n">
        <f aca="false">IF(OR($J128="—",$J128=""),0,IF(COUNTIF(Decisions!$A$5:$A$300,$J128)=0,1,0))</f>
        <v>0</v>
      </c>
      <c r="AB128" s="183" t="n">
        <f aca="false">IF(AND($F128="原始數據",$S128&lt;&gt;"Active"),1,0)</f>
        <v>0</v>
      </c>
      <c r="AC128" s="183" t="n">
        <f aca="false">IF(AND(ISNUMBER($K128),ISNUMBER($L128),ISNUMBER($Q128)),IF(OR($Q128&lt;MIN($K128,$L128),$Q128&gt;MAX($K128,$L128)),1,0),0)</f>
        <v>0</v>
      </c>
      <c r="AD128" s="183" t="n">
        <f aca="false">IF(AND(ISNUMBER($T128),$P128="高"),IF($T128=3,1,0),0)</f>
        <v>0</v>
      </c>
      <c r="AE128" s="183" t="n">
        <f aca="false">IF($S128="不存在",1,0)</f>
        <v>0</v>
      </c>
      <c r="AF128" s="34" t="str">
        <f aca="false">IF(OR($H128="—",$H128=""),"—",MATCH($H128,IDX_SrcID,0))</f>
        <v>—</v>
      </c>
    </row>
    <row r="129" customFormat="false" ht="15" hidden="false" customHeight="true" outlineLevel="0" collapsed="false">
      <c r="A129" s="35" t="s">
        <v>3025</v>
      </c>
      <c r="B129" s="209" t="s">
        <v>2677</v>
      </c>
      <c r="C129" s="35" t="s">
        <v>2835</v>
      </c>
      <c r="D129" s="35" t="s">
        <v>3026</v>
      </c>
      <c r="E129" s="6" t="s">
        <v>195</v>
      </c>
      <c r="F129" s="209" t="s">
        <v>290</v>
      </c>
      <c r="G129" s="209" t="s">
        <v>2679</v>
      </c>
      <c r="H129" s="35" t="s">
        <v>3027</v>
      </c>
      <c r="I129" s="18" t="s">
        <v>2714</v>
      </c>
      <c r="J129" s="35" t="s">
        <v>571</v>
      </c>
      <c r="K129" s="209"/>
      <c r="L129" s="209"/>
      <c r="M129" s="35" t="s">
        <v>571</v>
      </c>
      <c r="N129" s="18" t="s">
        <v>2812</v>
      </c>
      <c r="O129" s="6" t="s">
        <v>571</v>
      </c>
      <c r="P129" s="209" t="s">
        <v>1100</v>
      </c>
      <c r="Q129" s="40" t="n">
        <f aca="false">Spec_Rack!C28</f>
        <v>8</v>
      </c>
      <c r="R129" s="182" t="n">
        <f aca="false">SRC_HW_053</f>
        <v>8</v>
      </c>
      <c r="S129" s="34" t="str">
        <f aca="false">IF(ISNUMBER($AF129),INDEX(IDX_SrcStat,$AF129),"—")</f>
        <v>Active</v>
      </c>
      <c r="T129" s="34" t="n">
        <f aca="false">IF(ISNUMBER($AF129),INDEX(IDX_SrcGrade,$AF129),"—")</f>
        <v>1</v>
      </c>
      <c r="U129" s="34" t="s">
        <v>2716</v>
      </c>
      <c r="V129" s="183" t="n">
        <f aca="false">IF(AND($F129="原始數據",$U129&lt;&gt;"連結 SRC"),1,0)</f>
        <v>0</v>
      </c>
      <c r="W129" s="183" t="n">
        <f aca="false">IF(AND($F129="Analogy",OR($H129="—",$H129="")),1,0)</f>
        <v>0</v>
      </c>
      <c r="X129" s="183" t="n">
        <f aca="false">IF(AND(OR($F129="Analogy",$F129="Assumed"),$G129&lt;&gt;"低",$G129&lt;&gt;"高",NOT(ISNUMBER($K129)),NOT(ISNUMBER($L129)),OR($M129="—",$M129="")),1,0)</f>
        <v>0</v>
      </c>
      <c r="Y129" s="183" t="n">
        <f aca="false">IF(AND(OR($F129="Analogy",$F129="Assumed",$F129="Derived（待改公式）",$F129="Derived（公式）"),OR($N129="—",$N129="",$N129=0)),1,0)</f>
        <v>0</v>
      </c>
      <c r="Z129" s="183" t="n">
        <f aca="false">IF(AND($F129="Decision",OR($J129="—",$J129="")),1,0)</f>
        <v>0</v>
      </c>
      <c r="AA129" s="180" t="n">
        <f aca="false">IF(OR($J129="—",$J129=""),0,IF(COUNTIF(Decisions!$A$5:$A$300,$J129)=0,1,0))</f>
        <v>0</v>
      </c>
      <c r="AB129" s="183" t="n">
        <f aca="false">IF(AND($F129="原始數據",$S129&lt;&gt;"Active"),1,0)</f>
        <v>0</v>
      </c>
      <c r="AC129" s="183" t="n">
        <f aca="false">IF(AND(ISNUMBER($K129),ISNUMBER($L129),ISNUMBER($Q129)),IF(OR($Q129&lt;MIN($K129,$L129),$Q129&gt;MAX($K129,$L129)),1,0),0)</f>
        <v>0</v>
      </c>
      <c r="AD129" s="183" t="n">
        <f aca="false">IF(AND(ISNUMBER($T129),$P129="高"),IF($T129=3,1,0),0)</f>
        <v>0</v>
      </c>
      <c r="AE129" s="183" t="n">
        <f aca="false">IF($S129="不存在",1,0)</f>
        <v>0</v>
      </c>
      <c r="AF129" s="34" t="n">
        <f aca="false">IF(OR($H129="—",$H129=""),"—",MATCH($H129,IDX_SrcID,0))</f>
        <v>53</v>
      </c>
    </row>
    <row r="130" customFormat="false" ht="15" hidden="false" customHeight="true" outlineLevel="0" collapsed="false">
      <c r="A130" s="35" t="s">
        <v>3028</v>
      </c>
      <c r="B130" s="209" t="s">
        <v>2677</v>
      </c>
      <c r="C130" s="35" t="s">
        <v>2835</v>
      </c>
      <c r="D130" s="35" t="s">
        <v>2766</v>
      </c>
      <c r="E130" s="6" t="s">
        <v>195</v>
      </c>
      <c r="F130" s="209" t="s">
        <v>290</v>
      </c>
      <c r="G130" s="209" t="s">
        <v>2679</v>
      </c>
      <c r="H130" s="35" t="s">
        <v>2841</v>
      </c>
      <c r="I130" s="18" t="s">
        <v>2714</v>
      </c>
      <c r="J130" s="35" t="s">
        <v>571</v>
      </c>
      <c r="K130" s="209"/>
      <c r="L130" s="209"/>
      <c r="M130" s="35" t="s">
        <v>571</v>
      </c>
      <c r="N130" s="18" t="s">
        <v>2812</v>
      </c>
      <c r="O130" s="6" t="s">
        <v>571</v>
      </c>
      <c r="P130" s="209" t="s">
        <v>1100</v>
      </c>
      <c r="Q130" s="40" t="n">
        <f aca="false">Spec_Rack!D28</f>
        <v>72</v>
      </c>
      <c r="R130" s="182" t="n">
        <f aca="false">SRC_HW_047</f>
        <v>72</v>
      </c>
      <c r="S130" s="34" t="str">
        <f aca="false">IF(ISNUMBER($AF130),INDEX(IDX_SrcStat,$AF130),"—")</f>
        <v>Active</v>
      </c>
      <c r="T130" s="34" t="n">
        <f aca="false">IF(ISNUMBER($AF130),INDEX(IDX_SrcGrade,$AF130),"—")</f>
        <v>1</v>
      </c>
      <c r="U130" s="34" t="s">
        <v>2716</v>
      </c>
      <c r="V130" s="183" t="n">
        <f aca="false">IF(AND($F130="原始數據",$U130&lt;&gt;"連結 SRC"),1,0)</f>
        <v>0</v>
      </c>
      <c r="W130" s="183" t="n">
        <f aca="false">IF(AND($F130="Analogy",OR($H130="—",$H130="")),1,0)</f>
        <v>0</v>
      </c>
      <c r="X130" s="183" t="n">
        <f aca="false">IF(AND(OR($F130="Analogy",$F130="Assumed"),$G130&lt;&gt;"低",$G130&lt;&gt;"高",NOT(ISNUMBER($K130)),NOT(ISNUMBER($L130)),OR($M130="—",$M130="")),1,0)</f>
        <v>0</v>
      </c>
      <c r="Y130" s="183" t="n">
        <f aca="false">IF(AND(OR($F130="Analogy",$F130="Assumed",$F130="Derived（待改公式）",$F130="Derived（公式）"),OR($N130="—",$N130="",$N130=0)),1,0)</f>
        <v>0</v>
      </c>
      <c r="Z130" s="183" t="n">
        <f aca="false">IF(AND($F130="Decision",OR($J130="—",$J130="")),1,0)</f>
        <v>0</v>
      </c>
      <c r="AA130" s="180" t="n">
        <f aca="false">IF(OR($J130="—",$J130=""),0,IF(COUNTIF(Decisions!$A$5:$A$300,$J130)=0,1,0))</f>
        <v>0</v>
      </c>
      <c r="AB130" s="183" t="n">
        <f aca="false">IF(AND($F130="原始數據",$S130&lt;&gt;"Active"),1,0)</f>
        <v>0</v>
      </c>
      <c r="AC130" s="183" t="n">
        <f aca="false">IF(AND(ISNUMBER($K130),ISNUMBER($L130),ISNUMBER($Q130)),IF(OR($Q130&lt;MIN($K130,$L130),$Q130&gt;MAX($K130,$L130)),1,0),0)</f>
        <v>0</v>
      </c>
      <c r="AD130" s="183" t="n">
        <f aca="false">IF(AND(ISNUMBER($T130),$P130="高"),IF($T130=3,1,0),0)</f>
        <v>0</v>
      </c>
      <c r="AE130" s="183" t="n">
        <f aca="false">IF($S130="不存在",1,0)</f>
        <v>0</v>
      </c>
      <c r="AF130" s="34" t="n">
        <f aca="false">IF(OR($H130="—",$H130=""),"—",MATCH($H130,IDX_SrcID,0))</f>
        <v>47</v>
      </c>
    </row>
    <row r="131" customFormat="false" ht="15" hidden="false" customHeight="true" outlineLevel="0" collapsed="false">
      <c r="A131" s="35" t="s">
        <v>3029</v>
      </c>
      <c r="B131" s="209" t="s">
        <v>2677</v>
      </c>
      <c r="C131" s="35" t="s">
        <v>2835</v>
      </c>
      <c r="D131" s="35" t="s">
        <v>2764</v>
      </c>
      <c r="E131" s="6" t="s">
        <v>195</v>
      </c>
      <c r="F131" s="209" t="s">
        <v>290</v>
      </c>
      <c r="G131" s="209" t="s">
        <v>2679</v>
      </c>
      <c r="H131" s="35" t="s">
        <v>2841</v>
      </c>
      <c r="I131" s="18" t="s">
        <v>2714</v>
      </c>
      <c r="J131" s="35" t="s">
        <v>571</v>
      </c>
      <c r="K131" s="209"/>
      <c r="L131" s="209"/>
      <c r="M131" s="35" t="s">
        <v>571</v>
      </c>
      <c r="N131" s="18" t="s">
        <v>2812</v>
      </c>
      <c r="O131" s="6" t="s">
        <v>571</v>
      </c>
      <c r="P131" s="209" t="s">
        <v>1100</v>
      </c>
      <c r="Q131" s="40" t="n">
        <f aca="false">Spec_Rack!E28</f>
        <v>72</v>
      </c>
      <c r="R131" s="182" t="n">
        <f aca="false">SRC_HW_047</f>
        <v>72</v>
      </c>
      <c r="S131" s="34" t="str">
        <f aca="false">IF(ISNUMBER($AF131),INDEX(IDX_SrcStat,$AF131),"—")</f>
        <v>Active</v>
      </c>
      <c r="T131" s="34" t="n">
        <f aca="false">IF(ISNUMBER($AF131),INDEX(IDX_SrcGrade,$AF131),"—")</f>
        <v>1</v>
      </c>
      <c r="U131" s="34" t="s">
        <v>2716</v>
      </c>
      <c r="V131" s="183" t="n">
        <f aca="false">IF(AND($F131="原始數據",$U131&lt;&gt;"連結 SRC"),1,0)</f>
        <v>0</v>
      </c>
      <c r="W131" s="183" t="n">
        <f aca="false">IF(AND($F131="Analogy",OR($H131="—",$H131="")),1,0)</f>
        <v>0</v>
      </c>
      <c r="X131" s="183" t="n">
        <f aca="false">IF(AND(OR($F131="Analogy",$F131="Assumed"),$G131&lt;&gt;"低",$G131&lt;&gt;"高",NOT(ISNUMBER($K131)),NOT(ISNUMBER($L131)),OR($M131="—",$M131="")),1,0)</f>
        <v>0</v>
      </c>
      <c r="Y131" s="183" t="n">
        <f aca="false">IF(AND(OR($F131="Analogy",$F131="Assumed",$F131="Derived（待改公式）",$F131="Derived（公式）"),OR($N131="—",$N131="",$N131=0)),1,0)</f>
        <v>0</v>
      </c>
      <c r="Z131" s="183" t="n">
        <f aca="false">IF(AND($F131="Decision",OR($J131="—",$J131="")),1,0)</f>
        <v>0</v>
      </c>
      <c r="AA131" s="180" t="n">
        <f aca="false">IF(OR($J131="—",$J131=""),0,IF(COUNTIF(Decisions!$A$5:$A$300,$J131)=0,1,0))</f>
        <v>0</v>
      </c>
      <c r="AB131" s="183" t="n">
        <f aca="false">IF(AND($F131="原始數據",$S131&lt;&gt;"Active"),1,0)</f>
        <v>0</v>
      </c>
      <c r="AC131" s="183" t="n">
        <f aca="false">IF(AND(ISNUMBER($K131),ISNUMBER($L131),ISNUMBER($Q131)),IF(OR($Q131&lt;MIN($K131,$L131),$Q131&gt;MAX($K131,$L131)),1,0),0)</f>
        <v>0</v>
      </c>
      <c r="AD131" s="183" t="n">
        <f aca="false">IF(AND(ISNUMBER($T131),$P131="高"),IF($T131=3,1,0),0)</f>
        <v>0</v>
      </c>
      <c r="AE131" s="183" t="n">
        <f aca="false">IF($S131="不存在",1,0)</f>
        <v>0</v>
      </c>
      <c r="AF131" s="34" t="n">
        <f aca="false">IF(OR($H131="—",$H131=""),"—",MATCH($H131,IDX_SrcID,0))</f>
        <v>47</v>
      </c>
    </row>
    <row r="132" customFormat="false" ht="15" hidden="false" customHeight="true" outlineLevel="0" collapsed="false">
      <c r="A132" s="35" t="s">
        <v>3030</v>
      </c>
      <c r="B132" s="209" t="s">
        <v>2677</v>
      </c>
      <c r="C132" s="35" t="s">
        <v>2835</v>
      </c>
      <c r="D132" s="35" t="s">
        <v>2768</v>
      </c>
      <c r="E132" s="6" t="s">
        <v>195</v>
      </c>
      <c r="F132" s="209" t="s">
        <v>290</v>
      </c>
      <c r="G132" s="209" t="s">
        <v>2679</v>
      </c>
      <c r="H132" s="35" t="s">
        <v>2841</v>
      </c>
      <c r="I132" s="18" t="s">
        <v>2714</v>
      </c>
      <c r="J132" s="35" t="s">
        <v>571</v>
      </c>
      <c r="K132" s="209"/>
      <c r="L132" s="209"/>
      <c r="M132" s="35" t="s">
        <v>571</v>
      </c>
      <c r="N132" s="18" t="s">
        <v>2812</v>
      </c>
      <c r="O132" s="6" t="s">
        <v>571</v>
      </c>
      <c r="P132" s="209" t="s">
        <v>1100</v>
      </c>
      <c r="Q132" s="40" t="n">
        <f aca="false">Spec_Rack!F28</f>
        <v>72</v>
      </c>
      <c r="R132" s="182" t="n">
        <f aca="false">SRC_HW_047</f>
        <v>72</v>
      </c>
      <c r="S132" s="34" t="str">
        <f aca="false">IF(ISNUMBER($AF132),INDEX(IDX_SrcStat,$AF132),"—")</f>
        <v>Active</v>
      </c>
      <c r="T132" s="34" t="n">
        <f aca="false">IF(ISNUMBER($AF132),INDEX(IDX_SrcGrade,$AF132),"—")</f>
        <v>1</v>
      </c>
      <c r="U132" s="34" t="s">
        <v>2716</v>
      </c>
      <c r="V132" s="183" t="n">
        <f aca="false">IF(AND($F132="原始數據",$U132&lt;&gt;"連結 SRC"),1,0)</f>
        <v>0</v>
      </c>
      <c r="W132" s="183" t="n">
        <f aca="false">IF(AND($F132="Analogy",OR($H132="—",$H132="")),1,0)</f>
        <v>0</v>
      </c>
      <c r="X132" s="183" t="n">
        <f aca="false">IF(AND(OR($F132="Analogy",$F132="Assumed"),$G132&lt;&gt;"低",$G132&lt;&gt;"高",NOT(ISNUMBER($K132)),NOT(ISNUMBER($L132)),OR($M132="—",$M132="")),1,0)</f>
        <v>0</v>
      </c>
      <c r="Y132" s="183" t="n">
        <f aca="false">IF(AND(OR($F132="Analogy",$F132="Assumed",$F132="Derived（待改公式）",$F132="Derived（公式）"),OR($N132="—",$N132="",$N132=0)),1,0)</f>
        <v>0</v>
      </c>
      <c r="Z132" s="183" t="n">
        <f aca="false">IF(AND($F132="Decision",OR($J132="—",$J132="")),1,0)</f>
        <v>0</v>
      </c>
      <c r="AA132" s="180" t="n">
        <f aca="false">IF(OR($J132="—",$J132=""),0,IF(COUNTIF(Decisions!$A$5:$A$300,$J132)=0,1,0))</f>
        <v>0</v>
      </c>
      <c r="AB132" s="183" t="n">
        <f aca="false">IF(AND($F132="原始數據",$S132&lt;&gt;"Active"),1,0)</f>
        <v>0</v>
      </c>
      <c r="AC132" s="183" t="n">
        <f aca="false">IF(AND(ISNUMBER($K132),ISNUMBER($L132),ISNUMBER($Q132)),IF(OR($Q132&lt;MIN($K132,$L132),$Q132&gt;MAX($K132,$L132)),1,0),0)</f>
        <v>0</v>
      </c>
      <c r="AD132" s="183" t="n">
        <f aca="false">IF(AND(ISNUMBER($T132),$P132="高"),IF($T132=3,1,0),0)</f>
        <v>0</v>
      </c>
      <c r="AE132" s="183" t="n">
        <f aca="false">IF($S132="不存在",1,0)</f>
        <v>0</v>
      </c>
      <c r="AF132" s="34" t="n">
        <f aca="false">IF(OR($H132="—",$H132=""),"—",MATCH($H132,IDX_SrcID,0))</f>
        <v>47</v>
      </c>
    </row>
    <row r="133" customFormat="false" ht="15" hidden="false" customHeight="true" outlineLevel="0" collapsed="false">
      <c r="A133" s="35" t="s">
        <v>3031</v>
      </c>
      <c r="B133" s="209" t="s">
        <v>2677</v>
      </c>
      <c r="C133" s="35" t="s">
        <v>2835</v>
      </c>
      <c r="D133" s="35" t="s">
        <v>3032</v>
      </c>
      <c r="E133" s="6" t="s">
        <v>195</v>
      </c>
      <c r="F133" s="209" t="s">
        <v>290</v>
      </c>
      <c r="G133" s="209" t="s">
        <v>2679</v>
      </c>
      <c r="H133" s="35" t="s">
        <v>3033</v>
      </c>
      <c r="I133" s="18" t="s">
        <v>2714</v>
      </c>
      <c r="J133" s="35" t="s">
        <v>571</v>
      </c>
      <c r="K133" s="209" t="n">
        <v>72</v>
      </c>
      <c r="L133" s="209" t="n">
        <v>576</v>
      </c>
      <c r="M133" s="34" t="s">
        <v>3034</v>
      </c>
      <c r="N133" s="18" t="s">
        <v>2812</v>
      </c>
      <c r="O133" s="6" t="s">
        <v>571</v>
      </c>
      <c r="P133" s="209" t="s">
        <v>1100</v>
      </c>
      <c r="Q133" s="40" t="n">
        <f aca="false">Spec_Rack!G28</f>
        <v>576</v>
      </c>
      <c r="R133" s="182" t="n">
        <f aca="false">SRC_HW_062</f>
        <v>576</v>
      </c>
      <c r="S133" s="34" t="str">
        <f aca="false">IF(ISNUMBER($AF133),INDEX(IDX_SrcStat,$AF133),"—")</f>
        <v>Active</v>
      </c>
      <c r="T133" s="34" t="n">
        <f aca="false">IF(ISNUMBER($AF133),INDEX(IDX_SrcGrade,$AF133),"—")</f>
        <v>1</v>
      </c>
      <c r="U133" s="34" t="s">
        <v>2716</v>
      </c>
      <c r="V133" s="183" t="n">
        <f aca="false">IF(AND($F133="原始數據",$U133&lt;&gt;"連結 SRC"),1,0)</f>
        <v>0</v>
      </c>
      <c r="W133" s="183" t="n">
        <f aca="false">IF(AND($F133="Analogy",OR($H133="—",$H133="")),1,0)</f>
        <v>0</v>
      </c>
      <c r="X133" s="183" t="n">
        <f aca="false">IF(AND(OR($F133="Analogy",$F133="Assumed"),$G133&lt;&gt;"低",$G133&lt;&gt;"高",NOT(ISNUMBER($K133)),NOT(ISNUMBER($L133)),OR($M133="—",$M133="")),1,0)</f>
        <v>0</v>
      </c>
      <c r="Y133" s="183" t="n">
        <f aca="false">IF(AND(OR($F133="Analogy",$F133="Assumed",$F133="Derived（待改公式）",$F133="Derived（公式）"),OR($N133="—",$N133="",$N133=0)),1,0)</f>
        <v>0</v>
      </c>
      <c r="Z133" s="183" t="n">
        <f aca="false">IF(AND($F133="Decision",OR($J133="—",$J133="")),1,0)</f>
        <v>0</v>
      </c>
      <c r="AA133" s="180" t="n">
        <f aca="false">IF(OR($J133="—",$J133=""),0,IF(COUNTIF(Decisions!$A$5:$A$300,$J133)=0,1,0))</f>
        <v>0</v>
      </c>
      <c r="AB133" s="183" t="n">
        <f aca="false">IF(AND($F133="原始數據",$S133&lt;&gt;"Active"),1,0)</f>
        <v>0</v>
      </c>
      <c r="AC133" s="183" t="n">
        <f aca="false">IF(AND(ISNUMBER($K133),ISNUMBER($L133),ISNUMBER($Q133)),IF(OR($Q133&lt;MIN($K133,$L133),$Q133&gt;MAX($K133,$L133)),1,0),0)</f>
        <v>0</v>
      </c>
      <c r="AD133" s="183" t="n">
        <f aca="false">IF(AND(ISNUMBER($T133),$P133="高"),IF($T133=3,1,0),0)</f>
        <v>0</v>
      </c>
      <c r="AE133" s="183" t="n">
        <f aca="false">IF($S133="不存在",1,0)</f>
        <v>0</v>
      </c>
      <c r="AF133" s="34" t="n">
        <f aca="false">IF(OR($H133="—",$H133=""),"—",MATCH($H133,IDX_SrcID,0))</f>
        <v>62</v>
      </c>
    </row>
    <row r="134" customFormat="false" ht="29.25" hidden="false" customHeight="true" outlineLevel="0" collapsed="false">
      <c r="A134" s="35" t="s">
        <v>3035</v>
      </c>
      <c r="B134" s="209" t="s">
        <v>2677</v>
      </c>
      <c r="C134" s="35" t="s">
        <v>2835</v>
      </c>
      <c r="D134" s="35" t="s">
        <v>3036</v>
      </c>
      <c r="E134" s="6" t="s">
        <v>196</v>
      </c>
      <c r="F134" s="35" t="s">
        <v>76</v>
      </c>
      <c r="G134" s="209" t="s">
        <v>2679</v>
      </c>
      <c r="H134" s="35" t="s">
        <v>3037</v>
      </c>
      <c r="I134" s="18" t="s">
        <v>3038</v>
      </c>
      <c r="J134" s="35" t="s">
        <v>571</v>
      </c>
      <c r="K134" s="211" t="n">
        <v>32</v>
      </c>
      <c r="L134" s="211" t="n">
        <v>144</v>
      </c>
      <c r="M134" s="35" t="s">
        <v>3039</v>
      </c>
      <c r="N134" s="6" t="s">
        <v>3040</v>
      </c>
      <c r="O134" s="6" t="s">
        <v>571</v>
      </c>
      <c r="P134" s="209" t="s">
        <v>2738</v>
      </c>
      <c r="Q134" s="40" t="n">
        <f aca="false">Spec_Rack!C29</f>
        <v>64</v>
      </c>
      <c r="R134" s="182" t="n">
        <f aca="false">SRC_PERF_051</f>
        <v>18</v>
      </c>
      <c r="S134" s="34" t="str">
        <f aca="false">IF(ISNUMBER($AF134),INDEX(IDX_SrcStat,$AF134),"—")</f>
        <v>Active</v>
      </c>
      <c r="T134" s="34" t="n">
        <f aca="false">IF(ISNUMBER($AF134),INDEX(IDX_SrcGrade,$AF134),"—")</f>
        <v>1</v>
      </c>
      <c r="U134" s="34" t="s">
        <v>2683</v>
      </c>
      <c r="V134" s="183" t="n">
        <f aca="false">IF(AND($F134="原始數據",$U134&lt;&gt;"連結 SRC"),1,0)</f>
        <v>0</v>
      </c>
      <c r="W134" s="183" t="n">
        <f aca="false">IF(AND($F134="Analogy",OR($H134="—",$H134="")),1,0)</f>
        <v>0</v>
      </c>
      <c r="X134" s="183" t="n">
        <f aca="false">IF(AND(OR($F134="Analogy",$F134="Assumed"),$G134&lt;&gt;"低",$G134&lt;&gt;"高",NOT(ISNUMBER($K134)),NOT(ISNUMBER($L134)),OR($M134="—",$M134="")),1,0)</f>
        <v>0</v>
      </c>
      <c r="Y134" s="183" t="n">
        <f aca="false">IF(AND(OR($F134="Analogy",$F134="Assumed",$F134="Derived（待改公式）",$F134="Derived（公式）"),OR($N134="—",$N134="",$N134=0)),1,0)</f>
        <v>0</v>
      </c>
      <c r="Z134" s="183" t="n">
        <f aca="false">IF(AND($F134="Decision",OR($J134="—",$J134="")),1,0)</f>
        <v>0</v>
      </c>
      <c r="AA134" s="180" t="n">
        <f aca="false">IF(OR($J134="—",$J134=""),0,IF(COUNTIF(Decisions!$A$5:$A$300,$J134)=0,1,0))</f>
        <v>0</v>
      </c>
      <c r="AB134" s="183" t="n">
        <f aca="false">IF(AND($F134="原始數據",$S134&lt;&gt;"Active"),1,0)</f>
        <v>0</v>
      </c>
      <c r="AC134" s="183" t="n">
        <f aca="false">IF(AND(ISNUMBER($K134),ISNUMBER($L134),ISNUMBER($Q134)),IF(OR($Q134&lt;MIN($K134,$L134),$Q134&gt;MAX($K134,$L134)),1,0),0)</f>
        <v>0</v>
      </c>
      <c r="AD134" s="183" t="n">
        <f aca="false">IF(AND(ISNUMBER($T134),$P134="高"),IF($T134=3,1,0),0)</f>
        <v>0</v>
      </c>
      <c r="AE134" s="183" t="n">
        <f aca="false">IF($S134="不存在",1,0)</f>
        <v>0</v>
      </c>
      <c r="AF134" s="34" t="n">
        <f aca="false">IF(OR($H134="—",$H134=""),"—",MATCH($H134,IDX_SrcID,0))</f>
        <v>332</v>
      </c>
    </row>
    <row r="135" customFormat="false" ht="29.25" hidden="false" customHeight="true" outlineLevel="0" collapsed="false">
      <c r="A135" s="35" t="s">
        <v>3041</v>
      </c>
      <c r="B135" s="209" t="s">
        <v>2677</v>
      </c>
      <c r="C135" s="35" t="s">
        <v>2835</v>
      </c>
      <c r="D135" s="35" t="s">
        <v>3042</v>
      </c>
      <c r="E135" s="6" t="s">
        <v>196</v>
      </c>
      <c r="F135" s="35" t="s">
        <v>76</v>
      </c>
      <c r="G135" s="209" t="s">
        <v>2679</v>
      </c>
      <c r="H135" s="35" t="s">
        <v>3043</v>
      </c>
      <c r="I135" s="18" t="s">
        <v>3044</v>
      </c>
      <c r="J135" s="35" t="s">
        <v>571</v>
      </c>
      <c r="K135" s="211" t="n">
        <v>16</v>
      </c>
      <c r="L135" s="211" t="n">
        <v>72</v>
      </c>
      <c r="M135" s="35" t="s">
        <v>3045</v>
      </c>
      <c r="N135" s="6" t="s">
        <v>3046</v>
      </c>
      <c r="O135" s="6" t="s">
        <v>571</v>
      </c>
      <c r="P135" s="209" t="s">
        <v>2738</v>
      </c>
      <c r="Q135" s="40" t="n">
        <f aca="false">Spec_Rack!D29</f>
        <v>32</v>
      </c>
      <c r="R135" s="182" t="n">
        <f aca="false">SRC_PERF_008</f>
        <v>32</v>
      </c>
      <c r="S135" s="34" t="str">
        <f aca="false">IF(ISNUMBER($AF135),INDEX(IDX_SrcStat,$AF135),"—")</f>
        <v>Active</v>
      </c>
      <c r="T135" s="34" t="n">
        <f aca="false">IF(ISNUMBER($AF135),INDEX(IDX_SrcGrade,$AF135),"—")</f>
        <v>1</v>
      </c>
      <c r="U135" s="34" t="s">
        <v>2683</v>
      </c>
      <c r="V135" s="183" t="n">
        <f aca="false">IF(AND($F135="原始數據",$U135&lt;&gt;"連結 SRC"),1,0)</f>
        <v>0</v>
      </c>
      <c r="W135" s="183" t="n">
        <f aca="false">IF(AND($F135="Analogy",OR($H135="—",$H135="")),1,0)</f>
        <v>0</v>
      </c>
      <c r="X135" s="183" t="n">
        <f aca="false">IF(AND(OR($F135="Analogy",$F135="Assumed"),$G135&lt;&gt;"低",$G135&lt;&gt;"高",NOT(ISNUMBER($K135)),NOT(ISNUMBER($L135)),OR($M135="—",$M135="")),1,0)</f>
        <v>0</v>
      </c>
      <c r="Y135" s="183" t="n">
        <f aca="false">IF(AND(OR($F135="Analogy",$F135="Assumed",$F135="Derived（待改公式）",$F135="Derived（公式）"),OR($N135="—",$N135="",$N135=0)),1,0)</f>
        <v>0</v>
      </c>
      <c r="Z135" s="183" t="n">
        <f aca="false">IF(AND($F135="Decision",OR($J135="—",$J135="")),1,0)</f>
        <v>0</v>
      </c>
      <c r="AA135" s="180" t="n">
        <f aca="false">IF(OR($J135="—",$J135=""),0,IF(COUNTIF(Decisions!$A$5:$A$300,$J135)=0,1,0))</f>
        <v>0</v>
      </c>
      <c r="AB135" s="183" t="n">
        <f aca="false">IF(AND($F135="原始數據",$S135&lt;&gt;"Active"),1,0)</f>
        <v>0</v>
      </c>
      <c r="AC135" s="183" t="n">
        <f aca="false">IF(AND(ISNUMBER($K135),ISNUMBER($L135),ISNUMBER($Q135)),IF(OR($Q135&lt;MIN($K135,$L135),$Q135&gt;MAX($K135,$L135)),1,0),0)</f>
        <v>0</v>
      </c>
      <c r="AD135" s="183" t="n">
        <f aca="false">IF(AND(ISNUMBER($T135),$P135="高"),IF($T135=3,1,0),0)</f>
        <v>0</v>
      </c>
      <c r="AE135" s="183" t="n">
        <f aca="false">IF($S135="不存在",1,0)</f>
        <v>0</v>
      </c>
      <c r="AF135" s="34" t="n">
        <f aca="false">IF(OR($H135="—",$H135=""),"—",MATCH($H135,IDX_SrcID,0))</f>
        <v>289</v>
      </c>
    </row>
    <row r="136" customFormat="false" ht="15" hidden="false" customHeight="true" outlineLevel="0" collapsed="false">
      <c r="A136" s="35" t="s">
        <v>3047</v>
      </c>
      <c r="B136" s="209" t="s">
        <v>2677</v>
      </c>
      <c r="C136" s="35" t="s">
        <v>2835</v>
      </c>
      <c r="D136" s="35" t="s">
        <v>3048</v>
      </c>
      <c r="E136" s="6" t="s">
        <v>196</v>
      </c>
      <c r="F136" s="209" t="s">
        <v>290</v>
      </c>
      <c r="G136" s="209" t="s">
        <v>2679</v>
      </c>
      <c r="H136" s="35" t="s">
        <v>3043</v>
      </c>
      <c r="I136" s="18" t="s">
        <v>2714</v>
      </c>
      <c r="J136" s="35" t="s">
        <v>571</v>
      </c>
      <c r="K136" s="209"/>
      <c r="L136" s="209"/>
      <c r="M136" s="35" t="s">
        <v>571</v>
      </c>
      <c r="N136" s="18" t="s">
        <v>2900</v>
      </c>
      <c r="O136" s="6" t="s">
        <v>571</v>
      </c>
      <c r="P136" s="209" t="s">
        <v>2738</v>
      </c>
      <c r="Q136" s="40" t="n">
        <f aca="false">Spec_Rack!E29</f>
        <v>32</v>
      </c>
      <c r="R136" s="182" t="n">
        <f aca="false">SRC_PERF_008</f>
        <v>32</v>
      </c>
      <c r="S136" s="34" t="str">
        <f aca="false">IF(ISNUMBER($AF136),INDEX(IDX_SrcStat,$AF136),"—")</f>
        <v>Active</v>
      </c>
      <c r="T136" s="34" t="n">
        <f aca="false">IF(ISNUMBER($AF136),INDEX(IDX_SrcGrade,$AF136),"—")</f>
        <v>1</v>
      </c>
      <c r="U136" s="34" t="s">
        <v>2716</v>
      </c>
      <c r="V136" s="183" t="n">
        <f aca="false">IF(AND($F136="原始數據",$U136&lt;&gt;"連結 SRC"),1,0)</f>
        <v>0</v>
      </c>
      <c r="W136" s="183" t="n">
        <f aca="false">IF(AND($F136="Analogy",OR($H136="—",$H136="")),1,0)</f>
        <v>0</v>
      </c>
      <c r="X136" s="183" t="n">
        <f aca="false">IF(AND(OR($F136="Analogy",$F136="Assumed"),$G136&lt;&gt;"低",$G136&lt;&gt;"高",NOT(ISNUMBER($K136)),NOT(ISNUMBER($L136)),OR($M136="—",$M136="")),1,0)</f>
        <v>0</v>
      </c>
      <c r="Y136" s="183" t="n">
        <f aca="false">IF(AND(OR($F136="Analogy",$F136="Assumed",$F136="Derived（待改公式）",$F136="Derived（公式）"),OR($N136="—",$N136="",$N136=0)),1,0)</f>
        <v>0</v>
      </c>
      <c r="Z136" s="183" t="n">
        <f aca="false">IF(AND($F136="Decision",OR($J136="—",$J136="")),1,0)</f>
        <v>0</v>
      </c>
      <c r="AA136" s="180" t="n">
        <f aca="false">IF(OR($J136="—",$J136=""),0,IF(COUNTIF(Decisions!$A$5:$A$300,$J136)=0,1,0))</f>
        <v>0</v>
      </c>
      <c r="AB136" s="183" t="n">
        <f aca="false">IF(AND($F136="原始數據",$S136&lt;&gt;"Active"),1,0)</f>
        <v>0</v>
      </c>
      <c r="AC136" s="183" t="n">
        <f aca="false">IF(AND(ISNUMBER($K136),ISNUMBER($L136),ISNUMBER($Q136)),IF(OR($Q136&lt;MIN($K136,$L136),$Q136&gt;MAX($K136,$L136)),1,0),0)</f>
        <v>0</v>
      </c>
      <c r="AD136" s="183" t="n">
        <f aca="false">IF(AND(ISNUMBER($T136),$P136="高"),IF($T136=3,1,0),0)</f>
        <v>0</v>
      </c>
      <c r="AE136" s="183" t="n">
        <f aca="false">IF($S136="不存在",1,0)</f>
        <v>0</v>
      </c>
      <c r="AF136" s="34" t="n">
        <f aca="false">IF(OR($H136="—",$H136=""),"—",MATCH($H136,IDX_SrcID,0))</f>
        <v>289</v>
      </c>
    </row>
    <row r="137" customFormat="false" ht="29.25" hidden="false" customHeight="true" outlineLevel="0" collapsed="false">
      <c r="A137" s="35" t="s">
        <v>3049</v>
      </c>
      <c r="B137" s="209" t="s">
        <v>2677</v>
      </c>
      <c r="C137" s="35" t="s">
        <v>2835</v>
      </c>
      <c r="D137" s="35" t="s">
        <v>3050</v>
      </c>
      <c r="E137" s="6" t="s">
        <v>196</v>
      </c>
      <c r="F137" s="35" t="s">
        <v>76</v>
      </c>
      <c r="G137" s="209" t="s">
        <v>2679</v>
      </c>
      <c r="H137" s="35" t="s">
        <v>3043</v>
      </c>
      <c r="I137" s="18" t="s">
        <v>3044</v>
      </c>
      <c r="J137" s="35" t="s">
        <v>571</v>
      </c>
      <c r="K137" s="211" t="n">
        <v>16</v>
      </c>
      <c r="L137" s="211" t="n">
        <v>72</v>
      </c>
      <c r="M137" s="35" t="s">
        <v>3045</v>
      </c>
      <c r="N137" s="6" t="s">
        <v>3046</v>
      </c>
      <c r="O137" s="6" t="s">
        <v>571</v>
      </c>
      <c r="P137" s="209" t="s">
        <v>2738</v>
      </c>
      <c r="Q137" s="40" t="n">
        <f aca="false">Spec_Rack!F29</f>
        <v>32</v>
      </c>
      <c r="R137" s="182" t="n">
        <f aca="false">SRC_PERF_008</f>
        <v>32</v>
      </c>
      <c r="S137" s="34" t="str">
        <f aca="false">IF(ISNUMBER($AF137),INDEX(IDX_SrcStat,$AF137),"—")</f>
        <v>Active</v>
      </c>
      <c r="T137" s="34" t="n">
        <f aca="false">IF(ISNUMBER($AF137),INDEX(IDX_SrcGrade,$AF137),"—")</f>
        <v>1</v>
      </c>
      <c r="U137" s="34" t="s">
        <v>2683</v>
      </c>
      <c r="V137" s="183" t="n">
        <f aca="false">IF(AND($F137="原始數據",$U137&lt;&gt;"連結 SRC"),1,0)</f>
        <v>0</v>
      </c>
      <c r="W137" s="183" t="n">
        <f aca="false">IF(AND($F137="Analogy",OR($H137="—",$H137="")),1,0)</f>
        <v>0</v>
      </c>
      <c r="X137" s="183" t="n">
        <f aca="false">IF(AND(OR($F137="Analogy",$F137="Assumed"),$G137&lt;&gt;"低",$G137&lt;&gt;"高",NOT(ISNUMBER($K137)),NOT(ISNUMBER($L137)),OR($M137="—",$M137="")),1,0)</f>
        <v>0</v>
      </c>
      <c r="Y137" s="183" t="n">
        <f aca="false">IF(AND(OR($F137="Analogy",$F137="Assumed",$F137="Derived（待改公式）",$F137="Derived（公式）"),OR($N137="—",$N137="",$N137=0)),1,0)</f>
        <v>0</v>
      </c>
      <c r="Z137" s="183" t="n">
        <f aca="false">IF(AND($F137="Decision",OR($J137="—",$J137="")),1,0)</f>
        <v>0</v>
      </c>
      <c r="AA137" s="180" t="n">
        <f aca="false">IF(OR($J137="—",$J137=""),0,IF(COUNTIF(Decisions!$A$5:$A$300,$J137)=0,1,0))</f>
        <v>0</v>
      </c>
      <c r="AB137" s="183" t="n">
        <f aca="false">IF(AND($F137="原始數據",$S137&lt;&gt;"Active"),1,0)</f>
        <v>0</v>
      </c>
      <c r="AC137" s="183" t="n">
        <f aca="false">IF(AND(ISNUMBER($K137),ISNUMBER($L137),ISNUMBER($Q137)),IF(OR($Q137&lt;MIN($K137,$L137),$Q137&gt;MAX($K137,$L137)),1,0),0)</f>
        <v>0</v>
      </c>
      <c r="AD137" s="183" t="n">
        <f aca="false">IF(AND(ISNUMBER($T137),$P137="高"),IF($T137=3,1,0),0)</f>
        <v>0</v>
      </c>
      <c r="AE137" s="183" t="n">
        <f aca="false">IF($S137="不存在",1,0)</f>
        <v>0</v>
      </c>
      <c r="AF137" s="34" t="n">
        <f aca="false">IF(OR($H137="—",$H137=""),"—",MATCH($H137,IDX_SrcID,0))</f>
        <v>289</v>
      </c>
    </row>
    <row r="138" customFormat="false" ht="15" hidden="false" customHeight="true" outlineLevel="0" collapsed="false">
      <c r="A138" s="35" t="s">
        <v>3051</v>
      </c>
      <c r="B138" s="209" t="s">
        <v>2677</v>
      </c>
      <c r="C138" s="35" t="s">
        <v>2835</v>
      </c>
      <c r="D138" s="35" t="s">
        <v>3052</v>
      </c>
      <c r="E138" s="6" t="s">
        <v>196</v>
      </c>
      <c r="F138" s="35" t="s">
        <v>72</v>
      </c>
      <c r="G138" s="209" t="s">
        <v>2679</v>
      </c>
      <c r="H138" s="35" t="s">
        <v>571</v>
      </c>
      <c r="I138" s="6" t="s">
        <v>571</v>
      </c>
      <c r="J138" s="35" t="s">
        <v>571</v>
      </c>
      <c r="K138" s="211" t="n">
        <v>32</v>
      </c>
      <c r="L138" s="211" t="n">
        <v>144</v>
      </c>
      <c r="M138" s="35" t="s">
        <v>3039</v>
      </c>
      <c r="N138" s="6" t="s">
        <v>2993</v>
      </c>
      <c r="O138" s="6" t="s">
        <v>571</v>
      </c>
      <c r="P138" s="209" t="s">
        <v>2738</v>
      </c>
      <c r="Q138" s="40" t="n">
        <f aca="false">Spec_Rack!G29</f>
        <v>64</v>
      </c>
      <c r="R138" s="35" t="s">
        <v>571</v>
      </c>
      <c r="S138" s="34" t="str">
        <f aca="false">IF(ISNUMBER($AF138),INDEX(IDX_SrcStat,$AF138),"—")</f>
        <v>—</v>
      </c>
      <c r="T138" s="34" t="str">
        <f aca="false">IF(ISNUMBER($AF138),INDEX(IDX_SrcGrade,$AF138),"—")</f>
        <v>—</v>
      </c>
      <c r="U138" s="34" t="s">
        <v>2683</v>
      </c>
      <c r="V138" s="183" t="n">
        <f aca="false">IF(AND($F138="原始數據",$U138&lt;&gt;"連結 SRC"),1,0)</f>
        <v>0</v>
      </c>
      <c r="W138" s="183" t="n">
        <f aca="false">IF(AND($F138="Analogy",OR($H138="—",$H138="")),1,0)</f>
        <v>0</v>
      </c>
      <c r="X138" s="183" t="n">
        <f aca="false">IF(AND(OR($F138="Analogy",$F138="Assumed"),$G138&lt;&gt;"低",$G138&lt;&gt;"高",NOT(ISNUMBER($K138)),NOT(ISNUMBER($L138)),OR($M138="—",$M138="")),1,0)</f>
        <v>0</v>
      </c>
      <c r="Y138" s="183" t="n">
        <f aca="false">IF(AND(OR($F138="Analogy",$F138="Assumed",$F138="Derived（待改公式）",$F138="Derived（公式）"),OR($N138="—",$N138="",$N138=0)),1,0)</f>
        <v>0</v>
      </c>
      <c r="Z138" s="183" t="n">
        <f aca="false">IF(AND($F138="Decision",OR($J138="—",$J138="")),1,0)</f>
        <v>0</v>
      </c>
      <c r="AA138" s="180" t="n">
        <f aca="false">IF(OR($J138="—",$J138=""),0,IF(COUNTIF(Decisions!$A$5:$A$300,$J138)=0,1,0))</f>
        <v>0</v>
      </c>
      <c r="AB138" s="183" t="n">
        <f aca="false">IF(AND($F138="原始數據",$S138&lt;&gt;"Active"),1,0)</f>
        <v>0</v>
      </c>
      <c r="AC138" s="183" t="n">
        <f aca="false">IF(AND(ISNUMBER($K138),ISNUMBER($L138),ISNUMBER($Q138)),IF(OR($Q138&lt;MIN($K138,$L138),$Q138&gt;MAX($K138,$L138)),1,0),0)</f>
        <v>0</v>
      </c>
      <c r="AD138" s="183" t="n">
        <f aca="false">IF(AND(ISNUMBER($T138),$P138="高"),IF($T138=3,1,0),0)</f>
        <v>0</v>
      </c>
      <c r="AE138" s="183" t="n">
        <f aca="false">IF($S138="不存在",1,0)</f>
        <v>0</v>
      </c>
      <c r="AF138" s="34" t="str">
        <f aca="false">IF(OR($H138="—",$H138=""),"—",MATCH($H138,IDX_SrcID,0))</f>
        <v>—</v>
      </c>
    </row>
    <row r="139" customFormat="false" ht="15" hidden="false" customHeight="true" outlineLevel="0" collapsed="false">
      <c r="A139" s="35" t="s">
        <v>3053</v>
      </c>
      <c r="B139" s="209" t="s">
        <v>2677</v>
      </c>
      <c r="C139" s="35" t="s">
        <v>2835</v>
      </c>
      <c r="D139" s="35" t="s">
        <v>3054</v>
      </c>
      <c r="E139" s="18" t="s">
        <v>3055</v>
      </c>
      <c r="F139" s="209" t="s">
        <v>290</v>
      </c>
      <c r="G139" s="209" t="s">
        <v>2679</v>
      </c>
      <c r="H139" s="35" t="s">
        <v>3056</v>
      </c>
      <c r="I139" s="18" t="s">
        <v>2714</v>
      </c>
      <c r="J139" s="35" t="s">
        <v>571</v>
      </c>
      <c r="K139" s="209"/>
      <c r="L139" s="209"/>
      <c r="M139" s="35" t="s">
        <v>571</v>
      </c>
      <c r="N139" s="18" t="s">
        <v>2900</v>
      </c>
      <c r="O139" s="6" t="s">
        <v>571</v>
      </c>
      <c r="P139" s="209" t="s">
        <v>2738</v>
      </c>
      <c r="Q139" s="44" t="n">
        <f aca="false">Spec_Rack!C30</f>
        <v>1</v>
      </c>
      <c r="R139" s="182" t="n">
        <f aca="false">SRC_HW_055</f>
        <v>1</v>
      </c>
      <c r="S139" s="34" t="str">
        <f aca="false">IF(ISNUMBER($AF139),INDEX(IDX_SrcStat,$AF139),"—")</f>
        <v>Active</v>
      </c>
      <c r="T139" s="34" t="n">
        <f aca="false">IF(ISNUMBER($AF139),INDEX(IDX_SrcGrade,$AF139),"—")</f>
        <v>3</v>
      </c>
      <c r="U139" s="34" t="s">
        <v>2716</v>
      </c>
      <c r="V139" s="183" t="n">
        <f aca="false">IF(AND($F139="原始數據",$U139&lt;&gt;"連結 SRC"),1,0)</f>
        <v>0</v>
      </c>
      <c r="W139" s="183" t="n">
        <f aca="false">IF(AND($F139="Analogy",OR($H139="—",$H139="")),1,0)</f>
        <v>0</v>
      </c>
      <c r="X139" s="183" t="n">
        <f aca="false">IF(AND(OR($F139="Analogy",$F139="Assumed"),$G139&lt;&gt;"低",$G139&lt;&gt;"高",NOT(ISNUMBER($K139)),NOT(ISNUMBER($L139)),OR($M139="—",$M139="")),1,0)</f>
        <v>0</v>
      </c>
      <c r="Y139" s="183" t="n">
        <f aca="false">IF(AND(OR($F139="Analogy",$F139="Assumed",$F139="Derived（待改公式）",$F139="Derived（公式）"),OR($N139="—",$N139="",$N139=0)),1,0)</f>
        <v>0</v>
      </c>
      <c r="Z139" s="183" t="n">
        <f aca="false">IF(AND($F139="Decision",OR($J139="—",$J139="")),1,0)</f>
        <v>0</v>
      </c>
      <c r="AA139" s="180" t="n">
        <f aca="false">IF(OR($J139="—",$J139=""),0,IF(COUNTIF(Decisions!$A$5:$A$300,$J139)=0,1,0))</f>
        <v>0</v>
      </c>
      <c r="AB139" s="183" t="n">
        <f aca="false">IF(AND($F139="原始數據",$S139&lt;&gt;"Active"),1,0)</f>
        <v>0</v>
      </c>
      <c r="AC139" s="183" t="n">
        <f aca="false">IF(AND(ISNUMBER($K139),ISNUMBER($L139),ISNUMBER($Q139)),IF(OR($Q139&lt;MIN($K139,$L139),$Q139&gt;MAX($K139,$L139)),1,0),0)</f>
        <v>0</v>
      </c>
      <c r="AD139" s="183" t="n">
        <f aca="false">IF(AND(ISNUMBER($T139),$P139="高"),IF($T139=3,1,0),0)</f>
        <v>0</v>
      </c>
      <c r="AE139" s="183" t="n">
        <f aca="false">IF($S139="不存在",1,0)</f>
        <v>0</v>
      </c>
      <c r="AF139" s="34" t="n">
        <f aca="false">IF(OR($H139="—",$H139=""),"—",MATCH($H139,IDX_SrcID,0))</f>
        <v>55</v>
      </c>
    </row>
    <row r="140" customFormat="false" ht="15" hidden="false" customHeight="true" outlineLevel="0" collapsed="false">
      <c r="A140" s="35" t="s">
        <v>3057</v>
      </c>
      <c r="B140" s="209" t="s">
        <v>2677</v>
      </c>
      <c r="C140" s="35" t="s">
        <v>2835</v>
      </c>
      <c r="D140" s="35" t="s">
        <v>2774</v>
      </c>
      <c r="E140" s="18" t="s">
        <v>3055</v>
      </c>
      <c r="F140" s="209" t="s">
        <v>290</v>
      </c>
      <c r="G140" s="209" t="s">
        <v>2679</v>
      </c>
      <c r="H140" s="35" t="s">
        <v>3058</v>
      </c>
      <c r="I140" s="18" t="s">
        <v>2714</v>
      </c>
      <c r="J140" s="35" t="s">
        <v>571</v>
      </c>
      <c r="K140" s="209"/>
      <c r="L140" s="209"/>
      <c r="M140" s="35" t="s">
        <v>571</v>
      </c>
      <c r="N140" s="18" t="s">
        <v>2900</v>
      </c>
      <c r="O140" s="6" t="s">
        <v>571</v>
      </c>
      <c r="P140" s="209" t="s">
        <v>2738</v>
      </c>
      <c r="Q140" s="44" t="n">
        <f aca="false">Spec_Rack!D30</f>
        <v>0.5625</v>
      </c>
      <c r="R140" s="182" t="n">
        <f aca="false">SRC_HW_050</f>
        <v>0.5625</v>
      </c>
      <c r="S140" s="34" t="str">
        <f aca="false">IF(ISNUMBER($AF140),INDEX(IDX_SrcStat,$AF140),"—")</f>
        <v>Active</v>
      </c>
      <c r="T140" s="34" t="n">
        <f aca="false">IF(ISNUMBER($AF140),INDEX(IDX_SrcGrade,$AF140),"—")</f>
        <v>3</v>
      </c>
      <c r="U140" s="34" t="s">
        <v>2716</v>
      </c>
      <c r="V140" s="183" t="n">
        <f aca="false">IF(AND($F140="原始數據",$U140&lt;&gt;"連結 SRC"),1,0)</f>
        <v>0</v>
      </c>
      <c r="W140" s="183" t="n">
        <f aca="false">IF(AND($F140="Analogy",OR($H140="—",$H140="")),1,0)</f>
        <v>0</v>
      </c>
      <c r="X140" s="183" t="n">
        <f aca="false">IF(AND(OR($F140="Analogy",$F140="Assumed"),$G140&lt;&gt;"低",$G140&lt;&gt;"高",NOT(ISNUMBER($K140)),NOT(ISNUMBER($L140)),OR($M140="—",$M140="")),1,0)</f>
        <v>0</v>
      </c>
      <c r="Y140" s="183" t="n">
        <f aca="false">IF(AND(OR($F140="Analogy",$F140="Assumed",$F140="Derived（待改公式）",$F140="Derived（公式）"),OR($N140="—",$N140="",$N140=0)),1,0)</f>
        <v>0</v>
      </c>
      <c r="Z140" s="183" t="n">
        <f aca="false">IF(AND($F140="Decision",OR($J140="—",$J140="")),1,0)</f>
        <v>0</v>
      </c>
      <c r="AA140" s="180" t="n">
        <f aca="false">IF(OR($J140="—",$J140=""),0,IF(COUNTIF(Decisions!$A$5:$A$300,$J140)=0,1,0))</f>
        <v>0</v>
      </c>
      <c r="AB140" s="183" t="n">
        <f aca="false">IF(AND($F140="原始數據",$S140&lt;&gt;"Active"),1,0)</f>
        <v>0</v>
      </c>
      <c r="AC140" s="183" t="n">
        <f aca="false">IF(AND(ISNUMBER($K140),ISNUMBER($L140),ISNUMBER($Q140)),IF(OR($Q140&lt;MIN($K140,$L140),$Q140&gt;MAX($K140,$L140)),1,0),0)</f>
        <v>0</v>
      </c>
      <c r="AD140" s="183" t="n">
        <f aca="false">IF(AND(ISNUMBER($T140),$P140="高"),IF($T140=3,1,0),0)</f>
        <v>0</v>
      </c>
      <c r="AE140" s="183" t="n">
        <f aca="false">IF($S140="不存在",1,0)</f>
        <v>0</v>
      </c>
      <c r="AF140" s="34" t="n">
        <f aca="false">IF(OR($H140="—",$H140=""),"—",MATCH($H140,IDX_SrcID,0))</f>
        <v>50</v>
      </c>
    </row>
    <row r="141" customFormat="false" ht="15" hidden="false" customHeight="true" outlineLevel="0" collapsed="false">
      <c r="A141" s="35" t="s">
        <v>3059</v>
      </c>
      <c r="B141" s="209" t="s">
        <v>2677</v>
      </c>
      <c r="C141" s="35" t="s">
        <v>2835</v>
      </c>
      <c r="D141" s="35" t="s">
        <v>2770</v>
      </c>
      <c r="E141" s="18" t="s">
        <v>3055</v>
      </c>
      <c r="F141" s="209" t="s">
        <v>290</v>
      </c>
      <c r="G141" s="209" t="s">
        <v>2679</v>
      </c>
      <c r="H141" s="35" t="s">
        <v>3058</v>
      </c>
      <c r="I141" s="18" t="s">
        <v>2714</v>
      </c>
      <c r="J141" s="35" t="s">
        <v>571</v>
      </c>
      <c r="K141" s="209"/>
      <c r="L141" s="209"/>
      <c r="M141" s="35" t="s">
        <v>571</v>
      </c>
      <c r="N141" s="18" t="s">
        <v>2900</v>
      </c>
      <c r="O141" s="6" t="s">
        <v>571</v>
      </c>
      <c r="P141" s="209" t="s">
        <v>2738</v>
      </c>
      <c r="Q141" s="44" t="n">
        <f aca="false">Spec_Rack!E30</f>
        <v>0.5625</v>
      </c>
      <c r="R141" s="182" t="n">
        <f aca="false">SRC_HW_050</f>
        <v>0.5625</v>
      </c>
      <c r="S141" s="34" t="str">
        <f aca="false">IF(ISNUMBER($AF141),INDEX(IDX_SrcStat,$AF141),"—")</f>
        <v>Active</v>
      </c>
      <c r="T141" s="34" t="n">
        <f aca="false">IF(ISNUMBER($AF141),INDEX(IDX_SrcGrade,$AF141),"—")</f>
        <v>3</v>
      </c>
      <c r="U141" s="34" t="s">
        <v>2716</v>
      </c>
      <c r="V141" s="183" t="n">
        <f aca="false">IF(AND($F141="原始數據",$U141&lt;&gt;"連結 SRC"),1,0)</f>
        <v>0</v>
      </c>
      <c r="W141" s="183" t="n">
        <f aca="false">IF(AND($F141="Analogy",OR($H141="—",$H141="")),1,0)</f>
        <v>0</v>
      </c>
      <c r="X141" s="183" t="n">
        <f aca="false">IF(AND(OR($F141="Analogy",$F141="Assumed"),$G141&lt;&gt;"低",$G141&lt;&gt;"高",NOT(ISNUMBER($K141)),NOT(ISNUMBER($L141)),OR($M141="—",$M141="")),1,0)</f>
        <v>0</v>
      </c>
      <c r="Y141" s="183" t="n">
        <f aca="false">IF(AND(OR($F141="Analogy",$F141="Assumed",$F141="Derived（待改公式）",$F141="Derived（公式）"),OR($N141="—",$N141="",$N141=0)),1,0)</f>
        <v>0</v>
      </c>
      <c r="Z141" s="183" t="n">
        <f aca="false">IF(AND($F141="Decision",OR($J141="—",$J141="")),1,0)</f>
        <v>0</v>
      </c>
      <c r="AA141" s="180" t="n">
        <f aca="false">IF(OR($J141="—",$J141=""),0,IF(COUNTIF(Decisions!$A$5:$A$300,$J141)=0,1,0))</f>
        <v>0</v>
      </c>
      <c r="AB141" s="183" t="n">
        <f aca="false">IF(AND($F141="原始數據",$S141&lt;&gt;"Active"),1,0)</f>
        <v>0</v>
      </c>
      <c r="AC141" s="183" t="n">
        <f aca="false">IF(AND(ISNUMBER($K141),ISNUMBER($L141),ISNUMBER($Q141)),IF(OR($Q141&lt;MIN($K141,$L141),$Q141&gt;MAX($K141,$L141)),1,0),0)</f>
        <v>0</v>
      </c>
      <c r="AD141" s="183" t="n">
        <f aca="false">IF(AND(ISNUMBER($T141),$P141="高"),IF($T141=3,1,0),0)</f>
        <v>0</v>
      </c>
      <c r="AE141" s="183" t="n">
        <f aca="false">IF($S141="不存在",1,0)</f>
        <v>0</v>
      </c>
      <c r="AF141" s="34" t="n">
        <f aca="false">IF(OR($H141="—",$H141=""),"—",MATCH($H141,IDX_SrcID,0))</f>
        <v>50</v>
      </c>
    </row>
    <row r="142" customFormat="false" ht="15" hidden="false" customHeight="true" outlineLevel="0" collapsed="false">
      <c r="A142" s="35" t="s">
        <v>3060</v>
      </c>
      <c r="B142" s="209" t="s">
        <v>2677</v>
      </c>
      <c r="C142" s="35" t="s">
        <v>2835</v>
      </c>
      <c r="D142" s="35" t="s">
        <v>2776</v>
      </c>
      <c r="E142" s="18" t="s">
        <v>3055</v>
      </c>
      <c r="F142" s="209" t="s">
        <v>290</v>
      </c>
      <c r="G142" s="209" t="s">
        <v>2679</v>
      </c>
      <c r="H142" s="35" t="s">
        <v>3058</v>
      </c>
      <c r="I142" s="18" t="s">
        <v>2714</v>
      </c>
      <c r="J142" s="35" t="s">
        <v>571</v>
      </c>
      <c r="K142" s="209"/>
      <c r="L142" s="209"/>
      <c r="M142" s="35" t="s">
        <v>571</v>
      </c>
      <c r="N142" s="18" t="s">
        <v>2900</v>
      </c>
      <c r="O142" s="6" t="s">
        <v>571</v>
      </c>
      <c r="P142" s="209" t="s">
        <v>2738</v>
      </c>
      <c r="Q142" s="44" t="n">
        <f aca="false">Spec_Rack!F30</f>
        <v>0.5625</v>
      </c>
      <c r="R142" s="182" t="n">
        <f aca="false">SRC_HW_050</f>
        <v>0.5625</v>
      </c>
      <c r="S142" s="34" t="str">
        <f aca="false">IF(ISNUMBER($AF142),INDEX(IDX_SrcStat,$AF142),"—")</f>
        <v>Active</v>
      </c>
      <c r="T142" s="34" t="n">
        <f aca="false">IF(ISNUMBER($AF142),INDEX(IDX_SrcGrade,$AF142),"—")</f>
        <v>3</v>
      </c>
      <c r="U142" s="34" t="s">
        <v>2716</v>
      </c>
      <c r="V142" s="183" t="n">
        <f aca="false">IF(AND($F142="原始數據",$U142&lt;&gt;"連結 SRC"),1,0)</f>
        <v>0</v>
      </c>
      <c r="W142" s="183" t="n">
        <f aca="false">IF(AND($F142="Analogy",OR($H142="—",$H142="")),1,0)</f>
        <v>0</v>
      </c>
      <c r="X142" s="183" t="n">
        <f aca="false">IF(AND(OR($F142="Analogy",$F142="Assumed"),$G142&lt;&gt;"低",$G142&lt;&gt;"高",NOT(ISNUMBER($K142)),NOT(ISNUMBER($L142)),OR($M142="—",$M142="")),1,0)</f>
        <v>0</v>
      </c>
      <c r="Y142" s="183" t="n">
        <f aca="false">IF(AND(OR($F142="Analogy",$F142="Assumed",$F142="Derived（待改公式）",$F142="Derived（公式）"),OR($N142="—",$N142="",$N142=0)),1,0)</f>
        <v>0</v>
      </c>
      <c r="Z142" s="183" t="n">
        <f aca="false">IF(AND($F142="Decision",OR($J142="—",$J142="")),1,0)</f>
        <v>0</v>
      </c>
      <c r="AA142" s="180" t="n">
        <f aca="false">IF(OR($J142="—",$J142=""),0,IF(COUNTIF(Decisions!$A$5:$A$300,$J142)=0,1,0))</f>
        <v>0</v>
      </c>
      <c r="AB142" s="183" t="n">
        <f aca="false">IF(AND($F142="原始數據",$S142&lt;&gt;"Active"),1,0)</f>
        <v>0</v>
      </c>
      <c r="AC142" s="183" t="n">
        <f aca="false">IF(AND(ISNUMBER($K142),ISNUMBER($L142),ISNUMBER($Q142)),IF(OR($Q142&lt;MIN($K142,$L142),$Q142&gt;MAX($K142,$L142)),1,0),0)</f>
        <v>0</v>
      </c>
      <c r="AD142" s="183" t="n">
        <f aca="false">IF(AND(ISNUMBER($T142),$P142="高"),IF($T142=3,1,0),0)</f>
        <v>0</v>
      </c>
      <c r="AE142" s="183" t="n">
        <f aca="false">IF($S142="不存在",1,0)</f>
        <v>0</v>
      </c>
      <c r="AF142" s="34" t="n">
        <f aca="false">IF(OR($H142="—",$H142=""),"—",MATCH($H142,IDX_SrcID,0))</f>
        <v>50</v>
      </c>
    </row>
    <row r="143" customFormat="false" ht="15" hidden="false" customHeight="true" outlineLevel="0" collapsed="false">
      <c r="A143" s="35" t="s">
        <v>3061</v>
      </c>
      <c r="B143" s="209" t="s">
        <v>2677</v>
      </c>
      <c r="C143" s="35" t="s">
        <v>2835</v>
      </c>
      <c r="D143" s="35" t="s">
        <v>3062</v>
      </c>
      <c r="E143" s="18" t="s">
        <v>3055</v>
      </c>
      <c r="F143" s="209" t="s">
        <v>290</v>
      </c>
      <c r="G143" s="209" t="s">
        <v>2679</v>
      </c>
      <c r="H143" s="35" t="s">
        <v>3058</v>
      </c>
      <c r="I143" s="18" t="s">
        <v>2714</v>
      </c>
      <c r="J143" s="35" t="s">
        <v>571</v>
      </c>
      <c r="K143" s="209"/>
      <c r="L143" s="209"/>
      <c r="M143" s="35" t="s">
        <v>571</v>
      </c>
      <c r="N143" s="18" t="s">
        <v>2900</v>
      </c>
      <c r="O143" s="6" t="s">
        <v>571</v>
      </c>
      <c r="P143" s="209" t="s">
        <v>2738</v>
      </c>
      <c r="Q143" s="44" t="n">
        <f aca="false">Spec_Rack!G30</f>
        <v>0.5625</v>
      </c>
      <c r="R143" s="182" t="n">
        <f aca="false">SRC_HW_050</f>
        <v>0.5625</v>
      </c>
      <c r="S143" s="34" t="str">
        <f aca="false">IF(ISNUMBER($AF143),INDEX(IDX_SrcStat,$AF143),"—")</f>
        <v>Active</v>
      </c>
      <c r="T143" s="34" t="n">
        <f aca="false">IF(ISNUMBER($AF143),INDEX(IDX_SrcGrade,$AF143),"—")</f>
        <v>3</v>
      </c>
      <c r="U143" s="34" t="s">
        <v>2716</v>
      </c>
      <c r="V143" s="183" t="n">
        <f aca="false">IF(AND($F143="原始數據",$U143&lt;&gt;"連結 SRC"),1,0)</f>
        <v>0</v>
      </c>
      <c r="W143" s="183" t="n">
        <f aca="false">IF(AND($F143="Analogy",OR($H143="—",$H143="")),1,0)</f>
        <v>0</v>
      </c>
      <c r="X143" s="183" t="n">
        <f aca="false">IF(AND(OR($F143="Analogy",$F143="Assumed"),$G143&lt;&gt;"低",$G143&lt;&gt;"高",NOT(ISNUMBER($K143)),NOT(ISNUMBER($L143)),OR($M143="—",$M143="")),1,0)</f>
        <v>0</v>
      </c>
      <c r="Y143" s="183" t="n">
        <f aca="false">IF(AND(OR($F143="Analogy",$F143="Assumed",$F143="Derived（待改公式）",$F143="Derived（公式）"),OR($N143="—",$N143="",$N143=0)),1,0)</f>
        <v>0</v>
      </c>
      <c r="Z143" s="183" t="n">
        <f aca="false">IF(AND($F143="Decision",OR($J143="—",$J143="")),1,0)</f>
        <v>0</v>
      </c>
      <c r="AA143" s="180" t="n">
        <f aca="false">IF(OR($J143="—",$J143=""),0,IF(COUNTIF(Decisions!$A$5:$A$300,$J143)=0,1,0))</f>
        <v>0</v>
      </c>
      <c r="AB143" s="183" t="n">
        <f aca="false">IF(AND($F143="原始數據",$S143&lt;&gt;"Active"),1,0)</f>
        <v>0</v>
      </c>
      <c r="AC143" s="183" t="n">
        <f aca="false">IF(AND(ISNUMBER($K143),ISNUMBER($L143),ISNUMBER($Q143)),IF(OR($Q143&lt;MIN($K143,$L143),$Q143&gt;MAX($K143,$L143)),1,0),0)</f>
        <v>0</v>
      </c>
      <c r="AD143" s="183" t="n">
        <f aca="false">IF(AND(ISNUMBER($T143),$P143="高"),IF($T143=3,1,0),0)</f>
        <v>0</v>
      </c>
      <c r="AE143" s="183" t="n">
        <f aca="false">IF($S143="不存在",1,0)</f>
        <v>0</v>
      </c>
      <c r="AF143" s="34" t="n">
        <f aca="false">IF(OR($H143="—",$H143=""),"—",MATCH($H143,IDX_SrcID,0))</f>
        <v>50</v>
      </c>
    </row>
    <row r="144" customFormat="false" ht="29.25" hidden="false" customHeight="true" outlineLevel="0" collapsed="false">
      <c r="A144" s="35" t="s">
        <v>3063</v>
      </c>
      <c r="B144" s="209" t="s">
        <v>2677</v>
      </c>
      <c r="C144" s="35" t="s">
        <v>2835</v>
      </c>
      <c r="D144" s="35" t="s">
        <v>3064</v>
      </c>
      <c r="E144" s="18" t="s">
        <v>3065</v>
      </c>
      <c r="F144" s="35" t="s">
        <v>72</v>
      </c>
      <c r="G144" s="209" t="s">
        <v>2679</v>
      </c>
      <c r="H144" s="35" t="s">
        <v>571</v>
      </c>
      <c r="I144" s="6" t="s">
        <v>571</v>
      </c>
      <c r="J144" s="35" t="s">
        <v>571</v>
      </c>
      <c r="K144" s="211" t="n">
        <v>1</v>
      </c>
      <c r="L144" s="211" t="n">
        <v>2</v>
      </c>
      <c r="M144" s="35" t="s">
        <v>3066</v>
      </c>
      <c r="N144" s="18" t="s">
        <v>3067</v>
      </c>
      <c r="O144" s="6" t="s">
        <v>3068</v>
      </c>
      <c r="P144" s="209" t="s">
        <v>2738</v>
      </c>
      <c r="Q144" s="172" t="n">
        <f aca="false">Spec_Rack!C31</f>
        <v>1</v>
      </c>
      <c r="R144" s="35" t="s">
        <v>571</v>
      </c>
      <c r="S144" s="34" t="str">
        <f aca="false">IF(ISNUMBER($AF144),INDEX(IDX_SrcStat,$AF144),"—")</f>
        <v>—</v>
      </c>
      <c r="T144" s="34" t="str">
        <f aca="false">IF(ISNUMBER($AF144),INDEX(IDX_SrcGrade,$AF144),"—")</f>
        <v>—</v>
      </c>
      <c r="U144" s="34" t="s">
        <v>2683</v>
      </c>
      <c r="V144" s="183" t="n">
        <f aca="false">IF(AND($F144="原始數據",$U144&lt;&gt;"連結 SRC"),1,0)</f>
        <v>0</v>
      </c>
      <c r="W144" s="183" t="n">
        <f aca="false">IF(AND($F144="Analogy",OR($H144="—",$H144="")),1,0)</f>
        <v>0</v>
      </c>
      <c r="X144" s="183" t="n">
        <f aca="false">IF(AND(OR($F144="Analogy",$F144="Assumed"),$G144&lt;&gt;"低",$G144&lt;&gt;"高",NOT(ISNUMBER($K144)),NOT(ISNUMBER($L144)),OR($M144="—",$M144="")),1,0)</f>
        <v>0</v>
      </c>
      <c r="Y144" s="183" t="n">
        <f aca="false">IF(AND(OR($F144="Analogy",$F144="Assumed",$F144="Derived（待改公式）",$F144="Derived（公式）"),OR($N144="—",$N144="",$N144=0)),1,0)</f>
        <v>0</v>
      </c>
      <c r="Z144" s="183" t="n">
        <f aca="false">IF(AND($F144="Decision",OR($J144="—",$J144="")),1,0)</f>
        <v>0</v>
      </c>
      <c r="AA144" s="180" t="n">
        <f aca="false">IF(OR($J144="—",$J144=""),0,IF(COUNTIF(Decisions!$A$5:$A$300,$J144)=0,1,0))</f>
        <v>0</v>
      </c>
      <c r="AB144" s="183" t="n">
        <f aca="false">IF(AND($F144="原始數據",$S144&lt;&gt;"Active"),1,0)</f>
        <v>0</v>
      </c>
      <c r="AC144" s="183" t="n">
        <f aca="false">IF(AND(ISNUMBER($K144),ISNUMBER($L144),ISNUMBER($Q144)),IF(OR($Q144&lt;MIN($K144,$L144),$Q144&gt;MAX($K144,$L144)),1,0),0)</f>
        <v>0</v>
      </c>
      <c r="AD144" s="183" t="n">
        <f aca="false">IF(AND(ISNUMBER($T144),$P144="高"),IF($T144=3,1,0),0)</f>
        <v>0</v>
      </c>
      <c r="AE144" s="183" t="n">
        <f aca="false">IF($S144="不存在",1,0)</f>
        <v>0</v>
      </c>
      <c r="AF144" s="34" t="str">
        <f aca="false">IF(OR($H144="—",$H144=""),"—",MATCH($H144,IDX_SrcID,0))</f>
        <v>—</v>
      </c>
    </row>
    <row r="145" customFormat="false" ht="29.25" hidden="false" customHeight="true" outlineLevel="0" collapsed="false">
      <c r="A145" s="35" t="s">
        <v>3069</v>
      </c>
      <c r="B145" s="209" t="s">
        <v>2677</v>
      </c>
      <c r="C145" s="35" t="s">
        <v>2835</v>
      </c>
      <c r="D145" s="35" t="s">
        <v>2781</v>
      </c>
      <c r="E145" s="18" t="s">
        <v>3065</v>
      </c>
      <c r="F145" s="35" t="s">
        <v>72</v>
      </c>
      <c r="G145" s="209" t="s">
        <v>2679</v>
      </c>
      <c r="H145" s="35" t="s">
        <v>571</v>
      </c>
      <c r="I145" s="6" t="s">
        <v>571</v>
      </c>
      <c r="J145" s="35" t="s">
        <v>571</v>
      </c>
      <c r="K145" s="211" t="n">
        <v>1</v>
      </c>
      <c r="L145" s="211" t="n">
        <v>2</v>
      </c>
      <c r="M145" s="35" t="s">
        <v>3066</v>
      </c>
      <c r="N145" s="18" t="s">
        <v>3067</v>
      </c>
      <c r="O145" s="6" t="s">
        <v>3068</v>
      </c>
      <c r="P145" s="209" t="s">
        <v>2738</v>
      </c>
      <c r="Q145" s="172" t="n">
        <f aca="false">Spec_Rack!D31</f>
        <v>1</v>
      </c>
      <c r="R145" s="35" t="s">
        <v>571</v>
      </c>
      <c r="S145" s="34" t="str">
        <f aca="false">IF(ISNUMBER($AF145),INDEX(IDX_SrcStat,$AF145),"—")</f>
        <v>—</v>
      </c>
      <c r="T145" s="34" t="str">
        <f aca="false">IF(ISNUMBER($AF145),INDEX(IDX_SrcGrade,$AF145),"—")</f>
        <v>—</v>
      </c>
      <c r="U145" s="34" t="s">
        <v>2683</v>
      </c>
      <c r="V145" s="183" t="n">
        <f aca="false">IF(AND($F145="原始數據",$U145&lt;&gt;"連結 SRC"),1,0)</f>
        <v>0</v>
      </c>
      <c r="W145" s="183" t="n">
        <f aca="false">IF(AND($F145="Analogy",OR($H145="—",$H145="")),1,0)</f>
        <v>0</v>
      </c>
      <c r="X145" s="183" t="n">
        <f aca="false">IF(AND(OR($F145="Analogy",$F145="Assumed"),$G145&lt;&gt;"低",$G145&lt;&gt;"高",NOT(ISNUMBER($K145)),NOT(ISNUMBER($L145)),OR($M145="—",$M145="")),1,0)</f>
        <v>0</v>
      </c>
      <c r="Y145" s="183" t="n">
        <f aca="false">IF(AND(OR($F145="Analogy",$F145="Assumed",$F145="Derived（待改公式）",$F145="Derived（公式）"),OR($N145="—",$N145="",$N145=0)),1,0)</f>
        <v>0</v>
      </c>
      <c r="Z145" s="183" t="n">
        <f aca="false">IF(AND($F145="Decision",OR($J145="—",$J145="")),1,0)</f>
        <v>0</v>
      </c>
      <c r="AA145" s="180" t="n">
        <f aca="false">IF(OR($J145="—",$J145=""),0,IF(COUNTIF(Decisions!$A$5:$A$300,$J145)=0,1,0))</f>
        <v>0</v>
      </c>
      <c r="AB145" s="183" t="n">
        <f aca="false">IF(AND($F145="原始數據",$S145&lt;&gt;"Active"),1,0)</f>
        <v>0</v>
      </c>
      <c r="AC145" s="183" t="n">
        <f aca="false">IF(AND(ISNUMBER($K145),ISNUMBER($L145),ISNUMBER($Q145)),IF(OR($Q145&lt;MIN($K145,$L145),$Q145&gt;MAX($K145,$L145)),1,0),0)</f>
        <v>0</v>
      </c>
      <c r="AD145" s="183" t="n">
        <f aca="false">IF(AND(ISNUMBER($T145),$P145="高"),IF($T145=3,1,0),0)</f>
        <v>0</v>
      </c>
      <c r="AE145" s="183" t="n">
        <f aca="false">IF($S145="不存在",1,0)</f>
        <v>0</v>
      </c>
      <c r="AF145" s="34" t="str">
        <f aca="false">IF(OR($H145="—",$H145=""),"—",MATCH($H145,IDX_SrcID,0))</f>
        <v>—</v>
      </c>
    </row>
    <row r="146" customFormat="false" ht="29.25" hidden="false" customHeight="true" outlineLevel="0" collapsed="false">
      <c r="A146" s="35" t="s">
        <v>3070</v>
      </c>
      <c r="B146" s="209" t="s">
        <v>2677</v>
      </c>
      <c r="C146" s="35" t="s">
        <v>2835</v>
      </c>
      <c r="D146" s="35" t="s">
        <v>2778</v>
      </c>
      <c r="E146" s="18" t="s">
        <v>3065</v>
      </c>
      <c r="F146" s="35" t="s">
        <v>72</v>
      </c>
      <c r="G146" s="209" t="s">
        <v>2679</v>
      </c>
      <c r="H146" s="35" t="s">
        <v>571</v>
      </c>
      <c r="I146" s="6" t="s">
        <v>571</v>
      </c>
      <c r="J146" s="35" t="s">
        <v>571</v>
      </c>
      <c r="K146" s="211" t="n">
        <v>1</v>
      </c>
      <c r="L146" s="211" t="n">
        <v>2</v>
      </c>
      <c r="M146" s="35" t="s">
        <v>3066</v>
      </c>
      <c r="N146" s="18" t="s">
        <v>3067</v>
      </c>
      <c r="O146" s="6" t="s">
        <v>3068</v>
      </c>
      <c r="P146" s="209" t="s">
        <v>2738</v>
      </c>
      <c r="Q146" s="172" t="n">
        <f aca="false">Spec_Rack!E31</f>
        <v>1</v>
      </c>
      <c r="R146" s="35" t="s">
        <v>571</v>
      </c>
      <c r="S146" s="34" t="str">
        <f aca="false">IF(ISNUMBER($AF146),INDEX(IDX_SrcStat,$AF146),"—")</f>
        <v>—</v>
      </c>
      <c r="T146" s="34" t="str">
        <f aca="false">IF(ISNUMBER($AF146),INDEX(IDX_SrcGrade,$AF146),"—")</f>
        <v>—</v>
      </c>
      <c r="U146" s="34" t="s">
        <v>2683</v>
      </c>
      <c r="V146" s="183" t="n">
        <f aca="false">IF(AND($F146="原始數據",$U146&lt;&gt;"連結 SRC"),1,0)</f>
        <v>0</v>
      </c>
      <c r="W146" s="183" t="n">
        <f aca="false">IF(AND($F146="Analogy",OR($H146="—",$H146="")),1,0)</f>
        <v>0</v>
      </c>
      <c r="X146" s="183" t="n">
        <f aca="false">IF(AND(OR($F146="Analogy",$F146="Assumed"),$G146&lt;&gt;"低",$G146&lt;&gt;"高",NOT(ISNUMBER($K146)),NOT(ISNUMBER($L146)),OR($M146="—",$M146="")),1,0)</f>
        <v>0</v>
      </c>
      <c r="Y146" s="183" t="n">
        <f aca="false">IF(AND(OR($F146="Analogy",$F146="Assumed",$F146="Derived（待改公式）",$F146="Derived（公式）"),OR($N146="—",$N146="",$N146=0)),1,0)</f>
        <v>0</v>
      </c>
      <c r="Z146" s="183" t="n">
        <f aca="false">IF(AND($F146="Decision",OR($J146="—",$J146="")),1,0)</f>
        <v>0</v>
      </c>
      <c r="AA146" s="180" t="n">
        <f aca="false">IF(OR($J146="—",$J146=""),0,IF(COUNTIF(Decisions!$A$5:$A$300,$J146)=0,1,0))</f>
        <v>0</v>
      </c>
      <c r="AB146" s="183" t="n">
        <f aca="false">IF(AND($F146="原始數據",$S146&lt;&gt;"Active"),1,0)</f>
        <v>0</v>
      </c>
      <c r="AC146" s="183" t="n">
        <f aca="false">IF(AND(ISNUMBER($K146),ISNUMBER($L146),ISNUMBER($Q146)),IF(OR($Q146&lt;MIN($K146,$L146),$Q146&gt;MAX($K146,$L146)),1,0),0)</f>
        <v>0</v>
      </c>
      <c r="AD146" s="183" t="n">
        <f aca="false">IF(AND(ISNUMBER($T146),$P146="高"),IF($T146=3,1,0),0)</f>
        <v>0</v>
      </c>
      <c r="AE146" s="183" t="n">
        <f aca="false">IF($S146="不存在",1,0)</f>
        <v>0</v>
      </c>
      <c r="AF146" s="34" t="str">
        <f aca="false">IF(OR($H146="—",$H146=""),"—",MATCH($H146,IDX_SrcID,0))</f>
        <v>—</v>
      </c>
    </row>
    <row r="147" customFormat="false" ht="29.25" hidden="false" customHeight="true" outlineLevel="0" collapsed="false">
      <c r="A147" s="35" t="s">
        <v>3071</v>
      </c>
      <c r="B147" s="209" t="s">
        <v>2677</v>
      </c>
      <c r="C147" s="35" t="s">
        <v>2835</v>
      </c>
      <c r="D147" s="35" t="s">
        <v>2783</v>
      </c>
      <c r="E147" s="18" t="s">
        <v>3065</v>
      </c>
      <c r="F147" s="35" t="s">
        <v>72</v>
      </c>
      <c r="G147" s="209" t="s">
        <v>2679</v>
      </c>
      <c r="H147" s="35" t="s">
        <v>571</v>
      </c>
      <c r="I147" s="6" t="s">
        <v>571</v>
      </c>
      <c r="J147" s="35" t="s">
        <v>571</v>
      </c>
      <c r="K147" s="211" t="n">
        <v>1</v>
      </c>
      <c r="L147" s="211" t="n">
        <v>2</v>
      </c>
      <c r="M147" s="35" t="s">
        <v>3066</v>
      </c>
      <c r="N147" s="18" t="s">
        <v>3067</v>
      </c>
      <c r="O147" s="6" t="s">
        <v>3068</v>
      </c>
      <c r="P147" s="209" t="s">
        <v>2738</v>
      </c>
      <c r="Q147" s="172" t="n">
        <f aca="false">Spec_Rack!F31</f>
        <v>1</v>
      </c>
      <c r="R147" s="35" t="s">
        <v>571</v>
      </c>
      <c r="S147" s="34" t="str">
        <f aca="false">IF(ISNUMBER($AF147),INDEX(IDX_SrcStat,$AF147),"—")</f>
        <v>—</v>
      </c>
      <c r="T147" s="34" t="str">
        <f aca="false">IF(ISNUMBER($AF147),INDEX(IDX_SrcGrade,$AF147),"—")</f>
        <v>—</v>
      </c>
      <c r="U147" s="34" t="s">
        <v>2683</v>
      </c>
      <c r="V147" s="183" t="n">
        <f aca="false">IF(AND($F147="原始數據",$U147&lt;&gt;"連結 SRC"),1,0)</f>
        <v>0</v>
      </c>
      <c r="W147" s="183" t="n">
        <f aca="false">IF(AND($F147="Analogy",OR($H147="—",$H147="")),1,0)</f>
        <v>0</v>
      </c>
      <c r="X147" s="183" t="n">
        <f aca="false">IF(AND(OR($F147="Analogy",$F147="Assumed"),$G147&lt;&gt;"低",$G147&lt;&gt;"高",NOT(ISNUMBER($K147)),NOT(ISNUMBER($L147)),OR($M147="—",$M147="")),1,0)</f>
        <v>0</v>
      </c>
      <c r="Y147" s="183" t="n">
        <f aca="false">IF(AND(OR($F147="Analogy",$F147="Assumed",$F147="Derived（待改公式）",$F147="Derived（公式）"),OR($N147="—",$N147="",$N147=0)),1,0)</f>
        <v>0</v>
      </c>
      <c r="Z147" s="183" t="n">
        <f aca="false">IF(AND($F147="Decision",OR($J147="—",$J147="")),1,0)</f>
        <v>0</v>
      </c>
      <c r="AA147" s="180" t="n">
        <f aca="false">IF(OR($J147="—",$J147=""),0,IF(COUNTIF(Decisions!$A$5:$A$300,$J147)=0,1,0))</f>
        <v>0</v>
      </c>
      <c r="AB147" s="183" t="n">
        <f aca="false">IF(AND($F147="原始數據",$S147&lt;&gt;"Active"),1,0)</f>
        <v>0</v>
      </c>
      <c r="AC147" s="183" t="n">
        <f aca="false">IF(AND(ISNUMBER($K147),ISNUMBER($L147),ISNUMBER($Q147)),IF(OR($Q147&lt;MIN($K147,$L147),$Q147&gt;MAX($K147,$L147)),1,0),0)</f>
        <v>0</v>
      </c>
      <c r="AD147" s="183" t="n">
        <f aca="false">IF(AND(ISNUMBER($T147),$P147="高"),IF($T147=3,1,0),0)</f>
        <v>0</v>
      </c>
      <c r="AE147" s="183" t="n">
        <f aca="false">IF($S147="不存在",1,0)</f>
        <v>0</v>
      </c>
      <c r="AF147" s="34" t="str">
        <f aca="false">IF(OR($H147="—",$H147=""),"—",MATCH($H147,IDX_SrcID,0))</f>
        <v>—</v>
      </c>
    </row>
    <row r="148" customFormat="false" ht="29.25" hidden="false" customHeight="true" outlineLevel="0" collapsed="false">
      <c r="A148" s="35" t="s">
        <v>3072</v>
      </c>
      <c r="B148" s="209" t="s">
        <v>2677</v>
      </c>
      <c r="C148" s="35" t="s">
        <v>2835</v>
      </c>
      <c r="D148" s="35" t="s">
        <v>3073</v>
      </c>
      <c r="E148" s="18" t="s">
        <v>3065</v>
      </c>
      <c r="F148" s="35" t="s">
        <v>72</v>
      </c>
      <c r="G148" s="209" t="s">
        <v>2679</v>
      </c>
      <c r="H148" s="35" t="s">
        <v>571</v>
      </c>
      <c r="I148" s="6" t="s">
        <v>571</v>
      </c>
      <c r="J148" s="35" t="s">
        <v>571</v>
      </c>
      <c r="K148" s="211" t="n">
        <v>1</v>
      </c>
      <c r="L148" s="211" t="n">
        <v>2</v>
      </c>
      <c r="M148" s="35" t="s">
        <v>3066</v>
      </c>
      <c r="N148" s="18" t="s">
        <v>3067</v>
      </c>
      <c r="O148" s="6" t="s">
        <v>3068</v>
      </c>
      <c r="P148" s="209" t="s">
        <v>2738</v>
      </c>
      <c r="Q148" s="172" t="n">
        <f aca="false">Spec_Rack!G31</f>
        <v>1</v>
      </c>
      <c r="R148" s="35" t="s">
        <v>571</v>
      </c>
      <c r="S148" s="34" t="str">
        <f aca="false">IF(ISNUMBER($AF148),INDEX(IDX_SrcStat,$AF148),"—")</f>
        <v>—</v>
      </c>
      <c r="T148" s="34" t="str">
        <f aca="false">IF(ISNUMBER($AF148),INDEX(IDX_SrcGrade,$AF148),"—")</f>
        <v>—</v>
      </c>
      <c r="U148" s="34" t="s">
        <v>2683</v>
      </c>
      <c r="V148" s="183" t="n">
        <f aca="false">IF(AND($F148="原始數據",$U148&lt;&gt;"連結 SRC"),1,0)</f>
        <v>0</v>
      </c>
      <c r="W148" s="183" t="n">
        <f aca="false">IF(AND($F148="Analogy",OR($H148="—",$H148="")),1,0)</f>
        <v>0</v>
      </c>
      <c r="X148" s="183" t="n">
        <f aca="false">IF(AND(OR($F148="Analogy",$F148="Assumed"),$G148&lt;&gt;"低",$G148&lt;&gt;"高",NOT(ISNUMBER($K148)),NOT(ISNUMBER($L148)),OR($M148="—",$M148="")),1,0)</f>
        <v>0</v>
      </c>
      <c r="Y148" s="183" t="n">
        <f aca="false">IF(AND(OR($F148="Analogy",$F148="Assumed",$F148="Derived（待改公式）",$F148="Derived（公式）"),OR($N148="—",$N148="",$N148=0)),1,0)</f>
        <v>0</v>
      </c>
      <c r="Z148" s="183" t="n">
        <f aca="false">IF(AND($F148="Decision",OR($J148="—",$J148="")),1,0)</f>
        <v>0</v>
      </c>
      <c r="AA148" s="180" t="n">
        <f aca="false">IF(OR($J148="—",$J148=""),0,IF(COUNTIF(Decisions!$A$5:$A$300,$J148)=0,1,0))</f>
        <v>0</v>
      </c>
      <c r="AB148" s="183" t="n">
        <f aca="false">IF(AND($F148="原始數據",$S148&lt;&gt;"Active"),1,0)</f>
        <v>0</v>
      </c>
      <c r="AC148" s="183" t="n">
        <f aca="false">IF(AND(ISNUMBER($K148),ISNUMBER($L148),ISNUMBER($Q148)),IF(OR($Q148&lt;MIN($K148,$L148),$Q148&gt;MAX($K148,$L148)),1,0),0)</f>
        <v>0</v>
      </c>
      <c r="AD148" s="183" t="n">
        <f aca="false">IF(AND(ISNUMBER($T148),$P148="高"),IF($T148=3,1,0),0)</f>
        <v>0</v>
      </c>
      <c r="AE148" s="183" t="n">
        <f aca="false">IF($S148="不存在",1,0)</f>
        <v>0</v>
      </c>
      <c r="AF148" s="34" t="str">
        <f aca="false">IF(OR($H148="—",$H148=""),"—",MATCH($H148,IDX_SrcID,0))</f>
        <v>—</v>
      </c>
    </row>
    <row r="149" customFormat="false" ht="29.25" hidden="false" customHeight="true" outlineLevel="0" collapsed="false">
      <c r="A149" s="35" t="s">
        <v>3074</v>
      </c>
      <c r="B149" s="209" t="s">
        <v>2677</v>
      </c>
      <c r="C149" s="35" t="s">
        <v>2835</v>
      </c>
      <c r="D149" s="35" t="s">
        <v>3075</v>
      </c>
      <c r="E149" s="18" t="s">
        <v>3076</v>
      </c>
      <c r="F149" s="35" t="s">
        <v>72</v>
      </c>
      <c r="G149" s="209" t="s">
        <v>2679</v>
      </c>
      <c r="H149" s="35" t="s">
        <v>571</v>
      </c>
      <c r="I149" s="6" t="s">
        <v>571</v>
      </c>
      <c r="J149" s="35" t="s">
        <v>571</v>
      </c>
      <c r="K149" s="211" t="n">
        <v>4</v>
      </c>
      <c r="L149" s="211" t="n">
        <v>16</v>
      </c>
      <c r="M149" s="35" t="s">
        <v>3077</v>
      </c>
      <c r="N149" s="6" t="s">
        <v>3078</v>
      </c>
      <c r="O149" s="6" t="s">
        <v>571</v>
      </c>
      <c r="P149" s="209" t="s">
        <v>2682</v>
      </c>
      <c r="Q149" s="40" t="n">
        <f aca="false">Spec_Rack!C32</f>
        <v>8</v>
      </c>
      <c r="R149" s="35" t="s">
        <v>571</v>
      </c>
      <c r="S149" s="34" t="str">
        <f aca="false">IF(ISNUMBER($AF149),INDEX(IDX_SrcStat,$AF149),"—")</f>
        <v>—</v>
      </c>
      <c r="T149" s="34" t="str">
        <f aca="false">IF(ISNUMBER($AF149),INDEX(IDX_SrcGrade,$AF149),"—")</f>
        <v>—</v>
      </c>
      <c r="U149" s="34" t="s">
        <v>2683</v>
      </c>
      <c r="V149" s="183" t="n">
        <f aca="false">IF(AND($F149="原始數據",$U149&lt;&gt;"連結 SRC"),1,0)</f>
        <v>0</v>
      </c>
      <c r="W149" s="183" t="n">
        <f aca="false">IF(AND($F149="Analogy",OR($H149="—",$H149="")),1,0)</f>
        <v>0</v>
      </c>
      <c r="X149" s="183" t="n">
        <f aca="false">IF(AND(OR($F149="Analogy",$F149="Assumed"),$G149&lt;&gt;"低",$G149&lt;&gt;"高",NOT(ISNUMBER($K149)),NOT(ISNUMBER($L149)),OR($M149="—",$M149="")),1,0)</f>
        <v>0</v>
      </c>
      <c r="Y149" s="183" t="n">
        <f aca="false">IF(AND(OR($F149="Analogy",$F149="Assumed",$F149="Derived（待改公式）",$F149="Derived（公式）"),OR($N149="—",$N149="",$N149=0)),1,0)</f>
        <v>0</v>
      </c>
      <c r="Z149" s="183" t="n">
        <f aca="false">IF(AND($F149="Decision",OR($J149="—",$J149="")),1,0)</f>
        <v>0</v>
      </c>
      <c r="AA149" s="180" t="n">
        <f aca="false">IF(OR($J149="—",$J149=""),0,IF(COUNTIF(Decisions!$A$5:$A$300,$J149)=0,1,0))</f>
        <v>0</v>
      </c>
      <c r="AB149" s="183" t="n">
        <f aca="false">IF(AND($F149="原始數據",$S149&lt;&gt;"Active"),1,0)</f>
        <v>0</v>
      </c>
      <c r="AC149" s="183" t="n">
        <f aca="false">IF(AND(ISNUMBER($K149),ISNUMBER($L149),ISNUMBER($Q149)),IF(OR($Q149&lt;MIN($K149,$L149),$Q149&gt;MAX($K149,$L149)),1,0),0)</f>
        <v>0</v>
      </c>
      <c r="AD149" s="183" t="n">
        <f aca="false">IF(AND(ISNUMBER($T149),$P149="高"),IF($T149=3,1,0),0)</f>
        <v>0</v>
      </c>
      <c r="AE149" s="183" t="n">
        <f aca="false">IF($S149="不存在",1,0)</f>
        <v>0</v>
      </c>
      <c r="AF149" s="34" t="str">
        <f aca="false">IF(OR($H149="—",$H149=""),"—",MATCH($H149,IDX_SrcID,0))</f>
        <v>—</v>
      </c>
    </row>
    <row r="150" customFormat="false" ht="29.25" hidden="false" customHeight="true" outlineLevel="0" collapsed="false">
      <c r="A150" s="35" t="s">
        <v>3079</v>
      </c>
      <c r="B150" s="209" t="s">
        <v>2677</v>
      </c>
      <c r="C150" s="35" t="s">
        <v>2835</v>
      </c>
      <c r="D150" s="35" t="s">
        <v>2787</v>
      </c>
      <c r="E150" s="18" t="s">
        <v>3076</v>
      </c>
      <c r="F150" s="35" t="s">
        <v>76</v>
      </c>
      <c r="G150" s="209" t="s">
        <v>2679</v>
      </c>
      <c r="H150" s="35" t="s">
        <v>3080</v>
      </c>
      <c r="I150" s="18" t="s">
        <v>3081</v>
      </c>
      <c r="J150" s="35" t="s">
        <v>571</v>
      </c>
      <c r="K150" s="211" t="n">
        <v>2</v>
      </c>
      <c r="L150" s="211" t="n">
        <v>8</v>
      </c>
      <c r="M150" s="35" t="s">
        <v>3082</v>
      </c>
      <c r="N150" s="6" t="s">
        <v>3083</v>
      </c>
      <c r="O150" s="6" t="s">
        <v>571</v>
      </c>
      <c r="P150" s="209" t="s">
        <v>2682</v>
      </c>
      <c r="Q150" s="40" t="n">
        <f aca="false">Spec_Rack!D32</f>
        <v>4</v>
      </c>
      <c r="R150" s="182" t="n">
        <f aca="false">SRC_PERF_007</f>
        <v>4</v>
      </c>
      <c r="S150" s="34" t="str">
        <f aca="false">IF(ISNUMBER($AF150),INDEX(IDX_SrcStat,$AF150),"—")</f>
        <v>Active</v>
      </c>
      <c r="T150" s="34" t="n">
        <f aca="false">IF(ISNUMBER($AF150),INDEX(IDX_SrcGrade,$AF150),"—")</f>
        <v>1</v>
      </c>
      <c r="U150" s="34" t="s">
        <v>2683</v>
      </c>
      <c r="V150" s="183" t="n">
        <f aca="false">IF(AND($F150="原始數據",$U150&lt;&gt;"連結 SRC"),1,0)</f>
        <v>0</v>
      </c>
      <c r="W150" s="183" t="n">
        <f aca="false">IF(AND($F150="Analogy",OR($H150="—",$H150="")),1,0)</f>
        <v>0</v>
      </c>
      <c r="X150" s="183" t="n">
        <f aca="false">IF(AND(OR($F150="Analogy",$F150="Assumed"),$G150&lt;&gt;"低",$G150&lt;&gt;"高",NOT(ISNUMBER($K150)),NOT(ISNUMBER($L150)),OR($M150="—",$M150="")),1,0)</f>
        <v>0</v>
      </c>
      <c r="Y150" s="183" t="n">
        <f aca="false">IF(AND(OR($F150="Analogy",$F150="Assumed",$F150="Derived（待改公式）",$F150="Derived（公式）"),OR($N150="—",$N150="",$N150=0)),1,0)</f>
        <v>0</v>
      </c>
      <c r="Z150" s="183" t="n">
        <f aca="false">IF(AND($F150="Decision",OR($J150="—",$J150="")),1,0)</f>
        <v>0</v>
      </c>
      <c r="AA150" s="180" t="n">
        <f aca="false">IF(OR($J150="—",$J150=""),0,IF(COUNTIF(Decisions!$A$5:$A$300,$J150)=0,1,0))</f>
        <v>0</v>
      </c>
      <c r="AB150" s="183" t="n">
        <f aca="false">IF(AND($F150="原始數據",$S150&lt;&gt;"Active"),1,0)</f>
        <v>0</v>
      </c>
      <c r="AC150" s="183" t="n">
        <f aca="false">IF(AND(ISNUMBER($K150),ISNUMBER($L150),ISNUMBER($Q150)),IF(OR($Q150&lt;MIN($K150,$L150),$Q150&gt;MAX($K150,$L150)),1,0),0)</f>
        <v>0</v>
      </c>
      <c r="AD150" s="183" t="n">
        <f aca="false">IF(AND(ISNUMBER($T150),$P150="高"),IF($T150=3,1,0),0)</f>
        <v>0</v>
      </c>
      <c r="AE150" s="183" t="n">
        <f aca="false">IF($S150="不存在",1,0)</f>
        <v>0</v>
      </c>
      <c r="AF150" s="34" t="n">
        <f aca="false">IF(OR($H150="—",$H150=""),"—",MATCH($H150,IDX_SrcID,0))</f>
        <v>288</v>
      </c>
    </row>
    <row r="151" customFormat="false" ht="29.25" hidden="false" customHeight="true" outlineLevel="0" collapsed="false">
      <c r="A151" s="35" t="s">
        <v>3084</v>
      </c>
      <c r="B151" s="209" t="s">
        <v>2677</v>
      </c>
      <c r="C151" s="35" t="s">
        <v>2835</v>
      </c>
      <c r="D151" s="35" t="s">
        <v>2785</v>
      </c>
      <c r="E151" s="18" t="s">
        <v>3076</v>
      </c>
      <c r="F151" s="209" t="s">
        <v>290</v>
      </c>
      <c r="G151" s="209" t="s">
        <v>2679</v>
      </c>
      <c r="H151" s="35" t="s">
        <v>3080</v>
      </c>
      <c r="I151" s="18" t="s">
        <v>2714</v>
      </c>
      <c r="J151" s="35" t="s">
        <v>571</v>
      </c>
      <c r="K151" s="209"/>
      <c r="L151" s="209"/>
      <c r="M151" s="35" t="s">
        <v>571</v>
      </c>
      <c r="N151" s="18" t="s">
        <v>2812</v>
      </c>
      <c r="O151" s="6" t="s">
        <v>571</v>
      </c>
      <c r="P151" s="209" t="s">
        <v>2682</v>
      </c>
      <c r="Q151" s="40" t="n">
        <f aca="false">Spec_Rack!E32</f>
        <v>4</v>
      </c>
      <c r="R151" s="182" t="n">
        <f aca="false">SRC_PERF_007</f>
        <v>4</v>
      </c>
      <c r="S151" s="34" t="str">
        <f aca="false">IF(ISNUMBER($AF151),INDEX(IDX_SrcStat,$AF151),"—")</f>
        <v>Active</v>
      </c>
      <c r="T151" s="34" t="n">
        <f aca="false">IF(ISNUMBER($AF151),INDEX(IDX_SrcGrade,$AF151),"—")</f>
        <v>1</v>
      </c>
      <c r="U151" s="34" t="s">
        <v>2716</v>
      </c>
      <c r="V151" s="183" t="n">
        <f aca="false">IF(AND($F151="原始數據",$U151&lt;&gt;"連結 SRC"),1,0)</f>
        <v>0</v>
      </c>
      <c r="W151" s="183" t="n">
        <f aca="false">IF(AND($F151="Analogy",OR($H151="—",$H151="")),1,0)</f>
        <v>0</v>
      </c>
      <c r="X151" s="183" t="n">
        <f aca="false">IF(AND(OR($F151="Analogy",$F151="Assumed"),$G151&lt;&gt;"低",$G151&lt;&gt;"高",NOT(ISNUMBER($K151)),NOT(ISNUMBER($L151)),OR($M151="—",$M151="")),1,0)</f>
        <v>0</v>
      </c>
      <c r="Y151" s="183" t="n">
        <f aca="false">IF(AND(OR($F151="Analogy",$F151="Assumed",$F151="Derived（待改公式）",$F151="Derived（公式）"),OR($N151="—",$N151="",$N151=0)),1,0)</f>
        <v>0</v>
      </c>
      <c r="Z151" s="183" t="n">
        <f aca="false">IF(AND($F151="Decision",OR($J151="—",$J151="")),1,0)</f>
        <v>0</v>
      </c>
      <c r="AA151" s="180" t="n">
        <f aca="false">IF(OR($J151="—",$J151=""),0,IF(COUNTIF(Decisions!$A$5:$A$300,$J151)=0,1,0))</f>
        <v>0</v>
      </c>
      <c r="AB151" s="183" t="n">
        <f aca="false">IF(AND($F151="原始數據",$S151&lt;&gt;"Active"),1,0)</f>
        <v>0</v>
      </c>
      <c r="AC151" s="183" t="n">
        <f aca="false">IF(AND(ISNUMBER($K151),ISNUMBER($L151),ISNUMBER($Q151)),IF(OR($Q151&lt;MIN($K151,$L151),$Q151&gt;MAX($K151,$L151)),1,0),0)</f>
        <v>0</v>
      </c>
      <c r="AD151" s="183" t="n">
        <f aca="false">IF(AND(ISNUMBER($T151),$P151="高"),IF($T151=3,1,0),0)</f>
        <v>0</v>
      </c>
      <c r="AE151" s="183" t="n">
        <f aca="false">IF($S151="不存在",1,0)</f>
        <v>0</v>
      </c>
      <c r="AF151" s="34" t="n">
        <f aca="false">IF(OR($H151="—",$H151=""),"—",MATCH($H151,IDX_SrcID,0))</f>
        <v>288</v>
      </c>
    </row>
    <row r="152" customFormat="false" ht="29.25" hidden="false" customHeight="true" outlineLevel="0" collapsed="false">
      <c r="A152" s="35" t="s">
        <v>3085</v>
      </c>
      <c r="B152" s="209" t="s">
        <v>2677</v>
      </c>
      <c r="C152" s="35" t="s">
        <v>2835</v>
      </c>
      <c r="D152" s="35" t="s">
        <v>2789</v>
      </c>
      <c r="E152" s="18" t="s">
        <v>3076</v>
      </c>
      <c r="F152" s="35" t="s">
        <v>76</v>
      </c>
      <c r="G152" s="209" t="s">
        <v>2679</v>
      </c>
      <c r="H152" s="35" t="s">
        <v>3080</v>
      </c>
      <c r="I152" s="18" t="s">
        <v>3081</v>
      </c>
      <c r="J152" s="35" t="s">
        <v>571</v>
      </c>
      <c r="K152" s="211" t="n">
        <v>2</v>
      </c>
      <c r="L152" s="211" t="n">
        <v>8</v>
      </c>
      <c r="M152" s="35" t="s">
        <v>3082</v>
      </c>
      <c r="N152" s="6" t="s">
        <v>3083</v>
      </c>
      <c r="O152" s="6" t="s">
        <v>571</v>
      </c>
      <c r="P152" s="209" t="s">
        <v>2682</v>
      </c>
      <c r="Q152" s="40" t="n">
        <f aca="false">Spec_Rack!F32</f>
        <v>4</v>
      </c>
      <c r="R152" s="182" t="n">
        <f aca="false">SRC_PERF_007</f>
        <v>4</v>
      </c>
      <c r="S152" s="34" t="str">
        <f aca="false">IF(ISNUMBER($AF152),INDEX(IDX_SrcStat,$AF152),"—")</f>
        <v>Active</v>
      </c>
      <c r="T152" s="34" t="n">
        <f aca="false">IF(ISNUMBER($AF152),INDEX(IDX_SrcGrade,$AF152),"—")</f>
        <v>1</v>
      </c>
      <c r="U152" s="34" t="s">
        <v>2683</v>
      </c>
      <c r="V152" s="183" t="n">
        <f aca="false">IF(AND($F152="原始數據",$U152&lt;&gt;"連結 SRC"),1,0)</f>
        <v>0</v>
      </c>
      <c r="W152" s="183" t="n">
        <f aca="false">IF(AND($F152="Analogy",OR($H152="—",$H152="")),1,0)</f>
        <v>0</v>
      </c>
      <c r="X152" s="183" t="n">
        <f aca="false">IF(AND(OR($F152="Analogy",$F152="Assumed"),$G152&lt;&gt;"低",$G152&lt;&gt;"高",NOT(ISNUMBER($K152)),NOT(ISNUMBER($L152)),OR($M152="—",$M152="")),1,0)</f>
        <v>0</v>
      </c>
      <c r="Y152" s="183" t="n">
        <f aca="false">IF(AND(OR($F152="Analogy",$F152="Assumed",$F152="Derived（待改公式）",$F152="Derived（公式）"),OR($N152="—",$N152="",$N152=0)),1,0)</f>
        <v>0</v>
      </c>
      <c r="Z152" s="183" t="n">
        <f aca="false">IF(AND($F152="Decision",OR($J152="—",$J152="")),1,0)</f>
        <v>0</v>
      </c>
      <c r="AA152" s="180" t="n">
        <f aca="false">IF(OR($J152="—",$J152=""),0,IF(COUNTIF(Decisions!$A$5:$A$300,$J152)=0,1,0))</f>
        <v>0</v>
      </c>
      <c r="AB152" s="183" t="n">
        <f aca="false">IF(AND($F152="原始數據",$S152&lt;&gt;"Active"),1,0)</f>
        <v>0</v>
      </c>
      <c r="AC152" s="183" t="n">
        <f aca="false">IF(AND(ISNUMBER($K152),ISNUMBER($L152),ISNUMBER($Q152)),IF(OR($Q152&lt;MIN($K152,$L152),$Q152&gt;MAX($K152,$L152)),1,0),0)</f>
        <v>0</v>
      </c>
      <c r="AD152" s="183" t="n">
        <f aca="false">IF(AND(ISNUMBER($T152),$P152="高"),IF($T152=3,1,0),0)</f>
        <v>0</v>
      </c>
      <c r="AE152" s="183" t="n">
        <f aca="false">IF($S152="不存在",1,0)</f>
        <v>0</v>
      </c>
      <c r="AF152" s="34" t="n">
        <f aca="false">IF(OR($H152="—",$H152=""),"—",MATCH($H152,IDX_SrcID,0))</f>
        <v>288</v>
      </c>
    </row>
    <row r="153" customFormat="false" ht="29.25" hidden="false" customHeight="true" outlineLevel="0" collapsed="false">
      <c r="A153" s="35" t="s">
        <v>3086</v>
      </c>
      <c r="B153" s="209" t="s">
        <v>2677</v>
      </c>
      <c r="C153" s="35" t="s">
        <v>2835</v>
      </c>
      <c r="D153" s="35" t="s">
        <v>3087</v>
      </c>
      <c r="E153" s="18" t="s">
        <v>3076</v>
      </c>
      <c r="F153" s="35" t="s">
        <v>72</v>
      </c>
      <c r="G153" s="209" t="s">
        <v>2679</v>
      </c>
      <c r="H153" s="35" t="s">
        <v>571</v>
      </c>
      <c r="I153" s="6" t="s">
        <v>571</v>
      </c>
      <c r="J153" s="35" t="s">
        <v>571</v>
      </c>
      <c r="K153" s="211" t="n">
        <v>4</v>
      </c>
      <c r="L153" s="211" t="n">
        <v>16</v>
      </c>
      <c r="M153" s="35" t="s">
        <v>3077</v>
      </c>
      <c r="N153" s="6" t="s">
        <v>3088</v>
      </c>
      <c r="O153" s="6" t="s">
        <v>571</v>
      </c>
      <c r="P153" s="209" t="s">
        <v>2682</v>
      </c>
      <c r="Q153" s="40" t="n">
        <f aca="false">Spec_Rack!G32</f>
        <v>8</v>
      </c>
      <c r="R153" s="35" t="s">
        <v>571</v>
      </c>
      <c r="S153" s="34" t="str">
        <f aca="false">IF(ISNUMBER($AF153),INDEX(IDX_SrcStat,$AF153),"—")</f>
        <v>—</v>
      </c>
      <c r="T153" s="34" t="str">
        <f aca="false">IF(ISNUMBER($AF153),INDEX(IDX_SrcGrade,$AF153),"—")</f>
        <v>—</v>
      </c>
      <c r="U153" s="34" t="s">
        <v>2683</v>
      </c>
      <c r="V153" s="183" t="n">
        <f aca="false">IF(AND($F153="原始數據",$U153&lt;&gt;"連結 SRC"),1,0)</f>
        <v>0</v>
      </c>
      <c r="W153" s="183" t="n">
        <f aca="false">IF(AND($F153="Analogy",OR($H153="—",$H153="")),1,0)</f>
        <v>0</v>
      </c>
      <c r="X153" s="183" t="n">
        <f aca="false">IF(AND(OR($F153="Analogy",$F153="Assumed"),$G153&lt;&gt;"低",$G153&lt;&gt;"高",NOT(ISNUMBER($K153)),NOT(ISNUMBER($L153)),OR($M153="—",$M153="")),1,0)</f>
        <v>0</v>
      </c>
      <c r="Y153" s="183" t="n">
        <f aca="false">IF(AND(OR($F153="Analogy",$F153="Assumed",$F153="Derived（待改公式）",$F153="Derived（公式）"),OR($N153="—",$N153="",$N153=0)),1,0)</f>
        <v>0</v>
      </c>
      <c r="Z153" s="183" t="n">
        <f aca="false">IF(AND($F153="Decision",OR($J153="—",$J153="")),1,0)</f>
        <v>0</v>
      </c>
      <c r="AA153" s="180" t="n">
        <f aca="false">IF(OR($J153="—",$J153=""),0,IF(COUNTIF(Decisions!$A$5:$A$300,$J153)=0,1,0))</f>
        <v>0</v>
      </c>
      <c r="AB153" s="183" t="n">
        <f aca="false">IF(AND($F153="原始數據",$S153&lt;&gt;"Active"),1,0)</f>
        <v>0</v>
      </c>
      <c r="AC153" s="183" t="n">
        <f aca="false">IF(AND(ISNUMBER($K153),ISNUMBER($L153),ISNUMBER($Q153)),IF(OR($Q153&lt;MIN($K153,$L153),$Q153&gt;MAX($K153,$L153)),1,0),0)</f>
        <v>0</v>
      </c>
      <c r="AD153" s="183" t="n">
        <f aca="false">IF(AND(ISNUMBER($T153),$P153="高"),IF($T153=3,1,0),0)</f>
        <v>0</v>
      </c>
      <c r="AE153" s="183" t="n">
        <f aca="false">IF($S153="不存在",1,0)</f>
        <v>0</v>
      </c>
      <c r="AF153" s="34" t="str">
        <f aca="false">IF(OR($H153="—",$H153=""),"—",MATCH($H153,IDX_SrcID,0))</f>
        <v>—</v>
      </c>
    </row>
    <row r="154" customFormat="false" ht="15" hidden="false" customHeight="true" outlineLevel="0" collapsed="false">
      <c r="A154" s="35" t="s">
        <v>3089</v>
      </c>
      <c r="B154" s="209" t="s">
        <v>2677</v>
      </c>
      <c r="C154" s="35" t="s">
        <v>2835</v>
      </c>
      <c r="D154" s="35" t="s">
        <v>3090</v>
      </c>
      <c r="E154" s="6" t="s">
        <v>204</v>
      </c>
      <c r="F154" s="209" t="s">
        <v>290</v>
      </c>
      <c r="G154" s="209" t="s">
        <v>2679</v>
      </c>
      <c r="H154" s="35" t="s">
        <v>3091</v>
      </c>
      <c r="I154" s="18" t="s">
        <v>2714</v>
      </c>
      <c r="J154" s="35" t="s">
        <v>571</v>
      </c>
      <c r="K154" s="209"/>
      <c r="L154" s="209"/>
      <c r="M154" s="35" t="s">
        <v>571</v>
      </c>
      <c r="N154" s="18" t="s">
        <v>2812</v>
      </c>
      <c r="O154" s="6" t="s">
        <v>571</v>
      </c>
      <c r="P154" s="209" t="s">
        <v>2682</v>
      </c>
      <c r="Q154" s="40" t="n">
        <f aca="false">Spec_Rack!C33</f>
        <v>700</v>
      </c>
      <c r="R154" s="182" t="n">
        <f aca="false">SRC_HW_056</f>
        <v>700</v>
      </c>
      <c r="S154" s="34" t="str">
        <f aca="false">IF(ISNUMBER($AF154),INDEX(IDX_SrcStat,$AF154),"—")</f>
        <v>Active</v>
      </c>
      <c r="T154" s="34" t="n">
        <f aca="false">IF(ISNUMBER($AF154),INDEX(IDX_SrcGrade,$AF154),"—")</f>
        <v>3</v>
      </c>
      <c r="U154" s="34" t="s">
        <v>2716</v>
      </c>
      <c r="V154" s="183" t="n">
        <f aca="false">IF(AND($F154="原始數據",$U154&lt;&gt;"連結 SRC"),1,0)</f>
        <v>0</v>
      </c>
      <c r="W154" s="183" t="n">
        <f aca="false">IF(AND($F154="Analogy",OR($H154="—",$H154="")),1,0)</f>
        <v>0</v>
      </c>
      <c r="X154" s="183" t="n">
        <f aca="false">IF(AND(OR($F154="Analogy",$F154="Assumed"),$G154&lt;&gt;"低",$G154&lt;&gt;"高",NOT(ISNUMBER($K154)),NOT(ISNUMBER($L154)),OR($M154="—",$M154="")),1,0)</f>
        <v>0</v>
      </c>
      <c r="Y154" s="183" t="n">
        <f aca="false">IF(AND(OR($F154="Analogy",$F154="Assumed",$F154="Derived（待改公式）",$F154="Derived（公式）"),OR($N154="—",$N154="",$N154=0)),1,0)</f>
        <v>0</v>
      </c>
      <c r="Z154" s="183" t="n">
        <f aca="false">IF(AND($F154="Decision",OR($J154="—",$J154="")),1,0)</f>
        <v>0</v>
      </c>
      <c r="AA154" s="180" t="n">
        <f aca="false">IF(OR($J154="—",$J154=""),0,IF(COUNTIF(Decisions!$A$5:$A$300,$J154)=0,1,0))</f>
        <v>0</v>
      </c>
      <c r="AB154" s="183" t="n">
        <f aca="false">IF(AND($F154="原始數據",$S154&lt;&gt;"Active"),1,0)</f>
        <v>0</v>
      </c>
      <c r="AC154" s="183" t="n">
        <f aca="false">IF(AND(ISNUMBER($K154),ISNUMBER($L154),ISNUMBER($Q154)),IF(OR($Q154&lt;MIN($K154,$L154),$Q154&gt;MAX($K154,$L154)),1,0),0)</f>
        <v>0</v>
      </c>
      <c r="AD154" s="183" t="n">
        <f aca="false">IF(AND(ISNUMBER($T154),$P154="高"),IF($T154=3,1,0),0)</f>
        <v>0</v>
      </c>
      <c r="AE154" s="183" t="n">
        <f aca="false">IF($S154="不存在",1,0)</f>
        <v>0</v>
      </c>
      <c r="AF154" s="34" t="n">
        <f aca="false">IF(OR($H154="—",$H154=""),"—",MATCH($H154,IDX_SrcID,0))</f>
        <v>56</v>
      </c>
    </row>
    <row r="155" customFormat="false" ht="15" hidden="false" customHeight="true" outlineLevel="0" collapsed="false">
      <c r="A155" s="35" t="s">
        <v>3092</v>
      </c>
      <c r="B155" s="209" t="s">
        <v>2677</v>
      </c>
      <c r="C155" s="35" t="s">
        <v>2835</v>
      </c>
      <c r="D155" s="35" t="s">
        <v>2793</v>
      </c>
      <c r="E155" s="6" t="s">
        <v>204</v>
      </c>
      <c r="F155" s="209" t="s">
        <v>290</v>
      </c>
      <c r="G155" s="209" t="s">
        <v>2679</v>
      </c>
      <c r="H155" s="35" t="s">
        <v>3093</v>
      </c>
      <c r="I155" s="18" t="s">
        <v>2714</v>
      </c>
      <c r="J155" s="35" t="s">
        <v>571</v>
      </c>
      <c r="K155" s="209"/>
      <c r="L155" s="209"/>
      <c r="M155" s="35" t="s">
        <v>571</v>
      </c>
      <c r="N155" s="18" t="s">
        <v>2812</v>
      </c>
      <c r="O155" s="6" t="s">
        <v>571</v>
      </c>
      <c r="P155" s="209" t="s">
        <v>2682</v>
      </c>
      <c r="Q155" s="40" t="n">
        <f aca="false">Spec_Rack!D33</f>
        <v>1200</v>
      </c>
      <c r="R155" s="182" t="n">
        <f aca="false">SRC_HW_057</f>
        <v>1200</v>
      </c>
      <c r="S155" s="34" t="str">
        <f aca="false">IF(ISNUMBER($AF155),INDEX(IDX_SrcStat,$AF155),"—")</f>
        <v>Active</v>
      </c>
      <c r="T155" s="34" t="n">
        <f aca="false">IF(ISNUMBER($AF155),INDEX(IDX_SrcGrade,$AF155),"—")</f>
        <v>3</v>
      </c>
      <c r="U155" s="34" t="s">
        <v>2716</v>
      </c>
      <c r="V155" s="183" t="n">
        <f aca="false">IF(AND($F155="原始數據",$U155&lt;&gt;"連結 SRC"),1,0)</f>
        <v>0</v>
      </c>
      <c r="W155" s="183" t="n">
        <f aca="false">IF(AND($F155="Analogy",OR($H155="—",$H155="")),1,0)</f>
        <v>0</v>
      </c>
      <c r="X155" s="183" t="n">
        <f aca="false">IF(AND(OR($F155="Analogy",$F155="Assumed"),$G155&lt;&gt;"低",$G155&lt;&gt;"高",NOT(ISNUMBER($K155)),NOT(ISNUMBER($L155)),OR($M155="—",$M155="")),1,0)</f>
        <v>0</v>
      </c>
      <c r="Y155" s="183" t="n">
        <f aca="false">IF(AND(OR($F155="Analogy",$F155="Assumed",$F155="Derived（待改公式）",$F155="Derived（公式）"),OR($N155="—",$N155="",$N155=0)),1,0)</f>
        <v>0</v>
      </c>
      <c r="Z155" s="183" t="n">
        <f aca="false">IF(AND($F155="Decision",OR($J155="—",$J155="")),1,0)</f>
        <v>0</v>
      </c>
      <c r="AA155" s="180" t="n">
        <f aca="false">IF(OR($J155="—",$J155=""),0,IF(COUNTIF(Decisions!$A$5:$A$300,$J155)=0,1,0))</f>
        <v>0</v>
      </c>
      <c r="AB155" s="183" t="n">
        <f aca="false">IF(AND($F155="原始數據",$S155&lt;&gt;"Active"),1,0)</f>
        <v>0</v>
      </c>
      <c r="AC155" s="183" t="n">
        <f aca="false">IF(AND(ISNUMBER($K155),ISNUMBER($L155),ISNUMBER($Q155)),IF(OR($Q155&lt;MIN($K155,$L155),$Q155&gt;MAX($K155,$L155)),1,0),0)</f>
        <v>0</v>
      </c>
      <c r="AD155" s="183" t="n">
        <f aca="false">IF(AND(ISNUMBER($T155),$P155="高"),IF($T155=3,1,0),0)</f>
        <v>0</v>
      </c>
      <c r="AE155" s="183" t="n">
        <f aca="false">IF($S155="不存在",1,0)</f>
        <v>0</v>
      </c>
      <c r="AF155" s="34" t="n">
        <f aca="false">IF(OR($H155="—",$H155=""),"—",MATCH($H155,IDX_SrcID,0))</f>
        <v>57</v>
      </c>
    </row>
    <row r="156" customFormat="false" ht="15" hidden="false" customHeight="true" outlineLevel="0" collapsed="false">
      <c r="A156" s="35" t="s">
        <v>3094</v>
      </c>
      <c r="B156" s="209" t="s">
        <v>2677</v>
      </c>
      <c r="C156" s="35" t="s">
        <v>2835</v>
      </c>
      <c r="D156" s="35" t="s">
        <v>2791</v>
      </c>
      <c r="E156" s="6" t="s">
        <v>204</v>
      </c>
      <c r="F156" s="209" t="s">
        <v>290</v>
      </c>
      <c r="G156" s="209" t="s">
        <v>2679</v>
      </c>
      <c r="H156" s="35" t="s">
        <v>3095</v>
      </c>
      <c r="I156" s="18" t="s">
        <v>2714</v>
      </c>
      <c r="J156" s="35" t="s">
        <v>571</v>
      </c>
      <c r="K156" s="209"/>
      <c r="L156" s="209"/>
      <c r="M156" s="35" t="s">
        <v>571</v>
      </c>
      <c r="N156" s="18" t="s">
        <v>2812</v>
      </c>
      <c r="O156" s="6" t="s">
        <v>571</v>
      </c>
      <c r="P156" s="209" t="s">
        <v>2682</v>
      </c>
      <c r="Q156" s="40" t="n">
        <f aca="false">Spec_Rack!E33</f>
        <v>1400</v>
      </c>
      <c r="R156" s="182" t="n">
        <f aca="false">SRC_HW_058</f>
        <v>1400</v>
      </c>
      <c r="S156" s="34" t="str">
        <f aca="false">IF(ISNUMBER($AF156),INDEX(IDX_SrcStat,$AF156),"—")</f>
        <v>Active</v>
      </c>
      <c r="T156" s="34" t="n">
        <f aca="false">IF(ISNUMBER($AF156),INDEX(IDX_SrcGrade,$AF156),"—")</f>
        <v>3</v>
      </c>
      <c r="U156" s="34" t="s">
        <v>2716</v>
      </c>
      <c r="V156" s="183" t="n">
        <f aca="false">IF(AND($F156="原始數據",$U156&lt;&gt;"連結 SRC"),1,0)</f>
        <v>0</v>
      </c>
      <c r="W156" s="183" t="n">
        <f aca="false">IF(AND($F156="Analogy",OR($H156="—",$H156="")),1,0)</f>
        <v>0</v>
      </c>
      <c r="X156" s="183" t="n">
        <f aca="false">IF(AND(OR($F156="Analogy",$F156="Assumed"),$G156&lt;&gt;"低",$G156&lt;&gt;"高",NOT(ISNUMBER($K156)),NOT(ISNUMBER($L156)),OR($M156="—",$M156="")),1,0)</f>
        <v>0</v>
      </c>
      <c r="Y156" s="183" t="n">
        <f aca="false">IF(AND(OR($F156="Analogy",$F156="Assumed",$F156="Derived（待改公式）",$F156="Derived（公式）"),OR($N156="—",$N156="",$N156=0)),1,0)</f>
        <v>0</v>
      </c>
      <c r="Z156" s="183" t="n">
        <f aca="false">IF(AND($F156="Decision",OR($J156="—",$J156="")),1,0)</f>
        <v>0</v>
      </c>
      <c r="AA156" s="180" t="n">
        <f aca="false">IF(OR($J156="—",$J156=""),0,IF(COUNTIF(Decisions!$A$5:$A$300,$J156)=0,1,0))</f>
        <v>0</v>
      </c>
      <c r="AB156" s="183" t="n">
        <f aca="false">IF(AND($F156="原始數據",$S156&lt;&gt;"Active"),1,0)</f>
        <v>0</v>
      </c>
      <c r="AC156" s="183" t="n">
        <f aca="false">IF(AND(ISNUMBER($K156),ISNUMBER($L156),ISNUMBER($Q156)),IF(OR($Q156&lt;MIN($K156,$L156),$Q156&gt;MAX($K156,$L156)),1,0),0)</f>
        <v>0</v>
      </c>
      <c r="AD156" s="183" t="n">
        <f aca="false">IF(AND(ISNUMBER($T156),$P156="高"),IF($T156=3,1,0),0)</f>
        <v>0</v>
      </c>
      <c r="AE156" s="183" t="n">
        <f aca="false">IF($S156="不存在",1,0)</f>
        <v>0</v>
      </c>
      <c r="AF156" s="34" t="n">
        <f aca="false">IF(OR($H156="—",$H156=""),"—",MATCH($H156,IDX_SrcID,0))</f>
        <v>58</v>
      </c>
    </row>
    <row r="157" customFormat="false" ht="15" hidden="false" customHeight="true" outlineLevel="0" collapsed="false">
      <c r="A157" s="35" t="s">
        <v>3096</v>
      </c>
      <c r="B157" s="209" t="s">
        <v>2677</v>
      </c>
      <c r="C157" s="35" t="s">
        <v>2835</v>
      </c>
      <c r="D157" s="35" t="s">
        <v>2795</v>
      </c>
      <c r="E157" s="6" t="s">
        <v>204</v>
      </c>
      <c r="F157" s="209" t="s">
        <v>290</v>
      </c>
      <c r="G157" s="209" t="s">
        <v>2679</v>
      </c>
      <c r="H157" s="35" t="s">
        <v>3097</v>
      </c>
      <c r="I157" s="18" t="s">
        <v>3013</v>
      </c>
      <c r="J157" s="35" t="s">
        <v>571</v>
      </c>
      <c r="K157" s="209"/>
      <c r="L157" s="209"/>
      <c r="M157" s="35" t="s">
        <v>571</v>
      </c>
      <c r="N157" s="18" t="s">
        <v>2812</v>
      </c>
      <c r="O157" s="6" t="s">
        <v>571</v>
      </c>
      <c r="P157" s="209" t="s">
        <v>2682</v>
      </c>
      <c r="Q157" s="40" t="n">
        <f aca="false">Spec_Rack!F33</f>
        <v>1800</v>
      </c>
      <c r="R157" s="182" t="n">
        <f aca="false">SRC_HW_046</f>
        <v>1.8</v>
      </c>
      <c r="S157" s="34" t="str">
        <f aca="false">IF(ISNUMBER($AF157),INDEX(IDX_SrcStat,$AF157),"—")</f>
        <v>Active</v>
      </c>
      <c r="T157" s="34" t="n">
        <f aca="false">IF(ISNUMBER($AF157),INDEX(IDX_SrcGrade,$AF157),"—")</f>
        <v>3</v>
      </c>
      <c r="U157" s="34" t="s">
        <v>2716</v>
      </c>
      <c r="V157" s="183" t="n">
        <f aca="false">IF(AND($F157="原始數據",$U157&lt;&gt;"連結 SRC"),1,0)</f>
        <v>0</v>
      </c>
      <c r="W157" s="183" t="n">
        <f aca="false">IF(AND($F157="Analogy",OR($H157="—",$H157="")),1,0)</f>
        <v>0</v>
      </c>
      <c r="X157" s="183" t="n">
        <f aca="false">IF(AND(OR($F157="Analogy",$F157="Assumed"),$G157&lt;&gt;"低",$G157&lt;&gt;"高",NOT(ISNUMBER($K157)),NOT(ISNUMBER($L157)),OR($M157="—",$M157="")),1,0)</f>
        <v>0</v>
      </c>
      <c r="Y157" s="183" t="n">
        <f aca="false">IF(AND(OR($F157="Analogy",$F157="Assumed",$F157="Derived（待改公式）",$F157="Derived（公式）"),OR($N157="—",$N157="",$N157=0)),1,0)</f>
        <v>0</v>
      </c>
      <c r="Z157" s="183" t="n">
        <f aca="false">IF(AND($F157="Decision",OR($J157="—",$J157="")),1,0)</f>
        <v>0</v>
      </c>
      <c r="AA157" s="180" t="n">
        <f aca="false">IF(OR($J157="—",$J157=""),0,IF(COUNTIF(Decisions!$A$5:$A$300,$J157)=0,1,0))</f>
        <v>0</v>
      </c>
      <c r="AB157" s="183" t="n">
        <f aca="false">IF(AND($F157="原始數據",$S157&lt;&gt;"Active"),1,0)</f>
        <v>0</v>
      </c>
      <c r="AC157" s="183" t="n">
        <f aca="false">IF(AND(ISNUMBER($K157),ISNUMBER($L157),ISNUMBER($Q157)),IF(OR($Q157&lt;MIN($K157,$L157),$Q157&gt;MAX($K157,$L157)),1,0),0)</f>
        <v>0</v>
      </c>
      <c r="AD157" s="183" t="n">
        <f aca="false">IF(AND(ISNUMBER($T157),$P157="高"),IF($T157=3,1,0),0)</f>
        <v>0</v>
      </c>
      <c r="AE157" s="183" t="n">
        <f aca="false">IF($S157="不存在",1,0)</f>
        <v>0</v>
      </c>
      <c r="AF157" s="34" t="n">
        <f aca="false">IF(OR($H157="—",$H157=""),"—",MATCH($H157,IDX_SrcID,0))</f>
        <v>46</v>
      </c>
    </row>
    <row r="158" customFormat="false" ht="15" hidden="false" customHeight="true" outlineLevel="0" collapsed="false">
      <c r="A158" s="35" t="s">
        <v>3098</v>
      </c>
      <c r="B158" s="209" t="s">
        <v>2677</v>
      </c>
      <c r="C158" s="35" t="s">
        <v>2835</v>
      </c>
      <c r="D158" s="35" t="s">
        <v>3099</v>
      </c>
      <c r="E158" s="6" t="s">
        <v>204</v>
      </c>
      <c r="F158" s="35" t="s">
        <v>72</v>
      </c>
      <c r="G158" s="209" t="s">
        <v>57</v>
      </c>
      <c r="H158" s="35" t="s">
        <v>571</v>
      </c>
      <c r="I158" s="6" t="s">
        <v>571</v>
      </c>
      <c r="J158" s="35" t="s">
        <v>571</v>
      </c>
      <c r="K158" s="182" t="n">
        <f aca="false">Spec_Rack!G33*0.7</f>
        <v>2520</v>
      </c>
      <c r="L158" s="182" t="n">
        <f aca="false">Spec_Rack!G33*1.3</f>
        <v>4680</v>
      </c>
      <c r="M158" s="35" t="s">
        <v>2959</v>
      </c>
      <c r="N158" s="6" t="s">
        <v>3088</v>
      </c>
      <c r="O158" s="6" t="s">
        <v>571</v>
      </c>
      <c r="P158" s="209" t="s">
        <v>2682</v>
      </c>
      <c r="Q158" s="40" t="n">
        <f aca="false">Spec_Rack!G33</f>
        <v>3600</v>
      </c>
      <c r="R158" s="35" t="s">
        <v>571</v>
      </c>
      <c r="S158" s="34" t="str">
        <f aca="false">IF(ISNUMBER($AF158),INDEX(IDX_SrcStat,$AF158),"—")</f>
        <v>—</v>
      </c>
      <c r="T158" s="34" t="str">
        <f aca="false">IF(ISNUMBER($AF158),INDEX(IDX_SrcGrade,$AF158),"—")</f>
        <v>—</v>
      </c>
      <c r="U158" s="34" t="s">
        <v>2683</v>
      </c>
      <c r="V158" s="183" t="n">
        <f aca="false">IF(AND($F158="原始數據",$U158&lt;&gt;"連結 SRC"),1,0)</f>
        <v>0</v>
      </c>
      <c r="W158" s="183" t="n">
        <f aca="false">IF(AND($F158="Analogy",OR($H158="—",$H158="")),1,0)</f>
        <v>0</v>
      </c>
      <c r="X158" s="183" t="n">
        <f aca="false">IF(AND(OR($F158="Analogy",$F158="Assumed"),$G158&lt;&gt;"低",$G158&lt;&gt;"高",NOT(ISNUMBER($K158)),NOT(ISNUMBER($L158)),OR($M158="—",$M158="")),1,0)</f>
        <v>0</v>
      </c>
      <c r="Y158" s="183" t="n">
        <f aca="false">IF(AND(OR($F158="Analogy",$F158="Assumed",$F158="Derived（待改公式）",$F158="Derived（公式）"),OR($N158="—",$N158="",$N158=0)),1,0)</f>
        <v>0</v>
      </c>
      <c r="Z158" s="183" t="n">
        <f aca="false">IF(AND($F158="Decision",OR($J158="—",$J158="")),1,0)</f>
        <v>0</v>
      </c>
      <c r="AA158" s="180" t="n">
        <f aca="false">IF(OR($J158="—",$J158=""),0,IF(COUNTIF(Decisions!$A$5:$A$300,$J158)=0,1,0))</f>
        <v>0</v>
      </c>
      <c r="AB158" s="183" t="n">
        <f aca="false">IF(AND($F158="原始數據",$S158&lt;&gt;"Active"),1,0)</f>
        <v>0</v>
      </c>
      <c r="AC158" s="183" t="n">
        <f aca="false">IF(AND(ISNUMBER($K158),ISNUMBER($L158),ISNUMBER($Q158)),IF(OR($Q158&lt;MIN($K158,$L158),$Q158&gt;MAX($K158,$L158)),1,0),0)</f>
        <v>0</v>
      </c>
      <c r="AD158" s="183" t="n">
        <f aca="false">IF(AND(ISNUMBER($T158),$P158="高"),IF($T158=3,1,0),0)</f>
        <v>0</v>
      </c>
      <c r="AE158" s="183" t="n">
        <f aca="false">IF($S158="不存在",1,0)</f>
        <v>0</v>
      </c>
      <c r="AF158" s="34" t="str">
        <f aca="false">IF(OR($H158="—",$H158=""),"—",MATCH($H158,IDX_SrcID,0))</f>
        <v>—</v>
      </c>
    </row>
    <row r="159" customFormat="false" ht="29.25" hidden="false" customHeight="true" outlineLevel="0" collapsed="false">
      <c r="A159" s="35" t="s">
        <v>3100</v>
      </c>
      <c r="B159" s="209" t="s">
        <v>2677</v>
      </c>
      <c r="C159" s="35" t="s">
        <v>2835</v>
      </c>
      <c r="D159" s="35" t="s">
        <v>3101</v>
      </c>
      <c r="E159" s="6" t="s">
        <v>206</v>
      </c>
      <c r="F159" s="35" t="s">
        <v>76</v>
      </c>
      <c r="G159" s="209" t="s">
        <v>2679</v>
      </c>
      <c r="H159" s="35" t="s">
        <v>3102</v>
      </c>
      <c r="I159" s="18" t="s">
        <v>3103</v>
      </c>
      <c r="J159" s="35" t="s">
        <v>571</v>
      </c>
      <c r="K159" s="182" t="n">
        <f aca="false">Spec_Rack!C34*0.7</f>
        <v>21.7</v>
      </c>
      <c r="L159" s="182" t="n">
        <f aca="false">Spec_Rack!C34*1.3</f>
        <v>40.3</v>
      </c>
      <c r="M159" s="35" t="s">
        <v>3104</v>
      </c>
      <c r="N159" s="210" t="str">
        <f aca="false">Spec_Rack!$H$34</f>
        <v>Analogy：HBM3 約 3.9 pJ/bit、HBM3e 約 3、HBM4 約 2.5；區間 ±30%（S29）</v>
      </c>
      <c r="O159" s="6" t="s">
        <v>571</v>
      </c>
      <c r="P159" s="209" t="s">
        <v>2682</v>
      </c>
      <c r="Q159" s="40" t="n">
        <f aca="false">Spec_Rack!C34</f>
        <v>31</v>
      </c>
      <c r="R159" s="182" t="n">
        <f aca="false">SRC_HW_032</f>
        <v>3.9</v>
      </c>
      <c r="S159" s="34" t="str">
        <f aca="false">IF(ISNUMBER($AF159),INDEX(IDX_SrcStat,$AF159),"—")</f>
        <v>Active</v>
      </c>
      <c r="T159" s="34" t="n">
        <f aca="false">IF(ISNUMBER($AF159),INDEX(IDX_SrcGrade,$AF159),"—")</f>
        <v>3</v>
      </c>
      <c r="U159" s="34" t="s">
        <v>2683</v>
      </c>
      <c r="V159" s="183" t="n">
        <f aca="false">IF(AND($F159="原始數據",$U159&lt;&gt;"連結 SRC"),1,0)</f>
        <v>0</v>
      </c>
      <c r="W159" s="183" t="n">
        <f aca="false">IF(AND($F159="Analogy",OR($H159="—",$H159="")),1,0)</f>
        <v>0</v>
      </c>
      <c r="X159" s="183" t="n">
        <f aca="false">IF(AND(OR($F159="Analogy",$F159="Assumed"),$G159&lt;&gt;"低",$G159&lt;&gt;"高",NOT(ISNUMBER($K159)),NOT(ISNUMBER($L159)),OR($M159="—",$M159="")),1,0)</f>
        <v>0</v>
      </c>
      <c r="Y159" s="183" t="n">
        <f aca="false">IF(AND(OR($F159="Analogy",$F159="Assumed",$F159="Derived（待改公式）",$F159="Derived（公式）"),OR($N159="—",$N159="",$N159=0)),1,0)</f>
        <v>0</v>
      </c>
      <c r="Z159" s="183" t="n">
        <f aca="false">IF(AND($F159="Decision",OR($J159="—",$J159="")),1,0)</f>
        <v>0</v>
      </c>
      <c r="AA159" s="180" t="n">
        <f aca="false">IF(OR($J159="—",$J159=""),0,IF(COUNTIF(Decisions!$A$5:$A$300,$J159)=0,1,0))</f>
        <v>0</v>
      </c>
      <c r="AB159" s="183" t="n">
        <f aca="false">IF(AND($F159="原始數據",$S159&lt;&gt;"Active"),1,0)</f>
        <v>0</v>
      </c>
      <c r="AC159" s="183" t="n">
        <f aca="false">IF(AND(ISNUMBER($K159),ISNUMBER($L159),ISNUMBER($Q159)),IF(OR($Q159&lt;MIN($K159,$L159),$Q159&gt;MAX($K159,$L159)),1,0),0)</f>
        <v>0</v>
      </c>
      <c r="AD159" s="183" t="n">
        <f aca="false">IF(AND(ISNUMBER($T159),$P159="高"),IF($T159=3,1,0),0)</f>
        <v>0</v>
      </c>
      <c r="AE159" s="183" t="n">
        <f aca="false">IF($S159="不存在",1,0)</f>
        <v>0</v>
      </c>
      <c r="AF159" s="34" t="n">
        <f aca="false">IF(OR($H159="—",$H159=""),"—",MATCH($H159,IDX_SrcID,0))</f>
        <v>32</v>
      </c>
    </row>
    <row r="160" customFormat="false" ht="29.25" hidden="false" customHeight="true" outlineLevel="0" collapsed="false">
      <c r="A160" s="35" t="s">
        <v>3105</v>
      </c>
      <c r="B160" s="209" t="s">
        <v>2677</v>
      </c>
      <c r="C160" s="35" t="s">
        <v>2835</v>
      </c>
      <c r="D160" s="35" t="s">
        <v>2799</v>
      </c>
      <c r="E160" s="6" t="s">
        <v>206</v>
      </c>
      <c r="F160" s="35" t="s">
        <v>76</v>
      </c>
      <c r="G160" s="209" t="s">
        <v>2679</v>
      </c>
      <c r="H160" s="35" t="s">
        <v>3106</v>
      </c>
      <c r="I160" s="18" t="s">
        <v>3103</v>
      </c>
      <c r="J160" s="35" t="s">
        <v>571</v>
      </c>
      <c r="K160" s="182" t="n">
        <f aca="false">Spec_Rack!D34*0.7</f>
        <v>17.5</v>
      </c>
      <c r="L160" s="182" t="n">
        <f aca="false">Spec_Rack!D34*1.3</f>
        <v>32.5</v>
      </c>
      <c r="M160" s="35" t="s">
        <v>3104</v>
      </c>
      <c r="N160" s="210" t="str">
        <f aca="false">Spec_Rack!$H$34</f>
        <v>Analogy：HBM3 約 3.9 pJ/bit、HBM3e 約 3、HBM4 約 2.5；區間 ±30%（S29）</v>
      </c>
      <c r="O160" s="6" t="s">
        <v>571</v>
      </c>
      <c r="P160" s="209" t="s">
        <v>2682</v>
      </c>
      <c r="Q160" s="40" t="n">
        <f aca="false">Spec_Rack!D34</f>
        <v>25</v>
      </c>
      <c r="R160" s="182" t="n">
        <f aca="false">SRC_HW_033</f>
        <v>3</v>
      </c>
      <c r="S160" s="34" t="str">
        <f aca="false">IF(ISNUMBER($AF160),INDEX(IDX_SrcStat,$AF160),"—")</f>
        <v>Active</v>
      </c>
      <c r="T160" s="34" t="n">
        <f aca="false">IF(ISNUMBER($AF160),INDEX(IDX_SrcGrade,$AF160),"—")</f>
        <v>3</v>
      </c>
      <c r="U160" s="34" t="s">
        <v>2683</v>
      </c>
      <c r="V160" s="183" t="n">
        <f aca="false">IF(AND($F160="原始數據",$U160&lt;&gt;"連結 SRC"),1,0)</f>
        <v>0</v>
      </c>
      <c r="W160" s="183" t="n">
        <f aca="false">IF(AND($F160="Analogy",OR($H160="—",$H160="")),1,0)</f>
        <v>0</v>
      </c>
      <c r="X160" s="183" t="n">
        <f aca="false">IF(AND(OR($F160="Analogy",$F160="Assumed"),$G160&lt;&gt;"低",$G160&lt;&gt;"高",NOT(ISNUMBER($K160)),NOT(ISNUMBER($L160)),OR($M160="—",$M160="")),1,0)</f>
        <v>0</v>
      </c>
      <c r="Y160" s="183" t="n">
        <f aca="false">IF(AND(OR($F160="Analogy",$F160="Assumed",$F160="Derived（待改公式）",$F160="Derived（公式）"),OR($N160="—",$N160="",$N160=0)),1,0)</f>
        <v>0</v>
      </c>
      <c r="Z160" s="183" t="n">
        <f aca="false">IF(AND($F160="Decision",OR($J160="—",$J160="")),1,0)</f>
        <v>0</v>
      </c>
      <c r="AA160" s="180" t="n">
        <f aca="false">IF(OR($J160="—",$J160=""),0,IF(COUNTIF(Decisions!$A$5:$A$300,$J160)=0,1,0))</f>
        <v>0</v>
      </c>
      <c r="AB160" s="183" t="n">
        <f aca="false">IF(AND($F160="原始數據",$S160&lt;&gt;"Active"),1,0)</f>
        <v>0</v>
      </c>
      <c r="AC160" s="183" t="n">
        <f aca="false">IF(AND(ISNUMBER($K160),ISNUMBER($L160),ISNUMBER($Q160)),IF(OR($Q160&lt;MIN($K160,$L160),$Q160&gt;MAX($K160,$L160)),1,0),0)</f>
        <v>0</v>
      </c>
      <c r="AD160" s="183" t="n">
        <f aca="false">IF(AND(ISNUMBER($T160),$P160="高"),IF($T160=3,1,0),0)</f>
        <v>0</v>
      </c>
      <c r="AE160" s="183" t="n">
        <f aca="false">IF($S160="不存在",1,0)</f>
        <v>0</v>
      </c>
      <c r="AF160" s="34" t="n">
        <f aca="false">IF(OR($H160="—",$H160=""),"—",MATCH($H160,IDX_SrcID,0))</f>
        <v>33</v>
      </c>
    </row>
    <row r="161" customFormat="false" ht="29.25" hidden="false" customHeight="true" outlineLevel="0" collapsed="false">
      <c r="A161" s="35" t="s">
        <v>3107</v>
      </c>
      <c r="B161" s="209" t="s">
        <v>2677</v>
      </c>
      <c r="C161" s="35" t="s">
        <v>2835</v>
      </c>
      <c r="D161" s="35" t="s">
        <v>2797</v>
      </c>
      <c r="E161" s="6" t="s">
        <v>206</v>
      </c>
      <c r="F161" s="35" t="s">
        <v>76</v>
      </c>
      <c r="G161" s="209" t="s">
        <v>2679</v>
      </c>
      <c r="H161" s="35" t="s">
        <v>3106</v>
      </c>
      <c r="I161" s="18" t="s">
        <v>3103</v>
      </c>
      <c r="J161" s="35" t="s">
        <v>571</v>
      </c>
      <c r="K161" s="182" t="n">
        <f aca="false">Spec_Rack!E34*0.7</f>
        <v>17.5</v>
      </c>
      <c r="L161" s="182" t="n">
        <f aca="false">Spec_Rack!E34*1.3</f>
        <v>32.5</v>
      </c>
      <c r="M161" s="35" t="s">
        <v>3104</v>
      </c>
      <c r="N161" s="210" t="str">
        <f aca="false">Spec_Rack!$H$34</f>
        <v>Analogy：HBM3 約 3.9 pJ/bit、HBM3e 約 3、HBM4 約 2.5；區間 ±30%（S29）</v>
      </c>
      <c r="O161" s="6" t="s">
        <v>571</v>
      </c>
      <c r="P161" s="209" t="s">
        <v>2682</v>
      </c>
      <c r="Q161" s="40" t="n">
        <f aca="false">Spec_Rack!E34</f>
        <v>25</v>
      </c>
      <c r="R161" s="182" t="n">
        <f aca="false">SRC_HW_033</f>
        <v>3</v>
      </c>
      <c r="S161" s="34" t="str">
        <f aca="false">IF(ISNUMBER($AF161),INDEX(IDX_SrcStat,$AF161),"—")</f>
        <v>Active</v>
      </c>
      <c r="T161" s="34" t="n">
        <f aca="false">IF(ISNUMBER($AF161),INDEX(IDX_SrcGrade,$AF161),"—")</f>
        <v>3</v>
      </c>
      <c r="U161" s="34" t="s">
        <v>2683</v>
      </c>
      <c r="V161" s="183" t="n">
        <f aca="false">IF(AND($F161="原始數據",$U161&lt;&gt;"連結 SRC"),1,0)</f>
        <v>0</v>
      </c>
      <c r="W161" s="183" t="n">
        <f aca="false">IF(AND($F161="Analogy",OR($H161="—",$H161="")),1,0)</f>
        <v>0</v>
      </c>
      <c r="X161" s="183" t="n">
        <f aca="false">IF(AND(OR($F161="Analogy",$F161="Assumed"),$G161&lt;&gt;"低",$G161&lt;&gt;"高",NOT(ISNUMBER($K161)),NOT(ISNUMBER($L161)),OR($M161="—",$M161="")),1,0)</f>
        <v>0</v>
      </c>
      <c r="Y161" s="183" t="n">
        <f aca="false">IF(AND(OR($F161="Analogy",$F161="Assumed",$F161="Derived（待改公式）",$F161="Derived（公式）"),OR($N161="—",$N161="",$N161=0)),1,0)</f>
        <v>0</v>
      </c>
      <c r="Z161" s="183" t="n">
        <f aca="false">IF(AND($F161="Decision",OR($J161="—",$J161="")),1,0)</f>
        <v>0</v>
      </c>
      <c r="AA161" s="180" t="n">
        <f aca="false">IF(OR($J161="—",$J161=""),0,IF(COUNTIF(Decisions!$A$5:$A$300,$J161)=0,1,0))</f>
        <v>0</v>
      </c>
      <c r="AB161" s="183" t="n">
        <f aca="false">IF(AND($F161="原始數據",$S161&lt;&gt;"Active"),1,0)</f>
        <v>0</v>
      </c>
      <c r="AC161" s="183" t="n">
        <f aca="false">IF(AND(ISNUMBER($K161),ISNUMBER($L161),ISNUMBER($Q161)),IF(OR($Q161&lt;MIN($K161,$L161),$Q161&gt;MAX($K161,$L161)),1,0),0)</f>
        <v>0</v>
      </c>
      <c r="AD161" s="183" t="n">
        <f aca="false">IF(AND(ISNUMBER($T161),$P161="高"),IF($T161=3,1,0),0)</f>
        <v>0</v>
      </c>
      <c r="AE161" s="183" t="n">
        <f aca="false">IF($S161="不存在",1,0)</f>
        <v>0</v>
      </c>
      <c r="AF161" s="34" t="n">
        <f aca="false">IF(OR($H161="—",$H161=""),"—",MATCH($H161,IDX_SrcID,0))</f>
        <v>33</v>
      </c>
    </row>
    <row r="162" customFormat="false" ht="15" hidden="false" customHeight="true" outlineLevel="0" collapsed="false">
      <c r="A162" s="35" t="s">
        <v>3108</v>
      </c>
      <c r="B162" s="209" t="s">
        <v>2677</v>
      </c>
      <c r="C162" s="35" t="s">
        <v>2835</v>
      </c>
      <c r="D162" s="35" t="s">
        <v>2801</v>
      </c>
      <c r="E162" s="6" t="s">
        <v>206</v>
      </c>
      <c r="F162" s="209" t="s">
        <v>290</v>
      </c>
      <c r="G162" s="209" t="s">
        <v>2679</v>
      </c>
      <c r="H162" s="35" t="s">
        <v>3109</v>
      </c>
      <c r="I162" s="18" t="s">
        <v>3013</v>
      </c>
      <c r="J162" s="35" t="s">
        <v>571</v>
      </c>
      <c r="K162" s="209"/>
      <c r="L162" s="209"/>
      <c r="M162" s="35" t="s">
        <v>571</v>
      </c>
      <c r="N162" s="18" t="s">
        <v>2812</v>
      </c>
      <c r="O162" s="6" t="s">
        <v>571</v>
      </c>
      <c r="P162" s="209" t="s">
        <v>2682</v>
      </c>
      <c r="Q162" s="40" t="n">
        <f aca="false">Spec_Rack!F34</f>
        <v>20</v>
      </c>
      <c r="R162" s="182" t="n">
        <f aca="false">SRC_HW_034</f>
        <v>2.5</v>
      </c>
      <c r="S162" s="34" t="str">
        <f aca="false">IF(ISNUMBER($AF162),INDEX(IDX_SrcStat,$AF162),"—")</f>
        <v>Active</v>
      </c>
      <c r="T162" s="34" t="n">
        <f aca="false">IF(ISNUMBER($AF162),INDEX(IDX_SrcGrade,$AF162),"—")</f>
        <v>3</v>
      </c>
      <c r="U162" s="34" t="s">
        <v>2716</v>
      </c>
      <c r="V162" s="183" t="n">
        <f aca="false">IF(AND($F162="原始數據",$U162&lt;&gt;"連結 SRC"),1,0)</f>
        <v>0</v>
      </c>
      <c r="W162" s="183" t="n">
        <f aca="false">IF(AND($F162="Analogy",OR($H162="—",$H162="")),1,0)</f>
        <v>0</v>
      </c>
      <c r="X162" s="183" t="n">
        <f aca="false">IF(AND(OR($F162="Analogy",$F162="Assumed"),$G162&lt;&gt;"低",$G162&lt;&gt;"高",NOT(ISNUMBER($K162)),NOT(ISNUMBER($L162)),OR($M162="—",$M162="")),1,0)</f>
        <v>0</v>
      </c>
      <c r="Y162" s="183" t="n">
        <f aca="false">IF(AND(OR($F162="Analogy",$F162="Assumed",$F162="Derived（待改公式）",$F162="Derived（公式）"),OR($N162="—",$N162="",$N162=0)),1,0)</f>
        <v>0</v>
      </c>
      <c r="Z162" s="183" t="n">
        <f aca="false">IF(AND($F162="Decision",OR($J162="—",$J162="")),1,0)</f>
        <v>0</v>
      </c>
      <c r="AA162" s="180" t="n">
        <f aca="false">IF(OR($J162="—",$J162=""),0,IF(COUNTIF(Decisions!$A$5:$A$300,$J162)=0,1,0))</f>
        <v>0</v>
      </c>
      <c r="AB162" s="183" t="n">
        <f aca="false">IF(AND($F162="原始數據",$S162&lt;&gt;"Active"),1,0)</f>
        <v>0</v>
      </c>
      <c r="AC162" s="183" t="n">
        <f aca="false">IF(AND(ISNUMBER($K162),ISNUMBER($L162),ISNUMBER($Q162)),IF(OR($Q162&lt;MIN($K162,$L162),$Q162&gt;MAX($K162,$L162)),1,0),0)</f>
        <v>0</v>
      </c>
      <c r="AD162" s="183" t="n">
        <f aca="false">IF(AND(ISNUMBER($T162),$P162="高"),IF($T162=3,1,0),0)</f>
        <v>0</v>
      </c>
      <c r="AE162" s="183" t="n">
        <f aca="false">IF($S162="不存在",1,0)</f>
        <v>0</v>
      </c>
      <c r="AF162" s="34" t="n">
        <f aca="false">IF(OR($H162="—",$H162=""),"—",MATCH($H162,IDX_SrcID,0))</f>
        <v>34</v>
      </c>
    </row>
    <row r="163" customFormat="false" ht="15" hidden="false" customHeight="true" outlineLevel="0" collapsed="false">
      <c r="A163" s="35" t="s">
        <v>3110</v>
      </c>
      <c r="B163" s="209" t="s">
        <v>2677</v>
      </c>
      <c r="C163" s="35" t="s">
        <v>2835</v>
      </c>
      <c r="D163" s="35" t="s">
        <v>3111</v>
      </c>
      <c r="E163" s="6" t="s">
        <v>206</v>
      </c>
      <c r="F163" s="35" t="s">
        <v>72</v>
      </c>
      <c r="G163" s="209" t="s">
        <v>57</v>
      </c>
      <c r="H163" s="35" t="s">
        <v>571</v>
      </c>
      <c r="I163" s="6" t="s">
        <v>571</v>
      </c>
      <c r="J163" s="35" t="s">
        <v>571</v>
      </c>
      <c r="K163" s="182" t="n">
        <f aca="false">Spec_Rack!G34*0.7</f>
        <v>12.6</v>
      </c>
      <c r="L163" s="182" t="n">
        <f aca="false">Spec_Rack!G34*1.3</f>
        <v>23.4</v>
      </c>
      <c r="M163" s="35" t="s">
        <v>2959</v>
      </c>
      <c r="N163" s="6" t="s">
        <v>3088</v>
      </c>
      <c r="O163" s="6" t="s">
        <v>571</v>
      </c>
      <c r="P163" s="209" t="s">
        <v>2682</v>
      </c>
      <c r="Q163" s="40" t="n">
        <f aca="false">Spec_Rack!G34</f>
        <v>18</v>
      </c>
      <c r="R163" s="35" t="s">
        <v>571</v>
      </c>
      <c r="S163" s="34" t="str">
        <f aca="false">IF(ISNUMBER($AF163),INDEX(IDX_SrcStat,$AF163),"—")</f>
        <v>—</v>
      </c>
      <c r="T163" s="34" t="str">
        <f aca="false">IF(ISNUMBER($AF163),INDEX(IDX_SrcGrade,$AF163),"—")</f>
        <v>—</v>
      </c>
      <c r="U163" s="34" t="s">
        <v>2683</v>
      </c>
      <c r="V163" s="183" t="n">
        <f aca="false">IF(AND($F163="原始數據",$U163&lt;&gt;"連結 SRC"),1,0)</f>
        <v>0</v>
      </c>
      <c r="W163" s="183" t="n">
        <f aca="false">IF(AND($F163="Analogy",OR($H163="—",$H163="")),1,0)</f>
        <v>0</v>
      </c>
      <c r="X163" s="183" t="n">
        <f aca="false">IF(AND(OR($F163="Analogy",$F163="Assumed"),$G163&lt;&gt;"低",$G163&lt;&gt;"高",NOT(ISNUMBER($K163)),NOT(ISNUMBER($L163)),OR($M163="—",$M163="")),1,0)</f>
        <v>0</v>
      </c>
      <c r="Y163" s="183" t="n">
        <f aca="false">IF(AND(OR($F163="Analogy",$F163="Assumed",$F163="Derived（待改公式）",$F163="Derived（公式）"),OR($N163="—",$N163="",$N163=0)),1,0)</f>
        <v>0</v>
      </c>
      <c r="Z163" s="183" t="n">
        <f aca="false">IF(AND($F163="Decision",OR($J163="—",$J163="")),1,0)</f>
        <v>0</v>
      </c>
      <c r="AA163" s="180" t="n">
        <f aca="false">IF(OR($J163="—",$J163=""),0,IF(COUNTIF(Decisions!$A$5:$A$300,$J163)=0,1,0))</f>
        <v>0</v>
      </c>
      <c r="AB163" s="183" t="n">
        <f aca="false">IF(AND($F163="原始數據",$S163&lt;&gt;"Active"),1,0)</f>
        <v>0</v>
      </c>
      <c r="AC163" s="183" t="n">
        <f aca="false">IF(AND(ISNUMBER($K163),ISNUMBER($L163),ISNUMBER($Q163)),IF(OR($Q163&lt;MIN($K163,$L163),$Q163&gt;MAX($K163,$L163)),1,0),0)</f>
        <v>0</v>
      </c>
      <c r="AD163" s="183" t="n">
        <f aca="false">IF(AND(ISNUMBER($T163),$P163="高"),IF($T163=3,1,0),0)</f>
        <v>0</v>
      </c>
      <c r="AE163" s="183" t="n">
        <f aca="false">IF($S163="不存在",1,0)</f>
        <v>0</v>
      </c>
      <c r="AF163" s="34" t="str">
        <f aca="false">IF(OR($H163="—",$H163=""),"—",MATCH($H163,IDX_SrcID,0))</f>
        <v>—</v>
      </c>
    </row>
    <row r="164" customFormat="false" ht="15" hidden="false" customHeight="true" outlineLevel="0" collapsed="false">
      <c r="A164" s="35" t="s">
        <v>3112</v>
      </c>
      <c r="B164" s="209" t="s">
        <v>2677</v>
      </c>
      <c r="C164" s="35" t="s">
        <v>2835</v>
      </c>
      <c r="D164" s="35" t="s">
        <v>3113</v>
      </c>
      <c r="E164" s="6" t="s">
        <v>211</v>
      </c>
      <c r="F164" s="209" t="s">
        <v>290</v>
      </c>
      <c r="G164" s="209" t="s">
        <v>2679</v>
      </c>
      <c r="H164" s="35" t="s">
        <v>3114</v>
      </c>
      <c r="I164" s="18" t="s">
        <v>2714</v>
      </c>
      <c r="J164" s="35" t="s">
        <v>571</v>
      </c>
      <c r="K164" s="209"/>
      <c r="L164" s="209"/>
      <c r="M164" s="35" t="s">
        <v>571</v>
      </c>
      <c r="N164" s="18" t="s">
        <v>2812</v>
      </c>
      <c r="O164" s="6" t="s">
        <v>571</v>
      </c>
      <c r="P164" s="209" t="s">
        <v>2682</v>
      </c>
      <c r="Q164" s="37" t="n">
        <f aca="false">Spec_Rack!C39</f>
        <v>0.989</v>
      </c>
      <c r="R164" s="182" t="n">
        <f aca="false">SRC_HW_019</f>
        <v>0.989</v>
      </c>
      <c r="S164" s="34" t="str">
        <f aca="false">IF(ISNUMBER($AF164),INDEX(IDX_SrcStat,$AF164),"—")</f>
        <v>Active</v>
      </c>
      <c r="T164" s="34" t="n">
        <f aca="false">IF(ISNUMBER($AF164),INDEX(IDX_SrcGrade,$AF164),"—")</f>
        <v>3</v>
      </c>
      <c r="U164" s="34" t="s">
        <v>2716</v>
      </c>
      <c r="V164" s="183" t="n">
        <f aca="false">IF(AND($F164="原始數據",$U164&lt;&gt;"連結 SRC"),1,0)</f>
        <v>0</v>
      </c>
      <c r="W164" s="183" t="n">
        <f aca="false">IF(AND($F164="Analogy",OR($H164="—",$H164="")),1,0)</f>
        <v>0</v>
      </c>
      <c r="X164" s="183" t="n">
        <f aca="false">IF(AND(OR($F164="Analogy",$F164="Assumed"),$G164&lt;&gt;"低",$G164&lt;&gt;"高",NOT(ISNUMBER($K164)),NOT(ISNUMBER($L164)),OR($M164="—",$M164="")),1,0)</f>
        <v>0</v>
      </c>
      <c r="Y164" s="183" t="n">
        <f aca="false">IF(AND(OR($F164="Analogy",$F164="Assumed",$F164="Derived（待改公式）",$F164="Derived（公式）"),OR($N164="—",$N164="",$N164=0)),1,0)</f>
        <v>0</v>
      </c>
      <c r="Z164" s="183" t="n">
        <f aca="false">IF(AND($F164="Decision",OR($J164="—",$J164="")),1,0)</f>
        <v>0</v>
      </c>
      <c r="AA164" s="180" t="n">
        <f aca="false">IF(OR($J164="—",$J164=""),0,IF(COUNTIF(Decisions!$A$5:$A$300,$J164)=0,1,0))</f>
        <v>0</v>
      </c>
      <c r="AB164" s="183" t="n">
        <f aca="false">IF(AND($F164="原始數據",$S164&lt;&gt;"Active"),1,0)</f>
        <v>0</v>
      </c>
      <c r="AC164" s="183" t="n">
        <f aca="false">IF(AND(ISNUMBER($K164),ISNUMBER($L164),ISNUMBER($Q164)),IF(OR($Q164&lt;MIN($K164,$L164),$Q164&gt;MAX($K164,$L164)),1,0),0)</f>
        <v>0</v>
      </c>
      <c r="AD164" s="183" t="n">
        <f aca="false">IF(AND(ISNUMBER($T164),$P164="高"),IF($T164=3,1,0),0)</f>
        <v>0</v>
      </c>
      <c r="AE164" s="183" t="n">
        <f aca="false">IF($S164="不存在",1,0)</f>
        <v>0</v>
      </c>
      <c r="AF164" s="34" t="n">
        <f aca="false">IF(OR($H164="—",$H164=""),"—",MATCH($H164,IDX_SrcID,0))</f>
        <v>19</v>
      </c>
    </row>
    <row r="165" customFormat="false" ht="15" hidden="false" customHeight="true" outlineLevel="0" collapsed="false">
      <c r="A165" s="35" t="s">
        <v>3115</v>
      </c>
      <c r="B165" s="209" t="s">
        <v>2677</v>
      </c>
      <c r="C165" s="35" t="s">
        <v>2835</v>
      </c>
      <c r="D165" s="35" t="s">
        <v>3116</v>
      </c>
      <c r="E165" s="6" t="s">
        <v>211</v>
      </c>
      <c r="F165" s="209" t="s">
        <v>290</v>
      </c>
      <c r="G165" s="209" t="s">
        <v>2679</v>
      </c>
      <c r="H165" s="35" t="s">
        <v>3117</v>
      </c>
      <c r="I165" s="18" t="s">
        <v>2714</v>
      </c>
      <c r="J165" s="35" t="s">
        <v>571</v>
      </c>
      <c r="K165" s="209"/>
      <c r="L165" s="209"/>
      <c r="M165" s="35" t="s">
        <v>571</v>
      </c>
      <c r="N165" s="18" t="s">
        <v>2812</v>
      </c>
      <c r="O165" s="6" t="s">
        <v>571</v>
      </c>
      <c r="P165" s="209" t="s">
        <v>2682</v>
      </c>
      <c r="Q165" s="37" t="n">
        <f aca="false">Spec_Rack!D39</f>
        <v>2.5</v>
      </c>
      <c r="R165" s="182" t="n">
        <f aca="false">SRC_HW_042</f>
        <v>2.5</v>
      </c>
      <c r="S165" s="34" t="str">
        <f aca="false">IF(ISNUMBER($AF165),INDEX(IDX_SrcStat,$AF165),"—")</f>
        <v>Active</v>
      </c>
      <c r="T165" s="34" t="n">
        <f aca="false">IF(ISNUMBER($AF165),INDEX(IDX_SrcGrade,$AF165),"—")</f>
        <v>3</v>
      </c>
      <c r="U165" s="34" t="s">
        <v>2716</v>
      </c>
      <c r="V165" s="183" t="n">
        <f aca="false">IF(AND($F165="原始數據",$U165&lt;&gt;"連結 SRC"),1,0)</f>
        <v>0</v>
      </c>
      <c r="W165" s="183" t="n">
        <f aca="false">IF(AND($F165="Analogy",OR($H165="—",$H165="")),1,0)</f>
        <v>0</v>
      </c>
      <c r="X165" s="183" t="n">
        <f aca="false">IF(AND(OR($F165="Analogy",$F165="Assumed"),$G165&lt;&gt;"低",$G165&lt;&gt;"高",NOT(ISNUMBER($K165)),NOT(ISNUMBER($L165)),OR($M165="—",$M165="")),1,0)</f>
        <v>0</v>
      </c>
      <c r="Y165" s="183" t="n">
        <f aca="false">IF(AND(OR($F165="Analogy",$F165="Assumed",$F165="Derived（待改公式）",$F165="Derived（公式）"),OR($N165="—",$N165="",$N165=0)),1,0)</f>
        <v>0</v>
      </c>
      <c r="Z165" s="183" t="n">
        <f aca="false">IF(AND($F165="Decision",OR($J165="—",$J165="")),1,0)</f>
        <v>0</v>
      </c>
      <c r="AA165" s="180" t="n">
        <f aca="false">IF(OR($J165="—",$J165=""),0,IF(COUNTIF(Decisions!$A$5:$A$300,$J165)=0,1,0))</f>
        <v>0</v>
      </c>
      <c r="AB165" s="183" t="n">
        <f aca="false">IF(AND($F165="原始數據",$S165&lt;&gt;"Active"),1,0)</f>
        <v>0</v>
      </c>
      <c r="AC165" s="183" t="n">
        <f aca="false">IF(AND(ISNUMBER($K165),ISNUMBER($L165),ISNUMBER($Q165)),IF(OR($Q165&lt;MIN($K165,$L165),$Q165&gt;MAX($K165,$L165)),1,0),0)</f>
        <v>0</v>
      </c>
      <c r="AD165" s="183" t="n">
        <f aca="false">IF(AND(ISNUMBER($T165),$P165="高"),IF($T165=3,1,0),0)</f>
        <v>0</v>
      </c>
      <c r="AE165" s="183" t="n">
        <f aca="false">IF($S165="不存在",1,0)</f>
        <v>0</v>
      </c>
      <c r="AF165" s="34" t="n">
        <f aca="false">IF(OR($H165="—",$H165=""),"—",MATCH($H165,IDX_SrcID,0))</f>
        <v>42</v>
      </c>
    </row>
    <row r="166" customFormat="false" ht="15" hidden="false" customHeight="true" outlineLevel="0" collapsed="false">
      <c r="A166" s="35" t="s">
        <v>3118</v>
      </c>
      <c r="B166" s="209" t="s">
        <v>2677</v>
      </c>
      <c r="C166" s="35" t="s">
        <v>2835</v>
      </c>
      <c r="D166" s="35" t="s">
        <v>3119</v>
      </c>
      <c r="E166" s="6" t="s">
        <v>211</v>
      </c>
      <c r="F166" s="209" t="s">
        <v>290</v>
      </c>
      <c r="G166" s="209" t="s">
        <v>2679</v>
      </c>
      <c r="H166" s="35" t="s">
        <v>3117</v>
      </c>
      <c r="I166" s="18" t="s">
        <v>2714</v>
      </c>
      <c r="J166" s="35" t="s">
        <v>571</v>
      </c>
      <c r="K166" s="209"/>
      <c r="L166" s="209"/>
      <c r="M166" s="35" t="s">
        <v>571</v>
      </c>
      <c r="N166" s="18" t="s">
        <v>2812</v>
      </c>
      <c r="O166" s="6" t="s">
        <v>571</v>
      </c>
      <c r="P166" s="209" t="s">
        <v>2682</v>
      </c>
      <c r="Q166" s="37" t="n">
        <f aca="false">Spec_Rack!E39</f>
        <v>2.5</v>
      </c>
      <c r="R166" s="182" t="n">
        <f aca="false">SRC_HW_042</f>
        <v>2.5</v>
      </c>
      <c r="S166" s="34" t="str">
        <f aca="false">IF(ISNUMBER($AF166),INDEX(IDX_SrcStat,$AF166),"—")</f>
        <v>Active</v>
      </c>
      <c r="T166" s="34" t="n">
        <f aca="false">IF(ISNUMBER($AF166),INDEX(IDX_SrcGrade,$AF166),"—")</f>
        <v>3</v>
      </c>
      <c r="U166" s="34" t="s">
        <v>2716</v>
      </c>
      <c r="V166" s="183" t="n">
        <f aca="false">IF(AND($F166="原始數據",$U166&lt;&gt;"連結 SRC"),1,0)</f>
        <v>0</v>
      </c>
      <c r="W166" s="183" t="n">
        <f aca="false">IF(AND($F166="Analogy",OR($H166="—",$H166="")),1,0)</f>
        <v>0</v>
      </c>
      <c r="X166" s="183" t="n">
        <f aca="false">IF(AND(OR($F166="Analogy",$F166="Assumed"),$G166&lt;&gt;"低",$G166&lt;&gt;"高",NOT(ISNUMBER($K166)),NOT(ISNUMBER($L166)),OR($M166="—",$M166="")),1,0)</f>
        <v>0</v>
      </c>
      <c r="Y166" s="183" t="n">
        <f aca="false">IF(AND(OR($F166="Analogy",$F166="Assumed",$F166="Derived（待改公式）",$F166="Derived（公式）"),OR($N166="—",$N166="",$N166=0)),1,0)</f>
        <v>0</v>
      </c>
      <c r="Z166" s="183" t="n">
        <f aca="false">IF(AND($F166="Decision",OR($J166="—",$J166="")),1,0)</f>
        <v>0</v>
      </c>
      <c r="AA166" s="180" t="n">
        <f aca="false">IF(OR($J166="—",$J166=""),0,IF(COUNTIF(Decisions!$A$5:$A$300,$J166)=0,1,0))</f>
        <v>0</v>
      </c>
      <c r="AB166" s="183" t="n">
        <f aca="false">IF(AND($F166="原始數據",$S166&lt;&gt;"Active"),1,0)</f>
        <v>0</v>
      </c>
      <c r="AC166" s="183" t="n">
        <f aca="false">IF(AND(ISNUMBER($K166),ISNUMBER($L166),ISNUMBER($Q166)),IF(OR($Q166&lt;MIN($K166,$L166),$Q166&gt;MAX($K166,$L166)),1,0),0)</f>
        <v>0</v>
      </c>
      <c r="AD166" s="183" t="n">
        <f aca="false">IF(AND(ISNUMBER($T166),$P166="高"),IF($T166=3,1,0),0)</f>
        <v>0</v>
      </c>
      <c r="AE166" s="183" t="n">
        <f aca="false">IF($S166="不存在",1,0)</f>
        <v>0</v>
      </c>
      <c r="AF166" s="34" t="n">
        <f aca="false">IF(OR($H166="—",$H166=""),"—",MATCH($H166,IDX_SrcID,0))</f>
        <v>42</v>
      </c>
    </row>
    <row r="167" customFormat="false" ht="15" hidden="false" customHeight="true" outlineLevel="0" collapsed="false">
      <c r="A167" s="35" t="s">
        <v>3120</v>
      </c>
      <c r="B167" s="209" t="s">
        <v>2677</v>
      </c>
      <c r="C167" s="35" t="s">
        <v>2835</v>
      </c>
      <c r="D167" s="35" t="s">
        <v>3121</v>
      </c>
      <c r="E167" s="6" t="s">
        <v>211</v>
      </c>
      <c r="F167" s="209" t="s">
        <v>290</v>
      </c>
      <c r="G167" s="209" t="s">
        <v>2679</v>
      </c>
      <c r="H167" s="35" t="s">
        <v>3122</v>
      </c>
      <c r="I167" s="18" t="s">
        <v>3013</v>
      </c>
      <c r="J167" s="35" t="s">
        <v>571</v>
      </c>
      <c r="K167" s="209"/>
      <c r="L167" s="209"/>
      <c r="M167" s="35" t="s">
        <v>571</v>
      </c>
      <c r="N167" s="18" t="s">
        <v>2812</v>
      </c>
      <c r="O167" s="6" t="s">
        <v>571</v>
      </c>
      <c r="P167" s="209" t="s">
        <v>2682</v>
      </c>
      <c r="Q167" s="37" t="n">
        <f aca="false">Spec_Rack!F39</f>
        <v>4</v>
      </c>
      <c r="R167" s="182" t="n">
        <f aca="false">SRC_HW_039</f>
        <v>288</v>
      </c>
      <c r="S167" s="34" t="str">
        <f aca="false">IF(ISNUMBER($AF167),INDEX(IDX_SrcStat,$AF167),"—")</f>
        <v>Active</v>
      </c>
      <c r="T167" s="34" t="n">
        <f aca="false">IF(ISNUMBER($AF167),INDEX(IDX_SrcGrade,$AF167),"—")</f>
        <v>2</v>
      </c>
      <c r="U167" s="34" t="s">
        <v>2716</v>
      </c>
      <c r="V167" s="183" t="n">
        <f aca="false">IF(AND($F167="原始數據",$U167&lt;&gt;"連結 SRC"),1,0)</f>
        <v>0</v>
      </c>
      <c r="W167" s="183" t="n">
        <f aca="false">IF(AND($F167="Analogy",OR($H167="—",$H167="")),1,0)</f>
        <v>0</v>
      </c>
      <c r="X167" s="183" t="n">
        <f aca="false">IF(AND(OR($F167="Analogy",$F167="Assumed"),$G167&lt;&gt;"低",$G167&lt;&gt;"高",NOT(ISNUMBER($K167)),NOT(ISNUMBER($L167)),OR($M167="—",$M167="")),1,0)</f>
        <v>0</v>
      </c>
      <c r="Y167" s="183" t="n">
        <f aca="false">IF(AND(OR($F167="Analogy",$F167="Assumed",$F167="Derived（待改公式）",$F167="Derived（公式）"),OR($N167="—",$N167="",$N167=0)),1,0)</f>
        <v>0</v>
      </c>
      <c r="Z167" s="183" t="n">
        <f aca="false">IF(AND($F167="Decision",OR($J167="—",$J167="")),1,0)</f>
        <v>0</v>
      </c>
      <c r="AA167" s="180" t="n">
        <f aca="false">IF(OR($J167="—",$J167=""),0,IF(COUNTIF(Decisions!$A$5:$A$300,$J167)=0,1,0))</f>
        <v>0</v>
      </c>
      <c r="AB167" s="183" t="n">
        <f aca="false">IF(AND($F167="原始數據",$S167&lt;&gt;"Active"),1,0)</f>
        <v>0</v>
      </c>
      <c r="AC167" s="183" t="n">
        <f aca="false">IF(AND(ISNUMBER($K167),ISNUMBER($L167),ISNUMBER($Q167)),IF(OR($Q167&lt;MIN($K167,$L167),$Q167&gt;MAX($K167,$L167)),1,0),0)</f>
        <v>0</v>
      </c>
      <c r="AD167" s="183" t="n">
        <f aca="false">IF(AND(ISNUMBER($T167),$P167="高"),IF($T167=3,1,0),0)</f>
        <v>0</v>
      </c>
      <c r="AE167" s="183" t="n">
        <f aca="false">IF($S167="不存在",1,0)</f>
        <v>0</v>
      </c>
      <c r="AF167" s="34" t="n">
        <f aca="false">IF(OR($H167="—",$H167=""),"—",MATCH($H167,IDX_SrcID,0))</f>
        <v>39</v>
      </c>
    </row>
    <row r="168" customFormat="false" ht="15" hidden="false" customHeight="true" outlineLevel="0" collapsed="false">
      <c r="A168" s="35" t="s">
        <v>3123</v>
      </c>
      <c r="B168" s="209" t="s">
        <v>2677</v>
      </c>
      <c r="C168" s="35" t="s">
        <v>2835</v>
      </c>
      <c r="D168" s="35" t="s">
        <v>3124</v>
      </c>
      <c r="E168" s="6" t="s">
        <v>211</v>
      </c>
      <c r="F168" s="35" t="s">
        <v>72</v>
      </c>
      <c r="G168" s="209" t="s">
        <v>57</v>
      </c>
      <c r="H168" s="35" t="s">
        <v>571</v>
      </c>
      <c r="I168" s="6" t="s">
        <v>571</v>
      </c>
      <c r="J168" s="35" t="s">
        <v>571</v>
      </c>
      <c r="K168" s="182" t="n">
        <f aca="false">Spec_Rack!G39*0.7</f>
        <v>5.6</v>
      </c>
      <c r="L168" s="182" t="n">
        <f aca="false">Spec_Rack!G39*1.3</f>
        <v>10.4</v>
      </c>
      <c r="M168" s="35" t="s">
        <v>2959</v>
      </c>
      <c r="N168" s="6" t="s">
        <v>3088</v>
      </c>
      <c r="O168" s="6" t="s">
        <v>571</v>
      </c>
      <c r="P168" s="209" t="s">
        <v>2682</v>
      </c>
      <c r="Q168" s="37" t="n">
        <f aca="false">Spec_Rack!G39</f>
        <v>8</v>
      </c>
      <c r="R168" s="35" t="s">
        <v>571</v>
      </c>
      <c r="S168" s="34" t="str">
        <f aca="false">IF(ISNUMBER($AF168),INDEX(IDX_SrcStat,$AF168),"—")</f>
        <v>—</v>
      </c>
      <c r="T168" s="34" t="str">
        <f aca="false">IF(ISNUMBER($AF168),INDEX(IDX_SrcGrade,$AF168),"—")</f>
        <v>—</v>
      </c>
      <c r="U168" s="34" t="s">
        <v>2683</v>
      </c>
      <c r="V168" s="183" t="n">
        <f aca="false">IF(AND($F168="原始數據",$U168&lt;&gt;"連結 SRC"),1,0)</f>
        <v>0</v>
      </c>
      <c r="W168" s="183" t="n">
        <f aca="false">IF(AND($F168="Analogy",OR($H168="—",$H168="")),1,0)</f>
        <v>0</v>
      </c>
      <c r="X168" s="183" t="n">
        <f aca="false">IF(AND(OR($F168="Analogy",$F168="Assumed"),$G168&lt;&gt;"低",$G168&lt;&gt;"高",NOT(ISNUMBER($K168)),NOT(ISNUMBER($L168)),OR($M168="—",$M168="")),1,0)</f>
        <v>0</v>
      </c>
      <c r="Y168" s="183" t="n">
        <f aca="false">IF(AND(OR($F168="Analogy",$F168="Assumed",$F168="Derived（待改公式）",$F168="Derived（公式）"),OR($N168="—",$N168="",$N168=0)),1,0)</f>
        <v>0</v>
      </c>
      <c r="Z168" s="183" t="n">
        <f aca="false">IF(AND($F168="Decision",OR($J168="—",$J168="")),1,0)</f>
        <v>0</v>
      </c>
      <c r="AA168" s="180" t="n">
        <f aca="false">IF(OR($J168="—",$J168=""),0,IF(COUNTIF(Decisions!$A$5:$A$300,$J168)=0,1,0))</f>
        <v>0</v>
      </c>
      <c r="AB168" s="183" t="n">
        <f aca="false">IF(AND($F168="原始數據",$S168&lt;&gt;"Active"),1,0)</f>
        <v>0</v>
      </c>
      <c r="AC168" s="183" t="n">
        <f aca="false">IF(AND(ISNUMBER($K168),ISNUMBER($L168),ISNUMBER($Q168)),IF(OR($Q168&lt;MIN($K168,$L168),$Q168&gt;MAX($K168,$L168)),1,0),0)</f>
        <v>0</v>
      </c>
      <c r="AD168" s="183" t="n">
        <f aca="false">IF(AND(ISNUMBER($T168),$P168="高"),IF($T168=3,1,0),0)</f>
        <v>0</v>
      </c>
      <c r="AE168" s="183" t="n">
        <f aca="false">IF($S168="不存在",1,0)</f>
        <v>0</v>
      </c>
      <c r="AF168" s="34" t="str">
        <f aca="false">IF(OR($H168="—",$H168=""),"—",MATCH($H168,IDX_SrcID,0))</f>
        <v>—</v>
      </c>
    </row>
    <row r="169" customFormat="false" ht="29.25" hidden="false" customHeight="true" outlineLevel="0" collapsed="false">
      <c r="A169" s="35" t="s">
        <v>3125</v>
      </c>
      <c r="B169" s="209" t="s">
        <v>2677</v>
      </c>
      <c r="C169" s="35" t="s">
        <v>2835</v>
      </c>
      <c r="D169" s="35" t="s">
        <v>3126</v>
      </c>
      <c r="E169" s="6" t="s">
        <v>213</v>
      </c>
      <c r="F169" s="209" t="s">
        <v>290</v>
      </c>
      <c r="G169" s="209" t="s">
        <v>2679</v>
      </c>
      <c r="H169" s="35" t="s">
        <v>2948</v>
      </c>
      <c r="I169" s="18" t="s">
        <v>2714</v>
      </c>
      <c r="J169" s="35" t="s">
        <v>571</v>
      </c>
      <c r="K169" s="209"/>
      <c r="L169" s="209"/>
      <c r="M169" s="35" t="s">
        <v>571</v>
      </c>
      <c r="N169" s="18" t="s">
        <v>2900</v>
      </c>
      <c r="O169" s="6" t="s">
        <v>571</v>
      </c>
      <c r="P169" s="209" t="s">
        <v>2682</v>
      </c>
      <c r="Q169" s="37" t="n">
        <f aca="false">Spec_Rack!C40</f>
        <v>1.979</v>
      </c>
      <c r="R169" s="182" t="n">
        <f aca="false">SRC_HW_040</f>
        <v>1.979</v>
      </c>
      <c r="S169" s="34" t="str">
        <f aca="false">IF(ISNUMBER($AF169),INDEX(IDX_SrcStat,$AF169),"—")</f>
        <v>Active</v>
      </c>
      <c r="T169" s="34" t="n">
        <f aca="false">IF(ISNUMBER($AF169),INDEX(IDX_SrcGrade,$AF169),"—")</f>
        <v>1</v>
      </c>
      <c r="U169" s="34" t="s">
        <v>2716</v>
      </c>
      <c r="V169" s="183" t="n">
        <f aca="false">IF(AND($F169="原始數據",$U169&lt;&gt;"連結 SRC"),1,0)</f>
        <v>0</v>
      </c>
      <c r="W169" s="183" t="n">
        <f aca="false">IF(AND($F169="Analogy",OR($H169="—",$H169="")),1,0)</f>
        <v>0</v>
      </c>
      <c r="X169" s="183" t="n">
        <f aca="false">IF(AND(OR($F169="Analogy",$F169="Assumed"),$G169&lt;&gt;"低",$G169&lt;&gt;"高",NOT(ISNUMBER($K169)),NOT(ISNUMBER($L169)),OR($M169="—",$M169="")),1,0)</f>
        <v>0</v>
      </c>
      <c r="Y169" s="183" t="n">
        <f aca="false">IF(AND(OR($F169="Analogy",$F169="Assumed",$F169="Derived（待改公式）",$F169="Derived（公式）"),OR($N169="—",$N169="",$N169=0)),1,0)</f>
        <v>0</v>
      </c>
      <c r="Z169" s="183" t="n">
        <f aca="false">IF(AND($F169="Decision",OR($J169="—",$J169="")),1,0)</f>
        <v>0</v>
      </c>
      <c r="AA169" s="180" t="n">
        <f aca="false">IF(OR($J169="—",$J169=""),0,IF(COUNTIF(Decisions!$A$5:$A$300,$J169)=0,1,0))</f>
        <v>0</v>
      </c>
      <c r="AB169" s="183" t="n">
        <f aca="false">IF(AND($F169="原始數據",$S169&lt;&gt;"Active"),1,0)</f>
        <v>0</v>
      </c>
      <c r="AC169" s="183" t="n">
        <f aca="false">IF(AND(ISNUMBER($K169),ISNUMBER($L169),ISNUMBER($Q169)),IF(OR($Q169&lt;MIN($K169,$L169),$Q169&gt;MAX($K169,$L169)),1,0),0)</f>
        <v>0</v>
      </c>
      <c r="AD169" s="183" t="n">
        <f aca="false">IF(AND(ISNUMBER($T169),$P169="高"),IF($T169=3,1,0),0)</f>
        <v>0</v>
      </c>
      <c r="AE169" s="183" t="n">
        <f aca="false">IF($S169="不存在",1,0)</f>
        <v>0</v>
      </c>
      <c r="AF169" s="34" t="n">
        <f aca="false">IF(OR($H169="—",$H169=""),"—",MATCH($H169,IDX_SrcID,0))</f>
        <v>40</v>
      </c>
    </row>
    <row r="170" customFormat="false" ht="29.25" hidden="false" customHeight="true" outlineLevel="0" collapsed="false">
      <c r="A170" s="35" t="s">
        <v>3127</v>
      </c>
      <c r="B170" s="209" t="s">
        <v>2677</v>
      </c>
      <c r="C170" s="35" t="s">
        <v>2835</v>
      </c>
      <c r="D170" s="35" t="s">
        <v>3128</v>
      </c>
      <c r="E170" s="6" t="s">
        <v>213</v>
      </c>
      <c r="F170" s="209" t="s">
        <v>290</v>
      </c>
      <c r="G170" s="209" t="s">
        <v>2679</v>
      </c>
      <c r="H170" s="35" t="s">
        <v>3129</v>
      </c>
      <c r="I170" s="18" t="s">
        <v>2714</v>
      </c>
      <c r="J170" s="35" t="s">
        <v>571</v>
      </c>
      <c r="K170" s="209"/>
      <c r="L170" s="209"/>
      <c r="M170" s="35" t="s">
        <v>571</v>
      </c>
      <c r="N170" s="18" t="s">
        <v>2900</v>
      </c>
      <c r="O170" s="6" t="s">
        <v>571</v>
      </c>
      <c r="P170" s="209" t="s">
        <v>2682</v>
      </c>
      <c r="Q170" s="37" t="n">
        <f aca="false">Spec_Rack!D40</f>
        <v>5</v>
      </c>
      <c r="R170" s="182" t="n">
        <f aca="false">SRC_HW_043</f>
        <v>5</v>
      </c>
      <c r="S170" s="34" t="str">
        <f aca="false">IF(ISNUMBER($AF170),INDEX(IDX_SrcStat,$AF170),"—")</f>
        <v>Active</v>
      </c>
      <c r="T170" s="34" t="n">
        <f aca="false">IF(ISNUMBER($AF170),INDEX(IDX_SrcGrade,$AF170),"—")</f>
        <v>1</v>
      </c>
      <c r="U170" s="34" t="s">
        <v>2716</v>
      </c>
      <c r="V170" s="183" t="n">
        <f aca="false">IF(AND($F170="原始數據",$U170&lt;&gt;"連結 SRC"),1,0)</f>
        <v>0</v>
      </c>
      <c r="W170" s="183" t="n">
        <f aca="false">IF(AND($F170="Analogy",OR($H170="—",$H170="")),1,0)</f>
        <v>0</v>
      </c>
      <c r="X170" s="183" t="n">
        <f aca="false">IF(AND(OR($F170="Analogy",$F170="Assumed"),$G170&lt;&gt;"低",$G170&lt;&gt;"高",NOT(ISNUMBER($K170)),NOT(ISNUMBER($L170)),OR($M170="—",$M170="")),1,0)</f>
        <v>0</v>
      </c>
      <c r="Y170" s="183" t="n">
        <f aca="false">IF(AND(OR($F170="Analogy",$F170="Assumed",$F170="Derived（待改公式）",$F170="Derived（公式）"),OR($N170="—",$N170="",$N170=0)),1,0)</f>
        <v>0</v>
      </c>
      <c r="Z170" s="183" t="n">
        <f aca="false">IF(AND($F170="Decision",OR($J170="—",$J170="")),1,0)</f>
        <v>0</v>
      </c>
      <c r="AA170" s="180" t="n">
        <f aca="false">IF(OR($J170="—",$J170=""),0,IF(COUNTIF(Decisions!$A$5:$A$300,$J170)=0,1,0))</f>
        <v>0</v>
      </c>
      <c r="AB170" s="183" t="n">
        <f aca="false">IF(AND($F170="原始數據",$S170&lt;&gt;"Active"),1,0)</f>
        <v>0</v>
      </c>
      <c r="AC170" s="183" t="n">
        <f aca="false">IF(AND(ISNUMBER($K170),ISNUMBER($L170),ISNUMBER($Q170)),IF(OR($Q170&lt;MIN($K170,$L170),$Q170&gt;MAX($K170,$L170)),1,0),0)</f>
        <v>0</v>
      </c>
      <c r="AD170" s="183" t="n">
        <f aca="false">IF(AND(ISNUMBER($T170),$P170="高"),IF($T170=3,1,0),0)</f>
        <v>0</v>
      </c>
      <c r="AE170" s="183" t="n">
        <f aca="false">IF($S170="不存在",1,0)</f>
        <v>0</v>
      </c>
      <c r="AF170" s="34" t="n">
        <f aca="false">IF(OR($H170="—",$H170=""),"—",MATCH($H170,IDX_SrcID,0))</f>
        <v>43</v>
      </c>
    </row>
    <row r="171" customFormat="false" ht="29.25" hidden="false" customHeight="true" outlineLevel="0" collapsed="false">
      <c r="A171" s="35" t="s">
        <v>3130</v>
      </c>
      <c r="B171" s="209" t="s">
        <v>2677</v>
      </c>
      <c r="C171" s="35" t="s">
        <v>2835</v>
      </c>
      <c r="D171" s="35" t="s">
        <v>3131</v>
      </c>
      <c r="E171" s="6" t="s">
        <v>213</v>
      </c>
      <c r="F171" s="209" t="s">
        <v>290</v>
      </c>
      <c r="G171" s="209" t="s">
        <v>2679</v>
      </c>
      <c r="H171" s="35" t="s">
        <v>3129</v>
      </c>
      <c r="I171" s="18" t="s">
        <v>2714</v>
      </c>
      <c r="J171" s="35" t="s">
        <v>571</v>
      </c>
      <c r="K171" s="209"/>
      <c r="L171" s="209"/>
      <c r="M171" s="35" t="s">
        <v>571</v>
      </c>
      <c r="N171" s="18" t="s">
        <v>2900</v>
      </c>
      <c r="O171" s="6" t="s">
        <v>571</v>
      </c>
      <c r="P171" s="209" t="s">
        <v>2682</v>
      </c>
      <c r="Q171" s="37" t="n">
        <f aca="false">Spec_Rack!E40</f>
        <v>5</v>
      </c>
      <c r="R171" s="182" t="n">
        <f aca="false">SRC_HW_043</f>
        <v>5</v>
      </c>
      <c r="S171" s="34" t="str">
        <f aca="false">IF(ISNUMBER($AF171),INDEX(IDX_SrcStat,$AF171),"—")</f>
        <v>Active</v>
      </c>
      <c r="T171" s="34" t="n">
        <f aca="false">IF(ISNUMBER($AF171),INDEX(IDX_SrcGrade,$AF171),"—")</f>
        <v>1</v>
      </c>
      <c r="U171" s="34" t="s">
        <v>2716</v>
      </c>
      <c r="V171" s="183" t="n">
        <f aca="false">IF(AND($F171="原始數據",$U171&lt;&gt;"連結 SRC"),1,0)</f>
        <v>0</v>
      </c>
      <c r="W171" s="183" t="n">
        <f aca="false">IF(AND($F171="Analogy",OR($H171="—",$H171="")),1,0)</f>
        <v>0</v>
      </c>
      <c r="X171" s="183" t="n">
        <f aca="false">IF(AND(OR($F171="Analogy",$F171="Assumed"),$G171&lt;&gt;"低",$G171&lt;&gt;"高",NOT(ISNUMBER($K171)),NOT(ISNUMBER($L171)),OR($M171="—",$M171="")),1,0)</f>
        <v>0</v>
      </c>
      <c r="Y171" s="183" t="n">
        <f aca="false">IF(AND(OR($F171="Analogy",$F171="Assumed",$F171="Derived（待改公式）",$F171="Derived（公式）"),OR($N171="—",$N171="",$N171=0)),1,0)</f>
        <v>0</v>
      </c>
      <c r="Z171" s="183" t="n">
        <f aca="false">IF(AND($F171="Decision",OR($J171="—",$J171="")),1,0)</f>
        <v>0</v>
      </c>
      <c r="AA171" s="180" t="n">
        <f aca="false">IF(OR($J171="—",$J171=""),0,IF(COUNTIF(Decisions!$A$5:$A$300,$J171)=0,1,0))</f>
        <v>0</v>
      </c>
      <c r="AB171" s="183" t="n">
        <f aca="false">IF(AND($F171="原始數據",$S171&lt;&gt;"Active"),1,0)</f>
        <v>0</v>
      </c>
      <c r="AC171" s="183" t="n">
        <f aca="false">IF(AND(ISNUMBER($K171),ISNUMBER($L171),ISNUMBER($Q171)),IF(OR($Q171&lt;MIN($K171,$L171),$Q171&gt;MAX($K171,$L171)),1,0),0)</f>
        <v>0</v>
      </c>
      <c r="AD171" s="183" t="n">
        <f aca="false">IF(AND(ISNUMBER($T171),$P171="高"),IF($T171=3,1,0),0)</f>
        <v>0</v>
      </c>
      <c r="AE171" s="183" t="n">
        <f aca="false">IF($S171="不存在",1,0)</f>
        <v>0</v>
      </c>
      <c r="AF171" s="34" t="n">
        <f aca="false">IF(OR($H171="—",$H171=""),"—",MATCH($H171,IDX_SrcID,0))</f>
        <v>43</v>
      </c>
    </row>
    <row r="172" customFormat="false" ht="29.25" hidden="false" customHeight="true" outlineLevel="0" collapsed="false">
      <c r="A172" s="35" t="s">
        <v>3132</v>
      </c>
      <c r="B172" s="209" t="s">
        <v>2677</v>
      </c>
      <c r="C172" s="35" t="s">
        <v>2835</v>
      </c>
      <c r="D172" s="35" t="s">
        <v>3133</v>
      </c>
      <c r="E172" s="6" t="s">
        <v>213</v>
      </c>
      <c r="F172" s="209" t="s">
        <v>290</v>
      </c>
      <c r="G172" s="209" t="s">
        <v>2679</v>
      </c>
      <c r="H172" s="35" t="s">
        <v>3134</v>
      </c>
      <c r="I172" s="18" t="s">
        <v>3013</v>
      </c>
      <c r="J172" s="35" t="s">
        <v>571</v>
      </c>
      <c r="K172" s="209"/>
      <c r="L172" s="209"/>
      <c r="M172" s="35" t="s">
        <v>571</v>
      </c>
      <c r="N172" s="18" t="s">
        <v>2900</v>
      </c>
      <c r="O172" s="6" t="s">
        <v>571</v>
      </c>
      <c r="P172" s="209" t="s">
        <v>2682</v>
      </c>
      <c r="Q172" s="37" t="n">
        <f aca="false">Spec_Rack!F40</f>
        <v>17.5</v>
      </c>
      <c r="R172" s="182" t="n">
        <f aca="false">SRC_HW_038</f>
        <v>1260</v>
      </c>
      <c r="S172" s="34" t="str">
        <f aca="false">IF(ISNUMBER($AF172),INDEX(IDX_SrcStat,$AF172),"—")</f>
        <v>Active</v>
      </c>
      <c r="T172" s="34" t="n">
        <f aca="false">IF(ISNUMBER($AF172),INDEX(IDX_SrcGrade,$AF172),"—")</f>
        <v>2</v>
      </c>
      <c r="U172" s="34" t="s">
        <v>2716</v>
      </c>
      <c r="V172" s="183" t="n">
        <f aca="false">IF(AND($F172="原始數據",$U172&lt;&gt;"連結 SRC"),1,0)</f>
        <v>0</v>
      </c>
      <c r="W172" s="183" t="n">
        <f aca="false">IF(AND($F172="Analogy",OR($H172="—",$H172="")),1,0)</f>
        <v>0</v>
      </c>
      <c r="X172" s="183" t="n">
        <f aca="false">IF(AND(OR($F172="Analogy",$F172="Assumed"),$G172&lt;&gt;"低",$G172&lt;&gt;"高",NOT(ISNUMBER($K172)),NOT(ISNUMBER($L172)),OR($M172="—",$M172="")),1,0)</f>
        <v>0</v>
      </c>
      <c r="Y172" s="183" t="n">
        <f aca="false">IF(AND(OR($F172="Analogy",$F172="Assumed",$F172="Derived（待改公式）",$F172="Derived（公式）"),OR($N172="—",$N172="",$N172=0)),1,0)</f>
        <v>0</v>
      </c>
      <c r="Z172" s="183" t="n">
        <f aca="false">IF(AND($F172="Decision",OR($J172="—",$J172="")),1,0)</f>
        <v>0</v>
      </c>
      <c r="AA172" s="180" t="n">
        <f aca="false">IF(OR($J172="—",$J172=""),0,IF(COUNTIF(Decisions!$A$5:$A$300,$J172)=0,1,0))</f>
        <v>0</v>
      </c>
      <c r="AB172" s="183" t="n">
        <f aca="false">IF(AND($F172="原始數據",$S172&lt;&gt;"Active"),1,0)</f>
        <v>0</v>
      </c>
      <c r="AC172" s="183" t="n">
        <f aca="false">IF(AND(ISNUMBER($K172),ISNUMBER($L172),ISNUMBER($Q172)),IF(OR($Q172&lt;MIN($K172,$L172),$Q172&gt;MAX($K172,$L172)),1,0),0)</f>
        <v>0</v>
      </c>
      <c r="AD172" s="183" t="n">
        <f aca="false">IF(AND(ISNUMBER($T172),$P172="高"),IF($T172=3,1,0),0)</f>
        <v>0</v>
      </c>
      <c r="AE172" s="183" t="n">
        <f aca="false">IF($S172="不存在",1,0)</f>
        <v>0</v>
      </c>
      <c r="AF172" s="34" t="n">
        <f aca="false">IF(OR($H172="—",$H172=""),"—",MATCH($H172,IDX_SrcID,0))</f>
        <v>38</v>
      </c>
    </row>
    <row r="173" customFormat="false" ht="43.5" hidden="false" customHeight="true" outlineLevel="0" collapsed="false">
      <c r="A173" s="35" t="s">
        <v>3135</v>
      </c>
      <c r="B173" s="209" t="s">
        <v>2677</v>
      </c>
      <c r="C173" s="35" t="s">
        <v>2835</v>
      </c>
      <c r="D173" s="35" t="s">
        <v>3136</v>
      </c>
      <c r="E173" s="6" t="s">
        <v>213</v>
      </c>
      <c r="F173" s="209" t="s">
        <v>250</v>
      </c>
      <c r="G173" s="209" t="s">
        <v>2679</v>
      </c>
      <c r="H173" s="35" t="s">
        <v>2957</v>
      </c>
      <c r="I173" s="18" t="s">
        <v>3137</v>
      </c>
      <c r="J173" s="35" t="s">
        <v>571</v>
      </c>
      <c r="K173" s="209"/>
      <c r="L173" s="209"/>
      <c r="M173" s="35" t="s">
        <v>571</v>
      </c>
      <c r="N173" s="18" t="s">
        <v>3138</v>
      </c>
      <c r="O173" s="5" t="s">
        <v>2977</v>
      </c>
      <c r="P173" s="209" t="s">
        <v>2682</v>
      </c>
      <c r="Q173" s="37" t="n">
        <f aca="false">Spec_Rack!G40</f>
        <v>35</v>
      </c>
      <c r="R173" s="182" t="n">
        <f aca="false">SRC_HW_063</f>
        <v>2520</v>
      </c>
      <c r="S173" s="34" t="str">
        <f aca="false">IF(ISNUMBER($AF173),INDEX(IDX_SrcStat,$AF173),"—")</f>
        <v>Active</v>
      </c>
      <c r="T173" s="34" t="n">
        <f aca="false">IF(ISNUMBER($AF173),INDEX(IDX_SrcGrade,$AF173),"—")</f>
        <v>1</v>
      </c>
      <c r="U173" s="34" t="s">
        <v>2683</v>
      </c>
      <c r="V173" s="183" t="n">
        <f aca="false">IF(AND($F173="原始數據",$U173&lt;&gt;"連結 SRC"),1,0)</f>
        <v>0</v>
      </c>
      <c r="W173" s="183" t="n">
        <f aca="false">IF(AND($F173="Analogy",OR($H173="—",$H173="")),1,0)</f>
        <v>0</v>
      </c>
      <c r="X173" s="183" t="n">
        <f aca="false">IF(AND(OR($F173="Analogy",$F173="Assumed"),$G173&lt;&gt;"低",$G173&lt;&gt;"高",NOT(ISNUMBER($K173)),NOT(ISNUMBER($L173)),OR($M173="—",$M173="")),1,0)</f>
        <v>0</v>
      </c>
      <c r="Y173" s="183" t="n">
        <f aca="false">IF(AND(OR($F173="Analogy",$F173="Assumed",$F173="Derived（待改公式）",$F173="Derived（公式）"),OR($N173="—",$N173="",$N173=0)),1,0)</f>
        <v>0</v>
      </c>
      <c r="Z173" s="183" t="n">
        <f aca="false">IF(AND($F173="Decision",OR($J173="—",$J173="")),1,0)</f>
        <v>0</v>
      </c>
      <c r="AA173" s="180" t="n">
        <f aca="false">IF(OR($J173="—",$J173=""),0,IF(COUNTIF(Decisions!$A$5:$A$300,$J173)=0,1,0))</f>
        <v>0</v>
      </c>
      <c r="AB173" s="183" t="n">
        <f aca="false">IF(AND($F173="原始數據",$S173&lt;&gt;"Active"),1,0)</f>
        <v>0</v>
      </c>
      <c r="AC173" s="183" t="n">
        <f aca="false">IF(AND(ISNUMBER($K173),ISNUMBER($L173),ISNUMBER($Q173)),IF(OR($Q173&lt;MIN($K173,$L173),$Q173&gt;MAX($K173,$L173)),1,0),0)</f>
        <v>0</v>
      </c>
      <c r="AD173" s="183" t="n">
        <f aca="false">IF(AND(ISNUMBER($T173),$P173="高"),IF($T173=3,1,0),0)</f>
        <v>0</v>
      </c>
      <c r="AE173" s="183" t="n">
        <f aca="false">IF($S173="不存在",1,0)</f>
        <v>0</v>
      </c>
      <c r="AF173" s="34" t="n">
        <f aca="false">IF(OR($H173="—",$H173=""),"—",MATCH($H173,IDX_SrcID,0))</f>
        <v>63</v>
      </c>
    </row>
    <row r="174" customFormat="false" ht="43.5" hidden="false" customHeight="true" outlineLevel="0" collapsed="false">
      <c r="A174" s="35" t="s">
        <v>3139</v>
      </c>
      <c r="B174" s="209" t="s">
        <v>2677</v>
      </c>
      <c r="C174" s="35" t="s">
        <v>2835</v>
      </c>
      <c r="D174" s="35" t="s">
        <v>3140</v>
      </c>
      <c r="E174" s="6" t="s">
        <v>215</v>
      </c>
      <c r="F174" s="35" t="s">
        <v>2965</v>
      </c>
      <c r="G174" s="209" t="s">
        <v>2679</v>
      </c>
      <c r="H174" s="35" t="s">
        <v>571</v>
      </c>
      <c r="I174" s="6" t="s">
        <v>571</v>
      </c>
      <c r="J174" s="35" t="s">
        <v>571</v>
      </c>
      <c r="K174" s="209"/>
      <c r="L174" s="209"/>
      <c r="M174" s="35" t="s">
        <v>571</v>
      </c>
      <c r="N174" s="6" t="s">
        <v>3141</v>
      </c>
      <c r="O174" s="6" t="s">
        <v>571</v>
      </c>
      <c r="P174" s="209" t="s">
        <v>2682</v>
      </c>
      <c r="Q174" s="37" t="n">
        <f aca="false">Spec_Rack!C41</f>
        <v>1.979</v>
      </c>
      <c r="R174" s="35" t="s">
        <v>571</v>
      </c>
      <c r="S174" s="34" t="str">
        <f aca="false">IF(ISNUMBER($AF174),INDEX(IDX_SrcStat,$AF174),"—")</f>
        <v>—</v>
      </c>
      <c r="T174" s="34" t="str">
        <f aca="false">IF(ISNUMBER($AF174),INDEX(IDX_SrcGrade,$AF174),"—")</f>
        <v>—</v>
      </c>
      <c r="U174" s="34" t="s">
        <v>2912</v>
      </c>
      <c r="V174" s="183" t="n">
        <f aca="false">IF(AND($F174="原始數據",$U174&lt;&gt;"連結 SRC"),1,0)</f>
        <v>0</v>
      </c>
      <c r="W174" s="183" t="n">
        <f aca="false">IF(AND($F174="Analogy",OR($H174="—",$H174="")),1,0)</f>
        <v>0</v>
      </c>
      <c r="X174" s="183" t="n">
        <f aca="false">IF(AND(OR($F174="Analogy",$F174="Assumed"),$G174&lt;&gt;"低",$G174&lt;&gt;"高",NOT(ISNUMBER($K174)),NOT(ISNUMBER($L174)),OR($M174="—",$M174="")),1,0)</f>
        <v>0</v>
      </c>
      <c r="Y174" s="183" t="n">
        <f aca="false">IF(AND(OR($F174="Analogy",$F174="Assumed",$F174="Derived（待改公式）",$F174="Derived（公式）"),OR($N174="—",$N174="",$N174=0)),1,0)</f>
        <v>0</v>
      </c>
      <c r="Z174" s="183" t="n">
        <f aca="false">IF(AND($F174="Decision",OR($J174="—",$J174="")),1,0)</f>
        <v>0</v>
      </c>
      <c r="AA174" s="180" t="n">
        <f aca="false">IF(OR($J174="—",$J174=""),0,IF(COUNTIF(Decisions!$A$5:$A$300,$J174)=0,1,0))</f>
        <v>0</v>
      </c>
      <c r="AB174" s="183" t="n">
        <f aca="false">IF(AND($F174="原始數據",$S174&lt;&gt;"Active"),1,0)</f>
        <v>0</v>
      </c>
      <c r="AC174" s="183" t="n">
        <f aca="false">IF(AND(ISNUMBER($K174),ISNUMBER($L174),ISNUMBER($Q174)),IF(OR($Q174&lt;MIN($K174,$L174),$Q174&gt;MAX($K174,$L174)),1,0),0)</f>
        <v>0</v>
      </c>
      <c r="AD174" s="183" t="n">
        <f aca="false">IF(AND(ISNUMBER($T174),$P174="高"),IF($T174=3,1,0),0)</f>
        <v>0</v>
      </c>
      <c r="AE174" s="183" t="n">
        <f aca="false">IF($S174="不存在",1,0)</f>
        <v>0</v>
      </c>
      <c r="AF174" s="34" t="str">
        <f aca="false">IF(OR($H174="—",$H174=""),"—",MATCH($H174,IDX_SrcID,0))</f>
        <v>—</v>
      </c>
    </row>
    <row r="175" customFormat="false" ht="69" hidden="false" customHeight="true" outlineLevel="0" collapsed="false">
      <c r="A175" s="35" t="s">
        <v>3142</v>
      </c>
      <c r="B175" s="209" t="s">
        <v>2677</v>
      </c>
      <c r="C175" s="35" t="s">
        <v>2835</v>
      </c>
      <c r="D175" s="35" t="s">
        <v>3143</v>
      </c>
      <c r="E175" s="6" t="s">
        <v>215</v>
      </c>
      <c r="F175" s="35" t="s">
        <v>76</v>
      </c>
      <c r="G175" s="209" t="s">
        <v>2679</v>
      </c>
      <c r="H175" s="35" t="s">
        <v>3144</v>
      </c>
      <c r="I175" s="18" t="s">
        <v>3145</v>
      </c>
      <c r="J175" s="35" t="s">
        <v>571</v>
      </c>
      <c r="K175" s="211" t="n">
        <v>5</v>
      </c>
      <c r="L175" s="211" t="n">
        <v>10</v>
      </c>
      <c r="M175" s="35" t="s">
        <v>3146</v>
      </c>
      <c r="N175" s="210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5" s="6" t="s">
        <v>571</v>
      </c>
      <c r="P175" s="209" t="s">
        <v>2682</v>
      </c>
      <c r="Q175" s="37" t="n">
        <f aca="false">Spec_Rack!D41</f>
        <v>10</v>
      </c>
      <c r="R175" s="182" t="n">
        <f aca="false">SRC_HW_037</f>
        <v>2520</v>
      </c>
      <c r="S175" s="34" t="str">
        <f aca="false">IF(ISNUMBER($AF175),INDEX(IDX_SrcStat,$AF175),"—")</f>
        <v>Active</v>
      </c>
      <c r="T175" s="34" t="n">
        <f aca="false">IF(ISNUMBER($AF175),INDEX(IDX_SrcGrade,$AF175),"—")</f>
        <v>2</v>
      </c>
      <c r="U175" s="34" t="s">
        <v>2683</v>
      </c>
      <c r="V175" s="183" t="n">
        <f aca="false">IF(AND($F175="原始數據",$U175&lt;&gt;"連結 SRC"),1,0)</f>
        <v>0</v>
      </c>
      <c r="W175" s="183" t="n">
        <f aca="false">IF(AND($F175="Analogy",OR($H175="—",$H175="")),1,0)</f>
        <v>0</v>
      </c>
      <c r="X175" s="183" t="n">
        <f aca="false">IF(AND(OR($F175="Analogy",$F175="Assumed"),$G175&lt;&gt;"低",$G175&lt;&gt;"高",NOT(ISNUMBER($K175)),NOT(ISNUMBER($L175)),OR($M175="—",$M175="")),1,0)</f>
        <v>0</v>
      </c>
      <c r="Y175" s="183" t="n">
        <f aca="false">IF(AND(OR($F175="Analogy",$F175="Assumed",$F175="Derived（待改公式）",$F175="Derived（公式）"),OR($N175="—",$N175="",$N175=0)),1,0)</f>
        <v>0</v>
      </c>
      <c r="Z175" s="183" t="n">
        <f aca="false">IF(AND($F175="Decision",OR($J175="—",$J175="")),1,0)</f>
        <v>0</v>
      </c>
      <c r="AA175" s="180" t="n">
        <f aca="false">IF(OR($J175="—",$J175=""),0,IF(COUNTIF(Decisions!$A$5:$A$300,$J175)=0,1,0))</f>
        <v>0</v>
      </c>
      <c r="AB175" s="183" t="n">
        <f aca="false">IF(AND($F175="原始數據",$S175&lt;&gt;"Active"),1,0)</f>
        <v>0</v>
      </c>
      <c r="AC175" s="183" t="n">
        <f aca="false">IF(AND(ISNUMBER($K175),ISNUMBER($L175),ISNUMBER($Q175)),IF(OR($Q175&lt;MIN($K175,$L175),$Q175&gt;MAX($K175,$L175)),1,0),0)</f>
        <v>0</v>
      </c>
      <c r="AD175" s="183" t="n">
        <f aca="false">IF(AND(ISNUMBER($T175),$P175="高"),IF($T175=3,1,0),0)</f>
        <v>0</v>
      </c>
      <c r="AE175" s="183" t="n">
        <f aca="false">IF($S175="不存在",1,0)</f>
        <v>0</v>
      </c>
      <c r="AF175" s="34" t="n">
        <f aca="false">IF(OR($H175="—",$H175=""),"—",MATCH($H175,IDX_SrcID,0))</f>
        <v>37</v>
      </c>
    </row>
    <row r="176" customFormat="false" ht="69" hidden="false" customHeight="true" outlineLevel="0" collapsed="false">
      <c r="A176" s="35" t="s">
        <v>3147</v>
      </c>
      <c r="B176" s="209" t="s">
        <v>2677</v>
      </c>
      <c r="C176" s="35" t="s">
        <v>2835</v>
      </c>
      <c r="D176" s="35" t="s">
        <v>3148</v>
      </c>
      <c r="E176" s="6" t="s">
        <v>215</v>
      </c>
      <c r="F176" s="35" t="s">
        <v>72</v>
      </c>
      <c r="G176" s="209" t="s">
        <v>2679</v>
      </c>
      <c r="H176" s="35" t="s">
        <v>571</v>
      </c>
      <c r="I176" s="6" t="s">
        <v>571</v>
      </c>
      <c r="J176" s="35" t="s">
        <v>571</v>
      </c>
      <c r="K176" s="211" t="n">
        <v>10</v>
      </c>
      <c r="L176" s="211" t="n">
        <v>15</v>
      </c>
      <c r="M176" s="35" t="s">
        <v>3149</v>
      </c>
      <c r="N176" s="210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6" s="6" t="s">
        <v>571</v>
      </c>
      <c r="P176" s="209" t="s">
        <v>2682</v>
      </c>
      <c r="Q176" s="37" t="n">
        <f aca="false">Spec_Rack!E41</f>
        <v>15</v>
      </c>
      <c r="R176" s="35" t="s">
        <v>571</v>
      </c>
      <c r="S176" s="34" t="str">
        <f aca="false">IF(ISNUMBER($AF176),INDEX(IDX_SrcStat,$AF176),"—")</f>
        <v>—</v>
      </c>
      <c r="T176" s="34" t="str">
        <f aca="false">IF(ISNUMBER($AF176),INDEX(IDX_SrcGrade,$AF176),"—")</f>
        <v>—</v>
      </c>
      <c r="U176" s="34" t="s">
        <v>2683</v>
      </c>
      <c r="V176" s="183" t="n">
        <f aca="false">IF(AND($F176="原始數據",$U176&lt;&gt;"連結 SRC"),1,0)</f>
        <v>0</v>
      </c>
      <c r="W176" s="183" t="n">
        <f aca="false">IF(AND($F176="Analogy",OR($H176="—",$H176="")),1,0)</f>
        <v>0</v>
      </c>
      <c r="X176" s="183" t="n">
        <f aca="false">IF(AND(OR($F176="Analogy",$F176="Assumed"),$G176&lt;&gt;"低",$G176&lt;&gt;"高",NOT(ISNUMBER($K176)),NOT(ISNUMBER($L176)),OR($M176="—",$M176="")),1,0)</f>
        <v>0</v>
      </c>
      <c r="Y176" s="183" t="n">
        <f aca="false">IF(AND(OR($F176="Analogy",$F176="Assumed",$F176="Derived（待改公式）",$F176="Derived（公式）"),OR($N176="—",$N176="",$N176=0)),1,0)</f>
        <v>0</v>
      </c>
      <c r="Z176" s="183" t="n">
        <f aca="false">IF(AND($F176="Decision",OR($J176="—",$J176="")),1,0)</f>
        <v>0</v>
      </c>
      <c r="AA176" s="180" t="n">
        <f aca="false">IF(OR($J176="—",$J176=""),0,IF(COUNTIF(Decisions!$A$5:$A$300,$J176)=0,1,0))</f>
        <v>0</v>
      </c>
      <c r="AB176" s="183" t="n">
        <f aca="false">IF(AND($F176="原始數據",$S176&lt;&gt;"Active"),1,0)</f>
        <v>0</v>
      </c>
      <c r="AC176" s="183" t="n">
        <f aca="false">IF(AND(ISNUMBER($K176),ISNUMBER($L176),ISNUMBER($Q176)),IF(OR($Q176&lt;MIN($K176,$L176),$Q176&gt;MAX($K176,$L176)),1,0),0)</f>
        <v>0</v>
      </c>
      <c r="AD176" s="183" t="n">
        <f aca="false">IF(AND(ISNUMBER($T176),$P176="高"),IF($T176=3,1,0),0)</f>
        <v>0</v>
      </c>
      <c r="AE176" s="183" t="n">
        <f aca="false">IF($S176="不存在",1,0)</f>
        <v>0</v>
      </c>
      <c r="AF176" s="34" t="str">
        <f aca="false">IF(OR($H176="—",$H176=""),"—",MATCH($H176,IDX_SrcID,0))</f>
        <v>—</v>
      </c>
    </row>
    <row r="177" customFormat="false" ht="43.5" hidden="false" customHeight="true" outlineLevel="0" collapsed="false">
      <c r="A177" s="35" t="s">
        <v>3150</v>
      </c>
      <c r="B177" s="209" t="s">
        <v>2677</v>
      </c>
      <c r="C177" s="35" t="s">
        <v>2835</v>
      </c>
      <c r="D177" s="35" t="s">
        <v>3151</v>
      </c>
      <c r="E177" s="6" t="s">
        <v>215</v>
      </c>
      <c r="F177" s="209" t="s">
        <v>290</v>
      </c>
      <c r="G177" s="209" t="s">
        <v>2679</v>
      </c>
      <c r="H177" s="35" t="s">
        <v>3144</v>
      </c>
      <c r="I177" s="18" t="s">
        <v>3013</v>
      </c>
      <c r="J177" s="35" t="s">
        <v>571</v>
      </c>
      <c r="K177" s="209"/>
      <c r="L177" s="209"/>
      <c r="M177" s="35" t="s">
        <v>571</v>
      </c>
      <c r="N177" s="18" t="s">
        <v>2812</v>
      </c>
      <c r="O177" s="6" t="s">
        <v>571</v>
      </c>
      <c r="P177" s="209" t="s">
        <v>2682</v>
      </c>
      <c r="Q177" s="37" t="n">
        <f aca="false">Spec_Rack!F41</f>
        <v>35</v>
      </c>
      <c r="R177" s="182" t="n">
        <f aca="false">SRC_HW_037</f>
        <v>2520</v>
      </c>
      <c r="S177" s="34" t="str">
        <f aca="false">IF(ISNUMBER($AF177),INDEX(IDX_SrcStat,$AF177),"—")</f>
        <v>Active</v>
      </c>
      <c r="T177" s="34" t="n">
        <f aca="false">IF(ISNUMBER($AF177),INDEX(IDX_SrcGrade,$AF177),"—")</f>
        <v>2</v>
      </c>
      <c r="U177" s="34" t="s">
        <v>2716</v>
      </c>
      <c r="V177" s="183" t="n">
        <f aca="false">IF(AND($F177="原始數據",$U177&lt;&gt;"連結 SRC"),1,0)</f>
        <v>0</v>
      </c>
      <c r="W177" s="183" t="n">
        <f aca="false">IF(AND($F177="Analogy",OR($H177="—",$H177="")),1,0)</f>
        <v>0</v>
      </c>
      <c r="X177" s="183" t="n">
        <f aca="false">IF(AND(OR($F177="Analogy",$F177="Assumed"),$G177&lt;&gt;"低",$G177&lt;&gt;"高",NOT(ISNUMBER($K177)),NOT(ISNUMBER($L177)),OR($M177="—",$M177="")),1,0)</f>
        <v>0</v>
      </c>
      <c r="Y177" s="183" t="n">
        <f aca="false">IF(AND(OR($F177="Analogy",$F177="Assumed",$F177="Derived（待改公式）",$F177="Derived（公式）"),OR($N177="—",$N177="",$N177=0)),1,0)</f>
        <v>0</v>
      </c>
      <c r="Z177" s="183" t="n">
        <f aca="false">IF(AND($F177="Decision",OR($J177="—",$J177="")),1,0)</f>
        <v>0</v>
      </c>
      <c r="AA177" s="180" t="n">
        <f aca="false">IF(OR($J177="—",$J177=""),0,IF(COUNTIF(Decisions!$A$5:$A$300,$J177)=0,1,0))</f>
        <v>0</v>
      </c>
      <c r="AB177" s="183" t="n">
        <f aca="false">IF(AND($F177="原始數據",$S177&lt;&gt;"Active"),1,0)</f>
        <v>0</v>
      </c>
      <c r="AC177" s="183" t="n">
        <f aca="false">IF(AND(ISNUMBER($K177),ISNUMBER($L177),ISNUMBER($Q177)),IF(OR($Q177&lt;MIN($K177,$L177),$Q177&gt;MAX($K177,$L177)),1,0),0)</f>
        <v>0</v>
      </c>
      <c r="AD177" s="183" t="n">
        <f aca="false">IF(AND(ISNUMBER($T177),$P177="高"),IF($T177=3,1,0),0)</f>
        <v>0</v>
      </c>
      <c r="AE177" s="183" t="n">
        <f aca="false">IF($S177="不存在",1,0)</f>
        <v>0</v>
      </c>
      <c r="AF177" s="34" t="n">
        <f aca="false">IF(OR($H177="—",$H177=""),"—",MATCH($H177,IDX_SrcID,0))</f>
        <v>37</v>
      </c>
    </row>
    <row r="178" customFormat="false" ht="43.5" hidden="false" customHeight="true" outlineLevel="0" collapsed="false">
      <c r="A178" s="35" t="s">
        <v>3152</v>
      </c>
      <c r="B178" s="209" t="s">
        <v>2677</v>
      </c>
      <c r="C178" s="35" t="s">
        <v>2835</v>
      </c>
      <c r="D178" s="35" t="s">
        <v>3153</v>
      </c>
      <c r="E178" s="6" t="s">
        <v>215</v>
      </c>
      <c r="F178" s="35" t="s">
        <v>72</v>
      </c>
      <c r="G178" s="209" t="s">
        <v>57</v>
      </c>
      <c r="H178" s="35" t="s">
        <v>571</v>
      </c>
      <c r="I178" s="6" t="s">
        <v>571</v>
      </c>
      <c r="J178" s="35" t="s">
        <v>571</v>
      </c>
      <c r="K178" s="182" t="n">
        <f aca="false">Spec_Rack!G41*0.7</f>
        <v>49</v>
      </c>
      <c r="L178" s="182" t="n">
        <f aca="false">Spec_Rack!G41*1.3</f>
        <v>91</v>
      </c>
      <c r="M178" s="35" t="s">
        <v>2959</v>
      </c>
      <c r="N178" s="6" t="s">
        <v>3088</v>
      </c>
      <c r="O178" s="6" t="s">
        <v>571</v>
      </c>
      <c r="P178" s="209" t="s">
        <v>2682</v>
      </c>
      <c r="Q178" s="37" t="n">
        <f aca="false">Spec_Rack!G41</f>
        <v>70</v>
      </c>
      <c r="R178" s="35" t="s">
        <v>571</v>
      </c>
      <c r="S178" s="34" t="str">
        <f aca="false">IF(ISNUMBER($AF178),INDEX(IDX_SrcStat,$AF178),"—")</f>
        <v>—</v>
      </c>
      <c r="T178" s="34" t="str">
        <f aca="false">IF(ISNUMBER($AF178),INDEX(IDX_SrcGrade,$AF178),"—")</f>
        <v>—</v>
      </c>
      <c r="U178" s="34" t="s">
        <v>2683</v>
      </c>
      <c r="V178" s="183" t="n">
        <f aca="false">IF(AND($F178="原始數據",$U178&lt;&gt;"連結 SRC"),1,0)</f>
        <v>0</v>
      </c>
      <c r="W178" s="183" t="n">
        <f aca="false">IF(AND($F178="Analogy",OR($H178="—",$H178="")),1,0)</f>
        <v>0</v>
      </c>
      <c r="X178" s="183" t="n">
        <f aca="false">IF(AND(OR($F178="Analogy",$F178="Assumed"),$G178&lt;&gt;"低",$G178&lt;&gt;"高",NOT(ISNUMBER($K178)),NOT(ISNUMBER($L178)),OR($M178="—",$M178="")),1,0)</f>
        <v>0</v>
      </c>
      <c r="Y178" s="183" t="n">
        <f aca="false">IF(AND(OR($F178="Analogy",$F178="Assumed",$F178="Derived（待改公式）",$F178="Derived（公式）"),OR($N178="—",$N178="",$N178=0)),1,0)</f>
        <v>0</v>
      </c>
      <c r="Z178" s="183" t="n">
        <f aca="false">IF(AND($F178="Decision",OR($J178="—",$J178="")),1,0)</f>
        <v>0</v>
      </c>
      <c r="AA178" s="180" t="n">
        <f aca="false">IF(OR($J178="—",$J178=""),0,IF(COUNTIF(Decisions!$A$5:$A$300,$J178)=0,1,0))</f>
        <v>0</v>
      </c>
      <c r="AB178" s="183" t="n">
        <f aca="false">IF(AND($F178="原始數據",$S178&lt;&gt;"Active"),1,0)</f>
        <v>0</v>
      </c>
      <c r="AC178" s="183" t="n">
        <f aca="false">IF(AND(ISNUMBER($K178),ISNUMBER($L178),ISNUMBER($Q178)),IF(OR($Q178&lt;MIN($K178,$L178),$Q178&gt;MAX($K178,$L178)),1,0),0)</f>
        <v>0</v>
      </c>
      <c r="AD178" s="183" t="n">
        <f aca="false">IF(AND(ISNUMBER($T178),$P178="高"),IF($T178=3,1,0),0)</f>
        <v>0</v>
      </c>
      <c r="AE178" s="183" t="n">
        <f aca="false">IF($S178="不存在",1,0)</f>
        <v>0</v>
      </c>
      <c r="AF178" s="34" t="str">
        <f aca="false">IF(OR($H178="—",$H178=""),"—",MATCH($H178,IDX_SrcID,0))</f>
        <v>—</v>
      </c>
    </row>
    <row r="179" customFormat="false" ht="15" hidden="false" customHeight="true" outlineLevel="0" collapsed="false">
      <c r="A179" s="35" t="s">
        <v>3154</v>
      </c>
      <c r="B179" s="209" t="s">
        <v>2677</v>
      </c>
      <c r="C179" s="35" t="s">
        <v>3155</v>
      </c>
      <c r="D179" s="35" t="s">
        <v>2836</v>
      </c>
      <c r="E179" s="18" t="s">
        <v>227</v>
      </c>
      <c r="F179" s="209" t="s">
        <v>290</v>
      </c>
      <c r="G179" s="209" t="s">
        <v>2679</v>
      </c>
      <c r="H179" s="35" t="s">
        <v>3156</v>
      </c>
      <c r="I179" s="18" t="s">
        <v>2714</v>
      </c>
      <c r="J179" s="35" t="s">
        <v>571</v>
      </c>
      <c r="K179" s="209"/>
      <c r="L179" s="209"/>
      <c r="M179" s="35" t="s">
        <v>571</v>
      </c>
      <c r="N179" s="18" t="s">
        <v>2900</v>
      </c>
      <c r="O179" s="6" t="s">
        <v>571</v>
      </c>
      <c r="P179" s="209" t="s">
        <v>2738</v>
      </c>
      <c r="Q179" s="40" t="n">
        <f aca="false">Arch!C6</f>
        <v>284</v>
      </c>
      <c r="R179" s="182" t="n">
        <f aca="false">SRC_MOD_005</f>
        <v>284</v>
      </c>
      <c r="S179" s="34" t="str">
        <f aca="false">IF(ISNUMBER($AF179),INDEX(IDX_SrcStat,$AF179),"—")</f>
        <v>Active</v>
      </c>
      <c r="T179" s="34" t="n">
        <f aca="false">IF(ISNUMBER($AF179),INDEX(IDX_SrcGrade,$AF179),"—")</f>
        <v>3</v>
      </c>
      <c r="U179" s="34" t="s">
        <v>2716</v>
      </c>
      <c r="V179" s="183" t="n">
        <f aca="false">IF(AND($F179="原始數據",$U179&lt;&gt;"連結 SRC"),1,0)</f>
        <v>0</v>
      </c>
      <c r="W179" s="183" t="n">
        <f aca="false">IF(AND($F179="Analogy",OR($H179="—",$H179="")),1,0)</f>
        <v>0</v>
      </c>
      <c r="X179" s="183" t="n">
        <f aca="false">IF(AND(OR($F179="Analogy",$F179="Assumed"),$G179&lt;&gt;"低",$G179&lt;&gt;"高",NOT(ISNUMBER($K179)),NOT(ISNUMBER($L179)),OR($M179="—",$M179="")),1,0)</f>
        <v>0</v>
      </c>
      <c r="Y179" s="183" t="n">
        <f aca="false">IF(AND(OR($F179="Analogy",$F179="Assumed",$F179="Derived（待改公式）",$F179="Derived（公式）"),OR($N179="—",$N179="",$N179=0)),1,0)</f>
        <v>0</v>
      </c>
      <c r="Z179" s="183" t="n">
        <f aca="false">IF(AND($F179="Decision",OR($J179="—",$J179="")),1,0)</f>
        <v>0</v>
      </c>
      <c r="AA179" s="180" t="n">
        <f aca="false">IF(OR($J179="—",$J179=""),0,IF(COUNTIF(Decisions!$A$5:$A$300,$J179)=0,1,0))</f>
        <v>0</v>
      </c>
      <c r="AB179" s="183" t="n">
        <f aca="false">IF(AND($F179="原始數據",$S179&lt;&gt;"Active"),1,0)</f>
        <v>0</v>
      </c>
      <c r="AC179" s="183" t="n">
        <f aca="false">IF(AND(ISNUMBER($K179),ISNUMBER($L179),ISNUMBER($Q179)),IF(OR($Q179&lt;MIN($K179,$L179),$Q179&gt;MAX($K179,$L179)),1,0),0)</f>
        <v>0</v>
      </c>
      <c r="AD179" s="183" t="n">
        <f aca="false">IF(AND(ISNUMBER($T179),$P179="高"),IF($T179=3,1,0),0)</f>
        <v>0</v>
      </c>
      <c r="AE179" s="183" t="n">
        <f aca="false">IF($S179="不存在",1,0)</f>
        <v>0</v>
      </c>
      <c r="AF179" s="34" t="n">
        <f aca="false">IF(OR($H179="—",$H179=""),"—",MATCH($H179,IDX_SrcID,0))</f>
        <v>182</v>
      </c>
    </row>
    <row r="180" customFormat="false" ht="15" hidden="false" customHeight="true" outlineLevel="0" collapsed="false">
      <c r="A180" s="35" t="s">
        <v>3157</v>
      </c>
      <c r="B180" s="209" t="s">
        <v>2677</v>
      </c>
      <c r="C180" s="35" t="s">
        <v>3155</v>
      </c>
      <c r="D180" s="35" t="s">
        <v>2840</v>
      </c>
      <c r="E180" s="18" t="s">
        <v>227</v>
      </c>
      <c r="F180" s="209" t="s">
        <v>290</v>
      </c>
      <c r="G180" s="209" t="s">
        <v>2679</v>
      </c>
      <c r="H180" s="35" t="s">
        <v>3158</v>
      </c>
      <c r="I180" s="18" t="s">
        <v>2714</v>
      </c>
      <c r="J180" s="35" t="s">
        <v>571</v>
      </c>
      <c r="K180" s="209"/>
      <c r="L180" s="209"/>
      <c r="M180" s="35" t="s">
        <v>571</v>
      </c>
      <c r="N180" s="18" t="s">
        <v>2900</v>
      </c>
      <c r="O180" s="6" t="s">
        <v>571</v>
      </c>
      <c r="P180" s="209" t="s">
        <v>2738</v>
      </c>
      <c r="Q180" s="40" t="n">
        <f aca="false">Arch!D6</f>
        <v>1600</v>
      </c>
      <c r="R180" s="182" t="n">
        <f aca="false">SRC_MOD_001</f>
        <v>1600</v>
      </c>
      <c r="S180" s="34" t="str">
        <f aca="false">IF(ISNUMBER($AF180),INDEX(IDX_SrcStat,$AF180),"—")</f>
        <v>Active</v>
      </c>
      <c r="T180" s="34" t="n">
        <f aca="false">IF(ISNUMBER($AF180),INDEX(IDX_SrcGrade,$AF180),"—")</f>
        <v>3</v>
      </c>
      <c r="U180" s="34" t="s">
        <v>2716</v>
      </c>
      <c r="V180" s="183" t="n">
        <f aca="false">IF(AND($F180="原始數據",$U180&lt;&gt;"連結 SRC"),1,0)</f>
        <v>0</v>
      </c>
      <c r="W180" s="183" t="n">
        <f aca="false">IF(AND($F180="Analogy",OR($H180="—",$H180="")),1,0)</f>
        <v>0</v>
      </c>
      <c r="X180" s="183" t="n">
        <f aca="false">IF(AND(OR($F180="Analogy",$F180="Assumed"),$G180&lt;&gt;"低",$G180&lt;&gt;"高",NOT(ISNUMBER($K180)),NOT(ISNUMBER($L180)),OR($M180="—",$M180="")),1,0)</f>
        <v>0</v>
      </c>
      <c r="Y180" s="183" t="n">
        <f aca="false">IF(AND(OR($F180="Analogy",$F180="Assumed",$F180="Derived（待改公式）",$F180="Derived（公式）"),OR($N180="—",$N180="",$N180=0)),1,0)</f>
        <v>0</v>
      </c>
      <c r="Z180" s="183" t="n">
        <f aca="false">IF(AND($F180="Decision",OR($J180="—",$J180="")),1,0)</f>
        <v>0</v>
      </c>
      <c r="AA180" s="180" t="n">
        <f aca="false">IF(OR($J180="—",$J180=""),0,IF(COUNTIF(Decisions!$A$5:$A$300,$J180)=0,1,0))</f>
        <v>0</v>
      </c>
      <c r="AB180" s="183" t="n">
        <f aca="false">IF(AND($F180="原始數據",$S180&lt;&gt;"Active"),1,0)</f>
        <v>0</v>
      </c>
      <c r="AC180" s="183" t="n">
        <f aca="false">IF(AND(ISNUMBER($K180),ISNUMBER($L180),ISNUMBER($Q180)),IF(OR($Q180&lt;MIN($K180,$L180),$Q180&gt;MAX($K180,$L180)),1,0),0)</f>
        <v>0</v>
      </c>
      <c r="AD180" s="183" t="n">
        <f aca="false">IF(AND(ISNUMBER($T180),$P180="高"),IF($T180=3,1,0),0)</f>
        <v>0</v>
      </c>
      <c r="AE180" s="183" t="n">
        <f aca="false">IF($S180="不存在",1,0)</f>
        <v>0</v>
      </c>
      <c r="AF180" s="34" t="n">
        <f aca="false">IF(OR($H180="—",$H180=""),"—",MATCH($H180,IDX_SrcID,0))</f>
        <v>178</v>
      </c>
    </row>
    <row r="181" customFormat="false" ht="15" hidden="false" customHeight="true" outlineLevel="0" collapsed="false">
      <c r="A181" s="35" t="s">
        <v>3159</v>
      </c>
      <c r="B181" s="209" t="s">
        <v>2677</v>
      </c>
      <c r="C181" s="35" t="s">
        <v>3155</v>
      </c>
      <c r="D181" s="35" t="s">
        <v>3160</v>
      </c>
      <c r="E181" s="18" t="s">
        <v>231</v>
      </c>
      <c r="F181" s="209" t="s">
        <v>290</v>
      </c>
      <c r="G181" s="209" t="s">
        <v>2679</v>
      </c>
      <c r="H181" s="35" t="s">
        <v>3161</v>
      </c>
      <c r="I181" s="18" t="s">
        <v>2714</v>
      </c>
      <c r="J181" s="35" t="s">
        <v>571</v>
      </c>
      <c r="K181" s="209"/>
      <c r="L181" s="209"/>
      <c r="M181" s="35" t="s">
        <v>571</v>
      </c>
      <c r="N181" s="18" t="s">
        <v>2812</v>
      </c>
      <c r="O181" s="6" t="s">
        <v>571</v>
      </c>
      <c r="P181" s="209" t="s">
        <v>1100</v>
      </c>
      <c r="Q181" s="40" t="n">
        <f aca="false">Arch!C7</f>
        <v>13</v>
      </c>
      <c r="R181" s="182" t="n">
        <f aca="false">SRC_MOD_006</f>
        <v>13</v>
      </c>
      <c r="S181" s="34" t="str">
        <f aca="false">IF(ISNUMBER($AF181),INDEX(IDX_SrcStat,$AF181),"—")</f>
        <v>Active</v>
      </c>
      <c r="T181" s="34" t="n">
        <f aca="false">IF(ISNUMBER($AF181),INDEX(IDX_SrcGrade,$AF181),"—")</f>
        <v>1</v>
      </c>
      <c r="U181" s="34" t="s">
        <v>2716</v>
      </c>
      <c r="V181" s="183" t="n">
        <f aca="false">IF(AND($F181="原始數據",$U181&lt;&gt;"連結 SRC"),1,0)</f>
        <v>0</v>
      </c>
      <c r="W181" s="183" t="n">
        <f aca="false">IF(AND($F181="Analogy",OR($H181="—",$H181="")),1,0)</f>
        <v>0</v>
      </c>
      <c r="X181" s="183" t="n">
        <f aca="false">IF(AND(OR($F181="Analogy",$F181="Assumed"),$G181&lt;&gt;"低",$G181&lt;&gt;"高",NOT(ISNUMBER($K181)),NOT(ISNUMBER($L181)),OR($M181="—",$M181="")),1,0)</f>
        <v>0</v>
      </c>
      <c r="Y181" s="183" t="n">
        <f aca="false">IF(AND(OR($F181="Analogy",$F181="Assumed",$F181="Derived（待改公式）",$F181="Derived（公式）"),OR($N181="—",$N181="",$N181=0)),1,0)</f>
        <v>0</v>
      </c>
      <c r="Z181" s="183" t="n">
        <f aca="false">IF(AND($F181="Decision",OR($J181="—",$J181="")),1,0)</f>
        <v>0</v>
      </c>
      <c r="AA181" s="180" t="n">
        <f aca="false">IF(OR($J181="—",$J181=""),0,IF(COUNTIF(Decisions!$A$5:$A$300,$J181)=0,1,0))</f>
        <v>0</v>
      </c>
      <c r="AB181" s="183" t="n">
        <f aca="false">IF(AND($F181="原始數據",$S181&lt;&gt;"Active"),1,0)</f>
        <v>0</v>
      </c>
      <c r="AC181" s="183" t="n">
        <f aca="false">IF(AND(ISNUMBER($K181),ISNUMBER($L181),ISNUMBER($Q181)),IF(OR($Q181&lt;MIN($K181,$L181),$Q181&gt;MAX($K181,$L181)),1,0),0)</f>
        <v>0</v>
      </c>
      <c r="AD181" s="183" t="n">
        <f aca="false">IF(AND(ISNUMBER($T181),$P181="高"),IF($T181=3,1,0),0)</f>
        <v>0</v>
      </c>
      <c r="AE181" s="183" t="n">
        <f aca="false">IF($S181="不存在",1,0)</f>
        <v>0</v>
      </c>
      <c r="AF181" s="34" t="n">
        <f aca="false">IF(OR($H181="—",$H181=""),"—",MATCH($H181,IDX_SrcID,0))</f>
        <v>183</v>
      </c>
    </row>
    <row r="182" customFormat="false" ht="15" hidden="false" customHeight="true" outlineLevel="0" collapsed="false">
      <c r="A182" s="35" t="s">
        <v>3162</v>
      </c>
      <c r="B182" s="209" t="s">
        <v>2677</v>
      </c>
      <c r="C182" s="35" t="s">
        <v>3155</v>
      </c>
      <c r="D182" s="35" t="s">
        <v>3163</v>
      </c>
      <c r="E182" s="18" t="s">
        <v>231</v>
      </c>
      <c r="F182" s="209" t="s">
        <v>290</v>
      </c>
      <c r="G182" s="209" t="s">
        <v>2679</v>
      </c>
      <c r="H182" s="35" t="s">
        <v>3164</v>
      </c>
      <c r="I182" s="18" t="s">
        <v>2714</v>
      </c>
      <c r="J182" s="35" t="s">
        <v>571</v>
      </c>
      <c r="K182" s="209"/>
      <c r="L182" s="209"/>
      <c r="M182" s="35" t="s">
        <v>571</v>
      </c>
      <c r="N182" s="18" t="s">
        <v>2812</v>
      </c>
      <c r="O182" s="6" t="s">
        <v>571</v>
      </c>
      <c r="P182" s="209" t="s">
        <v>1100</v>
      </c>
      <c r="Q182" s="40" t="n">
        <f aca="false">Arch!D7</f>
        <v>49</v>
      </c>
      <c r="R182" s="182" t="n">
        <f aca="false">SRC_MOD_002</f>
        <v>49</v>
      </c>
      <c r="S182" s="34" t="str">
        <f aca="false">IF(ISNUMBER($AF182),INDEX(IDX_SrcStat,$AF182),"—")</f>
        <v>Active</v>
      </c>
      <c r="T182" s="34" t="n">
        <f aca="false">IF(ISNUMBER($AF182),INDEX(IDX_SrcGrade,$AF182),"—")</f>
        <v>1</v>
      </c>
      <c r="U182" s="34" t="s">
        <v>2716</v>
      </c>
      <c r="V182" s="183" t="n">
        <f aca="false">IF(AND($F182="原始數據",$U182&lt;&gt;"連結 SRC"),1,0)</f>
        <v>0</v>
      </c>
      <c r="W182" s="183" t="n">
        <f aca="false">IF(AND($F182="Analogy",OR($H182="—",$H182="")),1,0)</f>
        <v>0</v>
      </c>
      <c r="X182" s="183" t="n">
        <f aca="false">IF(AND(OR($F182="Analogy",$F182="Assumed"),$G182&lt;&gt;"低",$G182&lt;&gt;"高",NOT(ISNUMBER($K182)),NOT(ISNUMBER($L182)),OR($M182="—",$M182="")),1,0)</f>
        <v>0</v>
      </c>
      <c r="Y182" s="183" t="n">
        <f aca="false">IF(AND(OR($F182="Analogy",$F182="Assumed",$F182="Derived（待改公式）",$F182="Derived（公式）"),OR($N182="—",$N182="",$N182=0)),1,0)</f>
        <v>0</v>
      </c>
      <c r="Z182" s="183" t="n">
        <f aca="false">IF(AND($F182="Decision",OR($J182="—",$J182="")),1,0)</f>
        <v>0</v>
      </c>
      <c r="AA182" s="180" t="n">
        <f aca="false">IF(OR($J182="—",$J182=""),0,IF(COUNTIF(Decisions!$A$5:$A$300,$J182)=0,1,0))</f>
        <v>0</v>
      </c>
      <c r="AB182" s="183" t="n">
        <f aca="false">IF(AND($F182="原始數據",$S182&lt;&gt;"Active"),1,0)</f>
        <v>0</v>
      </c>
      <c r="AC182" s="183" t="n">
        <f aca="false">IF(AND(ISNUMBER($K182),ISNUMBER($L182),ISNUMBER($Q182)),IF(OR($Q182&lt;MIN($K182,$L182),$Q182&gt;MAX($K182,$L182)),1,0),0)</f>
        <v>0</v>
      </c>
      <c r="AD182" s="183" t="n">
        <f aca="false">IF(AND(ISNUMBER($T182),$P182="高"),IF($T182=3,1,0),0)</f>
        <v>0</v>
      </c>
      <c r="AE182" s="183" t="n">
        <f aca="false">IF($S182="不存在",1,0)</f>
        <v>0</v>
      </c>
      <c r="AF182" s="34" t="n">
        <f aca="false">IF(OR($H182="—",$H182=""),"—",MATCH($H182,IDX_SrcID,0))</f>
        <v>179</v>
      </c>
    </row>
    <row r="183" customFormat="false" ht="15" hidden="false" customHeight="true" outlineLevel="0" collapsed="false">
      <c r="A183" s="35" t="s">
        <v>3165</v>
      </c>
      <c r="B183" s="209" t="s">
        <v>2677</v>
      </c>
      <c r="C183" s="35" t="s">
        <v>3155</v>
      </c>
      <c r="D183" s="35" t="s">
        <v>2849</v>
      </c>
      <c r="E183" s="18" t="s">
        <v>233</v>
      </c>
      <c r="F183" s="209" t="s">
        <v>290</v>
      </c>
      <c r="G183" s="209" t="s">
        <v>2679</v>
      </c>
      <c r="H183" s="35" t="s">
        <v>3166</v>
      </c>
      <c r="I183" s="18" t="s">
        <v>2714</v>
      </c>
      <c r="J183" s="35" t="s">
        <v>571</v>
      </c>
      <c r="K183" s="209"/>
      <c r="L183" s="209"/>
      <c r="M183" s="35" t="s">
        <v>571</v>
      </c>
      <c r="N183" s="18" t="s">
        <v>2900</v>
      </c>
      <c r="O183" s="6" t="s">
        <v>571</v>
      </c>
      <c r="P183" s="209" t="s">
        <v>2738</v>
      </c>
      <c r="Q183" s="40" t="n">
        <f aca="false">Arch!C8</f>
        <v>43</v>
      </c>
      <c r="R183" s="182" t="n">
        <f aca="false">SRC_MOD_007</f>
        <v>43</v>
      </c>
      <c r="S183" s="34" t="str">
        <f aca="false">IF(ISNUMBER($AF183),INDEX(IDX_SrcStat,$AF183),"—")</f>
        <v>Active</v>
      </c>
      <c r="T183" s="34" t="n">
        <f aca="false">IF(ISNUMBER($AF183),INDEX(IDX_SrcGrade,$AF183),"—")</f>
        <v>1</v>
      </c>
      <c r="U183" s="34" t="s">
        <v>2716</v>
      </c>
      <c r="V183" s="183" t="n">
        <f aca="false">IF(AND($F183="原始數據",$U183&lt;&gt;"連結 SRC"),1,0)</f>
        <v>0</v>
      </c>
      <c r="W183" s="183" t="n">
        <f aca="false">IF(AND($F183="Analogy",OR($H183="—",$H183="")),1,0)</f>
        <v>0</v>
      </c>
      <c r="X183" s="183" t="n">
        <f aca="false">IF(AND(OR($F183="Analogy",$F183="Assumed"),$G183&lt;&gt;"低",$G183&lt;&gt;"高",NOT(ISNUMBER($K183)),NOT(ISNUMBER($L183)),OR($M183="—",$M183="")),1,0)</f>
        <v>0</v>
      </c>
      <c r="Y183" s="183" t="n">
        <f aca="false">IF(AND(OR($F183="Analogy",$F183="Assumed",$F183="Derived（待改公式）",$F183="Derived（公式）"),OR($N183="—",$N183="",$N183=0)),1,0)</f>
        <v>0</v>
      </c>
      <c r="Z183" s="183" t="n">
        <f aca="false">IF(AND($F183="Decision",OR($J183="—",$J183="")),1,0)</f>
        <v>0</v>
      </c>
      <c r="AA183" s="180" t="n">
        <f aca="false">IF(OR($J183="—",$J183=""),0,IF(COUNTIF(Decisions!$A$5:$A$300,$J183)=0,1,0))</f>
        <v>0</v>
      </c>
      <c r="AB183" s="183" t="n">
        <f aca="false">IF(AND($F183="原始數據",$S183&lt;&gt;"Active"),1,0)</f>
        <v>0</v>
      </c>
      <c r="AC183" s="183" t="n">
        <f aca="false">IF(AND(ISNUMBER($K183),ISNUMBER($L183),ISNUMBER($Q183)),IF(OR($Q183&lt;MIN($K183,$L183),$Q183&gt;MAX($K183,$L183)),1,0),0)</f>
        <v>0</v>
      </c>
      <c r="AD183" s="183" t="n">
        <f aca="false">IF(AND(ISNUMBER($T183),$P183="高"),IF($T183=3,1,0),0)</f>
        <v>0</v>
      </c>
      <c r="AE183" s="183" t="n">
        <f aca="false">IF($S183="不存在",1,0)</f>
        <v>0</v>
      </c>
      <c r="AF183" s="34" t="n">
        <f aca="false">IF(OR($H183="—",$H183=""),"—",MATCH($H183,IDX_SrcID,0))</f>
        <v>184</v>
      </c>
    </row>
    <row r="184" customFormat="false" ht="15" hidden="false" customHeight="true" outlineLevel="0" collapsed="false">
      <c r="A184" s="35" t="s">
        <v>3167</v>
      </c>
      <c r="B184" s="209" t="s">
        <v>2677</v>
      </c>
      <c r="C184" s="35" t="s">
        <v>3155</v>
      </c>
      <c r="D184" s="35" t="s">
        <v>2852</v>
      </c>
      <c r="E184" s="18" t="s">
        <v>233</v>
      </c>
      <c r="F184" s="209" t="s">
        <v>290</v>
      </c>
      <c r="G184" s="209" t="s">
        <v>2679</v>
      </c>
      <c r="H184" s="35" t="s">
        <v>3168</v>
      </c>
      <c r="I184" s="18" t="s">
        <v>2714</v>
      </c>
      <c r="J184" s="35" t="s">
        <v>571</v>
      </c>
      <c r="K184" s="209"/>
      <c r="L184" s="209"/>
      <c r="M184" s="35" t="s">
        <v>571</v>
      </c>
      <c r="N184" s="18" t="s">
        <v>2900</v>
      </c>
      <c r="O184" s="6" t="s">
        <v>571</v>
      </c>
      <c r="P184" s="209" t="s">
        <v>2738</v>
      </c>
      <c r="Q184" s="40" t="n">
        <f aca="false">Arch!D8</f>
        <v>61</v>
      </c>
      <c r="R184" s="182" t="n">
        <f aca="false">SRC_MOD_003</f>
        <v>61</v>
      </c>
      <c r="S184" s="34" t="str">
        <f aca="false">IF(ISNUMBER($AF184),INDEX(IDX_SrcStat,$AF184),"—")</f>
        <v>Active</v>
      </c>
      <c r="T184" s="34" t="n">
        <f aca="false">IF(ISNUMBER($AF184),INDEX(IDX_SrcGrade,$AF184),"—")</f>
        <v>3</v>
      </c>
      <c r="U184" s="34" t="s">
        <v>2716</v>
      </c>
      <c r="V184" s="183" t="n">
        <f aca="false">IF(AND($F184="原始數據",$U184&lt;&gt;"連結 SRC"),1,0)</f>
        <v>0</v>
      </c>
      <c r="W184" s="183" t="n">
        <f aca="false">IF(AND($F184="Analogy",OR($H184="—",$H184="")),1,0)</f>
        <v>0</v>
      </c>
      <c r="X184" s="183" t="n">
        <f aca="false">IF(AND(OR($F184="Analogy",$F184="Assumed"),$G184&lt;&gt;"低",$G184&lt;&gt;"高",NOT(ISNUMBER($K184)),NOT(ISNUMBER($L184)),OR($M184="—",$M184="")),1,0)</f>
        <v>0</v>
      </c>
      <c r="Y184" s="183" t="n">
        <f aca="false">IF(AND(OR($F184="Analogy",$F184="Assumed",$F184="Derived（待改公式）",$F184="Derived（公式）"),OR($N184="—",$N184="",$N184=0)),1,0)</f>
        <v>0</v>
      </c>
      <c r="Z184" s="183" t="n">
        <f aca="false">IF(AND($F184="Decision",OR($J184="—",$J184="")),1,0)</f>
        <v>0</v>
      </c>
      <c r="AA184" s="180" t="n">
        <f aca="false">IF(OR($J184="—",$J184=""),0,IF(COUNTIF(Decisions!$A$5:$A$300,$J184)=0,1,0))</f>
        <v>0</v>
      </c>
      <c r="AB184" s="183" t="n">
        <f aca="false">IF(AND($F184="原始數據",$S184&lt;&gt;"Active"),1,0)</f>
        <v>0</v>
      </c>
      <c r="AC184" s="183" t="n">
        <f aca="false">IF(AND(ISNUMBER($K184),ISNUMBER($L184),ISNUMBER($Q184)),IF(OR($Q184&lt;MIN($K184,$L184),$Q184&gt;MAX($K184,$L184)),1,0),0)</f>
        <v>0</v>
      </c>
      <c r="AD184" s="183" t="n">
        <f aca="false">IF(AND(ISNUMBER($T184),$P184="高"),IF($T184=3,1,0),0)</f>
        <v>0</v>
      </c>
      <c r="AE184" s="183" t="n">
        <f aca="false">IF($S184="不存在",1,0)</f>
        <v>0</v>
      </c>
      <c r="AF184" s="34" t="n">
        <f aca="false">IF(OR($H184="—",$H184=""),"—",MATCH($H184,IDX_SrcID,0))</f>
        <v>180</v>
      </c>
    </row>
    <row r="185" customFormat="false" ht="15" hidden="false" customHeight="true" outlineLevel="0" collapsed="false">
      <c r="A185" s="35" t="s">
        <v>3169</v>
      </c>
      <c r="B185" s="209" t="s">
        <v>2677</v>
      </c>
      <c r="C185" s="35" t="s">
        <v>3155</v>
      </c>
      <c r="D185" s="35" t="s">
        <v>2894</v>
      </c>
      <c r="E185" s="6" t="s">
        <v>240</v>
      </c>
      <c r="F185" s="209" t="s">
        <v>290</v>
      </c>
      <c r="G185" s="209" t="s">
        <v>2679</v>
      </c>
      <c r="H185" s="35" t="s">
        <v>3170</v>
      </c>
      <c r="I185" s="18" t="s">
        <v>2714</v>
      </c>
      <c r="J185" s="35" t="s">
        <v>571</v>
      </c>
      <c r="K185" s="209"/>
      <c r="L185" s="209"/>
      <c r="M185" s="35" t="s">
        <v>571</v>
      </c>
      <c r="N185" s="18" t="s">
        <v>2812</v>
      </c>
      <c r="O185" s="6" t="s">
        <v>571</v>
      </c>
      <c r="P185" s="209" t="s">
        <v>2738</v>
      </c>
      <c r="Q185" s="40" t="n">
        <f aca="false">Arch!C11</f>
        <v>512</v>
      </c>
      <c r="R185" s="182" t="n">
        <f aca="false">SRC_MOD_009</f>
        <v>512</v>
      </c>
      <c r="S185" s="34" t="str">
        <f aca="false">IF(ISNUMBER($AF185),INDEX(IDX_SrcStat,$AF185),"—")</f>
        <v>Active</v>
      </c>
      <c r="T185" s="34" t="n">
        <f aca="false">IF(ISNUMBER($AF185),INDEX(IDX_SrcGrade,$AF185),"—")</f>
        <v>1</v>
      </c>
      <c r="U185" s="34" t="s">
        <v>2716</v>
      </c>
      <c r="V185" s="183" t="n">
        <f aca="false">IF(AND($F185="原始數據",$U185&lt;&gt;"連結 SRC"),1,0)</f>
        <v>0</v>
      </c>
      <c r="W185" s="183" t="n">
        <f aca="false">IF(AND($F185="Analogy",OR($H185="—",$H185="")),1,0)</f>
        <v>0</v>
      </c>
      <c r="X185" s="183" t="n">
        <f aca="false">IF(AND(OR($F185="Analogy",$F185="Assumed"),$G185&lt;&gt;"低",$G185&lt;&gt;"高",NOT(ISNUMBER($K185)),NOT(ISNUMBER($L185)),OR($M185="—",$M185="")),1,0)</f>
        <v>0</v>
      </c>
      <c r="Y185" s="183" t="n">
        <f aca="false">IF(AND(OR($F185="Analogy",$F185="Assumed",$F185="Derived（待改公式）",$F185="Derived（公式）"),OR($N185="—",$N185="",$N185=0)),1,0)</f>
        <v>0</v>
      </c>
      <c r="Z185" s="183" t="n">
        <f aca="false">IF(AND($F185="Decision",OR($J185="—",$J185="")),1,0)</f>
        <v>0</v>
      </c>
      <c r="AA185" s="180" t="n">
        <f aca="false">IF(OR($J185="—",$J185=""),0,IF(COUNTIF(Decisions!$A$5:$A$300,$J185)=0,1,0))</f>
        <v>0</v>
      </c>
      <c r="AB185" s="183" t="n">
        <f aca="false">IF(AND($F185="原始數據",$S185&lt;&gt;"Active"),1,0)</f>
        <v>0</v>
      </c>
      <c r="AC185" s="183" t="n">
        <f aca="false">IF(AND(ISNUMBER($K185),ISNUMBER($L185),ISNUMBER($Q185)),IF(OR($Q185&lt;MIN($K185,$L185),$Q185&gt;MAX($K185,$L185)),1,0),0)</f>
        <v>0</v>
      </c>
      <c r="AD185" s="183" t="n">
        <f aca="false">IF(AND(ISNUMBER($T185),$P185="高"),IF($T185=3,1,0),0)</f>
        <v>0</v>
      </c>
      <c r="AE185" s="183" t="n">
        <f aca="false">IF($S185="不存在",1,0)</f>
        <v>0</v>
      </c>
      <c r="AF185" s="34" t="n">
        <f aca="false">IF(OR($H185="—",$H185=""),"—",MATCH($H185,IDX_SrcID,0))</f>
        <v>186</v>
      </c>
    </row>
    <row r="186" customFormat="false" ht="15" hidden="false" customHeight="true" outlineLevel="0" collapsed="false">
      <c r="A186" s="35" t="s">
        <v>3171</v>
      </c>
      <c r="B186" s="209" t="s">
        <v>2677</v>
      </c>
      <c r="C186" s="35" t="s">
        <v>3155</v>
      </c>
      <c r="D186" s="35" t="s">
        <v>2704</v>
      </c>
      <c r="E186" s="6" t="s">
        <v>240</v>
      </c>
      <c r="F186" s="209" t="s">
        <v>290</v>
      </c>
      <c r="G186" s="209" t="s">
        <v>2679</v>
      </c>
      <c r="H186" s="35" t="s">
        <v>3170</v>
      </c>
      <c r="I186" s="18" t="s">
        <v>2714</v>
      </c>
      <c r="J186" s="35" t="s">
        <v>571</v>
      </c>
      <c r="K186" s="209"/>
      <c r="L186" s="209"/>
      <c r="M186" s="35" t="s">
        <v>571</v>
      </c>
      <c r="N186" s="18" t="s">
        <v>2812</v>
      </c>
      <c r="O186" s="6" t="s">
        <v>571</v>
      </c>
      <c r="P186" s="209" t="s">
        <v>2738</v>
      </c>
      <c r="Q186" s="40" t="n">
        <f aca="false">Arch!D11</f>
        <v>512</v>
      </c>
      <c r="R186" s="182" t="n">
        <f aca="false">SRC_MOD_009</f>
        <v>512</v>
      </c>
      <c r="S186" s="34" t="str">
        <f aca="false">IF(ISNUMBER($AF186),INDEX(IDX_SrcStat,$AF186),"—")</f>
        <v>Active</v>
      </c>
      <c r="T186" s="34" t="n">
        <f aca="false">IF(ISNUMBER($AF186),INDEX(IDX_SrcGrade,$AF186),"—")</f>
        <v>1</v>
      </c>
      <c r="U186" s="34" t="s">
        <v>2716</v>
      </c>
      <c r="V186" s="183" t="n">
        <f aca="false">IF(AND($F186="原始數據",$U186&lt;&gt;"連結 SRC"),1,0)</f>
        <v>0</v>
      </c>
      <c r="W186" s="183" t="n">
        <f aca="false">IF(AND($F186="Analogy",OR($H186="—",$H186="")),1,0)</f>
        <v>0</v>
      </c>
      <c r="X186" s="183" t="n">
        <f aca="false">IF(AND(OR($F186="Analogy",$F186="Assumed"),$G186&lt;&gt;"低",$G186&lt;&gt;"高",NOT(ISNUMBER($K186)),NOT(ISNUMBER($L186)),OR($M186="—",$M186="")),1,0)</f>
        <v>0</v>
      </c>
      <c r="Y186" s="183" t="n">
        <f aca="false">IF(AND(OR($F186="Analogy",$F186="Assumed",$F186="Derived（待改公式）",$F186="Derived（公式）"),OR($N186="—",$N186="",$N186=0)),1,0)</f>
        <v>0</v>
      </c>
      <c r="Z186" s="183" t="n">
        <f aca="false">IF(AND($F186="Decision",OR($J186="—",$J186="")),1,0)</f>
        <v>0</v>
      </c>
      <c r="AA186" s="180" t="n">
        <f aca="false">IF(OR($J186="—",$J186=""),0,IF(COUNTIF(Decisions!$A$5:$A$300,$J186)=0,1,0))</f>
        <v>0</v>
      </c>
      <c r="AB186" s="183" t="n">
        <f aca="false">IF(AND($F186="原始數據",$S186&lt;&gt;"Active"),1,0)</f>
        <v>0</v>
      </c>
      <c r="AC186" s="183" t="n">
        <f aca="false">IF(AND(ISNUMBER($K186),ISNUMBER($L186),ISNUMBER($Q186)),IF(OR($Q186&lt;MIN($K186,$L186),$Q186&gt;MAX($K186,$L186)),1,0),0)</f>
        <v>0</v>
      </c>
      <c r="AD186" s="183" t="n">
        <f aca="false">IF(AND(ISNUMBER($T186),$P186="高"),IF($T186=3,1,0),0)</f>
        <v>0</v>
      </c>
      <c r="AE186" s="183" t="n">
        <f aca="false">IF($S186="不存在",1,0)</f>
        <v>0</v>
      </c>
      <c r="AF186" s="34" t="n">
        <f aca="false">IF(OR($H186="—",$H186=""),"—",MATCH($H186,IDX_SrcID,0))</f>
        <v>186</v>
      </c>
    </row>
    <row r="187" customFormat="false" ht="15" hidden="false" customHeight="true" outlineLevel="0" collapsed="false">
      <c r="A187" s="35" t="s">
        <v>3172</v>
      </c>
      <c r="B187" s="209" t="s">
        <v>2677</v>
      </c>
      <c r="C187" s="35" t="s">
        <v>3155</v>
      </c>
      <c r="D187" s="35" t="s">
        <v>2914</v>
      </c>
      <c r="E187" s="6" t="s">
        <v>242</v>
      </c>
      <c r="F187" s="209" t="s">
        <v>290</v>
      </c>
      <c r="G187" s="209" t="s">
        <v>2679</v>
      </c>
      <c r="H187" s="35" t="s">
        <v>3173</v>
      </c>
      <c r="I187" s="18" t="s">
        <v>2714</v>
      </c>
      <c r="J187" s="35" t="s">
        <v>571</v>
      </c>
      <c r="K187" s="209"/>
      <c r="L187" s="209"/>
      <c r="M187" s="35" t="s">
        <v>571</v>
      </c>
      <c r="N187" s="18" t="s">
        <v>2900</v>
      </c>
      <c r="O187" s="6" t="s">
        <v>571</v>
      </c>
      <c r="P187" s="209" t="s">
        <v>2738</v>
      </c>
      <c r="Q187" s="40" t="n">
        <f aca="false">Arch!C12</f>
        <v>256</v>
      </c>
      <c r="R187" s="182" t="n">
        <f aca="false">SRC_MOD_010</f>
        <v>256</v>
      </c>
      <c r="S187" s="34" t="str">
        <f aca="false">IF(ISNUMBER($AF187),INDEX(IDX_SrcStat,$AF187),"—")</f>
        <v>Active</v>
      </c>
      <c r="T187" s="34" t="n">
        <f aca="false">IF(ISNUMBER($AF187),INDEX(IDX_SrcGrade,$AF187),"—")</f>
        <v>1</v>
      </c>
      <c r="U187" s="34" t="s">
        <v>2716</v>
      </c>
      <c r="V187" s="183" t="n">
        <f aca="false">IF(AND($F187="原始數據",$U187&lt;&gt;"連結 SRC"),1,0)</f>
        <v>0</v>
      </c>
      <c r="W187" s="183" t="n">
        <f aca="false">IF(AND($F187="Analogy",OR($H187="—",$H187="")),1,0)</f>
        <v>0</v>
      </c>
      <c r="X187" s="183" t="n">
        <f aca="false">IF(AND(OR($F187="Analogy",$F187="Assumed"),$G187&lt;&gt;"低",$G187&lt;&gt;"高",NOT(ISNUMBER($K187)),NOT(ISNUMBER($L187)),OR($M187="—",$M187="")),1,0)</f>
        <v>0</v>
      </c>
      <c r="Y187" s="183" t="n">
        <f aca="false">IF(AND(OR($F187="Analogy",$F187="Assumed",$F187="Derived（待改公式）",$F187="Derived（公式）"),OR($N187="—",$N187="",$N187=0)),1,0)</f>
        <v>0</v>
      </c>
      <c r="Z187" s="183" t="n">
        <f aca="false">IF(AND($F187="Decision",OR($J187="—",$J187="")),1,0)</f>
        <v>0</v>
      </c>
      <c r="AA187" s="180" t="n">
        <f aca="false">IF(OR($J187="—",$J187=""),0,IF(COUNTIF(Decisions!$A$5:$A$300,$J187)=0,1,0))</f>
        <v>0</v>
      </c>
      <c r="AB187" s="183" t="n">
        <f aca="false">IF(AND($F187="原始數據",$S187&lt;&gt;"Active"),1,0)</f>
        <v>0</v>
      </c>
      <c r="AC187" s="183" t="n">
        <f aca="false">IF(AND(ISNUMBER($K187),ISNUMBER($L187),ISNUMBER($Q187)),IF(OR($Q187&lt;MIN($K187,$L187),$Q187&gt;MAX($K187,$L187)),1,0),0)</f>
        <v>0</v>
      </c>
      <c r="AD187" s="183" t="n">
        <f aca="false">IF(AND(ISNUMBER($T187),$P187="高"),IF($T187=3,1,0),0)</f>
        <v>0</v>
      </c>
      <c r="AE187" s="183" t="n">
        <f aca="false">IF($S187="不存在",1,0)</f>
        <v>0</v>
      </c>
      <c r="AF187" s="34" t="n">
        <f aca="false">IF(OR($H187="—",$H187=""),"—",MATCH($H187,IDX_SrcID,0))</f>
        <v>187</v>
      </c>
    </row>
    <row r="188" customFormat="false" ht="15" hidden="false" customHeight="true" outlineLevel="0" collapsed="false">
      <c r="A188" s="35" t="s">
        <v>3174</v>
      </c>
      <c r="B188" s="209" t="s">
        <v>2677</v>
      </c>
      <c r="C188" s="35" t="s">
        <v>3155</v>
      </c>
      <c r="D188" s="35" t="s">
        <v>2918</v>
      </c>
      <c r="E188" s="6" t="s">
        <v>242</v>
      </c>
      <c r="F188" s="209" t="s">
        <v>290</v>
      </c>
      <c r="G188" s="209" t="s">
        <v>2679</v>
      </c>
      <c r="H188" s="35" t="s">
        <v>3175</v>
      </c>
      <c r="I188" s="18" t="s">
        <v>2714</v>
      </c>
      <c r="J188" s="35" t="s">
        <v>571</v>
      </c>
      <c r="K188" s="209"/>
      <c r="L188" s="209"/>
      <c r="M188" s="35" t="s">
        <v>571</v>
      </c>
      <c r="N188" s="18" t="s">
        <v>2900</v>
      </c>
      <c r="O188" s="6" t="s">
        <v>571</v>
      </c>
      <c r="P188" s="209" t="s">
        <v>2738</v>
      </c>
      <c r="Q188" s="40" t="n">
        <f aca="false">Arch!D12</f>
        <v>384</v>
      </c>
      <c r="R188" s="182" t="n">
        <f aca="false">SRC_MOD_011</f>
        <v>384</v>
      </c>
      <c r="S188" s="34" t="str">
        <f aca="false">IF(ISNUMBER($AF188),INDEX(IDX_SrcStat,$AF188),"—")</f>
        <v>Active</v>
      </c>
      <c r="T188" s="34" t="n">
        <f aca="false">IF(ISNUMBER($AF188),INDEX(IDX_SrcGrade,$AF188),"—")</f>
        <v>1</v>
      </c>
      <c r="U188" s="34" t="s">
        <v>2716</v>
      </c>
      <c r="V188" s="183" t="n">
        <f aca="false">IF(AND($F188="原始數據",$U188&lt;&gt;"連結 SRC"),1,0)</f>
        <v>0</v>
      </c>
      <c r="W188" s="183" t="n">
        <f aca="false">IF(AND($F188="Analogy",OR($H188="—",$H188="")),1,0)</f>
        <v>0</v>
      </c>
      <c r="X188" s="183" t="n">
        <f aca="false">IF(AND(OR($F188="Analogy",$F188="Assumed"),$G188&lt;&gt;"低",$G188&lt;&gt;"高",NOT(ISNUMBER($K188)),NOT(ISNUMBER($L188)),OR($M188="—",$M188="")),1,0)</f>
        <v>0</v>
      </c>
      <c r="Y188" s="183" t="n">
        <f aca="false">IF(AND(OR($F188="Analogy",$F188="Assumed",$F188="Derived（待改公式）",$F188="Derived（公式）"),OR($N188="—",$N188="",$N188=0)),1,0)</f>
        <v>0</v>
      </c>
      <c r="Z188" s="183" t="n">
        <f aca="false">IF(AND($F188="Decision",OR($J188="—",$J188="")),1,0)</f>
        <v>0</v>
      </c>
      <c r="AA188" s="180" t="n">
        <f aca="false">IF(OR($J188="—",$J188=""),0,IF(COUNTIF(Decisions!$A$5:$A$300,$J188)=0,1,0))</f>
        <v>0</v>
      </c>
      <c r="AB188" s="183" t="n">
        <f aca="false">IF(AND($F188="原始數據",$S188&lt;&gt;"Active"),1,0)</f>
        <v>0</v>
      </c>
      <c r="AC188" s="183" t="n">
        <f aca="false">IF(AND(ISNUMBER($K188),ISNUMBER($L188),ISNUMBER($Q188)),IF(OR($Q188&lt;MIN($K188,$L188),$Q188&gt;MAX($K188,$L188)),1,0),0)</f>
        <v>0</v>
      </c>
      <c r="AD188" s="183" t="n">
        <f aca="false">IF(AND(ISNUMBER($T188),$P188="高"),IF($T188=3,1,0),0)</f>
        <v>0</v>
      </c>
      <c r="AE188" s="183" t="n">
        <f aca="false">IF($S188="不存在",1,0)</f>
        <v>0</v>
      </c>
      <c r="AF188" s="34" t="n">
        <f aca="false">IF(OR($H188="—",$H188=""),"—",MATCH($H188,IDX_SrcID,0))</f>
        <v>188</v>
      </c>
    </row>
    <row r="189" customFormat="false" ht="15" hidden="false" customHeight="true" outlineLevel="0" collapsed="false">
      <c r="A189" s="35" t="s">
        <v>3176</v>
      </c>
      <c r="B189" s="209" t="s">
        <v>2677</v>
      </c>
      <c r="C189" s="35" t="s">
        <v>3155</v>
      </c>
      <c r="D189" s="35" t="s">
        <v>2932</v>
      </c>
      <c r="E189" s="18" t="s">
        <v>3177</v>
      </c>
      <c r="F189" s="209" t="s">
        <v>290</v>
      </c>
      <c r="G189" s="209" t="s">
        <v>2679</v>
      </c>
      <c r="H189" s="35" t="s">
        <v>3178</v>
      </c>
      <c r="I189" s="18" t="s">
        <v>2714</v>
      </c>
      <c r="J189" s="35" t="s">
        <v>571</v>
      </c>
      <c r="K189" s="209"/>
      <c r="L189" s="209"/>
      <c r="M189" s="35" t="s">
        <v>571</v>
      </c>
      <c r="N189" s="18" t="s">
        <v>2900</v>
      </c>
      <c r="O189" s="6" t="s">
        <v>571</v>
      </c>
      <c r="P189" s="209" t="s">
        <v>2738</v>
      </c>
      <c r="Q189" s="40" t="n">
        <f aca="false">Arch!C13</f>
        <v>6</v>
      </c>
      <c r="R189" s="182" t="n">
        <f aca="false">SRC_MOD_012</f>
        <v>6</v>
      </c>
      <c r="S189" s="34" t="str">
        <f aca="false">IF(ISNUMBER($AF189),INDEX(IDX_SrcStat,$AF189),"—")</f>
        <v>Active</v>
      </c>
      <c r="T189" s="34" t="n">
        <f aca="false">IF(ISNUMBER($AF189),INDEX(IDX_SrcGrade,$AF189),"—")</f>
        <v>1</v>
      </c>
      <c r="U189" s="34" t="s">
        <v>2716</v>
      </c>
      <c r="V189" s="183" t="n">
        <f aca="false">IF(AND($F189="原始數據",$U189&lt;&gt;"連結 SRC"),1,0)</f>
        <v>0</v>
      </c>
      <c r="W189" s="183" t="n">
        <f aca="false">IF(AND($F189="Analogy",OR($H189="—",$H189="")),1,0)</f>
        <v>0</v>
      </c>
      <c r="X189" s="183" t="n">
        <f aca="false">IF(AND(OR($F189="Analogy",$F189="Assumed"),$G189&lt;&gt;"低",$G189&lt;&gt;"高",NOT(ISNUMBER($K189)),NOT(ISNUMBER($L189)),OR($M189="—",$M189="")),1,0)</f>
        <v>0</v>
      </c>
      <c r="Y189" s="183" t="n">
        <f aca="false">IF(AND(OR($F189="Analogy",$F189="Assumed",$F189="Derived（待改公式）",$F189="Derived（公式）"),OR($N189="—",$N189="",$N189=0)),1,0)</f>
        <v>0</v>
      </c>
      <c r="Z189" s="183" t="n">
        <f aca="false">IF(AND($F189="Decision",OR($J189="—",$J189="")),1,0)</f>
        <v>0</v>
      </c>
      <c r="AA189" s="180" t="n">
        <f aca="false">IF(OR($J189="—",$J189=""),0,IF(COUNTIF(Decisions!$A$5:$A$300,$J189)=0,1,0))</f>
        <v>0</v>
      </c>
      <c r="AB189" s="183" t="n">
        <f aca="false">IF(AND($F189="原始數據",$S189&lt;&gt;"Active"),1,0)</f>
        <v>0</v>
      </c>
      <c r="AC189" s="183" t="n">
        <f aca="false">IF(AND(ISNUMBER($K189),ISNUMBER($L189),ISNUMBER($Q189)),IF(OR($Q189&lt;MIN($K189,$L189),$Q189&gt;MAX($K189,$L189)),1,0),0)</f>
        <v>0</v>
      </c>
      <c r="AD189" s="183" t="n">
        <f aca="false">IF(AND(ISNUMBER($T189),$P189="高"),IF($T189=3,1,0),0)</f>
        <v>0</v>
      </c>
      <c r="AE189" s="183" t="n">
        <f aca="false">IF($S189="不存在",1,0)</f>
        <v>0</v>
      </c>
      <c r="AF189" s="34" t="n">
        <f aca="false">IF(OR($H189="—",$H189=""),"—",MATCH($H189,IDX_SrcID,0))</f>
        <v>189</v>
      </c>
    </row>
    <row r="190" customFormat="false" ht="15" hidden="false" customHeight="true" outlineLevel="0" collapsed="false">
      <c r="A190" s="35" t="s">
        <v>3179</v>
      </c>
      <c r="B190" s="209" t="s">
        <v>2677</v>
      </c>
      <c r="C190" s="35" t="s">
        <v>3155</v>
      </c>
      <c r="D190" s="35" t="s">
        <v>2710</v>
      </c>
      <c r="E190" s="18" t="s">
        <v>3177</v>
      </c>
      <c r="F190" s="209" t="s">
        <v>290</v>
      </c>
      <c r="G190" s="209" t="s">
        <v>2679</v>
      </c>
      <c r="H190" s="35" t="s">
        <v>3178</v>
      </c>
      <c r="I190" s="18" t="s">
        <v>2714</v>
      </c>
      <c r="J190" s="35" t="s">
        <v>571</v>
      </c>
      <c r="K190" s="209"/>
      <c r="L190" s="209"/>
      <c r="M190" s="35" t="s">
        <v>571</v>
      </c>
      <c r="N190" s="18" t="s">
        <v>2900</v>
      </c>
      <c r="O190" s="6" t="s">
        <v>571</v>
      </c>
      <c r="P190" s="209" t="s">
        <v>2738</v>
      </c>
      <c r="Q190" s="40" t="n">
        <f aca="false">Arch!D13</f>
        <v>6</v>
      </c>
      <c r="R190" s="182" t="n">
        <f aca="false">SRC_MOD_012</f>
        <v>6</v>
      </c>
      <c r="S190" s="34" t="str">
        <f aca="false">IF(ISNUMBER($AF190),INDEX(IDX_SrcStat,$AF190),"—")</f>
        <v>Active</v>
      </c>
      <c r="T190" s="34" t="n">
        <f aca="false">IF(ISNUMBER($AF190),INDEX(IDX_SrcGrade,$AF190),"—")</f>
        <v>1</v>
      </c>
      <c r="U190" s="34" t="s">
        <v>2716</v>
      </c>
      <c r="V190" s="183" t="n">
        <f aca="false">IF(AND($F190="原始數據",$U190&lt;&gt;"連結 SRC"),1,0)</f>
        <v>0</v>
      </c>
      <c r="W190" s="183" t="n">
        <f aca="false">IF(AND($F190="Analogy",OR($H190="—",$H190="")),1,0)</f>
        <v>0</v>
      </c>
      <c r="X190" s="183" t="n">
        <f aca="false">IF(AND(OR($F190="Analogy",$F190="Assumed"),$G190&lt;&gt;"低",$G190&lt;&gt;"高",NOT(ISNUMBER($K190)),NOT(ISNUMBER($L190)),OR($M190="—",$M190="")),1,0)</f>
        <v>0</v>
      </c>
      <c r="Y190" s="183" t="n">
        <f aca="false">IF(AND(OR($F190="Analogy",$F190="Assumed",$F190="Derived（待改公式）",$F190="Derived（公式）"),OR($N190="—",$N190="",$N190=0)),1,0)</f>
        <v>0</v>
      </c>
      <c r="Z190" s="183" t="n">
        <f aca="false">IF(AND($F190="Decision",OR($J190="—",$J190="")),1,0)</f>
        <v>0</v>
      </c>
      <c r="AA190" s="180" t="n">
        <f aca="false">IF(OR($J190="—",$J190=""),0,IF(COUNTIF(Decisions!$A$5:$A$300,$J190)=0,1,0))</f>
        <v>0</v>
      </c>
      <c r="AB190" s="183" t="n">
        <f aca="false">IF(AND($F190="原始數據",$S190&lt;&gt;"Active"),1,0)</f>
        <v>0</v>
      </c>
      <c r="AC190" s="183" t="n">
        <f aca="false">IF(AND(ISNUMBER($K190),ISNUMBER($L190),ISNUMBER($Q190)),IF(OR($Q190&lt;MIN($K190,$L190),$Q190&gt;MAX($K190,$L190)),1,0),0)</f>
        <v>0</v>
      </c>
      <c r="AD190" s="183" t="n">
        <f aca="false">IF(AND(ISNUMBER($T190),$P190="高"),IF($T190=3,1,0),0)</f>
        <v>0</v>
      </c>
      <c r="AE190" s="183" t="n">
        <f aca="false">IF($S190="不存在",1,0)</f>
        <v>0</v>
      </c>
      <c r="AF190" s="34" t="n">
        <f aca="false">IF(OR($H190="—",$H190=""),"—",MATCH($H190,IDX_SrcID,0))</f>
        <v>189</v>
      </c>
    </row>
    <row r="191" customFormat="false" ht="15" hidden="false" customHeight="true" outlineLevel="0" collapsed="false">
      <c r="A191" s="35" t="s">
        <v>3180</v>
      </c>
      <c r="B191" s="209" t="s">
        <v>2677</v>
      </c>
      <c r="C191" s="35" t="s">
        <v>3155</v>
      </c>
      <c r="D191" s="35" t="s">
        <v>3181</v>
      </c>
      <c r="E191" s="6" t="s">
        <v>244</v>
      </c>
      <c r="F191" s="209" t="s">
        <v>290</v>
      </c>
      <c r="G191" s="209" t="s">
        <v>2679</v>
      </c>
      <c r="H191" s="35" t="s">
        <v>3182</v>
      </c>
      <c r="I191" s="18" t="s">
        <v>2714</v>
      </c>
      <c r="J191" s="35" t="s">
        <v>571</v>
      </c>
      <c r="K191" s="209"/>
      <c r="L191" s="209"/>
      <c r="M191" s="35" t="s">
        <v>571</v>
      </c>
      <c r="N191" s="18" t="s">
        <v>2812</v>
      </c>
      <c r="O191" s="6" t="s">
        <v>571</v>
      </c>
      <c r="P191" s="209" t="s">
        <v>1099</v>
      </c>
      <c r="Q191" s="40" t="n">
        <f aca="false">Arch!C14</f>
        <v>1</v>
      </c>
      <c r="R191" s="182" t="n">
        <f aca="false">SRC_MOD_013</f>
        <v>1</v>
      </c>
      <c r="S191" s="34" t="str">
        <f aca="false">IF(ISNUMBER($AF191),INDEX(IDX_SrcStat,$AF191),"—")</f>
        <v>Active</v>
      </c>
      <c r="T191" s="34" t="n">
        <f aca="false">IF(ISNUMBER($AF191),INDEX(IDX_SrcGrade,$AF191),"—")</f>
        <v>1</v>
      </c>
      <c r="U191" s="34" t="s">
        <v>2716</v>
      </c>
      <c r="V191" s="183" t="n">
        <f aca="false">IF(AND($F191="原始數據",$U191&lt;&gt;"連結 SRC"),1,0)</f>
        <v>0</v>
      </c>
      <c r="W191" s="183" t="n">
        <f aca="false">IF(AND($F191="Analogy",OR($H191="—",$H191="")),1,0)</f>
        <v>0</v>
      </c>
      <c r="X191" s="183" t="n">
        <f aca="false">IF(AND(OR($F191="Analogy",$F191="Assumed"),$G191&lt;&gt;"低",$G191&lt;&gt;"高",NOT(ISNUMBER($K191)),NOT(ISNUMBER($L191)),OR($M191="—",$M191="")),1,0)</f>
        <v>0</v>
      </c>
      <c r="Y191" s="183" t="n">
        <f aca="false">IF(AND(OR($F191="Analogy",$F191="Assumed",$F191="Derived（待改公式）",$F191="Derived（公式）"),OR($N191="—",$N191="",$N191=0)),1,0)</f>
        <v>0</v>
      </c>
      <c r="Z191" s="183" t="n">
        <f aca="false">IF(AND($F191="Decision",OR($J191="—",$J191="")),1,0)</f>
        <v>0</v>
      </c>
      <c r="AA191" s="180" t="n">
        <f aca="false">IF(OR($J191="—",$J191=""),0,IF(COUNTIF(Decisions!$A$5:$A$300,$J191)=0,1,0))</f>
        <v>0</v>
      </c>
      <c r="AB191" s="183" t="n">
        <f aca="false">IF(AND($F191="原始數據",$S191&lt;&gt;"Active"),1,0)</f>
        <v>0</v>
      </c>
      <c r="AC191" s="183" t="n">
        <f aca="false">IF(AND(ISNUMBER($K191),ISNUMBER($L191),ISNUMBER($Q191)),IF(OR($Q191&lt;MIN($K191,$L191),$Q191&gt;MAX($K191,$L191)),1,0),0)</f>
        <v>0</v>
      </c>
      <c r="AD191" s="183" t="n">
        <f aca="false">IF(AND(ISNUMBER($T191),$P191="高"),IF($T191=3,1,0),0)</f>
        <v>0</v>
      </c>
      <c r="AE191" s="183" t="n">
        <f aca="false">IF($S191="不存在",1,0)</f>
        <v>0</v>
      </c>
      <c r="AF191" s="34" t="n">
        <f aca="false">IF(OR($H191="—",$H191=""),"—",MATCH($H191,IDX_SrcID,0))</f>
        <v>190</v>
      </c>
    </row>
    <row r="192" customFormat="false" ht="15" hidden="false" customHeight="true" outlineLevel="0" collapsed="false">
      <c r="A192" s="35" t="s">
        <v>3183</v>
      </c>
      <c r="B192" s="209" t="s">
        <v>2677</v>
      </c>
      <c r="C192" s="35" t="s">
        <v>3155</v>
      </c>
      <c r="D192" s="35" t="s">
        <v>2720</v>
      </c>
      <c r="E192" s="6" t="s">
        <v>244</v>
      </c>
      <c r="F192" s="209" t="s">
        <v>290</v>
      </c>
      <c r="G192" s="209" t="s">
        <v>2679</v>
      </c>
      <c r="H192" s="35" t="s">
        <v>3182</v>
      </c>
      <c r="I192" s="18" t="s">
        <v>2714</v>
      </c>
      <c r="J192" s="35" t="s">
        <v>571</v>
      </c>
      <c r="K192" s="209"/>
      <c r="L192" s="209"/>
      <c r="M192" s="35" t="s">
        <v>571</v>
      </c>
      <c r="N192" s="18" t="s">
        <v>2812</v>
      </c>
      <c r="O192" s="6" t="s">
        <v>571</v>
      </c>
      <c r="P192" s="209" t="s">
        <v>1099</v>
      </c>
      <c r="Q192" s="40" t="n">
        <f aca="false">Arch!D14</f>
        <v>1</v>
      </c>
      <c r="R192" s="182" t="n">
        <f aca="false">SRC_MOD_013</f>
        <v>1</v>
      </c>
      <c r="S192" s="34" t="str">
        <f aca="false">IF(ISNUMBER($AF192),INDEX(IDX_SrcStat,$AF192),"—")</f>
        <v>Active</v>
      </c>
      <c r="T192" s="34" t="n">
        <f aca="false">IF(ISNUMBER($AF192),INDEX(IDX_SrcGrade,$AF192),"—")</f>
        <v>1</v>
      </c>
      <c r="U192" s="34" t="s">
        <v>2716</v>
      </c>
      <c r="V192" s="183" t="n">
        <f aca="false">IF(AND($F192="原始數據",$U192&lt;&gt;"連結 SRC"),1,0)</f>
        <v>0</v>
      </c>
      <c r="W192" s="183" t="n">
        <f aca="false">IF(AND($F192="Analogy",OR($H192="—",$H192="")),1,0)</f>
        <v>0</v>
      </c>
      <c r="X192" s="183" t="n">
        <f aca="false">IF(AND(OR($F192="Analogy",$F192="Assumed"),$G192&lt;&gt;"低",$G192&lt;&gt;"高",NOT(ISNUMBER($K192)),NOT(ISNUMBER($L192)),OR($M192="—",$M192="")),1,0)</f>
        <v>0</v>
      </c>
      <c r="Y192" s="183" t="n">
        <f aca="false">IF(AND(OR($F192="Analogy",$F192="Assumed",$F192="Derived（待改公式）",$F192="Derived（公式）"),OR($N192="—",$N192="",$N192=0)),1,0)</f>
        <v>0</v>
      </c>
      <c r="Z192" s="183" t="n">
        <f aca="false">IF(AND($F192="Decision",OR($J192="—",$J192="")),1,0)</f>
        <v>0</v>
      </c>
      <c r="AA192" s="180" t="n">
        <f aca="false">IF(OR($J192="—",$J192=""),0,IF(COUNTIF(Decisions!$A$5:$A$300,$J192)=0,1,0))</f>
        <v>0</v>
      </c>
      <c r="AB192" s="183" t="n">
        <f aca="false">IF(AND($F192="原始數據",$S192&lt;&gt;"Active"),1,0)</f>
        <v>0</v>
      </c>
      <c r="AC192" s="183" t="n">
        <f aca="false">IF(AND(ISNUMBER($K192),ISNUMBER($L192),ISNUMBER($Q192)),IF(OR($Q192&lt;MIN($K192,$L192),$Q192&gt;MAX($K192,$L192)),1,0),0)</f>
        <v>0</v>
      </c>
      <c r="AD192" s="183" t="n">
        <f aca="false">IF(AND(ISNUMBER($T192),$P192="高"),IF($T192=3,1,0),0)</f>
        <v>0</v>
      </c>
      <c r="AE192" s="183" t="n">
        <f aca="false">IF($S192="不存在",1,0)</f>
        <v>0</v>
      </c>
      <c r="AF192" s="34" t="n">
        <f aca="false">IF(OR($H192="—",$H192=""),"—",MATCH($H192,IDX_SrcID,0))</f>
        <v>190</v>
      </c>
    </row>
    <row r="193" customFormat="false" ht="15" hidden="false" customHeight="true" outlineLevel="0" collapsed="false">
      <c r="A193" s="35" t="s">
        <v>3184</v>
      </c>
      <c r="B193" s="209" t="s">
        <v>2677</v>
      </c>
      <c r="C193" s="35" t="s">
        <v>3155</v>
      </c>
      <c r="D193" s="35" t="s">
        <v>3185</v>
      </c>
      <c r="E193" s="6" t="s">
        <v>245</v>
      </c>
      <c r="F193" s="209" t="s">
        <v>290</v>
      </c>
      <c r="G193" s="209" t="s">
        <v>2679</v>
      </c>
      <c r="H193" s="35" t="s">
        <v>3186</v>
      </c>
      <c r="I193" s="18" t="s">
        <v>2714</v>
      </c>
      <c r="J193" s="35" t="s">
        <v>571</v>
      </c>
      <c r="K193" s="209"/>
      <c r="L193" s="209"/>
      <c r="M193" s="35" t="s">
        <v>571</v>
      </c>
      <c r="N193" s="18" t="s">
        <v>2812</v>
      </c>
      <c r="O193" s="6" t="s">
        <v>571</v>
      </c>
      <c r="P193" s="209" t="s">
        <v>2682</v>
      </c>
      <c r="Q193" s="40" t="n">
        <f aca="false">Arch!C15</f>
        <v>129280</v>
      </c>
      <c r="R193" s="182" t="n">
        <f aca="false">SRC_MOD_014</f>
        <v>129280</v>
      </c>
      <c r="S193" s="34" t="str">
        <f aca="false">IF(ISNUMBER($AF193),INDEX(IDX_SrcStat,$AF193),"—")</f>
        <v>Active</v>
      </c>
      <c r="T193" s="34" t="n">
        <f aca="false">IF(ISNUMBER($AF193),INDEX(IDX_SrcGrade,$AF193),"—")</f>
        <v>1</v>
      </c>
      <c r="U193" s="34" t="s">
        <v>2716</v>
      </c>
      <c r="V193" s="183" t="n">
        <f aca="false">IF(AND($F193="原始數據",$U193&lt;&gt;"連結 SRC"),1,0)</f>
        <v>0</v>
      </c>
      <c r="W193" s="183" t="n">
        <f aca="false">IF(AND($F193="Analogy",OR($H193="—",$H193="")),1,0)</f>
        <v>0</v>
      </c>
      <c r="X193" s="183" t="n">
        <f aca="false">IF(AND(OR($F193="Analogy",$F193="Assumed"),$G193&lt;&gt;"低",$G193&lt;&gt;"高",NOT(ISNUMBER($K193)),NOT(ISNUMBER($L193)),OR($M193="—",$M193="")),1,0)</f>
        <v>0</v>
      </c>
      <c r="Y193" s="183" t="n">
        <f aca="false">IF(AND(OR($F193="Analogy",$F193="Assumed",$F193="Derived（待改公式）",$F193="Derived（公式）"),OR($N193="—",$N193="",$N193=0)),1,0)</f>
        <v>0</v>
      </c>
      <c r="Z193" s="183" t="n">
        <f aca="false">IF(AND($F193="Decision",OR($J193="—",$J193="")),1,0)</f>
        <v>0</v>
      </c>
      <c r="AA193" s="180" t="n">
        <f aca="false">IF(OR($J193="—",$J193=""),0,IF(COUNTIF(Decisions!$A$5:$A$300,$J193)=0,1,0))</f>
        <v>0</v>
      </c>
      <c r="AB193" s="183" t="n">
        <f aca="false">IF(AND($F193="原始數據",$S193&lt;&gt;"Active"),1,0)</f>
        <v>0</v>
      </c>
      <c r="AC193" s="183" t="n">
        <f aca="false">IF(AND(ISNUMBER($K193),ISNUMBER($L193),ISNUMBER($Q193)),IF(OR($Q193&lt;MIN($K193,$L193),$Q193&gt;MAX($K193,$L193)),1,0),0)</f>
        <v>0</v>
      </c>
      <c r="AD193" s="183" t="n">
        <f aca="false">IF(AND(ISNUMBER($T193),$P193="高"),IF($T193=3,1,0),0)</f>
        <v>0</v>
      </c>
      <c r="AE193" s="183" t="n">
        <f aca="false">IF($S193="不存在",1,0)</f>
        <v>0</v>
      </c>
      <c r="AF193" s="34" t="n">
        <f aca="false">IF(OR($H193="—",$H193=""),"—",MATCH($H193,IDX_SrcID,0))</f>
        <v>191</v>
      </c>
    </row>
    <row r="194" customFormat="false" ht="15" hidden="false" customHeight="true" outlineLevel="0" collapsed="false">
      <c r="A194" s="35" t="s">
        <v>3187</v>
      </c>
      <c r="B194" s="209" t="s">
        <v>2677</v>
      </c>
      <c r="C194" s="35" t="s">
        <v>3155</v>
      </c>
      <c r="D194" s="35" t="s">
        <v>3188</v>
      </c>
      <c r="E194" s="6" t="s">
        <v>245</v>
      </c>
      <c r="F194" s="209" t="s">
        <v>290</v>
      </c>
      <c r="G194" s="209" t="s">
        <v>2679</v>
      </c>
      <c r="H194" s="35" t="s">
        <v>3186</v>
      </c>
      <c r="I194" s="18" t="s">
        <v>2714</v>
      </c>
      <c r="J194" s="35" t="s">
        <v>571</v>
      </c>
      <c r="K194" s="209"/>
      <c r="L194" s="209"/>
      <c r="M194" s="35" t="s">
        <v>571</v>
      </c>
      <c r="N194" s="18" t="s">
        <v>2812</v>
      </c>
      <c r="O194" s="6" t="s">
        <v>571</v>
      </c>
      <c r="P194" s="209" t="s">
        <v>2682</v>
      </c>
      <c r="Q194" s="40" t="n">
        <f aca="false">Arch!D15</f>
        <v>129280</v>
      </c>
      <c r="R194" s="182" t="n">
        <f aca="false">SRC_MOD_014</f>
        <v>129280</v>
      </c>
      <c r="S194" s="34" t="str">
        <f aca="false">IF(ISNUMBER($AF194),INDEX(IDX_SrcStat,$AF194),"—")</f>
        <v>Active</v>
      </c>
      <c r="T194" s="34" t="n">
        <f aca="false">IF(ISNUMBER($AF194),INDEX(IDX_SrcGrade,$AF194),"—")</f>
        <v>1</v>
      </c>
      <c r="U194" s="34" t="s">
        <v>2716</v>
      </c>
      <c r="V194" s="183" t="n">
        <f aca="false">IF(AND($F194="原始數據",$U194&lt;&gt;"連結 SRC"),1,0)</f>
        <v>0</v>
      </c>
      <c r="W194" s="183" t="n">
        <f aca="false">IF(AND($F194="Analogy",OR($H194="—",$H194="")),1,0)</f>
        <v>0</v>
      </c>
      <c r="X194" s="183" t="n">
        <f aca="false">IF(AND(OR($F194="Analogy",$F194="Assumed"),$G194&lt;&gt;"低",$G194&lt;&gt;"高",NOT(ISNUMBER($K194)),NOT(ISNUMBER($L194)),OR($M194="—",$M194="")),1,0)</f>
        <v>0</v>
      </c>
      <c r="Y194" s="183" t="n">
        <f aca="false">IF(AND(OR($F194="Analogy",$F194="Assumed",$F194="Derived（待改公式）",$F194="Derived（公式）"),OR($N194="—",$N194="",$N194=0)),1,0)</f>
        <v>0</v>
      </c>
      <c r="Z194" s="183" t="n">
        <f aca="false">IF(AND($F194="Decision",OR($J194="—",$J194="")),1,0)</f>
        <v>0</v>
      </c>
      <c r="AA194" s="180" t="n">
        <f aca="false">IF(OR($J194="—",$J194=""),0,IF(COUNTIF(Decisions!$A$5:$A$300,$J194)=0,1,0))</f>
        <v>0</v>
      </c>
      <c r="AB194" s="183" t="n">
        <f aca="false">IF(AND($F194="原始數據",$S194&lt;&gt;"Active"),1,0)</f>
        <v>0</v>
      </c>
      <c r="AC194" s="183" t="n">
        <f aca="false">IF(AND(ISNUMBER($K194),ISNUMBER($L194),ISNUMBER($Q194)),IF(OR($Q194&lt;MIN($K194,$L194),$Q194&gt;MAX($K194,$L194)),1,0),0)</f>
        <v>0</v>
      </c>
      <c r="AD194" s="183" t="n">
        <f aca="false">IF(AND(ISNUMBER($T194),$P194="高"),IF($T194=3,1,0),0)</f>
        <v>0</v>
      </c>
      <c r="AE194" s="183" t="n">
        <f aca="false">IF($S194="不存在",1,0)</f>
        <v>0</v>
      </c>
      <c r="AF194" s="34" t="n">
        <f aca="false">IF(OR($H194="—",$H194=""),"—",MATCH($H194,IDX_SrcID,0))</f>
        <v>191</v>
      </c>
    </row>
    <row r="195" customFormat="false" ht="15" hidden="false" customHeight="true" outlineLevel="0" collapsed="false">
      <c r="A195" s="35" t="s">
        <v>3189</v>
      </c>
      <c r="B195" s="209" t="s">
        <v>2677</v>
      </c>
      <c r="C195" s="35" t="s">
        <v>3155</v>
      </c>
      <c r="D195" s="35" t="s">
        <v>3190</v>
      </c>
      <c r="E195" s="18" t="s">
        <v>246</v>
      </c>
      <c r="F195" s="209" t="s">
        <v>290</v>
      </c>
      <c r="G195" s="209" t="s">
        <v>2679</v>
      </c>
      <c r="H195" s="35" t="s">
        <v>3191</v>
      </c>
      <c r="I195" s="18" t="s">
        <v>2714</v>
      </c>
      <c r="J195" s="35" t="s">
        <v>571</v>
      </c>
      <c r="K195" s="209"/>
      <c r="L195" s="209"/>
      <c r="M195" s="35" t="s">
        <v>571</v>
      </c>
      <c r="N195" s="18" t="s">
        <v>2812</v>
      </c>
      <c r="O195" s="6" t="s">
        <v>571</v>
      </c>
      <c r="P195" s="209" t="s">
        <v>2738</v>
      </c>
      <c r="Q195" s="174" t="n">
        <f aca="false">Arch!C16</f>
        <v>0.512</v>
      </c>
      <c r="R195" s="182" t="n">
        <f aca="false">SRC_MOD_015</f>
        <v>0.512</v>
      </c>
      <c r="S195" s="34" t="str">
        <f aca="false">IF(ISNUMBER($AF195),INDEX(IDX_SrcStat,$AF195),"—")</f>
        <v>Active</v>
      </c>
      <c r="T195" s="34" t="n">
        <f aca="false">IF(ISNUMBER($AF195),INDEX(IDX_SrcGrade,$AF195),"—")</f>
        <v>1</v>
      </c>
      <c r="U195" s="34" t="s">
        <v>2716</v>
      </c>
      <c r="V195" s="183" t="n">
        <f aca="false">IF(AND($F195="原始數據",$U195&lt;&gt;"連結 SRC"),1,0)</f>
        <v>0</v>
      </c>
      <c r="W195" s="183" t="n">
        <f aca="false">IF(AND($F195="Analogy",OR($H195="—",$H195="")),1,0)</f>
        <v>0</v>
      </c>
      <c r="X195" s="183" t="n">
        <f aca="false">IF(AND(OR($F195="Analogy",$F195="Assumed"),$G195&lt;&gt;"低",$G195&lt;&gt;"高",NOT(ISNUMBER($K195)),NOT(ISNUMBER($L195)),OR($M195="—",$M195="")),1,0)</f>
        <v>0</v>
      </c>
      <c r="Y195" s="183" t="n">
        <f aca="false">IF(AND(OR($F195="Analogy",$F195="Assumed",$F195="Derived（待改公式）",$F195="Derived（公式）"),OR($N195="—",$N195="",$N195=0)),1,0)</f>
        <v>0</v>
      </c>
      <c r="Z195" s="183" t="n">
        <f aca="false">IF(AND($F195="Decision",OR($J195="—",$J195="")),1,0)</f>
        <v>0</v>
      </c>
      <c r="AA195" s="180" t="n">
        <f aca="false">IF(OR($J195="—",$J195=""),0,IF(COUNTIF(Decisions!$A$5:$A$300,$J195)=0,1,0))</f>
        <v>0</v>
      </c>
      <c r="AB195" s="183" t="n">
        <f aca="false">IF(AND($F195="原始數據",$S195&lt;&gt;"Active"),1,0)</f>
        <v>0</v>
      </c>
      <c r="AC195" s="183" t="n">
        <f aca="false">IF(AND(ISNUMBER($K195),ISNUMBER($L195),ISNUMBER($Q195)),IF(OR($Q195&lt;MIN($K195,$L195),$Q195&gt;MAX($K195,$L195)),1,0),0)</f>
        <v>0</v>
      </c>
      <c r="AD195" s="183" t="n">
        <f aca="false">IF(AND(ISNUMBER($T195),$P195="高"),IF($T195=3,1,0),0)</f>
        <v>0</v>
      </c>
      <c r="AE195" s="183" t="n">
        <f aca="false">IF($S195="不存在",1,0)</f>
        <v>0</v>
      </c>
      <c r="AF195" s="34" t="n">
        <f aca="false">IF(OR($H195="—",$H195=""),"—",MATCH($H195,IDX_SrcID,0))</f>
        <v>192</v>
      </c>
    </row>
    <row r="196" customFormat="false" ht="15" hidden="false" customHeight="true" outlineLevel="0" collapsed="false">
      <c r="A196" s="35" t="s">
        <v>3192</v>
      </c>
      <c r="B196" s="209" t="s">
        <v>2677</v>
      </c>
      <c r="C196" s="35" t="s">
        <v>3155</v>
      </c>
      <c r="D196" s="35" t="s">
        <v>2726</v>
      </c>
      <c r="E196" s="18" t="s">
        <v>246</v>
      </c>
      <c r="F196" s="209" t="s">
        <v>290</v>
      </c>
      <c r="G196" s="209" t="s">
        <v>2679</v>
      </c>
      <c r="H196" s="35" t="s">
        <v>3191</v>
      </c>
      <c r="I196" s="18" t="s">
        <v>2714</v>
      </c>
      <c r="J196" s="35" t="s">
        <v>571</v>
      </c>
      <c r="K196" s="209"/>
      <c r="L196" s="209"/>
      <c r="M196" s="35" t="s">
        <v>571</v>
      </c>
      <c r="N196" s="18" t="s">
        <v>2812</v>
      </c>
      <c r="O196" s="6" t="s">
        <v>571</v>
      </c>
      <c r="P196" s="209" t="s">
        <v>2738</v>
      </c>
      <c r="Q196" s="174" t="n">
        <f aca="false">Arch!D16</f>
        <v>0.492</v>
      </c>
      <c r="R196" s="182" t="n">
        <f aca="false">SRC_MOD_015</f>
        <v>0.512</v>
      </c>
      <c r="S196" s="34" t="str">
        <f aca="false">IF(ISNUMBER($AF196),INDEX(IDX_SrcStat,$AF196),"—")</f>
        <v>Active</v>
      </c>
      <c r="T196" s="34" t="n">
        <f aca="false">IF(ISNUMBER($AF196),INDEX(IDX_SrcGrade,$AF196),"—")</f>
        <v>1</v>
      </c>
      <c r="U196" s="34" t="s">
        <v>2716</v>
      </c>
      <c r="V196" s="183" t="n">
        <f aca="false">IF(AND($F196="原始數據",$U196&lt;&gt;"連結 SRC"),1,0)</f>
        <v>0</v>
      </c>
      <c r="W196" s="183" t="n">
        <f aca="false">IF(AND($F196="Analogy",OR($H196="—",$H196="")),1,0)</f>
        <v>0</v>
      </c>
      <c r="X196" s="183" t="n">
        <f aca="false">IF(AND(OR($F196="Analogy",$F196="Assumed"),$G196&lt;&gt;"低",$G196&lt;&gt;"高",NOT(ISNUMBER($K196)),NOT(ISNUMBER($L196)),OR($M196="—",$M196="")),1,0)</f>
        <v>0</v>
      </c>
      <c r="Y196" s="183" t="n">
        <f aca="false">IF(AND(OR($F196="Analogy",$F196="Assumed",$F196="Derived（待改公式）",$F196="Derived（公式）"),OR($N196="—",$N196="",$N196=0)),1,0)</f>
        <v>0</v>
      </c>
      <c r="Z196" s="183" t="n">
        <f aca="false">IF(AND($F196="Decision",OR($J196="—",$J196="")),1,0)</f>
        <v>0</v>
      </c>
      <c r="AA196" s="180" t="n">
        <f aca="false">IF(OR($J196="—",$J196=""),0,IF(COUNTIF(Decisions!$A$5:$A$300,$J196)=0,1,0))</f>
        <v>0</v>
      </c>
      <c r="AB196" s="183" t="n">
        <f aca="false">IF(AND($F196="原始數據",$S196&lt;&gt;"Active"),1,0)</f>
        <v>0</v>
      </c>
      <c r="AC196" s="183" t="n">
        <f aca="false">IF(AND(ISNUMBER($K196),ISNUMBER($L196),ISNUMBER($Q196)),IF(OR($Q196&lt;MIN($K196,$L196),$Q196&gt;MAX($K196,$L196)),1,0),0)</f>
        <v>0</v>
      </c>
      <c r="AD196" s="183" t="n">
        <f aca="false">IF(AND(ISNUMBER($T196),$P196="高"),IF($T196=3,1,0),0)</f>
        <v>0</v>
      </c>
      <c r="AE196" s="183" t="n">
        <f aca="false">IF($S196="不存在",1,0)</f>
        <v>0</v>
      </c>
      <c r="AF196" s="34" t="n">
        <f aca="false">IF(OR($H196="—",$H196=""),"—",MATCH($H196,IDX_SrcID,0))</f>
        <v>192</v>
      </c>
    </row>
    <row r="197" customFormat="false" ht="15" hidden="false" customHeight="true" outlineLevel="0" collapsed="false">
      <c r="A197" s="35" t="s">
        <v>3193</v>
      </c>
      <c r="B197" s="209" t="s">
        <v>2677</v>
      </c>
      <c r="C197" s="35" t="s">
        <v>3155</v>
      </c>
      <c r="D197" s="35" t="s">
        <v>3194</v>
      </c>
      <c r="E197" s="18" t="s">
        <v>252</v>
      </c>
      <c r="F197" s="209" t="s">
        <v>290</v>
      </c>
      <c r="G197" s="209" t="s">
        <v>2679</v>
      </c>
      <c r="H197" s="35" t="s">
        <v>3195</v>
      </c>
      <c r="I197" s="18" t="s">
        <v>2714</v>
      </c>
      <c r="J197" s="35" t="s">
        <v>571</v>
      </c>
      <c r="K197" s="209"/>
      <c r="L197" s="209"/>
      <c r="M197" s="35" t="s">
        <v>571</v>
      </c>
      <c r="N197" s="18" t="s">
        <v>2812</v>
      </c>
      <c r="O197" s="6" t="s">
        <v>571</v>
      </c>
      <c r="P197" s="209" t="s">
        <v>1099</v>
      </c>
      <c r="Q197" s="40" t="n">
        <f aca="false">Arch!C18</f>
        <v>128</v>
      </c>
      <c r="R197" s="182" t="n">
        <f aca="false">SRC_MOD_016</f>
        <v>128</v>
      </c>
      <c r="S197" s="34" t="str">
        <f aca="false">IF(ISNUMBER($AF197),INDEX(IDX_SrcStat,$AF197),"—")</f>
        <v>Active</v>
      </c>
      <c r="T197" s="34" t="n">
        <f aca="false">IF(ISNUMBER($AF197),INDEX(IDX_SrcGrade,$AF197),"—")</f>
        <v>1</v>
      </c>
      <c r="U197" s="34" t="s">
        <v>2716</v>
      </c>
      <c r="V197" s="183" t="n">
        <f aca="false">IF(AND($F197="原始數據",$U197&lt;&gt;"連結 SRC"),1,0)</f>
        <v>0</v>
      </c>
      <c r="W197" s="183" t="n">
        <f aca="false">IF(AND($F197="Analogy",OR($H197="—",$H197="")),1,0)</f>
        <v>0</v>
      </c>
      <c r="X197" s="183" t="n">
        <f aca="false">IF(AND(OR($F197="Analogy",$F197="Assumed"),$G197&lt;&gt;"低",$G197&lt;&gt;"高",NOT(ISNUMBER($K197)),NOT(ISNUMBER($L197)),OR($M197="—",$M197="")),1,0)</f>
        <v>0</v>
      </c>
      <c r="Y197" s="183" t="n">
        <f aca="false">IF(AND(OR($F197="Analogy",$F197="Assumed",$F197="Derived（待改公式）",$F197="Derived（公式）"),OR($N197="—",$N197="",$N197=0)),1,0)</f>
        <v>0</v>
      </c>
      <c r="Z197" s="183" t="n">
        <f aca="false">IF(AND($F197="Decision",OR($J197="—",$J197="")),1,0)</f>
        <v>0</v>
      </c>
      <c r="AA197" s="180" t="n">
        <f aca="false">IF(OR($J197="—",$J197=""),0,IF(COUNTIF(Decisions!$A$5:$A$300,$J197)=0,1,0))</f>
        <v>0</v>
      </c>
      <c r="AB197" s="183" t="n">
        <f aca="false">IF(AND($F197="原始數據",$S197&lt;&gt;"Active"),1,0)</f>
        <v>0</v>
      </c>
      <c r="AC197" s="183" t="n">
        <f aca="false">IF(AND(ISNUMBER($K197),ISNUMBER($L197),ISNUMBER($Q197)),IF(OR($Q197&lt;MIN($K197,$L197),$Q197&gt;MAX($K197,$L197)),1,0),0)</f>
        <v>0</v>
      </c>
      <c r="AD197" s="183" t="n">
        <f aca="false">IF(AND(ISNUMBER($T197),$P197="高"),IF($T197=3,1,0),0)</f>
        <v>0</v>
      </c>
      <c r="AE197" s="183" t="n">
        <f aca="false">IF($S197="不存在",1,0)</f>
        <v>0</v>
      </c>
      <c r="AF197" s="34" t="n">
        <f aca="false">IF(OR($H197="—",$H197=""),"—",MATCH($H197,IDX_SrcID,0))</f>
        <v>193</v>
      </c>
    </row>
    <row r="198" customFormat="false" ht="15" hidden="false" customHeight="true" outlineLevel="0" collapsed="false">
      <c r="A198" s="35" t="s">
        <v>3196</v>
      </c>
      <c r="B198" s="209" t="s">
        <v>2677</v>
      </c>
      <c r="C198" s="35" t="s">
        <v>3155</v>
      </c>
      <c r="D198" s="35" t="s">
        <v>2740</v>
      </c>
      <c r="E198" s="18" t="s">
        <v>252</v>
      </c>
      <c r="F198" s="209" t="s">
        <v>290</v>
      </c>
      <c r="G198" s="209" t="s">
        <v>2679</v>
      </c>
      <c r="H198" s="35" t="s">
        <v>3195</v>
      </c>
      <c r="I198" s="18" t="s">
        <v>2714</v>
      </c>
      <c r="J198" s="35" t="s">
        <v>571</v>
      </c>
      <c r="K198" s="209"/>
      <c r="L198" s="209"/>
      <c r="M198" s="35" t="s">
        <v>571</v>
      </c>
      <c r="N198" s="18" t="s">
        <v>2812</v>
      </c>
      <c r="O198" s="6" t="s">
        <v>571</v>
      </c>
      <c r="P198" s="209" t="s">
        <v>1099</v>
      </c>
      <c r="Q198" s="40" t="n">
        <f aca="false">Arch!D18</f>
        <v>128</v>
      </c>
      <c r="R198" s="182" t="n">
        <f aca="false">SRC_MOD_016</f>
        <v>128</v>
      </c>
      <c r="S198" s="34" t="str">
        <f aca="false">IF(ISNUMBER($AF198),INDEX(IDX_SrcStat,$AF198),"—")</f>
        <v>Active</v>
      </c>
      <c r="T198" s="34" t="n">
        <f aca="false">IF(ISNUMBER($AF198),INDEX(IDX_SrcGrade,$AF198),"—")</f>
        <v>1</v>
      </c>
      <c r="U198" s="34" t="s">
        <v>2716</v>
      </c>
      <c r="V198" s="183" t="n">
        <f aca="false">IF(AND($F198="原始數據",$U198&lt;&gt;"連結 SRC"),1,0)</f>
        <v>0</v>
      </c>
      <c r="W198" s="183" t="n">
        <f aca="false">IF(AND($F198="Analogy",OR($H198="—",$H198="")),1,0)</f>
        <v>0</v>
      </c>
      <c r="X198" s="183" t="n">
        <f aca="false">IF(AND(OR($F198="Analogy",$F198="Assumed"),$G198&lt;&gt;"低",$G198&lt;&gt;"高",NOT(ISNUMBER($K198)),NOT(ISNUMBER($L198)),OR($M198="—",$M198="")),1,0)</f>
        <v>0</v>
      </c>
      <c r="Y198" s="183" t="n">
        <f aca="false">IF(AND(OR($F198="Analogy",$F198="Assumed",$F198="Derived（待改公式）",$F198="Derived（公式）"),OR($N198="—",$N198="",$N198=0)),1,0)</f>
        <v>0</v>
      </c>
      <c r="Z198" s="183" t="n">
        <f aca="false">IF(AND($F198="Decision",OR($J198="—",$J198="")),1,0)</f>
        <v>0</v>
      </c>
      <c r="AA198" s="180" t="n">
        <f aca="false">IF(OR($J198="—",$J198=""),0,IF(COUNTIF(Decisions!$A$5:$A$300,$J198)=0,1,0))</f>
        <v>0</v>
      </c>
      <c r="AB198" s="183" t="n">
        <f aca="false">IF(AND($F198="原始數據",$S198&lt;&gt;"Active"),1,0)</f>
        <v>0</v>
      </c>
      <c r="AC198" s="183" t="n">
        <f aca="false">IF(AND(ISNUMBER($K198),ISNUMBER($L198),ISNUMBER($Q198)),IF(OR($Q198&lt;MIN($K198,$L198),$Q198&gt;MAX($K198,$L198)),1,0),0)</f>
        <v>0</v>
      </c>
      <c r="AD198" s="183" t="n">
        <f aca="false">IF(AND(ISNUMBER($T198),$P198="高"),IF($T198=3,1,0),0)</f>
        <v>0</v>
      </c>
      <c r="AE198" s="183" t="n">
        <f aca="false">IF($S198="不存在",1,0)</f>
        <v>0</v>
      </c>
      <c r="AF198" s="34" t="n">
        <f aca="false">IF(OR($H198="—",$H198=""),"—",MATCH($H198,IDX_SrcID,0))</f>
        <v>193</v>
      </c>
    </row>
    <row r="199" customFormat="false" ht="15" hidden="false" customHeight="true" outlineLevel="0" collapsed="false">
      <c r="A199" s="35" t="s">
        <v>3197</v>
      </c>
      <c r="B199" s="209" t="s">
        <v>2677</v>
      </c>
      <c r="C199" s="35" t="s">
        <v>3155</v>
      </c>
      <c r="D199" s="35" t="s">
        <v>3198</v>
      </c>
      <c r="E199" s="18" t="s">
        <v>254</v>
      </c>
      <c r="F199" s="209" t="s">
        <v>290</v>
      </c>
      <c r="G199" s="209" t="s">
        <v>2679</v>
      </c>
      <c r="H199" s="35" t="s">
        <v>3199</v>
      </c>
      <c r="I199" s="18" t="s">
        <v>2714</v>
      </c>
      <c r="J199" s="35" t="s">
        <v>571</v>
      </c>
      <c r="K199" s="209"/>
      <c r="L199" s="209"/>
      <c r="M199" s="35" t="s">
        <v>571</v>
      </c>
      <c r="N199" s="18" t="s">
        <v>2812</v>
      </c>
      <c r="O199" s="6" t="s">
        <v>571</v>
      </c>
      <c r="P199" s="209" t="s">
        <v>1099</v>
      </c>
      <c r="Q199" s="40" t="n">
        <f aca="false">Arch!C19</f>
        <v>128</v>
      </c>
      <c r="R199" s="182" t="n">
        <f aca="false">SRC_MOD_017</f>
        <v>128</v>
      </c>
      <c r="S199" s="34" t="str">
        <f aca="false">IF(ISNUMBER($AF199),INDEX(IDX_SrcStat,$AF199),"—")</f>
        <v>Active</v>
      </c>
      <c r="T199" s="34" t="n">
        <f aca="false">IF(ISNUMBER($AF199),INDEX(IDX_SrcGrade,$AF199),"—")</f>
        <v>1</v>
      </c>
      <c r="U199" s="34" t="s">
        <v>2716</v>
      </c>
      <c r="V199" s="183" t="n">
        <f aca="false">IF(AND($F199="原始數據",$U199&lt;&gt;"連結 SRC"),1,0)</f>
        <v>0</v>
      </c>
      <c r="W199" s="183" t="n">
        <f aca="false">IF(AND($F199="Analogy",OR($H199="—",$H199="")),1,0)</f>
        <v>0</v>
      </c>
      <c r="X199" s="183" t="n">
        <f aca="false">IF(AND(OR($F199="Analogy",$F199="Assumed"),$G199&lt;&gt;"低",$G199&lt;&gt;"高",NOT(ISNUMBER($K199)),NOT(ISNUMBER($L199)),OR($M199="—",$M199="")),1,0)</f>
        <v>0</v>
      </c>
      <c r="Y199" s="183" t="n">
        <f aca="false">IF(AND(OR($F199="Analogy",$F199="Assumed",$F199="Derived（待改公式）",$F199="Derived（公式）"),OR($N199="—",$N199="",$N199=0)),1,0)</f>
        <v>0</v>
      </c>
      <c r="Z199" s="183" t="n">
        <f aca="false">IF(AND($F199="Decision",OR($J199="—",$J199="")),1,0)</f>
        <v>0</v>
      </c>
      <c r="AA199" s="180" t="n">
        <f aca="false">IF(OR($J199="—",$J199=""),0,IF(COUNTIF(Decisions!$A$5:$A$300,$J199)=0,1,0))</f>
        <v>0</v>
      </c>
      <c r="AB199" s="183" t="n">
        <f aca="false">IF(AND($F199="原始數據",$S199&lt;&gt;"Active"),1,0)</f>
        <v>0</v>
      </c>
      <c r="AC199" s="183" t="n">
        <f aca="false">IF(AND(ISNUMBER($K199),ISNUMBER($L199),ISNUMBER($Q199)),IF(OR($Q199&lt;MIN($K199,$L199),$Q199&gt;MAX($K199,$L199)),1,0),0)</f>
        <v>0</v>
      </c>
      <c r="AD199" s="183" t="n">
        <f aca="false">IF(AND(ISNUMBER($T199),$P199="高"),IF($T199=3,1,0),0)</f>
        <v>0</v>
      </c>
      <c r="AE199" s="183" t="n">
        <f aca="false">IF($S199="不存在",1,0)</f>
        <v>0</v>
      </c>
      <c r="AF199" s="34" t="n">
        <f aca="false">IF(OR($H199="—",$H199=""),"—",MATCH($H199,IDX_SrcID,0))</f>
        <v>194</v>
      </c>
    </row>
    <row r="200" customFormat="false" ht="15" hidden="false" customHeight="true" outlineLevel="0" collapsed="false">
      <c r="A200" s="35" t="s">
        <v>3200</v>
      </c>
      <c r="B200" s="209" t="s">
        <v>2677</v>
      </c>
      <c r="C200" s="35" t="s">
        <v>3155</v>
      </c>
      <c r="D200" s="35" t="s">
        <v>2746</v>
      </c>
      <c r="E200" s="18" t="s">
        <v>254</v>
      </c>
      <c r="F200" s="209" t="s">
        <v>290</v>
      </c>
      <c r="G200" s="209" t="s">
        <v>2679</v>
      </c>
      <c r="H200" s="35" t="s">
        <v>3199</v>
      </c>
      <c r="I200" s="18" t="s">
        <v>2714</v>
      </c>
      <c r="J200" s="35" t="s">
        <v>571</v>
      </c>
      <c r="K200" s="209"/>
      <c r="L200" s="209"/>
      <c r="M200" s="35" t="s">
        <v>571</v>
      </c>
      <c r="N200" s="18" t="s">
        <v>2812</v>
      </c>
      <c r="O200" s="6" t="s">
        <v>571</v>
      </c>
      <c r="P200" s="209" t="s">
        <v>1099</v>
      </c>
      <c r="Q200" s="40" t="n">
        <f aca="false">Arch!D19</f>
        <v>128</v>
      </c>
      <c r="R200" s="182" t="n">
        <f aca="false">SRC_MOD_017</f>
        <v>128</v>
      </c>
      <c r="S200" s="34" t="str">
        <f aca="false">IF(ISNUMBER($AF200),INDEX(IDX_SrcStat,$AF200),"—")</f>
        <v>Active</v>
      </c>
      <c r="T200" s="34" t="n">
        <f aca="false">IF(ISNUMBER($AF200),INDEX(IDX_SrcGrade,$AF200),"—")</f>
        <v>1</v>
      </c>
      <c r="U200" s="34" t="s">
        <v>2716</v>
      </c>
      <c r="V200" s="183" t="n">
        <f aca="false">IF(AND($F200="原始數據",$U200&lt;&gt;"連結 SRC"),1,0)</f>
        <v>0</v>
      </c>
      <c r="W200" s="183" t="n">
        <f aca="false">IF(AND($F200="Analogy",OR($H200="—",$H200="")),1,0)</f>
        <v>0</v>
      </c>
      <c r="X200" s="183" t="n">
        <f aca="false">IF(AND(OR($F200="Analogy",$F200="Assumed"),$G200&lt;&gt;"低",$G200&lt;&gt;"高",NOT(ISNUMBER($K200)),NOT(ISNUMBER($L200)),OR($M200="—",$M200="")),1,0)</f>
        <v>0</v>
      </c>
      <c r="Y200" s="183" t="n">
        <f aca="false">IF(AND(OR($F200="Analogy",$F200="Assumed",$F200="Derived（待改公式）",$F200="Derived（公式）"),OR($N200="—",$N200="",$N200=0)),1,0)</f>
        <v>0</v>
      </c>
      <c r="Z200" s="183" t="n">
        <f aca="false">IF(AND($F200="Decision",OR($J200="—",$J200="")),1,0)</f>
        <v>0</v>
      </c>
      <c r="AA200" s="180" t="n">
        <f aca="false">IF(OR($J200="—",$J200=""),0,IF(COUNTIF(Decisions!$A$5:$A$300,$J200)=0,1,0))</f>
        <v>0</v>
      </c>
      <c r="AB200" s="183" t="n">
        <f aca="false">IF(AND($F200="原始數據",$S200&lt;&gt;"Active"),1,0)</f>
        <v>0</v>
      </c>
      <c r="AC200" s="183" t="n">
        <f aca="false">IF(AND(ISNUMBER($K200),ISNUMBER($L200),ISNUMBER($Q200)),IF(OR($Q200&lt;MIN($K200,$L200),$Q200&gt;MAX($K200,$L200)),1,0),0)</f>
        <v>0</v>
      </c>
      <c r="AD200" s="183" t="n">
        <f aca="false">IF(AND(ISNUMBER($T200),$P200="高"),IF($T200=3,1,0),0)</f>
        <v>0</v>
      </c>
      <c r="AE200" s="183" t="n">
        <f aca="false">IF($S200="不存在",1,0)</f>
        <v>0</v>
      </c>
      <c r="AF200" s="34" t="n">
        <f aca="false">IF(OR($H200="—",$H200=""),"—",MATCH($H200,IDX_SrcID,0))</f>
        <v>194</v>
      </c>
    </row>
    <row r="201" customFormat="false" ht="15" hidden="false" customHeight="true" outlineLevel="0" collapsed="false">
      <c r="A201" s="35" t="s">
        <v>3201</v>
      </c>
      <c r="B201" s="209" t="s">
        <v>2677</v>
      </c>
      <c r="C201" s="35" t="s">
        <v>3155</v>
      </c>
      <c r="D201" s="35" t="s">
        <v>2692</v>
      </c>
      <c r="E201" s="6" t="s">
        <v>236</v>
      </c>
      <c r="F201" s="209" t="s">
        <v>290</v>
      </c>
      <c r="G201" s="209" t="s">
        <v>2679</v>
      </c>
      <c r="H201" s="35" t="s">
        <v>3202</v>
      </c>
      <c r="I201" s="18" t="s">
        <v>2714</v>
      </c>
      <c r="J201" s="35" t="s">
        <v>571</v>
      </c>
      <c r="K201" s="209"/>
      <c r="L201" s="209"/>
      <c r="M201" s="35" t="s">
        <v>571</v>
      </c>
      <c r="N201" s="18" t="s">
        <v>2812</v>
      </c>
      <c r="O201" s="6" t="s">
        <v>571</v>
      </c>
      <c r="P201" s="209" t="s">
        <v>2682</v>
      </c>
      <c r="Q201" s="40" t="n">
        <f aca="false">Arch!D9</f>
        <v>7168</v>
      </c>
      <c r="R201" s="182" t="n">
        <f aca="false">SRC_MOD_004</f>
        <v>7168</v>
      </c>
      <c r="S201" s="34" t="str">
        <f aca="false">IF(ISNUMBER($AF201),INDEX(IDX_SrcStat,$AF201),"—")</f>
        <v>Active</v>
      </c>
      <c r="T201" s="34" t="n">
        <f aca="false">IF(ISNUMBER($AF201),INDEX(IDX_SrcGrade,$AF201),"—")</f>
        <v>3</v>
      </c>
      <c r="U201" s="34" t="s">
        <v>2716</v>
      </c>
      <c r="V201" s="183" t="n">
        <f aca="false">IF(AND($F201="原始數據",$U201&lt;&gt;"連結 SRC"),1,0)</f>
        <v>0</v>
      </c>
      <c r="W201" s="183" t="n">
        <f aca="false">IF(AND($F201="Analogy",OR($H201="—",$H201="")),1,0)</f>
        <v>0</v>
      </c>
      <c r="X201" s="183" t="n">
        <f aca="false">IF(AND(OR($F201="Analogy",$F201="Assumed"),$G201&lt;&gt;"低",$G201&lt;&gt;"高",NOT(ISNUMBER($K201)),NOT(ISNUMBER($L201)),OR($M201="—",$M201="")),1,0)</f>
        <v>0</v>
      </c>
      <c r="Y201" s="183" t="n">
        <f aca="false">IF(AND(OR($F201="Analogy",$F201="Assumed",$F201="Derived（待改公式）",$F201="Derived（公式）"),OR($N201="—",$N201="",$N201=0)),1,0)</f>
        <v>0</v>
      </c>
      <c r="Z201" s="183" t="n">
        <f aca="false">IF(AND($F201="Decision",OR($J201="—",$J201="")),1,0)</f>
        <v>0</v>
      </c>
      <c r="AA201" s="180" t="n">
        <f aca="false">IF(OR($J201="—",$J201=""),0,IF(COUNTIF(Decisions!$A$5:$A$300,$J201)=0,1,0))</f>
        <v>0</v>
      </c>
      <c r="AB201" s="183" t="n">
        <f aca="false">IF(AND($F201="原始數據",$S201&lt;&gt;"Active"),1,0)</f>
        <v>0</v>
      </c>
      <c r="AC201" s="183" t="n">
        <f aca="false">IF(AND(ISNUMBER($K201),ISNUMBER($L201),ISNUMBER($Q201)),IF(OR($Q201&lt;MIN($K201,$L201),$Q201&gt;MAX($K201,$L201)),1,0),0)</f>
        <v>0</v>
      </c>
      <c r="AD201" s="183" t="n">
        <f aca="false">IF(AND(ISNUMBER($T201),$P201="高"),IF($T201=3,1,0),0)</f>
        <v>0</v>
      </c>
      <c r="AE201" s="183" t="n">
        <f aca="false">IF($S201="不存在",1,0)</f>
        <v>0</v>
      </c>
      <c r="AF201" s="34" t="n">
        <f aca="false">IF(OR($H201="—",$H201=""),"—",MATCH($H201,IDX_SrcID,0))</f>
        <v>181</v>
      </c>
    </row>
    <row r="202" customFormat="false" ht="15" hidden="false" customHeight="true" outlineLevel="0" collapsed="false">
      <c r="A202" s="35" t="s">
        <v>3203</v>
      </c>
      <c r="B202" s="209" t="s">
        <v>2677</v>
      </c>
      <c r="C202" s="35" t="s">
        <v>3155</v>
      </c>
      <c r="D202" s="35" t="s">
        <v>2697</v>
      </c>
      <c r="E202" s="6" t="s">
        <v>238</v>
      </c>
      <c r="F202" s="209" t="s">
        <v>290</v>
      </c>
      <c r="G202" s="209" t="s">
        <v>2679</v>
      </c>
      <c r="H202" s="35" t="s">
        <v>3204</v>
      </c>
      <c r="I202" s="18" t="s">
        <v>2714</v>
      </c>
      <c r="J202" s="35" t="s">
        <v>571</v>
      </c>
      <c r="K202" s="209"/>
      <c r="L202" s="209"/>
      <c r="M202" s="35" t="s">
        <v>571</v>
      </c>
      <c r="N202" s="18" t="s">
        <v>2812</v>
      </c>
      <c r="O202" s="6" t="s">
        <v>571</v>
      </c>
      <c r="P202" s="209" t="s">
        <v>2738</v>
      </c>
      <c r="Q202" s="40" t="n">
        <f aca="false">Arch!D10</f>
        <v>128</v>
      </c>
      <c r="R202" s="182" t="n">
        <f aca="false">SRC_MOD_008</f>
        <v>128</v>
      </c>
      <c r="S202" s="34" t="str">
        <f aca="false">IF(ISNUMBER($AF202),INDEX(IDX_SrcStat,$AF202),"—")</f>
        <v>Active</v>
      </c>
      <c r="T202" s="34" t="n">
        <f aca="false">IF(ISNUMBER($AF202),INDEX(IDX_SrcGrade,$AF202),"—")</f>
        <v>3</v>
      </c>
      <c r="U202" s="34" t="s">
        <v>2716</v>
      </c>
      <c r="V202" s="183" t="n">
        <f aca="false">IF(AND($F202="原始數據",$U202&lt;&gt;"連結 SRC"),1,0)</f>
        <v>0</v>
      </c>
      <c r="W202" s="183" t="n">
        <f aca="false">IF(AND($F202="Analogy",OR($H202="—",$H202="")),1,0)</f>
        <v>0</v>
      </c>
      <c r="X202" s="183" t="n">
        <f aca="false">IF(AND(OR($F202="Analogy",$F202="Assumed"),$G202&lt;&gt;"低",$G202&lt;&gt;"高",NOT(ISNUMBER($K202)),NOT(ISNUMBER($L202)),OR($M202="—",$M202="")),1,0)</f>
        <v>0</v>
      </c>
      <c r="Y202" s="183" t="n">
        <f aca="false">IF(AND(OR($F202="Analogy",$F202="Assumed",$F202="Derived（待改公式）",$F202="Derived（公式）"),OR($N202="—",$N202="",$N202=0)),1,0)</f>
        <v>0</v>
      </c>
      <c r="Z202" s="183" t="n">
        <f aca="false">IF(AND($F202="Decision",OR($J202="—",$J202="")),1,0)</f>
        <v>0</v>
      </c>
      <c r="AA202" s="180" t="n">
        <f aca="false">IF(OR($J202="—",$J202=""),0,IF(COUNTIF(Decisions!$A$5:$A$300,$J202)=0,1,0))</f>
        <v>0</v>
      </c>
      <c r="AB202" s="183" t="n">
        <f aca="false">IF(AND($F202="原始數據",$S202&lt;&gt;"Active"),1,0)</f>
        <v>0</v>
      </c>
      <c r="AC202" s="183" t="n">
        <f aca="false">IF(AND(ISNUMBER($K202),ISNUMBER($L202),ISNUMBER($Q202)),IF(OR($Q202&lt;MIN($K202,$L202),$Q202&gt;MAX($K202,$L202)),1,0),0)</f>
        <v>0</v>
      </c>
      <c r="AD202" s="183" t="n">
        <f aca="false">IF(AND(ISNUMBER($T202),$P202="高"),IF($T202=3,1,0),0)</f>
        <v>0</v>
      </c>
      <c r="AE202" s="183" t="n">
        <f aca="false">IF($S202="不存在",1,0)</f>
        <v>0</v>
      </c>
      <c r="AF202" s="34" t="n">
        <f aca="false">IF(OR($H202="—",$H202=""),"—",MATCH($H202,IDX_SrcID,0))</f>
        <v>185</v>
      </c>
    </row>
    <row r="203" customFormat="false" ht="29.25" hidden="false" customHeight="true" outlineLevel="0" collapsed="false">
      <c r="A203" s="35" t="s">
        <v>3205</v>
      </c>
      <c r="B203" s="209" t="s">
        <v>2677</v>
      </c>
      <c r="C203" s="35" t="s">
        <v>3155</v>
      </c>
      <c r="D203" s="35" t="s">
        <v>2863</v>
      </c>
      <c r="E203" s="6" t="s">
        <v>236</v>
      </c>
      <c r="F203" s="209" t="s">
        <v>290</v>
      </c>
      <c r="G203" s="209" t="s">
        <v>2679</v>
      </c>
      <c r="H203" s="35" t="s">
        <v>3206</v>
      </c>
      <c r="I203" s="18" t="s">
        <v>2714</v>
      </c>
      <c r="J203" s="35" t="s">
        <v>571</v>
      </c>
      <c r="K203" s="209"/>
      <c r="L203" s="209"/>
      <c r="M203" s="35" t="s">
        <v>571</v>
      </c>
      <c r="N203" s="18" t="s">
        <v>3207</v>
      </c>
      <c r="O203" s="6" t="s">
        <v>571</v>
      </c>
      <c r="P203" s="209" t="s">
        <v>2682</v>
      </c>
      <c r="Q203" s="40" t="n">
        <f aca="false">Arch!C9</f>
        <v>4096</v>
      </c>
      <c r="R203" s="182" t="n">
        <f aca="false">SRC_MOD_052</f>
        <v>4096</v>
      </c>
      <c r="S203" s="34" t="str">
        <f aca="false">IF(ISNUMBER($AF203),INDEX(IDX_SrcStat,$AF203),"—")</f>
        <v>Active</v>
      </c>
      <c r="T203" s="34" t="n">
        <f aca="false">IF(ISNUMBER($AF203),INDEX(IDX_SrcGrade,$AF203),"—")</f>
        <v>1</v>
      </c>
      <c r="U203" s="34" t="s">
        <v>2716</v>
      </c>
      <c r="V203" s="183" t="n">
        <f aca="false">IF(AND($F203="原始數據",$U203&lt;&gt;"連結 SRC"),1,0)</f>
        <v>0</v>
      </c>
      <c r="W203" s="183" t="n">
        <f aca="false">IF(AND($F203="Analogy",OR($H203="—",$H203="")),1,0)</f>
        <v>0</v>
      </c>
      <c r="X203" s="183" t="n">
        <f aca="false">IF(AND(OR($F203="Analogy",$F203="Assumed"),$G203&lt;&gt;"低",$G203&lt;&gt;"高",NOT(ISNUMBER($K203)),NOT(ISNUMBER($L203)),OR($M203="—",$M203="")),1,0)</f>
        <v>0</v>
      </c>
      <c r="Y203" s="183" t="n">
        <f aca="false">IF(AND(OR($F203="Analogy",$F203="Assumed",$F203="Derived（待改公式）",$F203="Derived（公式）"),OR($N203="—",$N203="",$N203=0)),1,0)</f>
        <v>0</v>
      </c>
      <c r="Z203" s="183" t="n">
        <f aca="false">IF(AND($F203="Decision",OR($J203="—",$J203="")),1,0)</f>
        <v>0</v>
      </c>
      <c r="AA203" s="180" t="n">
        <f aca="false">IF(OR($J203="—",$J203=""),0,IF(COUNTIF(Decisions!$A$5:$A$300,$J203)=0,1,0))</f>
        <v>0</v>
      </c>
      <c r="AB203" s="183" t="n">
        <f aca="false">IF(AND($F203="原始數據",$S203&lt;&gt;"Active"),1,0)</f>
        <v>0</v>
      </c>
      <c r="AC203" s="183" t="n">
        <f aca="false">IF(AND(ISNUMBER($K203),ISNUMBER($L203),ISNUMBER($Q203)),IF(OR($Q203&lt;MIN($K203,$L203),$Q203&gt;MAX($K203,$L203)),1,0),0)</f>
        <v>0</v>
      </c>
      <c r="AD203" s="183" t="n">
        <f aca="false">IF(AND(ISNUMBER($T203),$P203="高"),IF($T203=3,1,0),0)</f>
        <v>0</v>
      </c>
      <c r="AE203" s="183" t="n">
        <f aca="false">IF($S203="不存在",1,0)</f>
        <v>0</v>
      </c>
      <c r="AF203" s="34" t="n">
        <f aca="false">IF(OR($H203="—",$H203=""),"—",MATCH($H203,IDX_SrcID,0))</f>
        <v>229</v>
      </c>
    </row>
    <row r="204" customFormat="false" ht="15" hidden="false" customHeight="true" outlineLevel="0" collapsed="false">
      <c r="A204" s="35" t="s">
        <v>3208</v>
      </c>
      <c r="B204" s="209" t="s">
        <v>2677</v>
      </c>
      <c r="C204" s="35" t="s">
        <v>3155</v>
      </c>
      <c r="D204" s="35" t="s">
        <v>2883</v>
      </c>
      <c r="E204" s="6" t="s">
        <v>238</v>
      </c>
      <c r="F204" s="209" t="s">
        <v>290</v>
      </c>
      <c r="G204" s="209" t="s">
        <v>2679</v>
      </c>
      <c r="H204" s="35" t="s">
        <v>3209</v>
      </c>
      <c r="I204" s="18" t="s">
        <v>2714</v>
      </c>
      <c r="J204" s="35" t="s">
        <v>571</v>
      </c>
      <c r="K204" s="211"/>
      <c r="L204" s="211"/>
      <c r="M204" s="35" t="s">
        <v>571</v>
      </c>
      <c r="N204" s="210" t="str">
        <f aca="false">Arch!$G$10</f>
        <v>V4-Pro 128；V4-Flash 64（官方 config.json num_attention_heads，v5.13 讀原文）；Astra [Assumed]</v>
      </c>
      <c r="O204" s="6" t="s">
        <v>3210</v>
      </c>
      <c r="P204" s="209" t="s">
        <v>2738</v>
      </c>
      <c r="Q204" s="40" t="n">
        <f aca="false">Arch!C10</f>
        <v>64</v>
      </c>
      <c r="R204" s="182" t="n">
        <f aca="false">SRC_MOD_053</f>
        <v>64</v>
      </c>
      <c r="S204" s="34" t="str">
        <f aca="false">IF(ISNUMBER($AF204),INDEX(IDX_SrcStat,$AF204),"—")</f>
        <v>Active</v>
      </c>
      <c r="T204" s="34" t="n">
        <f aca="false">IF(ISNUMBER($AF204),INDEX(IDX_SrcGrade,$AF204),"—")</f>
        <v>1</v>
      </c>
      <c r="U204" s="34" t="s">
        <v>2716</v>
      </c>
      <c r="V204" s="183" t="n">
        <f aca="false">IF(AND($F204="原始數據",$U204&lt;&gt;"連結 SRC"),1,0)</f>
        <v>0</v>
      </c>
      <c r="W204" s="183" t="n">
        <f aca="false">IF(AND($F204="Analogy",OR($H204="—",$H204="")),1,0)</f>
        <v>0</v>
      </c>
      <c r="X204" s="183" t="n">
        <f aca="false">IF(AND(OR($F204="Analogy",$F204="Assumed"),$G204&lt;&gt;"低",$G204&lt;&gt;"高",NOT(ISNUMBER($K204)),NOT(ISNUMBER($L204)),OR($M204="—",$M204="")),1,0)</f>
        <v>0</v>
      </c>
      <c r="Y204" s="183" t="n">
        <f aca="false">IF(AND(OR($F204="Analogy",$F204="Assumed",$F204="Derived（待改公式）",$F204="Derived（公式）"),OR($N204="—",$N204="",$N204=0)),1,0)</f>
        <v>0</v>
      </c>
      <c r="Z204" s="183" t="n">
        <f aca="false">IF(AND($F204="Decision",OR($J204="—",$J204="")),1,0)</f>
        <v>0</v>
      </c>
      <c r="AA204" s="180" t="n">
        <f aca="false">IF(OR($J204="—",$J204=""),0,IF(COUNTIF(Decisions!$A$5:$A$300,$J204)=0,1,0))</f>
        <v>0</v>
      </c>
      <c r="AB204" s="183" t="n">
        <f aca="false">IF(AND($F204="原始數據",$S204&lt;&gt;"Active"),1,0)</f>
        <v>0</v>
      </c>
      <c r="AC204" s="183" t="n">
        <f aca="false">IF(AND(ISNUMBER($K204),ISNUMBER($L204),ISNUMBER($Q204)),IF(OR($Q204&lt;MIN($K204,$L204),$Q204&gt;MAX($K204,$L204)),1,0),0)</f>
        <v>0</v>
      </c>
      <c r="AD204" s="183" t="n">
        <f aca="false">IF(AND(ISNUMBER($T204),$P204="高"),IF($T204=3,1,0),0)</f>
        <v>0</v>
      </c>
      <c r="AE204" s="183" t="n">
        <f aca="false">IF($S204="不存在",1,0)</f>
        <v>0</v>
      </c>
      <c r="AF204" s="34" t="n">
        <f aca="false">IF(OR($H204="—",$H204=""),"—",MATCH($H204,IDX_SrcID,0))</f>
        <v>230</v>
      </c>
    </row>
    <row r="205" customFormat="false" ht="29.25" hidden="false" customHeight="true" outlineLevel="0" collapsed="false">
      <c r="A205" s="35" t="s">
        <v>3211</v>
      </c>
      <c r="B205" s="209" t="s">
        <v>2677</v>
      </c>
      <c r="C205" s="35" t="s">
        <v>3155</v>
      </c>
      <c r="D205" s="35" t="s">
        <v>3212</v>
      </c>
      <c r="E205" s="18" t="s">
        <v>3213</v>
      </c>
      <c r="F205" s="209" t="s">
        <v>290</v>
      </c>
      <c r="G205" s="209" t="s">
        <v>2679</v>
      </c>
      <c r="H205" s="35" t="s">
        <v>3214</v>
      </c>
      <c r="I205" s="18" t="s">
        <v>3013</v>
      </c>
      <c r="J205" s="35" t="s">
        <v>571</v>
      </c>
      <c r="K205" s="209"/>
      <c r="L205" s="209"/>
      <c r="M205" s="35" t="s">
        <v>571</v>
      </c>
      <c r="N205" s="18" t="s">
        <v>2812</v>
      </c>
      <c r="O205" s="6" t="s">
        <v>571</v>
      </c>
      <c r="P205" s="209" t="s">
        <v>2682</v>
      </c>
      <c r="Q205" s="40" t="n">
        <f aca="false">Arch!C17</f>
        <v>4224</v>
      </c>
      <c r="R205" s="182" t="n">
        <f aca="false">SRC_MOD_018</f>
        <v>1024</v>
      </c>
      <c r="S205" s="34" t="str">
        <f aca="false">IF(ISNUMBER($AF205),INDEX(IDX_SrcStat,$AF205),"—")</f>
        <v>Active</v>
      </c>
      <c r="T205" s="34" t="n">
        <f aca="false">IF(ISNUMBER($AF205),INDEX(IDX_SrcGrade,$AF205),"—")</f>
        <v>3</v>
      </c>
      <c r="U205" s="34" t="s">
        <v>2716</v>
      </c>
      <c r="V205" s="183" t="n">
        <f aca="false">IF(AND($F205="原始數據",$U205&lt;&gt;"連結 SRC"),1,0)</f>
        <v>0</v>
      </c>
      <c r="W205" s="183" t="n">
        <f aca="false">IF(AND($F205="Analogy",OR($H205="—",$H205="")),1,0)</f>
        <v>0</v>
      </c>
      <c r="X205" s="183" t="n">
        <f aca="false">IF(AND(OR($F205="Analogy",$F205="Assumed"),$G205&lt;&gt;"低",$G205&lt;&gt;"高",NOT(ISNUMBER($K205)),NOT(ISNUMBER($L205)),OR($M205="—",$M205="")),1,0)</f>
        <v>0</v>
      </c>
      <c r="Y205" s="183" t="n">
        <f aca="false">IF(AND(OR($F205="Analogy",$F205="Assumed",$F205="Derived（待改公式）",$F205="Derived（公式）"),OR($N205="—",$N205="",$N205=0)),1,0)</f>
        <v>0</v>
      </c>
      <c r="Z205" s="183" t="n">
        <f aca="false">IF(AND($F205="Decision",OR($J205="—",$J205="")),1,0)</f>
        <v>0</v>
      </c>
      <c r="AA205" s="180" t="n">
        <f aca="false">IF(OR($J205="—",$J205=""),0,IF(COUNTIF(Decisions!$A$5:$A$300,$J205)=0,1,0))</f>
        <v>0</v>
      </c>
      <c r="AB205" s="183" t="n">
        <f aca="false">IF(AND($F205="原始數據",$S205&lt;&gt;"Active"),1,0)</f>
        <v>0</v>
      </c>
      <c r="AC205" s="183" t="n">
        <f aca="false">IF(AND(ISNUMBER($K205),ISNUMBER($L205),ISNUMBER($Q205)),IF(OR($Q205&lt;MIN($K205,$L205),$Q205&gt;MAX($K205,$L205)),1,0),0)</f>
        <v>0</v>
      </c>
      <c r="AD205" s="183" t="n">
        <f aca="false">IF(AND(ISNUMBER($T205),$P205="高"),IF($T205=3,1,0),0)</f>
        <v>0</v>
      </c>
      <c r="AE205" s="183" t="n">
        <f aca="false">IF($S205="不存在",1,0)</f>
        <v>0</v>
      </c>
      <c r="AF205" s="34" t="n">
        <f aca="false">IF(OR($H205="—",$H205=""),"—",MATCH($H205,IDX_SrcID,0))</f>
        <v>195</v>
      </c>
    </row>
    <row r="206" customFormat="false" ht="29.25" hidden="false" customHeight="true" outlineLevel="0" collapsed="false">
      <c r="A206" s="35" t="s">
        <v>3215</v>
      </c>
      <c r="B206" s="209" t="s">
        <v>2677</v>
      </c>
      <c r="C206" s="35" t="s">
        <v>3155</v>
      </c>
      <c r="D206" s="35" t="s">
        <v>2732</v>
      </c>
      <c r="E206" s="18" t="s">
        <v>3213</v>
      </c>
      <c r="F206" s="209" t="s">
        <v>290</v>
      </c>
      <c r="G206" s="209" t="s">
        <v>2679</v>
      </c>
      <c r="H206" s="35" t="s">
        <v>3214</v>
      </c>
      <c r="I206" s="18" t="s">
        <v>3013</v>
      </c>
      <c r="J206" s="35" t="s">
        <v>571</v>
      </c>
      <c r="K206" s="209"/>
      <c r="L206" s="209"/>
      <c r="M206" s="35" t="s">
        <v>571</v>
      </c>
      <c r="N206" s="18" t="s">
        <v>2812</v>
      </c>
      <c r="O206" s="6" t="s">
        <v>571</v>
      </c>
      <c r="P206" s="209" t="s">
        <v>2682</v>
      </c>
      <c r="Q206" s="40" t="n">
        <f aca="false">Arch!D17</f>
        <v>4224</v>
      </c>
      <c r="R206" s="182" t="n">
        <f aca="false">SRC_MOD_018</f>
        <v>1024</v>
      </c>
      <c r="S206" s="34" t="str">
        <f aca="false">IF(ISNUMBER($AF206),INDEX(IDX_SrcStat,$AF206),"—")</f>
        <v>Active</v>
      </c>
      <c r="T206" s="34" t="n">
        <f aca="false">IF(ISNUMBER($AF206),INDEX(IDX_SrcGrade,$AF206),"—")</f>
        <v>3</v>
      </c>
      <c r="U206" s="34" t="s">
        <v>2716</v>
      </c>
      <c r="V206" s="183" t="n">
        <f aca="false">IF(AND($F206="原始數據",$U206&lt;&gt;"連結 SRC"),1,0)</f>
        <v>0</v>
      </c>
      <c r="W206" s="183" t="n">
        <f aca="false">IF(AND($F206="Analogy",OR($H206="—",$H206="")),1,0)</f>
        <v>0</v>
      </c>
      <c r="X206" s="183" t="n">
        <f aca="false">IF(AND(OR($F206="Analogy",$F206="Assumed"),$G206&lt;&gt;"低",$G206&lt;&gt;"高",NOT(ISNUMBER($K206)),NOT(ISNUMBER($L206)),OR($M206="—",$M206="")),1,0)</f>
        <v>0</v>
      </c>
      <c r="Y206" s="183" t="n">
        <f aca="false">IF(AND(OR($F206="Analogy",$F206="Assumed",$F206="Derived（待改公式）",$F206="Derived（公式）"),OR($N206="—",$N206="",$N206=0)),1,0)</f>
        <v>0</v>
      </c>
      <c r="Z206" s="183" t="n">
        <f aca="false">IF(AND($F206="Decision",OR($J206="—",$J206="")),1,0)</f>
        <v>0</v>
      </c>
      <c r="AA206" s="180" t="n">
        <f aca="false">IF(OR($J206="—",$J206=""),0,IF(COUNTIF(Decisions!$A$5:$A$300,$J206)=0,1,0))</f>
        <v>0</v>
      </c>
      <c r="AB206" s="183" t="n">
        <f aca="false">IF(AND($F206="原始數據",$S206&lt;&gt;"Active"),1,0)</f>
        <v>0</v>
      </c>
      <c r="AC206" s="183" t="n">
        <f aca="false">IF(AND(ISNUMBER($K206),ISNUMBER($L206),ISNUMBER($Q206)),IF(OR($Q206&lt;MIN($K206,$L206),$Q206&gt;MAX($K206,$L206)),1,0),0)</f>
        <v>0</v>
      </c>
      <c r="AD206" s="183" t="n">
        <f aca="false">IF(AND(ISNUMBER($T206),$P206="高"),IF($T206=3,1,0),0)</f>
        <v>0</v>
      </c>
      <c r="AE206" s="183" t="n">
        <f aca="false">IF($S206="不存在",1,0)</f>
        <v>0</v>
      </c>
      <c r="AF206" s="34" t="n">
        <f aca="false">IF(OR($H206="—",$H206=""),"—",MATCH($H206,IDX_SrcID,0))</f>
        <v>195</v>
      </c>
    </row>
    <row r="207" customFormat="false" ht="40.5" hidden="false" customHeight="true" outlineLevel="0" collapsed="false">
      <c r="A207" s="35" t="s">
        <v>3216</v>
      </c>
      <c r="B207" s="209" t="s">
        <v>2677</v>
      </c>
      <c r="C207" s="35" t="s">
        <v>3155</v>
      </c>
      <c r="D207" s="35" t="s">
        <v>2579</v>
      </c>
      <c r="E207" s="18" t="s">
        <v>227</v>
      </c>
      <c r="F207" s="35" t="s">
        <v>72</v>
      </c>
      <c r="G207" s="209" t="s">
        <v>2679</v>
      </c>
      <c r="H207" s="35" t="s">
        <v>571</v>
      </c>
      <c r="I207" s="6" t="s">
        <v>571</v>
      </c>
      <c r="J207" s="35" t="s">
        <v>571</v>
      </c>
      <c r="K207" s="211" t="n">
        <v>2000</v>
      </c>
      <c r="L207" s="211" t="n">
        <v>10000</v>
      </c>
      <c r="M207" s="35" t="s">
        <v>3217</v>
      </c>
      <c r="N207" s="210" t="str">
        <f aca="false">Arch!$G$6&amp;" ｜補充旗標（IF 全欄分段，非分段依據）：高"</f>
        <v>V4-Flash 284B、V4-Pro 1.6T（模型卡，S27）；Astra 4T [Assumed，區間 2–10T] ｜補充旗標（IF 全欄分段，非分段依據）：高</v>
      </c>
      <c r="O207" s="6" t="s">
        <v>571</v>
      </c>
      <c r="P207" s="209" t="s">
        <v>2738</v>
      </c>
      <c r="Q207" s="40" t="n">
        <f aca="false">Arch!E6</f>
        <v>4000</v>
      </c>
      <c r="R207" s="35" t="s">
        <v>571</v>
      </c>
      <c r="S207" s="34" t="str">
        <f aca="false">IF(ISNUMBER($AF207),INDEX(IDX_SrcStat,$AF207),"—")</f>
        <v>—</v>
      </c>
      <c r="T207" s="34" t="str">
        <f aca="false">IF(ISNUMBER($AF207),INDEX(IDX_SrcGrade,$AF207),"—")</f>
        <v>—</v>
      </c>
      <c r="U207" s="34" t="s">
        <v>2683</v>
      </c>
      <c r="V207" s="183" t="n">
        <f aca="false">IF(AND($F207="原始數據",$U207&lt;&gt;"連結 SRC"),1,0)</f>
        <v>0</v>
      </c>
      <c r="W207" s="183" t="n">
        <f aca="false">IF(AND($F207="Analogy",OR($H207="—",$H207="")),1,0)</f>
        <v>0</v>
      </c>
      <c r="X207" s="183" t="n">
        <f aca="false">IF(AND(OR($F207="Analogy",$F207="Assumed"),$G207&lt;&gt;"低",$G207&lt;&gt;"高",NOT(ISNUMBER($K207)),NOT(ISNUMBER($L207)),OR($M207="—",$M207="")),1,0)</f>
        <v>0</v>
      </c>
      <c r="Y207" s="183" t="n">
        <f aca="false">IF(AND(OR($F207="Analogy",$F207="Assumed",$F207="Derived（待改公式）",$F207="Derived（公式）"),OR($N207="—",$N207="",$N207=0)),1,0)</f>
        <v>0</v>
      </c>
      <c r="Z207" s="183" t="n">
        <f aca="false">IF(AND($F207="Decision",OR($J207="—",$J207="")),1,0)</f>
        <v>0</v>
      </c>
      <c r="AA207" s="180" t="n">
        <f aca="false">IF(OR($J207="—",$J207=""),0,IF(COUNTIF(Decisions!$A$5:$A$300,$J207)=0,1,0))</f>
        <v>0</v>
      </c>
      <c r="AB207" s="183" t="n">
        <f aca="false">IF(AND($F207="原始數據",$S207&lt;&gt;"Active"),1,0)</f>
        <v>0</v>
      </c>
      <c r="AC207" s="183" t="n">
        <f aca="false">IF(AND(ISNUMBER($K207),ISNUMBER($L207),ISNUMBER($Q207)),IF(OR($Q207&lt;MIN($K207,$L207),$Q207&gt;MAX($K207,$L207)),1,0),0)</f>
        <v>0</v>
      </c>
      <c r="AD207" s="183" t="n">
        <f aca="false">IF(AND(ISNUMBER($T207),$P207="高"),IF($T207=3,1,0),0)</f>
        <v>0</v>
      </c>
      <c r="AE207" s="183" t="n">
        <f aca="false">IF($S207="不存在",1,0)</f>
        <v>0</v>
      </c>
      <c r="AF207" s="34" t="str">
        <f aca="false">IF(OR($H207="—",$H207=""),"—",MATCH($H207,IDX_SrcID,0))</f>
        <v>—</v>
      </c>
    </row>
    <row r="208" customFormat="false" ht="29.25" hidden="false" customHeight="true" outlineLevel="0" collapsed="false">
      <c r="A208" s="35" t="s">
        <v>3218</v>
      </c>
      <c r="B208" s="209" t="s">
        <v>2677</v>
      </c>
      <c r="C208" s="35" t="s">
        <v>3155</v>
      </c>
      <c r="D208" s="35" t="s">
        <v>2582</v>
      </c>
      <c r="E208" s="18" t="s">
        <v>231</v>
      </c>
      <c r="F208" s="35" t="s">
        <v>72</v>
      </c>
      <c r="G208" s="209" t="s">
        <v>2679</v>
      </c>
      <c r="H208" s="35" t="s">
        <v>571</v>
      </c>
      <c r="I208" s="6" t="s">
        <v>571</v>
      </c>
      <c r="J208" s="35" t="s">
        <v>571</v>
      </c>
      <c r="K208" s="211" t="n">
        <v>60</v>
      </c>
      <c r="L208" s="211" t="n">
        <v>250</v>
      </c>
      <c r="M208" s="35" t="s">
        <v>3219</v>
      </c>
      <c r="N208" s="210" t="str">
        <f aca="false">Arch!$G$7</f>
        <v>V4-Flash 13B、V4-Pro 49B；Astra 180B [Assumed，區間 60–250B]</v>
      </c>
      <c r="O208" s="6" t="s">
        <v>571</v>
      </c>
      <c r="P208" s="209" t="s">
        <v>1100</v>
      </c>
      <c r="Q208" s="40" t="n">
        <f aca="false">Arch!E7</f>
        <v>180</v>
      </c>
      <c r="R208" s="35" t="s">
        <v>571</v>
      </c>
      <c r="S208" s="34" t="str">
        <f aca="false">IF(ISNUMBER($AF208),INDEX(IDX_SrcStat,$AF208),"—")</f>
        <v>—</v>
      </c>
      <c r="T208" s="34" t="str">
        <f aca="false">IF(ISNUMBER($AF208),INDEX(IDX_SrcGrade,$AF208),"—")</f>
        <v>—</v>
      </c>
      <c r="U208" s="34" t="s">
        <v>2683</v>
      </c>
      <c r="V208" s="183" t="n">
        <f aca="false">IF(AND($F208="原始數據",$U208&lt;&gt;"連結 SRC"),1,0)</f>
        <v>0</v>
      </c>
      <c r="W208" s="183" t="n">
        <f aca="false">IF(AND($F208="Analogy",OR($H208="—",$H208="")),1,0)</f>
        <v>0</v>
      </c>
      <c r="X208" s="183" t="n">
        <f aca="false">IF(AND(OR($F208="Analogy",$F208="Assumed"),$G208&lt;&gt;"低",$G208&lt;&gt;"高",NOT(ISNUMBER($K208)),NOT(ISNUMBER($L208)),OR($M208="—",$M208="")),1,0)</f>
        <v>0</v>
      </c>
      <c r="Y208" s="183" t="n">
        <f aca="false">IF(AND(OR($F208="Analogy",$F208="Assumed",$F208="Derived（待改公式）",$F208="Derived（公式）"),OR($N208="—",$N208="",$N208=0)),1,0)</f>
        <v>0</v>
      </c>
      <c r="Z208" s="183" t="n">
        <f aca="false">IF(AND($F208="Decision",OR($J208="—",$J208="")),1,0)</f>
        <v>0</v>
      </c>
      <c r="AA208" s="180" t="n">
        <f aca="false">IF(OR($J208="—",$J208=""),0,IF(COUNTIF(Decisions!$A$5:$A$300,$J208)=0,1,0))</f>
        <v>0</v>
      </c>
      <c r="AB208" s="183" t="n">
        <f aca="false">IF(AND($F208="原始數據",$S208&lt;&gt;"Active"),1,0)</f>
        <v>0</v>
      </c>
      <c r="AC208" s="183" t="n">
        <f aca="false">IF(AND(ISNUMBER($K208),ISNUMBER($L208),ISNUMBER($Q208)),IF(OR($Q208&lt;MIN($K208,$L208),$Q208&gt;MAX($K208,$L208)),1,0),0)</f>
        <v>0</v>
      </c>
      <c r="AD208" s="183" t="n">
        <f aca="false">IF(AND(ISNUMBER($T208),$P208="高"),IF($T208=3,1,0),0)</f>
        <v>0</v>
      </c>
      <c r="AE208" s="183" t="n">
        <f aca="false">IF($S208="不存在",1,0)</f>
        <v>0</v>
      </c>
      <c r="AF208" s="34" t="str">
        <f aca="false">IF(OR($H208="—",$H208=""),"—",MATCH($H208,IDX_SrcID,0))</f>
        <v>—</v>
      </c>
    </row>
    <row r="209" customFormat="false" ht="15" hidden="false" customHeight="true" outlineLevel="0" collapsed="false">
      <c r="A209" s="35" t="s">
        <v>3220</v>
      </c>
      <c r="B209" s="209" t="s">
        <v>2677</v>
      </c>
      <c r="C209" s="35" t="s">
        <v>3155</v>
      </c>
      <c r="D209" s="35" t="s">
        <v>2585</v>
      </c>
      <c r="E209" s="18" t="s">
        <v>233</v>
      </c>
      <c r="F209" s="35" t="s">
        <v>72</v>
      </c>
      <c r="G209" s="209" t="s">
        <v>2679</v>
      </c>
      <c r="H209" s="35" t="s">
        <v>571</v>
      </c>
      <c r="I209" s="6" t="s">
        <v>571</v>
      </c>
      <c r="J209" s="35" t="s">
        <v>571</v>
      </c>
      <c r="K209" s="211" t="n">
        <v>80</v>
      </c>
      <c r="L209" s="211" t="n">
        <v>160</v>
      </c>
      <c r="M209" s="35" t="s">
        <v>3221</v>
      </c>
      <c r="N209" s="6" t="s">
        <v>3222</v>
      </c>
      <c r="O209" s="6" t="s">
        <v>571</v>
      </c>
      <c r="P209" s="209" t="s">
        <v>2738</v>
      </c>
      <c r="Q209" s="40" t="n">
        <f aca="false">Arch!E8</f>
        <v>100</v>
      </c>
      <c r="R209" s="35" t="s">
        <v>571</v>
      </c>
      <c r="S209" s="34" t="str">
        <f aca="false">IF(ISNUMBER($AF209),INDEX(IDX_SrcStat,$AF209),"—")</f>
        <v>—</v>
      </c>
      <c r="T209" s="34" t="str">
        <f aca="false">IF(ISNUMBER($AF209),INDEX(IDX_SrcGrade,$AF209),"—")</f>
        <v>—</v>
      </c>
      <c r="U209" s="34" t="s">
        <v>2683</v>
      </c>
      <c r="V209" s="183" t="n">
        <f aca="false">IF(AND($F209="原始數據",$U209&lt;&gt;"連結 SRC"),1,0)</f>
        <v>0</v>
      </c>
      <c r="W209" s="183" t="n">
        <f aca="false">IF(AND($F209="Analogy",OR($H209="—",$H209="")),1,0)</f>
        <v>0</v>
      </c>
      <c r="X209" s="183" t="n">
        <f aca="false">IF(AND(OR($F209="Analogy",$F209="Assumed"),$G209&lt;&gt;"低",$G209&lt;&gt;"高",NOT(ISNUMBER($K209)),NOT(ISNUMBER($L209)),OR($M209="—",$M209="")),1,0)</f>
        <v>0</v>
      </c>
      <c r="Y209" s="183" t="n">
        <f aca="false">IF(AND(OR($F209="Analogy",$F209="Assumed",$F209="Derived（待改公式）",$F209="Derived（公式）"),OR($N209="—",$N209="",$N209=0)),1,0)</f>
        <v>0</v>
      </c>
      <c r="Z209" s="183" t="n">
        <f aca="false">IF(AND($F209="Decision",OR($J209="—",$J209="")),1,0)</f>
        <v>0</v>
      </c>
      <c r="AA209" s="180" t="n">
        <f aca="false">IF(OR($J209="—",$J209=""),0,IF(COUNTIF(Decisions!$A$5:$A$300,$J209)=0,1,0))</f>
        <v>0</v>
      </c>
      <c r="AB209" s="183" t="n">
        <f aca="false">IF(AND($F209="原始數據",$S209&lt;&gt;"Active"),1,0)</f>
        <v>0</v>
      </c>
      <c r="AC209" s="183" t="n">
        <f aca="false">IF(AND(ISNUMBER($K209),ISNUMBER($L209),ISNUMBER($Q209)),IF(OR($Q209&lt;MIN($K209,$L209),$Q209&gt;MAX($K209,$L209)),1,0),0)</f>
        <v>0</v>
      </c>
      <c r="AD209" s="183" t="n">
        <f aca="false">IF(AND(ISNUMBER($T209),$P209="高"),IF($T209=3,1,0),0)</f>
        <v>0</v>
      </c>
      <c r="AE209" s="183" t="n">
        <f aca="false">IF($S209="不存在",1,0)</f>
        <v>0</v>
      </c>
      <c r="AF209" s="34" t="str">
        <f aca="false">IF(OR($H209="—",$H209=""),"—",MATCH($H209,IDX_SrcID,0))</f>
        <v>—</v>
      </c>
    </row>
    <row r="210" customFormat="false" ht="15" hidden="false" customHeight="true" outlineLevel="0" collapsed="false">
      <c r="A210" s="35" t="s">
        <v>3223</v>
      </c>
      <c r="B210" s="209" t="s">
        <v>2677</v>
      </c>
      <c r="C210" s="35" t="s">
        <v>3155</v>
      </c>
      <c r="D210" s="35" t="s">
        <v>2588</v>
      </c>
      <c r="E210" s="6" t="s">
        <v>236</v>
      </c>
      <c r="F210" s="35" t="s">
        <v>72</v>
      </c>
      <c r="G210" s="209" t="s">
        <v>2679</v>
      </c>
      <c r="H210" s="35" t="s">
        <v>571</v>
      </c>
      <c r="I210" s="6" t="s">
        <v>571</v>
      </c>
      <c r="J210" s="35" t="s">
        <v>571</v>
      </c>
      <c r="K210" s="211" t="n">
        <v>8192</v>
      </c>
      <c r="L210" s="211" t="n">
        <v>16384</v>
      </c>
      <c r="M210" s="35" t="s">
        <v>3224</v>
      </c>
      <c r="N210" s="6" t="s">
        <v>3225</v>
      </c>
      <c r="O210" s="6" t="s">
        <v>571</v>
      </c>
      <c r="P210" s="209" t="s">
        <v>2682</v>
      </c>
      <c r="Q210" s="40" t="n">
        <f aca="false">Arch!E9</f>
        <v>12288</v>
      </c>
      <c r="R210" s="35" t="s">
        <v>571</v>
      </c>
      <c r="S210" s="34" t="str">
        <f aca="false">IF(ISNUMBER($AF210),INDEX(IDX_SrcStat,$AF210),"—")</f>
        <v>—</v>
      </c>
      <c r="T210" s="34" t="str">
        <f aca="false">IF(ISNUMBER($AF210),INDEX(IDX_SrcGrade,$AF210),"—")</f>
        <v>—</v>
      </c>
      <c r="U210" s="34" t="s">
        <v>2683</v>
      </c>
      <c r="V210" s="183" t="n">
        <f aca="false">IF(AND($F210="原始數據",$U210&lt;&gt;"連結 SRC"),1,0)</f>
        <v>0</v>
      </c>
      <c r="W210" s="183" t="n">
        <f aca="false">IF(AND($F210="Analogy",OR($H210="—",$H210="")),1,0)</f>
        <v>0</v>
      </c>
      <c r="X210" s="183" t="n">
        <f aca="false">IF(AND(OR($F210="Analogy",$F210="Assumed"),$G210&lt;&gt;"低",$G210&lt;&gt;"高",NOT(ISNUMBER($K210)),NOT(ISNUMBER($L210)),OR($M210="—",$M210="")),1,0)</f>
        <v>0</v>
      </c>
      <c r="Y210" s="183" t="n">
        <f aca="false">IF(AND(OR($F210="Analogy",$F210="Assumed",$F210="Derived（待改公式）",$F210="Derived（公式）"),OR($N210="—",$N210="",$N210=0)),1,0)</f>
        <v>0</v>
      </c>
      <c r="Z210" s="183" t="n">
        <f aca="false">IF(AND($F210="Decision",OR($J210="—",$J210="")),1,0)</f>
        <v>0</v>
      </c>
      <c r="AA210" s="180" t="n">
        <f aca="false">IF(OR($J210="—",$J210=""),0,IF(COUNTIF(Decisions!$A$5:$A$300,$J210)=0,1,0))</f>
        <v>0</v>
      </c>
      <c r="AB210" s="183" t="n">
        <f aca="false">IF(AND($F210="原始數據",$S210&lt;&gt;"Active"),1,0)</f>
        <v>0</v>
      </c>
      <c r="AC210" s="183" t="n">
        <f aca="false">IF(AND(ISNUMBER($K210),ISNUMBER($L210),ISNUMBER($Q210)),IF(OR($Q210&lt;MIN($K210,$L210),$Q210&gt;MAX($K210,$L210)),1,0),0)</f>
        <v>0</v>
      </c>
      <c r="AD210" s="183" t="n">
        <f aca="false">IF(AND(ISNUMBER($T210),$P210="高"),IF($T210=3,1,0),0)</f>
        <v>0</v>
      </c>
      <c r="AE210" s="183" t="n">
        <f aca="false">IF($S210="不存在",1,0)</f>
        <v>0</v>
      </c>
      <c r="AF210" s="34" t="str">
        <f aca="false">IF(OR($H210="—",$H210=""),"—",MATCH($H210,IDX_SrcID,0))</f>
        <v>—</v>
      </c>
    </row>
    <row r="211" customFormat="false" ht="15" hidden="false" customHeight="true" outlineLevel="0" collapsed="false">
      <c r="A211" s="35" t="s">
        <v>3226</v>
      </c>
      <c r="B211" s="209" t="s">
        <v>2677</v>
      </c>
      <c r="C211" s="35" t="s">
        <v>3155</v>
      </c>
      <c r="D211" s="35" t="s">
        <v>2591</v>
      </c>
      <c r="E211" s="6" t="s">
        <v>238</v>
      </c>
      <c r="F211" s="35" t="s">
        <v>72</v>
      </c>
      <c r="G211" s="209" t="s">
        <v>2679</v>
      </c>
      <c r="H211" s="35" t="s">
        <v>571</v>
      </c>
      <c r="I211" s="6" t="s">
        <v>571</v>
      </c>
      <c r="J211" s="35" t="s">
        <v>571</v>
      </c>
      <c r="K211" s="211" t="n">
        <v>64</v>
      </c>
      <c r="L211" s="211" t="n">
        <v>128</v>
      </c>
      <c r="M211" s="35" t="s">
        <v>3227</v>
      </c>
      <c r="N211" s="6" t="s">
        <v>3225</v>
      </c>
      <c r="O211" s="6" t="s">
        <v>571</v>
      </c>
      <c r="P211" s="209" t="s">
        <v>2738</v>
      </c>
      <c r="Q211" s="40" t="n">
        <f aca="false">Arch!E10</f>
        <v>96</v>
      </c>
      <c r="R211" s="35" t="s">
        <v>571</v>
      </c>
      <c r="S211" s="34" t="str">
        <f aca="false">IF(ISNUMBER($AF211),INDEX(IDX_SrcStat,$AF211),"—")</f>
        <v>—</v>
      </c>
      <c r="T211" s="34" t="str">
        <f aca="false">IF(ISNUMBER($AF211),INDEX(IDX_SrcGrade,$AF211),"—")</f>
        <v>—</v>
      </c>
      <c r="U211" s="34" t="s">
        <v>2683</v>
      </c>
      <c r="V211" s="183" t="n">
        <f aca="false">IF(AND($F211="原始數據",$U211&lt;&gt;"連結 SRC"),1,0)</f>
        <v>0</v>
      </c>
      <c r="W211" s="183" t="n">
        <f aca="false">IF(AND($F211="Analogy",OR($H211="—",$H211="")),1,0)</f>
        <v>0</v>
      </c>
      <c r="X211" s="183" t="n">
        <f aca="false">IF(AND(OR($F211="Analogy",$F211="Assumed"),$G211&lt;&gt;"低",$G211&lt;&gt;"高",NOT(ISNUMBER($K211)),NOT(ISNUMBER($L211)),OR($M211="—",$M211="")),1,0)</f>
        <v>0</v>
      </c>
      <c r="Y211" s="183" t="n">
        <f aca="false">IF(AND(OR($F211="Analogy",$F211="Assumed",$F211="Derived（待改公式）",$F211="Derived（公式）"),OR($N211="—",$N211="",$N211=0)),1,0)</f>
        <v>0</v>
      </c>
      <c r="Z211" s="183" t="n">
        <f aca="false">IF(AND($F211="Decision",OR($J211="—",$J211="")),1,0)</f>
        <v>0</v>
      </c>
      <c r="AA211" s="180" t="n">
        <f aca="false">IF(OR($J211="—",$J211=""),0,IF(COUNTIF(Decisions!$A$5:$A$300,$J211)=0,1,0))</f>
        <v>0</v>
      </c>
      <c r="AB211" s="183" t="n">
        <f aca="false">IF(AND($F211="原始數據",$S211&lt;&gt;"Active"),1,0)</f>
        <v>0</v>
      </c>
      <c r="AC211" s="183" t="n">
        <f aca="false">IF(AND(ISNUMBER($K211),ISNUMBER($L211),ISNUMBER($Q211)),IF(OR($Q211&lt;MIN($K211,$L211),$Q211&gt;MAX($K211,$L211)),1,0),0)</f>
        <v>0</v>
      </c>
      <c r="AD211" s="183" t="n">
        <f aca="false">IF(AND(ISNUMBER($T211),$P211="高"),IF($T211=3,1,0),0)</f>
        <v>0</v>
      </c>
      <c r="AE211" s="183" t="n">
        <f aca="false">IF($S211="不存在",1,0)</f>
        <v>0</v>
      </c>
      <c r="AF211" s="34" t="str">
        <f aca="false">IF(OR($H211="—",$H211=""),"—",MATCH($H211,IDX_SrcID,0))</f>
        <v>—</v>
      </c>
    </row>
    <row r="212" customFormat="false" ht="15" hidden="false" customHeight="true" outlineLevel="0" collapsed="false">
      <c r="A212" s="35" t="s">
        <v>3228</v>
      </c>
      <c r="B212" s="209" t="s">
        <v>2677</v>
      </c>
      <c r="C212" s="35" t="s">
        <v>3155</v>
      </c>
      <c r="D212" s="35" t="s">
        <v>2594</v>
      </c>
      <c r="E212" s="6" t="s">
        <v>240</v>
      </c>
      <c r="F212" s="35" t="s">
        <v>72</v>
      </c>
      <c r="G212" s="209" t="s">
        <v>2679</v>
      </c>
      <c r="H212" s="35" t="s">
        <v>571</v>
      </c>
      <c r="I212" s="6" t="s">
        <v>571</v>
      </c>
      <c r="J212" s="35" t="s">
        <v>571</v>
      </c>
      <c r="K212" s="211" t="n">
        <v>128</v>
      </c>
      <c r="L212" s="211" t="n">
        <v>192</v>
      </c>
      <c r="M212" s="35" t="s">
        <v>3229</v>
      </c>
      <c r="N212" s="6" t="s">
        <v>3225</v>
      </c>
      <c r="O212" s="6" t="s">
        <v>571</v>
      </c>
      <c r="P212" s="209" t="s">
        <v>2738</v>
      </c>
      <c r="Q212" s="40" t="n">
        <f aca="false">Arch!E11</f>
        <v>128</v>
      </c>
      <c r="R212" s="35" t="s">
        <v>571</v>
      </c>
      <c r="S212" s="34" t="str">
        <f aca="false">IF(ISNUMBER($AF212),INDEX(IDX_SrcStat,$AF212),"—")</f>
        <v>—</v>
      </c>
      <c r="T212" s="34" t="str">
        <f aca="false">IF(ISNUMBER($AF212),INDEX(IDX_SrcGrade,$AF212),"—")</f>
        <v>—</v>
      </c>
      <c r="U212" s="34" t="s">
        <v>2683</v>
      </c>
      <c r="V212" s="183" t="n">
        <f aca="false">IF(AND($F212="原始數據",$U212&lt;&gt;"連結 SRC"),1,0)</f>
        <v>0</v>
      </c>
      <c r="W212" s="183" t="n">
        <f aca="false">IF(AND($F212="Analogy",OR($H212="—",$H212="")),1,0)</f>
        <v>0</v>
      </c>
      <c r="X212" s="183" t="n">
        <f aca="false">IF(AND(OR($F212="Analogy",$F212="Assumed"),$G212&lt;&gt;"低",$G212&lt;&gt;"高",NOT(ISNUMBER($K212)),NOT(ISNUMBER($L212)),OR($M212="—",$M212="")),1,0)</f>
        <v>0</v>
      </c>
      <c r="Y212" s="183" t="n">
        <f aca="false">IF(AND(OR($F212="Analogy",$F212="Assumed",$F212="Derived（待改公式）",$F212="Derived（公式）"),OR($N212="—",$N212="",$N212=0)),1,0)</f>
        <v>0</v>
      </c>
      <c r="Z212" s="183" t="n">
        <f aca="false">IF(AND($F212="Decision",OR($J212="—",$J212="")),1,0)</f>
        <v>0</v>
      </c>
      <c r="AA212" s="180" t="n">
        <f aca="false">IF(OR($J212="—",$J212=""),0,IF(COUNTIF(Decisions!$A$5:$A$300,$J212)=0,1,0))</f>
        <v>0</v>
      </c>
      <c r="AB212" s="183" t="n">
        <f aca="false">IF(AND($F212="原始數據",$S212&lt;&gt;"Active"),1,0)</f>
        <v>0</v>
      </c>
      <c r="AC212" s="183" t="n">
        <f aca="false">IF(AND(ISNUMBER($K212),ISNUMBER($L212),ISNUMBER($Q212)),IF(OR($Q212&lt;MIN($K212,$L212),$Q212&gt;MAX($K212,$L212)),1,0),0)</f>
        <v>0</v>
      </c>
      <c r="AD212" s="183" t="n">
        <f aca="false">IF(AND(ISNUMBER($T212),$P212="高"),IF($T212=3,1,0),0)</f>
        <v>0</v>
      </c>
      <c r="AE212" s="183" t="n">
        <f aca="false">IF($S212="不存在",1,0)</f>
        <v>0</v>
      </c>
      <c r="AF212" s="34" t="str">
        <f aca="false">IF(OR($H212="—",$H212=""),"—",MATCH($H212,IDX_SrcID,0))</f>
        <v>—</v>
      </c>
    </row>
    <row r="213" customFormat="false" ht="15" hidden="false" customHeight="true" outlineLevel="0" collapsed="false">
      <c r="A213" s="35" t="s">
        <v>3230</v>
      </c>
      <c r="B213" s="209" t="s">
        <v>2677</v>
      </c>
      <c r="C213" s="35" t="s">
        <v>3155</v>
      </c>
      <c r="D213" s="35" t="s">
        <v>2597</v>
      </c>
      <c r="E213" s="6" t="s">
        <v>242</v>
      </c>
      <c r="F213" s="35" t="s">
        <v>72</v>
      </c>
      <c r="G213" s="209" t="s">
        <v>2679</v>
      </c>
      <c r="H213" s="35" t="s">
        <v>571</v>
      </c>
      <c r="I213" s="6" t="s">
        <v>571</v>
      </c>
      <c r="J213" s="35" t="s">
        <v>571</v>
      </c>
      <c r="K213" s="211" t="n">
        <v>256</v>
      </c>
      <c r="L213" s="211" t="n">
        <v>1024</v>
      </c>
      <c r="M213" s="35" t="s">
        <v>3231</v>
      </c>
      <c r="N213" s="6" t="s">
        <v>3222</v>
      </c>
      <c r="O213" s="6" t="s">
        <v>571</v>
      </c>
      <c r="P213" s="209" t="s">
        <v>2738</v>
      </c>
      <c r="Q213" s="40" t="n">
        <f aca="false">Arch!E12</f>
        <v>512</v>
      </c>
      <c r="R213" s="35" t="s">
        <v>571</v>
      </c>
      <c r="S213" s="34" t="str">
        <f aca="false">IF(ISNUMBER($AF213),INDEX(IDX_SrcStat,$AF213),"—")</f>
        <v>—</v>
      </c>
      <c r="T213" s="34" t="str">
        <f aca="false">IF(ISNUMBER($AF213),INDEX(IDX_SrcGrade,$AF213),"—")</f>
        <v>—</v>
      </c>
      <c r="U213" s="34" t="s">
        <v>2683</v>
      </c>
      <c r="V213" s="183" t="n">
        <f aca="false">IF(AND($F213="原始數據",$U213&lt;&gt;"連結 SRC"),1,0)</f>
        <v>0</v>
      </c>
      <c r="W213" s="183" t="n">
        <f aca="false">IF(AND($F213="Analogy",OR($H213="—",$H213="")),1,0)</f>
        <v>0</v>
      </c>
      <c r="X213" s="183" t="n">
        <f aca="false">IF(AND(OR($F213="Analogy",$F213="Assumed"),$G213&lt;&gt;"低",$G213&lt;&gt;"高",NOT(ISNUMBER($K213)),NOT(ISNUMBER($L213)),OR($M213="—",$M213="")),1,0)</f>
        <v>0</v>
      </c>
      <c r="Y213" s="183" t="n">
        <f aca="false">IF(AND(OR($F213="Analogy",$F213="Assumed",$F213="Derived（待改公式）",$F213="Derived（公式）"),OR($N213="—",$N213="",$N213=0)),1,0)</f>
        <v>0</v>
      </c>
      <c r="Z213" s="183" t="n">
        <f aca="false">IF(AND($F213="Decision",OR($J213="—",$J213="")),1,0)</f>
        <v>0</v>
      </c>
      <c r="AA213" s="180" t="n">
        <f aca="false">IF(OR($J213="—",$J213=""),0,IF(COUNTIF(Decisions!$A$5:$A$300,$J213)=0,1,0))</f>
        <v>0</v>
      </c>
      <c r="AB213" s="183" t="n">
        <f aca="false">IF(AND($F213="原始數據",$S213&lt;&gt;"Active"),1,0)</f>
        <v>0</v>
      </c>
      <c r="AC213" s="183" t="n">
        <f aca="false">IF(AND(ISNUMBER($K213),ISNUMBER($L213),ISNUMBER($Q213)),IF(OR($Q213&lt;MIN($K213,$L213),$Q213&gt;MAX($K213,$L213)),1,0),0)</f>
        <v>0</v>
      </c>
      <c r="AD213" s="183" t="n">
        <f aca="false">IF(AND(ISNUMBER($T213),$P213="高"),IF($T213=3,1,0),0)</f>
        <v>0</v>
      </c>
      <c r="AE213" s="183" t="n">
        <f aca="false">IF($S213="不存在",1,0)</f>
        <v>0</v>
      </c>
      <c r="AF213" s="34" t="str">
        <f aca="false">IF(OR($H213="—",$H213=""),"—",MATCH($H213,IDX_SrcID,0))</f>
        <v>—</v>
      </c>
    </row>
    <row r="214" customFormat="false" ht="15" hidden="false" customHeight="true" outlineLevel="0" collapsed="false">
      <c r="A214" s="35" t="s">
        <v>3232</v>
      </c>
      <c r="B214" s="209" t="s">
        <v>2677</v>
      </c>
      <c r="C214" s="35" t="s">
        <v>3155</v>
      </c>
      <c r="D214" s="35" t="s">
        <v>2599</v>
      </c>
      <c r="E214" s="18" t="s">
        <v>3177</v>
      </c>
      <c r="F214" s="35" t="s">
        <v>72</v>
      </c>
      <c r="G214" s="209" t="s">
        <v>2679</v>
      </c>
      <c r="H214" s="35" t="s">
        <v>571</v>
      </c>
      <c r="I214" s="6" t="s">
        <v>571</v>
      </c>
      <c r="J214" s="35" t="s">
        <v>571</v>
      </c>
      <c r="K214" s="211" t="n">
        <v>8</v>
      </c>
      <c r="L214" s="211" t="n">
        <v>32</v>
      </c>
      <c r="M214" s="35" t="s">
        <v>3233</v>
      </c>
      <c r="N214" s="6" t="s">
        <v>3222</v>
      </c>
      <c r="O214" s="6" t="s">
        <v>571</v>
      </c>
      <c r="P214" s="209" t="s">
        <v>2738</v>
      </c>
      <c r="Q214" s="40" t="n">
        <f aca="false">Arch!E13</f>
        <v>16</v>
      </c>
      <c r="R214" s="35" t="s">
        <v>571</v>
      </c>
      <c r="S214" s="34" t="str">
        <f aca="false">IF(ISNUMBER($AF214),INDEX(IDX_SrcStat,$AF214),"—")</f>
        <v>—</v>
      </c>
      <c r="T214" s="34" t="str">
        <f aca="false">IF(ISNUMBER($AF214),INDEX(IDX_SrcGrade,$AF214),"—")</f>
        <v>—</v>
      </c>
      <c r="U214" s="34" t="s">
        <v>2683</v>
      </c>
      <c r="V214" s="183" t="n">
        <f aca="false">IF(AND($F214="原始數據",$U214&lt;&gt;"連結 SRC"),1,0)</f>
        <v>0</v>
      </c>
      <c r="W214" s="183" t="n">
        <f aca="false">IF(AND($F214="Analogy",OR($H214="—",$H214="")),1,0)</f>
        <v>0</v>
      </c>
      <c r="X214" s="183" t="n">
        <f aca="false">IF(AND(OR($F214="Analogy",$F214="Assumed"),$G214&lt;&gt;"低",$G214&lt;&gt;"高",NOT(ISNUMBER($K214)),NOT(ISNUMBER($L214)),OR($M214="—",$M214="")),1,0)</f>
        <v>0</v>
      </c>
      <c r="Y214" s="183" t="n">
        <f aca="false">IF(AND(OR($F214="Analogy",$F214="Assumed",$F214="Derived（待改公式）",$F214="Derived（公式）"),OR($N214="—",$N214="",$N214=0)),1,0)</f>
        <v>0</v>
      </c>
      <c r="Z214" s="183" t="n">
        <f aca="false">IF(AND($F214="Decision",OR($J214="—",$J214="")),1,0)</f>
        <v>0</v>
      </c>
      <c r="AA214" s="180" t="n">
        <f aca="false">IF(OR($J214="—",$J214=""),0,IF(COUNTIF(Decisions!$A$5:$A$300,$J214)=0,1,0))</f>
        <v>0</v>
      </c>
      <c r="AB214" s="183" t="n">
        <f aca="false">IF(AND($F214="原始數據",$S214&lt;&gt;"Active"),1,0)</f>
        <v>0</v>
      </c>
      <c r="AC214" s="183" t="n">
        <f aca="false">IF(AND(ISNUMBER($K214),ISNUMBER($L214),ISNUMBER($Q214)),IF(OR($Q214&lt;MIN($K214,$L214),$Q214&gt;MAX($K214,$L214)),1,0),0)</f>
        <v>0</v>
      </c>
      <c r="AD214" s="183" t="n">
        <f aca="false">IF(AND(ISNUMBER($T214),$P214="高"),IF($T214=3,1,0),0)</f>
        <v>0</v>
      </c>
      <c r="AE214" s="183" t="n">
        <f aca="false">IF($S214="不存在",1,0)</f>
        <v>0</v>
      </c>
      <c r="AF214" s="34" t="str">
        <f aca="false">IF(OR($H214="—",$H214=""),"—",MATCH($H214,IDX_SrcID,0))</f>
        <v>—</v>
      </c>
    </row>
    <row r="215" customFormat="false" ht="15" hidden="false" customHeight="true" outlineLevel="0" collapsed="false">
      <c r="A215" s="35" t="s">
        <v>3234</v>
      </c>
      <c r="B215" s="209" t="s">
        <v>2677</v>
      </c>
      <c r="C215" s="35" t="s">
        <v>3155</v>
      </c>
      <c r="D215" s="35" t="s">
        <v>3235</v>
      </c>
      <c r="E215" s="6" t="s">
        <v>245</v>
      </c>
      <c r="F215" s="35" t="s">
        <v>72</v>
      </c>
      <c r="G215" s="209" t="s">
        <v>2679</v>
      </c>
      <c r="H215" s="35" t="s">
        <v>571</v>
      </c>
      <c r="I215" s="6" t="s">
        <v>571</v>
      </c>
      <c r="J215" s="35" t="s">
        <v>571</v>
      </c>
      <c r="K215" s="211" t="n">
        <v>128000</v>
      </c>
      <c r="L215" s="211" t="n">
        <v>262144</v>
      </c>
      <c r="M215" s="35" t="s">
        <v>3236</v>
      </c>
      <c r="N215" s="6" t="s">
        <v>3225</v>
      </c>
      <c r="O215" s="6" t="s">
        <v>571</v>
      </c>
      <c r="P215" s="209" t="s">
        <v>2682</v>
      </c>
      <c r="Q215" s="40" t="n">
        <f aca="false">Arch!E15</f>
        <v>200000</v>
      </c>
      <c r="R215" s="35" t="s">
        <v>571</v>
      </c>
      <c r="S215" s="34" t="str">
        <f aca="false">IF(ISNUMBER($AF215),INDEX(IDX_SrcStat,$AF215),"—")</f>
        <v>—</v>
      </c>
      <c r="T215" s="34" t="str">
        <f aca="false">IF(ISNUMBER($AF215),INDEX(IDX_SrcGrade,$AF215),"—")</f>
        <v>—</v>
      </c>
      <c r="U215" s="34" t="s">
        <v>2683</v>
      </c>
      <c r="V215" s="183" t="n">
        <f aca="false">IF(AND($F215="原始數據",$U215&lt;&gt;"連結 SRC"),1,0)</f>
        <v>0</v>
      </c>
      <c r="W215" s="183" t="n">
        <f aca="false">IF(AND($F215="Analogy",OR($H215="—",$H215="")),1,0)</f>
        <v>0</v>
      </c>
      <c r="X215" s="183" t="n">
        <f aca="false">IF(AND(OR($F215="Analogy",$F215="Assumed"),$G215&lt;&gt;"低",$G215&lt;&gt;"高",NOT(ISNUMBER($K215)),NOT(ISNUMBER($L215)),OR($M215="—",$M215="")),1,0)</f>
        <v>0</v>
      </c>
      <c r="Y215" s="183" t="n">
        <f aca="false">IF(AND(OR($F215="Analogy",$F215="Assumed",$F215="Derived（待改公式）",$F215="Derived（公式）"),OR($N215="—",$N215="",$N215=0)),1,0)</f>
        <v>0</v>
      </c>
      <c r="Z215" s="183" t="n">
        <f aca="false">IF(AND($F215="Decision",OR($J215="—",$J215="")),1,0)</f>
        <v>0</v>
      </c>
      <c r="AA215" s="180" t="n">
        <f aca="false">IF(OR($J215="—",$J215=""),0,IF(COUNTIF(Decisions!$A$5:$A$300,$J215)=0,1,0))</f>
        <v>0</v>
      </c>
      <c r="AB215" s="183" t="n">
        <f aca="false">IF(AND($F215="原始數據",$S215&lt;&gt;"Active"),1,0)</f>
        <v>0</v>
      </c>
      <c r="AC215" s="183" t="n">
        <f aca="false">IF(AND(ISNUMBER($K215),ISNUMBER($L215),ISNUMBER($Q215)),IF(OR($Q215&lt;MIN($K215,$L215),$Q215&gt;MAX($K215,$L215)),1,0),0)</f>
        <v>0</v>
      </c>
      <c r="AD215" s="183" t="n">
        <f aca="false">IF(AND(ISNUMBER($T215),$P215="高"),IF($T215=3,1,0),0)</f>
        <v>0</v>
      </c>
      <c r="AE215" s="183" t="n">
        <f aca="false">IF($S215="不存在",1,0)</f>
        <v>0</v>
      </c>
      <c r="AF215" s="34" t="str">
        <f aca="false">IF(OR($H215="—",$H215=""),"—",MATCH($H215,IDX_SrcID,0))</f>
        <v>—</v>
      </c>
    </row>
    <row r="216" customFormat="false" ht="15" hidden="false" customHeight="true" outlineLevel="0" collapsed="false">
      <c r="A216" s="35" t="s">
        <v>3237</v>
      </c>
      <c r="B216" s="209" t="s">
        <v>2677</v>
      </c>
      <c r="C216" s="35" t="s">
        <v>3155</v>
      </c>
      <c r="D216" s="35" t="s">
        <v>2718</v>
      </c>
      <c r="E216" s="6" t="s">
        <v>244</v>
      </c>
      <c r="F216" s="35" t="s">
        <v>72</v>
      </c>
      <c r="G216" s="209" t="s">
        <v>2679</v>
      </c>
      <c r="H216" s="35" t="s">
        <v>571</v>
      </c>
      <c r="I216" s="6" t="s">
        <v>571</v>
      </c>
      <c r="J216" s="35" t="s">
        <v>571</v>
      </c>
      <c r="K216" s="209"/>
      <c r="L216" s="209"/>
      <c r="M216" s="209" t="s">
        <v>2624</v>
      </c>
      <c r="N216" s="6" t="s">
        <v>3238</v>
      </c>
      <c r="O216" s="6" t="s">
        <v>571</v>
      </c>
      <c r="P216" s="209" t="s">
        <v>1099</v>
      </c>
      <c r="Q216" s="40" t="n">
        <f aca="false">Arch!E14</f>
        <v>1</v>
      </c>
      <c r="R216" s="35" t="s">
        <v>571</v>
      </c>
      <c r="S216" s="34" t="str">
        <f aca="false">IF(ISNUMBER($AF216),INDEX(IDX_SrcStat,$AF216),"—")</f>
        <v>—</v>
      </c>
      <c r="T216" s="34" t="str">
        <f aca="false">IF(ISNUMBER($AF216),INDEX(IDX_SrcGrade,$AF216),"—")</f>
        <v>—</v>
      </c>
      <c r="U216" s="34" t="s">
        <v>2683</v>
      </c>
      <c r="V216" s="183" t="n">
        <f aca="false">IF(AND($F216="原始數據",$U216&lt;&gt;"連結 SRC"),1,0)</f>
        <v>0</v>
      </c>
      <c r="W216" s="183" t="n">
        <f aca="false">IF(AND($F216="Analogy",OR($H216="—",$H216="")),1,0)</f>
        <v>0</v>
      </c>
      <c r="X216" s="183" t="n">
        <f aca="false">IF(AND(OR($F216="Analogy",$F216="Assumed"),$G216&lt;&gt;"低",$G216&lt;&gt;"高",NOT(ISNUMBER($K216)),NOT(ISNUMBER($L216)),OR($M216="—",$M216="")),1,0)</f>
        <v>0</v>
      </c>
      <c r="Y216" s="183" t="n">
        <f aca="false">IF(AND(OR($F216="Analogy",$F216="Assumed",$F216="Derived（待改公式）",$F216="Derived（公式）"),OR($N216="—",$N216="",$N216=0)),1,0)</f>
        <v>0</v>
      </c>
      <c r="Z216" s="183" t="n">
        <f aca="false">IF(AND($F216="Decision",OR($J216="—",$J216="")),1,0)</f>
        <v>0</v>
      </c>
      <c r="AA216" s="180" t="n">
        <f aca="false">IF(OR($J216="—",$J216=""),0,IF(COUNTIF(Decisions!$A$5:$A$300,$J216)=0,1,0))</f>
        <v>0</v>
      </c>
      <c r="AB216" s="183" t="n">
        <f aca="false">IF(AND($F216="原始數據",$S216&lt;&gt;"Active"),1,0)</f>
        <v>0</v>
      </c>
      <c r="AC216" s="183" t="n">
        <f aca="false">IF(AND(ISNUMBER($K216),ISNUMBER($L216),ISNUMBER($Q216)),IF(OR($Q216&lt;MIN($K216,$L216),$Q216&gt;MAX($K216,$L216)),1,0),0)</f>
        <v>0</v>
      </c>
      <c r="AD216" s="183" t="n">
        <f aca="false">IF(AND(ISNUMBER($T216),$P216="高"),IF($T216=3,1,0),0)</f>
        <v>0</v>
      </c>
      <c r="AE216" s="183" t="n">
        <f aca="false">IF($S216="不存在",1,0)</f>
        <v>0</v>
      </c>
      <c r="AF216" s="34" t="str">
        <f aca="false">IF(OR($H216="—",$H216=""),"—",MATCH($H216,IDX_SrcID,0))</f>
        <v>—</v>
      </c>
    </row>
    <row r="217" customFormat="false" ht="29.25" hidden="false" customHeight="true" outlineLevel="0" collapsed="false">
      <c r="A217" s="35" t="s">
        <v>3239</v>
      </c>
      <c r="B217" s="209" t="s">
        <v>2677</v>
      </c>
      <c r="C217" s="35" t="s">
        <v>3155</v>
      </c>
      <c r="D217" s="35" t="s">
        <v>2724</v>
      </c>
      <c r="E217" s="18" t="s">
        <v>246</v>
      </c>
      <c r="F217" s="35" t="s">
        <v>72</v>
      </c>
      <c r="G217" s="209" t="s">
        <v>2679</v>
      </c>
      <c r="H217" s="35" t="s">
        <v>571</v>
      </c>
      <c r="I217" s="6" t="s">
        <v>571</v>
      </c>
      <c r="J217" s="35" t="s">
        <v>571</v>
      </c>
      <c r="K217" s="209"/>
      <c r="L217" s="209"/>
      <c r="M217" s="209" t="s">
        <v>2624</v>
      </c>
      <c r="N217" s="6" t="s">
        <v>3240</v>
      </c>
      <c r="O217" s="6" t="s">
        <v>571</v>
      </c>
      <c r="P217" s="209" t="s">
        <v>2738</v>
      </c>
      <c r="Q217" s="174" t="n">
        <f aca="false">Arch!E16</f>
        <v>1</v>
      </c>
      <c r="R217" s="35" t="s">
        <v>571</v>
      </c>
      <c r="S217" s="34" t="str">
        <f aca="false">IF(ISNUMBER($AF217),INDEX(IDX_SrcStat,$AF217),"—")</f>
        <v>—</v>
      </c>
      <c r="T217" s="34" t="str">
        <f aca="false">IF(ISNUMBER($AF217),INDEX(IDX_SrcGrade,$AF217),"—")</f>
        <v>—</v>
      </c>
      <c r="U217" s="34" t="s">
        <v>2683</v>
      </c>
      <c r="V217" s="183" t="n">
        <f aca="false">IF(AND($F217="原始數據",$U217&lt;&gt;"連結 SRC"),1,0)</f>
        <v>0</v>
      </c>
      <c r="W217" s="183" t="n">
        <f aca="false">IF(AND($F217="Analogy",OR($H217="—",$H217="")),1,0)</f>
        <v>0</v>
      </c>
      <c r="X217" s="183" t="n">
        <f aca="false">IF(AND(OR($F217="Analogy",$F217="Assumed"),$G217&lt;&gt;"低",$G217&lt;&gt;"高",NOT(ISNUMBER($K217)),NOT(ISNUMBER($L217)),OR($M217="—",$M217="")),1,0)</f>
        <v>0</v>
      </c>
      <c r="Y217" s="183" t="n">
        <f aca="false">IF(AND(OR($F217="Analogy",$F217="Assumed",$F217="Derived（待改公式）",$F217="Derived（公式）"),OR($N217="—",$N217="",$N217=0)),1,0)</f>
        <v>0</v>
      </c>
      <c r="Z217" s="183" t="n">
        <f aca="false">IF(AND($F217="Decision",OR($J217="—",$J217="")),1,0)</f>
        <v>0</v>
      </c>
      <c r="AA217" s="180" t="n">
        <f aca="false">IF(OR($J217="—",$J217=""),0,IF(COUNTIF(Decisions!$A$5:$A$300,$J217)=0,1,0))</f>
        <v>0</v>
      </c>
      <c r="AB217" s="183" t="n">
        <f aca="false">IF(AND($F217="原始數據",$S217&lt;&gt;"Active"),1,0)</f>
        <v>0</v>
      </c>
      <c r="AC217" s="183" t="n">
        <f aca="false">IF(AND(ISNUMBER($K217),ISNUMBER($L217),ISNUMBER($Q217)),IF(OR($Q217&lt;MIN($K217,$L217),$Q217&gt;MAX($K217,$L217)),1,0),0)</f>
        <v>0</v>
      </c>
      <c r="AD217" s="183" t="n">
        <f aca="false">IF(AND(ISNUMBER($T217),$P217="高"),IF($T217=3,1,0),0)</f>
        <v>0</v>
      </c>
      <c r="AE217" s="183" t="n">
        <f aca="false">IF($S217="不存在",1,0)</f>
        <v>0</v>
      </c>
      <c r="AF217" s="34" t="str">
        <f aca="false">IF(OR($H217="—",$H217=""),"—",MATCH($H217,IDX_SrcID,0))</f>
        <v>—</v>
      </c>
    </row>
    <row r="218" customFormat="false" ht="29.25" hidden="false" customHeight="true" outlineLevel="0" collapsed="false">
      <c r="A218" s="35" t="s">
        <v>3241</v>
      </c>
      <c r="B218" s="209" t="s">
        <v>2677</v>
      </c>
      <c r="C218" s="35" t="s">
        <v>3155</v>
      </c>
      <c r="D218" s="35" t="s">
        <v>2730</v>
      </c>
      <c r="E218" s="18" t="s">
        <v>3213</v>
      </c>
      <c r="F218" s="35" t="s">
        <v>72</v>
      </c>
      <c r="G218" s="209" t="s">
        <v>2679</v>
      </c>
      <c r="H218" s="35" t="s">
        <v>571</v>
      </c>
      <c r="I218" s="6" t="s">
        <v>571</v>
      </c>
      <c r="J218" s="35" t="s">
        <v>571</v>
      </c>
      <c r="K218" s="209"/>
      <c r="L218" s="209"/>
      <c r="M218" s="209" t="s">
        <v>2624</v>
      </c>
      <c r="N218" s="6" t="s">
        <v>3242</v>
      </c>
      <c r="O218" s="6" t="s">
        <v>571</v>
      </c>
      <c r="P218" s="209" t="s">
        <v>2682</v>
      </c>
      <c r="Q218" s="40" t="n">
        <f aca="false">Arch!E17</f>
        <v>0</v>
      </c>
      <c r="R218" s="35" t="s">
        <v>571</v>
      </c>
      <c r="S218" s="34" t="str">
        <f aca="false">IF(ISNUMBER($AF218),INDEX(IDX_SrcStat,$AF218),"—")</f>
        <v>—</v>
      </c>
      <c r="T218" s="34" t="str">
        <f aca="false">IF(ISNUMBER($AF218),INDEX(IDX_SrcGrade,$AF218),"—")</f>
        <v>—</v>
      </c>
      <c r="U218" s="34" t="s">
        <v>2683</v>
      </c>
      <c r="V218" s="183" t="n">
        <f aca="false">IF(AND($F218="原始數據",$U218&lt;&gt;"連結 SRC"),1,0)</f>
        <v>0</v>
      </c>
      <c r="W218" s="183" t="n">
        <f aca="false">IF(AND($F218="Analogy",OR($H218="—",$H218="")),1,0)</f>
        <v>0</v>
      </c>
      <c r="X218" s="183" t="n">
        <f aca="false">IF(AND(OR($F218="Analogy",$F218="Assumed"),$G218&lt;&gt;"低",$G218&lt;&gt;"高",NOT(ISNUMBER($K218)),NOT(ISNUMBER($L218)),OR($M218="—",$M218="")),1,0)</f>
        <v>0</v>
      </c>
      <c r="Y218" s="183" t="n">
        <f aca="false">IF(AND(OR($F218="Analogy",$F218="Assumed",$F218="Derived（待改公式）",$F218="Derived（公式）"),OR($N218="—",$N218="",$N218=0)),1,0)</f>
        <v>0</v>
      </c>
      <c r="Z218" s="183" t="n">
        <f aca="false">IF(AND($F218="Decision",OR($J218="—",$J218="")),1,0)</f>
        <v>0</v>
      </c>
      <c r="AA218" s="180" t="n">
        <f aca="false">IF(OR($J218="—",$J218=""),0,IF(COUNTIF(Decisions!$A$5:$A$300,$J218)=0,1,0))</f>
        <v>0</v>
      </c>
      <c r="AB218" s="183" t="n">
        <f aca="false">IF(AND($F218="原始數據",$S218&lt;&gt;"Active"),1,0)</f>
        <v>0</v>
      </c>
      <c r="AC218" s="183" t="n">
        <f aca="false">IF(AND(ISNUMBER($K218),ISNUMBER($L218),ISNUMBER($Q218)),IF(OR($Q218&lt;MIN($K218,$L218),$Q218&gt;MAX($K218,$L218)),1,0),0)</f>
        <v>0</v>
      </c>
      <c r="AD218" s="183" t="n">
        <f aca="false">IF(AND(ISNUMBER($T218),$P218="高"),IF($T218=3,1,0),0)</f>
        <v>0</v>
      </c>
      <c r="AE218" s="183" t="n">
        <f aca="false">IF($S218="不存在",1,0)</f>
        <v>0</v>
      </c>
      <c r="AF218" s="34" t="str">
        <f aca="false">IF(OR($H218="—",$H218=""),"—",MATCH($H218,IDX_SrcID,0))</f>
        <v>—</v>
      </c>
    </row>
    <row r="219" customFormat="false" ht="15" hidden="false" customHeight="true" outlineLevel="0" collapsed="false">
      <c r="A219" s="35" t="s">
        <v>3243</v>
      </c>
      <c r="B219" s="209" t="s">
        <v>2677</v>
      </c>
      <c r="C219" s="35" t="s">
        <v>3155</v>
      </c>
      <c r="D219" s="35" t="s">
        <v>2736</v>
      </c>
      <c r="E219" s="18" t="s">
        <v>252</v>
      </c>
      <c r="F219" s="35" t="s">
        <v>72</v>
      </c>
      <c r="G219" s="209" t="s">
        <v>2679</v>
      </c>
      <c r="H219" s="35" t="s">
        <v>571</v>
      </c>
      <c r="I219" s="6" t="s">
        <v>571</v>
      </c>
      <c r="J219" s="35" t="s">
        <v>571</v>
      </c>
      <c r="K219" s="209"/>
      <c r="L219" s="209"/>
      <c r="M219" s="209" t="s">
        <v>2624</v>
      </c>
      <c r="N219" s="6" t="s">
        <v>3244</v>
      </c>
      <c r="O219" s="6" t="s">
        <v>571</v>
      </c>
      <c r="P219" s="209" t="s">
        <v>1099</v>
      </c>
      <c r="Q219" s="40" t="n">
        <f aca="false">Arch!E18</f>
        <v>1</v>
      </c>
      <c r="R219" s="35" t="s">
        <v>571</v>
      </c>
      <c r="S219" s="34" t="str">
        <f aca="false">IF(ISNUMBER($AF219),INDEX(IDX_SrcStat,$AF219),"—")</f>
        <v>—</v>
      </c>
      <c r="T219" s="34" t="str">
        <f aca="false">IF(ISNUMBER($AF219),INDEX(IDX_SrcGrade,$AF219),"—")</f>
        <v>—</v>
      </c>
      <c r="U219" s="34" t="s">
        <v>2683</v>
      </c>
      <c r="V219" s="183" t="n">
        <f aca="false">IF(AND($F219="原始數據",$U219&lt;&gt;"連結 SRC"),1,0)</f>
        <v>0</v>
      </c>
      <c r="W219" s="183" t="n">
        <f aca="false">IF(AND($F219="Analogy",OR($H219="—",$H219="")),1,0)</f>
        <v>0</v>
      </c>
      <c r="X219" s="183" t="n">
        <f aca="false">IF(AND(OR($F219="Analogy",$F219="Assumed"),$G219&lt;&gt;"低",$G219&lt;&gt;"高",NOT(ISNUMBER($K219)),NOT(ISNUMBER($L219)),OR($M219="—",$M219="")),1,0)</f>
        <v>0</v>
      </c>
      <c r="Y219" s="183" t="n">
        <f aca="false">IF(AND(OR($F219="Analogy",$F219="Assumed",$F219="Derived（待改公式）",$F219="Derived（公式）"),OR($N219="—",$N219="",$N219=0)),1,0)</f>
        <v>0</v>
      </c>
      <c r="Z219" s="183" t="n">
        <f aca="false">IF(AND($F219="Decision",OR($J219="—",$J219="")),1,0)</f>
        <v>0</v>
      </c>
      <c r="AA219" s="180" t="n">
        <f aca="false">IF(OR($J219="—",$J219=""),0,IF(COUNTIF(Decisions!$A$5:$A$300,$J219)=0,1,0))</f>
        <v>0</v>
      </c>
      <c r="AB219" s="183" t="n">
        <f aca="false">IF(AND($F219="原始數據",$S219&lt;&gt;"Active"),1,0)</f>
        <v>0</v>
      </c>
      <c r="AC219" s="183" t="n">
        <f aca="false">IF(AND(ISNUMBER($K219),ISNUMBER($L219),ISNUMBER($Q219)),IF(OR($Q219&lt;MIN($K219,$L219),$Q219&gt;MAX($K219,$L219)),1,0),0)</f>
        <v>0</v>
      </c>
      <c r="AD219" s="183" t="n">
        <f aca="false">IF(AND(ISNUMBER($T219),$P219="高"),IF($T219=3,1,0),0)</f>
        <v>0</v>
      </c>
      <c r="AE219" s="183" t="n">
        <f aca="false">IF($S219="不存在",1,0)</f>
        <v>0</v>
      </c>
      <c r="AF219" s="34" t="str">
        <f aca="false">IF(OR($H219="—",$H219=""),"—",MATCH($H219,IDX_SrcID,0))</f>
        <v>—</v>
      </c>
    </row>
    <row r="220" customFormat="false" ht="15" hidden="false" customHeight="true" outlineLevel="0" collapsed="false">
      <c r="A220" s="35" t="s">
        <v>3245</v>
      </c>
      <c r="B220" s="209" t="s">
        <v>2677</v>
      </c>
      <c r="C220" s="35" t="s">
        <v>3155</v>
      </c>
      <c r="D220" s="35" t="s">
        <v>2744</v>
      </c>
      <c r="E220" s="18" t="s">
        <v>254</v>
      </c>
      <c r="F220" s="35" t="s">
        <v>72</v>
      </c>
      <c r="G220" s="209" t="s">
        <v>2679</v>
      </c>
      <c r="H220" s="35" t="s">
        <v>571</v>
      </c>
      <c r="I220" s="6" t="s">
        <v>571</v>
      </c>
      <c r="J220" s="35" t="s">
        <v>571</v>
      </c>
      <c r="K220" s="209"/>
      <c r="L220" s="209"/>
      <c r="M220" s="209" t="s">
        <v>2624</v>
      </c>
      <c r="N220" s="6" t="s">
        <v>3246</v>
      </c>
      <c r="O220" s="6" t="s">
        <v>571</v>
      </c>
      <c r="P220" s="209" t="s">
        <v>1099</v>
      </c>
      <c r="Q220" s="40" t="n">
        <f aca="false">Arch!E19</f>
        <v>0</v>
      </c>
      <c r="R220" s="35" t="s">
        <v>571</v>
      </c>
      <c r="S220" s="34" t="str">
        <f aca="false">IF(ISNUMBER($AF220),INDEX(IDX_SrcStat,$AF220),"—")</f>
        <v>—</v>
      </c>
      <c r="T220" s="34" t="str">
        <f aca="false">IF(ISNUMBER($AF220),INDEX(IDX_SrcGrade,$AF220),"—")</f>
        <v>—</v>
      </c>
      <c r="U220" s="34" t="s">
        <v>2683</v>
      </c>
      <c r="V220" s="183" t="n">
        <f aca="false">IF(AND($F220="原始數據",$U220&lt;&gt;"連結 SRC"),1,0)</f>
        <v>0</v>
      </c>
      <c r="W220" s="183" t="n">
        <f aca="false">IF(AND($F220="Analogy",OR($H220="—",$H220="")),1,0)</f>
        <v>0</v>
      </c>
      <c r="X220" s="183" t="n">
        <f aca="false">IF(AND(OR($F220="Analogy",$F220="Assumed"),$G220&lt;&gt;"低",$G220&lt;&gt;"高",NOT(ISNUMBER($K220)),NOT(ISNUMBER($L220)),OR($M220="—",$M220="")),1,0)</f>
        <v>0</v>
      </c>
      <c r="Y220" s="183" t="n">
        <f aca="false">IF(AND(OR($F220="Analogy",$F220="Assumed",$F220="Derived（待改公式）",$F220="Derived（公式）"),OR($N220="—",$N220="",$N220=0)),1,0)</f>
        <v>0</v>
      </c>
      <c r="Z220" s="183" t="n">
        <f aca="false">IF(AND($F220="Decision",OR($J220="—",$J220="")),1,0)</f>
        <v>0</v>
      </c>
      <c r="AA220" s="180" t="n">
        <f aca="false">IF(OR($J220="—",$J220=""),0,IF(COUNTIF(Decisions!$A$5:$A$300,$J220)=0,1,0))</f>
        <v>0</v>
      </c>
      <c r="AB220" s="183" t="n">
        <f aca="false">IF(AND($F220="原始數據",$S220&lt;&gt;"Active"),1,0)</f>
        <v>0</v>
      </c>
      <c r="AC220" s="183" t="n">
        <f aca="false">IF(AND(ISNUMBER($K220),ISNUMBER($L220),ISNUMBER($Q220)),IF(OR($Q220&lt;MIN($K220,$L220),$Q220&gt;MAX($K220,$L220)),1,0),0)</f>
        <v>0</v>
      </c>
      <c r="AD220" s="183" t="n">
        <f aca="false">IF(AND(ISNUMBER($T220),$P220="高"),IF($T220=3,1,0),0)</f>
        <v>0</v>
      </c>
      <c r="AE220" s="183" t="n">
        <f aca="false">IF($S220="不存在",1,0)</f>
        <v>0</v>
      </c>
      <c r="AF220" s="34" t="str">
        <f aca="false">IF(OR($H220="—",$H220=""),"—",MATCH($H220,IDX_SrcID,0))</f>
        <v>—</v>
      </c>
    </row>
    <row r="221" customFormat="false" ht="29.25" hidden="false" customHeight="true" outlineLevel="0" collapsed="false">
      <c r="A221" s="35" t="s">
        <v>3247</v>
      </c>
      <c r="B221" s="209" t="s">
        <v>2677</v>
      </c>
      <c r="C221" s="35" t="s">
        <v>3155</v>
      </c>
      <c r="D221" s="35" t="s">
        <v>2750</v>
      </c>
      <c r="E221" s="6" t="s">
        <v>255</v>
      </c>
      <c r="F221" s="35" t="s">
        <v>64</v>
      </c>
      <c r="G221" s="209" t="s">
        <v>2679</v>
      </c>
      <c r="H221" s="35" t="s">
        <v>571</v>
      </c>
      <c r="I221" s="6" t="s">
        <v>571</v>
      </c>
      <c r="J221" s="35" t="s">
        <v>3248</v>
      </c>
      <c r="K221" s="209"/>
      <c r="L221" s="209"/>
      <c r="M221" s="35" t="s">
        <v>571</v>
      </c>
      <c r="N221" s="6" t="s">
        <v>3249</v>
      </c>
      <c r="O221" s="6" t="s">
        <v>571</v>
      </c>
      <c r="P221" s="209" t="s">
        <v>2682</v>
      </c>
      <c r="Q221" s="180" t="n">
        <f aca="false">Arch!E20</f>
        <v>2</v>
      </c>
      <c r="R221" s="35" t="s">
        <v>571</v>
      </c>
      <c r="S221" s="34" t="str">
        <f aca="false">IF(ISNUMBER($AF221),INDEX(IDX_SrcStat,$AF221),"—")</f>
        <v>—</v>
      </c>
      <c r="T221" s="34" t="str">
        <f aca="false">IF(ISNUMBER($AF221),INDEX(IDX_SrcGrade,$AF221),"—")</f>
        <v>—</v>
      </c>
      <c r="U221" s="34" t="s">
        <v>2683</v>
      </c>
      <c r="V221" s="183" t="n">
        <f aca="false">IF(AND($F221="原始數據",$U221&lt;&gt;"連結 SRC"),1,0)</f>
        <v>0</v>
      </c>
      <c r="W221" s="183" t="n">
        <f aca="false">IF(AND($F221="Analogy",OR($H221="—",$H221="")),1,0)</f>
        <v>0</v>
      </c>
      <c r="X221" s="183" t="n">
        <f aca="false">IF(AND(OR($F221="Analogy",$F221="Assumed"),$G221&lt;&gt;"低",$G221&lt;&gt;"高",NOT(ISNUMBER($K221)),NOT(ISNUMBER($L221)),OR($M221="—",$M221="")),1,0)</f>
        <v>0</v>
      </c>
      <c r="Y221" s="183" t="n">
        <f aca="false">IF(AND(OR($F221="Analogy",$F221="Assumed",$F221="Derived（待改公式）",$F221="Derived（公式）"),OR($N221="—",$N221="",$N221=0)),1,0)</f>
        <v>0</v>
      </c>
      <c r="Z221" s="183" t="n">
        <f aca="false">IF(AND($F221="Decision",OR($J221="—",$J221="")),1,0)</f>
        <v>0</v>
      </c>
      <c r="AA221" s="180" t="n">
        <f aca="false">IF(OR($J221="—",$J221=""),0,IF(COUNTIF(Decisions!$A$5:$A$300,$J221)=0,1,0))</f>
        <v>0</v>
      </c>
      <c r="AB221" s="183" t="n">
        <f aca="false">IF(AND($F221="原始數據",$S221&lt;&gt;"Active"),1,0)</f>
        <v>0</v>
      </c>
      <c r="AC221" s="183" t="n">
        <f aca="false">IF(AND(ISNUMBER($K221),ISNUMBER($L221),ISNUMBER($Q221)),IF(OR($Q221&lt;MIN($K221,$L221),$Q221&gt;MAX($K221,$L221)),1,0),0)</f>
        <v>0</v>
      </c>
      <c r="AD221" s="183" t="n">
        <f aca="false">IF(AND(ISNUMBER($T221),$P221="高"),IF($T221=3,1,0),0)</f>
        <v>0</v>
      </c>
      <c r="AE221" s="183" t="n">
        <f aca="false">IF($S221="不存在",1,0)</f>
        <v>0</v>
      </c>
      <c r="AF221" s="34" t="str">
        <f aca="false">IF(OR($H221="—",$H221=""),"—",MATCH($H221,IDX_SrcID,0))</f>
        <v>—</v>
      </c>
    </row>
    <row r="222" customFormat="false" ht="43.5" hidden="false" customHeight="true" outlineLevel="0" collapsed="false">
      <c r="A222" s="35" t="s">
        <v>3250</v>
      </c>
      <c r="B222" s="209" t="s">
        <v>2677</v>
      </c>
      <c r="C222" s="35" t="s">
        <v>3155</v>
      </c>
      <c r="D222" s="35" t="s">
        <v>3251</v>
      </c>
      <c r="E222" s="6" t="s">
        <v>257</v>
      </c>
      <c r="F222" s="35" t="s">
        <v>2965</v>
      </c>
      <c r="G222" s="209" t="s">
        <v>2679</v>
      </c>
      <c r="H222" s="35" t="s">
        <v>571</v>
      </c>
      <c r="I222" s="6" t="s">
        <v>571</v>
      </c>
      <c r="J222" s="35" t="s">
        <v>571</v>
      </c>
      <c r="K222" s="209"/>
      <c r="L222" s="209"/>
      <c r="M222" s="35" t="s">
        <v>571</v>
      </c>
      <c r="N222" s="214" t="s">
        <v>3252</v>
      </c>
      <c r="O222" s="6" t="s">
        <v>571</v>
      </c>
      <c r="P222" s="209" t="s">
        <v>2682</v>
      </c>
      <c r="Q222" s="40" t="n">
        <f aca="false">Arch!C21</f>
        <v>2795</v>
      </c>
      <c r="R222" s="35" t="s">
        <v>571</v>
      </c>
      <c r="S222" s="34" t="str">
        <f aca="false">IF(ISNUMBER($AF222),INDEX(IDX_SrcStat,$AF222),"—")</f>
        <v>—</v>
      </c>
      <c r="T222" s="34" t="str">
        <f aca="false">IF(ISNUMBER($AF222),INDEX(IDX_SrcGrade,$AF222),"—")</f>
        <v>—</v>
      </c>
      <c r="U222" s="34" t="s">
        <v>2912</v>
      </c>
      <c r="V222" s="183" t="n">
        <f aca="false">IF(AND($F222="原始數據",$U222&lt;&gt;"連結 SRC"),1,0)</f>
        <v>0</v>
      </c>
      <c r="W222" s="183" t="n">
        <f aca="false">IF(AND($F222="Analogy",OR($H222="—",$H222="")),1,0)</f>
        <v>0</v>
      </c>
      <c r="X222" s="183" t="n">
        <f aca="false">IF(AND(OR($F222="Analogy",$F222="Assumed"),$G222&lt;&gt;"低",$G222&lt;&gt;"高",NOT(ISNUMBER($K222)),NOT(ISNUMBER($L222)),OR($M222="—",$M222="")),1,0)</f>
        <v>0</v>
      </c>
      <c r="Y222" s="183" t="n">
        <f aca="false">IF(AND(OR($F222="Analogy",$F222="Assumed",$F222="Derived（待改公式）",$F222="Derived（公式）"),OR($N222="—",$N222="",$N222=0)),1,0)</f>
        <v>0</v>
      </c>
      <c r="Z222" s="183" t="n">
        <f aca="false">IF(AND($F222="Decision",OR($J222="—",$J222="")),1,0)</f>
        <v>0</v>
      </c>
      <c r="AA222" s="180" t="n">
        <f aca="false">IF(OR($J222="—",$J222=""),0,IF(COUNTIF(Decisions!$A$5:$A$300,$J222)=0,1,0))</f>
        <v>0</v>
      </c>
      <c r="AB222" s="183" t="n">
        <f aca="false">IF(AND($F222="原始數據",$S222&lt;&gt;"Active"),1,0)</f>
        <v>0</v>
      </c>
      <c r="AC222" s="183" t="n">
        <f aca="false">IF(AND(ISNUMBER($K222),ISNUMBER($L222),ISNUMBER($Q222)),IF(OR($Q222&lt;MIN($K222,$L222),$Q222&gt;MAX($K222,$L222)),1,0),0)</f>
        <v>0</v>
      </c>
      <c r="AD222" s="183" t="n">
        <f aca="false">IF(AND(ISNUMBER($T222),$P222="高"),IF($T222=3,1,0),0)</f>
        <v>0</v>
      </c>
      <c r="AE222" s="183" t="n">
        <f aca="false">IF($S222="不存在",1,0)</f>
        <v>0</v>
      </c>
      <c r="AF222" s="34" t="str">
        <f aca="false">IF(OR($H222="—",$H222=""),"—",MATCH($H222,IDX_SrcID,0))</f>
        <v>—</v>
      </c>
    </row>
    <row r="223" customFormat="false" ht="43.5" hidden="false" customHeight="true" outlineLevel="0" collapsed="false">
      <c r="A223" s="35" t="s">
        <v>3253</v>
      </c>
      <c r="B223" s="209" t="s">
        <v>2677</v>
      </c>
      <c r="C223" s="35" t="s">
        <v>3155</v>
      </c>
      <c r="D223" s="35" t="s">
        <v>2760</v>
      </c>
      <c r="E223" s="6" t="s">
        <v>257</v>
      </c>
      <c r="F223" s="35" t="s">
        <v>2965</v>
      </c>
      <c r="G223" s="209" t="s">
        <v>2679</v>
      </c>
      <c r="H223" s="35" t="s">
        <v>571</v>
      </c>
      <c r="I223" s="6" t="s">
        <v>571</v>
      </c>
      <c r="J223" s="35" t="s">
        <v>571</v>
      </c>
      <c r="K223" s="209"/>
      <c r="L223" s="209"/>
      <c r="M223" s="35" t="s">
        <v>571</v>
      </c>
      <c r="N223" s="214" t="s">
        <v>3252</v>
      </c>
      <c r="O223" s="6" t="s">
        <v>571</v>
      </c>
      <c r="P223" s="209" t="s">
        <v>2682</v>
      </c>
      <c r="Q223" s="40" t="n">
        <f aca="false">Arch!D21</f>
        <v>3965</v>
      </c>
      <c r="R223" s="35" t="s">
        <v>571</v>
      </c>
      <c r="S223" s="34" t="str">
        <f aca="false">IF(ISNUMBER($AF223),INDEX(IDX_SrcStat,$AF223),"—")</f>
        <v>—</v>
      </c>
      <c r="T223" s="34" t="str">
        <f aca="false">IF(ISNUMBER($AF223),INDEX(IDX_SrcGrade,$AF223),"—")</f>
        <v>—</v>
      </c>
      <c r="U223" s="34" t="s">
        <v>2912</v>
      </c>
      <c r="V223" s="183" t="n">
        <f aca="false">IF(AND($F223="原始數據",$U223&lt;&gt;"連結 SRC"),1,0)</f>
        <v>0</v>
      </c>
      <c r="W223" s="183" t="n">
        <f aca="false">IF(AND($F223="Analogy",OR($H223="—",$H223="")),1,0)</f>
        <v>0</v>
      </c>
      <c r="X223" s="183" t="n">
        <f aca="false">IF(AND(OR($F223="Analogy",$F223="Assumed"),$G223&lt;&gt;"低",$G223&lt;&gt;"高",NOT(ISNUMBER($K223)),NOT(ISNUMBER($L223)),OR($M223="—",$M223="")),1,0)</f>
        <v>0</v>
      </c>
      <c r="Y223" s="183" t="n">
        <f aca="false">IF(AND(OR($F223="Analogy",$F223="Assumed",$F223="Derived（待改公式）",$F223="Derived（公式）"),OR($N223="—",$N223="",$N223=0)),1,0)</f>
        <v>0</v>
      </c>
      <c r="Z223" s="183" t="n">
        <f aca="false">IF(AND($F223="Decision",OR($J223="—",$J223="")),1,0)</f>
        <v>0</v>
      </c>
      <c r="AA223" s="180" t="n">
        <f aca="false">IF(OR($J223="—",$J223=""),0,IF(COUNTIF(Decisions!$A$5:$A$300,$J223)=0,1,0))</f>
        <v>0</v>
      </c>
      <c r="AB223" s="183" t="n">
        <f aca="false">IF(AND($F223="原始數據",$S223&lt;&gt;"Active"),1,0)</f>
        <v>0</v>
      </c>
      <c r="AC223" s="183" t="n">
        <f aca="false">IF(AND(ISNUMBER($K223),ISNUMBER($L223),ISNUMBER($Q223)),IF(OR($Q223&lt;MIN($K223,$L223),$Q223&gt;MAX($K223,$L223)),1,0),0)</f>
        <v>0</v>
      </c>
      <c r="AD223" s="183" t="n">
        <f aca="false">IF(AND(ISNUMBER($T223),$P223="高"),IF($T223=3,1,0),0)</f>
        <v>0</v>
      </c>
      <c r="AE223" s="183" t="n">
        <f aca="false">IF($S223="不存在",1,0)</f>
        <v>0</v>
      </c>
      <c r="AF223" s="34" t="str">
        <f aca="false">IF(OR($H223="—",$H223=""),"—",MATCH($H223,IDX_SrcID,0))</f>
        <v>—</v>
      </c>
    </row>
    <row r="224" customFormat="false" ht="43.5" hidden="false" customHeight="true" outlineLevel="0" collapsed="false">
      <c r="A224" s="35" t="s">
        <v>3254</v>
      </c>
      <c r="B224" s="209" t="s">
        <v>2677</v>
      </c>
      <c r="C224" s="35" t="s">
        <v>3155</v>
      </c>
      <c r="D224" s="35" t="s">
        <v>2757</v>
      </c>
      <c r="E224" s="6" t="s">
        <v>257</v>
      </c>
      <c r="F224" s="35" t="s">
        <v>2965</v>
      </c>
      <c r="G224" s="209" t="s">
        <v>2679</v>
      </c>
      <c r="H224" s="35" t="s">
        <v>571</v>
      </c>
      <c r="I224" s="6" t="s">
        <v>571</v>
      </c>
      <c r="J224" s="35" t="s">
        <v>571</v>
      </c>
      <c r="K224" s="209"/>
      <c r="L224" s="209"/>
      <c r="M224" s="35" t="s">
        <v>571</v>
      </c>
      <c r="N224" s="214" t="s">
        <v>3252</v>
      </c>
      <c r="O224" s="6" t="s">
        <v>571</v>
      </c>
      <c r="P224" s="209" t="s">
        <v>2682</v>
      </c>
      <c r="Q224" s="40" t="n">
        <f aca="false">Arch!E21</f>
        <v>14976</v>
      </c>
      <c r="R224" s="35" t="s">
        <v>571</v>
      </c>
      <c r="S224" s="34" t="str">
        <f aca="false">IF(ISNUMBER($AF224),INDEX(IDX_SrcStat,$AF224),"—")</f>
        <v>—</v>
      </c>
      <c r="T224" s="34" t="str">
        <f aca="false">IF(ISNUMBER($AF224),INDEX(IDX_SrcGrade,$AF224),"—")</f>
        <v>—</v>
      </c>
      <c r="U224" s="34" t="s">
        <v>2912</v>
      </c>
      <c r="V224" s="183" t="n">
        <f aca="false">IF(AND($F224="原始數據",$U224&lt;&gt;"連結 SRC"),1,0)</f>
        <v>0</v>
      </c>
      <c r="W224" s="183" t="n">
        <f aca="false">IF(AND($F224="Analogy",OR($H224="—",$H224="")),1,0)</f>
        <v>0</v>
      </c>
      <c r="X224" s="183" t="n">
        <f aca="false">IF(AND(OR($F224="Analogy",$F224="Assumed"),$G224&lt;&gt;"低",$G224&lt;&gt;"高",NOT(ISNUMBER($K224)),NOT(ISNUMBER($L224)),OR($M224="—",$M224="")),1,0)</f>
        <v>0</v>
      </c>
      <c r="Y224" s="183" t="n">
        <f aca="false">IF(AND(OR($F224="Analogy",$F224="Assumed",$F224="Derived（待改公式）",$F224="Derived（公式）"),OR($N224="—",$N224="",$N224=0)),1,0)</f>
        <v>0</v>
      </c>
      <c r="Z224" s="183" t="n">
        <f aca="false">IF(AND($F224="Decision",OR($J224="—",$J224="")),1,0)</f>
        <v>0</v>
      </c>
      <c r="AA224" s="180" t="n">
        <f aca="false">IF(OR($J224="—",$J224=""),0,IF(COUNTIF(Decisions!$A$5:$A$300,$J224)=0,1,0))</f>
        <v>0</v>
      </c>
      <c r="AB224" s="183" t="n">
        <f aca="false">IF(AND($F224="原始數據",$S224&lt;&gt;"Active"),1,0)</f>
        <v>0</v>
      </c>
      <c r="AC224" s="183" t="n">
        <f aca="false">IF(AND(ISNUMBER($K224),ISNUMBER($L224),ISNUMBER($Q224)),IF(OR($Q224&lt;MIN($K224,$L224),$Q224&gt;MAX($K224,$L224)),1,0),0)</f>
        <v>0</v>
      </c>
      <c r="AD224" s="183" t="n">
        <f aca="false">IF(AND(ISNUMBER($T224),$P224="高"),IF($T224=3,1,0),0)</f>
        <v>0</v>
      </c>
      <c r="AE224" s="183" t="n">
        <f aca="false">IF($S224="不存在",1,0)</f>
        <v>0</v>
      </c>
      <c r="AF224" s="34" t="str">
        <f aca="false">IF(OR($H224="—",$H224=""),"—",MATCH($H224,IDX_SrcID,0))</f>
        <v>—</v>
      </c>
    </row>
    <row r="225" customFormat="false" ht="43.5" hidden="false" customHeight="true" outlineLevel="0" collapsed="false">
      <c r="A225" s="35" t="s">
        <v>3255</v>
      </c>
      <c r="B225" s="209" t="s">
        <v>2677</v>
      </c>
      <c r="C225" s="35" t="s">
        <v>3155</v>
      </c>
      <c r="D225" s="35" t="s">
        <v>3256</v>
      </c>
      <c r="E225" s="6" t="s">
        <v>260</v>
      </c>
      <c r="F225" s="35" t="s">
        <v>2965</v>
      </c>
      <c r="G225" s="209" t="s">
        <v>2679</v>
      </c>
      <c r="H225" s="35" t="s">
        <v>571</v>
      </c>
      <c r="I225" s="6" t="s">
        <v>571</v>
      </c>
      <c r="J225" s="35" t="s">
        <v>571</v>
      </c>
      <c r="K225" s="209"/>
      <c r="L225" s="209"/>
      <c r="M225" s="35" t="s">
        <v>571</v>
      </c>
      <c r="N225" s="214" t="s">
        <v>3252</v>
      </c>
      <c r="O225" s="6" t="s">
        <v>571</v>
      </c>
      <c r="P225" s="209" t="s">
        <v>2682</v>
      </c>
      <c r="Q225" s="40" t="n">
        <f aca="false">Arch!C22</f>
        <v>2795</v>
      </c>
      <c r="R225" s="35" t="s">
        <v>571</v>
      </c>
      <c r="S225" s="34" t="str">
        <f aca="false">IF(ISNUMBER($AF225),INDEX(IDX_SrcStat,$AF225),"—")</f>
        <v>—</v>
      </c>
      <c r="T225" s="34" t="str">
        <f aca="false">IF(ISNUMBER($AF225),INDEX(IDX_SrcGrade,$AF225),"—")</f>
        <v>—</v>
      </c>
      <c r="U225" s="34" t="s">
        <v>2912</v>
      </c>
      <c r="V225" s="183" t="n">
        <f aca="false">IF(AND($F225="原始數據",$U225&lt;&gt;"連結 SRC"),1,0)</f>
        <v>0</v>
      </c>
      <c r="W225" s="183" t="n">
        <f aca="false">IF(AND($F225="Analogy",OR($H225="—",$H225="")),1,0)</f>
        <v>0</v>
      </c>
      <c r="X225" s="183" t="n">
        <f aca="false">IF(AND(OR($F225="Analogy",$F225="Assumed"),$G225&lt;&gt;"低",$G225&lt;&gt;"高",NOT(ISNUMBER($K225)),NOT(ISNUMBER($L225)),OR($M225="—",$M225="")),1,0)</f>
        <v>0</v>
      </c>
      <c r="Y225" s="183" t="n">
        <f aca="false">IF(AND(OR($F225="Analogy",$F225="Assumed",$F225="Derived（待改公式）",$F225="Derived（公式）"),OR($N225="—",$N225="",$N225=0)),1,0)</f>
        <v>0</v>
      </c>
      <c r="Z225" s="183" t="n">
        <f aca="false">IF(AND($F225="Decision",OR($J225="—",$J225="")),1,0)</f>
        <v>0</v>
      </c>
      <c r="AA225" s="180" t="n">
        <f aca="false">IF(OR($J225="—",$J225=""),0,IF(COUNTIF(Decisions!$A$5:$A$300,$J225)=0,1,0))</f>
        <v>0</v>
      </c>
      <c r="AB225" s="183" t="n">
        <f aca="false">IF(AND($F225="原始數據",$S225&lt;&gt;"Active"),1,0)</f>
        <v>0</v>
      </c>
      <c r="AC225" s="183" t="n">
        <f aca="false">IF(AND(ISNUMBER($K225),ISNUMBER($L225),ISNUMBER($Q225)),IF(OR($Q225&lt;MIN($K225,$L225),$Q225&gt;MAX($K225,$L225)),1,0),0)</f>
        <v>0</v>
      </c>
      <c r="AD225" s="183" t="n">
        <f aca="false">IF(AND(ISNUMBER($T225),$P225="高"),IF($T225=3,1,0),0)</f>
        <v>0</v>
      </c>
      <c r="AE225" s="183" t="n">
        <f aca="false">IF($S225="不存在",1,0)</f>
        <v>0</v>
      </c>
      <c r="AF225" s="34" t="str">
        <f aca="false">IF(OR($H225="—",$H225=""),"—",MATCH($H225,IDX_SrcID,0))</f>
        <v>—</v>
      </c>
    </row>
    <row r="226" customFormat="false" ht="43.5" hidden="false" customHeight="true" outlineLevel="0" collapsed="false">
      <c r="A226" s="35" t="s">
        <v>3257</v>
      </c>
      <c r="B226" s="209" t="s">
        <v>2677</v>
      </c>
      <c r="C226" s="35" t="s">
        <v>3155</v>
      </c>
      <c r="D226" s="35" t="s">
        <v>3258</v>
      </c>
      <c r="E226" s="6" t="s">
        <v>260</v>
      </c>
      <c r="F226" s="35" t="s">
        <v>2965</v>
      </c>
      <c r="G226" s="209" t="s">
        <v>2679</v>
      </c>
      <c r="H226" s="35" t="s">
        <v>571</v>
      </c>
      <c r="I226" s="6" t="s">
        <v>571</v>
      </c>
      <c r="J226" s="35" t="s">
        <v>571</v>
      </c>
      <c r="K226" s="209"/>
      <c r="L226" s="209"/>
      <c r="M226" s="35" t="s">
        <v>571</v>
      </c>
      <c r="N226" s="214" t="s">
        <v>3252</v>
      </c>
      <c r="O226" s="6" t="s">
        <v>571</v>
      </c>
      <c r="P226" s="209" t="s">
        <v>2682</v>
      </c>
      <c r="Q226" s="40" t="n">
        <f aca="false">Arch!D22</f>
        <v>3965</v>
      </c>
      <c r="R226" s="35" t="s">
        <v>571</v>
      </c>
      <c r="S226" s="34" t="str">
        <f aca="false">IF(ISNUMBER($AF226),INDEX(IDX_SrcStat,$AF226),"—")</f>
        <v>—</v>
      </c>
      <c r="T226" s="34" t="str">
        <f aca="false">IF(ISNUMBER($AF226),INDEX(IDX_SrcGrade,$AF226),"—")</f>
        <v>—</v>
      </c>
      <c r="U226" s="34" t="s">
        <v>2912</v>
      </c>
      <c r="V226" s="183" t="n">
        <f aca="false">IF(AND($F226="原始數據",$U226&lt;&gt;"連結 SRC"),1,0)</f>
        <v>0</v>
      </c>
      <c r="W226" s="183" t="n">
        <f aca="false">IF(AND($F226="Analogy",OR($H226="—",$H226="")),1,0)</f>
        <v>0</v>
      </c>
      <c r="X226" s="183" t="n">
        <f aca="false">IF(AND(OR($F226="Analogy",$F226="Assumed"),$G226&lt;&gt;"低",$G226&lt;&gt;"高",NOT(ISNUMBER($K226)),NOT(ISNUMBER($L226)),OR($M226="—",$M226="")),1,0)</f>
        <v>0</v>
      </c>
      <c r="Y226" s="183" t="n">
        <f aca="false">IF(AND(OR($F226="Analogy",$F226="Assumed",$F226="Derived（待改公式）",$F226="Derived（公式）"),OR($N226="—",$N226="",$N226=0)),1,0)</f>
        <v>0</v>
      </c>
      <c r="Z226" s="183" t="n">
        <f aca="false">IF(AND($F226="Decision",OR($J226="—",$J226="")),1,0)</f>
        <v>0</v>
      </c>
      <c r="AA226" s="180" t="n">
        <f aca="false">IF(OR($J226="—",$J226=""),0,IF(COUNTIF(Decisions!$A$5:$A$300,$J226)=0,1,0))</f>
        <v>0</v>
      </c>
      <c r="AB226" s="183" t="n">
        <f aca="false">IF(AND($F226="原始數據",$S226&lt;&gt;"Active"),1,0)</f>
        <v>0</v>
      </c>
      <c r="AC226" s="183" t="n">
        <f aca="false">IF(AND(ISNUMBER($K226),ISNUMBER($L226),ISNUMBER($Q226)),IF(OR($Q226&lt;MIN($K226,$L226),$Q226&gt;MAX($K226,$L226)),1,0),0)</f>
        <v>0</v>
      </c>
      <c r="AD226" s="183" t="n">
        <f aca="false">IF(AND(ISNUMBER($T226),$P226="高"),IF($T226=3,1,0),0)</f>
        <v>0</v>
      </c>
      <c r="AE226" s="183" t="n">
        <f aca="false">IF($S226="不存在",1,0)</f>
        <v>0</v>
      </c>
      <c r="AF226" s="34" t="str">
        <f aca="false">IF(OR($H226="—",$H226=""),"—",MATCH($H226,IDX_SrcID,0))</f>
        <v>—</v>
      </c>
    </row>
    <row r="227" customFormat="false" ht="43.5" hidden="false" customHeight="true" outlineLevel="0" collapsed="false">
      <c r="A227" s="35" t="s">
        <v>3259</v>
      </c>
      <c r="B227" s="209" t="s">
        <v>2677</v>
      </c>
      <c r="C227" s="35" t="s">
        <v>3155</v>
      </c>
      <c r="D227" s="35" t="s">
        <v>3260</v>
      </c>
      <c r="E227" s="6" t="s">
        <v>260</v>
      </c>
      <c r="F227" s="35" t="s">
        <v>2965</v>
      </c>
      <c r="G227" s="209" t="s">
        <v>2679</v>
      </c>
      <c r="H227" s="35" t="s">
        <v>571</v>
      </c>
      <c r="I227" s="6" t="s">
        <v>571</v>
      </c>
      <c r="J227" s="35" t="s">
        <v>571</v>
      </c>
      <c r="K227" s="209"/>
      <c r="L227" s="209"/>
      <c r="M227" s="35" t="s">
        <v>571</v>
      </c>
      <c r="N227" s="214" t="s">
        <v>3252</v>
      </c>
      <c r="O227" s="6" t="s">
        <v>571</v>
      </c>
      <c r="P227" s="209" t="s">
        <v>2682</v>
      </c>
      <c r="Q227" s="40" t="n">
        <f aca="false">Arch!E22</f>
        <v>57600</v>
      </c>
      <c r="R227" s="35" t="s">
        <v>571</v>
      </c>
      <c r="S227" s="34" t="str">
        <f aca="false">IF(ISNUMBER($AF227),INDEX(IDX_SrcStat,$AF227),"—")</f>
        <v>—</v>
      </c>
      <c r="T227" s="34" t="str">
        <f aca="false">IF(ISNUMBER($AF227),INDEX(IDX_SrcGrade,$AF227),"—")</f>
        <v>—</v>
      </c>
      <c r="U227" s="34" t="s">
        <v>2912</v>
      </c>
      <c r="V227" s="183" t="n">
        <f aca="false">IF(AND($F227="原始數據",$U227&lt;&gt;"連結 SRC"),1,0)</f>
        <v>0</v>
      </c>
      <c r="W227" s="183" t="n">
        <f aca="false">IF(AND($F227="Analogy",OR($H227="—",$H227="")),1,0)</f>
        <v>0</v>
      </c>
      <c r="X227" s="183" t="n">
        <f aca="false">IF(AND(OR($F227="Analogy",$F227="Assumed"),$G227&lt;&gt;"低",$G227&lt;&gt;"高",NOT(ISNUMBER($K227)),NOT(ISNUMBER($L227)),OR($M227="—",$M227="")),1,0)</f>
        <v>0</v>
      </c>
      <c r="Y227" s="183" t="n">
        <f aca="false">IF(AND(OR($F227="Analogy",$F227="Assumed",$F227="Derived（待改公式）",$F227="Derived（公式）"),OR($N227="—",$N227="",$N227=0)),1,0)</f>
        <v>0</v>
      </c>
      <c r="Z227" s="183" t="n">
        <f aca="false">IF(AND($F227="Decision",OR($J227="—",$J227="")),1,0)</f>
        <v>0</v>
      </c>
      <c r="AA227" s="180" t="n">
        <f aca="false">IF(OR($J227="—",$J227=""),0,IF(COUNTIF(Decisions!$A$5:$A$300,$J227)=0,1,0))</f>
        <v>0</v>
      </c>
      <c r="AB227" s="183" t="n">
        <f aca="false">IF(AND($F227="原始數據",$S227&lt;&gt;"Active"),1,0)</f>
        <v>0</v>
      </c>
      <c r="AC227" s="183" t="n">
        <f aca="false">IF(AND(ISNUMBER($K227),ISNUMBER($L227),ISNUMBER($Q227)),IF(OR($Q227&lt;MIN($K227,$L227),$Q227&gt;MAX($K227,$L227)),1,0),0)</f>
        <v>0</v>
      </c>
      <c r="AD227" s="183" t="n">
        <f aca="false">IF(AND(ISNUMBER($T227),$P227="高"),IF($T227=3,1,0),0)</f>
        <v>0</v>
      </c>
      <c r="AE227" s="183" t="n">
        <f aca="false">IF($S227="不存在",1,0)</f>
        <v>0</v>
      </c>
      <c r="AF227" s="34" t="str">
        <f aca="false">IF(OR($H227="—",$H227=""),"—",MATCH($H227,IDX_SrcID,0))</f>
        <v>—</v>
      </c>
    </row>
    <row r="228" customFormat="false" ht="43.5" hidden="false" customHeight="true" outlineLevel="0" collapsed="false">
      <c r="A228" s="35" t="s">
        <v>3261</v>
      </c>
      <c r="B228" s="209" t="s">
        <v>2677</v>
      </c>
      <c r="C228" s="35" t="s">
        <v>3155</v>
      </c>
      <c r="D228" s="35" t="s">
        <v>2946</v>
      </c>
      <c r="E228" s="6" t="s">
        <v>262</v>
      </c>
      <c r="F228" s="35" t="s">
        <v>2965</v>
      </c>
      <c r="G228" s="209" t="s">
        <v>2679</v>
      </c>
      <c r="H228" s="35" t="s">
        <v>571</v>
      </c>
      <c r="I228" s="6" t="s">
        <v>571</v>
      </c>
      <c r="J228" s="35" t="s">
        <v>571</v>
      </c>
      <c r="K228" s="209"/>
      <c r="L228" s="209"/>
      <c r="M228" s="35" t="s">
        <v>571</v>
      </c>
      <c r="N228" s="214" t="s">
        <v>3252</v>
      </c>
      <c r="O228" s="6" t="s">
        <v>571</v>
      </c>
      <c r="P228" s="209" t="s">
        <v>2682</v>
      </c>
      <c r="Q228" s="40" t="n">
        <f aca="false">Arch!C23</f>
        <v>2795</v>
      </c>
      <c r="R228" s="35" t="s">
        <v>571</v>
      </c>
      <c r="S228" s="34" t="str">
        <f aca="false">IF(ISNUMBER($AF228),INDEX(IDX_SrcStat,$AF228),"—")</f>
        <v>—</v>
      </c>
      <c r="T228" s="34" t="str">
        <f aca="false">IF(ISNUMBER($AF228),INDEX(IDX_SrcGrade,$AF228),"—")</f>
        <v>—</v>
      </c>
      <c r="U228" s="34" t="s">
        <v>2912</v>
      </c>
      <c r="V228" s="183" t="n">
        <f aca="false">IF(AND($F228="原始數據",$U228&lt;&gt;"連結 SRC"),1,0)</f>
        <v>0</v>
      </c>
      <c r="W228" s="183" t="n">
        <f aca="false">IF(AND($F228="Analogy",OR($H228="—",$H228="")),1,0)</f>
        <v>0</v>
      </c>
      <c r="X228" s="183" t="n">
        <f aca="false">IF(AND(OR($F228="Analogy",$F228="Assumed"),$G228&lt;&gt;"低",$G228&lt;&gt;"高",NOT(ISNUMBER($K228)),NOT(ISNUMBER($L228)),OR($M228="—",$M228="")),1,0)</f>
        <v>0</v>
      </c>
      <c r="Y228" s="183" t="n">
        <f aca="false">IF(AND(OR($F228="Analogy",$F228="Assumed",$F228="Derived（待改公式）",$F228="Derived（公式）"),OR($N228="—",$N228="",$N228=0)),1,0)</f>
        <v>0</v>
      </c>
      <c r="Z228" s="183" t="n">
        <f aca="false">IF(AND($F228="Decision",OR($J228="—",$J228="")),1,0)</f>
        <v>0</v>
      </c>
      <c r="AA228" s="180" t="n">
        <f aca="false">IF(OR($J228="—",$J228=""),0,IF(COUNTIF(Decisions!$A$5:$A$300,$J228)=0,1,0))</f>
        <v>0</v>
      </c>
      <c r="AB228" s="183" t="n">
        <f aca="false">IF(AND($F228="原始數據",$S228&lt;&gt;"Active"),1,0)</f>
        <v>0</v>
      </c>
      <c r="AC228" s="183" t="n">
        <f aca="false">IF(AND(ISNUMBER($K228),ISNUMBER($L228),ISNUMBER($Q228)),IF(OR($Q228&lt;MIN($K228,$L228),$Q228&gt;MAX($K228,$L228)),1,0),0)</f>
        <v>0</v>
      </c>
      <c r="AD228" s="183" t="n">
        <f aca="false">IF(AND(ISNUMBER($T228),$P228="高"),IF($T228=3,1,0),0)</f>
        <v>0</v>
      </c>
      <c r="AE228" s="183" t="n">
        <f aca="false">IF($S228="不存在",1,0)</f>
        <v>0</v>
      </c>
      <c r="AF228" s="34" t="str">
        <f aca="false">IF(OR($H228="—",$H228=""),"—",MATCH($H228,IDX_SrcID,0))</f>
        <v>—</v>
      </c>
    </row>
    <row r="229" customFormat="false" ht="43.5" hidden="false" customHeight="true" outlineLevel="0" collapsed="false">
      <c r="A229" s="35" t="s">
        <v>3262</v>
      </c>
      <c r="B229" s="209" t="s">
        <v>2677</v>
      </c>
      <c r="C229" s="35" t="s">
        <v>3155</v>
      </c>
      <c r="D229" s="35" t="s">
        <v>2809</v>
      </c>
      <c r="E229" s="6" t="s">
        <v>262</v>
      </c>
      <c r="F229" s="35" t="s">
        <v>2965</v>
      </c>
      <c r="G229" s="209" t="s">
        <v>2679</v>
      </c>
      <c r="H229" s="35" t="s">
        <v>571</v>
      </c>
      <c r="I229" s="6" t="s">
        <v>571</v>
      </c>
      <c r="J229" s="35" t="s">
        <v>571</v>
      </c>
      <c r="K229" s="209"/>
      <c r="L229" s="209"/>
      <c r="M229" s="35" t="s">
        <v>571</v>
      </c>
      <c r="N229" s="214" t="s">
        <v>3252</v>
      </c>
      <c r="O229" s="6" t="s">
        <v>571</v>
      </c>
      <c r="P229" s="209" t="s">
        <v>2682</v>
      </c>
      <c r="Q229" s="40" t="n">
        <f aca="false">Arch!D23</f>
        <v>3965</v>
      </c>
      <c r="R229" s="35" t="s">
        <v>571</v>
      </c>
      <c r="S229" s="34" t="str">
        <f aca="false">IF(ISNUMBER($AF229),INDEX(IDX_SrcStat,$AF229),"—")</f>
        <v>—</v>
      </c>
      <c r="T229" s="34" t="str">
        <f aca="false">IF(ISNUMBER($AF229),INDEX(IDX_SrcGrade,$AF229),"—")</f>
        <v>—</v>
      </c>
      <c r="U229" s="34" t="s">
        <v>2912</v>
      </c>
      <c r="V229" s="183" t="n">
        <f aca="false">IF(AND($F229="原始數據",$U229&lt;&gt;"連結 SRC"),1,0)</f>
        <v>0</v>
      </c>
      <c r="W229" s="183" t="n">
        <f aca="false">IF(AND($F229="Analogy",OR($H229="—",$H229="")),1,0)</f>
        <v>0</v>
      </c>
      <c r="X229" s="183" t="n">
        <f aca="false">IF(AND(OR($F229="Analogy",$F229="Assumed"),$G229&lt;&gt;"低",$G229&lt;&gt;"高",NOT(ISNUMBER($K229)),NOT(ISNUMBER($L229)),OR($M229="—",$M229="")),1,0)</f>
        <v>0</v>
      </c>
      <c r="Y229" s="183" t="n">
        <f aca="false">IF(AND(OR($F229="Analogy",$F229="Assumed",$F229="Derived（待改公式）",$F229="Derived（公式）"),OR($N229="—",$N229="",$N229=0)),1,0)</f>
        <v>0</v>
      </c>
      <c r="Z229" s="183" t="n">
        <f aca="false">IF(AND($F229="Decision",OR($J229="—",$J229="")),1,0)</f>
        <v>0</v>
      </c>
      <c r="AA229" s="180" t="n">
        <f aca="false">IF(OR($J229="—",$J229=""),0,IF(COUNTIF(Decisions!$A$5:$A$300,$J229)=0,1,0))</f>
        <v>0</v>
      </c>
      <c r="AB229" s="183" t="n">
        <f aca="false">IF(AND($F229="原始數據",$S229&lt;&gt;"Active"),1,0)</f>
        <v>0</v>
      </c>
      <c r="AC229" s="183" t="n">
        <f aca="false">IF(AND(ISNUMBER($K229),ISNUMBER($L229),ISNUMBER($Q229)),IF(OR($Q229&lt;MIN($K229,$L229),$Q229&gt;MAX($K229,$L229)),1,0),0)</f>
        <v>0</v>
      </c>
      <c r="AD229" s="183" t="n">
        <f aca="false">IF(AND(ISNUMBER($T229),$P229="高"),IF($T229=3,1,0),0)</f>
        <v>0</v>
      </c>
      <c r="AE229" s="183" t="n">
        <f aca="false">IF($S229="不存在",1,0)</f>
        <v>0</v>
      </c>
      <c r="AF229" s="34" t="str">
        <f aca="false">IF(OR($H229="—",$H229=""),"—",MATCH($H229,IDX_SrcID,0))</f>
        <v>—</v>
      </c>
    </row>
    <row r="230" customFormat="false" ht="43.5" hidden="false" customHeight="true" outlineLevel="0" collapsed="false">
      <c r="A230" s="35" t="s">
        <v>3263</v>
      </c>
      <c r="B230" s="209" t="s">
        <v>2677</v>
      </c>
      <c r="C230" s="35" t="s">
        <v>3155</v>
      </c>
      <c r="D230" s="35" t="s">
        <v>2814</v>
      </c>
      <c r="E230" s="6" t="s">
        <v>262</v>
      </c>
      <c r="F230" s="35" t="s">
        <v>2965</v>
      </c>
      <c r="G230" s="209" t="s">
        <v>2679</v>
      </c>
      <c r="H230" s="35" t="s">
        <v>571</v>
      </c>
      <c r="I230" s="6" t="s">
        <v>571</v>
      </c>
      <c r="J230" s="35" t="s">
        <v>571</v>
      </c>
      <c r="K230" s="209"/>
      <c r="L230" s="209"/>
      <c r="M230" s="35" t="s">
        <v>571</v>
      </c>
      <c r="N230" s="214" t="s">
        <v>3252</v>
      </c>
      <c r="O230" s="6" t="s">
        <v>571</v>
      </c>
      <c r="P230" s="209" t="s">
        <v>2682</v>
      </c>
      <c r="Q230" s="40" t="n">
        <f aca="false">Arch!E23</f>
        <v>204800</v>
      </c>
      <c r="R230" s="35" t="s">
        <v>571</v>
      </c>
      <c r="S230" s="34" t="str">
        <f aca="false">IF(ISNUMBER($AF230),INDEX(IDX_SrcStat,$AF230),"—")</f>
        <v>—</v>
      </c>
      <c r="T230" s="34" t="str">
        <f aca="false">IF(ISNUMBER($AF230),INDEX(IDX_SrcGrade,$AF230),"—")</f>
        <v>—</v>
      </c>
      <c r="U230" s="34" t="s">
        <v>2912</v>
      </c>
      <c r="V230" s="183" t="n">
        <f aca="false">IF(AND($F230="原始數據",$U230&lt;&gt;"連結 SRC"),1,0)</f>
        <v>0</v>
      </c>
      <c r="W230" s="183" t="n">
        <f aca="false">IF(AND($F230="Analogy",OR($H230="—",$H230="")),1,0)</f>
        <v>0</v>
      </c>
      <c r="X230" s="183" t="n">
        <f aca="false">IF(AND(OR($F230="Analogy",$F230="Assumed"),$G230&lt;&gt;"低",$G230&lt;&gt;"高",NOT(ISNUMBER($K230)),NOT(ISNUMBER($L230)),OR($M230="—",$M230="")),1,0)</f>
        <v>0</v>
      </c>
      <c r="Y230" s="183" t="n">
        <f aca="false">IF(AND(OR($F230="Analogy",$F230="Assumed",$F230="Derived（待改公式）",$F230="Derived（公式）"),OR($N230="—",$N230="",$N230=0)),1,0)</f>
        <v>0</v>
      </c>
      <c r="Z230" s="183" t="n">
        <f aca="false">IF(AND($F230="Decision",OR($J230="—",$J230="")),1,0)</f>
        <v>0</v>
      </c>
      <c r="AA230" s="180" t="n">
        <f aca="false">IF(OR($J230="—",$J230=""),0,IF(COUNTIF(Decisions!$A$5:$A$300,$J230)=0,1,0))</f>
        <v>0</v>
      </c>
      <c r="AB230" s="183" t="n">
        <f aca="false">IF(AND($F230="原始數據",$S230&lt;&gt;"Active"),1,0)</f>
        <v>0</v>
      </c>
      <c r="AC230" s="183" t="n">
        <f aca="false">IF(AND(ISNUMBER($K230),ISNUMBER($L230),ISNUMBER($Q230)),IF(OR($Q230&lt;MIN($K230,$L230),$Q230&gt;MAX($K230,$L230)),1,0),0)</f>
        <v>0</v>
      </c>
      <c r="AD230" s="183" t="n">
        <f aca="false">IF(AND(ISNUMBER($T230),$P230="高"),IF($T230=3,1,0),0)</f>
        <v>0</v>
      </c>
      <c r="AE230" s="183" t="n">
        <f aca="false">IF($S230="不存在",1,0)</f>
        <v>0</v>
      </c>
      <c r="AF230" s="34" t="str">
        <f aca="false">IF(OR($H230="—",$H230=""),"—",MATCH($H230,IDX_SrcID,0))</f>
        <v>—</v>
      </c>
    </row>
    <row r="231" customFormat="false" ht="29.25" hidden="false" customHeight="true" outlineLevel="0" collapsed="false">
      <c r="A231" s="35" t="s">
        <v>3264</v>
      </c>
      <c r="B231" s="209" t="s">
        <v>2677</v>
      </c>
      <c r="C231" s="35" t="s">
        <v>3265</v>
      </c>
      <c r="D231" s="35" t="s">
        <v>2836</v>
      </c>
      <c r="E231" s="6" t="s">
        <v>300</v>
      </c>
      <c r="F231" s="35" t="s">
        <v>76</v>
      </c>
      <c r="G231" s="209" t="s">
        <v>2679</v>
      </c>
      <c r="H231" s="35" t="s">
        <v>3266</v>
      </c>
      <c r="I231" s="18" t="s">
        <v>3267</v>
      </c>
      <c r="J231" s="35" t="s">
        <v>571</v>
      </c>
      <c r="K231" s="211" t="n">
        <v>1</v>
      </c>
      <c r="L231" s="211" t="n">
        <v>5</v>
      </c>
      <c r="M231" s="35" t="s">
        <v>3268</v>
      </c>
      <c r="N231" s="210" t="str">
        <f aca="false">Serving!$F$6&amp;" ｜補充旗標（IF 全欄分段，非分段依據）：中"</f>
        <v>DeepSeek MTP；區間 1–5 ｜補充旗標（IF 全欄分段，非分段依據）：中</v>
      </c>
      <c r="O231" s="6" t="s">
        <v>571</v>
      </c>
      <c r="P231" s="209" t="s">
        <v>1099</v>
      </c>
      <c r="Q231" s="180" t="n">
        <f aca="false">Serving!C6</f>
        <v>3</v>
      </c>
      <c r="R231" s="182" t="n">
        <f aca="false">SRC_PERF_035</f>
        <v>3</v>
      </c>
      <c r="S231" s="34" t="str">
        <f aca="false">IF(ISNUMBER($AF231),INDEX(IDX_SrcStat,$AF231),"—")</f>
        <v>Active</v>
      </c>
      <c r="T231" s="34" t="n">
        <f aca="false">IF(ISNUMBER($AF231),INDEX(IDX_SrcGrade,$AF231),"—")</f>
        <v>1</v>
      </c>
      <c r="U231" s="34" t="s">
        <v>2683</v>
      </c>
      <c r="V231" s="183" t="n">
        <f aca="false">IF(AND($F231="原始數據",$U231&lt;&gt;"連結 SRC"),1,0)</f>
        <v>0</v>
      </c>
      <c r="W231" s="183" t="n">
        <f aca="false">IF(AND($F231="Analogy",OR($H231="—",$H231="")),1,0)</f>
        <v>0</v>
      </c>
      <c r="X231" s="183" t="n">
        <f aca="false">IF(AND(OR($F231="Analogy",$F231="Assumed"),$G231&lt;&gt;"低",$G231&lt;&gt;"高",NOT(ISNUMBER($K231)),NOT(ISNUMBER($L231)),OR($M231="—",$M231="")),1,0)</f>
        <v>0</v>
      </c>
      <c r="Y231" s="183" t="n">
        <f aca="false">IF(AND(OR($F231="Analogy",$F231="Assumed",$F231="Derived（待改公式）",$F231="Derived（公式）"),OR($N231="—",$N231="",$N231=0)),1,0)</f>
        <v>0</v>
      </c>
      <c r="Z231" s="183" t="n">
        <f aca="false">IF(AND($F231="Decision",OR($J231="—",$J231="")),1,0)</f>
        <v>0</v>
      </c>
      <c r="AA231" s="180" t="n">
        <f aca="false">IF(OR($J231="—",$J231=""),0,IF(COUNTIF(Decisions!$A$5:$A$300,$J231)=0,1,0))</f>
        <v>0</v>
      </c>
      <c r="AB231" s="183" t="n">
        <f aca="false">IF(AND($F231="原始數據",$S231&lt;&gt;"Active"),1,0)</f>
        <v>0</v>
      </c>
      <c r="AC231" s="183" t="n">
        <f aca="false">IF(AND(ISNUMBER($K231),ISNUMBER($L231),ISNUMBER($Q231)),IF(OR($Q231&lt;MIN($K231,$L231),$Q231&gt;MAX($K231,$L231)),1,0),0)</f>
        <v>0</v>
      </c>
      <c r="AD231" s="183" t="n">
        <f aca="false">IF(AND(ISNUMBER($T231),$P231="高"),IF($T231=3,1,0),0)</f>
        <v>0</v>
      </c>
      <c r="AE231" s="183" t="n">
        <f aca="false">IF($S231="不存在",1,0)</f>
        <v>0</v>
      </c>
      <c r="AF231" s="34" t="n">
        <f aca="false">IF(OR($H231="—",$H231=""),"—",MATCH($H231,IDX_SrcID,0))</f>
        <v>316</v>
      </c>
    </row>
    <row r="232" customFormat="false" ht="15" hidden="false" customHeight="true" outlineLevel="0" collapsed="false">
      <c r="A232" s="35" t="s">
        <v>3269</v>
      </c>
      <c r="B232" s="209" t="s">
        <v>2677</v>
      </c>
      <c r="C232" s="35" t="s">
        <v>3265</v>
      </c>
      <c r="D232" s="35" t="s">
        <v>3160</v>
      </c>
      <c r="E232" s="18" t="s">
        <v>3270</v>
      </c>
      <c r="F232" s="209" t="s">
        <v>290</v>
      </c>
      <c r="G232" s="209" t="s">
        <v>2679</v>
      </c>
      <c r="H232" s="35" t="s">
        <v>3271</v>
      </c>
      <c r="I232" s="18" t="s">
        <v>2714</v>
      </c>
      <c r="J232" s="35" t="s">
        <v>571</v>
      </c>
      <c r="K232" s="209"/>
      <c r="L232" s="209"/>
      <c r="M232" s="35" t="s">
        <v>571</v>
      </c>
      <c r="N232" s="18" t="s">
        <v>2900</v>
      </c>
      <c r="O232" s="6" t="s">
        <v>571</v>
      </c>
      <c r="P232" s="209" t="s">
        <v>2738</v>
      </c>
      <c r="Q232" s="174" t="n">
        <f aca="false">Serving!C7</f>
        <v>0.7</v>
      </c>
      <c r="R232" s="182" t="n">
        <f aca="false">SRC_PERF_005</f>
        <v>0.7</v>
      </c>
      <c r="S232" s="34" t="str">
        <f aca="false">IF(ISNUMBER($AF232),INDEX(IDX_SrcStat,$AF232),"—")</f>
        <v>Active</v>
      </c>
      <c r="T232" s="34" t="n">
        <f aca="false">IF(ISNUMBER($AF232),INDEX(IDX_SrcGrade,$AF232),"—")</f>
        <v>1</v>
      </c>
      <c r="U232" s="34" t="s">
        <v>2716</v>
      </c>
      <c r="V232" s="183" t="n">
        <f aca="false">IF(AND($F232="原始數據",$U232&lt;&gt;"連結 SRC"),1,0)</f>
        <v>0</v>
      </c>
      <c r="W232" s="183" t="n">
        <f aca="false">IF(AND($F232="Analogy",OR($H232="—",$H232="")),1,0)</f>
        <v>0</v>
      </c>
      <c r="X232" s="183" t="n">
        <f aca="false">IF(AND(OR($F232="Analogy",$F232="Assumed"),$G232&lt;&gt;"低",$G232&lt;&gt;"高",NOT(ISNUMBER($K232)),NOT(ISNUMBER($L232)),OR($M232="—",$M232="")),1,0)</f>
        <v>0</v>
      </c>
      <c r="Y232" s="183" t="n">
        <f aca="false">IF(AND(OR($F232="Analogy",$F232="Assumed",$F232="Derived（待改公式）",$F232="Derived（公式）"),OR($N232="—",$N232="",$N232=0)),1,0)</f>
        <v>0</v>
      </c>
      <c r="Z232" s="183" t="n">
        <f aca="false">IF(AND($F232="Decision",OR($J232="—",$J232="")),1,0)</f>
        <v>0</v>
      </c>
      <c r="AA232" s="180" t="n">
        <f aca="false">IF(OR($J232="—",$J232=""),0,IF(COUNTIF(Decisions!$A$5:$A$300,$J232)=0,1,0))</f>
        <v>0</v>
      </c>
      <c r="AB232" s="183" t="n">
        <f aca="false">IF(AND($F232="原始數據",$S232&lt;&gt;"Active"),1,0)</f>
        <v>0</v>
      </c>
      <c r="AC232" s="183" t="n">
        <f aca="false">IF(AND(ISNUMBER($K232),ISNUMBER($L232),ISNUMBER($Q232)),IF(OR($Q232&lt;MIN($K232,$L232),$Q232&gt;MAX($K232,$L232)),1,0),0)</f>
        <v>0</v>
      </c>
      <c r="AD232" s="183" t="n">
        <f aca="false">IF(AND(ISNUMBER($T232),$P232="高"),IF($T232=3,1,0),0)</f>
        <v>0</v>
      </c>
      <c r="AE232" s="183" t="n">
        <f aca="false">IF($S232="不存在",1,0)</f>
        <v>0</v>
      </c>
      <c r="AF232" s="34" t="n">
        <f aca="false">IF(OR($H232="—",$H232=""),"—",MATCH($H232,IDX_SrcID,0))</f>
        <v>286</v>
      </c>
    </row>
    <row r="233" customFormat="false" ht="29.25" hidden="false" customHeight="true" outlineLevel="0" collapsed="false">
      <c r="A233" s="35" t="s">
        <v>3272</v>
      </c>
      <c r="B233" s="209" t="s">
        <v>2677</v>
      </c>
      <c r="C233" s="35" t="s">
        <v>3265</v>
      </c>
      <c r="D233" s="35" t="s">
        <v>2863</v>
      </c>
      <c r="E233" s="6" t="s">
        <v>307</v>
      </c>
      <c r="F233" s="35" t="s">
        <v>72</v>
      </c>
      <c r="G233" s="209" t="s">
        <v>2679</v>
      </c>
      <c r="H233" s="35" t="s">
        <v>571</v>
      </c>
      <c r="I233" s="6" t="s">
        <v>571</v>
      </c>
      <c r="J233" s="35" t="s">
        <v>571</v>
      </c>
      <c r="K233" s="211" t="n">
        <v>0.05</v>
      </c>
      <c r="L233" s="211" t="n">
        <v>0.2</v>
      </c>
      <c r="M233" s="35" t="s">
        <v>3273</v>
      </c>
      <c r="N233" s="210" t="str">
        <f aca="false">Serving!$F$9&amp;" ｜補充旗標（IF 全欄分段，非分段依據）：中"</f>
        <v>區間 5–20% ｜補充旗標（IF 全欄分段，非分段依據）：中</v>
      </c>
      <c r="O233" s="6" t="s">
        <v>571</v>
      </c>
      <c r="P233" s="209" t="s">
        <v>1099</v>
      </c>
      <c r="Q233" s="174" t="n">
        <f aca="false">Serving!C9</f>
        <v>0.1</v>
      </c>
      <c r="R233" s="35" t="s">
        <v>571</v>
      </c>
      <c r="S233" s="34" t="str">
        <f aca="false">IF(ISNUMBER($AF233),INDEX(IDX_SrcStat,$AF233),"—")</f>
        <v>—</v>
      </c>
      <c r="T233" s="34" t="str">
        <f aca="false">IF(ISNUMBER($AF233),INDEX(IDX_SrcGrade,$AF233),"—")</f>
        <v>—</v>
      </c>
      <c r="U233" s="34" t="s">
        <v>2683</v>
      </c>
      <c r="V233" s="183" t="n">
        <f aca="false">IF(AND($F233="原始數據",$U233&lt;&gt;"連結 SRC"),1,0)</f>
        <v>0</v>
      </c>
      <c r="W233" s="183" t="n">
        <f aca="false">IF(AND($F233="Analogy",OR($H233="—",$H233="")),1,0)</f>
        <v>0</v>
      </c>
      <c r="X233" s="183" t="n">
        <f aca="false">IF(AND(OR($F233="Analogy",$F233="Assumed"),$G233&lt;&gt;"低",$G233&lt;&gt;"高",NOT(ISNUMBER($K233)),NOT(ISNUMBER($L233)),OR($M233="—",$M233="")),1,0)</f>
        <v>0</v>
      </c>
      <c r="Y233" s="183" t="n">
        <f aca="false">IF(AND(OR($F233="Analogy",$F233="Assumed",$F233="Derived（待改公式）",$F233="Derived（公式）"),OR($N233="—",$N233="",$N233=0)),1,0)</f>
        <v>0</v>
      </c>
      <c r="Z233" s="183" t="n">
        <f aca="false">IF(AND($F233="Decision",OR($J233="—",$J233="")),1,0)</f>
        <v>0</v>
      </c>
      <c r="AA233" s="180" t="n">
        <f aca="false">IF(OR($J233="—",$J233=""),0,IF(COUNTIF(Decisions!$A$5:$A$300,$J233)=0,1,0))</f>
        <v>0</v>
      </c>
      <c r="AB233" s="183" t="n">
        <f aca="false">IF(AND($F233="原始數據",$S233&lt;&gt;"Active"),1,0)</f>
        <v>0</v>
      </c>
      <c r="AC233" s="183" t="n">
        <f aca="false">IF(AND(ISNUMBER($K233),ISNUMBER($L233),ISNUMBER($Q233)),IF(OR($Q233&lt;MIN($K233,$L233),$Q233&gt;MAX($K233,$L233)),1,0),0)</f>
        <v>0</v>
      </c>
      <c r="AD233" s="183" t="n">
        <f aca="false">IF(AND(ISNUMBER($T233),$P233="高"),IF($T233=3,1,0),0)</f>
        <v>0</v>
      </c>
      <c r="AE233" s="183" t="n">
        <f aca="false">IF($S233="不存在",1,0)</f>
        <v>0</v>
      </c>
      <c r="AF233" s="34" t="str">
        <f aca="false">IF(OR($H233="—",$H233=""),"—",MATCH($H233,IDX_SrcID,0))</f>
        <v>—</v>
      </c>
    </row>
    <row r="234" customFormat="false" ht="15" hidden="false" customHeight="true" outlineLevel="0" collapsed="false">
      <c r="A234" s="35" t="s">
        <v>3274</v>
      </c>
      <c r="B234" s="209" t="s">
        <v>2677</v>
      </c>
      <c r="C234" s="35" t="s">
        <v>3265</v>
      </c>
      <c r="D234" s="35" t="s">
        <v>2883</v>
      </c>
      <c r="E234" s="18" t="s">
        <v>3275</v>
      </c>
      <c r="F234" s="35" t="s">
        <v>72</v>
      </c>
      <c r="G234" s="209" t="s">
        <v>2679</v>
      </c>
      <c r="H234" s="35" t="s">
        <v>571</v>
      </c>
      <c r="I234" s="6" t="s">
        <v>571</v>
      </c>
      <c r="J234" s="35" t="s">
        <v>571</v>
      </c>
      <c r="K234" s="211" t="n">
        <v>0.1</v>
      </c>
      <c r="L234" s="211" t="n">
        <v>0.3</v>
      </c>
      <c r="M234" s="35" t="s">
        <v>3276</v>
      </c>
      <c r="N234" s="210" t="str">
        <f aca="false">Serving!$F$10&amp;" ｜補充旗標（IF 全欄分段，非分段依據）：高"</f>
        <v>超過時自動以注意力 TP 切分 ｜補充旗標（IF 全欄分段，非分段依據）：高</v>
      </c>
      <c r="O234" s="6" t="s">
        <v>571</v>
      </c>
      <c r="P234" s="209" t="s">
        <v>2738</v>
      </c>
      <c r="Q234" s="174" t="n">
        <f aca="false">Serving!C10</f>
        <v>0.2</v>
      </c>
      <c r="R234" s="35" t="s">
        <v>571</v>
      </c>
      <c r="S234" s="34" t="str">
        <f aca="false">IF(ISNUMBER($AF234),INDEX(IDX_SrcStat,$AF234),"—")</f>
        <v>—</v>
      </c>
      <c r="T234" s="34" t="str">
        <f aca="false">IF(ISNUMBER($AF234),INDEX(IDX_SrcGrade,$AF234),"—")</f>
        <v>—</v>
      </c>
      <c r="U234" s="34" t="s">
        <v>2683</v>
      </c>
      <c r="V234" s="183" t="n">
        <f aca="false">IF(AND($F234="原始數據",$U234&lt;&gt;"連結 SRC"),1,0)</f>
        <v>0</v>
      </c>
      <c r="W234" s="183" t="n">
        <f aca="false">IF(AND($F234="Analogy",OR($H234="—",$H234="")),1,0)</f>
        <v>0</v>
      </c>
      <c r="X234" s="183" t="n">
        <f aca="false">IF(AND(OR($F234="Analogy",$F234="Assumed"),$G234&lt;&gt;"低",$G234&lt;&gt;"高",NOT(ISNUMBER($K234)),NOT(ISNUMBER($L234)),OR($M234="—",$M234="")),1,0)</f>
        <v>0</v>
      </c>
      <c r="Y234" s="183" t="n">
        <f aca="false">IF(AND(OR($F234="Analogy",$F234="Assumed",$F234="Derived（待改公式）",$F234="Derived（公式）"),OR($N234="—",$N234="",$N234=0)),1,0)</f>
        <v>0</v>
      </c>
      <c r="Z234" s="183" t="n">
        <f aca="false">IF(AND($F234="Decision",OR($J234="—",$J234="")),1,0)</f>
        <v>0</v>
      </c>
      <c r="AA234" s="180" t="n">
        <f aca="false">IF(OR($J234="—",$J234=""),0,IF(COUNTIF(Decisions!$A$5:$A$300,$J234)=0,1,0))</f>
        <v>0</v>
      </c>
      <c r="AB234" s="183" t="n">
        <f aca="false">IF(AND($F234="原始數據",$S234&lt;&gt;"Active"),1,0)</f>
        <v>0</v>
      </c>
      <c r="AC234" s="183" t="n">
        <f aca="false">IF(AND(ISNUMBER($K234),ISNUMBER($L234),ISNUMBER($Q234)),IF(OR($Q234&lt;MIN($K234,$L234),$Q234&gt;MAX($K234,$L234)),1,0),0)</f>
        <v>0</v>
      </c>
      <c r="AD234" s="183" t="n">
        <f aca="false">IF(AND(ISNUMBER($T234),$P234="高"),IF($T234=3,1,0),0)</f>
        <v>0</v>
      </c>
      <c r="AE234" s="183" t="n">
        <f aca="false">IF($S234="不存在",1,0)</f>
        <v>0</v>
      </c>
      <c r="AF234" s="34" t="str">
        <f aca="false">IF(OR($H234="—",$H234=""),"—",MATCH($H234,IDX_SrcID,0))</f>
        <v>—</v>
      </c>
    </row>
    <row r="235" customFormat="false" ht="15" hidden="false" customHeight="true" outlineLevel="0" collapsed="false">
      <c r="A235" s="35" t="s">
        <v>3277</v>
      </c>
      <c r="B235" s="209" t="s">
        <v>2677</v>
      </c>
      <c r="C235" s="35" t="s">
        <v>3265</v>
      </c>
      <c r="D235" s="35" t="s">
        <v>2894</v>
      </c>
      <c r="E235" s="18" t="s">
        <v>3278</v>
      </c>
      <c r="F235" s="35" t="s">
        <v>72</v>
      </c>
      <c r="G235" s="209" t="s">
        <v>2679</v>
      </c>
      <c r="H235" s="35" t="s">
        <v>571</v>
      </c>
      <c r="I235" s="6" t="s">
        <v>571</v>
      </c>
      <c r="J235" s="35" t="s">
        <v>571</v>
      </c>
      <c r="K235" s="211" t="n">
        <v>0.3</v>
      </c>
      <c r="L235" s="211" t="n">
        <v>0.5</v>
      </c>
      <c r="M235" s="35" t="s">
        <v>3279</v>
      </c>
      <c r="N235" s="210" t="str">
        <f aca="false">Serving!$F$11&amp;" ｜補充旗標（IF 全欄分段，非分段依據）：高"</f>
        <v>超過時自動加寬 EP ｜補充旗標（IF 全欄分段，非分段依據）：高</v>
      </c>
      <c r="O235" s="6" t="s">
        <v>571</v>
      </c>
      <c r="P235" s="209" t="s">
        <v>1099</v>
      </c>
      <c r="Q235" s="174" t="n">
        <f aca="false">Serving!C11</f>
        <v>0.4</v>
      </c>
      <c r="R235" s="35" t="s">
        <v>571</v>
      </c>
      <c r="S235" s="34" t="str">
        <f aca="false">IF(ISNUMBER($AF235),INDEX(IDX_SrcStat,$AF235),"—")</f>
        <v>—</v>
      </c>
      <c r="T235" s="34" t="str">
        <f aca="false">IF(ISNUMBER($AF235),INDEX(IDX_SrcGrade,$AF235),"—")</f>
        <v>—</v>
      </c>
      <c r="U235" s="34" t="s">
        <v>2683</v>
      </c>
      <c r="V235" s="183" t="n">
        <f aca="false">IF(AND($F235="原始數據",$U235&lt;&gt;"連結 SRC"),1,0)</f>
        <v>0</v>
      </c>
      <c r="W235" s="183" t="n">
        <f aca="false">IF(AND($F235="Analogy",OR($H235="—",$H235="")),1,0)</f>
        <v>0</v>
      </c>
      <c r="X235" s="183" t="n">
        <f aca="false">IF(AND(OR($F235="Analogy",$F235="Assumed"),$G235&lt;&gt;"低",$G235&lt;&gt;"高",NOT(ISNUMBER($K235)),NOT(ISNUMBER($L235)),OR($M235="—",$M235="")),1,0)</f>
        <v>0</v>
      </c>
      <c r="Y235" s="183" t="n">
        <f aca="false">IF(AND(OR($F235="Analogy",$F235="Assumed",$F235="Derived（待改公式）",$F235="Derived（公式）"),OR($N235="—",$N235="",$N235=0)),1,0)</f>
        <v>0</v>
      </c>
      <c r="Z235" s="183" t="n">
        <f aca="false">IF(AND($F235="Decision",OR($J235="—",$J235="")),1,0)</f>
        <v>0</v>
      </c>
      <c r="AA235" s="180" t="n">
        <f aca="false">IF(OR($J235="—",$J235=""),0,IF(COUNTIF(Decisions!$A$5:$A$300,$J235)=0,1,0))</f>
        <v>0</v>
      </c>
      <c r="AB235" s="183" t="n">
        <f aca="false">IF(AND($F235="原始數據",$S235&lt;&gt;"Active"),1,0)</f>
        <v>0</v>
      </c>
      <c r="AC235" s="183" t="n">
        <f aca="false">IF(AND(ISNUMBER($K235),ISNUMBER($L235),ISNUMBER($Q235)),IF(OR($Q235&lt;MIN($K235,$L235),$Q235&gt;MAX($K235,$L235)),1,0),0)</f>
        <v>0</v>
      </c>
      <c r="AD235" s="183" t="n">
        <f aca="false">IF(AND(ISNUMBER($T235),$P235="高"),IF($T235=3,1,0),0)</f>
        <v>0</v>
      </c>
      <c r="AE235" s="183" t="n">
        <f aca="false">IF($S235="不存在",1,0)</f>
        <v>0</v>
      </c>
      <c r="AF235" s="34" t="str">
        <f aca="false">IF(OR($H235="—",$H235=""),"—",MATCH($H235,IDX_SrcID,0))</f>
        <v>—</v>
      </c>
    </row>
    <row r="236" customFormat="false" ht="29.25" hidden="false" customHeight="true" outlineLevel="0" collapsed="false">
      <c r="A236" s="35" t="s">
        <v>3280</v>
      </c>
      <c r="B236" s="209" t="s">
        <v>2677</v>
      </c>
      <c r="C236" s="35" t="s">
        <v>3265</v>
      </c>
      <c r="D236" s="35" t="s">
        <v>2914</v>
      </c>
      <c r="E236" s="6" t="s">
        <v>313</v>
      </c>
      <c r="F236" s="35" t="s">
        <v>72</v>
      </c>
      <c r="G236" s="209" t="s">
        <v>2679</v>
      </c>
      <c r="H236" s="35" t="s">
        <v>571</v>
      </c>
      <c r="I236" s="6" t="s">
        <v>571</v>
      </c>
      <c r="J236" s="35" t="s">
        <v>571</v>
      </c>
      <c r="K236" s="211" t="n">
        <v>2</v>
      </c>
      <c r="L236" s="211" t="n">
        <v>4</v>
      </c>
      <c r="M236" s="35" t="s">
        <v>3281</v>
      </c>
      <c r="N236" s="210" t="str">
        <f aca="false">Serving!$F$12</f>
        <v>FP8 dispatch 1 B＋BF16 combine 2 B</v>
      </c>
      <c r="O236" s="6" t="s">
        <v>3068</v>
      </c>
      <c r="P236" s="209" t="s">
        <v>2682</v>
      </c>
      <c r="Q236" s="179" t="n">
        <f aca="false">Serving!C12</f>
        <v>3</v>
      </c>
      <c r="R236" s="35" t="s">
        <v>571</v>
      </c>
      <c r="S236" s="34" t="str">
        <f aca="false">IF(ISNUMBER($AF236),INDEX(IDX_SrcStat,$AF236),"—")</f>
        <v>—</v>
      </c>
      <c r="T236" s="34" t="str">
        <f aca="false">IF(ISNUMBER($AF236),INDEX(IDX_SrcGrade,$AF236),"—")</f>
        <v>—</v>
      </c>
      <c r="U236" s="34" t="s">
        <v>2683</v>
      </c>
      <c r="V236" s="183" t="n">
        <f aca="false">IF(AND($F236="原始數據",$U236&lt;&gt;"連結 SRC"),1,0)</f>
        <v>0</v>
      </c>
      <c r="W236" s="183" t="n">
        <f aca="false">IF(AND($F236="Analogy",OR($H236="—",$H236="")),1,0)</f>
        <v>0</v>
      </c>
      <c r="X236" s="183" t="n">
        <f aca="false">IF(AND(OR($F236="Analogy",$F236="Assumed"),$G236&lt;&gt;"低",$G236&lt;&gt;"高",NOT(ISNUMBER($K236)),NOT(ISNUMBER($L236)),OR($M236="—",$M236="")),1,0)</f>
        <v>0</v>
      </c>
      <c r="Y236" s="183" t="n">
        <f aca="false">IF(AND(OR($F236="Analogy",$F236="Assumed",$F236="Derived（待改公式）",$F236="Derived（公式）"),OR($N236="—",$N236="",$N236=0)),1,0)</f>
        <v>0</v>
      </c>
      <c r="Z236" s="183" t="n">
        <f aca="false">IF(AND($F236="Decision",OR($J236="—",$J236="")),1,0)</f>
        <v>0</v>
      </c>
      <c r="AA236" s="180" t="n">
        <f aca="false">IF(OR($J236="—",$J236=""),0,IF(COUNTIF(Decisions!$A$5:$A$300,$J236)=0,1,0))</f>
        <v>0</v>
      </c>
      <c r="AB236" s="183" t="n">
        <f aca="false">IF(AND($F236="原始數據",$S236&lt;&gt;"Active"),1,0)</f>
        <v>0</v>
      </c>
      <c r="AC236" s="183" t="n">
        <f aca="false">IF(AND(ISNUMBER($K236),ISNUMBER($L236),ISNUMBER($Q236)),IF(OR($Q236&lt;MIN($K236,$L236),$Q236&gt;MAX($K236,$L236)),1,0),0)</f>
        <v>0</v>
      </c>
      <c r="AD236" s="183" t="n">
        <f aca="false">IF(AND(ISNUMBER($T236),$P236="高"),IF($T236=3,1,0),0)</f>
        <v>0</v>
      </c>
      <c r="AE236" s="183" t="n">
        <f aca="false">IF($S236="不存在",1,0)</f>
        <v>0</v>
      </c>
      <c r="AF236" s="34" t="str">
        <f aca="false">IF(OR($H236="—",$H236=""),"—",MATCH($H236,IDX_SrcID,0))</f>
        <v>—</v>
      </c>
    </row>
    <row r="237" customFormat="false" ht="29.25" hidden="false" customHeight="true" outlineLevel="0" collapsed="false">
      <c r="A237" s="35" t="s">
        <v>3282</v>
      </c>
      <c r="B237" s="209" t="s">
        <v>2677</v>
      </c>
      <c r="C237" s="35" t="s">
        <v>3265</v>
      </c>
      <c r="D237" s="35" t="s">
        <v>2932</v>
      </c>
      <c r="E237" s="6" t="s">
        <v>315</v>
      </c>
      <c r="F237" s="35" t="s">
        <v>72</v>
      </c>
      <c r="G237" s="209" t="s">
        <v>2679</v>
      </c>
      <c r="H237" s="35" t="s">
        <v>571</v>
      </c>
      <c r="I237" s="6" t="s">
        <v>571</v>
      </c>
      <c r="J237" s="35" t="s">
        <v>571</v>
      </c>
      <c r="K237" s="211" t="n">
        <v>0.5</v>
      </c>
      <c r="L237" s="211" t="n">
        <v>0.85</v>
      </c>
      <c r="M237" s="35" t="s">
        <v>3283</v>
      </c>
      <c r="N237" s="210" t="str">
        <f aca="false">Serving!$F$13</f>
        <v>區間 0.5–0.85</v>
      </c>
      <c r="O237" s="6" t="s">
        <v>3068</v>
      </c>
      <c r="P237" s="209" t="s">
        <v>2682</v>
      </c>
      <c r="Q237" s="174" t="n">
        <f aca="false">Serving!C13</f>
        <v>0.7</v>
      </c>
      <c r="R237" s="35" t="s">
        <v>571</v>
      </c>
      <c r="S237" s="34" t="str">
        <f aca="false">IF(ISNUMBER($AF237),INDEX(IDX_SrcStat,$AF237),"—")</f>
        <v>—</v>
      </c>
      <c r="T237" s="34" t="str">
        <f aca="false">IF(ISNUMBER($AF237),INDEX(IDX_SrcGrade,$AF237),"—")</f>
        <v>—</v>
      </c>
      <c r="U237" s="34" t="s">
        <v>2683</v>
      </c>
      <c r="V237" s="183" t="n">
        <f aca="false">IF(AND($F237="原始數據",$U237&lt;&gt;"連結 SRC"),1,0)</f>
        <v>0</v>
      </c>
      <c r="W237" s="183" t="n">
        <f aca="false">IF(AND($F237="Analogy",OR($H237="—",$H237="")),1,0)</f>
        <v>0</v>
      </c>
      <c r="X237" s="183" t="n">
        <f aca="false">IF(AND(OR($F237="Analogy",$F237="Assumed"),$G237&lt;&gt;"低",$G237&lt;&gt;"高",NOT(ISNUMBER($K237)),NOT(ISNUMBER($L237)),OR($M237="—",$M237="")),1,0)</f>
        <v>0</v>
      </c>
      <c r="Y237" s="183" t="n">
        <f aca="false">IF(AND(OR($F237="Analogy",$F237="Assumed",$F237="Derived（待改公式）",$F237="Derived（公式）"),OR($N237="—",$N237="",$N237=0)),1,0)</f>
        <v>0</v>
      </c>
      <c r="Z237" s="183" t="n">
        <f aca="false">IF(AND($F237="Decision",OR($J237="—",$J237="")),1,0)</f>
        <v>0</v>
      </c>
      <c r="AA237" s="180" t="n">
        <f aca="false">IF(OR($J237="—",$J237=""),0,IF(COUNTIF(Decisions!$A$5:$A$300,$J237)=0,1,0))</f>
        <v>0</v>
      </c>
      <c r="AB237" s="183" t="n">
        <f aca="false">IF(AND($F237="原始數據",$S237&lt;&gt;"Active"),1,0)</f>
        <v>0</v>
      </c>
      <c r="AC237" s="183" t="n">
        <f aca="false">IF(AND(ISNUMBER($K237),ISNUMBER($L237),ISNUMBER($Q237)),IF(OR($Q237&lt;MIN($K237,$L237),$Q237&gt;MAX($K237,$L237)),1,0),0)</f>
        <v>0</v>
      </c>
      <c r="AD237" s="183" t="n">
        <f aca="false">IF(AND(ISNUMBER($T237),$P237="高"),IF($T237=3,1,0),0)</f>
        <v>0</v>
      </c>
      <c r="AE237" s="183" t="n">
        <f aca="false">IF($S237="不存在",1,0)</f>
        <v>0</v>
      </c>
      <c r="AF237" s="34" t="str">
        <f aca="false">IF(OR($H237="—",$H237=""),"—",MATCH($H237,IDX_SrcID,0))</f>
        <v>—</v>
      </c>
    </row>
    <row r="238" customFormat="false" ht="29.25" hidden="false" customHeight="true" outlineLevel="0" collapsed="false">
      <c r="A238" s="35" t="s">
        <v>3284</v>
      </c>
      <c r="B238" s="209" t="s">
        <v>2677</v>
      </c>
      <c r="C238" s="35" t="s">
        <v>3265</v>
      </c>
      <c r="D238" s="35" t="s">
        <v>3181</v>
      </c>
      <c r="E238" s="6" t="s">
        <v>317</v>
      </c>
      <c r="F238" s="35" t="s">
        <v>72</v>
      </c>
      <c r="G238" s="209" t="s">
        <v>2679</v>
      </c>
      <c r="H238" s="35" t="s">
        <v>571</v>
      </c>
      <c r="I238" s="6" t="s">
        <v>571</v>
      </c>
      <c r="J238" s="35" t="s">
        <v>571</v>
      </c>
      <c r="K238" s="211" t="n">
        <v>0.5</v>
      </c>
      <c r="L238" s="211" t="n">
        <v>0.85</v>
      </c>
      <c r="M238" s="35" t="s">
        <v>3283</v>
      </c>
      <c r="N238" s="210" t="str">
        <f aca="false">Serving!$F$14</f>
        <v>區間 0.5–0.85</v>
      </c>
      <c r="O238" s="6" t="s">
        <v>3068</v>
      </c>
      <c r="P238" s="209" t="s">
        <v>2682</v>
      </c>
      <c r="Q238" s="174" t="n">
        <f aca="false">Serving!C14</f>
        <v>0.7</v>
      </c>
      <c r="R238" s="35" t="s">
        <v>571</v>
      </c>
      <c r="S238" s="34" t="str">
        <f aca="false">IF(ISNUMBER($AF238),INDEX(IDX_SrcStat,$AF238),"—")</f>
        <v>—</v>
      </c>
      <c r="T238" s="34" t="str">
        <f aca="false">IF(ISNUMBER($AF238),INDEX(IDX_SrcGrade,$AF238),"—")</f>
        <v>—</v>
      </c>
      <c r="U238" s="34" t="s">
        <v>2683</v>
      </c>
      <c r="V238" s="183" t="n">
        <f aca="false">IF(AND($F238="原始數據",$U238&lt;&gt;"連結 SRC"),1,0)</f>
        <v>0</v>
      </c>
      <c r="W238" s="183" t="n">
        <f aca="false">IF(AND($F238="Analogy",OR($H238="—",$H238="")),1,0)</f>
        <v>0</v>
      </c>
      <c r="X238" s="183" t="n">
        <f aca="false">IF(AND(OR($F238="Analogy",$F238="Assumed"),$G238&lt;&gt;"低",$G238&lt;&gt;"高",NOT(ISNUMBER($K238)),NOT(ISNUMBER($L238)),OR($M238="—",$M238="")),1,0)</f>
        <v>0</v>
      </c>
      <c r="Y238" s="183" t="n">
        <f aca="false">IF(AND(OR($F238="Analogy",$F238="Assumed",$F238="Derived（待改公式）",$F238="Derived（公式）"),OR($N238="—",$N238="",$N238=0)),1,0)</f>
        <v>0</v>
      </c>
      <c r="Z238" s="183" t="n">
        <f aca="false">IF(AND($F238="Decision",OR($J238="—",$J238="")),1,0)</f>
        <v>0</v>
      </c>
      <c r="AA238" s="180" t="n">
        <f aca="false">IF(OR($J238="—",$J238=""),0,IF(COUNTIF(Decisions!$A$5:$A$300,$J238)=0,1,0))</f>
        <v>0</v>
      </c>
      <c r="AB238" s="183" t="n">
        <f aca="false">IF(AND($F238="原始數據",$S238&lt;&gt;"Active"),1,0)</f>
        <v>0</v>
      </c>
      <c r="AC238" s="183" t="n">
        <f aca="false">IF(AND(ISNUMBER($K238),ISNUMBER($L238),ISNUMBER($Q238)),IF(OR($Q238&lt;MIN($K238,$L238),$Q238&gt;MAX($K238,$L238)),1,0),0)</f>
        <v>0</v>
      </c>
      <c r="AD238" s="183" t="n">
        <f aca="false">IF(AND(ISNUMBER($T238),$P238="高"),IF($T238=3,1,0),0)</f>
        <v>0</v>
      </c>
      <c r="AE238" s="183" t="n">
        <f aca="false">IF($S238="不存在",1,0)</f>
        <v>0</v>
      </c>
      <c r="AF238" s="34" t="str">
        <f aca="false">IF(OR($H238="—",$H238=""),"—",MATCH($H238,IDX_SrcID,0))</f>
        <v>—</v>
      </c>
    </row>
    <row r="239" customFormat="false" ht="29.25" hidden="false" customHeight="true" outlineLevel="0" collapsed="false">
      <c r="A239" s="35" t="s">
        <v>3285</v>
      </c>
      <c r="B239" s="209" t="s">
        <v>2677</v>
      </c>
      <c r="C239" s="35" t="s">
        <v>3265</v>
      </c>
      <c r="D239" s="35" t="s">
        <v>3185</v>
      </c>
      <c r="E239" s="18" t="s">
        <v>3286</v>
      </c>
      <c r="F239" s="35" t="s">
        <v>72</v>
      </c>
      <c r="G239" s="209" t="s">
        <v>2679</v>
      </c>
      <c r="H239" s="35" t="s">
        <v>571</v>
      </c>
      <c r="I239" s="6" t="s">
        <v>571</v>
      </c>
      <c r="J239" s="35" t="s">
        <v>571</v>
      </c>
      <c r="K239" s="211" t="n">
        <v>0.05</v>
      </c>
      <c r="L239" s="211" t="n">
        <v>0.4</v>
      </c>
      <c r="M239" s="35" t="s">
        <v>3287</v>
      </c>
      <c r="N239" s="210" t="str">
        <f aca="false">Serving!$F$15&amp;" ｜補充旗標（IF 全欄分段，非分段依據）：高"</f>
        <v>主機記憶體／SSD 經 NIC 載入；區間 0.05–0.4。未計快取儲存成本 ｜補充旗標（IF 全欄分段，非分段依據）：高</v>
      </c>
      <c r="O239" s="6" t="s">
        <v>571</v>
      </c>
      <c r="P239" s="209" t="s">
        <v>1099</v>
      </c>
      <c r="Q239" s="172" t="n">
        <f aca="false">Serving!C15</f>
        <v>0.1</v>
      </c>
      <c r="R239" s="35" t="s">
        <v>571</v>
      </c>
      <c r="S239" s="34" t="str">
        <f aca="false">IF(ISNUMBER($AF239),INDEX(IDX_SrcStat,$AF239),"—")</f>
        <v>—</v>
      </c>
      <c r="T239" s="34" t="str">
        <f aca="false">IF(ISNUMBER($AF239),INDEX(IDX_SrcGrade,$AF239),"—")</f>
        <v>—</v>
      </c>
      <c r="U239" s="34" t="s">
        <v>2683</v>
      </c>
      <c r="V239" s="183" t="n">
        <f aca="false">IF(AND($F239="原始數據",$U239&lt;&gt;"連結 SRC"),1,0)</f>
        <v>0</v>
      </c>
      <c r="W239" s="183" t="n">
        <f aca="false">IF(AND($F239="Analogy",OR($H239="—",$H239="")),1,0)</f>
        <v>0</v>
      </c>
      <c r="X239" s="183" t="n">
        <f aca="false">IF(AND(OR($F239="Analogy",$F239="Assumed"),$G239&lt;&gt;"低",$G239&lt;&gt;"高",NOT(ISNUMBER($K239)),NOT(ISNUMBER($L239)),OR($M239="—",$M239="")),1,0)</f>
        <v>0</v>
      </c>
      <c r="Y239" s="183" t="n">
        <f aca="false">IF(AND(OR($F239="Analogy",$F239="Assumed",$F239="Derived（待改公式）",$F239="Derived（公式）"),OR($N239="—",$N239="",$N239=0)),1,0)</f>
        <v>0</v>
      </c>
      <c r="Z239" s="183" t="n">
        <f aca="false">IF(AND($F239="Decision",OR($J239="—",$J239="")),1,0)</f>
        <v>0</v>
      </c>
      <c r="AA239" s="180" t="n">
        <f aca="false">IF(OR($J239="—",$J239=""),0,IF(COUNTIF(Decisions!$A$5:$A$300,$J239)=0,1,0))</f>
        <v>0</v>
      </c>
      <c r="AB239" s="183" t="n">
        <f aca="false">IF(AND($F239="原始數據",$S239&lt;&gt;"Active"),1,0)</f>
        <v>0</v>
      </c>
      <c r="AC239" s="183" t="n">
        <f aca="false">IF(AND(ISNUMBER($K239),ISNUMBER($L239),ISNUMBER($Q239)),IF(OR($Q239&lt;MIN($K239,$L239),$Q239&gt;MAX($K239,$L239)),1,0),0)</f>
        <v>0</v>
      </c>
      <c r="AD239" s="183" t="n">
        <f aca="false">IF(AND(ISNUMBER($T239),$P239="高"),IF($T239=3,1,0),0)</f>
        <v>0</v>
      </c>
      <c r="AE239" s="183" t="n">
        <f aca="false">IF($S239="不存在",1,0)</f>
        <v>0</v>
      </c>
      <c r="AF239" s="34" t="str">
        <f aca="false">IF(OR($H239="—",$H239=""),"—",MATCH($H239,IDX_SrcID,0))</f>
        <v>—</v>
      </c>
    </row>
    <row r="240" customFormat="false" ht="43.5" hidden="false" customHeight="true" outlineLevel="0" collapsed="false">
      <c r="A240" s="35" t="s">
        <v>3288</v>
      </c>
      <c r="B240" s="209" t="s">
        <v>2677</v>
      </c>
      <c r="C240" s="35" t="s">
        <v>3265</v>
      </c>
      <c r="D240" s="35" t="s">
        <v>3212</v>
      </c>
      <c r="E240" s="18" t="s">
        <v>3289</v>
      </c>
      <c r="F240" s="35" t="s">
        <v>72</v>
      </c>
      <c r="G240" s="209" t="s">
        <v>2679</v>
      </c>
      <c r="H240" s="35" t="s">
        <v>571</v>
      </c>
      <c r="I240" s="6" t="s">
        <v>571</v>
      </c>
      <c r="J240" s="35" t="s">
        <v>3290</v>
      </c>
      <c r="K240" s="211" t="n">
        <v>0.4</v>
      </c>
      <c r="L240" s="211" t="n">
        <v>0.8</v>
      </c>
      <c r="M240" s="35" t="s">
        <v>3291</v>
      </c>
      <c r="N240" s="210" t="str">
        <f aca="false">Serving!$F$17</f>
        <v>J6：Andy 尚未給值，暫沿用 OpenAI v0.5 的 60%（區間 40–80%）。Unit_Cost 同時輸出 100% 版</v>
      </c>
      <c r="O240" s="6" t="s">
        <v>571</v>
      </c>
      <c r="P240" s="209" t="s">
        <v>1100</v>
      </c>
      <c r="Q240" s="174" t="n">
        <f aca="false">Serving!C17</f>
        <v>0.6</v>
      </c>
      <c r="R240" s="35" t="s">
        <v>571</v>
      </c>
      <c r="S240" s="34" t="str">
        <f aca="false">IF(ISNUMBER($AF240),INDEX(IDX_SrcStat,$AF240),"—")</f>
        <v>—</v>
      </c>
      <c r="T240" s="34" t="str">
        <f aca="false">IF(ISNUMBER($AF240),INDEX(IDX_SrcGrade,$AF240),"—")</f>
        <v>—</v>
      </c>
      <c r="U240" s="34" t="s">
        <v>2683</v>
      </c>
      <c r="V240" s="183" t="n">
        <f aca="false">IF(AND($F240="原始數據",$U240&lt;&gt;"連結 SRC"),1,0)</f>
        <v>0</v>
      </c>
      <c r="W240" s="183" t="n">
        <f aca="false">IF(AND($F240="Analogy",OR($H240="—",$H240="")),1,0)</f>
        <v>0</v>
      </c>
      <c r="X240" s="183" t="n">
        <f aca="false">IF(AND(OR($F240="Analogy",$F240="Assumed"),$G240&lt;&gt;"低",$G240&lt;&gt;"高",NOT(ISNUMBER($K240)),NOT(ISNUMBER($L240)),OR($M240="—",$M240="")),1,0)</f>
        <v>0</v>
      </c>
      <c r="Y240" s="183" t="n">
        <f aca="false">IF(AND(OR($F240="Analogy",$F240="Assumed",$F240="Derived（待改公式）",$F240="Derived（公式）"),OR($N240="—",$N240="",$N240=0)),1,0)</f>
        <v>0</v>
      </c>
      <c r="Z240" s="183" t="n">
        <f aca="false">IF(AND($F240="Decision",OR($J240="—",$J240="")),1,0)</f>
        <v>0</v>
      </c>
      <c r="AA240" s="180" t="n">
        <f aca="false">IF(OR($J240="—",$J240=""),0,IF(COUNTIF(Decisions!$A$5:$A$300,$J240)=0,1,0))</f>
        <v>0</v>
      </c>
      <c r="AB240" s="183" t="n">
        <f aca="false">IF(AND($F240="原始數據",$S240&lt;&gt;"Active"),1,0)</f>
        <v>0</v>
      </c>
      <c r="AC240" s="183" t="n">
        <f aca="false">IF(AND(ISNUMBER($K240),ISNUMBER($L240),ISNUMBER($Q240)),IF(OR($Q240&lt;MIN($K240,$L240),$Q240&gt;MAX($K240,$L240)),1,0),0)</f>
        <v>0</v>
      </c>
      <c r="AD240" s="183" t="n">
        <f aca="false">IF(AND(ISNUMBER($T240),$P240="高"),IF($T240=3,1,0),0)</f>
        <v>0</v>
      </c>
      <c r="AE240" s="183" t="n">
        <f aca="false">IF($S240="不存在",1,0)</f>
        <v>0</v>
      </c>
      <c r="AF240" s="34" t="str">
        <f aca="false">IF(OR($H240="—",$H240=""),"—",MATCH($H240,IDX_SrcID,0))</f>
        <v>—</v>
      </c>
    </row>
    <row r="241" customFormat="false" ht="86.25" hidden="false" customHeight="true" outlineLevel="0" collapsed="false">
      <c r="A241" s="35" t="s">
        <v>3292</v>
      </c>
      <c r="B241" s="209" t="s">
        <v>2677</v>
      </c>
      <c r="C241" s="35" t="s">
        <v>3265</v>
      </c>
      <c r="D241" s="35" t="s">
        <v>3194</v>
      </c>
      <c r="E241" s="18" t="s">
        <v>325</v>
      </c>
      <c r="F241" s="35" t="s">
        <v>72</v>
      </c>
      <c r="G241" s="209" t="s">
        <v>2679</v>
      </c>
      <c r="H241" s="35" t="s">
        <v>571</v>
      </c>
      <c r="I241" s="6" t="s">
        <v>571</v>
      </c>
      <c r="J241" s="35" t="s">
        <v>3290</v>
      </c>
      <c r="K241" s="211" t="n">
        <v>0.7</v>
      </c>
      <c r="L241" s="211" t="n">
        <v>1</v>
      </c>
      <c r="M241" s="35" t="s">
        <v>3293</v>
      </c>
      <c r="N241" s="210" t="str">
        <f aca="false">Serving!$F$18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</v>
      </c>
      <c r="O241" s="6" t="s">
        <v>571</v>
      </c>
      <c r="P241" s="209" t="s">
        <v>1100</v>
      </c>
      <c r="Q241" s="172" t="n">
        <f aca="false">Serving!C18</f>
        <v>1</v>
      </c>
      <c r="R241" s="35" t="s">
        <v>571</v>
      </c>
      <c r="S241" s="34" t="str">
        <f aca="false">IF(ISNUMBER($AF241),INDEX(IDX_SrcStat,$AF241),"—")</f>
        <v>—</v>
      </c>
      <c r="T241" s="34" t="str">
        <f aca="false">IF(ISNUMBER($AF241),INDEX(IDX_SrcGrade,$AF241),"—")</f>
        <v>—</v>
      </c>
      <c r="U241" s="34" t="s">
        <v>2683</v>
      </c>
      <c r="V241" s="183" t="n">
        <f aca="false">IF(AND($F241="原始數據",$U241&lt;&gt;"連結 SRC"),1,0)</f>
        <v>0</v>
      </c>
      <c r="W241" s="183" t="n">
        <f aca="false">IF(AND($F241="Analogy",OR($H241="—",$H241="")),1,0)</f>
        <v>0</v>
      </c>
      <c r="X241" s="183" t="n">
        <f aca="false">IF(AND(OR($F241="Analogy",$F241="Assumed"),$G241&lt;&gt;"低",$G241&lt;&gt;"高",NOT(ISNUMBER($K241)),NOT(ISNUMBER($L241)),OR($M241="—",$M241="")),1,0)</f>
        <v>0</v>
      </c>
      <c r="Y241" s="183" t="n">
        <f aca="false">IF(AND(OR($F241="Analogy",$F241="Assumed",$F241="Derived（待改公式）",$F241="Derived（公式）"),OR($N241="—",$N241="",$N241=0)),1,0)</f>
        <v>0</v>
      </c>
      <c r="Z241" s="183" t="n">
        <f aca="false">IF(AND($F241="Decision",OR($J241="—",$J241="")),1,0)</f>
        <v>0</v>
      </c>
      <c r="AA241" s="180" t="n">
        <f aca="false">IF(OR($J241="—",$J241=""),0,IF(COUNTIF(Decisions!$A$5:$A$300,$J241)=0,1,0))</f>
        <v>0</v>
      </c>
      <c r="AB241" s="183" t="n">
        <f aca="false">IF(AND($F241="原始數據",$S241&lt;&gt;"Active"),1,0)</f>
        <v>0</v>
      </c>
      <c r="AC241" s="183" t="n">
        <f aca="false">IF(AND(ISNUMBER($K241),ISNUMBER($L241),ISNUMBER($Q241)),IF(OR($Q241&lt;MIN($K241,$L241),$Q241&gt;MAX($K241,$L241)),1,0),0)</f>
        <v>0</v>
      </c>
      <c r="AD241" s="183" t="n">
        <f aca="false">IF(AND(ISNUMBER($T241),$P241="高"),IF($T241=3,1,0),0)</f>
        <v>0</v>
      </c>
      <c r="AE241" s="183" t="n">
        <f aca="false">IF($S241="不存在",1,0)</f>
        <v>0</v>
      </c>
      <c r="AF241" s="34" t="str">
        <f aca="false">IF(OR($H241="—",$H241=""),"—",MATCH($H241,IDX_SrcID,0))</f>
        <v>—</v>
      </c>
    </row>
    <row r="242" customFormat="false" ht="29.25" hidden="false" customHeight="true" outlineLevel="0" collapsed="false">
      <c r="A242" s="35" t="s">
        <v>3294</v>
      </c>
      <c r="B242" s="209" t="s">
        <v>2677</v>
      </c>
      <c r="C242" s="35" t="s">
        <v>3265</v>
      </c>
      <c r="D242" s="35" t="s">
        <v>3190</v>
      </c>
      <c r="E242" s="18" t="s">
        <v>3295</v>
      </c>
      <c r="F242" s="35" t="s">
        <v>64</v>
      </c>
      <c r="G242" s="209" t="s">
        <v>2679</v>
      </c>
      <c r="H242" s="35" t="s">
        <v>571</v>
      </c>
      <c r="I242" s="6" t="s">
        <v>571</v>
      </c>
      <c r="J242" s="35" t="s">
        <v>3296</v>
      </c>
      <c r="K242" s="209"/>
      <c r="L242" s="209"/>
      <c r="M242" s="35" t="s">
        <v>571</v>
      </c>
      <c r="N242" s="6" t="s">
        <v>3297</v>
      </c>
      <c r="O242" s="6" t="s">
        <v>571</v>
      </c>
      <c r="P242" s="209" t="s">
        <v>2682</v>
      </c>
      <c r="Q242" s="180" t="n">
        <f aca="false">Serving!C16</f>
        <v>1</v>
      </c>
      <c r="R242" s="35" t="s">
        <v>571</v>
      </c>
      <c r="S242" s="34" t="str">
        <f aca="false">IF(ISNUMBER($AF242),INDEX(IDX_SrcStat,$AF242),"—")</f>
        <v>—</v>
      </c>
      <c r="T242" s="34" t="str">
        <f aca="false">IF(ISNUMBER($AF242),INDEX(IDX_SrcGrade,$AF242),"—")</f>
        <v>—</v>
      </c>
      <c r="U242" s="34" t="s">
        <v>2683</v>
      </c>
      <c r="V242" s="183" t="n">
        <f aca="false">IF(AND($F242="原始數據",$U242&lt;&gt;"連結 SRC"),1,0)</f>
        <v>0</v>
      </c>
      <c r="W242" s="183" t="n">
        <f aca="false">IF(AND($F242="Analogy",OR($H242="—",$H242="")),1,0)</f>
        <v>0</v>
      </c>
      <c r="X242" s="183" t="n">
        <f aca="false">IF(AND(OR($F242="Analogy",$F242="Assumed"),$G242&lt;&gt;"低",$G242&lt;&gt;"高",NOT(ISNUMBER($K242)),NOT(ISNUMBER($L242)),OR($M242="—",$M242="")),1,0)</f>
        <v>0</v>
      </c>
      <c r="Y242" s="183" t="n">
        <f aca="false">IF(AND(OR($F242="Analogy",$F242="Assumed",$F242="Derived（待改公式）",$F242="Derived（公式）"),OR($N242="—",$N242="",$N242=0)),1,0)</f>
        <v>0</v>
      </c>
      <c r="Z242" s="183" t="n">
        <f aca="false">IF(AND($F242="Decision",OR($J242="—",$J242="")),1,0)</f>
        <v>0</v>
      </c>
      <c r="AA242" s="180" t="n">
        <f aca="false">IF(OR($J242="—",$J242=""),0,IF(COUNTIF(Decisions!$A$5:$A$300,$J242)=0,1,0))</f>
        <v>0</v>
      </c>
      <c r="AB242" s="183" t="n">
        <f aca="false">IF(AND($F242="原始數據",$S242&lt;&gt;"Active"),1,0)</f>
        <v>0</v>
      </c>
      <c r="AC242" s="183" t="n">
        <f aca="false">IF(AND(ISNUMBER($K242),ISNUMBER($L242),ISNUMBER($Q242)),IF(OR($Q242&lt;MIN($K242,$L242),$Q242&gt;MAX($K242,$L242)),1,0),0)</f>
        <v>0</v>
      </c>
      <c r="AD242" s="183" t="n">
        <f aca="false">IF(AND(ISNUMBER($T242),$P242="高"),IF($T242=3,1,0),0)</f>
        <v>0</v>
      </c>
      <c r="AE242" s="183" t="n">
        <f aca="false">IF($S242="不存在",1,0)</f>
        <v>0</v>
      </c>
      <c r="AF242" s="34" t="str">
        <f aca="false">IF(OR($H242="—",$H242=""),"—",MATCH($H242,IDX_SrcID,0))</f>
        <v>—</v>
      </c>
    </row>
    <row r="243" customFormat="false" ht="15" hidden="false" customHeight="true" outlineLevel="0" collapsed="false">
      <c r="A243" s="35" t="s">
        <v>3298</v>
      </c>
      <c r="B243" s="209" t="s">
        <v>2677</v>
      </c>
      <c r="C243" s="35" t="s">
        <v>3265</v>
      </c>
      <c r="D243" s="35" t="s">
        <v>3251</v>
      </c>
      <c r="E243" s="6" t="s">
        <v>329</v>
      </c>
      <c r="F243" s="209" t="s">
        <v>290</v>
      </c>
      <c r="G243" s="209" t="s">
        <v>2679</v>
      </c>
      <c r="H243" s="35" t="s">
        <v>3299</v>
      </c>
      <c r="I243" s="18" t="s">
        <v>2714</v>
      </c>
      <c r="J243" s="35" t="s">
        <v>3300</v>
      </c>
      <c r="K243" s="209"/>
      <c r="L243" s="209"/>
      <c r="M243" s="35" t="s">
        <v>571</v>
      </c>
      <c r="N243" s="18" t="s">
        <v>2812</v>
      </c>
      <c r="O243" s="6" t="s">
        <v>571</v>
      </c>
      <c r="P243" s="209" t="s">
        <v>1100</v>
      </c>
      <c r="Q243" s="40" t="n">
        <f aca="false">Serving!C21</f>
        <v>120</v>
      </c>
      <c r="R243" s="182" t="n">
        <f aca="false">SRC_PERF_018</f>
        <v>120</v>
      </c>
      <c r="S243" s="34" t="str">
        <f aca="false">IF(ISNUMBER($AF243),INDEX(IDX_SrcStat,$AF243),"—")</f>
        <v>Active</v>
      </c>
      <c r="T243" s="34" t="n">
        <f aca="false">IF(ISNUMBER($AF243),INDEX(IDX_SrcGrade,$AF243),"—")</f>
        <v>1</v>
      </c>
      <c r="U243" s="34" t="s">
        <v>2716</v>
      </c>
      <c r="V243" s="183" t="n">
        <f aca="false">IF(AND($F243="原始數據",$U243&lt;&gt;"連結 SRC"),1,0)</f>
        <v>0</v>
      </c>
      <c r="W243" s="183" t="n">
        <f aca="false">IF(AND($F243="Analogy",OR($H243="—",$H243="")),1,0)</f>
        <v>0</v>
      </c>
      <c r="X243" s="183" t="n">
        <f aca="false">IF(AND(OR($F243="Analogy",$F243="Assumed"),$G243&lt;&gt;"低",$G243&lt;&gt;"高",NOT(ISNUMBER($K243)),NOT(ISNUMBER($L243)),OR($M243="—",$M243="")),1,0)</f>
        <v>0</v>
      </c>
      <c r="Y243" s="183" t="n">
        <f aca="false">IF(AND(OR($F243="Analogy",$F243="Assumed",$F243="Derived（待改公式）",$F243="Derived（公式）"),OR($N243="—",$N243="",$N243=0)),1,0)</f>
        <v>0</v>
      </c>
      <c r="Z243" s="183" t="n">
        <f aca="false">IF(AND($F243="Decision",OR($J243="—",$J243="")),1,0)</f>
        <v>0</v>
      </c>
      <c r="AA243" s="180" t="n">
        <f aca="false">IF(OR($J243="—",$J243=""),0,IF(COUNTIF(Decisions!$A$5:$A$300,$J243)=0,1,0))</f>
        <v>0</v>
      </c>
      <c r="AB243" s="183" t="n">
        <f aca="false">IF(AND($F243="原始數據",$S243&lt;&gt;"Active"),1,0)</f>
        <v>0</v>
      </c>
      <c r="AC243" s="183" t="n">
        <f aca="false">IF(AND(ISNUMBER($K243),ISNUMBER($L243),ISNUMBER($Q243)),IF(OR($Q243&lt;MIN($K243,$L243),$Q243&gt;MAX($K243,$L243)),1,0),0)</f>
        <v>0</v>
      </c>
      <c r="AD243" s="183" t="n">
        <f aca="false">IF(AND(ISNUMBER($T243),$P243="高"),IF($T243=3,1,0),0)</f>
        <v>0</v>
      </c>
      <c r="AE243" s="183" t="n">
        <f aca="false">IF($S243="不存在",1,0)</f>
        <v>0</v>
      </c>
      <c r="AF243" s="34" t="n">
        <f aca="false">IF(OR($H243="—",$H243=""),"—",MATCH($H243,IDX_SrcID,0))</f>
        <v>299</v>
      </c>
    </row>
    <row r="244" customFormat="false" ht="29.25" hidden="false" customHeight="true" outlineLevel="0" collapsed="false">
      <c r="A244" s="35" t="s">
        <v>3301</v>
      </c>
      <c r="B244" s="209" t="s">
        <v>2677</v>
      </c>
      <c r="C244" s="35" t="s">
        <v>3265</v>
      </c>
      <c r="D244" s="35" t="s">
        <v>2760</v>
      </c>
      <c r="E244" s="6" t="s">
        <v>329</v>
      </c>
      <c r="F244" s="35" t="s">
        <v>64</v>
      </c>
      <c r="G244" s="209" t="s">
        <v>2679</v>
      </c>
      <c r="H244" s="35" t="s">
        <v>3302</v>
      </c>
      <c r="I244" s="18" t="s">
        <v>3303</v>
      </c>
      <c r="J244" s="35" t="s">
        <v>3300</v>
      </c>
      <c r="K244" s="209"/>
      <c r="L244" s="209"/>
      <c r="M244" s="35" t="s">
        <v>571</v>
      </c>
      <c r="N244" s="6" t="s">
        <v>3304</v>
      </c>
      <c r="O244" s="6" t="s">
        <v>571</v>
      </c>
      <c r="P244" s="209" t="s">
        <v>1100</v>
      </c>
      <c r="Q244" s="40" t="n">
        <f aca="false">Serving!D21</f>
        <v>65</v>
      </c>
      <c r="R244" s="182" t="n">
        <f aca="false">SRC_PERF_019</f>
        <v>68</v>
      </c>
      <c r="S244" s="34" t="str">
        <f aca="false">IF(ISNUMBER($AF244),INDEX(IDX_SrcStat,$AF244),"—")</f>
        <v>Active</v>
      </c>
      <c r="T244" s="34" t="n">
        <f aca="false">IF(ISNUMBER($AF244),INDEX(IDX_SrcGrade,$AF244),"—")</f>
        <v>1</v>
      </c>
      <c r="U244" s="34" t="s">
        <v>2683</v>
      </c>
      <c r="V244" s="183" t="n">
        <f aca="false">IF(AND($F244="原始數據",$U244&lt;&gt;"連結 SRC"),1,0)</f>
        <v>0</v>
      </c>
      <c r="W244" s="183" t="n">
        <f aca="false">IF(AND($F244="Analogy",OR($H244="—",$H244="")),1,0)</f>
        <v>0</v>
      </c>
      <c r="X244" s="183" t="n">
        <f aca="false">IF(AND(OR($F244="Analogy",$F244="Assumed"),$G244&lt;&gt;"低",$G244&lt;&gt;"高",NOT(ISNUMBER($K244)),NOT(ISNUMBER($L244)),OR($M244="—",$M244="")),1,0)</f>
        <v>0</v>
      </c>
      <c r="Y244" s="183" t="n">
        <f aca="false">IF(AND(OR($F244="Analogy",$F244="Assumed",$F244="Derived（待改公式）",$F244="Derived（公式）"),OR($N244="—",$N244="",$N244=0)),1,0)</f>
        <v>0</v>
      </c>
      <c r="Z244" s="183" t="n">
        <f aca="false">IF(AND($F244="Decision",OR($J244="—",$J244="")),1,0)</f>
        <v>0</v>
      </c>
      <c r="AA244" s="180" t="n">
        <f aca="false">IF(OR($J244="—",$J244=""),0,IF(COUNTIF(Decisions!$A$5:$A$300,$J244)=0,1,0))</f>
        <v>0</v>
      </c>
      <c r="AB244" s="183" t="n">
        <f aca="false">IF(AND($F244="原始數據",$S244&lt;&gt;"Active"),1,0)</f>
        <v>0</v>
      </c>
      <c r="AC244" s="183" t="n">
        <f aca="false">IF(AND(ISNUMBER($K244),ISNUMBER($L244),ISNUMBER($Q244)),IF(OR($Q244&lt;MIN($K244,$L244),$Q244&gt;MAX($K244,$L244)),1,0),0)</f>
        <v>0</v>
      </c>
      <c r="AD244" s="183" t="n">
        <f aca="false">IF(AND(ISNUMBER($T244),$P244="高"),IF($T244=3,1,0),0)</f>
        <v>0</v>
      </c>
      <c r="AE244" s="183" t="n">
        <f aca="false">IF($S244="不存在",1,0)</f>
        <v>0</v>
      </c>
      <c r="AF244" s="34" t="n">
        <f aca="false">IF(OR($H244="—",$H244=""),"—",MATCH($H244,IDX_SrcID,0))</f>
        <v>300</v>
      </c>
    </row>
    <row r="245" customFormat="false" ht="15" hidden="false" customHeight="true" outlineLevel="0" collapsed="false">
      <c r="A245" s="35" t="s">
        <v>3305</v>
      </c>
      <c r="B245" s="209" t="s">
        <v>2677</v>
      </c>
      <c r="C245" s="35" t="s">
        <v>3265</v>
      </c>
      <c r="D245" s="35" t="s">
        <v>2757</v>
      </c>
      <c r="E245" s="6" t="s">
        <v>329</v>
      </c>
      <c r="F245" s="35" t="s">
        <v>64</v>
      </c>
      <c r="G245" s="209" t="s">
        <v>2679</v>
      </c>
      <c r="H245" s="35" t="s">
        <v>3306</v>
      </c>
      <c r="I245" s="18" t="s">
        <v>3307</v>
      </c>
      <c r="J245" s="35" t="s">
        <v>3300</v>
      </c>
      <c r="K245" s="209"/>
      <c r="L245" s="209"/>
      <c r="M245" s="35" t="s">
        <v>571</v>
      </c>
      <c r="N245" s="6" t="s">
        <v>3308</v>
      </c>
      <c r="O245" s="6" t="s">
        <v>571</v>
      </c>
      <c r="P245" s="209" t="s">
        <v>1100</v>
      </c>
      <c r="Q245" s="40" t="n">
        <f aca="false">Serving!E21</f>
        <v>55</v>
      </c>
      <c r="R245" s="182" t="n">
        <f aca="false">SRC_PERF_020_Lo</f>
        <v>52</v>
      </c>
      <c r="S245" s="34" t="str">
        <f aca="false">IF(ISNUMBER($AF245),INDEX(IDX_SrcStat,$AF245),"—")</f>
        <v>Active</v>
      </c>
      <c r="T245" s="34" t="n">
        <f aca="false">IF(ISNUMBER($AF245),INDEX(IDX_SrcGrade,$AF245),"—")</f>
        <v>1</v>
      </c>
      <c r="U245" s="34" t="s">
        <v>2683</v>
      </c>
      <c r="V245" s="183" t="n">
        <f aca="false">IF(AND($F245="原始數據",$U245&lt;&gt;"連結 SRC"),1,0)</f>
        <v>0</v>
      </c>
      <c r="W245" s="183" t="n">
        <f aca="false">IF(AND($F245="Analogy",OR($H245="—",$H245="")),1,0)</f>
        <v>0</v>
      </c>
      <c r="X245" s="183" t="n">
        <f aca="false">IF(AND(OR($F245="Analogy",$F245="Assumed"),$G245&lt;&gt;"低",$G245&lt;&gt;"高",NOT(ISNUMBER($K245)),NOT(ISNUMBER($L245)),OR($M245="—",$M245="")),1,0)</f>
        <v>0</v>
      </c>
      <c r="Y245" s="183" t="n">
        <f aca="false">IF(AND(OR($F245="Analogy",$F245="Assumed",$F245="Derived（待改公式）",$F245="Derived（公式）"),OR($N245="—",$N245="",$N245=0)),1,0)</f>
        <v>0</v>
      </c>
      <c r="Z245" s="183" t="n">
        <f aca="false">IF(AND($F245="Decision",OR($J245="—",$J245="")),1,0)</f>
        <v>0</v>
      </c>
      <c r="AA245" s="180" t="n">
        <f aca="false">IF(OR($J245="—",$J245=""),0,IF(COUNTIF(Decisions!$A$5:$A$300,$J245)=0,1,0))</f>
        <v>0</v>
      </c>
      <c r="AB245" s="183" t="n">
        <f aca="false">IF(AND($F245="原始數據",$S245&lt;&gt;"Active"),1,0)</f>
        <v>0</v>
      </c>
      <c r="AC245" s="183" t="n">
        <f aca="false">IF(AND(ISNUMBER($K245),ISNUMBER($L245),ISNUMBER($Q245)),IF(OR($Q245&lt;MIN($K245,$L245),$Q245&gt;MAX($K245,$L245)),1,0),0)</f>
        <v>0</v>
      </c>
      <c r="AD245" s="183" t="n">
        <f aca="false">IF(AND(ISNUMBER($T245),$P245="高"),IF($T245=3,1,0),0)</f>
        <v>0</v>
      </c>
      <c r="AE245" s="183" t="n">
        <f aca="false">IF($S245="不存在",1,0)</f>
        <v>0</v>
      </c>
      <c r="AF245" s="34" t="n">
        <f aca="false">IF(OR($H245="—",$H245=""),"—",MATCH($H245,IDX_SrcID,0))</f>
        <v>301</v>
      </c>
    </row>
    <row r="246" customFormat="false" ht="15" hidden="false" customHeight="true" outlineLevel="0" collapsed="false">
      <c r="A246" s="35" t="s">
        <v>3309</v>
      </c>
      <c r="B246" s="209" t="s">
        <v>2677</v>
      </c>
      <c r="C246" s="35" t="s">
        <v>3265</v>
      </c>
      <c r="D246" s="35" t="s">
        <v>3256</v>
      </c>
      <c r="E246" s="6" t="s">
        <v>332</v>
      </c>
      <c r="F246" s="35" t="s">
        <v>72</v>
      </c>
      <c r="G246" s="209" t="s">
        <v>2679</v>
      </c>
      <c r="H246" s="35" t="s">
        <v>571</v>
      </c>
      <c r="I246" s="6" t="s">
        <v>571</v>
      </c>
      <c r="J246" s="35" t="s">
        <v>571</v>
      </c>
      <c r="K246" s="182" t="n">
        <f aca="false">Serving!C22*0.5</f>
        <v>1</v>
      </c>
      <c r="L246" s="182" t="n">
        <f aca="false">Serving!C22*2</f>
        <v>4</v>
      </c>
      <c r="M246" s="35" t="s">
        <v>3310</v>
      </c>
      <c r="N246" s="6" t="s">
        <v>3311</v>
      </c>
      <c r="O246" s="6" t="s">
        <v>571</v>
      </c>
      <c r="P246" s="209" t="s">
        <v>2682</v>
      </c>
      <c r="Q246" s="179" t="n">
        <f aca="false">Serving!C22</f>
        <v>2</v>
      </c>
      <c r="R246" s="35" t="s">
        <v>571</v>
      </c>
      <c r="S246" s="34" t="str">
        <f aca="false">IF(ISNUMBER($AF246),INDEX(IDX_SrcStat,$AF246),"—")</f>
        <v>—</v>
      </c>
      <c r="T246" s="34" t="str">
        <f aca="false">IF(ISNUMBER($AF246),INDEX(IDX_SrcGrade,$AF246),"—")</f>
        <v>—</v>
      </c>
      <c r="U246" s="34" t="s">
        <v>2683</v>
      </c>
      <c r="V246" s="183" t="n">
        <f aca="false">IF(AND($F246="原始數據",$U246&lt;&gt;"連結 SRC"),1,0)</f>
        <v>0</v>
      </c>
      <c r="W246" s="183" t="n">
        <f aca="false">IF(AND($F246="Analogy",OR($H246="—",$H246="")),1,0)</f>
        <v>0</v>
      </c>
      <c r="X246" s="183" t="n">
        <f aca="false">IF(AND(OR($F246="Analogy",$F246="Assumed"),$G246&lt;&gt;"低",$G246&lt;&gt;"高",NOT(ISNUMBER($K246)),NOT(ISNUMBER($L246)),OR($M246="—",$M246="")),1,0)</f>
        <v>0</v>
      </c>
      <c r="Y246" s="183" t="n">
        <f aca="false">IF(AND(OR($F246="Analogy",$F246="Assumed",$F246="Derived（待改公式）",$F246="Derived（公式）"),OR($N246="—",$N246="",$N246=0)),1,0)</f>
        <v>0</v>
      </c>
      <c r="Z246" s="183" t="n">
        <f aca="false">IF(AND($F246="Decision",OR($J246="—",$J246="")),1,0)</f>
        <v>0</v>
      </c>
      <c r="AA246" s="180" t="n">
        <f aca="false">IF(OR($J246="—",$J246=""),0,IF(COUNTIF(Decisions!$A$5:$A$300,$J246)=0,1,0))</f>
        <v>0</v>
      </c>
      <c r="AB246" s="183" t="n">
        <f aca="false">IF(AND($F246="原始數據",$S246&lt;&gt;"Active"),1,0)</f>
        <v>0</v>
      </c>
      <c r="AC246" s="183" t="n">
        <f aca="false">IF(AND(ISNUMBER($K246),ISNUMBER($L246),ISNUMBER($Q246)),IF(OR($Q246&lt;MIN($K246,$L246),$Q246&gt;MAX($K246,$L246)),1,0),0)</f>
        <v>0</v>
      </c>
      <c r="AD246" s="183" t="n">
        <f aca="false">IF(AND(ISNUMBER($T246),$P246="高"),IF($T246=3,1,0),0)</f>
        <v>0</v>
      </c>
      <c r="AE246" s="183" t="n">
        <f aca="false">IF($S246="不存在",1,0)</f>
        <v>0</v>
      </c>
      <c r="AF246" s="34" t="str">
        <f aca="false">IF(OR($H246="—",$H246=""),"—",MATCH($H246,IDX_SrcID,0))</f>
        <v>—</v>
      </c>
    </row>
    <row r="247" customFormat="false" ht="15" hidden="false" customHeight="true" outlineLevel="0" collapsed="false">
      <c r="A247" s="35" t="s">
        <v>3312</v>
      </c>
      <c r="B247" s="209" t="s">
        <v>2677</v>
      </c>
      <c r="C247" s="35" t="s">
        <v>3265</v>
      </c>
      <c r="D247" s="35" t="s">
        <v>3258</v>
      </c>
      <c r="E247" s="6" t="s">
        <v>332</v>
      </c>
      <c r="F247" s="35" t="s">
        <v>72</v>
      </c>
      <c r="G247" s="209" t="s">
        <v>2679</v>
      </c>
      <c r="H247" s="35" t="s">
        <v>571</v>
      </c>
      <c r="I247" s="6" t="s">
        <v>571</v>
      </c>
      <c r="J247" s="35" t="s">
        <v>571</v>
      </c>
      <c r="K247" s="182" t="n">
        <f aca="false">Serving!D22*0.5</f>
        <v>1.5</v>
      </c>
      <c r="L247" s="182" t="n">
        <f aca="false">Serving!D22*2</f>
        <v>6</v>
      </c>
      <c r="M247" s="35" t="s">
        <v>3310</v>
      </c>
      <c r="N247" s="6" t="s">
        <v>3311</v>
      </c>
      <c r="O247" s="6" t="s">
        <v>571</v>
      </c>
      <c r="P247" s="209" t="s">
        <v>2682</v>
      </c>
      <c r="Q247" s="179" t="n">
        <f aca="false">Serving!D22</f>
        <v>3</v>
      </c>
      <c r="R247" s="35" t="s">
        <v>571</v>
      </c>
      <c r="S247" s="34" t="str">
        <f aca="false">IF(ISNUMBER($AF247),INDEX(IDX_SrcStat,$AF247),"—")</f>
        <v>—</v>
      </c>
      <c r="T247" s="34" t="str">
        <f aca="false">IF(ISNUMBER($AF247),INDEX(IDX_SrcGrade,$AF247),"—")</f>
        <v>—</v>
      </c>
      <c r="U247" s="34" t="s">
        <v>2683</v>
      </c>
      <c r="V247" s="183" t="n">
        <f aca="false">IF(AND($F247="原始數據",$U247&lt;&gt;"連結 SRC"),1,0)</f>
        <v>0</v>
      </c>
      <c r="W247" s="183" t="n">
        <f aca="false">IF(AND($F247="Analogy",OR($H247="—",$H247="")),1,0)</f>
        <v>0</v>
      </c>
      <c r="X247" s="183" t="n">
        <f aca="false">IF(AND(OR($F247="Analogy",$F247="Assumed"),$G247&lt;&gt;"低",$G247&lt;&gt;"高",NOT(ISNUMBER($K247)),NOT(ISNUMBER($L247)),OR($M247="—",$M247="")),1,0)</f>
        <v>0</v>
      </c>
      <c r="Y247" s="183" t="n">
        <f aca="false">IF(AND(OR($F247="Analogy",$F247="Assumed",$F247="Derived（待改公式）",$F247="Derived（公式）"),OR($N247="—",$N247="",$N247=0)),1,0)</f>
        <v>0</v>
      </c>
      <c r="Z247" s="183" t="n">
        <f aca="false">IF(AND($F247="Decision",OR($J247="—",$J247="")),1,0)</f>
        <v>0</v>
      </c>
      <c r="AA247" s="180" t="n">
        <f aca="false">IF(OR($J247="—",$J247=""),0,IF(COUNTIF(Decisions!$A$5:$A$300,$J247)=0,1,0))</f>
        <v>0</v>
      </c>
      <c r="AB247" s="183" t="n">
        <f aca="false">IF(AND($F247="原始數據",$S247&lt;&gt;"Active"),1,0)</f>
        <v>0</v>
      </c>
      <c r="AC247" s="183" t="n">
        <f aca="false">IF(AND(ISNUMBER($K247),ISNUMBER($L247),ISNUMBER($Q247)),IF(OR($Q247&lt;MIN($K247,$L247),$Q247&gt;MAX($K247,$L247)),1,0),0)</f>
        <v>0</v>
      </c>
      <c r="AD247" s="183" t="n">
        <f aca="false">IF(AND(ISNUMBER($T247),$P247="高"),IF($T247=3,1,0),0)</f>
        <v>0</v>
      </c>
      <c r="AE247" s="183" t="n">
        <f aca="false">IF($S247="不存在",1,0)</f>
        <v>0</v>
      </c>
      <c r="AF247" s="34" t="str">
        <f aca="false">IF(OR($H247="—",$H247=""),"—",MATCH($H247,IDX_SrcID,0))</f>
        <v>—</v>
      </c>
    </row>
    <row r="248" customFormat="false" ht="15" hidden="false" customHeight="true" outlineLevel="0" collapsed="false">
      <c r="A248" s="35" t="s">
        <v>3313</v>
      </c>
      <c r="B248" s="209" t="s">
        <v>2677</v>
      </c>
      <c r="C248" s="35" t="s">
        <v>3265</v>
      </c>
      <c r="D248" s="35" t="s">
        <v>3260</v>
      </c>
      <c r="E248" s="6" t="s">
        <v>332</v>
      </c>
      <c r="F248" s="35" t="s">
        <v>72</v>
      </c>
      <c r="G248" s="209" t="s">
        <v>2679</v>
      </c>
      <c r="H248" s="35" t="s">
        <v>571</v>
      </c>
      <c r="I248" s="6" t="s">
        <v>571</v>
      </c>
      <c r="J248" s="35" t="s">
        <v>571</v>
      </c>
      <c r="K248" s="182" t="n">
        <f aca="false">Serving!E22*0.5</f>
        <v>2.5</v>
      </c>
      <c r="L248" s="182" t="n">
        <f aca="false">Serving!E22*2</f>
        <v>10</v>
      </c>
      <c r="M248" s="35" t="s">
        <v>3310</v>
      </c>
      <c r="N248" s="6" t="s">
        <v>3311</v>
      </c>
      <c r="O248" s="6" t="s">
        <v>571</v>
      </c>
      <c r="P248" s="209" t="s">
        <v>2682</v>
      </c>
      <c r="Q248" s="179" t="n">
        <f aca="false">Serving!E22</f>
        <v>5</v>
      </c>
      <c r="R248" s="35" t="s">
        <v>571</v>
      </c>
      <c r="S248" s="34" t="str">
        <f aca="false">IF(ISNUMBER($AF248),INDEX(IDX_SrcStat,$AF248),"—")</f>
        <v>—</v>
      </c>
      <c r="T248" s="34" t="str">
        <f aca="false">IF(ISNUMBER($AF248),INDEX(IDX_SrcGrade,$AF248),"—")</f>
        <v>—</v>
      </c>
      <c r="U248" s="34" t="s">
        <v>2683</v>
      </c>
      <c r="V248" s="183" t="n">
        <f aca="false">IF(AND($F248="原始數據",$U248&lt;&gt;"連結 SRC"),1,0)</f>
        <v>0</v>
      </c>
      <c r="W248" s="183" t="n">
        <f aca="false">IF(AND($F248="Analogy",OR($H248="—",$H248="")),1,0)</f>
        <v>0</v>
      </c>
      <c r="X248" s="183" t="n">
        <f aca="false">IF(AND(OR($F248="Analogy",$F248="Assumed"),$G248&lt;&gt;"低",$G248&lt;&gt;"高",NOT(ISNUMBER($K248)),NOT(ISNUMBER($L248)),OR($M248="—",$M248="")),1,0)</f>
        <v>0</v>
      </c>
      <c r="Y248" s="183" t="n">
        <f aca="false">IF(AND(OR($F248="Analogy",$F248="Assumed",$F248="Derived（待改公式）",$F248="Derived（公式）"),OR($N248="—",$N248="",$N248=0)),1,0)</f>
        <v>0</v>
      </c>
      <c r="Z248" s="183" t="n">
        <f aca="false">IF(AND($F248="Decision",OR($J248="—",$J248="")),1,0)</f>
        <v>0</v>
      </c>
      <c r="AA248" s="180" t="n">
        <f aca="false">IF(OR($J248="—",$J248=""),0,IF(COUNTIF(Decisions!$A$5:$A$300,$J248)=0,1,0))</f>
        <v>0</v>
      </c>
      <c r="AB248" s="183" t="n">
        <f aca="false">IF(AND($F248="原始數據",$S248&lt;&gt;"Active"),1,0)</f>
        <v>0</v>
      </c>
      <c r="AC248" s="183" t="n">
        <f aca="false">IF(AND(ISNUMBER($K248),ISNUMBER($L248),ISNUMBER($Q248)),IF(OR($Q248&lt;MIN($K248,$L248),$Q248&gt;MAX($K248,$L248)),1,0),0)</f>
        <v>0</v>
      </c>
      <c r="AD248" s="183" t="n">
        <f aca="false">IF(AND(ISNUMBER($T248),$P248="高"),IF($T248=3,1,0),0)</f>
        <v>0</v>
      </c>
      <c r="AE248" s="183" t="n">
        <f aca="false">IF($S248="不存在",1,0)</f>
        <v>0</v>
      </c>
      <c r="AF248" s="34" t="str">
        <f aca="false">IF(OR($H248="—",$H248=""),"—",MATCH($H248,IDX_SrcID,0))</f>
        <v>—</v>
      </c>
    </row>
    <row r="249" customFormat="false" ht="29.25" hidden="false" customHeight="true" outlineLevel="0" collapsed="false">
      <c r="A249" s="35" t="s">
        <v>3314</v>
      </c>
      <c r="B249" s="209" t="s">
        <v>2677</v>
      </c>
      <c r="C249" s="35" t="s">
        <v>3265</v>
      </c>
      <c r="D249" s="35" t="s">
        <v>2946</v>
      </c>
      <c r="E249" s="18" t="s">
        <v>3315</v>
      </c>
      <c r="F249" s="35" t="s">
        <v>72</v>
      </c>
      <c r="G249" s="209" t="s">
        <v>2679</v>
      </c>
      <c r="H249" s="35" t="s">
        <v>571</v>
      </c>
      <c r="I249" s="6" t="s">
        <v>571</v>
      </c>
      <c r="J249" s="35" t="s">
        <v>571</v>
      </c>
      <c r="K249" s="182" t="n">
        <f aca="false">Serving!C23*0.5</f>
        <v>4096</v>
      </c>
      <c r="L249" s="182" t="n">
        <f aca="false">Serving!C23*2</f>
        <v>16384</v>
      </c>
      <c r="M249" s="35" t="s">
        <v>3310</v>
      </c>
      <c r="N249" s="18" t="s">
        <v>3316</v>
      </c>
      <c r="O249" s="6" t="s">
        <v>571</v>
      </c>
      <c r="P249" s="209" t="s">
        <v>1100</v>
      </c>
      <c r="Q249" s="40" t="n">
        <f aca="false">Serving!C23</f>
        <v>8192</v>
      </c>
      <c r="R249" s="35" t="s">
        <v>571</v>
      </c>
      <c r="S249" s="34" t="str">
        <f aca="false">IF(ISNUMBER($AF249),INDEX(IDX_SrcStat,$AF249),"—")</f>
        <v>—</v>
      </c>
      <c r="T249" s="34" t="str">
        <f aca="false">IF(ISNUMBER($AF249),INDEX(IDX_SrcGrade,$AF249),"—")</f>
        <v>—</v>
      </c>
      <c r="U249" s="34" t="s">
        <v>2683</v>
      </c>
      <c r="V249" s="183" t="n">
        <f aca="false">IF(AND($F249="原始數據",$U249&lt;&gt;"連結 SRC"),1,0)</f>
        <v>0</v>
      </c>
      <c r="W249" s="183" t="n">
        <f aca="false">IF(AND($F249="Analogy",OR($H249="—",$H249="")),1,0)</f>
        <v>0</v>
      </c>
      <c r="X249" s="183" t="n">
        <f aca="false">IF(AND(OR($F249="Analogy",$F249="Assumed"),$G249&lt;&gt;"低",$G249&lt;&gt;"高",NOT(ISNUMBER($K249)),NOT(ISNUMBER($L249)),OR($M249="—",$M249="")),1,0)</f>
        <v>0</v>
      </c>
      <c r="Y249" s="183" t="n">
        <f aca="false">IF(AND(OR($F249="Analogy",$F249="Assumed",$F249="Derived（待改公式）",$F249="Derived（公式）"),OR($N249="—",$N249="",$N249=0)),1,0)</f>
        <v>0</v>
      </c>
      <c r="Z249" s="183" t="n">
        <f aca="false">IF(AND($F249="Decision",OR($J249="—",$J249="")),1,0)</f>
        <v>0</v>
      </c>
      <c r="AA249" s="180" t="n">
        <f aca="false">IF(OR($J249="—",$J249=""),0,IF(COUNTIF(Decisions!$A$5:$A$300,$J249)=0,1,0))</f>
        <v>0</v>
      </c>
      <c r="AB249" s="183" t="n">
        <f aca="false">IF(AND($F249="原始數據",$S249&lt;&gt;"Active"),1,0)</f>
        <v>0</v>
      </c>
      <c r="AC249" s="183" t="n">
        <f aca="false">IF(AND(ISNUMBER($K249),ISNUMBER($L249),ISNUMBER($Q249)),IF(OR($Q249&lt;MIN($K249,$L249),$Q249&gt;MAX($K249,$L249)),1,0),0)</f>
        <v>0</v>
      </c>
      <c r="AD249" s="183" t="n">
        <f aca="false">IF(AND(ISNUMBER($T249),$P249="高"),IF($T249=3,1,0),0)</f>
        <v>0</v>
      </c>
      <c r="AE249" s="183" t="n">
        <f aca="false">IF($S249="不存在",1,0)</f>
        <v>0</v>
      </c>
      <c r="AF249" s="34" t="str">
        <f aca="false">IF(OR($H249="—",$H249=""),"—",MATCH($H249,IDX_SrcID,0))</f>
        <v>—</v>
      </c>
    </row>
    <row r="250" customFormat="false" ht="29.25" hidden="false" customHeight="true" outlineLevel="0" collapsed="false">
      <c r="A250" s="35" t="s">
        <v>3317</v>
      </c>
      <c r="B250" s="209" t="s">
        <v>2677</v>
      </c>
      <c r="C250" s="35" t="s">
        <v>3265</v>
      </c>
      <c r="D250" s="35" t="s">
        <v>2809</v>
      </c>
      <c r="E250" s="18" t="s">
        <v>3315</v>
      </c>
      <c r="F250" s="35" t="s">
        <v>72</v>
      </c>
      <c r="G250" s="209" t="s">
        <v>2679</v>
      </c>
      <c r="H250" s="35" t="s">
        <v>571</v>
      </c>
      <c r="I250" s="6" t="s">
        <v>571</v>
      </c>
      <c r="J250" s="35" t="s">
        <v>571</v>
      </c>
      <c r="K250" s="182" t="n">
        <f aca="false">Serving!D23*0.5</f>
        <v>8192</v>
      </c>
      <c r="L250" s="182" t="n">
        <v>68000</v>
      </c>
      <c r="M250" s="35" t="s">
        <v>3310</v>
      </c>
      <c r="N250" s="18" t="s">
        <v>3318</v>
      </c>
      <c r="O250" s="6" t="s">
        <v>571</v>
      </c>
      <c r="P250" s="209" t="s">
        <v>1100</v>
      </c>
      <c r="Q250" s="40" t="n">
        <f aca="false">Serving!D23</f>
        <v>16384</v>
      </c>
      <c r="R250" s="35" t="s">
        <v>571</v>
      </c>
      <c r="S250" s="34" t="str">
        <f aca="false">IF(ISNUMBER($AF250),INDEX(IDX_SrcStat,$AF250),"—")</f>
        <v>—</v>
      </c>
      <c r="T250" s="34" t="str">
        <f aca="false">IF(ISNUMBER($AF250),INDEX(IDX_SrcGrade,$AF250),"—")</f>
        <v>—</v>
      </c>
      <c r="U250" s="34" t="s">
        <v>2683</v>
      </c>
      <c r="V250" s="183" t="n">
        <f aca="false">IF(AND($F250="原始數據",$U250&lt;&gt;"連結 SRC"),1,0)</f>
        <v>0</v>
      </c>
      <c r="W250" s="183" t="n">
        <f aca="false">IF(AND($F250="Analogy",OR($H250="—",$H250="")),1,0)</f>
        <v>0</v>
      </c>
      <c r="X250" s="183" t="n">
        <f aca="false">IF(AND(OR($F250="Analogy",$F250="Assumed"),$G250&lt;&gt;"低",$G250&lt;&gt;"高",NOT(ISNUMBER($K250)),NOT(ISNUMBER($L250)),OR($M250="—",$M250="")),1,0)</f>
        <v>0</v>
      </c>
      <c r="Y250" s="183" t="n">
        <f aca="false">IF(AND(OR($F250="Analogy",$F250="Assumed",$F250="Derived（待改公式）",$F250="Derived（公式）"),OR($N250="—",$N250="",$N250=0)),1,0)</f>
        <v>0</v>
      </c>
      <c r="Z250" s="183" t="n">
        <f aca="false">IF(AND($F250="Decision",OR($J250="—",$J250="")),1,0)</f>
        <v>0</v>
      </c>
      <c r="AA250" s="180" t="n">
        <f aca="false">IF(OR($J250="—",$J250=""),0,IF(COUNTIF(Decisions!$A$5:$A$300,$J250)=0,1,0))</f>
        <v>0</v>
      </c>
      <c r="AB250" s="183" t="n">
        <f aca="false">IF(AND($F250="原始數據",$S250&lt;&gt;"Active"),1,0)</f>
        <v>0</v>
      </c>
      <c r="AC250" s="183" t="n">
        <f aca="false">IF(AND(ISNUMBER($K250),ISNUMBER($L250),ISNUMBER($Q250)),IF(OR($Q250&lt;MIN($K250,$L250),$Q250&gt;MAX($K250,$L250)),1,0),0)</f>
        <v>0</v>
      </c>
      <c r="AD250" s="183" t="n">
        <f aca="false">IF(AND(ISNUMBER($T250),$P250="高"),IF($T250=3,1,0),0)</f>
        <v>0</v>
      </c>
      <c r="AE250" s="183" t="n">
        <f aca="false">IF($S250="不存在",1,0)</f>
        <v>0</v>
      </c>
      <c r="AF250" s="34" t="str">
        <f aca="false">IF(OR($H250="—",$H250=""),"—",MATCH($H250,IDX_SrcID,0))</f>
        <v>—</v>
      </c>
    </row>
    <row r="251" customFormat="false" ht="29.25" hidden="false" customHeight="true" outlineLevel="0" collapsed="false">
      <c r="A251" s="35" t="s">
        <v>3319</v>
      </c>
      <c r="B251" s="209" t="s">
        <v>2677</v>
      </c>
      <c r="C251" s="35" t="s">
        <v>3265</v>
      </c>
      <c r="D251" s="35" t="s">
        <v>2814</v>
      </c>
      <c r="E251" s="18" t="s">
        <v>3315</v>
      </c>
      <c r="F251" s="35" t="s">
        <v>72</v>
      </c>
      <c r="G251" s="209" t="s">
        <v>2679</v>
      </c>
      <c r="H251" s="35" t="s">
        <v>571</v>
      </c>
      <c r="I251" s="6" t="s">
        <v>571</v>
      </c>
      <c r="J251" s="35" t="s">
        <v>571</v>
      </c>
      <c r="K251" s="182" t="n">
        <f aca="false">Serving!E23*0.5</f>
        <v>16384</v>
      </c>
      <c r="L251" s="182" t="n">
        <v>68000</v>
      </c>
      <c r="M251" s="35" t="s">
        <v>3310</v>
      </c>
      <c r="N251" s="18" t="s">
        <v>3318</v>
      </c>
      <c r="O251" s="6" t="s">
        <v>571</v>
      </c>
      <c r="P251" s="209" t="s">
        <v>1100</v>
      </c>
      <c r="Q251" s="40" t="n">
        <f aca="false">Serving!E23</f>
        <v>32768</v>
      </c>
      <c r="R251" s="35" t="s">
        <v>571</v>
      </c>
      <c r="S251" s="34" t="str">
        <f aca="false">IF(ISNUMBER($AF251),INDEX(IDX_SrcStat,$AF251),"—")</f>
        <v>—</v>
      </c>
      <c r="T251" s="34" t="str">
        <f aca="false">IF(ISNUMBER($AF251),INDEX(IDX_SrcGrade,$AF251),"—")</f>
        <v>—</v>
      </c>
      <c r="U251" s="34" t="s">
        <v>2683</v>
      </c>
      <c r="V251" s="183" t="n">
        <f aca="false">IF(AND($F251="原始數據",$U251&lt;&gt;"連結 SRC"),1,0)</f>
        <v>0</v>
      </c>
      <c r="W251" s="183" t="n">
        <f aca="false">IF(AND($F251="Analogy",OR($H251="—",$H251="")),1,0)</f>
        <v>0</v>
      </c>
      <c r="X251" s="183" t="n">
        <f aca="false">IF(AND(OR($F251="Analogy",$F251="Assumed"),$G251&lt;&gt;"低",$G251&lt;&gt;"高",NOT(ISNUMBER($K251)),NOT(ISNUMBER($L251)),OR($M251="—",$M251="")),1,0)</f>
        <v>0</v>
      </c>
      <c r="Y251" s="183" t="n">
        <f aca="false">IF(AND(OR($F251="Analogy",$F251="Assumed",$F251="Derived（待改公式）",$F251="Derived（公式）"),OR($N251="—",$N251="",$N251=0)),1,0)</f>
        <v>0</v>
      </c>
      <c r="Z251" s="183" t="n">
        <f aca="false">IF(AND($F251="Decision",OR($J251="—",$J251="")),1,0)</f>
        <v>0</v>
      </c>
      <c r="AA251" s="180" t="n">
        <f aca="false">IF(OR($J251="—",$J251=""),0,IF(COUNTIF(Decisions!$A$5:$A$300,$J251)=0,1,0))</f>
        <v>0</v>
      </c>
      <c r="AB251" s="183" t="n">
        <f aca="false">IF(AND($F251="原始數據",$S251&lt;&gt;"Active"),1,0)</f>
        <v>0</v>
      </c>
      <c r="AC251" s="183" t="n">
        <f aca="false">IF(AND(ISNUMBER($K251),ISNUMBER($L251),ISNUMBER($Q251)),IF(OR($Q251&lt;MIN($K251,$L251),$Q251&gt;MAX($K251,$L251)),1,0),0)</f>
        <v>0</v>
      </c>
      <c r="AD251" s="183" t="n">
        <f aca="false">IF(AND(ISNUMBER($T251),$P251="高"),IF($T251=3,1,0),0)</f>
        <v>0</v>
      </c>
      <c r="AE251" s="183" t="n">
        <f aca="false">IF($S251="不存在",1,0)</f>
        <v>0</v>
      </c>
      <c r="AF251" s="34" t="str">
        <f aca="false">IF(OR($H251="—",$H251=""),"—",MATCH($H251,IDX_SrcID,0))</f>
        <v>—</v>
      </c>
    </row>
    <row r="252" customFormat="false" ht="15" hidden="false" customHeight="true" outlineLevel="0" collapsed="false">
      <c r="A252" s="35" t="s">
        <v>3320</v>
      </c>
      <c r="B252" s="209" t="s">
        <v>2677</v>
      </c>
      <c r="C252" s="35" t="s">
        <v>3265</v>
      </c>
      <c r="D252" s="35" t="s">
        <v>2963</v>
      </c>
      <c r="E252" s="18" t="s">
        <v>3321</v>
      </c>
      <c r="F252" s="35" t="s">
        <v>72</v>
      </c>
      <c r="G252" s="209" t="s">
        <v>2679</v>
      </c>
      <c r="H252" s="35" t="s">
        <v>571</v>
      </c>
      <c r="I252" s="6" t="s">
        <v>571</v>
      </c>
      <c r="J252" s="35" t="s">
        <v>571</v>
      </c>
      <c r="K252" s="182" t="n">
        <f aca="false">Serving!C24*0.5</f>
        <v>512</v>
      </c>
      <c r="L252" s="182" t="n">
        <f aca="false">Serving!C24*2</f>
        <v>2048</v>
      </c>
      <c r="M252" s="35" t="s">
        <v>3310</v>
      </c>
      <c r="N252" s="18" t="s">
        <v>3321</v>
      </c>
      <c r="O252" s="6" t="s">
        <v>571</v>
      </c>
      <c r="P252" s="209" t="s">
        <v>1100</v>
      </c>
      <c r="Q252" s="40" t="n">
        <f aca="false">Serving!C24</f>
        <v>1024</v>
      </c>
      <c r="R252" s="35" t="s">
        <v>571</v>
      </c>
      <c r="S252" s="34" t="str">
        <f aca="false">IF(ISNUMBER($AF252),INDEX(IDX_SrcStat,$AF252),"—")</f>
        <v>—</v>
      </c>
      <c r="T252" s="34" t="str">
        <f aca="false">IF(ISNUMBER($AF252),INDEX(IDX_SrcGrade,$AF252),"—")</f>
        <v>—</v>
      </c>
      <c r="U252" s="34" t="s">
        <v>2683</v>
      </c>
      <c r="V252" s="183" t="n">
        <f aca="false">IF(AND($F252="原始數據",$U252&lt;&gt;"連結 SRC"),1,0)</f>
        <v>0</v>
      </c>
      <c r="W252" s="183" t="n">
        <f aca="false">IF(AND($F252="Analogy",OR($H252="—",$H252="")),1,0)</f>
        <v>0</v>
      </c>
      <c r="X252" s="183" t="n">
        <f aca="false">IF(AND(OR($F252="Analogy",$F252="Assumed"),$G252&lt;&gt;"低",$G252&lt;&gt;"高",NOT(ISNUMBER($K252)),NOT(ISNUMBER($L252)),OR($M252="—",$M252="")),1,0)</f>
        <v>0</v>
      </c>
      <c r="Y252" s="183" t="n">
        <f aca="false">IF(AND(OR($F252="Analogy",$F252="Assumed",$F252="Derived（待改公式）",$F252="Derived（公式）"),OR($N252="—",$N252="",$N252=0)),1,0)</f>
        <v>0</v>
      </c>
      <c r="Z252" s="183" t="n">
        <f aca="false">IF(AND($F252="Decision",OR($J252="—",$J252="")),1,0)</f>
        <v>0</v>
      </c>
      <c r="AA252" s="180" t="n">
        <f aca="false">IF(OR($J252="—",$J252=""),0,IF(COUNTIF(Decisions!$A$5:$A$300,$J252)=0,1,0))</f>
        <v>0</v>
      </c>
      <c r="AB252" s="183" t="n">
        <f aca="false">IF(AND($F252="原始數據",$S252&lt;&gt;"Active"),1,0)</f>
        <v>0</v>
      </c>
      <c r="AC252" s="183" t="n">
        <f aca="false">IF(AND(ISNUMBER($K252),ISNUMBER($L252),ISNUMBER($Q252)),IF(OR($Q252&lt;MIN($K252,$L252),$Q252&gt;MAX($K252,$L252)),1,0),0)</f>
        <v>0</v>
      </c>
      <c r="AD252" s="183" t="n">
        <f aca="false">IF(AND(ISNUMBER($T252),$P252="高"),IF($T252=3,1,0),0)</f>
        <v>0</v>
      </c>
      <c r="AE252" s="183" t="n">
        <f aca="false">IF($S252="不存在",1,0)</f>
        <v>0</v>
      </c>
      <c r="AF252" s="34" t="str">
        <f aca="false">IF(OR($H252="—",$H252=""),"—",MATCH($H252,IDX_SrcID,0))</f>
        <v>—</v>
      </c>
    </row>
    <row r="253" customFormat="false" ht="15" hidden="false" customHeight="true" outlineLevel="0" collapsed="false">
      <c r="A253" s="35" t="s">
        <v>3322</v>
      </c>
      <c r="B253" s="209" t="s">
        <v>2677</v>
      </c>
      <c r="C253" s="35" t="s">
        <v>3265</v>
      </c>
      <c r="D253" s="35" t="s">
        <v>2968</v>
      </c>
      <c r="E253" s="18" t="s">
        <v>3321</v>
      </c>
      <c r="F253" s="35" t="s">
        <v>72</v>
      </c>
      <c r="G253" s="209" t="s">
        <v>2679</v>
      </c>
      <c r="H253" s="35" t="s">
        <v>571</v>
      </c>
      <c r="I253" s="6" t="s">
        <v>571</v>
      </c>
      <c r="J253" s="35" t="s">
        <v>571</v>
      </c>
      <c r="K253" s="182" t="n">
        <f aca="false">Serving!D24*0.5</f>
        <v>1024</v>
      </c>
      <c r="L253" s="182" t="n">
        <f aca="false">Serving!D24*2</f>
        <v>4096</v>
      </c>
      <c r="M253" s="35" t="s">
        <v>3310</v>
      </c>
      <c r="N253" s="18" t="s">
        <v>3321</v>
      </c>
      <c r="O253" s="6" t="s">
        <v>571</v>
      </c>
      <c r="P253" s="209" t="s">
        <v>1100</v>
      </c>
      <c r="Q253" s="40" t="n">
        <f aca="false">Serving!D24</f>
        <v>2048</v>
      </c>
      <c r="R253" s="35" t="s">
        <v>571</v>
      </c>
      <c r="S253" s="34" t="str">
        <f aca="false">IF(ISNUMBER($AF253),INDEX(IDX_SrcStat,$AF253),"—")</f>
        <v>—</v>
      </c>
      <c r="T253" s="34" t="str">
        <f aca="false">IF(ISNUMBER($AF253),INDEX(IDX_SrcGrade,$AF253),"—")</f>
        <v>—</v>
      </c>
      <c r="U253" s="34" t="s">
        <v>2683</v>
      </c>
      <c r="V253" s="183" t="n">
        <f aca="false">IF(AND($F253="原始數據",$U253&lt;&gt;"連結 SRC"),1,0)</f>
        <v>0</v>
      </c>
      <c r="W253" s="183" t="n">
        <f aca="false">IF(AND($F253="Analogy",OR($H253="—",$H253="")),1,0)</f>
        <v>0</v>
      </c>
      <c r="X253" s="183" t="n">
        <f aca="false">IF(AND(OR($F253="Analogy",$F253="Assumed"),$G253&lt;&gt;"低",$G253&lt;&gt;"高",NOT(ISNUMBER($K253)),NOT(ISNUMBER($L253)),OR($M253="—",$M253="")),1,0)</f>
        <v>0</v>
      </c>
      <c r="Y253" s="183" t="n">
        <f aca="false">IF(AND(OR($F253="Analogy",$F253="Assumed",$F253="Derived（待改公式）",$F253="Derived（公式）"),OR($N253="—",$N253="",$N253=0)),1,0)</f>
        <v>0</v>
      </c>
      <c r="Z253" s="183" t="n">
        <f aca="false">IF(AND($F253="Decision",OR($J253="—",$J253="")),1,0)</f>
        <v>0</v>
      </c>
      <c r="AA253" s="180" t="n">
        <f aca="false">IF(OR($J253="—",$J253=""),0,IF(COUNTIF(Decisions!$A$5:$A$300,$J253)=0,1,0))</f>
        <v>0</v>
      </c>
      <c r="AB253" s="183" t="n">
        <f aca="false">IF(AND($F253="原始數據",$S253&lt;&gt;"Active"),1,0)</f>
        <v>0</v>
      </c>
      <c r="AC253" s="183" t="n">
        <f aca="false">IF(AND(ISNUMBER($K253),ISNUMBER($L253),ISNUMBER($Q253)),IF(OR($Q253&lt;MIN($K253,$L253),$Q253&gt;MAX($K253,$L253)),1,0),0)</f>
        <v>0</v>
      </c>
      <c r="AD253" s="183" t="n">
        <f aca="false">IF(AND(ISNUMBER($T253),$P253="高"),IF($T253=3,1,0),0)</f>
        <v>0</v>
      </c>
      <c r="AE253" s="183" t="n">
        <f aca="false">IF($S253="不存在",1,0)</f>
        <v>0</v>
      </c>
      <c r="AF253" s="34" t="str">
        <f aca="false">IF(OR($H253="—",$H253=""),"—",MATCH($H253,IDX_SrcID,0))</f>
        <v>—</v>
      </c>
    </row>
    <row r="254" customFormat="false" ht="15" hidden="false" customHeight="true" outlineLevel="0" collapsed="false">
      <c r="A254" s="35" t="s">
        <v>3323</v>
      </c>
      <c r="B254" s="209" t="s">
        <v>2677</v>
      </c>
      <c r="C254" s="35" t="s">
        <v>3265</v>
      </c>
      <c r="D254" s="35" t="s">
        <v>2819</v>
      </c>
      <c r="E254" s="18" t="s">
        <v>3321</v>
      </c>
      <c r="F254" s="35" t="s">
        <v>72</v>
      </c>
      <c r="G254" s="209" t="s">
        <v>2679</v>
      </c>
      <c r="H254" s="35" t="s">
        <v>571</v>
      </c>
      <c r="I254" s="6" t="s">
        <v>571</v>
      </c>
      <c r="J254" s="35" t="s">
        <v>571</v>
      </c>
      <c r="K254" s="182" t="n">
        <f aca="false">Serving!E24*0.5</f>
        <v>2048</v>
      </c>
      <c r="L254" s="182" t="n">
        <f aca="false">Serving!E24*2</f>
        <v>8192</v>
      </c>
      <c r="M254" s="35" t="s">
        <v>3310</v>
      </c>
      <c r="N254" s="18" t="s">
        <v>3321</v>
      </c>
      <c r="O254" s="6" t="s">
        <v>571</v>
      </c>
      <c r="P254" s="209" t="s">
        <v>1100</v>
      </c>
      <c r="Q254" s="40" t="n">
        <f aca="false">Serving!E24</f>
        <v>4096</v>
      </c>
      <c r="R254" s="35" t="s">
        <v>571</v>
      </c>
      <c r="S254" s="34" t="str">
        <f aca="false">IF(ISNUMBER($AF254),INDEX(IDX_SrcStat,$AF254),"—")</f>
        <v>—</v>
      </c>
      <c r="T254" s="34" t="str">
        <f aca="false">IF(ISNUMBER($AF254),INDEX(IDX_SrcGrade,$AF254),"—")</f>
        <v>—</v>
      </c>
      <c r="U254" s="34" t="s">
        <v>2683</v>
      </c>
      <c r="V254" s="183" t="n">
        <f aca="false">IF(AND($F254="原始數據",$U254&lt;&gt;"連結 SRC"),1,0)</f>
        <v>0</v>
      </c>
      <c r="W254" s="183" t="n">
        <f aca="false">IF(AND($F254="Analogy",OR($H254="—",$H254="")),1,0)</f>
        <v>0</v>
      </c>
      <c r="X254" s="183" t="n">
        <f aca="false">IF(AND(OR($F254="Analogy",$F254="Assumed"),$G254&lt;&gt;"低",$G254&lt;&gt;"高",NOT(ISNUMBER($K254)),NOT(ISNUMBER($L254)),OR($M254="—",$M254="")),1,0)</f>
        <v>0</v>
      </c>
      <c r="Y254" s="183" t="n">
        <f aca="false">IF(AND(OR($F254="Analogy",$F254="Assumed",$F254="Derived（待改公式）",$F254="Derived（公式）"),OR($N254="—",$N254="",$N254=0)),1,0)</f>
        <v>0</v>
      </c>
      <c r="Z254" s="183" t="n">
        <f aca="false">IF(AND($F254="Decision",OR($J254="—",$J254="")),1,0)</f>
        <v>0</v>
      </c>
      <c r="AA254" s="180" t="n">
        <f aca="false">IF(OR($J254="—",$J254=""),0,IF(COUNTIF(Decisions!$A$5:$A$300,$J254)=0,1,0))</f>
        <v>0</v>
      </c>
      <c r="AB254" s="183" t="n">
        <f aca="false">IF(AND($F254="原始數據",$S254&lt;&gt;"Active"),1,0)</f>
        <v>0</v>
      </c>
      <c r="AC254" s="183" t="n">
        <f aca="false">IF(AND(ISNUMBER($K254),ISNUMBER($L254),ISNUMBER($Q254)),IF(OR($Q254&lt;MIN($K254,$L254),$Q254&gt;MAX($K254,$L254)),1,0),0)</f>
        <v>0</v>
      </c>
      <c r="AD254" s="183" t="n">
        <f aca="false">IF(AND(ISNUMBER($T254),$P254="高"),IF($T254=3,1,0),0)</f>
        <v>0</v>
      </c>
      <c r="AE254" s="183" t="n">
        <f aca="false">IF($S254="不存在",1,0)</f>
        <v>0</v>
      </c>
      <c r="AF254" s="34" t="str">
        <f aca="false">IF(OR($H254="—",$H254=""),"—",MATCH($H254,IDX_SrcID,0))</f>
        <v>—</v>
      </c>
    </row>
    <row r="255" customFormat="false" ht="29.25" hidden="false" customHeight="true" outlineLevel="0" collapsed="false">
      <c r="A255" s="35" t="s">
        <v>3324</v>
      </c>
      <c r="B255" s="209" t="s">
        <v>2677</v>
      </c>
      <c r="C255" s="35" t="s">
        <v>3325</v>
      </c>
      <c r="D255" s="35" t="s">
        <v>3326</v>
      </c>
      <c r="E255" s="18" t="s">
        <v>3327</v>
      </c>
      <c r="F255" s="35" t="s">
        <v>72</v>
      </c>
      <c r="G255" s="209" t="s">
        <v>2679</v>
      </c>
      <c r="H255" s="35" t="s">
        <v>571</v>
      </c>
      <c r="I255" s="6" t="s">
        <v>571</v>
      </c>
      <c r="J255" s="35" t="s">
        <v>571</v>
      </c>
      <c r="K255" s="182" t="n">
        <f aca="false">MAX(1,Workload!C5*0.5)</f>
        <v>1</v>
      </c>
      <c r="L255" s="182" t="n">
        <f aca="false">Workload!C5*2</f>
        <v>2</v>
      </c>
      <c r="M255" s="35" t="s">
        <v>3328</v>
      </c>
      <c r="N255" s="18" t="s">
        <v>3329</v>
      </c>
      <c r="O255" s="6" t="s">
        <v>571</v>
      </c>
      <c r="P255" s="209" t="s">
        <v>1100</v>
      </c>
      <c r="Q255" s="40" t="n">
        <f aca="false">Workload!C5</f>
        <v>1</v>
      </c>
      <c r="R255" s="35" t="s">
        <v>571</v>
      </c>
      <c r="S255" s="34" t="str">
        <f aca="false">IF(ISNUMBER($AF255),INDEX(IDX_SrcStat,$AF255),"—")</f>
        <v>—</v>
      </c>
      <c r="T255" s="34" t="str">
        <f aca="false">IF(ISNUMBER($AF255),INDEX(IDX_SrcGrade,$AF255),"—")</f>
        <v>—</v>
      </c>
      <c r="U255" s="34" t="s">
        <v>2683</v>
      </c>
      <c r="V255" s="183" t="n">
        <f aca="false">IF(AND($F255="原始數據",$U255&lt;&gt;"連結 SRC"),1,0)</f>
        <v>0</v>
      </c>
      <c r="W255" s="183" t="n">
        <f aca="false">IF(AND($F255="Analogy",OR($H255="—",$H255="")),1,0)</f>
        <v>0</v>
      </c>
      <c r="X255" s="183" t="n">
        <f aca="false">IF(AND(OR($F255="Analogy",$F255="Assumed"),$G255&lt;&gt;"低",$G255&lt;&gt;"高",NOT(ISNUMBER($K255)),NOT(ISNUMBER($L255)),OR($M255="—",$M255="")),1,0)</f>
        <v>0</v>
      </c>
      <c r="Y255" s="183" t="n">
        <f aca="false">IF(AND(OR($F255="Analogy",$F255="Assumed",$F255="Derived（待改公式）",$F255="Derived（公式）"),OR($N255="—",$N255="",$N255=0)),1,0)</f>
        <v>0</v>
      </c>
      <c r="Z255" s="183" t="n">
        <f aca="false">IF(AND($F255="Decision",OR($J255="—",$J255="")),1,0)</f>
        <v>0</v>
      </c>
      <c r="AA255" s="180" t="n">
        <f aca="false">IF(OR($J255="—",$J255=""),0,IF(COUNTIF(Decisions!$A$5:$A$300,$J255)=0,1,0))</f>
        <v>0</v>
      </c>
      <c r="AB255" s="183" t="n">
        <f aca="false">IF(AND($F255="原始數據",$S255&lt;&gt;"Active"),1,0)</f>
        <v>0</v>
      </c>
      <c r="AC255" s="183" t="n">
        <f aca="false">IF(AND(ISNUMBER($K255),ISNUMBER($L255),ISNUMBER($Q255)),IF(OR($Q255&lt;MIN($K255,$L255),$Q255&gt;MAX($K255,$L255)),1,0),0)</f>
        <v>0</v>
      </c>
      <c r="AD255" s="183" t="n">
        <f aca="false">IF(AND(ISNUMBER($T255),$P255="高"),IF($T255=3,1,0),0)</f>
        <v>0</v>
      </c>
      <c r="AE255" s="183" t="n">
        <f aca="false">IF($S255="不存在",1,0)</f>
        <v>0</v>
      </c>
      <c r="AF255" s="34" t="str">
        <f aca="false">IF(OR($H255="—",$H255=""),"—",MATCH($H255,IDX_SrcID,0))</f>
        <v>—</v>
      </c>
    </row>
    <row r="256" customFormat="false" ht="29.25" hidden="false" customHeight="true" outlineLevel="0" collapsed="false">
      <c r="A256" s="35" t="s">
        <v>3330</v>
      </c>
      <c r="B256" s="209" t="s">
        <v>2677</v>
      </c>
      <c r="C256" s="35" t="s">
        <v>3325</v>
      </c>
      <c r="D256" s="35" t="s">
        <v>3331</v>
      </c>
      <c r="E256" s="18" t="s">
        <v>3327</v>
      </c>
      <c r="F256" s="35" t="s">
        <v>72</v>
      </c>
      <c r="G256" s="209" t="s">
        <v>2679</v>
      </c>
      <c r="H256" s="35" t="s">
        <v>571</v>
      </c>
      <c r="I256" s="6" t="s">
        <v>571</v>
      </c>
      <c r="J256" s="35" t="s">
        <v>571</v>
      </c>
      <c r="K256" s="182" t="n">
        <f aca="false">MAX(1,Workload!D5*0.5)</f>
        <v>1</v>
      </c>
      <c r="L256" s="182" t="n">
        <f aca="false">Workload!D5*2</f>
        <v>2</v>
      </c>
      <c r="M256" s="35" t="s">
        <v>3328</v>
      </c>
      <c r="N256" s="18" t="s">
        <v>3329</v>
      </c>
      <c r="O256" s="6" t="s">
        <v>571</v>
      </c>
      <c r="P256" s="209" t="s">
        <v>1100</v>
      </c>
      <c r="Q256" s="40" t="n">
        <f aca="false">Workload!D5</f>
        <v>1</v>
      </c>
      <c r="R256" s="35" t="s">
        <v>571</v>
      </c>
      <c r="S256" s="34" t="str">
        <f aca="false">IF(ISNUMBER($AF256),INDEX(IDX_SrcStat,$AF256),"—")</f>
        <v>—</v>
      </c>
      <c r="T256" s="34" t="str">
        <f aca="false">IF(ISNUMBER($AF256),INDEX(IDX_SrcGrade,$AF256),"—")</f>
        <v>—</v>
      </c>
      <c r="U256" s="34" t="s">
        <v>2683</v>
      </c>
      <c r="V256" s="183" t="n">
        <f aca="false">IF(AND($F256="原始數據",$U256&lt;&gt;"連結 SRC"),1,0)</f>
        <v>0</v>
      </c>
      <c r="W256" s="183" t="n">
        <f aca="false">IF(AND($F256="Analogy",OR($H256="—",$H256="")),1,0)</f>
        <v>0</v>
      </c>
      <c r="X256" s="183" t="n">
        <f aca="false">IF(AND(OR($F256="Analogy",$F256="Assumed"),$G256&lt;&gt;"低",$G256&lt;&gt;"高",NOT(ISNUMBER($K256)),NOT(ISNUMBER($L256)),OR($M256="—",$M256="")),1,0)</f>
        <v>0</v>
      </c>
      <c r="Y256" s="183" t="n">
        <f aca="false">IF(AND(OR($F256="Analogy",$F256="Assumed",$F256="Derived（待改公式）",$F256="Derived（公式）"),OR($N256="—",$N256="",$N256=0)),1,0)</f>
        <v>0</v>
      </c>
      <c r="Z256" s="183" t="n">
        <f aca="false">IF(AND($F256="Decision",OR($J256="—",$J256="")),1,0)</f>
        <v>0</v>
      </c>
      <c r="AA256" s="180" t="n">
        <f aca="false">IF(OR($J256="—",$J256=""),0,IF(COUNTIF(Decisions!$A$5:$A$300,$J256)=0,1,0))</f>
        <v>0</v>
      </c>
      <c r="AB256" s="183" t="n">
        <f aca="false">IF(AND($F256="原始數據",$S256&lt;&gt;"Active"),1,0)</f>
        <v>0</v>
      </c>
      <c r="AC256" s="183" t="n">
        <f aca="false">IF(AND(ISNUMBER($K256),ISNUMBER($L256),ISNUMBER($Q256)),IF(OR($Q256&lt;MIN($K256,$L256),$Q256&gt;MAX($K256,$L256)),1,0),0)</f>
        <v>0</v>
      </c>
      <c r="AD256" s="183" t="n">
        <f aca="false">IF(AND(ISNUMBER($T256),$P256="高"),IF($T256=3,1,0),0)</f>
        <v>0</v>
      </c>
      <c r="AE256" s="183" t="n">
        <f aca="false">IF($S256="不存在",1,0)</f>
        <v>0</v>
      </c>
      <c r="AF256" s="34" t="str">
        <f aca="false">IF(OR($H256="—",$H256=""),"—",MATCH($H256,IDX_SrcID,0))</f>
        <v>—</v>
      </c>
    </row>
    <row r="257" customFormat="false" ht="29.25" hidden="false" customHeight="true" outlineLevel="0" collapsed="false">
      <c r="A257" s="35" t="s">
        <v>3332</v>
      </c>
      <c r="B257" s="209" t="s">
        <v>2677</v>
      </c>
      <c r="C257" s="35" t="s">
        <v>3325</v>
      </c>
      <c r="D257" s="35" t="s">
        <v>2577</v>
      </c>
      <c r="E257" s="18" t="s">
        <v>3327</v>
      </c>
      <c r="F257" s="35" t="s">
        <v>72</v>
      </c>
      <c r="G257" s="209" t="s">
        <v>2679</v>
      </c>
      <c r="H257" s="35" t="s">
        <v>571</v>
      </c>
      <c r="I257" s="6" t="s">
        <v>571</v>
      </c>
      <c r="J257" s="35" t="s">
        <v>571</v>
      </c>
      <c r="K257" s="182" t="n">
        <f aca="false">MAX(1,Workload!E5*0.5)</f>
        <v>2</v>
      </c>
      <c r="L257" s="182" t="n">
        <f aca="false">Workload!E5*2</f>
        <v>8</v>
      </c>
      <c r="M257" s="35" t="s">
        <v>3328</v>
      </c>
      <c r="N257" s="18" t="s">
        <v>3329</v>
      </c>
      <c r="O257" s="6" t="s">
        <v>571</v>
      </c>
      <c r="P257" s="209" t="s">
        <v>1100</v>
      </c>
      <c r="Q257" s="40" t="n">
        <f aca="false">Workload!E5</f>
        <v>4</v>
      </c>
      <c r="R257" s="35" t="s">
        <v>571</v>
      </c>
      <c r="S257" s="34" t="str">
        <f aca="false">IF(ISNUMBER($AF257),INDEX(IDX_SrcStat,$AF257),"—")</f>
        <v>—</v>
      </c>
      <c r="T257" s="34" t="str">
        <f aca="false">IF(ISNUMBER($AF257),INDEX(IDX_SrcGrade,$AF257),"—")</f>
        <v>—</v>
      </c>
      <c r="U257" s="34" t="s">
        <v>2683</v>
      </c>
      <c r="V257" s="183" t="n">
        <f aca="false">IF(AND($F257="原始數據",$U257&lt;&gt;"連結 SRC"),1,0)</f>
        <v>0</v>
      </c>
      <c r="W257" s="183" t="n">
        <f aca="false">IF(AND($F257="Analogy",OR($H257="—",$H257="")),1,0)</f>
        <v>0</v>
      </c>
      <c r="X257" s="183" t="n">
        <f aca="false">IF(AND(OR($F257="Analogy",$F257="Assumed"),$G257&lt;&gt;"低",$G257&lt;&gt;"高",NOT(ISNUMBER($K257)),NOT(ISNUMBER($L257)),OR($M257="—",$M257="")),1,0)</f>
        <v>0</v>
      </c>
      <c r="Y257" s="183" t="n">
        <f aca="false">IF(AND(OR($F257="Analogy",$F257="Assumed",$F257="Derived（待改公式）",$F257="Derived（公式）"),OR($N257="—",$N257="",$N257=0)),1,0)</f>
        <v>0</v>
      </c>
      <c r="Z257" s="183" t="n">
        <f aca="false">IF(AND($F257="Decision",OR($J257="—",$J257="")),1,0)</f>
        <v>0</v>
      </c>
      <c r="AA257" s="180" t="n">
        <f aca="false">IF(OR($J257="—",$J257=""),0,IF(COUNTIF(Decisions!$A$5:$A$300,$J257)=0,1,0))</f>
        <v>0</v>
      </c>
      <c r="AB257" s="183" t="n">
        <f aca="false">IF(AND($F257="原始數據",$S257&lt;&gt;"Active"),1,0)</f>
        <v>0</v>
      </c>
      <c r="AC257" s="183" t="n">
        <f aca="false">IF(AND(ISNUMBER($K257),ISNUMBER($L257),ISNUMBER($Q257)),IF(OR($Q257&lt;MIN($K257,$L257),$Q257&gt;MAX($K257,$L257)),1,0),0)</f>
        <v>0</v>
      </c>
      <c r="AD257" s="183" t="n">
        <f aca="false">IF(AND(ISNUMBER($T257),$P257="高"),IF($T257=3,1,0),0)</f>
        <v>0</v>
      </c>
      <c r="AE257" s="183" t="n">
        <f aca="false">IF($S257="不存在",1,0)</f>
        <v>0</v>
      </c>
      <c r="AF257" s="34" t="str">
        <f aca="false">IF(OR($H257="—",$H257=""),"—",MATCH($H257,IDX_SrcID,0))</f>
        <v>—</v>
      </c>
    </row>
    <row r="258" customFormat="false" ht="29.25" hidden="false" customHeight="true" outlineLevel="0" collapsed="false">
      <c r="A258" s="35" t="s">
        <v>3333</v>
      </c>
      <c r="B258" s="209" t="s">
        <v>2677</v>
      </c>
      <c r="C258" s="35" t="s">
        <v>3325</v>
      </c>
      <c r="D258" s="35" t="s">
        <v>3334</v>
      </c>
      <c r="E258" s="18" t="s">
        <v>3327</v>
      </c>
      <c r="F258" s="35" t="s">
        <v>72</v>
      </c>
      <c r="G258" s="209" t="s">
        <v>2679</v>
      </c>
      <c r="H258" s="35" t="s">
        <v>571</v>
      </c>
      <c r="I258" s="6" t="s">
        <v>571</v>
      </c>
      <c r="J258" s="35" t="s">
        <v>571</v>
      </c>
      <c r="K258" s="182" t="n">
        <f aca="false">MAX(1,Workload!F5*0.5)</f>
        <v>2</v>
      </c>
      <c r="L258" s="182" t="n">
        <f aca="false">Workload!F5*2</f>
        <v>8</v>
      </c>
      <c r="M258" s="35" t="s">
        <v>3328</v>
      </c>
      <c r="N258" s="18" t="s">
        <v>3329</v>
      </c>
      <c r="O258" s="6" t="s">
        <v>571</v>
      </c>
      <c r="P258" s="209" t="s">
        <v>1100</v>
      </c>
      <c r="Q258" s="40" t="n">
        <f aca="false">Workload!F5</f>
        <v>4</v>
      </c>
      <c r="R258" s="35" t="s">
        <v>571</v>
      </c>
      <c r="S258" s="34" t="str">
        <f aca="false">IF(ISNUMBER($AF258),INDEX(IDX_SrcStat,$AF258),"—")</f>
        <v>—</v>
      </c>
      <c r="T258" s="34" t="str">
        <f aca="false">IF(ISNUMBER($AF258),INDEX(IDX_SrcGrade,$AF258),"—")</f>
        <v>—</v>
      </c>
      <c r="U258" s="34" t="s">
        <v>2683</v>
      </c>
      <c r="V258" s="183" t="n">
        <f aca="false">IF(AND($F258="原始數據",$U258&lt;&gt;"連結 SRC"),1,0)</f>
        <v>0</v>
      </c>
      <c r="W258" s="183" t="n">
        <f aca="false">IF(AND($F258="Analogy",OR($H258="—",$H258="")),1,0)</f>
        <v>0</v>
      </c>
      <c r="X258" s="183" t="n">
        <f aca="false">IF(AND(OR($F258="Analogy",$F258="Assumed"),$G258&lt;&gt;"低",$G258&lt;&gt;"高",NOT(ISNUMBER($K258)),NOT(ISNUMBER($L258)),OR($M258="—",$M258="")),1,0)</f>
        <v>0</v>
      </c>
      <c r="Y258" s="183" t="n">
        <f aca="false">IF(AND(OR($F258="Analogy",$F258="Assumed",$F258="Derived（待改公式）",$F258="Derived（公式）"),OR($N258="—",$N258="",$N258=0)),1,0)</f>
        <v>0</v>
      </c>
      <c r="Z258" s="183" t="n">
        <f aca="false">IF(AND($F258="Decision",OR($J258="—",$J258="")),1,0)</f>
        <v>0</v>
      </c>
      <c r="AA258" s="180" t="n">
        <f aca="false">IF(OR($J258="—",$J258=""),0,IF(COUNTIF(Decisions!$A$5:$A$300,$J258)=0,1,0))</f>
        <v>0</v>
      </c>
      <c r="AB258" s="183" t="n">
        <f aca="false">IF(AND($F258="原始數據",$S258&lt;&gt;"Active"),1,0)</f>
        <v>0</v>
      </c>
      <c r="AC258" s="183" t="n">
        <f aca="false">IF(AND(ISNUMBER($K258),ISNUMBER($L258),ISNUMBER($Q258)),IF(OR($Q258&lt;MIN($K258,$L258),$Q258&gt;MAX($K258,$L258)),1,0),0)</f>
        <v>0</v>
      </c>
      <c r="AD258" s="183" t="n">
        <f aca="false">IF(AND(ISNUMBER($T258),$P258="高"),IF($T258=3,1,0),0)</f>
        <v>0</v>
      </c>
      <c r="AE258" s="183" t="n">
        <f aca="false">IF($S258="不存在",1,0)</f>
        <v>0</v>
      </c>
      <c r="AF258" s="34" t="str">
        <f aca="false">IF(OR($H258="—",$H258=""),"—",MATCH($H258,IDX_SrcID,0))</f>
        <v>—</v>
      </c>
    </row>
    <row r="259" customFormat="false" ht="29.25" hidden="false" customHeight="true" outlineLevel="0" collapsed="false">
      <c r="A259" s="35" t="s">
        <v>3335</v>
      </c>
      <c r="B259" s="209" t="s">
        <v>2677</v>
      </c>
      <c r="C259" s="35" t="s">
        <v>3325</v>
      </c>
      <c r="D259" s="35" t="s">
        <v>3336</v>
      </c>
      <c r="E259" s="18" t="s">
        <v>3327</v>
      </c>
      <c r="F259" s="35" t="s">
        <v>72</v>
      </c>
      <c r="G259" s="209" t="s">
        <v>2679</v>
      </c>
      <c r="H259" s="35" t="s">
        <v>571</v>
      </c>
      <c r="I259" s="6" t="s">
        <v>571</v>
      </c>
      <c r="J259" s="35" t="s">
        <v>571</v>
      </c>
      <c r="K259" s="182" t="n">
        <f aca="false">MAX(1,Workload!G5*0.5)</f>
        <v>15</v>
      </c>
      <c r="L259" s="182" t="n">
        <f aca="false">Workload!G5*2</f>
        <v>60</v>
      </c>
      <c r="M259" s="35" t="s">
        <v>3328</v>
      </c>
      <c r="N259" s="18" t="s">
        <v>3337</v>
      </c>
      <c r="O259" s="6" t="s">
        <v>571</v>
      </c>
      <c r="P259" s="209" t="s">
        <v>1100</v>
      </c>
      <c r="Q259" s="40" t="n">
        <f aca="false">Workload!G5</f>
        <v>30</v>
      </c>
      <c r="R259" s="35" t="s">
        <v>571</v>
      </c>
      <c r="S259" s="34" t="str">
        <f aca="false">IF(ISNUMBER($AF259),INDEX(IDX_SrcStat,$AF259),"—")</f>
        <v>—</v>
      </c>
      <c r="T259" s="34" t="str">
        <f aca="false">IF(ISNUMBER($AF259),INDEX(IDX_SrcGrade,$AF259),"—")</f>
        <v>—</v>
      </c>
      <c r="U259" s="34" t="s">
        <v>2683</v>
      </c>
      <c r="V259" s="183" t="n">
        <f aca="false">IF(AND($F259="原始數據",$U259&lt;&gt;"連結 SRC"),1,0)</f>
        <v>0</v>
      </c>
      <c r="W259" s="183" t="n">
        <f aca="false">IF(AND($F259="Analogy",OR($H259="—",$H259="")),1,0)</f>
        <v>0</v>
      </c>
      <c r="X259" s="183" t="n">
        <f aca="false">IF(AND(OR($F259="Analogy",$F259="Assumed"),$G259&lt;&gt;"低",$G259&lt;&gt;"高",NOT(ISNUMBER($K259)),NOT(ISNUMBER($L259)),OR($M259="—",$M259="")),1,0)</f>
        <v>0</v>
      </c>
      <c r="Y259" s="183" t="n">
        <f aca="false">IF(AND(OR($F259="Analogy",$F259="Assumed",$F259="Derived（待改公式）",$F259="Derived（公式）"),OR($N259="—",$N259="",$N259=0)),1,0)</f>
        <v>0</v>
      </c>
      <c r="Z259" s="183" t="n">
        <f aca="false">IF(AND($F259="Decision",OR($J259="—",$J259="")),1,0)</f>
        <v>0</v>
      </c>
      <c r="AA259" s="180" t="n">
        <f aca="false">IF(OR($J259="—",$J259=""),0,IF(COUNTIF(Decisions!$A$5:$A$300,$J259)=0,1,0))</f>
        <v>0</v>
      </c>
      <c r="AB259" s="183" t="n">
        <f aca="false">IF(AND($F259="原始數據",$S259&lt;&gt;"Active"),1,0)</f>
        <v>0</v>
      </c>
      <c r="AC259" s="183" t="n">
        <f aca="false">IF(AND(ISNUMBER($K259),ISNUMBER($L259),ISNUMBER($Q259)),IF(OR($Q259&lt;MIN($K259,$L259),$Q259&gt;MAX($K259,$L259)),1,0),0)</f>
        <v>0</v>
      </c>
      <c r="AD259" s="183" t="n">
        <f aca="false">IF(AND(ISNUMBER($T259),$P259="高"),IF($T259=3,1,0),0)</f>
        <v>0</v>
      </c>
      <c r="AE259" s="183" t="n">
        <f aca="false">IF($S259="不存在",1,0)</f>
        <v>0</v>
      </c>
      <c r="AF259" s="34" t="str">
        <f aca="false">IF(OR($H259="—",$H259=""),"—",MATCH($H259,IDX_SrcID,0))</f>
        <v>—</v>
      </c>
    </row>
    <row r="260" customFormat="false" ht="29.25" hidden="false" customHeight="true" outlineLevel="0" collapsed="false">
      <c r="A260" s="35" t="s">
        <v>3338</v>
      </c>
      <c r="B260" s="209" t="s">
        <v>2677</v>
      </c>
      <c r="C260" s="35" t="s">
        <v>3325</v>
      </c>
      <c r="D260" s="35" t="s">
        <v>2836</v>
      </c>
      <c r="E260" s="18" t="s">
        <v>3339</v>
      </c>
      <c r="F260" s="35" t="s">
        <v>72</v>
      </c>
      <c r="G260" s="209" t="s">
        <v>2679</v>
      </c>
      <c r="H260" s="35" t="s">
        <v>571</v>
      </c>
      <c r="I260" s="6" t="s">
        <v>571</v>
      </c>
      <c r="J260" s="35" t="s">
        <v>571</v>
      </c>
      <c r="K260" s="182" t="n">
        <f aca="false">Workload!C6*0.5</f>
        <v>1000</v>
      </c>
      <c r="L260" s="182" t="n">
        <f aca="false">Workload!C6*2</f>
        <v>4000</v>
      </c>
      <c r="M260" s="35" t="s">
        <v>3310</v>
      </c>
      <c r="N260" s="18" t="s">
        <v>3340</v>
      </c>
      <c r="O260" s="6" t="s">
        <v>571</v>
      </c>
      <c r="P260" s="209" t="s">
        <v>1099</v>
      </c>
      <c r="Q260" s="40" t="n">
        <f aca="false">Workload!C6</f>
        <v>2000</v>
      </c>
      <c r="R260" s="35" t="s">
        <v>571</v>
      </c>
      <c r="S260" s="34" t="str">
        <f aca="false">IF(ISNUMBER($AF260),INDEX(IDX_SrcStat,$AF260),"—")</f>
        <v>—</v>
      </c>
      <c r="T260" s="34" t="str">
        <f aca="false">IF(ISNUMBER($AF260),INDEX(IDX_SrcGrade,$AF260),"—")</f>
        <v>—</v>
      </c>
      <c r="U260" s="34" t="s">
        <v>2683</v>
      </c>
      <c r="V260" s="183" t="n">
        <f aca="false">IF(AND($F260="原始數據",$U260&lt;&gt;"連結 SRC"),1,0)</f>
        <v>0</v>
      </c>
      <c r="W260" s="183" t="n">
        <f aca="false">IF(AND($F260="Analogy",OR($H260="—",$H260="")),1,0)</f>
        <v>0</v>
      </c>
      <c r="X260" s="183" t="n">
        <f aca="false">IF(AND(OR($F260="Analogy",$F260="Assumed"),$G260&lt;&gt;"低",$G260&lt;&gt;"高",NOT(ISNUMBER($K260)),NOT(ISNUMBER($L260)),OR($M260="—",$M260="")),1,0)</f>
        <v>0</v>
      </c>
      <c r="Y260" s="183" t="n">
        <f aca="false">IF(AND(OR($F260="Analogy",$F260="Assumed",$F260="Derived（待改公式）",$F260="Derived（公式）"),OR($N260="—",$N260="",$N260=0)),1,0)</f>
        <v>0</v>
      </c>
      <c r="Z260" s="183" t="n">
        <f aca="false">IF(AND($F260="Decision",OR($J260="—",$J260="")),1,0)</f>
        <v>0</v>
      </c>
      <c r="AA260" s="180" t="n">
        <f aca="false">IF(OR($J260="—",$J260=""),0,IF(COUNTIF(Decisions!$A$5:$A$300,$J260)=0,1,0))</f>
        <v>0</v>
      </c>
      <c r="AB260" s="183" t="n">
        <f aca="false">IF(AND($F260="原始數據",$S260&lt;&gt;"Active"),1,0)</f>
        <v>0</v>
      </c>
      <c r="AC260" s="183" t="n">
        <f aca="false">IF(AND(ISNUMBER($K260),ISNUMBER($L260),ISNUMBER($Q260)),IF(OR($Q260&lt;MIN($K260,$L260),$Q260&gt;MAX($K260,$L260)),1,0),0)</f>
        <v>0</v>
      </c>
      <c r="AD260" s="183" t="n">
        <f aca="false">IF(AND(ISNUMBER($T260),$P260="高"),IF($T260=3,1,0),0)</f>
        <v>0</v>
      </c>
      <c r="AE260" s="183" t="n">
        <f aca="false">IF($S260="不存在",1,0)</f>
        <v>0</v>
      </c>
      <c r="AF260" s="34" t="str">
        <f aca="false">IF(OR($H260="—",$H260=""),"—",MATCH($H260,IDX_SrcID,0))</f>
        <v>—</v>
      </c>
    </row>
    <row r="261" customFormat="false" ht="29.25" hidden="false" customHeight="true" outlineLevel="0" collapsed="false">
      <c r="A261" s="35" t="s">
        <v>3341</v>
      </c>
      <c r="B261" s="209" t="s">
        <v>2677</v>
      </c>
      <c r="C261" s="35" t="s">
        <v>3325</v>
      </c>
      <c r="D261" s="35" t="s">
        <v>2840</v>
      </c>
      <c r="E261" s="18" t="s">
        <v>3339</v>
      </c>
      <c r="F261" s="35" t="s">
        <v>72</v>
      </c>
      <c r="G261" s="209" t="s">
        <v>2679</v>
      </c>
      <c r="H261" s="35" t="s">
        <v>571</v>
      </c>
      <c r="I261" s="6" t="s">
        <v>571</v>
      </c>
      <c r="J261" s="35" t="s">
        <v>571</v>
      </c>
      <c r="K261" s="182" t="n">
        <f aca="false">Workload!D6*0.5</f>
        <v>1000</v>
      </c>
      <c r="L261" s="182" t="n">
        <f aca="false">Workload!D6*2</f>
        <v>4000</v>
      </c>
      <c r="M261" s="35" t="s">
        <v>3310</v>
      </c>
      <c r="N261" s="18" t="s">
        <v>3340</v>
      </c>
      <c r="O261" s="6" t="s">
        <v>571</v>
      </c>
      <c r="P261" s="209" t="s">
        <v>1099</v>
      </c>
      <c r="Q261" s="40" t="n">
        <f aca="false">Workload!D6</f>
        <v>2000</v>
      </c>
      <c r="R261" s="35" t="s">
        <v>571</v>
      </c>
      <c r="S261" s="34" t="str">
        <f aca="false">IF(ISNUMBER($AF261),INDEX(IDX_SrcStat,$AF261),"—")</f>
        <v>—</v>
      </c>
      <c r="T261" s="34" t="str">
        <f aca="false">IF(ISNUMBER($AF261),INDEX(IDX_SrcGrade,$AF261),"—")</f>
        <v>—</v>
      </c>
      <c r="U261" s="34" t="s">
        <v>2683</v>
      </c>
      <c r="V261" s="183" t="n">
        <f aca="false">IF(AND($F261="原始數據",$U261&lt;&gt;"連結 SRC"),1,0)</f>
        <v>0</v>
      </c>
      <c r="W261" s="183" t="n">
        <f aca="false">IF(AND($F261="Analogy",OR($H261="—",$H261="")),1,0)</f>
        <v>0</v>
      </c>
      <c r="X261" s="183" t="n">
        <f aca="false">IF(AND(OR($F261="Analogy",$F261="Assumed"),$G261&lt;&gt;"低",$G261&lt;&gt;"高",NOT(ISNUMBER($K261)),NOT(ISNUMBER($L261)),OR($M261="—",$M261="")),1,0)</f>
        <v>0</v>
      </c>
      <c r="Y261" s="183" t="n">
        <f aca="false">IF(AND(OR($F261="Analogy",$F261="Assumed",$F261="Derived（待改公式）",$F261="Derived（公式）"),OR($N261="—",$N261="",$N261=0)),1,0)</f>
        <v>0</v>
      </c>
      <c r="Z261" s="183" t="n">
        <f aca="false">IF(AND($F261="Decision",OR($J261="—",$J261="")),1,0)</f>
        <v>0</v>
      </c>
      <c r="AA261" s="180" t="n">
        <f aca="false">IF(OR($J261="—",$J261=""),0,IF(COUNTIF(Decisions!$A$5:$A$300,$J261)=0,1,0))</f>
        <v>0</v>
      </c>
      <c r="AB261" s="183" t="n">
        <f aca="false">IF(AND($F261="原始數據",$S261&lt;&gt;"Active"),1,0)</f>
        <v>0</v>
      </c>
      <c r="AC261" s="183" t="n">
        <f aca="false">IF(AND(ISNUMBER($K261),ISNUMBER($L261),ISNUMBER($Q261)),IF(OR($Q261&lt;MIN($K261,$L261),$Q261&gt;MAX($K261,$L261)),1,0),0)</f>
        <v>0</v>
      </c>
      <c r="AD261" s="183" t="n">
        <f aca="false">IF(AND(ISNUMBER($T261),$P261="高"),IF($T261=3,1,0),0)</f>
        <v>0</v>
      </c>
      <c r="AE261" s="183" t="n">
        <f aca="false">IF($S261="不存在",1,0)</f>
        <v>0</v>
      </c>
      <c r="AF261" s="34" t="str">
        <f aca="false">IF(OR($H261="—",$H261=""),"—",MATCH($H261,IDX_SrcID,0))</f>
        <v>—</v>
      </c>
    </row>
    <row r="262" customFormat="false" ht="29.25" hidden="false" customHeight="true" outlineLevel="0" collapsed="false">
      <c r="A262" s="35" t="s">
        <v>3342</v>
      </c>
      <c r="B262" s="209" t="s">
        <v>2677</v>
      </c>
      <c r="C262" s="35" t="s">
        <v>3325</v>
      </c>
      <c r="D262" s="35" t="s">
        <v>2579</v>
      </c>
      <c r="E262" s="18" t="s">
        <v>3339</v>
      </c>
      <c r="F262" s="35" t="s">
        <v>72</v>
      </c>
      <c r="G262" s="209" t="s">
        <v>2679</v>
      </c>
      <c r="H262" s="35" t="s">
        <v>571</v>
      </c>
      <c r="I262" s="6" t="s">
        <v>571</v>
      </c>
      <c r="J262" s="35" t="s">
        <v>571</v>
      </c>
      <c r="K262" s="182" t="n">
        <f aca="false">Workload!E6*0.5</f>
        <v>1500</v>
      </c>
      <c r="L262" s="182" t="n">
        <f aca="false">Workload!E6*2</f>
        <v>6000</v>
      </c>
      <c r="M262" s="35" t="s">
        <v>3310</v>
      </c>
      <c r="N262" s="18" t="s">
        <v>3340</v>
      </c>
      <c r="O262" s="6" t="s">
        <v>571</v>
      </c>
      <c r="P262" s="209" t="s">
        <v>1099</v>
      </c>
      <c r="Q262" s="40" t="n">
        <f aca="false">Workload!E6</f>
        <v>3000</v>
      </c>
      <c r="R262" s="35" t="s">
        <v>571</v>
      </c>
      <c r="S262" s="34" t="str">
        <f aca="false">IF(ISNUMBER($AF262),INDEX(IDX_SrcStat,$AF262),"—")</f>
        <v>—</v>
      </c>
      <c r="T262" s="34" t="str">
        <f aca="false">IF(ISNUMBER($AF262),INDEX(IDX_SrcGrade,$AF262),"—")</f>
        <v>—</v>
      </c>
      <c r="U262" s="34" t="s">
        <v>2683</v>
      </c>
      <c r="V262" s="183" t="n">
        <f aca="false">IF(AND($F262="原始數據",$U262&lt;&gt;"連結 SRC"),1,0)</f>
        <v>0</v>
      </c>
      <c r="W262" s="183" t="n">
        <f aca="false">IF(AND($F262="Analogy",OR($H262="—",$H262="")),1,0)</f>
        <v>0</v>
      </c>
      <c r="X262" s="183" t="n">
        <f aca="false">IF(AND(OR($F262="Analogy",$F262="Assumed"),$G262&lt;&gt;"低",$G262&lt;&gt;"高",NOT(ISNUMBER($K262)),NOT(ISNUMBER($L262)),OR($M262="—",$M262="")),1,0)</f>
        <v>0</v>
      </c>
      <c r="Y262" s="183" t="n">
        <f aca="false">IF(AND(OR($F262="Analogy",$F262="Assumed",$F262="Derived（待改公式）",$F262="Derived（公式）"),OR($N262="—",$N262="",$N262=0)),1,0)</f>
        <v>0</v>
      </c>
      <c r="Z262" s="183" t="n">
        <f aca="false">IF(AND($F262="Decision",OR($J262="—",$J262="")),1,0)</f>
        <v>0</v>
      </c>
      <c r="AA262" s="180" t="n">
        <f aca="false">IF(OR($J262="—",$J262=""),0,IF(COUNTIF(Decisions!$A$5:$A$300,$J262)=0,1,0))</f>
        <v>0</v>
      </c>
      <c r="AB262" s="183" t="n">
        <f aca="false">IF(AND($F262="原始數據",$S262&lt;&gt;"Active"),1,0)</f>
        <v>0</v>
      </c>
      <c r="AC262" s="183" t="n">
        <f aca="false">IF(AND(ISNUMBER($K262),ISNUMBER($L262),ISNUMBER($Q262)),IF(OR($Q262&lt;MIN($K262,$L262),$Q262&gt;MAX($K262,$L262)),1,0),0)</f>
        <v>0</v>
      </c>
      <c r="AD262" s="183" t="n">
        <f aca="false">IF(AND(ISNUMBER($T262),$P262="高"),IF($T262=3,1,0),0)</f>
        <v>0</v>
      </c>
      <c r="AE262" s="183" t="n">
        <f aca="false">IF($S262="不存在",1,0)</f>
        <v>0</v>
      </c>
      <c r="AF262" s="34" t="str">
        <f aca="false">IF(OR($H262="—",$H262=""),"—",MATCH($H262,IDX_SrcID,0))</f>
        <v>—</v>
      </c>
    </row>
    <row r="263" customFormat="false" ht="29.25" hidden="false" customHeight="true" outlineLevel="0" collapsed="false">
      <c r="A263" s="35" t="s">
        <v>3343</v>
      </c>
      <c r="B263" s="209" t="s">
        <v>2677</v>
      </c>
      <c r="C263" s="35" t="s">
        <v>3325</v>
      </c>
      <c r="D263" s="35" t="s">
        <v>2844</v>
      </c>
      <c r="E263" s="18" t="s">
        <v>3339</v>
      </c>
      <c r="F263" s="35" t="s">
        <v>72</v>
      </c>
      <c r="G263" s="209" t="s">
        <v>2679</v>
      </c>
      <c r="H263" s="35" t="s">
        <v>571</v>
      </c>
      <c r="I263" s="6" t="s">
        <v>571</v>
      </c>
      <c r="J263" s="35" t="s">
        <v>571</v>
      </c>
      <c r="K263" s="182" t="n">
        <f aca="false">Workload!F6*0.5</f>
        <v>1500</v>
      </c>
      <c r="L263" s="182" t="n">
        <f aca="false">Workload!F6*2</f>
        <v>6000</v>
      </c>
      <c r="M263" s="35" t="s">
        <v>3310</v>
      </c>
      <c r="N263" s="18" t="s">
        <v>3340</v>
      </c>
      <c r="O263" s="6" t="s">
        <v>571</v>
      </c>
      <c r="P263" s="209" t="s">
        <v>1099</v>
      </c>
      <c r="Q263" s="40" t="n">
        <f aca="false">Workload!F6</f>
        <v>3000</v>
      </c>
      <c r="R263" s="35" t="s">
        <v>571</v>
      </c>
      <c r="S263" s="34" t="str">
        <f aca="false">IF(ISNUMBER($AF263),INDEX(IDX_SrcStat,$AF263),"—")</f>
        <v>—</v>
      </c>
      <c r="T263" s="34" t="str">
        <f aca="false">IF(ISNUMBER($AF263),INDEX(IDX_SrcGrade,$AF263),"—")</f>
        <v>—</v>
      </c>
      <c r="U263" s="34" t="s">
        <v>2683</v>
      </c>
      <c r="V263" s="183" t="n">
        <f aca="false">IF(AND($F263="原始數據",$U263&lt;&gt;"連結 SRC"),1,0)</f>
        <v>0</v>
      </c>
      <c r="W263" s="183" t="n">
        <f aca="false">IF(AND($F263="Analogy",OR($H263="—",$H263="")),1,0)</f>
        <v>0</v>
      </c>
      <c r="X263" s="183" t="n">
        <f aca="false">IF(AND(OR($F263="Analogy",$F263="Assumed"),$G263&lt;&gt;"低",$G263&lt;&gt;"高",NOT(ISNUMBER($K263)),NOT(ISNUMBER($L263)),OR($M263="—",$M263="")),1,0)</f>
        <v>0</v>
      </c>
      <c r="Y263" s="183" t="n">
        <f aca="false">IF(AND(OR($F263="Analogy",$F263="Assumed",$F263="Derived（待改公式）",$F263="Derived（公式）"),OR($N263="—",$N263="",$N263=0)),1,0)</f>
        <v>0</v>
      </c>
      <c r="Z263" s="183" t="n">
        <f aca="false">IF(AND($F263="Decision",OR($J263="—",$J263="")),1,0)</f>
        <v>0</v>
      </c>
      <c r="AA263" s="180" t="n">
        <f aca="false">IF(OR($J263="—",$J263=""),0,IF(COUNTIF(Decisions!$A$5:$A$300,$J263)=0,1,0))</f>
        <v>0</v>
      </c>
      <c r="AB263" s="183" t="n">
        <f aca="false">IF(AND($F263="原始數據",$S263&lt;&gt;"Active"),1,0)</f>
        <v>0</v>
      </c>
      <c r="AC263" s="183" t="n">
        <f aca="false">IF(AND(ISNUMBER($K263),ISNUMBER($L263),ISNUMBER($Q263)),IF(OR($Q263&lt;MIN($K263,$L263),$Q263&gt;MAX($K263,$L263)),1,0),0)</f>
        <v>0</v>
      </c>
      <c r="AD263" s="183" t="n">
        <f aca="false">IF(AND(ISNUMBER($T263),$P263="高"),IF($T263=3,1,0),0)</f>
        <v>0</v>
      </c>
      <c r="AE263" s="183" t="n">
        <f aca="false">IF($S263="不存在",1,0)</f>
        <v>0</v>
      </c>
      <c r="AF263" s="34" t="str">
        <f aca="false">IF(OR($H263="—",$H263=""),"—",MATCH($H263,IDX_SrcID,0))</f>
        <v>—</v>
      </c>
    </row>
    <row r="264" customFormat="false" ht="29.25" hidden="false" customHeight="true" outlineLevel="0" collapsed="false">
      <c r="A264" s="35" t="s">
        <v>3344</v>
      </c>
      <c r="B264" s="209" t="s">
        <v>2677</v>
      </c>
      <c r="C264" s="35" t="s">
        <v>3325</v>
      </c>
      <c r="D264" s="35" t="s">
        <v>2846</v>
      </c>
      <c r="E264" s="18" t="s">
        <v>3339</v>
      </c>
      <c r="F264" s="35" t="s">
        <v>72</v>
      </c>
      <c r="G264" s="209" t="s">
        <v>2679</v>
      </c>
      <c r="H264" s="35" t="s">
        <v>571</v>
      </c>
      <c r="I264" s="6" t="s">
        <v>571</v>
      </c>
      <c r="J264" s="35" t="s">
        <v>571</v>
      </c>
      <c r="K264" s="182" t="n">
        <f aca="false">Workload!G6*0.5</f>
        <v>6000</v>
      </c>
      <c r="L264" s="182" t="n">
        <f aca="false">Workload!G6*2</f>
        <v>24000</v>
      </c>
      <c r="M264" s="35" t="s">
        <v>3310</v>
      </c>
      <c r="N264" s="18" t="s">
        <v>3340</v>
      </c>
      <c r="O264" s="6" t="s">
        <v>571</v>
      </c>
      <c r="P264" s="209" t="s">
        <v>1099</v>
      </c>
      <c r="Q264" s="40" t="n">
        <f aca="false">Workload!G6</f>
        <v>12000</v>
      </c>
      <c r="R264" s="35" t="s">
        <v>571</v>
      </c>
      <c r="S264" s="34" t="str">
        <f aca="false">IF(ISNUMBER($AF264),INDEX(IDX_SrcStat,$AF264),"—")</f>
        <v>—</v>
      </c>
      <c r="T264" s="34" t="str">
        <f aca="false">IF(ISNUMBER($AF264),INDEX(IDX_SrcGrade,$AF264),"—")</f>
        <v>—</v>
      </c>
      <c r="U264" s="34" t="s">
        <v>2683</v>
      </c>
      <c r="V264" s="183" t="n">
        <f aca="false">IF(AND($F264="原始數據",$U264&lt;&gt;"連結 SRC"),1,0)</f>
        <v>0</v>
      </c>
      <c r="W264" s="183" t="n">
        <f aca="false">IF(AND($F264="Analogy",OR($H264="—",$H264="")),1,0)</f>
        <v>0</v>
      </c>
      <c r="X264" s="183" t="n">
        <f aca="false">IF(AND(OR($F264="Analogy",$F264="Assumed"),$G264&lt;&gt;"低",$G264&lt;&gt;"高",NOT(ISNUMBER($K264)),NOT(ISNUMBER($L264)),OR($M264="—",$M264="")),1,0)</f>
        <v>0</v>
      </c>
      <c r="Y264" s="183" t="n">
        <f aca="false">IF(AND(OR($F264="Analogy",$F264="Assumed",$F264="Derived（待改公式）",$F264="Derived（公式）"),OR($N264="—",$N264="",$N264=0)),1,0)</f>
        <v>0</v>
      </c>
      <c r="Z264" s="183" t="n">
        <f aca="false">IF(AND($F264="Decision",OR($J264="—",$J264="")),1,0)</f>
        <v>0</v>
      </c>
      <c r="AA264" s="180" t="n">
        <f aca="false">IF(OR($J264="—",$J264=""),0,IF(COUNTIF(Decisions!$A$5:$A$300,$J264)=0,1,0))</f>
        <v>0</v>
      </c>
      <c r="AB264" s="183" t="n">
        <f aca="false">IF(AND($F264="原始數據",$S264&lt;&gt;"Active"),1,0)</f>
        <v>0</v>
      </c>
      <c r="AC264" s="183" t="n">
        <f aca="false">IF(AND(ISNUMBER($K264),ISNUMBER($L264),ISNUMBER($Q264)),IF(OR($Q264&lt;MIN($K264,$L264),$Q264&gt;MAX($K264,$L264)),1,0),0)</f>
        <v>0</v>
      </c>
      <c r="AD264" s="183" t="n">
        <f aca="false">IF(AND(ISNUMBER($T264),$P264="高"),IF($T264=3,1,0),0)</f>
        <v>0</v>
      </c>
      <c r="AE264" s="183" t="n">
        <f aca="false">IF($S264="不存在",1,0)</f>
        <v>0</v>
      </c>
      <c r="AF264" s="34" t="str">
        <f aca="false">IF(OR($H264="—",$H264=""),"—",MATCH($H264,IDX_SrcID,0))</f>
        <v>—</v>
      </c>
    </row>
    <row r="265" customFormat="false" ht="29.25" hidden="false" customHeight="true" outlineLevel="0" collapsed="false">
      <c r="A265" s="35" t="s">
        <v>3345</v>
      </c>
      <c r="B265" s="209" t="s">
        <v>2677</v>
      </c>
      <c r="C265" s="35" t="s">
        <v>3325</v>
      </c>
      <c r="D265" s="35" t="s">
        <v>3160</v>
      </c>
      <c r="E265" s="18" t="s">
        <v>3346</v>
      </c>
      <c r="F265" s="35" t="s">
        <v>72</v>
      </c>
      <c r="G265" s="209" t="s">
        <v>2679</v>
      </c>
      <c r="H265" s="35" t="s">
        <v>571</v>
      </c>
      <c r="I265" s="6" t="s">
        <v>571</v>
      </c>
      <c r="J265" s="35" t="s">
        <v>571</v>
      </c>
      <c r="K265" s="182" t="n">
        <f aca="false">Workload!C7*0.5</f>
        <v>250</v>
      </c>
      <c r="L265" s="182" t="n">
        <f aca="false">Workload!C7*2</f>
        <v>1000</v>
      </c>
      <c r="M265" s="35" t="s">
        <v>3310</v>
      </c>
      <c r="N265" s="18" t="s">
        <v>3340</v>
      </c>
      <c r="O265" s="6" t="s">
        <v>571</v>
      </c>
      <c r="P265" s="209" t="s">
        <v>2738</v>
      </c>
      <c r="Q265" s="40" t="n">
        <f aca="false">Workload!C7</f>
        <v>500</v>
      </c>
      <c r="R265" s="35" t="s">
        <v>571</v>
      </c>
      <c r="S265" s="34" t="str">
        <f aca="false">IF(ISNUMBER($AF265),INDEX(IDX_SrcStat,$AF265),"—")</f>
        <v>—</v>
      </c>
      <c r="T265" s="34" t="str">
        <f aca="false">IF(ISNUMBER($AF265),INDEX(IDX_SrcGrade,$AF265),"—")</f>
        <v>—</v>
      </c>
      <c r="U265" s="34" t="s">
        <v>2683</v>
      </c>
      <c r="V265" s="183" t="n">
        <f aca="false">IF(AND($F265="原始數據",$U265&lt;&gt;"連結 SRC"),1,0)</f>
        <v>0</v>
      </c>
      <c r="W265" s="183" t="n">
        <f aca="false">IF(AND($F265="Analogy",OR($H265="—",$H265="")),1,0)</f>
        <v>0</v>
      </c>
      <c r="X265" s="183" t="n">
        <f aca="false">IF(AND(OR($F265="Analogy",$F265="Assumed"),$G265&lt;&gt;"低",$G265&lt;&gt;"高",NOT(ISNUMBER($K265)),NOT(ISNUMBER($L265)),OR($M265="—",$M265="")),1,0)</f>
        <v>0</v>
      </c>
      <c r="Y265" s="183" t="n">
        <f aca="false">IF(AND(OR($F265="Analogy",$F265="Assumed",$F265="Derived（待改公式）",$F265="Derived（公式）"),OR($N265="—",$N265="",$N265=0)),1,0)</f>
        <v>0</v>
      </c>
      <c r="Z265" s="183" t="n">
        <f aca="false">IF(AND($F265="Decision",OR($J265="—",$J265="")),1,0)</f>
        <v>0</v>
      </c>
      <c r="AA265" s="180" t="n">
        <f aca="false">IF(OR($J265="—",$J265=""),0,IF(COUNTIF(Decisions!$A$5:$A$300,$J265)=0,1,0))</f>
        <v>0</v>
      </c>
      <c r="AB265" s="183" t="n">
        <f aca="false">IF(AND($F265="原始數據",$S265&lt;&gt;"Active"),1,0)</f>
        <v>0</v>
      </c>
      <c r="AC265" s="183" t="n">
        <f aca="false">IF(AND(ISNUMBER($K265),ISNUMBER($L265),ISNUMBER($Q265)),IF(OR($Q265&lt;MIN($K265,$L265),$Q265&gt;MAX($K265,$L265)),1,0),0)</f>
        <v>0</v>
      </c>
      <c r="AD265" s="183" t="n">
        <f aca="false">IF(AND(ISNUMBER($T265),$P265="高"),IF($T265=3,1,0),0)</f>
        <v>0</v>
      </c>
      <c r="AE265" s="183" t="n">
        <f aca="false">IF($S265="不存在",1,0)</f>
        <v>0</v>
      </c>
      <c r="AF265" s="34" t="str">
        <f aca="false">IF(OR($H265="—",$H265=""),"—",MATCH($H265,IDX_SrcID,0))</f>
        <v>—</v>
      </c>
    </row>
    <row r="266" customFormat="false" ht="29.25" hidden="false" customHeight="true" outlineLevel="0" collapsed="false">
      <c r="A266" s="35" t="s">
        <v>3347</v>
      </c>
      <c r="B266" s="209" t="s">
        <v>2677</v>
      </c>
      <c r="C266" s="35" t="s">
        <v>3325</v>
      </c>
      <c r="D266" s="35" t="s">
        <v>3163</v>
      </c>
      <c r="E266" s="18" t="s">
        <v>3346</v>
      </c>
      <c r="F266" s="35" t="s">
        <v>72</v>
      </c>
      <c r="G266" s="209" t="s">
        <v>2679</v>
      </c>
      <c r="H266" s="35" t="s">
        <v>571</v>
      </c>
      <c r="I266" s="6" t="s">
        <v>571</v>
      </c>
      <c r="J266" s="35" t="s">
        <v>571</v>
      </c>
      <c r="K266" s="182" t="n">
        <f aca="false">Workload!D7*0.5</f>
        <v>250</v>
      </c>
      <c r="L266" s="182" t="n">
        <f aca="false">Workload!D7*2</f>
        <v>1000</v>
      </c>
      <c r="M266" s="35" t="s">
        <v>3310</v>
      </c>
      <c r="N266" s="18" t="s">
        <v>3340</v>
      </c>
      <c r="O266" s="6" t="s">
        <v>571</v>
      </c>
      <c r="P266" s="209" t="s">
        <v>2738</v>
      </c>
      <c r="Q266" s="40" t="n">
        <f aca="false">Workload!D7</f>
        <v>500</v>
      </c>
      <c r="R266" s="35" t="s">
        <v>571</v>
      </c>
      <c r="S266" s="34" t="str">
        <f aca="false">IF(ISNUMBER($AF266),INDEX(IDX_SrcStat,$AF266),"—")</f>
        <v>—</v>
      </c>
      <c r="T266" s="34" t="str">
        <f aca="false">IF(ISNUMBER($AF266),INDEX(IDX_SrcGrade,$AF266),"—")</f>
        <v>—</v>
      </c>
      <c r="U266" s="34" t="s">
        <v>2683</v>
      </c>
      <c r="V266" s="183" t="n">
        <f aca="false">IF(AND($F266="原始數據",$U266&lt;&gt;"連結 SRC"),1,0)</f>
        <v>0</v>
      </c>
      <c r="W266" s="183" t="n">
        <f aca="false">IF(AND($F266="Analogy",OR($H266="—",$H266="")),1,0)</f>
        <v>0</v>
      </c>
      <c r="X266" s="183" t="n">
        <f aca="false">IF(AND(OR($F266="Analogy",$F266="Assumed"),$G266&lt;&gt;"低",$G266&lt;&gt;"高",NOT(ISNUMBER($K266)),NOT(ISNUMBER($L266)),OR($M266="—",$M266="")),1,0)</f>
        <v>0</v>
      </c>
      <c r="Y266" s="183" t="n">
        <f aca="false">IF(AND(OR($F266="Analogy",$F266="Assumed",$F266="Derived（待改公式）",$F266="Derived（公式）"),OR($N266="—",$N266="",$N266=0)),1,0)</f>
        <v>0</v>
      </c>
      <c r="Z266" s="183" t="n">
        <f aca="false">IF(AND($F266="Decision",OR($J266="—",$J266="")),1,0)</f>
        <v>0</v>
      </c>
      <c r="AA266" s="180" t="n">
        <f aca="false">IF(OR($J266="—",$J266=""),0,IF(COUNTIF(Decisions!$A$5:$A$300,$J266)=0,1,0))</f>
        <v>0</v>
      </c>
      <c r="AB266" s="183" t="n">
        <f aca="false">IF(AND($F266="原始數據",$S266&lt;&gt;"Active"),1,0)</f>
        <v>0</v>
      </c>
      <c r="AC266" s="183" t="n">
        <f aca="false">IF(AND(ISNUMBER($K266),ISNUMBER($L266),ISNUMBER($Q266)),IF(OR($Q266&lt;MIN($K266,$L266),$Q266&gt;MAX($K266,$L266)),1,0),0)</f>
        <v>0</v>
      </c>
      <c r="AD266" s="183" t="n">
        <f aca="false">IF(AND(ISNUMBER($T266),$P266="高"),IF($T266=3,1,0),0)</f>
        <v>0</v>
      </c>
      <c r="AE266" s="183" t="n">
        <f aca="false">IF($S266="不存在",1,0)</f>
        <v>0</v>
      </c>
      <c r="AF266" s="34" t="str">
        <f aca="false">IF(OR($H266="—",$H266=""),"—",MATCH($H266,IDX_SrcID,0))</f>
        <v>—</v>
      </c>
    </row>
    <row r="267" customFormat="false" ht="29.25" hidden="false" customHeight="true" outlineLevel="0" collapsed="false">
      <c r="A267" s="35" t="s">
        <v>3348</v>
      </c>
      <c r="B267" s="209" t="s">
        <v>2677</v>
      </c>
      <c r="C267" s="35" t="s">
        <v>3325</v>
      </c>
      <c r="D267" s="35" t="s">
        <v>2582</v>
      </c>
      <c r="E267" s="18" t="s">
        <v>3346</v>
      </c>
      <c r="F267" s="35" t="s">
        <v>72</v>
      </c>
      <c r="G267" s="209" t="s">
        <v>2679</v>
      </c>
      <c r="H267" s="35" t="s">
        <v>571</v>
      </c>
      <c r="I267" s="6" t="s">
        <v>571</v>
      </c>
      <c r="J267" s="35" t="s">
        <v>571</v>
      </c>
      <c r="K267" s="182" t="n">
        <f aca="false">Workload!E7*0.5</f>
        <v>600</v>
      </c>
      <c r="L267" s="182" t="n">
        <f aca="false">Workload!E7*2</f>
        <v>2400</v>
      </c>
      <c r="M267" s="35" t="s">
        <v>3310</v>
      </c>
      <c r="N267" s="18" t="s">
        <v>3340</v>
      </c>
      <c r="O267" s="6" t="s">
        <v>571</v>
      </c>
      <c r="P267" s="209" t="s">
        <v>2738</v>
      </c>
      <c r="Q267" s="40" t="n">
        <f aca="false">Workload!E7</f>
        <v>1200</v>
      </c>
      <c r="R267" s="35" t="s">
        <v>571</v>
      </c>
      <c r="S267" s="34" t="str">
        <f aca="false">IF(ISNUMBER($AF267),INDEX(IDX_SrcStat,$AF267),"—")</f>
        <v>—</v>
      </c>
      <c r="T267" s="34" t="str">
        <f aca="false">IF(ISNUMBER($AF267),INDEX(IDX_SrcGrade,$AF267),"—")</f>
        <v>—</v>
      </c>
      <c r="U267" s="34" t="s">
        <v>2683</v>
      </c>
      <c r="V267" s="183" t="n">
        <f aca="false">IF(AND($F267="原始數據",$U267&lt;&gt;"連結 SRC"),1,0)</f>
        <v>0</v>
      </c>
      <c r="W267" s="183" t="n">
        <f aca="false">IF(AND($F267="Analogy",OR($H267="—",$H267="")),1,0)</f>
        <v>0</v>
      </c>
      <c r="X267" s="183" t="n">
        <f aca="false">IF(AND(OR($F267="Analogy",$F267="Assumed"),$G267&lt;&gt;"低",$G267&lt;&gt;"高",NOT(ISNUMBER($K267)),NOT(ISNUMBER($L267)),OR($M267="—",$M267="")),1,0)</f>
        <v>0</v>
      </c>
      <c r="Y267" s="183" t="n">
        <f aca="false">IF(AND(OR($F267="Analogy",$F267="Assumed",$F267="Derived（待改公式）",$F267="Derived（公式）"),OR($N267="—",$N267="",$N267=0)),1,0)</f>
        <v>0</v>
      </c>
      <c r="Z267" s="183" t="n">
        <f aca="false">IF(AND($F267="Decision",OR($J267="—",$J267="")),1,0)</f>
        <v>0</v>
      </c>
      <c r="AA267" s="180" t="n">
        <f aca="false">IF(OR($J267="—",$J267=""),0,IF(COUNTIF(Decisions!$A$5:$A$300,$J267)=0,1,0))</f>
        <v>0</v>
      </c>
      <c r="AB267" s="183" t="n">
        <f aca="false">IF(AND($F267="原始數據",$S267&lt;&gt;"Active"),1,0)</f>
        <v>0</v>
      </c>
      <c r="AC267" s="183" t="n">
        <f aca="false">IF(AND(ISNUMBER($K267),ISNUMBER($L267),ISNUMBER($Q267)),IF(OR($Q267&lt;MIN($K267,$L267),$Q267&gt;MAX($K267,$L267)),1,0),0)</f>
        <v>0</v>
      </c>
      <c r="AD267" s="183" t="n">
        <f aca="false">IF(AND(ISNUMBER($T267),$P267="高"),IF($T267=3,1,0),0)</f>
        <v>0</v>
      </c>
      <c r="AE267" s="183" t="n">
        <f aca="false">IF($S267="不存在",1,0)</f>
        <v>0</v>
      </c>
      <c r="AF267" s="34" t="str">
        <f aca="false">IF(OR($H267="—",$H267=""),"—",MATCH($H267,IDX_SrcID,0))</f>
        <v>—</v>
      </c>
    </row>
    <row r="268" customFormat="false" ht="29.25" hidden="false" customHeight="true" outlineLevel="0" collapsed="false">
      <c r="A268" s="35" t="s">
        <v>3349</v>
      </c>
      <c r="B268" s="209" t="s">
        <v>2677</v>
      </c>
      <c r="C268" s="35" t="s">
        <v>3325</v>
      </c>
      <c r="D268" s="35" t="s">
        <v>3350</v>
      </c>
      <c r="E268" s="18" t="s">
        <v>3346</v>
      </c>
      <c r="F268" s="35" t="s">
        <v>72</v>
      </c>
      <c r="G268" s="209" t="s">
        <v>2679</v>
      </c>
      <c r="H268" s="35" t="s">
        <v>571</v>
      </c>
      <c r="I268" s="6" t="s">
        <v>571</v>
      </c>
      <c r="J268" s="35" t="s">
        <v>571</v>
      </c>
      <c r="K268" s="182" t="n">
        <f aca="false">Workload!F7*0.5</f>
        <v>600</v>
      </c>
      <c r="L268" s="182" t="n">
        <f aca="false">Workload!F7*2</f>
        <v>2400</v>
      </c>
      <c r="M268" s="35" t="s">
        <v>3310</v>
      </c>
      <c r="N268" s="18" t="s">
        <v>3340</v>
      </c>
      <c r="O268" s="6" t="s">
        <v>571</v>
      </c>
      <c r="P268" s="209" t="s">
        <v>2738</v>
      </c>
      <c r="Q268" s="40" t="n">
        <f aca="false">Workload!F7</f>
        <v>1200</v>
      </c>
      <c r="R268" s="35" t="s">
        <v>571</v>
      </c>
      <c r="S268" s="34" t="str">
        <f aca="false">IF(ISNUMBER($AF268),INDEX(IDX_SrcStat,$AF268),"—")</f>
        <v>—</v>
      </c>
      <c r="T268" s="34" t="str">
        <f aca="false">IF(ISNUMBER($AF268),INDEX(IDX_SrcGrade,$AF268),"—")</f>
        <v>—</v>
      </c>
      <c r="U268" s="34" t="s">
        <v>2683</v>
      </c>
      <c r="V268" s="183" t="n">
        <f aca="false">IF(AND($F268="原始數據",$U268&lt;&gt;"連結 SRC"),1,0)</f>
        <v>0</v>
      </c>
      <c r="W268" s="183" t="n">
        <f aca="false">IF(AND($F268="Analogy",OR($H268="—",$H268="")),1,0)</f>
        <v>0</v>
      </c>
      <c r="X268" s="183" t="n">
        <f aca="false">IF(AND(OR($F268="Analogy",$F268="Assumed"),$G268&lt;&gt;"低",$G268&lt;&gt;"高",NOT(ISNUMBER($K268)),NOT(ISNUMBER($L268)),OR($M268="—",$M268="")),1,0)</f>
        <v>0</v>
      </c>
      <c r="Y268" s="183" t="n">
        <f aca="false">IF(AND(OR($F268="Analogy",$F268="Assumed",$F268="Derived（待改公式）",$F268="Derived（公式）"),OR($N268="—",$N268="",$N268=0)),1,0)</f>
        <v>0</v>
      </c>
      <c r="Z268" s="183" t="n">
        <f aca="false">IF(AND($F268="Decision",OR($J268="—",$J268="")),1,0)</f>
        <v>0</v>
      </c>
      <c r="AA268" s="180" t="n">
        <f aca="false">IF(OR($J268="—",$J268=""),0,IF(COUNTIF(Decisions!$A$5:$A$300,$J268)=0,1,0))</f>
        <v>0</v>
      </c>
      <c r="AB268" s="183" t="n">
        <f aca="false">IF(AND($F268="原始數據",$S268&lt;&gt;"Active"),1,0)</f>
        <v>0</v>
      </c>
      <c r="AC268" s="183" t="n">
        <f aca="false">IF(AND(ISNUMBER($K268),ISNUMBER($L268),ISNUMBER($Q268)),IF(OR($Q268&lt;MIN($K268,$L268),$Q268&gt;MAX($K268,$L268)),1,0),0)</f>
        <v>0</v>
      </c>
      <c r="AD268" s="183" t="n">
        <f aca="false">IF(AND(ISNUMBER($T268),$P268="高"),IF($T268=3,1,0),0)</f>
        <v>0</v>
      </c>
      <c r="AE268" s="183" t="n">
        <f aca="false">IF($S268="不存在",1,0)</f>
        <v>0</v>
      </c>
      <c r="AF268" s="34" t="str">
        <f aca="false">IF(OR($H268="—",$H268=""),"—",MATCH($H268,IDX_SrcID,0))</f>
        <v>—</v>
      </c>
    </row>
    <row r="269" customFormat="false" ht="29.25" hidden="false" customHeight="true" outlineLevel="0" collapsed="false">
      <c r="A269" s="35" t="s">
        <v>3351</v>
      </c>
      <c r="B269" s="209" t="s">
        <v>2677</v>
      </c>
      <c r="C269" s="35" t="s">
        <v>3325</v>
      </c>
      <c r="D269" s="35" t="s">
        <v>3352</v>
      </c>
      <c r="E269" s="18" t="s">
        <v>3346</v>
      </c>
      <c r="F269" s="35" t="s">
        <v>72</v>
      </c>
      <c r="G269" s="209" t="s">
        <v>2679</v>
      </c>
      <c r="H269" s="35" t="s">
        <v>571</v>
      </c>
      <c r="I269" s="6" t="s">
        <v>571</v>
      </c>
      <c r="J269" s="35" t="s">
        <v>571</v>
      </c>
      <c r="K269" s="182" t="n">
        <f aca="false">Workload!G7*0.5</f>
        <v>1000</v>
      </c>
      <c r="L269" s="182" t="n">
        <f aca="false">Workload!G7*2</f>
        <v>4000</v>
      </c>
      <c r="M269" s="35" t="s">
        <v>3310</v>
      </c>
      <c r="N269" s="18" t="s">
        <v>3340</v>
      </c>
      <c r="O269" s="6" t="s">
        <v>571</v>
      </c>
      <c r="P269" s="209" t="s">
        <v>2738</v>
      </c>
      <c r="Q269" s="40" t="n">
        <f aca="false">Workload!G7</f>
        <v>2000</v>
      </c>
      <c r="R269" s="35" t="s">
        <v>571</v>
      </c>
      <c r="S269" s="34" t="str">
        <f aca="false">IF(ISNUMBER($AF269),INDEX(IDX_SrcStat,$AF269),"—")</f>
        <v>—</v>
      </c>
      <c r="T269" s="34" t="str">
        <f aca="false">IF(ISNUMBER($AF269),INDEX(IDX_SrcGrade,$AF269),"—")</f>
        <v>—</v>
      </c>
      <c r="U269" s="34" t="s">
        <v>2683</v>
      </c>
      <c r="V269" s="183" t="n">
        <f aca="false">IF(AND($F269="原始數據",$U269&lt;&gt;"連結 SRC"),1,0)</f>
        <v>0</v>
      </c>
      <c r="W269" s="183" t="n">
        <f aca="false">IF(AND($F269="Analogy",OR($H269="—",$H269="")),1,0)</f>
        <v>0</v>
      </c>
      <c r="X269" s="183" t="n">
        <f aca="false">IF(AND(OR($F269="Analogy",$F269="Assumed"),$G269&lt;&gt;"低",$G269&lt;&gt;"高",NOT(ISNUMBER($K269)),NOT(ISNUMBER($L269)),OR($M269="—",$M269="")),1,0)</f>
        <v>0</v>
      </c>
      <c r="Y269" s="183" t="n">
        <f aca="false">IF(AND(OR($F269="Analogy",$F269="Assumed",$F269="Derived（待改公式）",$F269="Derived（公式）"),OR($N269="—",$N269="",$N269=0)),1,0)</f>
        <v>0</v>
      </c>
      <c r="Z269" s="183" t="n">
        <f aca="false">IF(AND($F269="Decision",OR($J269="—",$J269="")),1,0)</f>
        <v>0</v>
      </c>
      <c r="AA269" s="180" t="n">
        <f aca="false">IF(OR($J269="—",$J269=""),0,IF(COUNTIF(Decisions!$A$5:$A$300,$J269)=0,1,0))</f>
        <v>0</v>
      </c>
      <c r="AB269" s="183" t="n">
        <f aca="false">IF(AND($F269="原始數據",$S269&lt;&gt;"Active"),1,0)</f>
        <v>0</v>
      </c>
      <c r="AC269" s="183" t="n">
        <f aca="false">IF(AND(ISNUMBER($K269),ISNUMBER($L269),ISNUMBER($Q269)),IF(OR($Q269&lt;MIN($K269,$L269),$Q269&gt;MAX($K269,$L269)),1,0),0)</f>
        <v>0</v>
      </c>
      <c r="AD269" s="183" t="n">
        <f aca="false">IF(AND(ISNUMBER($T269),$P269="高"),IF($T269=3,1,0),0)</f>
        <v>0</v>
      </c>
      <c r="AE269" s="183" t="n">
        <f aca="false">IF($S269="不存在",1,0)</f>
        <v>0</v>
      </c>
      <c r="AF269" s="34" t="str">
        <f aca="false">IF(OR($H269="—",$H269=""),"—",MATCH($H269,IDX_SrcID,0))</f>
        <v>—</v>
      </c>
    </row>
    <row r="270" customFormat="false" ht="15" hidden="false" customHeight="true" outlineLevel="0" collapsed="false">
      <c r="A270" s="35" t="s">
        <v>3353</v>
      </c>
      <c r="B270" s="209" t="s">
        <v>2677</v>
      </c>
      <c r="C270" s="35" t="s">
        <v>3325</v>
      </c>
      <c r="D270" s="35" t="s">
        <v>2849</v>
      </c>
      <c r="E270" s="18" t="s">
        <v>3354</v>
      </c>
      <c r="F270" s="35" t="s">
        <v>72</v>
      </c>
      <c r="G270" s="209" t="s">
        <v>2679</v>
      </c>
      <c r="H270" s="35" t="s">
        <v>571</v>
      </c>
      <c r="I270" s="6" t="s">
        <v>571</v>
      </c>
      <c r="J270" s="35" t="s">
        <v>571</v>
      </c>
      <c r="K270" s="182" t="n">
        <f aca="false">Workload!C8*0.5</f>
        <v>0</v>
      </c>
      <c r="L270" s="182" t="n">
        <f aca="false">Workload!C8*2</f>
        <v>0</v>
      </c>
      <c r="M270" s="35" t="s">
        <v>3310</v>
      </c>
      <c r="N270" s="210" t="str">
        <f aca="false">Workload!$H$8&amp;" ｜補充旗標（IF 全欄分段，非分段依據）：高"</f>
        <v>Assumed；服務端思考占比待查 ｜補充旗標（IF 全欄分段，非分段依據）：高</v>
      </c>
      <c r="O270" s="6" t="s">
        <v>571</v>
      </c>
      <c r="P270" s="209" t="s">
        <v>2738</v>
      </c>
      <c r="Q270" s="40" t="n">
        <f aca="false">Workload!C8</f>
        <v>0</v>
      </c>
      <c r="R270" s="35" t="s">
        <v>571</v>
      </c>
      <c r="S270" s="34" t="str">
        <f aca="false">IF(ISNUMBER($AF270),INDEX(IDX_SrcStat,$AF270),"—")</f>
        <v>—</v>
      </c>
      <c r="T270" s="34" t="str">
        <f aca="false">IF(ISNUMBER($AF270),INDEX(IDX_SrcGrade,$AF270),"—")</f>
        <v>—</v>
      </c>
      <c r="U270" s="34" t="s">
        <v>2683</v>
      </c>
      <c r="V270" s="183" t="n">
        <f aca="false">IF(AND($F270="原始數據",$U270&lt;&gt;"連結 SRC"),1,0)</f>
        <v>0</v>
      </c>
      <c r="W270" s="183" t="n">
        <f aca="false">IF(AND($F270="Analogy",OR($H270="—",$H270="")),1,0)</f>
        <v>0</v>
      </c>
      <c r="X270" s="183" t="n">
        <f aca="false">IF(AND(OR($F270="Analogy",$F270="Assumed"),$G270&lt;&gt;"低",$G270&lt;&gt;"高",NOT(ISNUMBER($K270)),NOT(ISNUMBER($L270)),OR($M270="—",$M270="")),1,0)</f>
        <v>0</v>
      </c>
      <c r="Y270" s="183" t="n">
        <f aca="false">IF(AND(OR($F270="Analogy",$F270="Assumed",$F270="Derived（待改公式）",$F270="Derived（公式）"),OR($N270="—",$N270="",$N270=0)),1,0)</f>
        <v>0</v>
      </c>
      <c r="Z270" s="183" t="n">
        <f aca="false">IF(AND($F270="Decision",OR($J270="—",$J270="")),1,0)</f>
        <v>0</v>
      </c>
      <c r="AA270" s="180" t="n">
        <f aca="false">IF(OR($J270="—",$J270=""),0,IF(COUNTIF(Decisions!$A$5:$A$300,$J270)=0,1,0))</f>
        <v>0</v>
      </c>
      <c r="AB270" s="183" t="n">
        <f aca="false">IF(AND($F270="原始數據",$S270&lt;&gt;"Active"),1,0)</f>
        <v>0</v>
      </c>
      <c r="AC270" s="183" t="n">
        <f aca="false">IF(AND(ISNUMBER($K270),ISNUMBER($L270),ISNUMBER($Q270)),IF(OR($Q270&lt;MIN($K270,$L270),$Q270&gt;MAX($K270,$L270)),1,0),0)</f>
        <v>0</v>
      </c>
      <c r="AD270" s="183" t="n">
        <f aca="false">IF(AND(ISNUMBER($T270),$P270="高"),IF($T270=3,1,0),0)</f>
        <v>0</v>
      </c>
      <c r="AE270" s="183" t="n">
        <f aca="false">IF($S270="不存在",1,0)</f>
        <v>0</v>
      </c>
      <c r="AF270" s="34" t="str">
        <f aca="false">IF(OR($H270="—",$H270=""),"—",MATCH($H270,IDX_SrcID,0))</f>
        <v>—</v>
      </c>
    </row>
    <row r="271" customFormat="false" ht="15" hidden="false" customHeight="true" outlineLevel="0" collapsed="false">
      <c r="A271" s="35" t="s">
        <v>3355</v>
      </c>
      <c r="B271" s="209" t="s">
        <v>2677</v>
      </c>
      <c r="C271" s="35" t="s">
        <v>3325</v>
      </c>
      <c r="D271" s="35" t="s">
        <v>2852</v>
      </c>
      <c r="E271" s="18" t="s">
        <v>3354</v>
      </c>
      <c r="F271" s="35" t="s">
        <v>72</v>
      </c>
      <c r="G271" s="209" t="s">
        <v>2679</v>
      </c>
      <c r="H271" s="35" t="s">
        <v>571</v>
      </c>
      <c r="I271" s="6" t="s">
        <v>571</v>
      </c>
      <c r="J271" s="35" t="s">
        <v>571</v>
      </c>
      <c r="K271" s="182" t="n">
        <f aca="false">Workload!D8*0.5</f>
        <v>1500</v>
      </c>
      <c r="L271" s="182" t="n">
        <f aca="false">Workload!D8*2</f>
        <v>6000</v>
      </c>
      <c r="M271" s="35" t="s">
        <v>3310</v>
      </c>
      <c r="N271" s="210" t="str">
        <f aca="false">Workload!$H$8&amp;" ｜補充旗標（IF 全欄分段，非分段依據）：高"</f>
        <v>Assumed；服務端思考占比待查 ｜補充旗標（IF 全欄分段，非分段依據）：高</v>
      </c>
      <c r="O271" s="6" t="s">
        <v>571</v>
      </c>
      <c r="P271" s="209" t="s">
        <v>2738</v>
      </c>
      <c r="Q271" s="40" t="n">
        <f aca="false">Workload!D8</f>
        <v>3000</v>
      </c>
      <c r="R271" s="35" t="s">
        <v>571</v>
      </c>
      <c r="S271" s="34" t="str">
        <f aca="false">IF(ISNUMBER($AF271),INDEX(IDX_SrcStat,$AF271),"—")</f>
        <v>—</v>
      </c>
      <c r="T271" s="34" t="str">
        <f aca="false">IF(ISNUMBER($AF271),INDEX(IDX_SrcGrade,$AF271),"—")</f>
        <v>—</v>
      </c>
      <c r="U271" s="34" t="s">
        <v>2683</v>
      </c>
      <c r="V271" s="183" t="n">
        <f aca="false">IF(AND($F271="原始數據",$U271&lt;&gt;"連結 SRC"),1,0)</f>
        <v>0</v>
      </c>
      <c r="W271" s="183" t="n">
        <f aca="false">IF(AND($F271="Analogy",OR($H271="—",$H271="")),1,0)</f>
        <v>0</v>
      </c>
      <c r="X271" s="183" t="n">
        <f aca="false">IF(AND(OR($F271="Analogy",$F271="Assumed"),$G271&lt;&gt;"低",$G271&lt;&gt;"高",NOT(ISNUMBER($K271)),NOT(ISNUMBER($L271)),OR($M271="—",$M271="")),1,0)</f>
        <v>0</v>
      </c>
      <c r="Y271" s="183" t="n">
        <f aca="false">IF(AND(OR($F271="Analogy",$F271="Assumed",$F271="Derived（待改公式）",$F271="Derived（公式）"),OR($N271="—",$N271="",$N271=0)),1,0)</f>
        <v>0</v>
      </c>
      <c r="Z271" s="183" t="n">
        <f aca="false">IF(AND($F271="Decision",OR($J271="—",$J271="")),1,0)</f>
        <v>0</v>
      </c>
      <c r="AA271" s="180" t="n">
        <f aca="false">IF(OR($J271="—",$J271=""),0,IF(COUNTIF(Decisions!$A$5:$A$300,$J271)=0,1,0))</f>
        <v>0</v>
      </c>
      <c r="AB271" s="183" t="n">
        <f aca="false">IF(AND($F271="原始數據",$S271&lt;&gt;"Active"),1,0)</f>
        <v>0</v>
      </c>
      <c r="AC271" s="183" t="n">
        <f aca="false">IF(AND(ISNUMBER($K271),ISNUMBER($L271),ISNUMBER($Q271)),IF(OR($Q271&lt;MIN($K271,$L271),$Q271&gt;MAX($K271,$L271)),1,0),0)</f>
        <v>0</v>
      </c>
      <c r="AD271" s="183" t="n">
        <f aca="false">IF(AND(ISNUMBER($T271),$P271="高"),IF($T271=3,1,0),0)</f>
        <v>0</v>
      </c>
      <c r="AE271" s="183" t="n">
        <f aca="false">IF($S271="不存在",1,0)</f>
        <v>0</v>
      </c>
      <c r="AF271" s="34" t="str">
        <f aca="false">IF(OR($H271="—",$H271=""),"—",MATCH($H271,IDX_SrcID,0))</f>
        <v>—</v>
      </c>
    </row>
    <row r="272" customFormat="false" ht="15" hidden="false" customHeight="true" outlineLevel="0" collapsed="false">
      <c r="A272" s="35" t="s">
        <v>3356</v>
      </c>
      <c r="B272" s="209" t="s">
        <v>2677</v>
      </c>
      <c r="C272" s="35" t="s">
        <v>3325</v>
      </c>
      <c r="D272" s="35" t="s">
        <v>2585</v>
      </c>
      <c r="E272" s="18" t="s">
        <v>3354</v>
      </c>
      <c r="F272" s="35" t="s">
        <v>72</v>
      </c>
      <c r="G272" s="209" t="s">
        <v>2679</v>
      </c>
      <c r="H272" s="35" t="s">
        <v>571</v>
      </c>
      <c r="I272" s="6" t="s">
        <v>571</v>
      </c>
      <c r="J272" s="35" t="s">
        <v>571</v>
      </c>
      <c r="K272" s="182" t="n">
        <f aca="false">Workload!E8*0.5</f>
        <v>200</v>
      </c>
      <c r="L272" s="182" t="n">
        <f aca="false">Workload!E8*2</f>
        <v>800</v>
      </c>
      <c r="M272" s="35" t="s">
        <v>3310</v>
      </c>
      <c r="N272" s="210" t="str">
        <f aca="false">Workload!$H$8&amp;" ｜補充旗標（IF 全欄分段，非分段依據）：高"</f>
        <v>Assumed；服務端思考占比待查 ｜補充旗標（IF 全欄分段，非分段依據）：高</v>
      </c>
      <c r="O272" s="6" t="s">
        <v>571</v>
      </c>
      <c r="P272" s="209" t="s">
        <v>2738</v>
      </c>
      <c r="Q272" s="40" t="n">
        <f aca="false">Workload!E8</f>
        <v>400</v>
      </c>
      <c r="R272" s="35" t="s">
        <v>571</v>
      </c>
      <c r="S272" s="34" t="str">
        <f aca="false">IF(ISNUMBER($AF272),INDEX(IDX_SrcStat,$AF272),"—")</f>
        <v>—</v>
      </c>
      <c r="T272" s="34" t="str">
        <f aca="false">IF(ISNUMBER($AF272),INDEX(IDX_SrcGrade,$AF272),"—")</f>
        <v>—</v>
      </c>
      <c r="U272" s="34" t="s">
        <v>2683</v>
      </c>
      <c r="V272" s="183" t="n">
        <f aca="false">IF(AND($F272="原始數據",$U272&lt;&gt;"連結 SRC"),1,0)</f>
        <v>0</v>
      </c>
      <c r="W272" s="183" t="n">
        <f aca="false">IF(AND($F272="Analogy",OR($H272="—",$H272="")),1,0)</f>
        <v>0</v>
      </c>
      <c r="X272" s="183" t="n">
        <f aca="false">IF(AND(OR($F272="Analogy",$F272="Assumed"),$G272&lt;&gt;"低",$G272&lt;&gt;"高",NOT(ISNUMBER($K272)),NOT(ISNUMBER($L272)),OR($M272="—",$M272="")),1,0)</f>
        <v>0</v>
      </c>
      <c r="Y272" s="183" t="n">
        <f aca="false">IF(AND(OR($F272="Analogy",$F272="Assumed",$F272="Derived（待改公式）",$F272="Derived（公式）"),OR($N272="—",$N272="",$N272=0)),1,0)</f>
        <v>0</v>
      </c>
      <c r="Z272" s="183" t="n">
        <f aca="false">IF(AND($F272="Decision",OR($J272="—",$J272="")),1,0)</f>
        <v>0</v>
      </c>
      <c r="AA272" s="180" t="n">
        <f aca="false">IF(OR($J272="—",$J272=""),0,IF(COUNTIF(Decisions!$A$5:$A$300,$J272)=0,1,0))</f>
        <v>0</v>
      </c>
      <c r="AB272" s="183" t="n">
        <f aca="false">IF(AND($F272="原始數據",$S272&lt;&gt;"Active"),1,0)</f>
        <v>0</v>
      </c>
      <c r="AC272" s="183" t="n">
        <f aca="false">IF(AND(ISNUMBER($K272),ISNUMBER($L272),ISNUMBER($Q272)),IF(OR($Q272&lt;MIN($K272,$L272),$Q272&gt;MAX($K272,$L272)),1,0),0)</f>
        <v>0</v>
      </c>
      <c r="AD272" s="183" t="n">
        <f aca="false">IF(AND(ISNUMBER($T272),$P272="高"),IF($T272=3,1,0),0)</f>
        <v>0</v>
      </c>
      <c r="AE272" s="183" t="n">
        <f aca="false">IF($S272="不存在",1,0)</f>
        <v>0</v>
      </c>
      <c r="AF272" s="34" t="str">
        <f aca="false">IF(OR($H272="—",$H272=""),"—",MATCH($H272,IDX_SrcID,0))</f>
        <v>—</v>
      </c>
    </row>
    <row r="273" customFormat="false" ht="15" hidden="false" customHeight="true" outlineLevel="0" collapsed="false">
      <c r="A273" s="35" t="s">
        <v>3357</v>
      </c>
      <c r="B273" s="209" t="s">
        <v>2677</v>
      </c>
      <c r="C273" s="35" t="s">
        <v>3325</v>
      </c>
      <c r="D273" s="35" t="s">
        <v>2857</v>
      </c>
      <c r="E273" s="18" t="s">
        <v>3354</v>
      </c>
      <c r="F273" s="35" t="s">
        <v>72</v>
      </c>
      <c r="G273" s="209" t="s">
        <v>2679</v>
      </c>
      <c r="H273" s="35" t="s">
        <v>571</v>
      </c>
      <c r="I273" s="6" t="s">
        <v>571</v>
      </c>
      <c r="J273" s="35" t="s">
        <v>571</v>
      </c>
      <c r="K273" s="182" t="n">
        <f aca="false">Workload!F8*0.5</f>
        <v>200</v>
      </c>
      <c r="L273" s="182" t="n">
        <f aca="false">Workload!F8*2</f>
        <v>800</v>
      </c>
      <c r="M273" s="35" t="s">
        <v>3310</v>
      </c>
      <c r="N273" s="210" t="str">
        <f aca="false">Workload!$H$8&amp;" ｜補充旗標（IF 全欄分段，非分段依據）：高"</f>
        <v>Assumed；服務端思考占比待查 ｜補充旗標（IF 全欄分段，非分段依據）：高</v>
      </c>
      <c r="O273" s="6" t="s">
        <v>571</v>
      </c>
      <c r="P273" s="209" t="s">
        <v>2738</v>
      </c>
      <c r="Q273" s="40" t="n">
        <f aca="false">Workload!F8</f>
        <v>400</v>
      </c>
      <c r="R273" s="35" t="s">
        <v>571</v>
      </c>
      <c r="S273" s="34" t="str">
        <f aca="false">IF(ISNUMBER($AF273),INDEX(IDX_SrcStat,$AF273),"—")</f>
        <v>—</v>
      </c>
      <c r="T273" s="34" t="str">
        <f aca="false">IF(ISNUMBER($AF273),INDEX(IDX_SrcGrade,$AF273),"—")</f>
        <v>—</v>
      </c>
      <c r="U273" s="34" t="s">
        <v>2683</v>
      </c>
      <c r="V273" s="183" t="n">
        <f aca="false">IF(AND($F273="原始數據",$U273&lt;&gt;"連結 SRC"),1,0)</f>
        <v>0</v>
      </c>
      <c r="W273" s="183" t="n">
        <f aca="false">IF(AND($F273="Analogy",OR($H273="—",$H273="")),1,0)</f>
        <v>0</v>
      </c>
      <c r="X273" s="183" t="n">
        <f aca="false">IF(AND(OR($F273="Analogy",$F273="Assumed"),$G273&lt;&gt;"低",$G273&lt;&gt;"高",NOT(ISNUMBER($K273)),NOT(ISNUMBER($L273)),OR($M273="—",$M273="")),1,0)</f>
        <v>0</v>
      </c>
      <c r="Y273" s="183" t="n">
        <f aca="false">IF(AND(OR($F273="Analogy",$F273="Assumed",$F273="Derived（待改公式）",$F273="Derived（公式）"),OR($N273="—",$N273="",$N273=0)),1,0)</f>
        <v>0</v>
      </c>
      <c r="Z273" s="183" t="n">
        <f aca="false">IF(AND($F273="Decision",OR($J273="—",$J273="")),1,0)</f>
        <v>0</v>
      </c>
      <c r="AA273" s="180" t="n">
        <f aca="false">IF(OR($J273="—",$J273=""),0,IF(COUNTIF(Decisions!$A$5:$A$300,$J273)=0,1,0))</f>
        <v>0</v>
      </c>
      <c r="AB273" s="183" t="n">
        <f aca="false">IF(AND($F273="原始數據",$S273&lt;&gt;"Active"),1,0)</f>
        <v>0</v>
      </c>
      <c r="AC273" s="183" t="n">
        <f aca="false">IF(AND(ISNUMBER($K273),ISNUMBER($L273),ISNUMBER($Q273)),IF(OR($Q273&lt;MIN($K273,$L273),$Q273&gt;MAX($K273,$L273)),1,0),0)</f>
        <v>0</v>
      </c>
      <c r="AD273" s="183" t="n">
        <f aca="false">IF(AND(ISNUMBER($T273),$P273="高"),IF($T273=3,1,0),0)</f>
        <v>0</v>
      </c>
      <c r="AE273" s="183" t="n">
        <f aca="false">IF($S273="不存在",1,0)</f>
        <v>0</v>
      </c>
      <c r="AF273" s="34" t="str">
        <f aca="false">IF(OR($H273="—",$H273=""),"—",MATCH($H273,IDX_SrcID,0))</f>
        <v>—</v>
      </c>
    </row>
    <row r="274" customFormat="false" ht="15" hidden="false" customHeight="true" outlineLevel="0" collapsed="false">
      <c r="A274" s="35" t="s">
        <v>3358</v>
      </c>
      <c r="B274" s="209" t="s">
        <v>2677</v>
      </c>
      <c r="C274" s="35" t="s">
        <v>3325</v>
      </c>
      <c r="D274" s="35" t="s">
        <v>2860</v>
      </c>
      <c r="E274" s="18" t="s">
        <v>3354</v>
      </c>
      <c r="F274" s="35" t="s">
        <v>72</v>
      </c>
      <c r="G274" s="209" t="s">
        <v>2679</v>
      </c>
      <c r="H274" s="35" t="s">
        <v>571</v>
      </c>
      <c r="I274" s="6" t="s">
        <v>571</v>
      </c>
      <c r="J274" s="35" t="s">
        <v>571</v>
      </c>
      <c r="K274" s="182" t="n">
        <f aca="false">Workload!G8*0.5</f>
        <v>300</v>
      </c>
      <c r="L274" s="182" t="n">
        <f aca="false">Workload!G8*2</f>
        <v>1200</v>
      </c>
      <c r="M274" s="35" t="s">
        <v>3310</v>
      </c>
      <c r="N274" s="210" t="str">
        <f aca="false">Workload!$H$8&amp;" ｜補充旗標（IF 全欄分段，非分段依據）：高"</f>
        <v>Assumed；服務端思考占比待查 ｜補充旗標（IF 全欄分段，非分段依據）：高</v>
      </c>
      <c r="O274" s="6" t="s">
        <v>571</v>
      </c>
      <c r="P274" s="209" t="s">
        <v>2738</v>
      </c>
      <c r="Q274" s="40" t="n">
        <f aca="false">Workload!G8</f>
        <v>600</v>
      </c>
      <c r="R274" s="35" t="s">
        <v>571</v>
      </c>
      <c r="S274" s="34" t="str">
        <f aca="false">IF(ISNUMBER($AF274),INDEX(IDX_SrcStat,$AF274),"—")</f>
        <v>—</v>
      </c>
      <c r="T274" s="34" t="str">
        <f aca="false">IF(ISNUMBER($AF274),INDEX(IDX_SrcGrade,$AF274),"—")</f>
        <v>—</v>
      </c>
      <c r="U274" s="34" t="s">
        <v>2683</v>
      </c>
      <c r="V274" s="183" t="n">
        <f aca="false">IF(AND($F274="原始數據",$U274&lt;&gt;"連結 SRC"),1,0)</f>
        <v>0</v>
      </c>
      <c r="W274" s="183" t="n">
        <f aca="false">IF(AND($F274="Analogy",OR($H274="—",$H274="")),1,0)</f>
        <v>0</v>
      </c>
      <c r="X274" s="183" t="n">
        <f aca="false">IF(AND(OR($F274="Analogy",$F274="Assumed"),$G274&lt;&gt;"低",$G274&lt;&gt;"高",NOT(ISNUMBER($K274)),NOT(ISNUMBER($L274)),OR($M274="—",$M274="")),1,0)</f>
        <v>0</v>
      </c>
      <c r="Y274" s="183" t="n">
        <f aca="false">IF(AND(OR($F274="Analogy",$F274="Assumed",$F274="Derived（待改公式）",$F274="Derived（公式）"),OR($N274="—",$N274="",$N274=0)),1,0)</f>
        <v>0</v>
      </c>
      <c r="Z274" s="183" t="n">
        <f aca="false">IF(AND($F274="Decision",OR($J274="—",$J274="")),1,0)</f>
        <v>0</v>
      </c>
      <c r="AA274" s="180" t="n">
        <f aca="false">IF(OR($J274="—",$J274=""),0,IF(COUNTIF(Decisions!$A$5:$A$300,$J274)=0,1,0))</f>
        <v>0</v>
      </c>
      <c r="AB274" s="183" t="n">
        <f aca="false">IF(AND($F274="原始數據",$S274&lt;&gt;"Active"),1,0)</f>
        <v>0</v>
      </c>
      <c r="AC274" s="183" t="n">
        <f aca="false">IF(AND(ISNUMBER($K274),ISNUMBER($L274),ISNUMBER($Q274)),IF(OR($Q274&lt;MIN($K274,$L274),$Q274&gt;MAX($K274,$L274)),1,0),0)</f>
        <v>0</v>
      </c>
      <c r="AD274" s="183" t="n">
        <f aca="false">IF(AND(ISNUMBER($T274),$P274="高"),IF($T274=3,1,0),0)</f>
        <v>0</v>
      </c>
      <c r="AE274" s="183" t="n">
        <f aca="false">IF($S274="不存在",1,0)</f>
        <v>0</v>
      </c>
      <c r="AF274" s="34" t="str">
        <f aca="false">IF(OR($H274="—",$H274=""),"—",MATCH($H274,IDX_SrcID,0))</f>
        <v>—</v>
      </c>
    </row>
    <row r="275" customFormat="false" ht="29.25" hidden="false" customHeight="true" outlineLevel="0" collapsed="false">
      <c r="A275" s="35" t="s">
        <v>3359</v>
      </c>
      <c r="B275" s="209" t="s">
        <v>2677</v>
      </c>
      <c r="C275" s="35" t="s">
        <v>3325</v>
      </c>
      <c r="D275" s="35" t="s">
        <v>2863</v>
      </c>
      <c r="E275" s="18" t="s">
        <v>3360</v>
      </c>
      <c r="F275" s="35" t="s">
        <v>72</v>
      </c>
      <c r="G275" s="209" t="s">
        <v>2679</v>
      </c>
      <c r="H275" s="35" t="s">
        <v>571</v>
      </c>
      <c r="I275" s="6" t="s">
        <v>571</v>
      </c>
      <c r="J275" s="35" t="s">
        <v>571</v>
      </c>
      <c r="K275" s="182" t="n">
        <f aca="false">Workload!C9*0.5</f>
        <v>250</v>
      </c>
      <c r="L275" s="182" t="n">
        <f aca="false">Workload!C9*2</f>
        <v>1000</v>
      </c>
      <c r="M275" s="35" t="s">
        <v>3310</v>
      </c>
      <c r="N275" s="18" t="s">
        <v>3340</v>
      </c>
      <c r="O275" s="6" t="s">
        <v>571</v>
      </c>
      <c r="P275" s="209" t="s">
        <v>2738</v>
      </c>
      <c r="Q275" s="40" t="n">
        <f aca="false">Workload!C9</f>
        <v>500</v>
      </c>
      <c r="R275" s="35" t="s">
        <v>571</v>
      </c>
      <c r="S275" s="34" t="str">
        <f aca="false">IF(ISNUMBER($AF275),INDEX(IDX_SrcStat,$AF275),"—")</f>
        <v>—</v>
      </c>
      <c r="T275" s="34" t="str">
        <f aca="false">IF(ISNUMBER($AF275),INDEX(IDX_SrcGrade,$AF275),"—")</f>
        <v>—</v>
      </c>
      <c r="U275" s="34" t="s">
        <v>2683</v>
      </c>
      <c r="V275" s="183" t="n">
        <f aca="false">IF(AND($F275="原始數據",$U275&lt;&gt;"連結 SRC"),1,0)</f>
        <v>0</v>
      </c>
      <c r="W275" s="183" t="n">
        <f aca="false">IF(AND($F275="Analogy",OR($H275="—",$H275="")),1,0)</f>
        <v>0</v>
      </c>
      <c r="X275" s="183" t="n">
        <f aca="false">IF(AND(OR($F275="Analogy",$F275="Assumed"),$G275&lt;&gt;"低",$G275&lt;&gt;"高",NOT(ISNUMBER($K275)),NOT(ISNUMBER($L275)),OR($M275="—",$M275="")),1,0)</f>
        <v>0</v>
      </c>
      <c r="Y275" s="183" t="n">
        <f aca="false">IF(AND(OR($F275="Analogy",$F275="Assumed",$F275="Derived（待改公式）",$F275="Derived（公式）"),OR($N275="—",$N275="",$N275=0)),1,0)</f>
        <v>0</v>
      </c>
      <c r="Z275" s="183" t="n">
        <f aca="false">IF(AND($F275="Decision",OR($J275="—",$J275="")),1,0)</f>
        <v>0</v>
      </c>
      <c r="AA275" s="180" t="n">
        <f aca="false">IF(OR($J275="—",$J275=""),0,IF(COUNTIF(Decisions!$A$5:$A$300,$J275)=0,1,0))</f>
        <v>0</v>
      </c>
      <c r="AB275" s="183" t="n">
        <f aca="false">IF(AND($F275="原始數據",$S275&lt;&gt;"Active"),1,0)</f>
        <v>0</v>
      </c>
      <c r="AC275" s="183" t="n">
        <f aca="false">IF(AND(ISNUMBER($K275),ISNUMBER($L275),ISNUMBER($Q275)),IF(OR($Q275&lt;MIN($K275,$L275),$Q275&gt;MAX($K275,$L275)),1,0),0)</f>
        <v>0</v>
      </c>
      <c r="AD275" s="183" t="n">
        <f aca="false">IF(AND(ISNUMBER($T275),$P275="高"),IF($T275=3,1,0),0)</f>
        <v>0</v>
      </c>
      <c r="AE275" s="183" t="n">
        <f aca="false">IF($S275="不存在",1,0)</f>
        <v>0</v>
      </c>
      <c r="AF275" s="34" t="str">
        <f aca="false">IF(OR($H275="—",$H275=""),"—",MATCH($H275,IDX_SrcID,0))</f>
        <v>—</v>
      </c>
    </row>
    <row r="276" customFormat="false" ht="29.25" hidden="false" customHeight="true" outlineLevel="0" collapsed="false">
      <c r="A276" s="35" t="s">
        <v>3361</v>
      </c>
      <c r="B276" s="209" t="s">
        <v>2677</v>
      </c>
      <c r="C276" s="35" t="s">
        <v>3325</v>
      </c>
      <c r="D276" s="35" t="s">
        <v>2692</v>
      </c>
      <c r="E276" s="18" t="s">
        <v>3360</v>
      </c>
      <c r="F276" s="35" t="s">
        <v>72</v>
      </c>
      <c r="G276" s="209" t="s">
        <v>2679</v>
      </c>
      <c r="H276" s="35" t="s">
        <v>571</v>
      </c>
      <c r="I276" s="6" t="s">
        <v>571</v>
      </c>
      <c r="J276" s="35" t="s">
        <v>571</v>
      </c>
      <c r="K276" s="182" t="n">
        <f aca="false">Workload!D9*0.5</f>
        <v>350</v>
      </c>
      <c r="L276" s="182" t="n">
        <f aca="false">Workload!D9*2</f>
        <v>1400</v>
      </c>
      <c r="M276" s="35" t="s">
        <v>3310</v>
      </c>
      <c r="N276" s="18" t="s">
        <v>3340</v>
      </c>
      <c r="O276" s="6" t="s">
        <v>571</v>
      </c>
      <c r="P276" s="209" t="s">
        <v>2738</v>
      </c>
      <c r="Q276" s="40" t="n">
        <f aca="false">Workload!D9</f>
        <v>700</v>
      </c>
      <c r="R276" s="35" t="s">
        <v>571</v>
      </c>
      <c r="S276" s="34" t="str">
        <f aca="false">IF(ISNUMBER($AF276),INDEX(IDX_SrcStat,$AF276),"—")</f>
        <v>—</v>
      </c>
      <c r="T276" s="34" t="str">
        <f aca="false">IF(ISNUMBER($AF276),INDEX(IDX_SrcGrade,$AF276),"—")</f>
        <v>—</v>
      </c>
      <c r="U276" s="34" t="s">
        <v>2683</v>
      </c>
      <c r="V276" s="183" t="n">
        <f aca="false">IF(AND($F276="原始數據",$U276&lt;&gt;"連結 SRC"),1,0)</f>
        <v>0</v>
      </c>
      <c r="W276" s="183" t="n">
        <f aca="false">IF(AND($F276="Analogy",OR($H276="—",$H276="")),1,0)</f>
        <v>0</v>
      </c>
      <c r="X276" s="183" t="n">
        <f aca="false">IF(AND(OR($F276="Analogy",$F276="Assumed"),$G276&lt;&gt;"低",$G276&lt;&gt;"高",NOT(ISNUMBER($K276)),NOT(ISNUMBER($L276)),OR($M276="—",$M276="")),1,0)</f>
        <v>0</v>
      </c>
      <c r="Y276" s="183" t="n">
        <f aca="false">IF(AND(OR($F276="Analogy",$F276="Assumed",$F276="Derived（待改公式）",$F276="Derived（公式）"),OR($N276="—",$N276="",$N276=0)),1,0)</f>
        <v>0</v>
      </c>
      <c r="Z276" s="183" t="n">
        <f aca="false">IF(AND($F276="Decision",OR($J276="—",$J276="")),1,0)</f>
        <v>0</v>
      </c>
      <c r="AA276" s="180" t="n">
        <f aca="false">IF(OR($J276="—",$J276=""),0,IF(COUNTIF(Decisions!$A$5:$A$300,$J276)=0,1,0))</f>
        <v>0</v>
      </c>
      <c r="AB276" s="183" t="n">
        <f aca="false">IF(AND($F276="原始數據",$S276&lt;&gt;"Active"),1,0)</f>
        <v>0</v>
      </c>
      <c r="AC276" s="183" t="n">
        <f aca="false">IF(AND(ISNUMBER($K276),ISNUMBER($L276),ISNUMBER($Q276)),IF(OR($Q276&lt;MIN($K276,$L276),$Q276&gt;MAX($K276,$L276)),1,0),0)</f>
        <v>0</v>
      </c>
      <c r="AD276" s="183" t="n">
        <f aca="false">IF(AND(ISNUMBER($T276),$P276="高"),IF($T276=3,1,0),0)</f>
        <v>0</v>
      </c>
      <c r="AE276" s="183" t="n">
        <f aca="false">IF($S276="不存在",1,0)</f>
        <v>0</v>
      </c>
      <c r="AF276" s="34" t="str">
        <f aca="false">IF(OR($H276="—",$H276=""),"—",MATCH($H276,IDX_SrcID,0))</f>
        <v>—</v>
      </c>
    </row>
    <row r="277" customFormat="false" ht="29.25" hidden="false" customHeight="true" outlineLevel="0" collapsed="false">
      <c r="A277" s="35" t="s">
        <v>3362</v>
      </c>
      <c r="B277" s="209" t="s">
        <v>2677</v>
      </c>
      <c r="C277" s="35" t="s">
        <v>3325</v>
      </c>
      <c r="D277" s="35" t="s">
        <v>2588</v>
      </c>
      <c r="E277" s="18" t="s">
        <v>3360</v>
      </c>
      <c r="F277" s="35" t="s">
        <v>72</v>
      </c>
      <c r="G277" s="209" t="s">
        <v>2679</v>
      </c>
      <c r="H277" s="35" t="s">
        <v>571</v>
      </c>
      <c r="I277" s="6" t="s">
        <v>571</v>
      </c>
      <c r="J277" s="35" t="s">
        <v>571</v>
      </c>
      <c r="K277" s="182" t="n">
        <f aca="false">Workload!E9*0.5</f>
        <v>100</v>
      </c>
      <c r="L277" s="182" t="n">
        <f aca="false">Workload!E9*2</f>
        <v>400</v>
      </c>
      <c r="M277" s="35" t="s">
        <v>3310</v>
      </c>
      <c r="N277" s="18" t="s">
        <v>3340</v>
      </c>
      <c r="O277" s="6" t="s">
        <v>571</v>
      </c>
      <c r="P277" s="209" t="s">
        <v>2738</v>
      </c>
      <c r="Q277" s="40" t="n">
        <f aca="false">Workload!E9</f>
        <v>200</v>
      </c>
      <c r="R277" s="35" t="s">
        <v>571</v>
      </c>
      <c r="S277" s="34" t="str">
        <f aca="false">IF(ISNUMBER($AF277),INDEX(IDX_SrcStat,$AF277),"—")</f>
        <v>—</v>
      </c>
      <c r="T277" s="34" t="str">
        <f aca="false">IF(ISNUMBER($AF277),INDEX(IDX_SrcGrade,$AF277),"—")</f>
        <v>—</v>
      </c>
      <c r="U277" s="34" t="s">
        <v>2683</v>
      </c>
      <c r="V277" s="183" t="n">
        <f aca="false">IF(AND($F277="原始數據",$U277&lt;&gt;"連結 SRC"),1,0)</f>
        <v>0</v>
      </c>
      <c r="W277" s="183" t="n">
        <f aca="false">IF(AND($F277="Analogy",OR($H277="—",$H277="")),1,0)</f>
        <v>0</v>
      </c>
      <c r="X277" s="183" t="n">
        <f aca="false">IF(AND(OR($F277="Analogy",$F277="Assumed"),$G277&lt;&gt;"低",$G277&lt;&gt;"高",NOT(ISNUMBER($K277)),NOT(ISNUMBER($L277)),OR($M277="—",$M277="")),1,0)</f>
        <v>0</v>
      </c>
      <c r="Y277" s="183" t="n">
        <f aca="false">IF(AND(OR($F277="Analogy",$F277="Assumed",$F277="Derived（待改公式）",$F277="Derived（公式）"),OR($N277="—",$N277="",$N277=0)),1,0)</f>
        <v>0</v>
      </c>
      <c r="Z277" s="183" t="n">
        <f aca="false">IF(AND($F277="Decision",OR($J277="—",$J277="")),1,0)</f>
        <v>0</v>
      </c>
      <c r="AA277" s="180" t="n">
        <f aca="false">IF(OR($J277="—",$J277=""),0,IF(COUNTIF(Decisions!$A$5:$A$300,$J277)=0,1,0))</f>
        <v>0</v>
      </c>
      <c r="AB277" s="183" t="n">
        <f aca="false">IF(AND($F277="原始數據",$S277&lt;&gt;"Active"),1,0)</f>
        <v>0</v>
      </c>
      <c r="AC277" s="183" t="n">
        <f aca="false">IF(AND(ISNUMBER($K277),ISNUMBER($L277),ISNUMBER($Q277)),IF(OR($Q277&lt;MIN($K277,$L277),$Q277&gt;MAX($K277,$L277)),1,0),0)</f>
        <v>0</v>
      </c>
      <c r="AD277" s="183" t="n">
        <f aca="false">IF(AND(ISNUMBER($T277),$P277="高"),IF($T277=3,1,0),0)</f>
        <v>0</v>
      </c>
      <c r="AE277" s="183" t="n">
        <f aca="false">IF($S277="不存在",1,0)</f>
        <v>0</v>
      </c>
      <c r="AF277" s="34" t="str">
        <f aca="false">IF(OR($H277="—",$H277=""),"—",MATCH($H277,IDX_SrcID,0))</f>
        <v>—</v>
      </c>
    </row>
    <row r="278" customFormat="false" ht="29.25" hidden="false" customHeight="true" outlineLevel="0" collapsed="false">
      <c r="A278" s="35" t="s">
        <v>3363</v>
      </c>
      <c r="B278" s="209" t="s">
        <v>2677</v>
      </c>
      <c r="C278" s="35" t="s">
        <v>3325</v>
      </c>
      <c r="D278" s="35" t="s">
        <v>2694</v>
      </c>
      <c r="E278" s="18" t="s">
        <v>3360</v>
      </c>
      <c r="F278" s="35" t="s">
        <v>72</v>
      </c>
      <c r="G278" s="209" t="s">
        <v>2679</v>
      </c>
      <c r="H278" s="35" t="s">
        <v>571</v>
      </c>
      <c r="I278" s="6" t="s">
        <v>571</v>
      </c>
      <c r="J278" s="35" t="s">
        <v>571</v>
      </c>
      <c r="K278" s="182" t="n">
        <f aca="false">Workload!F9*0.5</f>
        <v>100</v>
      </c>
      <c r="L278" s="182" t="n">
        <f aca="false">Workload!F9*2</f>
        <v>400</v>
      </c>
      <c r="M278" s="35" t="s">
        <v>3310</v>
      </c>
      <c r="N278" s="18" t="s">
        <v>3340</v>
      </c>
      <c r="O278" s="6" t="s">
        <v>571</v>
      </c>
      <c r="P278" s="209" t="s">
        <v>2738</v>
      </c>
      <c r="Q278" s="40" t="n">
        <f aca="false">Workload!F9</f>
        <v>200</v>
      </c>
      <c r="R278" s="35" t="s">
        <v>571</v>
      </c>
      <c r="S278" s="34" t="str">
        <f aca="false">IF(ISNUMBER($AF278),INDEX(IDX_SrcStat,$AF278),"—")</f>
        <v>—</v>
      </c>
      <c r="T278" s="34" t="str">
        <f aca="false">IF(ISNUMBER($AF278),INDEX(IDX_SrcGrade,$AF278),"—")</f>
        <v>—</v>
      </c>
      <c r="U278" s="34" t="s">
        <v>2683</v>
      </c>
      <c r="V278" s="183" t="n">
        <f aca="false">IF(AND($F278="原始數據",$U278&lt;&gt;"連結 SRC"),1,0)</f>
        <v>0</v>
      </c>
      <c r="W278" s="183" t="n">
        <f aca="false">IF(AND($F278="Analogy",OR($H278="—",$H278="")),1,0)</f>
        <v>0</v>
      </c>
      <c r="X278" s="183" t="n">
        <f aca="false">IF(AND(OR($F278="Analogy",$F278="Assumed"),$G278&lt;&gt;"低",$G278&lt;&gt;"高",NOT(ISNUMBER($K278)),NOT(ISNUMBER($L278)),OR($M278="—",$M278="")),1,0)</f>
        <v>0</v>
      </c>
      <c r="Y278" s="183" t="n">
        <f aca="false">IF(AND(OR($F278="Analogy",$F278="Assumed",$F278="Derived（待改公式）",$F278="Derived（公式）"),OR($N278="—",$N278="",$N278=0)),1,0)</f>
        <v>0</v>
      </c>
      <c r="Z278" s="183" t="n">
        <f aca="false">IF(AND($F278="Decision",OR($J278="—",$J278="")),1,0)</f>
        <v>0</v>
      </c>
      <c r="AA278" s="180" t="n">
        <f aca="false">IF(OR($J278="—",$J278=""),0,IF(COUNTIF(Decisions!$A$5:$A$300,$J278)=0,1,0))</f>
        <v>0</v>
      </c>
      <c r="AB278" s="183" t="n">
        <f aca="false">IF(AND($F278="原始數據",$S278&lt;&gt;"Active"),1,0)</f>
        <v>0</v>
      </c>
      <c r="AC278" s="183" t="n">
        <f aca="false">IF(AND(ISNUMBER($K278),ISNUMBER($L278),ISNUMBER($Q278)),IF(OR($Q278&lt;MIN($K278,$L278),$Q278&gt;MAX($K278,$L278)),1,0),0)</f>
        <v>0</v>
      </c>
      <c r="AD278" s="183" t="n">
        <f aca="false">IF(AND(ISNUMBER($T278),$P278="高"),IF($T278=3,1,0),0)</f>
        <v>0</v>
      </c>
      <c r="AE278" s="183" t="n">
        <f aca="false">IF($S278="不存在",1,0)</f>
        <v>0</v>
      </c>
      <c r="AF278" s="34" t="str">
        <f aca="false">IF(OR($H278="—",$H278=""),"—",MATCH($H278,IDX_SrcID,0))</f>
        <v>—</v>
      </c>
    </row>
    <row r="279" customFormat="false" ht="29.25" hidden="false" customHeight="true" outlineLevel="0" collapsed="false">
      <c r="A279" s="35" t="s">
        <v>3364</v>
      </c>
      <c r="B279" s="209" t="s">
        <v>2677</v>
      </c>
      <c r="C279" s="35" t="s">
        <v>3325</v>
      </c>
      <c r="D279" s="35" t="s">
        <v>2878</v>
      </c>
      <c r="E279" s="18" t="s">
        <v>3360</v>
      </c>
      <c r="F279" s="35" t="s">
        <v>72</v>
      </c>
      <c r="G279" s="209" t="s">
        <v>2679</v>
      </c>
      <c r="H279" s="35" t="s">
        <v>571</v>
      </c>
      <c r="I279" s="6" t="s">
        <v>571</v>
      </c>
      <c r="J279" s="35" t="s">
        <v>571</v>
      </c>
      <c r="K279" s="182" t="n">
        <f aca="false">Workload!G9*0.5</f>
        <v>200</v>
      </c>
      <c r="L279" s="182" t="n">
        <f aca="false">Workload!G9*2</f>
        <v>800</v>
      </c>
      <c r="M279" s="35" t="s">
        <v>3310</v>
      </c>
      <c r="N279" s="18" t="s">
        <v>3340</v>
      </c>
      <c r="O279" s="6" t="s">
        <v>571</v>
      </c>
      <c r="P279" s="209" t="s">
        <v>2738</v>
      </c>
      <c r="Q279" s="40" t="n">
        <f aca="false">Workload!G9</f>
        <v>400</v>
      </c>
      <c r="R279" s="35" t="s">
        <v>571</v>
      </c>
      <c r="S279" s="34" t="str">
        <f aca="false">IF(ISNUMBER($AF279),INDEX(IDX_SrcStat,$AF279),"—")</f>
        <v>—</v>
      </c>
      <c r="T279" s="34" t="str">
        <f aca="false">IF(ISNUMBER($AF279),INDEX(IDX_SrcGrade,$AF279),"—")</f>
        <v>—</v>
      </c>
      <c r="U279" s="34" t="s">
        <v>2683</v>
      </c>
      <c r="V279" s="183" t="n">
        <f aca="false">IF(AND($F279="原始數據",$U279&lt;&gt;"連結 SRC"),1,0)</f>
        <v>0</v>
      </c>
      <c r="W279" s="183" t="n">
        <f aca="false">IF(AND($F279="Analogy",OR($H279="—",$H279="")),1,0)</f>
        <v>0</v>
      </c>
      <c r="X279" s="183" t="n">
        <f aca="false">IF(AND(OR($F279="Analogy",$F279="Assumed"),$G279&lt;&gt;"低",$G279&lt;&gt;"高",NOT(ISNUMBER($K279)),NOT(ISNUMBER($L279)),OR($M279="—",$M279="")),1,0)</f>
        <v>0</v>
      </c>
      <c r="Y279" s="183" t="n">
        <f aca="false">IF(AND(OR($F279="Analogy",$F279="Assumed",$F279="Derived（待改公式）",$F279="Derived（公式）"),OR($N279="—",$N279="",$N279=0)),1,0)</f>
        <v>0</v>
      </c>
      <c r="Z279" s="183" t="n">
        <f aca="false">IF(AND($F279="Decision",OR($J279="—",$J279="")),1,0)</f>
        <v>0</v>
      </c>
      <c r="AA279" s="180" t="n">
        <f aca="false">IF(OR($J279="—",$J279=""),0,IF(COUNTIF(Decisions!$A$5:$A$300,$J279)=0,1,0))</f>
        <v>0</v>
      </c>
      <c r="AB279" s="183" t="n">
        <f aca="false">IF(AND($F279="原始數據",$S279&lt;&gt;"Active"),1,0)</f>
        <v>0</v>
      </c>
      <c r="AC279" s="183" t="n">
        <f aca="false">IF(AND(ISNUMBER($K279),ISNUMBER($L279),ISNUMBER($Q279)),IF(OR($Q279&lt;MIN($K279,$L279),$Q279&gt;MAX($K279,$L279)),1,0),0)</f>
        <v>0</v>
      </c>
      <c r="AD279" s="183" t="n">
        <f aca="false">IF(AND(ISNUMBER($T279),$P279="高"),IF($T279=3,1,0),0)</f>
        <v>0</v>
      </c>
      <c r="AE279" s="183" t="n">
        <f aca="false">IF($S279="不存在",1,0)</f>
        <v>0</v>
      </c>
      <c r="AF279" s="34" t="str">
        <f aca="false">IF(OR($H279="—",$H279=""),"—",MATCH($H279,IDX_SrcID,0))</f>
        <v>—</v>
      </c>
    </row>
    <row r="280" customFormat="false" ht="29.25" hidden="false" customHeight="true" outlineLevel="0" collapsed="false">
      <c r="A280" s="35" t="s">
        <v>3365</v>
      </c>
      <c r="B280" s="209" t="s">
        <v>2677</v>
      </c>
      <c r="C280" s="35" t="s">
        <v>3325</v>
      </c>
      <c r="D280" s="35" t="s">
        <v>2883</v>
      </c>
      <c r="E280" s="18" t="s">
        <v>3366</v>
      </c>
      <c r="F280" s="35" t="s">
        <v>72</v>
      </c>
      <c r="G280" s="209" t="s">
        <v>2679</v>
      </c>
      <c r="H280" s="35" t="s">
        <v>571</v>
      </c>
      <c r="I280" s="6" t="s">
        <v>571</v>
      </c>
      <c r="J280" s="35" t="s">
        <v>571</v>
      </c>
      <c r="K280" s="211" t="n">
        <v>0</v>
      </c>
      <c r="L280" s="211" t="n">
        <v>1</v>
      </c>
      <c r="M280" s="35" t="s">
        <v>3367</v>
      </c>
      <c r="N280" s="210" t="str">
        <f aca="false">Workload!$H$10</f>
        <v>Assumed：多數 API 不保留前輪思考（標準 harness）</v>
      </c>
      <c r="O280" s="6" t="s">
        <v>571</v>
      </c>
      <c r="P280" s="209" t="s">
        <v>2682</v>
      </c>
      <c r="Q280" s="174" t="n">
        <f aca="false">Workload!C10</f>
        <v>0</v>
      </c>
      <c r="R280" s="35" t="s">
        <v>571</v>
      </c>
      <c r="S280" s="34" t="str">
        <f aca="false">IF(ISNUMBER($AF280),INDEX(IDX_SrcStat,$AF280),"—")</f>
        <v>—</v>
      </c>
      <c r="T280" s="34" t="str">
        <f aca="false">IF(ISNUMBER($AF280),INDEX(IDX_SrcGrade,$AF280),"—")</f>
        <v>—</v>
      </c>
      <c r="U280" s="34" t="s">
        <v>2683</v>
      </c>
      <c r="V280" s="183" t="n">
        <f aca="false">IF(AND($F280="原始數據",$U280&lt;&gt;"連結 SRC"),1,0)</f>
        <v>0</v>
      </c>
      <c r="W280" s="183" t="n">
        <f aca="false">IF(AND($F280="Analogy",OR($H280="—",$H280="")),1,0)</f>
        <v>0</v>
      </c>
      <c r="X280" s="183" t="n">
        <f aca="false">IF(AND(OR($F280="Analogy",$F280="Assumed"),$G280&lt;&gt;"低",$G280&lt;&gt;"高",NOT(ISNUMBER($K280)),NOT(ISNUMBER($L280)),OR($M280="—",$M280="")),1,0)</f>
        <v>0</v>
      </c>
      <c r="Y280" s="183" t="n">
        <f aca="false">IF(AND(OR($F280="Analogy",$F280="Assumed",$F280="Derived（待改公式）",$F280="Derived（公式）"),OR($N280="—",$N280="",$N280=0)),1,0)</f>
        <v>0</v>
      </c>
      <c r="Z280" s="183" t="n">
        <f aca="false">IF(AND($F280="Decision",OR($J280="—",$J280="")),1,0)</f>
        <v>0</v>
      </c>
      <c r="AA280" s="180" t="n">
        <f aca="false">IF(OR($J280="—",$J280=""),0,IF(COUNTIF(Decisions!$A$5:$A$300,$J280)=0,1,0))</f>
        <v>0</v>
      </c>
      <c r="AB280" s="183" t="n">
        <f aca="false">IF(AND($F280="原始數據",$S280&lt;&gt;"Active"),1,0)</f>
        <v>0</v>
      </c>
      <c r="AC280" s="183" t="n">
        <f aca="false">IF(AND(ISNUMBER($K280),ISNUMBER($L280),ISNUMBER($Q280)),IF(OR($Q280&lt;MIN($K280,$L280),$Q280&gt;MAX($K280,$L280)),1,0),0)</f>
        <v>0</v>
      </c>
      <c r="AD280" s="183" t="n">
        <f aca="false">IF(AND(ISNUMBER($T280),$P280="高"),IF($T280=3,1,0),0)</f>
        <v>0</v>
      </c>
      <c r="AE280" s="183" t="n">
        <f aca="false">IF($S280="不存在",1,0)</f>
        <v>0</v>
      </c>
      <c r="AF280" s="34" t="str">
        <f aca="false">IF(OR($H280="—",$H280=""),"—",MATCH($H280,IDX_SrcID,0))</f>
        <v>—</v>
      </c>
    </row>
    <row r="281" customFormat="false" ht="29.25" hidden="false" customHeight="true" outlineLevel="0" collapsed="false">
      <c r="A281" s="35" t="s">
        <v>3368</v>
      </c>
      <c r="B281" s="209" t="s">
        <v>2677</v>
      </c>
      <c r="C281" s="35" t="s">
        <v>3325</v>
      </c>
      <c r="D281" s="35" t="s">
        <v>2697</v>
      </c>
      <c r="E281" s="18" t="s">
        <v>3366</v>
      </c>
      <c r="F281" s="35" t="s">
        <v>72</v>
      </c>
      <c r="G281" s="209" t="s">
        <v>2679</v>
      </c>
      <c r="H281" s="35" t="s">
        <v>571</v>
      </c>
      <c r="I281" s="6" t="s">
        <v>571</v>
      </c>
      <c r="J281" s="35" t="s">
        <v>571</v>
      </c>
      <c r="K281" s="211" t="n">
        <v>0</v>
      </c>
      <c r="L281" s="211" t="n">
        <v>1</v>
      </c>
      <c r="M281" s="35" t="s">
        <v>3367</v>
      </c>
      <c r="N281" s="210" t="str">
        <f aca="false">Workload!$H$10</f>
        <v>Assumed：多數 API 不保留前輪思考（標準 harness）</v>
      </c>
      <c r="O281" s="6" t="s">
        <v>571</v>
      </c>
      <c r="P281" s="209" t="s">
        <v>2682</v>
      </c>
      <c r="Q281" s="174" t="n">
        <f aca="false">Workload!D10</f>
        <v>0</v>
      </c>
      <c r="R281" s="35" t="s">
        <v>571</v>
      </c>
      <c r="S281" s="34" t="str">
        <f aca="false">IF(ISNUMBER($AF281),INDEX(IDX_SrcStat,$AF281),"—")</f>
        <v>—</v>
      </c>
      <c r="T281" s="34" t="str">
        <f aca="false">IF(ISNUMBER($AF281),INDEX(IDX_SrcGrade,$AF281),"—")</f>
        <v>—</v>
      </c>
      <c r="U281" s="34" t="s">
        <v>2683</v>
      </c>
      <c r="V281" s="183" t="n">
        <f aca="false">IF(AND($F281="原始數據",$U281&lt;&gt;"連結 SRC"),1,0)</f>
        <v>0</v>
      </c>
      <c r="W281" s="183" t="n">
        <f aca="false">IF(AND($F281="Analogy",OR($H281="—",$H281="")),1,0)</f>
        <v>0</v>
      </c>
      <c r="X281" s="183" t="n">
        <f aca="false">IF(AND(OR($F281="Analogy",$F281="Assumed"),$G281&lt;&gt;"低",$G281&lt;&gt;"高",NOT(ISNUMBER($K281)),NOT(ISNUMBER($L281)),OR($M281="—",$M281="")),1,0)</f>
        <v>0</v>
      </c>
      <c r="Y281" s="183" t="n">
        <f aca="false">IF(AND(OR($F281="Analogy",$F281="Assumed",$F281="Derived（待改公式）",$F281="Derived（公式）"),OR($N281="—",$N281="",$N281=0)),1,0)</f>
        <v>0</v>
      </c>
      <c r="Z281" s="183" t="n">
        <f aca="false">IF(AND($F281="Decision",OR($J281="—",$J281="")),1,0)</f>
        <v>0</v>
      </c>
      <c r="AA281" s="180" t="n">
        <f aca="false">IF(OR($J281="—",$J281=""),0,IF(COUNTIF(Decisions!$A$5:$A$300,$J281)=0,1,0))</f>
        <v>0</v>
      </c>
      <c r="AB281" s="183" t="n">
        <f aca="false">IF(AND($F281="原始數據",$S281&lt;&gt;"Active"),1,0)</f>
        <v>0</v>
      </c>
      <c r="AC281" s="183" t="n">
        <f aca="false">IF(AND(ISNUMBER($K281),ISNUMBER($L281),ISNUMBER($Q281)),IF(OR($Q281&lt;MIN($K281,$L281),$Q281&gt;MAX($K281,$L281)),1,0),0)</f>
        <v>0</v>
      </c>
      <c r="AD281" s="183" t="n">
        <f aca="false">IF(AND(ISNUMBER($T281),$P281="高"),IF($T281=3,1,0),0)</f>
        <v>0</v>
      </c>
      <c r="AE281" s="183" t="n">
        <f aca="false">IF($S281="不存在",1,0)</f>
        <v>0</v>
      </c>
      <c r="AF281" s="34" t="str">
        <f aca="false">IF(OR($H281="—",$H281=""),"—",MATCH($H281,IDX_SrcID,0))</f>
        <v>—</v>
      </c>
    </row>
    <row r="282" customFormat="false" ht="29.25" hidden="false" customHeight="true" outlineLevel="0" collapsed="false">
      <c r="A282" s="35" t="s">
        <v>3369</v>
      </c>
      <c r="B282" s="209" t="s">
        <v>2677</v>
      </c>
      <c r="C282" s="35" t="s">
        <v>3325</v>
      </c>
      <c r="D282" s="35" t="s">
        <v>2591</v>
      </c>
      <c r="E282" s="18" t="s">
        <v>3366</v>
      </c>
      <c r="F282" s="35" t="s">
        <v>72</v>
      </c>
      <c r="G282" s="209" t="s">
        <v>2679</v>
      </c>
      <c r="H282" s="35" t="s">
        <v>571</v>
      </c>
      <c r="I282" s="6" t="s">
        <v>571</v>
      </c>
      <c r="J282" s="35" t="s">
        <v>571</v>
      </c>
      <c r="K282" s="211" t="n">
        <v>0</v>
      </c>
      <c r="L282" s="211" t="n">
        <v>1</v>
      </c>
      <c r="M282" s="35" t="s">
        <v>3367</v>
      </c>
      <c r="N282" s="210" t="str">
        <f aca="false">Workload!$H$10</f>
        <v>Assumed：多數 API 不保留前輪思考（標準 harness）</v>
      </c>
      <c r="O282" s="6" t="s">
        <v>571</v>
      </c>
      <c r="P282" s="209" t="s">
        <v>2682</v>
      </c>
      <c r="Q282" s="174" t="n">
        <f aca="false">Workload!E10</f>
        <v>0</v>
      </c>
      <c r="R282" s="35" t="s">
        <v>571</v>
      </c>
      <c r="S282" s="34" t="str">
        <f aca="false">IF(ISNUMBER($AF282),INDEX(IDX_SrcStat,$AF282),"—")</f>
        <v>—</v>
      </c>
      <c r="T282" s="34" t="str">
        <f aca="false">IF(ISNUMBER($AF282),INDEX(IDX_SrcGrade,$AF282),"—")</f>
        <v>—</v>
      </c>
      <c r="U282" s="34" t="s">
        <v>2683</v>
      </c>
      <c r="V282" s="183" t="n">
        <f aca="false">IF(AND($F282="原始數據",$U282&lt;&gt;"連結 SRC"),1,0)</f>
        <v>0</v>
      </c>
      <c r="W282" s="183" t="n">
        <f aca="false">IF(AND($F282="Analogy",OR($H282="—",$H282="")),1,0)</f>
        <v>0</v>
      </c>
      <c r="X282" s="183" t="n">
        <f aca="false">IF(AND(OR($F282="Analogy",$F282="Assumed"),$G282&lt;&gt;"低",$G282&lt;&gt;"高",NOT(ISNUMBER($K282)),NOT(ISNUMBER($L282)),OR($M282="—",$M282="")),1,0)</f>
        <v>0</v>
      </c>
      <c r="Y282" s="183" t="n">
        <f aca="false">IF(AND(OR($F282="Analogy",$F282="Assumed",$F282="Derived（待改公式）",$F282="Derived（公式）"),OR($N282="—",$N282="",$N282=0)),1,0)</f>
        <v>0</v>
      </c>
      <c r="Z282" s="183" t="n">
        <f aca="false">IF(AND($F282="Decision",OR($J282="—",$J282="")),1,0)</f>
        <v>0</v>
      </c>
      <c r="AA282" s="180" t="n">
        <f aca="false">IF(OR($J282="—",$J282=""),0,IF(COUNTIF(Decisions!$A$5:$A$300,$J282)=0,1,0))</f>
        <v>0</v>
      </c>
      <c r="AB282" s="183" t="n">
        <f aca="false">IF(AND($F282="原始數據",$S282&lt;&gt;"Active"),1,0)</f>
        <v>0</v>
      </c>
      <c r="AC282" s="183" t="n">
        <f aca="false">IF(AND(ISNUMBER($K282),ISNUMBER($L282),ISNUMBER($Q282)),IF(OR($Q282&lt;MIN($K282,$L282),$Q282&gt;MAX($K282,$L282)),1,0),0)</f>
        <v>0</v>
      </c>
      <c r="AD282" s="183" t="n">
        <f aca="false">IF(AND(ISNUMBER($T282),$P282="高"),IF($T282=3,1,0),0)</f>
        <v>0</v>
      </c>
      <c r="AE282" s="183" t="n">
        <f aca="false">IF($S282="不存在",1,0)</f>
        <v>0</v>
      </c>
      <c r="AF282" s="34" t="str">
        <f aca="false">IF(OR($H282="—",$H282=""),"—",MATCH($H282,IDX_SrcID,0))</f>
        <v>—</v>
      </c>
    </row>
    <row r="283" customFormat="false" ht="29.25" hidden="false" customHeight="true" outlineLevel="0" collapsed="false">
      <c r="A283" s="35" t="s">
        <v>3370</v>
      </c>
      <c r="B283" s="209" t="s">
        <v>2677</v>
      </c>
      <c r="C283" s="35" t="s">
        <v>3325</v>
      </c>
      <c r="D283" s="35" t="s">
        <v>2699</v>
      </c>
      <c r="E283" s="18" t="s">
        <v>3366</v>
      </c>
      <c r="F283" s="35" t="s">
        <v>72</v>
      </c>
      <c r="G283" s="209" t="s">
        <v>2679</v>
      </c>
      <c r="H283" s="35" t="s">
        <v>571</v>
      </c>
      <c r="I283" s="6" t="s">
        <v>571</v>
      </c>
      <c r="J283" s="35" t="s">
        <v>571</v>
      </c>
      <c r="K283" s="211" t="n">
        <v>0</v>
      </c>
      <c r="L283" s="211" t="n">
        <v>1</v>
      </c>
      <c r="M283" s="35" t="s">
        <v>3367</v>
      </c>
      <c r="N283" s="210" t="str">
        <f aca="false">Workload!$H$10</f>
        <v>Assumed：多數 API 不保留前輪思考（標準 harness）</v>
      </c>
      <c r="O283" s="6" t="s">
        <v>571</v>
      </c>
      <c r="P283" s="209" t="s">
        <v>2682</v>
      </c>
      <c r="Q283" s="174" t="n">
        <f aca="false">Workload!F10</f>
        <v>0</v>
      </c>
      <c r="R283" s="35" t="s">
        <v>571</v>
      </c>
      <c r="S283" s="34" t="str">
        <f aca="false">IF(ISNUMBER($AF283),INDEX(IDX_SrcStat,$AF283),"—")</f>
        <v>—</v>
      </c>
      <c r="T283" s="34" t="str">
        <f aca="false">IF(ISNUMBER($AF283),INDEX(IDX_SrcGrade,$AF283),"—")</f>
        <v>—</v>
      </c>
      <c r="U283" s="34" t="s">
        <v>2683</v>
      </c>
      <c r="V283" s="183" t="n">
        <f aca="false">IF(AND($F283="原始數據",$U283&lt;&gt;"連結 SRC"),1,0)</f>
        <v>0</v>
      </c>
      <c r="W283" s="183" t="n">
        <f aca="false">IF(AND($F283="Analogy",OR($H283="—",$H283="")),1,0)</f>
        <v>0</v>
      </c>
      <c r="X283" s="183" t="n">
        <f aca="false">IF(AND(OR($F283="Analogy",$F283="Assumed"),$G283&lt;&gt;"低",$G283&lt;&gt;"高",NOT(ISNUMBER($K283)),NOT(ISNUMBER($L283)),OR($M283="—",$M283="")),1,0)</f>
        <v>0</v>
      </c>
      <c r="Y283" s="183" t="n">
        <f aca="false">IF(AND(OR($F283="Analogy",$F283="Assumed",$F283="Derived（待改公式）",$F283="Derived（公式）"),OR($N283="—",$N283="",$N283=0)),1,0)</f>
        <v>0</v>
      </c>
      <c r="Z283" s="183" t="n">
        <f aca="false">IF(AND($F283="Decision",OR($J283="—",$J283="")),1,0)</f>
        <v>0</v>
      </c>
      <c r="AA283" s="180" t="n">
        <f aca="false">IF(OR($J283="—",$J283=""),0,IF(COUNTIF(Decisions!$A$5:$A$300,$J283)=0,1,0))</f>
        <v>0</v>
      </c>
      <c r="AB283" s="183" t="n">
        <f aca="false">IF(AND($F283="原始數據",$S283&lt;&gt;"Active"),1,0)</f>
        <v>0</v>
      </c>
      <c r="AC283" s="183" t="n">
        <f aca="false">IF(AND(ISNUMBER($K283),ISNUMBER($L283),ISNUMBER($Q283)),IF(OR($Q283&lt;MIN($K283,$L283),$Q283&gt;MAX($K283,$L283)),1,0),0)</f>
        <v>0</v>
      </c>
      <c r="AD283" s="183" t="n">
        <f aca="false">IF(AND(ISNUMBER($T283),$P283="高"),IF($T283=3,1,0),0)</f>
        <v>0</v>
      </c>
      <c r="AE283" s="183" t="n">
        <f aca="false">IF($S283="不存在",1,0)</f>
        <v>0</v>
      </c>
      <c r="AF283" s="34" t="str">
        <f aca="false">IF(OR($H283="—",$H283=""),"—",MATCH($H283,IDX_SrcID,0))</f>
        <v>—</v>
      </c>
    </row>
    <row r="284" customFormat="false" ht="29.25" hidden="false" customHeight="true" outlineLevel="0" collapsed="false">
      <c r="A284" s="35" t="s">
        <v>3371</v>
      </c>
      <c r="B284" s="209" t="s">
        <v>2677</v>
      </c>
      <c r="C284" s="35" t="s">
        <v>3325</v>
      </c>
      <c r="D284" s="35" t="s">
        <v>2891</v>
      </c>
      <c r="E284" s="18" t="s">
        <v>3366</v>
      </c>
      <c r="F284" s="35" t="s">
        <v>72</v>
      </c>
      <c r="G284" s="209" t="s">
        <v>2679</v>
      </c>
      <c r="H284" s="35" t="s">
        <v>571</v>
      </c>
      <c r="I284" s="6" t="s">
        <v>571</v>
      </c>
      <c r="J284" s="35" t="s">
        <v>571</v>
      </c>
      <c r="K284" s="211" t="n">
        <v>0</v>
      </c>
      <c r="L284" s="211" t="n">
        <v>1</v>
      </c>
      <c r="M284" s="35" t="s">
        <v>3367</v>
      </c>
      <c r="N284" s="210" t="str">
        <f aca="false">Workload!$H$10</f>
        <v>Assumed：多數 API 不保留前輪思考（標準 harness）</v>
      </c>
      <c r="O284" s="6" t="s">
        <v>571</v>
      </c>
      <c r="P284" s="209" t="s">
        <v>2682</v>
      </c>
      <c r="Q284" s="174" t="n">
        <f aca="false">Workload!G10</f>
        <v>0</v>
      </c>
      <c r="R284" s="35" t="s">
        <v>571</v>
      </c>
      <c r="S284" s="34" t="str">
        <f aca="false">IF(ISNUMBER($AF284),INDEX(IDX_SrcStat,$AF284),"—")</f>
        <v>—</v>
      </c>
      <c r="T284" s="34" t="str">
        <f aca="false">IF(ISNUMBER($AF284),INDEX(IDX_SrcGrade,$AF284),"—")</f>
        <v>—</v>
      </c>
      <c r="U284" s="34" t="s">
        <v>2683</v>
      </c>
      <c r="V284" s="183" t="n">
        <f aca="false">IF(AND($F284="原始數據",$U284&lt;&gt;"連結 SRC"),1,0)</f>
        <v>0</v>
      </c>
      <c r="W284" s="183" t="n">
        <f aca="false">IF(AND($F284="Analogy",OR($H284="—",$H284="")),1,0)</f>
        <v>0</v>
      </c>
      <c r="X284" s="183" t="n">
        <f aca="false">IF(AND(OR($F284="Analogy",$F284="Assumed"),$G284&lt;&gt;"低",$G284&lt;&gt;"高",NOT(ISNUMBER($K284)),NOT(ISNUMBER($L284)),OR($M284="—",$M284="")),1,0)</f>
        <v>0</v>
      </c>
      <c r="Y284" s="183" t="n">
        <f aca="false">IF(AND(OR($F284="Analogy",$F284="Assumed",$F284="Derived（待改公式）",$F284="Derived（公式）"),OR($N284="—",$N284="",$N284=0)),1,0)</f>
        <v>0</v>
      </c>
      <c r="Z284" s="183" t="n">
        <f aca="false">IF(AND($F284="Decision",OR($J284="—",$J284="")),1,0)</f>
        <v>0</v>
      </c>
      <c r="AA284" s="180" t="n">
        <f aca="false">IF(OR($J284="—",$J284=""),0,IF(COUNTIF(Decisions!$A$5:$A$300,$J284)=0,1,0))</f>
        <v>0</v>
      </c>
      <c r="AB284" s="183" t="n">
        <f aca="false">IF(AND($F284="原始數據",$S284&lt;&gt;"Active"),1,0)</f>
        <v>0</v>
      </c>
      <c r="AC284" s="183" t="n">
        <f aca="false">IF(AND(ISNUMBER($K284),ISNUMBER($L284),ISNUMBER($Q284)),IF(OR($Q284&lt;MIN($K284,$L284),$Q284&gt;MAX($K284,$L284)),1,0),0)</f>
        <v>0</v>
      </c>
      <c r="AD284" s="183" t="n">
        <f aca="false">IF(AND(ISNUMBER($T284),$P284="高"),IF($T284=3,1,0),0)</f>
        <v>0</v>
      </c>
      <c r="AE284" s="183" t="n">
        <f aca="false">IF($S284="不存在",1,0)</f>
        <v>0</v>
      </c>
      <c r="AF284" s="34" t="str">
        <f aca="false">IF(OR($H284="—",$H284=""),"—",MATCH($H284,IDX_SrcID,0))</f>
        <v>—</v>
      </c>
    </row>
    <row r="285" customFormat="false" ht="15" hidden="false" customHeight="true" outlineLevel="0" collapsed="false">
      <c r="A285" s="35" t="s">
        <v>3372</v>
      </c>
      <c r="B285" s="209" t="s">
        <v>2677</v>
      </c>
      <c r="C285" s="35" t="s">
        <v>3325</v>
      </c>
      <c r="D285" s="35" t="s">
        <v>2894</v>
      </c>
      <c r="E285" s="18" t="s">
        <v>3373</v>
      </c>
      <c r="F285" s="35" t="s">
        <v>72</v>
      </c>
      <c r="G285" s="209" t="s">
        <v>2679</v>
      </c>
      <c r="H285" s="35" t="s">
        <v>571</v>
      </c>
      <c r="I285" s="6" t="s">
        <v>571</v>
      </c>
      <c r="J285" s="35" t="s">
        <v>571</v>
      </c>
      <c r="K285" s="211" t="n">
        <v>0.3</v>
      </c>
      <c r="L285" s="211" t="n">
        <v>0.7</v>
      </c>
      <c r="M285" s="35" t="s">
        <v>3374</v>
      </c>
      <c r="N285" s="210" t="str">
        <f aca="false">Workload!$H$11</f>
        <v>Assumed；代理迴圈前綴重用高</v>
      </c>
      <c r="O285" s="6" t="s">
        <v>571</v>
      </c>
      <c r="P285" s="209" t="s">
        <v>1100</v>
      </c>
      <c r="Q285" s="174" t="n">
        <f aca="false">Workload!C11</f>
        <v>0.5</v>
      </c>
      <c r="R285" s="35" t="s">
        <v>571</v>
      </c>
      <c r="S285" s="34" t="str">
        <f aca="false">IF(ISNUMBER($AF285),INDEX(IDX_SrcStat,$AF285),"—")</f>
        <v>—</v>
      </c>
      <c r="T285" s="34" t="str">
        <f aca="false">IF(ISNUMBER($AF285),INDEX(IDX_SrcGrade,$AF285),"—")</f>
        <v>—</v>
      </c>
      <c r="U285" s="34" t="s">
        <v>2683</v>
      </c>
      <c r="V285" s="183" t="n">
        <f aca="false">IF(AND($F285="原始數據",$U285&lt;&gt;"連結 SRC"),1,0)</f>
        <v>0</v>
      </c>
      <c r="W285" s="183" t="n">
        <f aca="false">IF(AND($F285="Analogy",OR($H285="—",$H285="")),1,0)</f>
        <v>0</v>
      </c>
      <c r="X285" s="183" t="n">
        <f aca="false">IF(AND(OR($F285="Analogy",$F285="Assumed"),$G285&lt;&gt;"低",$G285&lt;&gt;"高",NOT(ISNUMBER($K285)),NOT(ISNUMBER($L285)),OR($M285="—",$M285="")),1,0)</f>
        <v>0</v>
      </c>
      <c r="Y285" s="183" t="n">
        <f aca="false">IF(AND(OR($F285="Analogy",$F285="Assumed",$F285="Derived（待改公式）",$F285="Derived（公式）"),OR($N285="—",$N285="",$N285=0)),1,0)</f>
        <v>0</v>
      </c>
      <c r="Z285" s="183" t="n">
        <f aca="false">IF(AND($F285="Decision",OR($J285="—",$J285="")),1,0)</f>
        <v>0</v>
      </c>
      <c r="AA285" s="180" t="n">
        <f aca="false">IF(OR($J285="—",$J285=""),0,IF(COUNTIF(Decisions!$A$5:$A$300,$J285)=0,1,0))</f>
        <v>0</v>
      </c>
      <c r="AB285" s="183" t="n">
        <f aca="false">IF(AND($F285="原始數據",$S285&lt;&gt;"Active"),1,0)</f>
        <v>0</v>
      </c>
      <c r="AC285" s="183" t="n">
        <f aca="false">IF(AND(ISNUMBER($K285),ISNUMBER($L285),ISNUMBER($Q285)),IF(OR($Q285&lt;MIN($K285,$L285),$Q285&gt;MAX($K285,$L285)),1,0),0)</f>
        <v>0</v>
      </c>
      <c r="AD285" s="183" t="n">
        <f aca="false">IF(AND(ISNUMBER($T285),$P285="高"),IF($T285=3,1,0),0)</f>
        <v>0</v>
      </c>
      <c r="AE285" s="183" t="n">
        <f aca="false">IF($S285="不存在",1,0)</f>
        <v>0</v>
      </c>
      <c r="AF285" s="34" t="str">
        <f aca="false">IF(OR($H285="—",$H285=""),"—",MATCH($H285,IDX_SrcID,0))</f>
        <v>—</v>
      </c>
    </row>
    <row r="286" customFormat="false" ht="15" hidden="false" customHeight="true" outlineLevel="0" collapsed="false">
      <c r="A286" s="35" t="s">
        <v>3375</v>
      </c>
      <c r="B286" s="209" t="s">
        <v>2677</v>
      </c>
      <c r="C286" s="35" t="s">
        <v>3325</v>
      </c>
      <c r="D286" s="35" t="s">
        <v>2704</v>
      </c>
      <c r="E286" s="18" t="s">
        <v>3373</v>
      </c>
      <c r="F286" s="35" t="s">
        <v>72</v>
      </c>
      <c r="G286" s="209" t="s">
        <v>2679</v>
      </c>
      <c r="H286" s="35" t="s">
        <v>571</v>
      </c>
      <c r="I286" s="6" t="s">
        <v>571</v>
      </c>
      <c r="J286" s="35" t="s">
        <v>571</v>
      </c>
      <c r="K286" s="211" t="n">
        <v>0.3</v>
      </c>
      <c r="L286" s="211" t="n">
        <v>0.7</v>
      </c>
      <c r="M286" s="35" t="s">
        <v>3374</v>
      </c>
      <c r="N286" s="210" t="str">
        <f aca="false">Workload!$H$11</f>
        <v>Assumed；代理迴圈前綴重用高</v>
      </c>
      <c r="O286" s="6" t="s">
        <v>571</v>
      </c>
      <c r="P286" s="209" t="s">
        <v>1100</v>
      </c>
      <c r="Q286" s="174" t="n">
        <f aca="false">Workload!D11</f>
        <v>0.5</v>
      </c>
      <c r="R286" s="35" t="s">
        <v>571</v>
      </c>
      <c r="S286" s="34" t="str">
        <f aca="false">IF(ISNUMBER($AF286),INDEX(IDX_SrcStat,$AF286),"—")</f>
        <v>—</v>
      </c>
      <c r="T286" s="34" t="str">
        <f aca="false">IF(ISNUMBER($AF286),INDEX(IDX_SrcGrade,$AF286),"—")</f>
        <v>—</v>
      </c>
      <c r="U286" s="34" t="s">
        <v>2683</v>
      </c>
      <c r="V286" s="183" t="n">
        <f aca="false">IF(AND($F286="原始數據",$U286&lt;&gt;"連結 SRC"),1,0)</f>
        <v>0</v>
      </c>
      <c r="W286" s="183" t="n">
        <f aca="false">IF(AND($F286="Analogy",OR($H286="—",$H286="")),1,0)</f>
        <v>0</v>
      </c>
      <c r="X286" s="183" t="n">
        <f aca="false">IF(AND(OR($F286="Analogy",$F286="Assumed"),$G286&lt;&gt;"低",$G286&lt;&gt;"高",NOT(ISNUMBER($K286)),NOT(ISNUMBER($L286)),OR($M286="—",$M286="")),1,0)</f>
        <v>0</v>
      </c>
      <c r="Y286" s="183" t="n">
        <f aca="false">IF(AND(OR($F286="Analogy",$F286="Assumed",$F286="Derived（待改公式）",$F286="Derived（公式）"),OR($N286="—",$N286="",$N286=0)),1,0)</f>
        <v>0</v>
      </c>
      <c r="Z286" s="183" t="n">
        <f aca="false">IF(AND($F286="Decision",OR($J286="—",$J286="")),1,0)</f>
        <v>0</v>
      </c>
      <c r="AA286" s="180" t="n">
        <f aca="false">IF(OR($J286="—",$J286=""),0,IF(COUNTIF(Decisions!$A$5:$A$300,$J286)=0,1,0))</f>
        <v>0</v>
      </c>
      <c r="AB286" s="183" t="n">
        <f aca="false">IF(AND($F286="原始數據",$S286&lt;&gt;"Active"),1,0)</f>
        <v>0</v>
      </c>
      <c r="AC286" s="183" t="n">
        <f aca="false">IF(AND(ISNUMBER($K286),ISNUMBER($L286),ISNUMBER($Q286)),IF(OR($Q286&lt;MIN($K286,$L286),$Q286&gt;MAX($K286,$L286)),1,0),0)</f>
        <v>0</v>
      </c>
      <c r="AD286" s="183" t="n">
        <f aca="false">IF(AND(ISNUMBER($T286),$P286="高"),IF($T286=3,1,0),0)</f>
        <v>0</v>
      </c>
      <c r="AE286" s="183" t="n">
        <f aca="false">IF($S286="不存在",1,0)</f>
        <v>0</v>
      </c>
      <c r="AF286" s="34" t="str">
        <f aca="false">IF(OR($H286="—",$H286=""),"—",MATCH($H286,IDX_SrcID,0))</f>
        <v>—</v>
      </c>
    </row>
    <row r="287" customFormat="false" ht="15" hidden="false" customHeight="true" outlineLevel="0" collapsed="false">
      <c r="A287" s="35" t="s">
        <v>3376</v>
      </c>
      <c r="B287" s="209" t="s">
        <v>2677</v>
      </c>
      <c r="C287" s="35" t="s">
        <v>3325</v>
      </c>
      <c r="D287" s="35" t="s">
        <v>2594</v>
      </c>
      <c r="E287" s="18" t="s">
        <v>3373</v>
      </c>
      <c r="F287" s="35" t="s">
        <v>72</v>
      </c>
      <c r="G287" s="209" t="s">
        <v>2679</v>
      </c>
      <c r="H287" s="35" t="s">
        <v>571</v>
      </c>
      <c r="I287" s="6" t="s">
        <v>571</v>
      </c>
      <c r="J287" s="35" t="s">
        <v>571</v>
      </c>
      <c r="K287" s="211" t="n">
        <v>0.7</v>
      </c>
      <c r="L287" s="211" t="n">
        <v>0.95</v>
      </c>
      <c r="M287" s="35" t="s">
        <v>3377</v>
      </c>
      <c r="N287" s="210" t="str">
        <f aca="false">Workload!$H$11&amp;" ｜v5.18 r3 I1：區間不改，已涵蓋 Copilot 加權命中約 0.90（E209）；E:G 與 DeepSeek 56.3%（E210，C:D）"</f>
        <v>Assumed；代理迴圈前綴重用高 ｜v5.18 r3 I1：區間不改，已涵蓋 Copilot 加權命中約 0.90（E209）；E:G 與 DeepSeek 56.3%（E210，C:D）</v>
      </c>
      <c r="O287" s="6" t="s">
        <v>571</v>
      </c>
      <c r="P287" s="209" t="s">
        <v>1100</v>
      </c>
      <c r="Q287" s="174" t="n">
        <f aca="false">Workload!E11</f>
        <v>0.9</v>
      </c>
      <c r="R287" s="35" t="s">
        <v>571</v>
      </c>
      <c r="S287" s="34" t="str">
        <f aca="false">IF(ISNUMBER($AF287),INDEX(IDX_SrcStat,$AF287),"—")</f>
        <v>—</v>
      </c>
      <c r="T287" s="34" t="str">
        <f aca="false">IF(ISNUMBER($AF287),INDEX(IDX_SrcGrade,$AF287),"—")</f>
        <v>—</v>
      </c>
      <c r="U287" s="34" t="s">
        <v>2683</v>
      </c>
      <c r="V287" s="183" t="n">
        <f aca="false">IF(AND($F287="原始數據",$U287&lt;&gt;"連結 SRC"),1,0)</f>
        <v>0</v>
      </c>
      <c r="W287" s="183" t="n">
        <f aca="false">IF(AND($F287="Analogy",OR($H287="—",$H287="")),1,0)</f>
        <v>0</v>
      </c>
      <c r="X287" s="183" t="n">
        <f aca="false">IF(AND(OR($F287="Analogy",$F287="Assumed"),$G287&lt;&gt;"低",$G287&lt;&gt;"高",NOT(ISNUMBER($K287)),NOT(ISNUMBER($L287)),OR($M287="—",$M287="")),1,0)</f>
        <v>0</v>
      </c>
      <c r="Y287" s="183" t="n">
        <f aca="false">IF(AND(OR($F287="Analogy",$F287="Assumed",$F287="Derived（待改公式）",$F287="Derived（公式）"),OR($N287="—",$N287="",$N287=0)),1,0)</f>
        <v>0</v>
      </c>
      <c r="Z287" s="183" t="n">
        <f aca="false">IF(AND($F287="Decision",OR($J287="—",$J287="")),1,0)</f>
        <v>0</v>
      </c>
      <c r="AA287" s="180" t="n">
        <f aca="false">IF(OR($J287="—",$J287=""),0,IF(COUNTIF(Decisions!$A$5:$A$300,$J287)=0,1,0))</f>
        <v>0</v>
      </c>
      <c r="AB287" s="183" t="n">
        <f aca="false">IF(AND($F287="原始數據",$S287&lt;&gt;"Active"),1,0)</f>
        <v>0</v>
      </c>
      <c r="AC287" s="183" t="n">
        <f aca="false">IF(AND(ISNUMBER($K287),ISNUMBER($L287),ISNUMBER($Q287)),IF(OR($Q287&lt;MIN($K287,$L287),$Q287&gt;MAX($K287,$L287)),1,0),0)</f>
        <v>0</v>
      </c>
      <c r="AD287" s="183" t="n">
        <f aca="false">IF(AND(ISNUMBER($T287),$P287="高"),IF($T287=3,1,0),0)</f>
        <v>0</v>
      </c>
      <c r="AE287" s="183" t="n">
        <f aca="false">IF($S287="不存在",1,0)</f>
        <v>0</v>
      </c>
      <c r="AF287" s="34" t="str">
        <f aca="false">IF(OR($H287="—",$H287=""),"—",MATCH($H287,IDX_SrcID,0))</f>
        <v>—</v>
      </c>
    </row>
    <row r="288" customFormat="false" ht="15" hidden="false" customHeight="true" outlineLevel="0" collapsed="false">
      <c r="A288" s="35" t="s">
        <v>3378</v>
      </c>
      <c r="B288" s="209" t="s">
        <v>2677</v>
      </c>
      <c r="C288" s="35" t="s">
        <v>3325</v>
      </c>
      <c r="D288" s="35" t="s">
        <v>2706</v>
      </c>
      <c r="E288" s="18" t="s">
        <v>3373</v>
      </c>
      <c r="F288" s="35" t="s">
        <v>72</v>
      </c>
      <c r="G288" s="209" t="s">
        <v>2679</v>
      </c>
      <c r="H288" s="35" t="s">
        <v>571</v>
      </c>
      <c r="I288" s="6" t="s">
        <v>571</v>
      </c>
      <c r="J288" s="35" t="s">
        <v>571</v>
      </c>
      <c r="K288" s="211" t="n">
        <v>0.7</v>
      </c>
      <c r="L288" s="211" t="n">
        <v>0.95</v>
      </c>
      <c r="M288" s="35" t="s">
        <v>3377</v>
      </c>
      <c r="N288" s="210" t="str">
        <f aca="false">Workload!$H$11</f>
        <v>Assumed；代理迴圈前綴重用高</v>
      </c>
      <c r="O288" s="6" t="s">
        <v>571</v>
      </c>
      <c r="P288" s="209" t="s">
        <v>1100</v>
      </c>
      <c r="Q288" s="174" t="n">
        <f aca="false">Workload!F11</f>
        <v>0.9</v>
      </c>
      <c r="R288" s="35" t="s">
        <v>571</v>
      </c>
      <c r="S288" s="34" t="str">
        <f aca="false">IF(ISNUMBER($AF288),INDEX(IDX_SrcStat,$AF288),"—")</f>
        <v>—</v>
      </c>
      <c r="T288" s="34" t="str">
        <f aca="false">IF(ISNUMBER($AF288),INDEX(IDX_SrcGrade,$AF288),"—")</f>
        <v>—</v>
      </c>
      <c r="U288" s="34" t="s">
        <v>2683</v>
      </c>
      <c r="V288" s="183" t="n">
        <f aca="false">IF(AND($F288="原始數據",$U288&lt;&gt;"連結 SRC"),1,0)</f>
        <v>0</v>
      </c>
      <c r="W288" s="183" t="n">
        <f aca="false">IF(AND($F288="Analogy",OR($H288="—",$H288="")),1,0)</f>
        <v>0</v>
      </c>
      <c r="X288" s="183" t="n">
        <f aca="false">IF(AND(OR($F288="Analogy",$F288="Assumed"),$G288&lt;&gt;"低",$G288&lt;&gt;"高",NOT(ISNUMBER($K288)),NOT(ISNUMBER($L288)),OR($M288="—",$M288="")),1,0)</f>
        <v>0</v>
      </c>
      <c r="Y288" s="183" t="n">
        <f aca="false">IF(AND(OR($F288="Analogy",$F288="Assumed",$F288="Derived（待改公式）",$F288="Derived（公式）"),OR($N288="—",$N288="",$N288=0)),1,0)</f>
        <v>0</v>
      </c>
      <c r="Z288" s="183" t="n">
        <f aca="false">IF(AND($F288="Decision",OR($J288="—",$J288="")),1,0)</f>
        <v>0</v>
      </c>
      <c r="AA288" s="180" t="n">
        <f aca="false">IF(OR($J288="—",$J288=""),0,IF(COUNTIF(Decisions!$A$5:$A$300,$J288)=0,1,0))</f>
        <v>0</v>
      </c>
      <c r="AB288" s="183" t="n">
        <f aca="false">IF(AND($F288="原始數據",$S288&lt;&gt;"Active"),1,0)</f>
        <v>0</v>
      </c>
      <c r="AC288" s="183" t="n">
        <f aca="false">IF(AND(ISNUMBER($K288),ISNUMBER($L288),ISNUMBER($Q288)),IF(OR($Q288&lt;MIN($K288,$L288),$Q288&gt;MAX($K288,$L288)),1,0),0)</f>
        <v>0</v>
      </c>
      <c r="AD288" s="183" t="n">
        <f aca="false">IF(AND(ISNUMBER($T288),$P288="高"),IF($T288=3,1,0),0)</f>
        <v>0</v>
      </c>
      <c r="AE288" s="183" t="n">
        <f aca="false">IF($S288="不存在",1,0)</f>
        <v>0</v>
      </c>
      <c r="AF288" s="34" t="str">
        <f aca="false">IF(OR($H288="—",$H288=""),"—",MATCH($H288,IDX_SrcID,0))</f>
        <v>—</v>
      </c>
    </row>
    <row r="289" customFormat="false" ht="15" hidden="false" customHeight="true" outlineLevel="0" collapsed="false">
      <c r="A289" s="35" t="s">
        <v>3379</v>
      </c>
      <c r="B289" s="209" t="s">
        <v>2677</v>
      </c>
      <c r="C289" s="35" t="s">
        <v>3325</v>
      </c>
      <c r="D289" s="35" t="s">
        <v>2909</v>
      </c>
      <c r="E289" s="18" t="s">
        <v>3373</v>
      </c>
      <c r="F289" s="35" t="s">
        <v>72</v>
      </c>
      <c r="G289" s="209" t="s">
        <v>2679</v>
      </c>
      <c r="H289" s="35" t="s">
        <v>571</v>
      </c>
      <c r="I289" s="6" t="s">
        <v>571</v>
      </c>
      <c r="J289" s="35" t="s">
        <v>571</v>
      </c>
      <c r="K289" s="211" t="n">
        <v>0.7</v>
      </c>
      <c r="L289" s="211" t="n">
        <v>0.95</v>
      </c>
      <c r="M289" s="35" t="s">
        <v>3377</v>
      </c>
      <c r="N289" s="210" t="str">
        <f aca="false">Workload!$H$11</f>
        <v>Assumed；代理迴圈前綴重用高</v>
      </c>
      <c r="O289" s="6" t="s">
        <v>571</v>
      </c>
      <c r="P289" s="209" t="s">
        <v>1100</v>
      </c>
      <c r="Q289" s="174" t="n">
        <f aca="false">Workload!G11</f>
        <v>0.9</v>
      </c>
      <c r="R289" s="35" t="s">
        <v>571</v>
      </c>
      <c r="S289" s="34" t="str">
        <f aca="false">IF(ISNUMBER($AF289),INDEX(IDX_SrcStat,$AF289),"—")</f>
        <v>—</v>
      </c>
      <c r="T289" s="34" t="str">
        <f aca="false">IF(ISNUMBER($AF289),INDEX(IDX_SrcGrade,$AF289),"—")</f>
        <v>—</v>
      </c>
      <c r="U289" s="34" t="s">
        <v>2683</v>
      </c>
      <c r="V289" s="183" t="n">
        <f aca="false">IF(AND($F289="原始數據",$U289&lt;&gt;"連結 SRC"),1,0)</f>
        <v>0</v>
      </c>
      <c r="W289" s="183" t="n">
        <f aca="false">IF(AND($F289="Analogy",OR($H289="—",$H289="")),1,0)</f>
        <v>0</v>
      </c>
      <c r="X289" s="183" t="n">
        <f aca="false">IF(AND(OR($F289="Analogy",$F289="Assumed"),$G289&lt;&gt;"低",$G289&lt;&gt;"高",NOT(ISNUMBER($K289)),NOT(ISNUMBER($L289)),OR($M289="—",$M289="")),1,0)</f>
        <v>0</v>
      </c>
      <c r="Y289" s="183" t="n">
        <f aca="false">IF(AND(OR($F289="Analogy",$F289="Assumed",$F289="Derived（待改公式）",$F289="Derived（公式）"),OR($N289="—",$N289="",$N289=0)),1,0)</f>
        <v>0</v>
      </c>
      <c r="Z289" s="183" t="n">
        <f aca="false">IF(AND($F289="Decision",OR($J289="—",$J289="")),1,0)</f>
        <v>0</v>
      </c>
      <c r="AA289" s="180" t="n">
        <f aca="false">IF(OR($J289="—",$J289=""),0,IF(COUNTIF(Decisions!$A$5:$A$300,$J289)=0,1,0))</f>
        <v>0</v>
      </c>
      <c r="AB289" s="183" t="n">
        <f aca="false">IF(AND($F289="原始數據",$S289&lt;&gt;"Active"),1,0)</f>
        <v>0</v>
      </c>
      <c r="AC289" s="183" t="n">
        <f aca="false">IF(AND(ISNUMBER($K289),ISNUMBER($L289),ISNUMBER($Q289)),IF(OR($Q289&lt;MIN($K289,$L289),$Q289&gt;MAX($K289,$L289)),1,0),0)</f>
        <v>0</v>
      </c>
      <c r="AD289" s="183" t="n">
        <f aca="false">IF(AND(ISNUMBER($T289),$P289="高"),IF($T289=3,1,0),0)</f>
        <v>0</v>
      </c>
      <c r="AE289" s="183" t="n">
        <f aca="false">IF($S289="不存在",1,0)</f>
        <v>0</v>
      </c>
      <c r="AF289" s="34" t="str">
        <f aca="false">IF(OR($H289="—",$H289=""),"—",MATCH($H289,IDX_SrcID,0))</f>
        <v>—</v>
      </c>
    </row>
    <row r="290" customFormat="false" ht="15" hidden="false" customHeight="true" outlineLevel="0" collapsed="false">
      <c r="A290" s="35" t="s">
        <v>3380</v>
      </c>
      <c r="B290" s="209" t="s">
        <v>2677</v>
      </c>
      <c r="C290" s="35" t="s">
        <v>3325</v>
      </c>
      <c r="D290" s="35" t="s">
        <v>2914</v>
      </c>
      <c r="E290" s="18" t="s">
        <v>3381</v>
      </c>
      <c r="F290" s="35" t="s">
        <v>72</v>
      </c>
      <c r="G290" s="209" t="s">
        <v>2679</v>
      </c>
      <c r="H290" s="35" t="s">
        <v>571</v>
      </c>
      <c r="I290" s="6" t="s">
        <v>571</v>
      </c>
      <c r="J290" s="35" t="s">
        <v>571</v>
      </c>
      <c r="K290" s="211" t="n">
        <v>0</v>
      </c>
      <c r="L290" s="182" t="n">
        <f aca="false">MAX(1,Workload!C12*2)</f>
        <v>1</v>
      </c>
      <c r="M290" s="35" t="s">
        <v>3382</v>
      </c>
      <c r="N290" s="210" t="str">
        <f aca="false">Workload!$H$12&amp;" ｜補充旗標（IF 全欄分段，非分段依據）：高"</f>
        <v>Assumed：子代理沿用單代理參數 ｜補充旗標（IF 全欄分段，非分段依據）：高</v>
      </c>
      <c r="O290" s="6" t="s">
        <v>571</v>
      </c>
      <c r="P290" s="209" t="s">
        <v>2682</v>
      </c>
      <c r="Q290" s="180" t="n">
        <f aca="false">Workload!C12</f>
        <v>0</v>
      </c>
      <c r="R290" s="35" t="s">
        <v>571</v>
      </c>
      <c r="S290" s="34" t="str">
        <f aca="false">IF(ISNUMBER($AF290),INDEX(IDX_SrcStat,$AF290),"—")</f>
        <v>—</v>
      </c>
      <c r="T290" s="34" t="str">
        <f aca="false">IF(ISNUMBER($AF290),INDEX(IDX_SrcGrade,$AF290),"—")</f>
        <v>—</v>
      </c>
      <c r="U290" s="34" t="s">
        <v>2683</v>
      </c>
      <c r="V290" s="183" t="n">
        <f aca="false">IF(AND($F290="原始數據",$U290&lt;&gt;"連結 SRC"),1,0)</f>
        <v>0</v>
      </c>
      <c r="W290" s="183" t="n">
        <f aca="false">IF(AND($F290="Analogy",OR($H290="—",$H290="")),1,0)</f>
        <v>0</v>
      </c>
      <c r="X290" s="183" t="n">
        <f aca="false">IF(AND(OR($F290="Analogy",$F290="Assumed"),$G290&lt;&gt;"低",$G290&lt;&gt;"高",NOT(ISNUMBER($K290)),NOT(ISNUMBER($L290)),OR($M290="—",$M290="")),1,0)</f>
        <v>0</v>
      </c>
      <c r="Y290" s="183" t="n">
        <f aca="false">IF(AND(OR($F290="Analogy",$F290="Assumed",$F290="Derived（待改公式）",$F290="Derived（公式）"),OR($N290="—",$N290="",$N290=0)),1,0)</f>
        <v>0</v>
      </c>
      <c r="Z290" s="183" t="n">
        <f aca="false">IF(AND($F290="Decision",OR($J290="—",$J290="")),1,0)</f>
        <v>0</v>
      </c>
      <c r="AA290" s="180" t="n">
        <f aca="false">IF(OR($J290="—",$J290=""),0,IF(COUNTIF(Decisions!$A$5:$A$300,$J290)=0,1,0))</f>
        <v>0</v>
      </c>
      <c r="AB290" s="183" t="n">
        <f aca="false">IF(AND($F290="原始數據",$S290&lt;&gt;"Active"),1,0)</f>
        <v>0</v>
      </c>
      <c r="AC290" s="183" t="n">
        <f aca="false">IF(AND(ISNUMBER($K290),ISNUMBER($L290),ISNUMBER($Q290)),IF(OR($Q290&lt;MIN($K290,$L290),$Q290&gt;MAX($K290,$L290)),1,0),0)</f>
        <v>0</v>
      </c>
      <c r="AD290" s="183" t="n">
        <f aca="false">IF(AND(ISNUMBER($T290),$P290="高"),IF($T290=3,1,0),0)</f>
        <v>0</v>
      </c>
      <c r="AE290" s="183" t="n">
        <f aca="false">IF($S290="不存在",1,0)</f>
        <v>0</v>
      </c>
      <c r="AF290" s="34" t="str">
        <f aca="false">IF(OR($H290="—",$H290=""),"—",MATCH($H290,IDX_SrcID,0))</f>
        <v>—</v>
      </c>
    </row>
    <row r="291" customFormat="false" ht="15" hidden="false" customHeight="true" outlineLevel="0" collapsed="false">
      <c r="A291" s="35" t="s">
        <v>3383</v>
      </c>
      <c r="B291" s="209" t="s">
        <v>2677</v>
      </c>
      <c r="C291" s="35" t="s">
        <v>3325</v>
      </c>
      <c r="D291" s="35" t="s">
        <v>2918</v>
      </c>
      <c r="E291" s="18" t="s">
        <v>3381</v>
      </c>
      <c r="F291" s="35" t="s">
        <v>72</v>
      </c>
      <c r="G291" s="209" t="s">
        <v>2679</v>
      </c>
      <c r="H291" s="35" t="s">
        <v>571</v>
      </c>
      <c r="I291" s="6" t="s">
        <v>571</v>
      </c>
      <c r="J291" s="35" t="s">
        <v>571</v>
      </c>
      <c r="K291" s="211" t="n">
        <v>0</v>
      </c>
      <c r="L291" s="182" t="n">
        <f aca="false">MAX(1,Workload!D12*2)</f>
        <v>1</v>
      </c>
      <c r="M291" s="35" t="s">
        <v>3382</v>
      </c>
      <c r="N291" s="210" t="str">
        <f aca="false">Workload!$H$12&amp;" ｜補充旗標（IF 全欄分段，非分段依據）：高"</f>
        <v>Assumed：子代理沿用單代理參數 ｜補充旗標（IF 全欄分段，非分段依據）：高</v>
      </c>
      <c r="O291" s="6" t="s">
        <v>571</v>
      </c>
      <c r="P291" s="209" t="s">
        <v>2682</v>
      </c>
      <c r="Q291" s="180" t="n">
        <f aca="false">Workload!D12</f>
        <v>0</v>
      </c>
      <c r="R291" s="35" t="s">
        <v>571</v>
      </c>
      <c r="S291" s="34" t="str">
        <f aca="false">IF(ISNUMBER($AF291),INDEX(IDX_SrcStat,$AF291),"—")</f>
        <v>—</v>
      </c>
      <c r="T291" s="34" t="str">
        <f aca="false">IF(ISNUMBER($AF291),INDEX(IDX_SrcGrade,$AF291),"—")</f>
        <v>—</v>
      </c>
      <c r="U291" s="34" t="s">
        <v>2683</v>
      </c>
      <c r="V291" s="183" t="n">
        <f aca="false">IF(AND($F291="原始數據",$U291&lt;&gt;"連結 SRC"),1,0)</f>
        <v>0</v>
      </c>
      <c r="W291" s="183" t="n">
        <f aca="false">IF(AND($F291="Analogy",OR($H291="—",$H291="")),1,0)</f>
        <v>0</v>
      </c>
      <c r="X291" s="183" t="n">
        <f aca="false">IF(AND(OR($F291="Analogy",$F291="Assumed"),$G291&lt;&gt;"低",$G291&lt;&gt;"高",NOT(ISNUMBER($K291)),NOT(ISNUMBER($L291)),OR($M291="—",$M291="")),1,0)</f>
        <v>0</v>
      </c>
      <c r="Y291" s="183" t="n">
        <f aca="false">IF(AND(OR($F291="Analogy",$F291="Assumed",$F291="Derived（待改公式）",$F291="Derived（公式）"),OR($N291="—",$N291="",$N291=0)),1,0)</f>
        <v>0</v>
      </c>
      <c r="Z291" s="183" t="n">
        <f aca="false">IF(AND($F291="Decision",OR($J291="—",$J291="")),1,0)</f>
        <v>0</v>
      </c>
      <c r="AA291" s="180" t="n">
        <f aca="false">IF(OR($J291="—",$J291=""),0,IF(COUNTIF(Decisions!$A$5:$A$300,$J291)=0,1,0))</f>
        <v>0</v>
      </c>
      <c r="AB291" s="183" t="n">
        <f aca="false">IF(AND($F291="原始數據",$S291&lt;&gt;"Active"),1,0)</f>
        <v>0</v>
      </c>
      <c r="AC291" s="183" t="n">
        <f aca="false">IF(AND(ISNUMBER($K291),ISNUMBER($L291),ISNUMBER($Q291)),IF(OR($Q291&lt;MIN($K291,$L291),$Q291&gt;MAX($K291,$L291)),1,0),0)</f>
        <v>0</v>
      </c>
      <c r="AD291" s="183" t="n">
        <f aca="false">IF(AND(ISNUMBER($T291),$P291="高"),IF($T291=3,1,0),0)</f>
        <v>0</v>
      </c>
      <c r="AE291" s="183" t="n">
        <f aca="false">IF($S291="不存在",1,0)</f>
        <v>0</v>
      </c>
      <c r="AF291" s="34" t="str">
        <f aca="false">IF(OR($H291="—",$H291=""),"—",MATCH($H291,IDX_SrcID,0))</f>
        <v>—</v>
      </c>
    </row>
    <row r="292" customFormat="false" ht="15" hidden="false" customHeight="true" outlineLevel="0" collapsed="false">
      <c r="A292" s="35" t="s">
        <v>3384</v>
      </c>
      <c r="B292" s="209" t="s">
        <v>2677</v>
      </c>
      <c r="C292" s="35" t="s">
        <v>3325</v>
      </c>
      <c r="D292" s="35" t="s">
        <v>2597</v>
      </c>
      <c r="E292" s="18" t="s">
        <v>3381</v>
      </c>
      <c r="F292" s="35" t="s">
        <v>72</v>
      </c>
      <c r="G292" s="209" t="s">
        <v>2679</v>
      </c>
      <c r="H292" s="35" t="s">
        <v>571</v>
      </c>
      <c r="I292" s="6" t="s">
        <v>571</v>
      </c>
      <c r="J292" s="35" t="s">
        <v>571</v>
      </c>
      <c r="K292" s="211" t="n">
        <v>0</v>
      </c>
      <c r="L292" s="182" t="n">
        <f aca="false">MAX(1,Workload!E12*2)</f>
        <v>1</v>
      </c>
      <c r="M292" s="35" t="s">
        <v>3382</v>
      </c>
      <c r="N292" s="210" t="str">
        <f aca="false">Workload!$H$12&amp;" ｜補充旗標（IF 全欄分段，非分段依據）：高"</f>
        <v>Assumed：子代理沿用單代理參數 ｜補充旗標（IF 全欄分段，非分段依據）：高</v>
      </c>
      <c r="O292" s="6" t="s">
        <v>571</v>
      </c>
      <c r="P292" s="209" t="s">
        <v>2682</v>
      </c>
      <c r="Q292" s="180" t="n">
        <f aca="false">Workload!E12</f>
        <v>0</v>
      </c>
      <c r="R292" s="35" t="s">
        <v>571</v>
      </c>
      <c r="S292" s="34" t="str">
        <f aca="false">IF(ISNUMBER($AF292),INDEX(IDX_SrcStat,$AF292),"—")</f>
        <v>—</v>
      </c>
      <c r="T292" s="34" t="str">
        <f aca="false">IF(ISNUMBER($AF292),INDEX(IDX_SrcGrade,$AF292),"—")</f>
        <v>—</v>
      </c>
      <c r="U292" s="34" t="s">
        <v>2683</v>
      </c>
      <c r="V292" s="183" t="n">
        <f aca="false">IF(AND($F292="原始數據",$U292&lt;&gt;"連結 SRC"),1,0)</f>
        <v>0</v>
      </c>
      <c r="W292" s="183" t="n">
        <f aca="false">IF(AND($F292="Analogy",OR($H292="—",$H292="")),1,0)</f>
        <v>0</v>
      </c>
      <c r="X292" s="183" t="n">
        <f aca="false">IF(AND(OR($F292="Analogy",$F292="Assumed"),$G292&lt;&gt;"低",$G292&lt;&gt;"高",NOT(ISNUMBER($K292)),NOT(ISNUMBER($L292)),OR($M292="—",$M292="")),1,0)</f>
        <v>0</v>
      </c>
      <c r="Y292" s="183" t="n">
        <f aca="false">IF(AND(OR($F292="Analogy",$F292="Assumed",$F292="Derived（待改公式）",$F292="Derived（公式）"),OR($N292="—",$N292="",$N292=0)),1,0)</f>
        <v>0</v>
      </c>
      <c r="Z292" s="183" t="n">
        <f aca="false">IF(AND($F292="Decision",OR($J292="—",$J292="")),1,0)</f>
        <v>0</v>
      </c>
      <c r="AA292" s="180" t="n">
        <f aca="false">IF(OR($J292="—",$J292=""),0,IF(COUNTIF(Decisions!$A$5:$A$300,$J292)=0,1,0))</f>
        <v>0</v>
      </c>
      <c r="AB292" s="183" t="n">
        <f aca="false">IF(AND($F292="原始數據",$S292&lt;&gt;"Active"),1,0)</f>
        <v>0</v>
      </c>
      <c r="AC292" s="183" t="n">
        <f aca="false">IF(AND(ISNUMBER($K292),ISNUMBER($L292),ISNUMBER($Q292)),IF(OR($Q292&lt;MIN($K292,$L292),$Q292&gt;MAX($K292,$L292)),1,0),0)</f>
        <v>0</v>
      </c>
      <c r="AD292" s="183" t="n">
        <f aca="false">IF(AND(ISNUMBER($T292),$P292="高"),IF($T292=3,1,0),0)</f>
        <v>0</v>
      </c>
      <c r="AE292" s="183" t="n">
        <f aca="false">IF($S292="不存在",1,0)</f>
        <v>0</v>
      </c>
      <c r="AF292" s="34" t="str">
        <f aca="false">IF(OR($H292="—",$H292=""),"—",MATCH($H292,IDX_SrcID,0))</f>
        <v>—</v>
      </c>
    </row>
    <row r="293" customFormat="false" ht="15" hidden="false" customHeight="true" outlineLevel="0" collapsed="false">
      <c r="A293" s="35" t="s">
        <v>3385</v>
      </c>
      <c r="B293" s="209" t="s">
        <v>2677</v>
      </c>
      <c r="C293" s="35" t="s">
        <v>3325</v>
      </c>
      <c r="D293" s="35" t="s">
        <v>2924</v>
      </c>
      <c r="E293" s="18" t="s">
        <v>3381</v>
      </c>
      <c r="F293" s="35" t="s">
        <v>72</v>
      </c>
      <c r="G293" s="209" t="s">
        <v>2679</v>
      </c>
      <c r="H293" s="35" t="s">
        <v>571</v>
      </c>
      <c r="I293" s="6" t="s">
        <v>571</v>
      </c>
      <c r="J293" s="35" t="s">
        <v>571</v>
      </c>
      <c r="K293" s="211" t="n">
        <v>0</v>
      </c>
      <c r="L293" s="182" t="n">
        <f aca="false">MAX(1,Workload!F12*2)</f>
        <v>6</v>
      </c>
      <c r="M293" s="35" t="s">
        <v>3382</v>
      </c>
      <c r="N293" s="210" t="str">
        <f aca="false">Workload!$H$12&amp;" ｜補充旗標（IF 全欄分段，非分段依據）：高"</f>
        <v>Assumed：子代理沿用單代理參數 ｜補充旗標（IF 全欄分段，非分段依據）：高</v>
      </c>
      <c r="O293" s="6" t="s">
        <v>571</v>
      </c>
      <c r="P293" s="209" t="s">
        <v>2682</v>
      </c>
      <c r="Q293" s="180" t="n">
        <f aca="false">Workload!F12</f>
        <v>3</v>
      </c>
      <c r="R293" s="35" t="s">
        <v>571</v>
      </c>
      <c r="S293" s="34" t="str">
        <f aca="false">IF(ISNUMBER($AF293),INDEX(IDX_SrcStat,$AF293),"—")</f>
        <v>—</v>
      </c>
      <c r="T293" s="34" t="str">
        <f aca="false">IF(ISNUMBER($AF293),INDEX(IDX_SrcGrade,$AF293),"—")</f>
        <v>—</v>
      </c>
      <c r="U293" s="34" t="s">
        <v>2683</v>
      </c>
      <c r="V293" s="183" t="n">
        <f aca="false">IF(AND($F293="原始數據",$U293&lt;&gt;"連結 SRC"),1,0)</f>
        <v>0</v>
      </c>
      <c r="W293" s="183" t="n">
        <f aca="false">IF(AND($F293="Analogy",OR($H293="—",$H293="")),1,0)</f>
        <v>0</v>
      </c>
      <c r="X293" s="183" t="n">
        <f aca="false">IF(AND(OR($F293="Analogy",$F293="Assumed"),$G293&lt;&gt;"低",$G293&lt;&gt;"高",NOT(ISNUMBER($K293)),NOT(ISNUMBER($L293)),OR($M293="—",$M293="")),1,0)</f>
        <v>0</v>
      </c>
      <c r="Y293" s="183" t="n">
        <f aca="false">IF(AND(OR($F293="Analogy",$F293="Assumed",$F293="Derived（待改公式）",$F293="Derived（公式）"),OR($N293="—",$N293="",$N293=0)),1,0)</f>
        <v>0</v>
      </c>
      <c r="Z293" s="183" t="n">
        <f aca="false">IF(AND($F293="Decision",OR($J293="—",$J293="")),1,0)</f>
        <v>0</v>
      </c>
      <c r="AA293" s="180" t="n">
        <f aca="false">IF(OR($J293="—",$J293=""),0,IF(COUNTIF(Decisions!$A$5:$A$300,$J293)=0,1,0))</f>
        <v>0</v>
      </c>
      <c r="AB293" s="183" t="n">
        <f aca="false">IF(AND($F293="原始數據",$S293&lt;&gt;"Active"),1,0)</f>
        <v>0</v>
      </c>
      <c r="AC293" s="183" t="n">
        <f aca="false">IF(AND(ISNUMBER($K293),ISNUMBER($L293),ISNUMBER($Q293)),IF(OR($Q293&lt;MIN($K293,$L293),$Q293&gt;MAX($K293,$L293)),1,0),0)</f>
        <v>0</v>
      </c>
      <c r="AD293" s="183" t="n">
        <f aca="false">IF(AND(ISNUMBER($T293),$P293="高"),IF($T293=3,1,0),0)</f>
        <v>0</v>
      </c>
      <c r="AE293" s="183" t="n">
        <f aca="false">IF($S293="不存在",1,0)</f>
        <v>0</v>
      </c>
      <c r="AF293" s="34" t="str">
        <f aca="false">IF(OR($H293="—",$H293=""),"—",MATCH($H293,IDX_SrcID,0))</f>
        <v>—</v>
      </c>
    </row>
    <row r="294" customFormat="false" ht="15" hidden="false" customHeight="true" outlineLevel="0" collapsed="false">
      <c r="A294" s="35" t="s">
        <v>3386</v>
      </c>
      <c r="B294" s="209" t="s">
        <v>2677</v>
      </c>
      <c r="C294" s="35" t="s">
        <v>3325</v>
      </c>
      <c r="D294" s="35" t="s">
        <v>2929</v>
      </c>
      <c r="E294" s="18" t="s">
        <v>3381</v>
      </c>
      <c r="F294" s="35" t="s">
        <v>72</v>
      </c>
      <c r="G294" s="209" t="s">
        <v>2679</v>
      </c>
      <c r="H294" s="35" t="s">
        <v>571</v>
      </c>
      <c r="I294" s="6" t="s">
        <v>571</v>
      </c>
      <c r="J294" s="35" t="s">
        <v>571</v>
      </c>
      <c r="K294" s="211" t="n">
        <v>0</v>
      </c>
      <c r="L294" s="182" t="n">
        <f aca="false">MAX(1,Workload!G12*2)</f>
        <v>1</v>
      </c>
      <c r="M294" s="35" t="s">
        <v>3382</v>
      </c>
      <c r="N294" s="210" t="str">
        <f aca="false">Workload!$H$12&amp;" ｜補充旗標（IF 全欄分段，非分段依據）：高"</f>
        <v>Assumed：子代理沿用單代理參數 ｜補充旗標（IF 全欄分段，非分段依據）：高</v>
      </c>
      <c r="O294" s="6" t="s">
        <v>571</v>
      </c>
      <c r="P294" s="209" t="s">
        <v>2682</v>
      </c>
      <c r="Q294" s="180" t="n">
        <f aca="false">Workload!G12</f>
        <v>0</v>
      </c>
      <c r="R294" s="35" t="s">
        <v>571</v>
      </c>
      <c r="S294" s="34" t="str">
        <f aca="false">IF(ISNUMBER($AF294),INDEX(IDX_SrcStat,$AF294),"—")</f>
        <v>—</v>
      </c>
      <c r="T294" s="34" t="str">
        <f aca="false">IF(ISNUMBER($AF294),INDEX(IDX_SrcGrade,$AF294),"—")</f>
        <v>—</v>
      </c>
      <c r="U294" s="34" t="s">
        <v>2683</v>
      </c>
      <c r="V294" s="183" t="n">
        <f aca="false">IF(AND($F294="原始數據",$U294&lt;&gt;"連結 SRC"),1,0)</f>
        <v>0</v>
      </c>
      <c r="W294" s="183" t="n">
        <f aca="false">IF(AND($F294="Analogy",OR($H294="—",$H294="")),1,0)</f>
        <v>0</v>
      </c>
      <c r="X294" s="183" t="n">
        <f aca="false">IF(AND(OR($F294="Analogy",$F294="Assumed"),$G294&lt;&gt;"低",$G294&lt;&gt;"高",NOT(ISNUMBER($K294)),NOT(ISNUMBER($L294)),OR($M294="—",$M294="")),1,0)</f>
        <v>0</v>
      </c>
      <c r="Y294" s="183" t="n">
        <f aca="false">IF(AND(OR($F294="Analogy",$F294="Assumed",$F294="Derived（待改公式）",$F294="Derived（公式）"),OR($N294="—",$N294="",$N294=0)),1,0)</f>
        <v>0</v>
      </c>
      <c r="Z294" s="183" t="n">
        <f aca="false">IF(AND($F294="Decision",OR($J294="—",$J294="")),1,0)</f>
        <v>0</v>
      </c>
      <c r="AA294" s="180" t="n">
        <f aca="false">IF(OR($J294="—",$J294=""),0,IF(COUNTIF(Decisions!$A$5:$A$300,$J294)=0,1,0))</f>
        <v>0</v>
      </c>
      <c r="AB294" s="183" t="n">
        <f aca="false">IF(AND($F294="原始數據",$S294&lt;&gt;"Active"),1,0)</f>
        <v>0</v>
      </c>
      <c r="AC294" s="183" t="n">
        <f aca="false">IF(AND(ISNUMBER($K294),ISNUMBER($L294),ISNUMBER($Q294)),IF(OR($Q294&lt;MIN($K294,$L294),$Q294&gt;MAX($K294,$L294)),1,0),0)</f>
        <v>0</v>
      </c>
      <c r="AD294" s="183" t="n">
        <f aca="false">IF(AND(ISNUMBER($T294),$P294="高"),IF($T294=3,1,0),0)</f>
        <v>0</v>
      </c>
      <c r="AE294" s="183" t="n">
        <f aca="false">IF($S294="不存在",1,0)</f>
        <v>0</v>
      </c>
      <c r="AF294" s="34" t="str">
        <f aca="false">IF(OR($H294="—",$H294=""),"—",MATCH($H294,IDX_SrcID,0))</f>
        <v>—</v>
      </c>
    </row>
    <row r="295" customFormat="false" ht="15" hidden="false" customHeight="true" outlineLevel="0" collapsed="false">
      <c r="A295" s="35" t="s">
        <v>3387</v>
      </c>
      <c r="B295" s="209" t="s">
        <v>2677</v>
      </c>
      <c r="C295" s="35" t="s">
        <v>3325</v>
      </c>
      <c r="D295" s="35" t="s">
        <v>2932</v>
      </c>
      <c r="E295" s="6" t="s">
        <v>359</v>
      </c>
      <c r="F295" s="35" t="s">
        <v>64</v>
      </c>
      <c r="G295" s="209" t="s">
        <v>2679</v>
      </c>
      <c r="H295" s="35" t="s">
        <v>571</v>
      </c>
      <c r="I295" s="6" t="s">
        <v>571</v>
      </c>
      <c r="J295" s="35" t="s">
        <v>3388</v>
      </c>
      <c r="K295" s="209"/>
      <c r="L295" s="209"/>
      <c r="M295" s="35" t="s">
        <v>571</v>
      </c>
      <c r="N295" s="6" t="s">
        <v>3389</v>
      </c>
      <c r="O295" s="6" t="s">
        <v>571</v>
      </c>
      <c r="P295" s="209" t="s">
        <v>1100</v>
      </c>
      <c r="Q295" s="172" t="n">
        <f aca="false">Workload!C13</f>
        <v>1</v>
      </c>
      <c r="R295" s="35" t="s">
        <v>571</v>
      </c>
      <c r="S295" s="34" t="str">
        <f aca="false">IF(ISNUMBER($AF295),INDEX(IDX_SrcStat,$AF295),"—")</f>
        <v>—</v>
      </c>
      <c r="T295" s="34" t="str">
        <f aca="false">IF(ISNUMBER($AF295),INDEX(IDX_SrcGrade,$AF295),"—")</f>
        <v>—</v>
      </c>
      <c r="U295" s="34" t="s">
        <v>2683</v>
      </c>
      <c r="V295" s="183" t="n">
        <f aca="false">IF(AND($F295="原始數據",$U295&lt;&gt;"連結 SRC"),1,0)</f>
        <v>0</v>
      </c>
      <c r="W295" s="183" t="n">
        <f aca="false">IF(AND($F295="Analogy",OR($H295="—",$H295="")),1,0)</f>
        <v>0</v>
      </c>
      <c r="X295" s="183" t="n">
        <f aca="false">IF(AND(OR($F295="Analogy",$F295="Assumed"),$G295&lt;&gt;"低",$G295&lt;&gt;"高",NOT(ISNUMBER($K295)),NOT(ISNUMBER($L295)),OR($M295="—",$M295="")),1,0)</f>
        <v>0</v>
      </c>
      <c r="Y295" s="183" t="n">
        <f aca="false">IF(AND(OR($F295="Analogy",$F295="Assumed",$F295="Derived（待改公式）",$F295="Derived（公式）"),OR($N295="—",$N295="",$N295=0)),1,0)</f>
        <v>0</v>
      </c>
      <c r="Z295" s="183" t="n">
        <f aca="false">IF(AND($F295="Decision",OR($J295="—",$J295="")),1,0)</f>
        <v>0</v>
      </c>
      <c r="AA295" s="180" t="n">
        <f aca="false">IF(OR($J295="—",$J295=""),0,IF(COUNTIF(Decisions!$A$5:$A$300,$J295)=0,1,0))</f>
        <v>0</v>
      </c>
      <c r="AB295" s="183" t="n">
        <f aca="false">IF(AND($F295="原始數據",$S295&lt;&gt;"Active"),1,0)</f>
        <v>0</v>
      </c>
      <c r="AC295" s="183" t="n">
        <f aca="false">IF(AND(ISNUMBER($K295),ISNUMBER($L295),ISNUMBER($Q295)),IF(OR($Q295&lt;MIN($K295,$L295),$Q295&gt;MAX($K295,$L295)),1,0),0)</f>
        <v>0</v>
      </c>
      <c r="AD295" s="183" t="n">
        <f aca="false">IF(AND(ISNUMBER($T295),$P295="高"),IF($T295=3,1,0),0)</f>
        <v>0</v>
      </c>
      <c r="AE295" s="183" t="n">
        <f aca="false">IF($S295="不存在",1,0)</f>
        <v>0</v>
      </c>
      <c r="AF295" s="34" t="str">
        <f aca="false">IF(OR($H295="—",$H295=""),"—",MATCH($H295,IDX_SrcID,0))</f>
        <v>—</v>
      </c>
    </row>
    <row r="296" customFormat="false" ht="29.25" hidden="false" customHeight="true" outlineLevel="0" collapsed="false">
      <c r="A296" s="35" t="s">
        <v>3390</v>
      </c>
      <c r="B296" s="209" t="s">
        <v>2677</v>
      </c>
      <c r="C296" s="35" t="s">
        <v>3325</v>
      </c>
      <c r="D296" s="35" t="s">
        <v>3181</v>
      </c>
      <c r="E296" s="18" t="s">
        <v>3391</v>
      </c>
      <c r="F296" s="35" t="s">
        <v>64</v>
      </c>
      <c r="G296" s="209" t="s">
        <v>2679</v>
      </c>
      <c r="H296" s="35" t="s">
        <v>571</v>
      </c>
      <c r="I296" s="6" t="s">
        <v>571</v>
      </c>
      <c r="J296" s="35" t="s">
        <v>3392</v>
      </c>
      <c r="K296" s="209"/>
      <c r="L296" s="209"/>
      <c r="M296" s="35" t="s">
        <v>571</v>
      </c>
      <c r="N296" s="18" t="s">
        <v>3393</v>
      </c>
      <c r="O296" s="6" t="s">
        <v>571</v>
      </c>
      <c r="P296" s="209" t="s">
        <v>2738</v>
      </c>
      <c r="Q296" s="172" t="n">
        <f aca="false">Workload!C14</f>
        <v>1</v>
      </c>
      <c r="R296" s="35" t="s">
        <v>571</v>
      </c>
      <c r="S296" s="34" t="str">
        <f aca="false">IF(ISNUMBER($AF296),INDEX(IDX_SrcStat,$AF296),"—")</f>
        <v>—</v>
      </c>
      <c r="T296" s="34" t="str">
        <f aca="false">IF(ISNUMBER($AF296),INDEX(IDX_SrcGrade,$AF296),"—")</f>
        <v>—</v>
      </c>
      <c r="U296" s="34" t="s">
        <v>2683</v>
      </c>
      <c r="V296" s="183" t="n">
        <f aca="false">IF(AND($F296="原始數據",$U296&lt;&gt;"連結 SRC"),1,0)</f>
        <v>0</v>
      </c>
      <c r="W296" s="183" t="n">
        <f aca="false">IF(AND($F296="Analogy",OR($H296="—",$H296="")),1,0)</f>
        <v>0</v>
      </c>
      <c r="X296" s="183" t="n">
        <f aca="false">IF(AND(OR($F296="Analogy",$F296="Assumed"),$G296&lt;&gt;"低",$G296&lt;&gt;"高",NOT(ISNUMBER($K296)),NOT(ISNUMBER($L296)),OR($M296="—",$M296="")),1,0)</f>
        <v>0</v>
      </c>
      <c r="Y296" s="183" t="n">
        <f aca="false">IF(AND(OR($F296="Analogy",$F296="Assumed",$F296="Derived（待改公式）",$F296="Derived（公式）"),OR($N296="—",$N296="",$N296=0)),1,0)</f>
        <v>0</v>
      </c>
      <c r="Z296" s="183" t="n">
        <f aca="false">IF(AND($F296="Decision",OR($J296="—",$J296="")),1,0)</f>
        <v>0</v>
      </c>
      <c r="AA296" s="180" t="n">
        <f aca="false">IF(OR($J296="—",$J296=""),0,IF(COUNTIF(Decisions!$A$5:$A$300,$J296)=0,1,0))</f>
        <v>0</v>
      </c>
      <c r="AB296" s="183" t="n">
        <f aca="false">IF(AND($F296="原始數據",$S296&lt;&gt;"Active"),1,0)</f>
        <v>0</v>
      </c>
      <c r="AC296" s="183" t="n">
        <f aca="false">IF(AND(ISNUMBER($K296),ISNUMBER($L296),ISNUMBER($Q296)),IF(OR($Q296&lt;MIN($K296,$L296),$Q296&gt;MAX($K296,$L296)),1,0),0)</f>
        <v>0</v>
      </c>
      <c r="AD296" s="183" t="n">
        <f aca="false">IF(AND(ISNUMBER($T296),$P296="高"),IF($T296=3,1,0),0)</f>
        <v>0</v>
      </c>
      <c r="AE296" s="183" t="n">
        <f aca="false">IF($S296="不存在",1,0)</f>
        <v>0</v>
      </c>
      <c r="AF296" s="34" t="str">
        <f aca="false">IF(OR($H296="—",$H296=""),"—",MATCH($H296,IDX_SrcID,0))</f>
        <v>—</v>
      </c>
    </row>
    <row r="297" customFormat="false" ht="15" hidden="false" customHeight="true" outlineLevel="0" collapsed="false">
      <c r="A297" s="35" t="s">
        <v>3394</v>
      </c>
      <c r="B297" s="209" t="s">
        <v>2677</v>
      </c>
      <c r="C297" s="35" t="s">
        <v>3325</v>
      </c>
      <c r="D297" s="35" t="s">
        <v>2710</v>
      </c>
      <c r="E297" s="6" t="s">
        <v>359</v>
      </c>
      <c r="F297" s="35" t="s">
        <v>64</v>
      </c>
      <c r="G297" s="209" t="s">
        <v>2679</v>
      </c>
      <c r="H297" s="35" t="s">
        <v>571</v>
      </c>
      <c r="I297" s="6" t="s">
        <v>571</v>
      </c>
      <c r="J297" s="35" t="s">
        <v>3388</v>
      </c>
      <c r="K297" s="209"/>
      <c r="L297" s="209"/>
      <c r="M297" s="35" t="s">
        <v>571</v>
      </c>
      <c r="N297" s="6" t="s">
        <v>3389</v>
      </c>
      <c r="O297" s="6" t="s">
        <v>571</v>
      </c>
      <c r="P297" s="209" t="s">
        <v>1100</v>
      </c>
      <c r="Q297" s="172" t="n">
        <f aca="false">Workload!D13</f>
        <v>1</v>
      </c>
      <c r="R297" s="35" t="s">
        <v>571</v>
      </c>
      <c r="S297" s="34" t="str">
        <f aca="false">IF(ISNUMBER($AF297),INDEX(IDX_SrcStat,$AF297),"—")</f>
        <v>—</v>
      </c>
      <c r="T297" s="34" t="str">
        <f aca="false">IF(ISNUMBER($AF297),INDEX(IDX_SrcGrade,$AF297),"—")</f>
        <v>—</v>
      </c>
      <c r="U297" s="34" t="s">
        <v>2683</v>
      </c>
      <c r="V297" s="183" t="n">
        <f aca="false">IF(AND($F297="原始數據",$U297&lt;&gt;"連結 SRC"),1,0)</f>
        <v>0</v>
      </c>
      <c r="W297" s="183" t="n">
        <f aca="false">IF(AND($F297="Analogy",OR($H297="—",$H297="")),1,0)</f>
        <v>0</v>
      </c>
      <c r="X297" s="183" t="n">
        <f aca="false">IF(AND(OR($F297="Analogy",$F297="Assumed"),$G297&lt;&gt;"低",$G297&lt;&gt;"高",NOT(ISNUMBER($K297)),NOT(ISNUMBER($L297)),OR($M297="—",$M297="")),1,0)</f>
        <v>0</v>
      </c>
      <c r="Y297" s="183" t="n">
        <f aca="false">IF(AND(OR($F297="Analogy",$F297="Assumed",$F297="Derived（待改公式）",$F297="Derived（公式）"),OR($N297="—",$N297="",$N297=0)),1,0)</f>
        <v>0</v>
      </c>
      <c r="Z297" s="183" t="n">
        <f aca="false">IF(AND($F297="Decision",OR($J297="—",$J297="")),1,0)</f>
        <v>0</v>
      </c>
      <c r="AA297" s="180" t="n">
        <f aca="false">IF(OR($J297="—",$J297=""),0,IF(COUNTIF(Decisions!$A$5:$A$300,$J297)=0,1,0))</f>
        <v>0</v>
      </c>
      <c r="AB297" s="183" t="n">
        <f aca="false">IF(AND($F297="原始數據",$S297&lt;&gt;"Active"),1,0)</f>
        <v>0</v>
      </c>
      <c r="AC297" s="183" t="n">
        <f aca="false">IF(AND(ISNUMBER($K297),ISNUMBER($L297),ISNUMBER($Q297)),IF(OR($Q297&lt;MIN($K297,$L297),$Q297&gt;MAX($K297,$L297)),1,0),0)</f>
        <v>0</v>
      </c>
      <c r="AD297" s="183" t="n">
        <f aca="false">IF(AND(ISNUMBER($T297),$P297="高"),IF($T297=3,1,0),0)</f>
        <v>0</v>
      </c>
      <c r="AE297" s="183" t="n">
        <f aca="false">IF($S297="不存在",1,0)</f>
        <v>0</v>
      </c>
      <c r="AF297" s="34" t="str">
        <f aca="false">IF(OR($H297="—",$H297=""),"—",MATCH($H297,IDX_SrcID,0))</f>
        <v>—</v>
      </c>
    </row>
    <row r="298" customFormat="false" ht="29.25" hidden="false" customHeight="true" outlineLevel="0" collapsed="false">
      <c r="A298" s="35" t="s">
        <v>3395</v>
      </c>
      <c r="B298" s="209" t="s">
        <v>2677</v>
      </c>
      <c r="C298" s="35" t="s">
        <v>3325</v>
      </c>
      <c r="D298" s="35" t="s">
        <v>2720</v>
      </c>
      <c r="E298" s="18" t="s">
        <v>3391</v>
      </c>
      <c r="F298" s="35" t="s">
        <v>64</v>
      </c>
      <c r="G298" s="209" t="s">
        <v>2679</v>
      </c>
      <c r="H298" s="35" t="s">
        <v>571</v>
      </c>
      <c r="I298" s="6" t="s">
        <v>571</v>
      </c>
      <c r="J298" s="35" t="s">
        <v>3392</v>
      </c>
      <c r="K298" s="209"/>
      <c r="L298" s="209"/>
      <c r="M298" s="35" t="s">
        <v>571</v>
      </c>
      <c r="N298" s="18" t="s">
        <v>3393</v>
      </c>
      <c r="O298" s="6" t="s">
        <v>571</v>
      </c>
      <c r="P298" s="209" t="s">
        <v>2738</v>
      </c>
      <c r="Q298" s="172" t="n">
        <f aca="false">Workload!D14</f>
        <v>1</v>
      </c>
      <c r="R298" s="35" t="s">
        <v>571</v>
      </c>
      <c r="S298" s="34" t="str">
        <f aca="false">IF(ISNUMBER($AF298),INDEX(IDX_SrcStat,$AF298),"—")</f>
        <v>—</v>
      </c>
      <c r="T298" s="34" t="str">
        <f aca="false">IF(ISNUMBER($AF298),INDEX(IDX_SrcGrade,$AF298),"—")</f>
        <v>—</v>
      </c>
      <c r="U298" s="34" t="s">
        <v>2683</v>
      </c>
      <c r="V298" s="183" t="n">
        <f aca="false">IF(AND($F298="原始數據",$U298&lt;&gt;"連結 SRC"),1,0)</f>
        <v>0</v>
      </c>
      <c r="W298" s="183" t="n">
        <f aca="false">IF(AND($F298="Analogy",OR($H298="—",$H298="")),1,0)</f>
        <v>0</v>
      </c>
      <c r="X298" s="183" t="n">
        <f aca="false">IF(AND(OR($F298="Analogy",$F298="Assumed"),$G298&lt;&gt;"低",$G298&lt;&gt;"高",NOT(ISNUMBER($K298)),NOT(ISNUMBER($L298)),OR($M298="—",$M298="")),1,0)</f>
        <v>0</v>
      </c>
      <c r="Y298" s="183" t="n">
        <f aca="false">IF(AND(OR($F298="Analogy",$F298="Assumed",$F298="Derived（待改公式）",$F298="Derived（公式）"),OR($N298="—",$N298="",$N298=0)),1,0)</f>
        <v>0</v>
      </c>
      <c r="Z298" s="183" t="n">
        <f aca="false">IF(AND($F298="Decision",OR($J298="—",$J298="")),1,0)</f>
        <v>0</v>
      </c>
      <c r="AA298" s="180" t="n">
        <f aca="false">IF(OR($J298="—",$J298=""),0,IF(COUNTIF(Decisions!$A$5:$A$300,$J298)=0,1,0))</f>
        <v>0</v>
      </c>
      <c r="AB298" s="183" t="n">
        <f aca="false">IF(AND($F298="原始數據",$S298&lt;&gt;"Active"),1,0)</f>
        <v>0</v>
      </c>
      <c r="AC298" s="183" t="n">
        <f aca="false">IF(AND(ISNUMBER($K298),ISNUMBER($L298),ISNUMBER($Q298)),IF(OR($Q298&lt;MIN($K298,$L298),$Q298&gt;MAX($K298,$L298)),1,0),0)</f>
        <v>0</v>
      </c>
      <c r="AD298" s="183" t="n">
        <f aca="false">IF(AND(ISNUMBER($T298),$P298="高"),IF($T298=3,1,0),0)</f>
        <v>0</v>
      </c>
      <c r="AE298" s="183" t="n">
        <f aca="false">IF($S298="不存在",1,0)</f>
        <v>0</v>
      </c>
      <c r="AF298" s="34" t="str">
        <f aca="false">IF(OR($H298="—",$H298=""),"—",MATCH($H298,IDX_SrcID,0))</f>
        <v>—</v>
      </c>
    </row>
    <row r="299" customFormat="false" ht="15" hidden="false" customHeight="true" outlineLevel="0" collapsed="false">
      <c r="A299" s="35" t="s">
        <v>3396</v>
      </c>
      <c r="B299" s="209" t="s">
        <v>2677</v>
      </c>
      <c r="C299" s="35" t="s">
        <v>3325</v>
      </c>
      <c r="D299" s="35" t="s">
        <v>2599</v>
      </c>
      <c r="E299" s="6" t="s">
        <v>359</v>
      </c>
      <c r="F299" s="35" t="s">
        <v>64</v>
      </c>
      <c r="G299" s="209" t="s">
        <v>2679</v>
      </c>
      <c r="H299" s="35" t="s">
        <v>571</v>
      </c>
      <c r="I299" s="6" t="s">
        <v>571</v>
      </c>
      <c r="J299" s="35" t="s">
        <v>3388</v>
      </c>
      <c r="K299" s="209"/>
      <c r="L299" s="209"/>
      <c r="M299" s="35" t="s">
        <v>571</v>
      </c>
      <c r="N299" s="6" t="s">
        <v>3389</v>
      </c>
      <c r="O299" s="6" t="s">
        <v>571</v>
      </c>
      <c r="P299" s="209" t="s">
        <v>1100</v>
      </c>
      <c r="Q299" s="172" t="n">
        <f aca="false">Workload!E13</f>
        <v>1</v>
      </c>
      <c r="R299" s="35" t="s">
        <v>571</v>
      </c>
      <c r="S299" s="34" t="str">
        <f aca="false">IF(ISNUMBER($AF299),INDEX(IDX_SrcStat,$AF299),"—")</f>
        <v>—</v>
      </c>
      <c r="T299" s="34" t="str">
        <f aca="false">IF(ISNUMBER($AF299),INDEX(IDX_SrcGrade,$AF299),"—")</f>
        <v>—</v>
      </c>
      <c r="U299" s="34" t="s">
        <v>2683</v>
      </c>
      <c r="V299" s="183" t="n">
        <f aca="false">IF(AND($F299="原始數據",$U299&lt;&gt;"連結 SRC"),1,0)</f>
        <v>0</v>
      </c>
      <c r="W299" s="183" t="n">
        <f aca="false">IF(AND($F299="Analogy",OR($H299="—",$H299="")),1,0)</f>
        <v>0</v>
      </c>
      <c r="X299" s="183" t="n">
        <f aca="false">IF(AND(OR($F299="Analogy",$F299="Assumed"),$G299&lt;&gt;"低",$G299&lt;&gt;"高",NOT(ISNUMBER($K299)),NOT(ISNUMBER($L299)),OR($M299="—",$M299="")),1,0)</f>
        <v>0</v>
      </c>
      <c r="Y299" s="183" t="n">
        <f aca="false">IF(AND(OR($F299="Analogy",$F299="Assumed",$F299="Derived（待改公式）",$F299="Derived（公式）"),OR($N299="—",$N299="",$N299=0)),1,0)</f>
        <v>0</v>
      </c>
      <c r="Z299" s="183" t="n">
        <f aca="false">IF(AND($F299="Decision",OR($J299="—",$J299="")),1,0)</f>
        <v>0</v>
      </c>
      <c r="AA299" s="180" t="n">
        <f aca="false">IF(OR($J299="—",$J299=""),0,IF(COUNTIF(Decisions!$A$5:$A$300,$J299)=0,1,0))</f>
        <v>0</v>
      </c>
      <c r="AB299" s="183" t="n">
        <f aca="false">IF(AND($F299="原始數據",$S299&lt;&gt;"Active"),1,0)</f>
        <v>0</v>
      </c>
      <c r="AC299" s="183" t="n">
        <f aca="false">IF(AND(ISNUMBER($K299),ISNUMBER($L299),ISNUMBER($Q299)),IF(OR($Q299&lt;MIN($K299,$L299),$Q299&gt;MAX($K299,$L299)),1,0),0)</f>
        <v>0</v>
      </c>
      <c r="AD299" s="183" t="n">
        <f aca="false">IF(AND(ISNUMBER($T299),$P299="高"),IF($T299=3,1,0),0)</f>
        <v>0</v>
      </c>
      <c r="AE299" s="183" t="n">
        <f aca="false">IF($S299="不存在",1,0)</f>
        <v>0</v>
      </c>
      <c r="AF299" s="34" t="str">
        <f aca="false">IF(OR($H299="—",$H299=""),"—",MATCH($H299,IDX_SrcID,0))</f>
        <v>—</v>
      </c>
    </row>
    <row r="300" customFormat="false" ht="29.25" hidden="false" customHeight="true" outlineLevel="0" collapsed="false">
      <c r="A300" s="35" t="s">
        <v>3397</v>
      </c>
      <c r="B300" s="209" t="s">
        <v>2677</v>
      </c>
      <c r="C300" s="35" t="s">
        <v>3325</v>
      </c>
      <c r="D300" s="35" t="s">
        <v>2718</v>
      </c>
      <c r="E300" s="18" t="s">
        <v>3391</v>
      </c>
      <c r="F300" s="35" t="s">
        <v>64</v>
      </c>
      <c r="G300" s="209" t="s">
        <v>2679</v>
      </c>
      <c r="H300" s="35" t="s">
        <v>571</v>
      </c>
      <c r="I300" s="6" t="s">
        <v>571</v>
      </c>
      <c r="J300" s="35" t="s">
        <v>3392</v>
      </c>
      <c r="K300" s="209"/>
      <c r="L300" s="209"/>
      <c r="M300" s="35" t="s">
        <v>571</v>
      </c>
      <c r="N300" s="18" t="s">
        <v>3393</v>
      </c>
      <c r="O300" s="6" t="s">
        <v>571</v>
      </c>
      <c r="P300" s="209" t="s">
        <v>2738</v>
      </c>
      <c r="Q300" s="172" t="n">
        <f aca="false">Workload!E14</f>
        <v>1</v>
      </c>
      <c r="R300" s="35" t="s">
        <v>571</v>
      </c>
      <c r="S300" s="34" t="str">
        <f aca="false">IF(ISNUMBER($AF300),INDEX(IDX_SrcStat,$AF300),"—")</f>
        <v>—</v>
      </c>
      <c r="T300" s="34" t="str">
        <f aca="false">IF(ISNUMBER($AF300),INDEX(IDX_SrcGrade,$AF300),"—")</f>
        <v>—</v>
      </c>
      <c r="U300" s="34" t="s">
        <v>2683</v>
      </c>
      <c r="V300" s="183" t="n">
        <f aca="false">IF(AND($F300="原始數據",$U300&lt;&gt;"連結 SRC"),1,0)</f>
        <v>0</v>
      </c>
      <c r="W300" s="183" t="n">
        <f aca="false">IF(AND($F300="Analogy",OR($H300="—",$H300="")),1,0)</f>
        <v>0</v>
      </c>
      <c r="X300" s="183" t="n">
        <f aca="false">IF(AND(OR($F300="Analogy",$F300="Assumed"),$G300&lt;&gt;"低",$G300&lt;&gt;"高",NOT(ISNUMBER($K300)),NOT(ISNUMBER($L300)),OR($M300="—",$M300="")),1,0)</f>
        <v>0</v>
      </c>
      <c r="Y300" s="183" t="n">
        <f aca="false">IF(AND(OR($F300="Analogy",$F300="Assumed",$F300="Derived（待改公式）",$F300="Derived（公式）"),OR($N300="—",$N300="",$N300=0)),1,0)</f>
        <v>0</v>
      </c>
      <c r="Z300" s="183" t="n">
        <f aca="false">IF(AND($F300="Decision",OR($J300="—",$J300="")),1,0)</f>
        <v>0</v>
      </c>
      <c r="AA300" s="180" t="n">
        <f aca="false">IF(OR($J300="—",$J300=""),0,IF(COUNTIF(Decisions!$A$5:$A$300,$J300)=0,1,0))</f>
        <v>0</v>
      </c>
      <c r="AB300" s="183" t="n">
        <f aca="false">IF(AND($F300="原始數據",$S300&lt;&gt;"Active"),1,0)</f>
        <v>0</v>
      </c>
      <c r="AC300" s="183" t="n">
        <f aca="false">IF(AND(ISNUMBER($K300),ISNUMBER($L300),ISNUMBER($Q300)),IF(OR($Q300&lt;MIN($K300,$L300),$Q300&gt;MAX($K300,$L300)),1,0),0)</f>
        <v>0</v>
      </c>
      <c r="AD300" s="183" t="n">
        <f aca="false">IF(AND(ISNUMBER($T300),$P300="高"),IF($T300=3,1,0),0)</f>
        <v>0</v>
      </c>
      <c r="AE300" s="183" t="n">
        <f aca="false">IF($S300="不存在",1,0)</f>
        <v>0</v>
      </c>
      <c r="AF300" s="34" t="str">
        <f aca="false">IF(OR($H300="—",$H300=""),"—",MATCH($H300,IDX_SrcID,0))</f>
        <v>—</v>
      </c>
    </row>
    <row r="301" customFormat="false" ht="15" hidden="false" customHeight="true" outlineLevel="0" collapsed="false">
      <c r="A301" s="35" t="s">
        <v>3398</v>
      </c>
      <c r="B301" s="209" t="s">
        <v>2677</v>
      </c>
      <c r="C301" s="35" t="s">
        <v>3325</v>
      </c>
      <c r="D301" s="35" t="s">
        <v>2712</v>
      </c>
      <c r="E301" s="6" t="s">
        <v>359</v>
      </c>
      <c r="F301" s="35" t="s">
        <v>64</v>
      </c>
      <c r="G301" s="209" t="s">
        <v>2679</v>
      </c>
      <c r="H301" s="35" t="s">
        <v>571</v>
      </c>
      <c r="I301" s="6" t="s">
        <v>571</v>
      </c>
      <c r="J301" s="35" t="s">
        <v>3388</v>
      </c>
      <c r="K301" s="209"/>
      <c r="L301" s="209"/>
      <c r="M301" s="35" t="s">
        <v>571</v>
      </c>
      <c r="N301" s="6" t="s">
        <v>3389</v>
      </c>
      <c r="O301" s="6" t="s">
        <v>571</v>
      </c>
      <c r="P301" s="209" t="s">
        <v>1100</v>
      </c>
      <c r="Q301" s="172" t="n">
        <f aca="false">Workload!F13</f>
        <v>1</v>
      </c>
      <c r="R301" s="35" t="s">
        <v>571</v>
      </c>
      <c r="S301" s="34" t="str">
        <f aca="false">IF(ISNUMBER($AF301),INDEX(IDX_SrcStat,$AF301),"—")</f>
        <v>—</v>
      </c>
      <c r="T301" s="34" t="str">
        <f aca="false">IF(ISNUMBER($AF301),INDEX(IDX_SrcGrade,$AF301),"—")</f>
        <v>—</v>
      </c>
      <c r="U301" s="34" t="s">
        <v>2683</v>
      </c>
      <c r="V301" s="183" t="n">
        <f aca="false">IF(AND($F301="原始數據",$U301&lt;&gt;"連結 SRC"),1,0)</f>
        <v>0</v>
      </c>
      <c r="W301" s="183" t="n">
        <f aca="false">IF(AND($F301="Analogy",OR($H301="—",$H301="")),1,0)</f>
        <v>0</v>
      </c>
      <c r="X301" s="183" t="n">
        <f aca="false">IF(AND(OR($F301="Analogy",$F301="Assumed"),$G301&lt;&gt;"低",$G301&lt;&gt;"高",NOT(ISNUMBER($K301)),NOT(ISNUMBER($L301)),OR($M301="—",$M301="")),1,0)</f>
        <v>0</v>
      </c>
      <c r="Y301" s="183" t="n">
        <f aca="false">IF(AND(OR($F301="Analogy",$F301="Assumed",$F301="Derived（待改公式）",$F301="Derived（公式）"),OR($N301="—",$N301="",$N301=0)),1,0)</f>
        <v>0</v>
      </c>
      <c r="Z301" s="183" t="n">
        <f aca="false">IF(AND($F301="Decision",OR($J301="—",$J301="")),1,0)</f>
        <v>0</v>
      </c>
      <c r="AA301" s="180" t="n">
        <f aca="false">IF(OR($J301="—",$J301=""),0,IF(COUNTIF(Decisions!$A$5:$A$300,$J301)=0,1,0))</f>
        <v>0</v>
      </c>
      <c r="AB301" s="183" t="n">
        <f aca="false">IF(AND($F301="原始數據",$S301&lt;&gt;"Active"),1,0)</f>
        <v>0</v>
      </c>
      <c r="AC301" s="183" t="n">
        <f aca="false">IF(AND(ISNUMBER($K301),ISNUMBER($L301),ISNUMBER($Q301)),IF(OR($Q301&lt;MIN($K301,$L301),$Q301&gt;MAX($K301,$L301)),1,0),0)</f>
        <v>0</v>
      </c>
      <c r="AD301" s="183" t="n">
        <f aca="false">IF(AND(ISNUMBER($T301),$P301="高"),IF($T301=3,1,0),0)</f>
        <v>0</v>
      </c>
      <c r="AE301" s="183" t="n">
        <f aca="false">IF($S301="不存在",1,0)</f>
        <v>0</v>
      </c>
      <c r="AF301" s="34" t="str">
        <f aca="false">IF(OR($H301="—",$H301=""),"—",MATCH($H301,IDX_SrcID,0))</f>
        <v>—</v>
      </c>
    </row>
    <row r="302" customFormat="false" ht="29.25" hidden="false" customHeight="true" outlineLevel="0" collapsed="false">
      <c r="A302" s="35" t="s">
        <v>3399</v>
      </c>
      <c r="B302" s="209" t="s">
        <v>2677</v>
      </c>
      <c r="C302" s="35" t="s">
        <v>3325</v>
      </c>
      <c r="D302" s="35" t="s">
        <v>2722</v>
      </c>
      <c r="E302" s="18" t="s">
        <v>3391</v>
      </c>
      <c r="F302" s="35" t="s">
        <v>64</v>
      </c>
      <c r="G302" s="209" t="s">
        <v>2679</v>
      </c>
      <c r="H302" s="35" t="s">
        <v>571</v>
      </c>
      <c r="I302" s="6" t="s">
        <v>571</v>
      </c>
      <c r="J302" s="35" t="s">
        <v>3392</v>
      </c>
      <c r="K302" s="209"/>
      <c r="L302" s="209"/>
      <c r="M302" s="35" t="s">
        <v>571</v>
      </c>
      <c r="N302" s="18" t="s">
        <v>3393</v>
      </c>
      <c r="O302" s="6" t="s">
        <v>571</v>
      </c>
      <c r="P302" s="209" t="s">
        <v>2738</v>
      </c>
      <c r="Q302" s="172" t="n">
        <f aca="false">Workload!F14</f>
        <v>1</v>
      </c>
      <c r="R302" s="35" t="s">
        <v>571</v>
      </c>
      <c r="S302" s="34" t="str">
        <f aca="false">IF(ISNUMBER($AF302),INDEX(IDX_SrcStat,$AF302),"—")</f>
        <v>—</v>
      </c>
      <c r="T302" s="34" t="str">
        <f aca="false">IF(ISNUMBER($AF302),INDEX(IDX_SrcGrade,$AF302),"—")</f>
        <v>—</v>
      </c>
      <c r="U302" s="34" t="s">
        <v>2683</v>
      </c>
      <c r="V302" s="183" t="n">
        <f aca="false">IF(AND($F302="原始數據",$U302&lt;&gt;"連結 SRC"),1,0)</f>
        <v>0</v>
      </c>
      <c r="W302" s="183" t="n">
        <f aca="false">IF(AND($F302="Analogy",OR($H302="—",$H302="")),1,0)</f>
        <v>0</v>
      </c>
      <c r="X302" s="183" t="n">
        <f aca="false">IF(AND(OR($F302="Analogy",$F302="Assumed"),$G302&lt;&gt;"低",$G302&lt;&gt;"高",NOT(ISNUMBER($K302)),NOT(ISNUMBER($L302)),OR($M302="—",$M302="")),1,0)</f>
        <v>0</v>
      </c>
      <c r="Y302" s="183" t="n">
        <f aca="false">IF(AND(OR($F302="Analogy",$F302="Assumed",$F302="Derived（待改公式）",$F302="Derived（公式）"),OR($N302="—",$N302="",$N302=0)),1,0)</f>
        <v>0</v>
      </c>
      <c r="Z302" s="183" t="n">
        <f aca="false">IF(AND($F302="Decision",OR($J302="—",$J302="")),1,0)</f>
        <v>0</v>
      </c>
      <c r="AA302" s="180" t="n">
        <f aca="false">IF(OR($J302="—",$J302=""),0,IF(COUNTIF(Decisions!$A$5:$A$300,$J302)=0,1,0))</f>
        <v>0</v>
      </c>
      <c r="AB302" s="183" t="n">
        <f aca="false">IF(AND($F302="原始數據",$S302&lt;&gt;"Active"),1,0)</f>
        <v>0</v>
      </c>
      <c r="AC302" s="183" t="n">
        <f aca="false">IF(AND(ISNUMBER($K302),ISNUMBER($L302),ISNUMBER($Q302)),IF(OR($Q302&lt;MIN($K302,$L302),$Q302&gt;MAX($K302,$L302)),1,0),0)</f>
        <v>0</v>
      </c>
      <c r="AD302" s="183" t="n">
        <f aca="false">IF(AND(ISNUMBER($T302),$P302="高"),IF($T302=3,1,0),0)</f>
        <v>0</v>
      </c>
      <c r="AE302" s="183" t="n">
        <f aca="false">IF($S302="不存在",1,0)</f>
        <v>0</v>
      </c>
      <c r="AF302" s="34" t="str">
        <f aca="false">IF(OR($H302="—",$H302=""),"—",MATCH($H302,IDX_SrcID,0))</f>
        <v>—</v>
      </c>
    </row>
    <row r="303" customFormat="false" ht="15" hidden="false" customHeight="true" outlineLevel="0" collapsed="false">
      <c r="A303" s="35" t="s">
        <v>3400</v>
      </c>
      <c r="B303" s="209" t="s">
        <v>2677</v>
      </c>
      <c r="C303" s="35" t="s">
        <v>3325</v>
      </c>
      <c r="D303" s="35" t="s">
        <v>2943</v>
      </c>
      <c r="E303" s="6" t="s">
        <v>359</v>
      </c>
      <c r="F303" s="35" t="s">
        <v>64</v>
      </c>
      <c r="G303" s="209" t="s">
        <v>2679</v>
      </c>
      <c r="H303" s="35" t="s">
        <v>571</v>
      </c>
      <c r="I303" s="6" t="s">
        <v>571</v>
      </c>
      <c r="J303" s="35" t="s">
        <v>3388</v>
      </c>
      <c r="K303" s="209"/>
      <c r="L303" s="209"/>
      <c r="M303" s="35" t="s">
        <v>571</v>
      </c>
      <c r="N303" s="6" t="s">
        <v>3389</v>
      </c>
      <c r="O303" s="6" t="s">
        <v>571</v>
      </c>
      <c r="P303" s="209" t="s">
        <v>1100</v>
      </c>
      <c r="Q303" s="172" t="n">
        <f aca="false">Workload!G13</f>
        <v>1</v>
      </c>
      <c r="R303" s="35" t="s">
        <v>571</v>
      </c>
      <c r="S303" s="34" t="str">
        <f aca="false">IF(ISNUMBER($AF303),INDEX(IDX_SrcStat,$AF303),"—")</f>
        <v>—</v>
      </c>
      <c r="T303" s="34" t="str">
        <f aca="false">IF(ISNUMBER($AF303),INDEX(IDX_SrcGrade,$AF303),"—")</f>
        <v>—</v>
      </c>
      <c r="U303" s="34" t="s">
        <v>2683</v>
      </c>
      <c r="V303" s="183" t="n">
        <f aca="false">IF(AND($F303="原始數據",$U303&lt;&gt;"連結 SRC"),1,0)</f>
        <v>0</v>
      </c>
      <c r="W303" s="183" t="n">
        <f aca="false">IF(AND($F303="Analogy",OR($H303="—",$H303="")),1,0)</f>
        <v>0</v>
      </c>
      <c r="X303" s="183" t="n">
        <f aca="false">IF(AND(OR($F303="Analogy",$F303="Assumed"),$G303&lt;&gt;"低",$G303&lt;&gt;"高",NOT(ISNUMBER($K303)),NOT(ISNUMBER($L303)),OR($M303="—",$M303="")),1,0)</f>
        <v>0</v>
      </c>
      <c r="Y303" s="183" t="n">
        <f aca="false">IF(AND(OR($F303="Analogy",$F303="Assumed",$F303="Derived（待改公式）",$F303="Derived（公式）"),OR($N303="—",$N303="",$N303=0)),1,0)</f>
        <v>0</v>
      </c>
      <c r="Z303" s="183" t="n">
        <f aca="false">IF(AND($F303="Decision",OR($J303="—",$J303="")),1,0)</f>
        <v>0</v>
      </c>
      <c r="AA303" s="180" t="n">
        <f aca="false">IF(OR($J303="—",$J303=""),0,IF(COUNTIF(Decisions!$A$5:$A$300,$J303)=0,1,0))</f>
        <v>0</v>
      </c>
      <c r="AB303" s="183" t="n">
        <f aca="false">IF(AND($F303="原始數據",$S303&lt;&gt;"Active"),1,0)</f>
        <v>0</v>
      </c>
      <c r="AC303" s="183" t="n">
        <f aca="false">IF(AND(ISNUMBER($K303),ISNUMBER($L303),ISNUMBER($Q303)),IF(OR($Q303&lt;MIN($K303,$L303),$Q303&gt;MAX($K303,$L303)),1,0),0)</f>
        <v>0</v>
      </c>
      <c r="AD303" s="183" t="n">
        <f aca="false">IF(AND(ISNUMBER($T303),$P303="高"),IF($T303=3,1,0),0)</f>
        <v>0</v>
      </c>
      <c r="AE303" s="183" t="n">
        <f aca="false">IF($S303="不存在",1,0)</f>
        <v>0</v>
      </c>
      <c r="AF303" s="34" t="str">
        <f aca="false">IF(OR($H303="—",$H303=""),"—",MATCH($H303,IDX_SrcID,0))</f>
        <v>—</v>
      </c>
    </row>
    <row r="304" customFormat="false" ht="29.25" hidden="false" customHeight="true" outlineLevel="0" collapsed="false">
      <c r="A304" s="35" t="s">
        <v>3401</v>
      </c>
      <c r="B304" s="209" t="s">
        <v>2677</v>
      </c>
      <c r="C304" s="35" t="s">
        <v>3325</v>
      </c>
      <c r="D304" s="35" t="s">
        <v>3402</v>
      </c>
      <c r="E304" s="18" t="s">
        <v>3391</v>
      </c>
      <c r="F304" s="35" t="s">
        <v>64</v>
      </c>
      <c r="G304" s="209" t="s">
        <v>2679</v>
      </c>
      <c r="H304" s="35" t="s">
        <v>571</v>
      </c>
      <c r="I304" s="6" t="s">
        <v>571</v>
      </c>
      <c r="J304" s="35" t="s">
        <v>3392</v>
      </c>
      <c r="K304" s="209"/>
      <c r="L304" s="209"/>
      <c r="M304" s="35" t="s">
        <v>571</v>
      </c>
      <c r="N304" s="18" t="s">
        <v>3393</v>
      </c>
      <c r="O304" s="6" t="s">
        <v>571</v>
      </c>
      <c r="P304" s="209" t="s">
        <v>2738</v>
      </c>
      <c r="Q304" s="172" t="n">
        <f aca="false">Workload!G14</f>
        <v>1</v>
      </c>
      <c r="R304" s="35" t="s">
        <v>571</v>
      </c>
      <c r="S304" s="34" t="str">
        <f aca="false">IF(ISNUMBER($AF304),INDEX(IDX_SrcStat,$AF304),"—")</f>
        <v>—</v>
      </c>
      <c r="T304" s="34" t="str">
        <f aca="false">IF(ISNUMBER($AF304),INDEX(IDX_SrcGrade,$AF304),"—")</f>
        <v>—</v>
      </c>
      <c r="U304" s="34" t="s">
        <v>2683</v>
      </c>
      <c r="V304" s="183" t="n">
        <f aca="false">IF(AND($F304="原始數據",$U304&lt;&gt;"連結 SRC"),1,0)</f>
        <v>0</v>
      </c>
      <c r="W304" s="183" t="n">
        <f aca="false">IF(AND($F304="Analogy",OR($H304="—",$H304="")),1,0)</f>
        <v>0</v>
      </c>
      <c r="X304" s="183" t="n">
        <f aca="false">IF(AND(OR($F304="Analogy",$F304="Assumed"),$G304&lt;&gt;"低",$G304&lt;&gt;"高",NOT(ISNUMBER($K304)),NOT(ISNUMBER($L304)),OR($M304="—",$M304="")),1,0)</f>
        <v>0</v>
      </c>
      <c r="Y304" s="183" t="n">
        <f aca="false">IF(AND(OR($F304="Analogy",$F304="Assumed",$F304="Derived（待改公式）",$F304="Derived（公式）"),OR($N304="—",$N304="",$N304=0)),1,0)</f>
        <v>0</v>
      </c>
      <c r="Z304" s="183" t="n">
        <f aca="false">IF(AND($F304="Decision",OR($J304="—",$J304="")),1,0)</f>
        <v>0</v>
      </c>
      <c r="AA304" s="180" t="n">
        <f aca="false">IF(OR($J304="—",$J304=""),0,IF(COUNTIF(Decisions!$A$5:$A$300,$J304)=0,1,0))</f>
        <v>0</v>
      </c>
      <c r="AB304" s="183" t="n">
        <f aca="false">IF(AND($F304="原始數據",$S304&lt;&gt;"Active"),1,0)</f>
        <v>0</v>
      </c>
      <c r="AC304" s="183" t="n">
        <f aca="false">IF(AND(ISNUMBER($K304),ISNUMBER($L304),ISNUMBER($Q304)),IF(OR($Q304&lt;MIN($K304,$L304),$Q304&gt;MAX($K304,$L304)),1,0),0)</f>
        <v>0</v>
      </c>
      <c r="AD304" s="183" t="n">
        <f aca="false">IF(AND(ISNUMBER($T304),$P304="高"),IF($T304=3,1,0),0)</f>
        <v>0</v>
      </c>
      <c r="AE304" s="183" t="n">
        <f aca="false">IF($S304="不存在",1,0)</f>
        <v>0</v>
      </c>
      <c r="AF304" s="34" t="str">
        <f aca="false">IF(OR($H304="—",$H304=""),"—",MATCH($H304,IDX_SrcID,0))</f>
        <v>—</v>
      </c>
    </row>
    <row r="305" customFormat="false" ht="29.25" hidden="false" customHeight="true" outlineLevel="0" collapsed="false">
      <c r="A305" s="35" t="s">
        <v>3403</v>
      </c>
      <c r="B305" s="209" t="s">
        <v>3404</v>
      </c>
      <c r="C305" s="35" t="s">
        <v>3325</v>
      </c>
      <c r="D305" s="35" t="s">
        <v>3126</v>
      </c>
      <c r="E305" s="18" t="s">
        <v>3405</v>
      </c>
      <c r="F305" s="188" t="s">
        <v>72</v>
      </c>
      <c r="G305" s="209" t="s">
        <v>2679</v>
      </c>
      <c r="H305" s="35" t="s">
        <v>571</v>
      </c>
      <c r="I305" s="214" t="s">
        <v>571</v>
      </c>
      <c r="J305" s="35" t="s">
        <v>571</v>
      </c>
      <c r="K305" s="209"/>
      <c r="L305" s="209"/>
      <c r="M305" s="209" t="s">
        <v>2624</v>
      </c>
      <c r="N305" s="18" t="s">
        <v>3406</v>
      </c>
      <c r="O305" s="6" t="s">
        <v>571</v>
      </c>
      <c r="P305" s="209" t="s">
        <v>2682</v>
      </c>
      <c r="Q305" s="180" t="n">
        <f aca="false">Workload!C40</f>
        <v>1</v>
      </c>
      <c r="R305" s="35" t="s">
        <v>571</v>
      </c>
      <c r="S305" s="34" t="str">
        <f aca="false">IF(ISNUMBER($AF305),INDEX(IDX_SrcStat,$AF305),"—")</f>
        <v>—</v>
      </c>
      <c r="T305" s="34" t="str">
        <f aca="false">IF(ISNUMBER($AF305),INDEX(IDX_SrcGrade,$AF305),"—")</f>
        <v>—</v>
      </c>
      <c r="U305" s="34" t="s">
        <v>2683</v>
      </c>
      <c r="V305" s="183" t="n">
        <f aca="false">IF(AND($F305="原始數據",$U305&lt;&gt;"連結 SRC"),1,0)</f>
        <v>0</v>
      </c>
      <c r="W305" s="183" t="n">
        <f aca="false">IF(AND($F305="Analogy",OR($H305="—",$H305="")),1,0)</f>
        <v>0</v>
      </c>
      <c r="X305" s="183" t="n">
        <f aca="false">IF(AND(OR($F305="Analogy",$F305="Assumed"),$G305&lt;&gt;"低",$G305&lt;&gt;"高",NOT(ISNUMBER($K305)),NOT(ISNUMBER($L305)),OR($M305="—",$M305="")),1,0)</f>
        <v>0</v>
      </c>
      <c r="Y305" s="183" t="n">
        <f aca="false">IF(AND(OR($F305="Analogy",$F305="Assumed",$F305="Derived（待改公式）",$F305="Derived（公式）"),OR($N305="—",$N305="",$N305=0)),1,0)</f>
        <v>0</v>
      </c>
      <c r="Z305" s="183" t="n">
        <f aca="false">IF(AND($F305="Decision",OR($J305="—",$J305="")),1,0)</f>
        <v>0</v>
      </c>
      <c r="AA305" s="180" t="n">
        <f aca="false">IF(OR($J305="—",$J305=""),0,IF(COUNTIF(Decisions!$A$5:$A$300,$J305)=0,1,0))</f>
        <v>0</v>
      </c>
      <c r="AB305" s="183" t="n">
        <f aca="false">IF(AND($F305="原始數據",$S305&lt;&gt;"Active"),1,0)</f>
        <v>0</v>
      </c>
      <c r="AC305" s="183" t="n">
        <f aca="false">IF(AND(ISNUMBER($K305),ISNUMBER($L305),ISNUMBER($Q305)),IF(OR($Q305&lt;MIN($K305,$L305),$Q305&gt;MAX($K305,$L305)),1,0),0)</f>
        <v>0</v>
      </c>
      <c r="AD305" s="183" t="n">
        <f aca="false">IF(AND(ISNUMBER($T305),$P305="高"),IF($T305=3,1,0),0)</f>
        <v>0</v>
      </c>
      <c r="AE305" s="183" t="n">
        <f aca="false">IF($S305="不存在",1,0)</f>
        <v>0</v>
      </c>
      <c r="AF305" s="34" t="str">
        <f aca="false">IF(OR($H305="—",$H305=""),"—",MATCH($H305,IDX_SrcID,0))</f>
        <v>—</v>
      </c>
    </row>
    <row r="306" customFormat="false" ht="29.25" hidden="false" customHeight="true" outlineLevel="0" collapsed="false">
      <c r="A306" s="35" t="s">
        <v>3407</v>
      </c>
      <c r="B306" s="209" t="s">
        <v>3404</v>
      </c>
      <c r="C306" s="35" t="s">
        <v>3325</v>
      </c>
      <c r="D306" s="35" t="s">
        <v>3131</v>
      </c>
      <c r="E306" s="18" t="s">
        <v>3405</v>
      </c>
      <c r="F306" s="209" t="s">
        <v>290</v>
      </c>
      <c r="G306" s="209" t="s">
        <v>2679</v>
      </c>
      <c r="H306" s="35" t="s">
        <v>3408</v>
      </c>
      <c r="I306" s="18" t="s">
        <v>2714</v>
      </c>
      <c r="J306" s="35" t="s">
        <v>571</v>
      </c>
      <c r="K306" s="209"/>
      <c r="L306" s="209"/>
      <c r="M306" s="35" t="s">
        <v>571</v>
      </c>
      <c r="N306" s="18" t="s">
        <v>3409</v>
      </c>
      <c r="O306" s="6" t="s">
        <v>571</v>
      </c>
      <c r="P306" s="209" t="s">
        <v>2682</v>
      </c>
      <c r="Q306" s="180" t="n">
        <f aca="false">Workload!E40</f>
        <v>4</v>
      </c>
      <c r="R306" s="182" t="n">
        <f aca="false">SRC_HAR_001</f>
        <v>4</v>
      </c>
      <c r="S306" s="34" t="str">
        <f aca="false">IF(ISNUMBER($AF306),INDEX(IDX_SrcStat,$AF306),"—")</f>
        <v>Active</v>
      </c>
      <c r="T306" s="34" t="n">
        <f aca="false">IF(ISNUMBER($AF306),INDEX(IDX_SrcGrade,$AF306),"—")</f>
        <v>2</v>
      </c>
      <c r="U306" s="34" t="s">
        <v>2716</v>
      </c>
      <c r="V306" s="183" t="n">
        <f aca="false">IF(AND($F306="原始數據",$U306&lt;&gt;"連結 SRC"),1,0)</f>
        <v>0</v>
      </c>
      <c r="W306" s="183" t="n">
        <f aca="false">IF(AND($F306="Analogy",OR($H306="—",$H306="")),1,0)</f>
        <v>0</v>
      </c>
      <c r="X306" s="183" t="n">
        <f aca="false">IF(AND(OR($F306="Analogy",$F306="Assumed"),$G306&lt;&gt;"低",$G306&lt;&gt;"高",NOT(ISNUMBER($K306)),NOT(ISNUMBER($L306)),OR($M306="—",$M306="")),1,0)</f>
        <v>0</v>
      </c>
      <c r="Y306" s="183" t="n">
        <f aca="false">IF(AND(OR($F306="Analogy",$F306="Assumed",$F306="Derived（待改公式）",$F306="Derived（公式）"),OR($N306="—",$N306="",$N306=0)),1,0)</f>
        <v>0</v>
      </c>
      <c r="Z306" s="183" t="n">
        <f aca="false">IF(AND($F306="Decision",OR($J306="—",$J306="")),1,0)</f>
        <v>0</v>
      </c>
      <c r="AA306" s="180" t="n">
        <f aca="false">IF(OR($J306="—",$J306=""),0,IF(COUNTIF(Decisions!$A$5:$A$300,$J306)=0,1,0))</f>
        <v>0</v>
      </c>
      <c r="AB306" s="183" t="n">
        <f aca="false">IF(AND($F306="原始數據",$S306&lt;&gt;"Active"),1,0)</f>
        <v>0</v>
      </c>
      <c r="AC306" s="183" t="n">
        <f aca="false">IF(AND(ISNUMBER($K306),ISNUMBER($L306),ISNUMBER($Q306)),IF(OR($Q306&lt;MIN($K306,$L306),$Q306&gt;MAX($K306,$L306)),1,0),0)</f>
        <v>0</v>
      </c>
      <c r="AD306" s="183" t="n">
        <f aca="false">IF(AND(ISNUMBER($T306),$P306="高"),IF($T306=3,1,0),0)</f>
        <v>0</v>
      </c>
      <c r="AE306" s="183" t="n">
        <f aca="false">IF($S306="不存在",1,0)</f>
        <v>0</v>
      </c>
      <c r="AF306" s="34" t="n">
        <f aca="false">IF(OR($H306="—",$H306=""),"—",MATCH($H306,IDX_SrcID,0))</f>
        <v>548</v>
      </c>
    </row>
    <row r="307" customFormat="false" ht="29.25" hidden="false" customHeight="true" outlineLevel="0" collapsed="false">
      <c r="A307" s="35" t="s">
        <v>3410</v>
      </c>
      <c r="B307" s="209" t="s">
        <v>3404</v>
      </c>
      <c r="C307" s="35" t="s">
        <v>3325</v>
      </c>
      <c r="D307" s="35" t="s">
        <v>3133</v>
      </c>
      <c r="E307" s="18" t="s">
        <v>3405</v>
      </c>
      <c r="F307" s="209" t="s">
        <v>290</v>
      </c>
      <c r="G307" s="209" t="s">
        <v>2679</v>
      </c>
      <c r="H307" s="35" t="s">
        <v>3411</v>
      </c>
      <c r="I307" s="18" t="s">
        <v>2714</v>
      </c>
      <c r="J307" s="35" t="s">
        <v>571</v>
      </c>
      <c r="K307" s="209"/>
      <c r="L307" s="209"/>
      <c r="M307" s="35" t="s">
        <v>571</v>
      </c>
      <c r="N307" s="18" t="s">
        <v>3409</v>
      </c>
      <c r="O307" s="6" t="s">
        <v>571</v>
      </c>
      <c r="P307" s="209" t="s">
        <v>2682</v>
      </c>
      <c r="Q307" s="180" t="n">
        <f aca="false">Workload!F40</f>
        <v>15</v>
      </c>
      <c r="R307" s="182" t="n">
        <f aca="false">SRC_HAR_002</f>
        <v>15</v>
      </c>
      <c r="S307" s="34" t="str">
        <f aca="false">IF(ISNUMBER($AF307),INDEX(IDX_SrcStat,$AF307),"—")</f>
        <v>Active</v>
      </c>
      <c r="T307" s="34" t="n">
        <f aca="false">IF(ISNUMBER($AF307),INDEX(IDX_SrcGrade,$AF307),"—")</f>
        <v>2</v>
      </c>
      <c r="U307" s="34" t="s">
        <v>2716</v>
      </c>
      <c r="V307" s="183" t="n">
        <f aca="false">IF(AND($F307="原始數據",$U307&lt;&gt;"連結 SRC"),1,0)</f>
        <v>0</v>
      </c>
      <c r="W307" s="183" t="n">
        <f aca="false">IF(AND($F307="Analogy",OR($H307="—",$H307="")),1,0)</f>
        <v>0</v>
      </c>
      <c r="X307" s="183" t="n">
        <f aca="false">IF(AND(OR($F307="Analogy",$F307="Assumed"),$G307&lt;&gt;"低",$G307&lt;&gt;"高",NOT(ISNUMBER($K307)),NOT(ISNUMBER($L307)),OR($M307="—",$M307="")),1,0)</f>
        <v>0</v>
      </c>
      <c r="Y307" s="183" t="n">
        <f aca="false">IF(AND(OR($F307="Analogy",$F307="Assumed",$F307="Derived（待改公式）",$F307="Derived（公式）"),OR($N307="—",$N307="",$N307=0)),1,0)</f>
        <v>0</v>
      </c>
      <c r="Z307" s="183" t="n">
        <f aca="false">IF(AND($F307="Decision",OR($J307="—",$J307="")),1,0)</f>
        <v>0</v>
      </c>
      <c r="AA307" s="180" t="n">
        <f aca="false">IF(OR($J307="—",$J307=""),0,IF(COUNTIF(Decisions!$A$5:$A$300,$J307)=0,1,0))</f>
        <v>0</v>
      </c>
      <c r="AB307" s="183" t="n">
        <f aca="false">IF(AND($F307="原始數據",$S307&lt;&gt;"Active"),1,0)</f>
        <v>0</v>
      </c>
      <c r="AC307" s="183" t="n">
        <f aca="false">IF(AND(ISNUMBER($K307),ISNUMBER($L307),ISNUMBER($Q307)),IF(OR($Q307&lt;MIN($K307,$L307),$Q307&gt;MAX($K307,$L307)),1,0),0)</f>
        <v>0</v>
      </c>
      <c r="AD307" s="183" t="n">
        <f aca="false">IF(AND(ISNUMBER($T307),$P307="高"),IF($T307=3,1,0),0)</f>
        <v>0</v>
      </c>
      <c r="AE307" s="183" t="n">
        <f aca="false">IF($S307="不存在",1,0)</f>
        <v>0</v>
      </c>
      <c r="AF307" s="34" t="n">
        <f aca="false">IF(OR($H307="—",$H307=""),"—",MATCH($H307,IDX_SrcID,0))</f>
        <v>549</v>
      </c>
    </row>
    <row r="308" customFormat="false" ht="43.5" hidden="false" customHeight="true" outlineLevel="0" collapsed="false">
      <c r="A308" s="35" t="s">
        <v>3412</v>
      </c>
      <c r="B308" s="209" t="s">
        <v>2677</v>
      </c>
      <c r="C308" s="35" t="s">
        <v>3413</v>
      </c>
      <c r="D308" s="35" t="s">
        <v>3326</v>
      </c>
      <c r="E308" s="6" t="s">
        <v>399</v>
      </c>
      <c r="F308" s="35" t="s">
        <v>76</v>
      </c>
      <c r="G308" s="209" t="s">
        <v>2679</v>
      </c>
      <c r="H308" s="35" t="s">
        <v>3414</v>
      </c>
      <c r="I308" s="18" t="s">
        <v>3415</v>
      </c>
      <c r="J308" s="35" t="s">
        <v>571</v>
      </c>
      <c r="K308" s="211" t="n">
        <v>0.15</v>
      </c>
      <c r="L308" s="211" t="n">
        <v>0.45</v>
      </c>
      <c r="M308" s="35" t="s">
        <v>3416</v>
      </c>
      <c r="N308" s="210" t="str">
        <f aca="false">Calib!$J$5&amp;" ｜補充旗標（IF 全欄分段，非分段依據）：高"</f>
        <v>Analogy：DeepSeek H800 線上 prefill 約 0.37（S30，待查）；區間 0.15–0.45。擬合結果對此不敏感（見 G 節） ｜補充旗標（IF 全欄分段，非分段依據）：高</v>
      </c>
      <c r="O308" s="6" t="s">
        <v>571</v>
      </c>
      <c r="P308" s="209" t="s">
        <v>2738</v>
      </c>
      <c r="Q308" s="174" t="n">
        <f aca="false">Calib!C5</f>
        <v>0.3</v>
      </c>
      <c r="R308" s="182" t="n">
        <f aca="false">SRC_PERF_041</f>
        <v>73700</v>
      </c>
      <c r="S308" s="34" t="str">
        <f aca="false">IF(ISNUMBER($AF308),INDEX(IDX_SrcStat,$AF308),"—")</f>
        <v>Active</v>
      </c>
      <c r="T308" s="34" t="n">
        <f aca="false">IF(ISNUMBER($AF308),INDEX(IDX_SrcGrade,$AF308),"—")</f>
        <v>1</v>
      </c>
      <c r="U308" s="34" t="s">
        <v>2683</v>
      </c>
      <c r="V308" s="183" t="n">
        <f aca="false">IF(AND($F308="原始數據",$U308&lt;&gt;"連結 SRC"),1,0)</f>
        <v>0</v>
      </c>
      <c r="W308" s="183" t="n">
        <f aca="false">IF(AND($F308="Analogy",OR($H308="—",$H308="")),1,0)</f>
        <v>0</v>
      </c>
      <c r="X308" s="183" t="n">
        <f aca="false">IF(AND(OR($F308="Analogy",$F308="Assumed"),$G308&lt;&gt;"低",$G308&lt;&gt;"高",NOT(ISNUMBER($K308)),NOT(ISNUMBER($L308)),OR($M308="—",$M308="")),1,0)</f>
        <v>0</v>
      </c>
      <c r="Y308" s="183" t="n">
        <f aca="false">IF(AND(OR($F308="Analogy",$F308="Assumed",$F308="Derived（待改公式）",$F308="Derived（公式）"),OR($N308="—",$N308="",$N308=0)),1,0)</f>
        <v>0</v>
      </c>
      <c r="Z308" s="183" t="n">
        <f aca="false">IF(AND($F308="Decision",OR($J308="—",$J308="")),1,0)</f>
        <v>0</v>
      </c>
      <c r="AA308" s="180" t="n">
        <f aca="false">IF(OR($J308="—",$J308=""),0,IF(COUNTIF(Decisions!$A$5:$A$300,$J308)=0,1,0))</f>
        <v>0</v>
      </c>
      <c r="AB308" s="183" t="n">
        <f aca="false">IF(AND($F308="原始數據",$S308&lt;&gt;"Active"),1,0)</f>
        <v>0</v>
      </c>
      <c r="AC308" s="183" t="n">
        <f aca="false">IF(AND(ISNUMBER($K308),ISNUMBER($L308),ISNUMBER($Q308)),IF(OR($Q308&lt;MIN($K308,$L308),$Q308&gt;MAX($K308,$L308)),1,0),0)</f>
        <v>0</v>
      </c>
      <c r="AD308" s="183" t="n">
        <f aca="false">IF(AND(ISNUMBER($T308),$P308="高"),IF($T308=3,1,0),0)</f>
        <v>0</v>
      </c>
      <c r="AE308" s="183" t="n">
        <f aca="false">IF($S308="不存在",1,0)</f>
        <v>0</v>
      </c>
      <c r="AF308" s="34" t="n">
        <f aca="false">IF(OR($H308="—",$H308=""),"—",MATCH($H308,IDX_SrcID,0))</f>
        <v>322</v>
      </c>
    </row>
    <row r="309" customFormat="false" ht="15" hidden="false" customHeight="true" outlineLevel="0" collapsed="false">
      <c r="A309" s="35" t="s">
        <v>3417</v>
      </c>
      <c r="B309" s="209" t="s">
        <v>2677</v>
      </c>
      <c r="C309" s="35" t="s">
        <v>3413</v>
      </c>
      <c r="D309" s="35" t="s">
        <v>3418</v>
      </c>
      <c r="E309" s="18" t="s">
        <v>407</v>
      </c>
      <c r="F309" s="209" t="s">
        <v>3419</v>
      </c>
      <c r="G309" s="209" t="s">
        <v>3420</v>
      </c>
      <c r="H309" s="35" t="s">
        <v>571</v>
      </c>
      <c r="I309" s="6" t="s">
        <v>571</v>
      </c>
      <c r="J309" s="35" t="s">
        <v>571</v>
      </c>
      <c r="K309" s="209"/>
      <c r="L309" s="209"/>
      <c r="M309" s="35" t="s">
        <v>571</v>
      </c>
      <c r="N309" s="18" t="s">
        <v>3421</v>
      </c>
      <c r="O309" s="6" t="s">
        <v>571</v>
      </c>
      <c r="P309" s="35" t="s">
        <v>571</v>
      </c>
      <c r="Q309" s="182" t="s">
        <v>571</v>
      </c>
      <c r="R309" s="35" t="s">
        <v>571</v>
      </c>
      <c r="S309" s="34" t="str">
        <f aca="false">IF(ISNUMBER($AF309),INDEX(IDX_SrcStat,$AF309),"—")</f>
        <v>—</v>
      </c>
      <c r="T309" s="34" t="str">
        <f aca="false">IF(ISNUMBER($AF309),INDEX(IDX_SrcGrade,$AF309),"—")</f>
        <v>—</v>
      </c>
      <c r="U309" s="35" t="s">
        <v>571</v>
      </c>
      <c r="V309" s="183" t="n">
        <f aca="false">IF(AND($F309="原始數據",$U309&lt;&gt;"連結 SRC"),1,0)</f>
        <v>0</v>
      </c>
      <c r="W309" s="183" t="n">
        <f aca="false">IF(AND($F309="Analogy",OR($H309="—",$H309="")),1,0)</f>
        <v>0</v>
      </c>
      <c r="X309" s="183" t="n">
        <f aca="false">IF(AND(OR($F309="Analogy",$F309="Assumed"),$G309&lt;&gt;"低",$G309&lt;&gt;"高",NOT(ISNUMBER($K309)),NOT(ISNUMBER($L309)),OR($M309="—",$M309="")),1,0)</f>
        <v>0</v>
      </c>
      <c r="Y309" s="183" t="n">
        <f aca="false">IF(AND(OR($F309="Analogy",$F309="Assumed",$F309="Derived（待改公式）",$F309="Derived（公式）"),OR($N309="—",$N309="",$N309=0)),1,0)</f>
        <v>0</v>
      </c>
      <c r="Z309" s="183" t="n">
        <f aca="false">IF(AND($F309="Decision",OR($J309="—",$J309="")),1,0)</f>
        <v>0</v>
      </c>
      <c r="AA309" s="180" t="n">
        <f aca="false">IF(OR($J309="—",$J309=""),0,IF(COUNTIF(Decisions!$A$5:$A$300,$J309)=0,1,0))</f>
        <v>0</v>
      </c>
      <c r="AB309" s="183" t="n">
        <f aca="false">IF(AND($F309="原始數據",$S309&lt;&gt;"Active"),1,0)</f>
        <v>0</v>
      </c>
      <c r="AC309" s="183" t="n">
        <f aca="false">IF(AND(ISNUMBER($K309),ISNUMBER($L309),ISNUMBER($Q309)),IF(OR($Q309&lt;MIN($K309,$L309),$Q309&gt;MAX($K309,$L309)),1,0),0)</f>
        <v>0</v>
      </c>
      <c r="AD309" s="183" t="n">
        <f aca="false">IF(AND(ISNUMBER($T309),$P309="高"),IF($T309=3,1,0),0)</f>
        <v>0</v>
      </c>
      <c r="AE309" s="183" t="n">
        <f aca="false">IF($S309="不存在",1,0)</f>
        <v>0</v>
      </c>
      <c r="AF309" s="34" t="str">
        <f aca="false">IF(OR($H309="—",$H309=""),"—",MATCH($H309,IDX_SrcID,0))</f>
        <v>—</v>
      </c>
    </row>
    <row r="310" customFormat="false" ht="15" hidden="false" customHeight="true" outlineLevel="0" collapsed="false">
      <c r="A310" s="35" t="s">
        <v>3422</v>
      </c>
      <c r="B310" s="209" t="s">
        <v>2677</v>
      </c>
      <c r="C310" s="35" t="s">
        <v>3413</v>
      </c>
      <c r="D310" s="35" t="s">
        <v>2932</v>
      </c>
      <c r="E310" s="6" t="s">
        <v>413</v>
      </c>
      <c r="F310" s="209" t="s">
        <v>290</v>
      </c>
      <c r="G310" s="209" t="s">
        <v>2679</v>
      </c>
      <c r="H310" s="35" t="s">
        <v>3423</v>
      </c>
      <c r="I310" s="18" t="s">
        <v>2714</v>
      </c>
      <c r="J310" s="35" t="s">
        <v>571</v>
      </c>
      <c r="K310" s="209"/>
      <c r="L310" s="209"/>
      <c r="M310" s="35" t="s">
        <v>571</v>
      </c>
      <c r="N310" s="18" t="s">
        <v>2812</v>
      </c>
      <c r="O310" s="6" t="s">
        <v>571</v>
      </c>
      <c r="P310" s="209" t="s">
        <v>2682</v>
      </c>
      <c r="Q310" s="180" t="n">
        <f aca="false">Calib!C13</f>
        <v>1</v>
      </c>
      <c r="R310" s="182" t="n">
        <f aca="false">SRC_PERF_009_MTP</f>
        <v>1</v>
      </c>
      <c r="S310" s="34" t="str">
        <f aca="false">IF(ISNUMBER($AF310),INDEX(IDX_SrcStat,$AF310),"—")</f>
        <v>Active</v>
      </c>
      <c r="T310" s="34" t="n">
        <f aca="false">IF(ISNUMBER($AF310),INDEX(IDX_SrcGrade,$AF310),"—")</f>
        <v>2</v>
      </c>
      <c r="U310" s="34" t="s">
        <v>2716</v>
      </c>
      <c r="V310" s="183" t="n">
        <f aca="false">IF(AND($F310="原始數據",$U310&lt;&gt;"連結 SRC"),1,0)</f>
        <v>0</v>
      </c>
      <c r="W310" s="183" t="n">
        <f aca="false">IF(AND($F310="Analogy",OR($H310="—",$H310="")),1,0)</f>
        <v>0</v>
      </c>
      <c r="X310" s="183" t="n">
        <f aca="false">IF(AND(OR($F310="Analogy",$F310="Assumed"),$G310&lt;&gt;"低",$G310&lt;&gt;"高",NOT(ISNUMBER($K310)),NOT(ISNUMBER($L310)),OR($M310="—",$M310="")),1,0)</f>
        <v>0</v>
      </c>
      <c r="Y310" s="183" t="n">
        <f aca="false">IF(AND(OR($F310="Analogy",$F310="Assumed",$F310="Derived（待改公式）",$F310="Derived（公式）"),OR($N310="—",$N310="",$N310=0)),1,0)</f>
        <v>0</v>
      </c>
      <c r="Z310" s="183" t="n">
        <f aca="false">IF(AND($F310="Decision",OR($J310="—",$J310="")),1,0)</f>
        <v>0</v>
      </c>
      <c r="AA310" s="180" t="n">
        <f aca="false">IF(OR($J310="—",$J310=""),0,IF(COUNTIF(Decisions!$A$5:$A$300,$J310)=0,1,0))</f>
        <v>0</v>
      </c>
      <c r="AB310" s="183" t="n">
        <f aca="false">IF(AND($F310="原始數據",$S310&lt;&gt;"Active"),1,0)</f>
        <v>0</v>
      </c>
      <c r="AC310" s="183" t="n">
        <f aca="false">IF(AND(ISNUMBER($K310),ISNUMBER($L310),ISNUMBER($Q310)),IF(OR($Q310&lt;MIN($K310,$L310),$Q310&gt;MAX($K310,$L310)),1,0),0)</f>
        <v>0</v>
      </c>
      <c r="AD310" s="183" t="n">
        <f aca="false">IF(AND(ISNUMBER($T310),$P310="高"),IF($T310=3,1,0),0)</f>
        <v>0</v>
      </c>
      <c r="AE310" s="183" t="n">
        <f aca="false">IF($S310="不存在",1,0)</f>
        <v>0</v>
      </c>
      <c r="AF310" s="34" t="n">
        <f aca="false">IF(OR($H310="—",$H310=""),"—",MATCH($H310,IDX_SrcID,0))</f>
        <v>290</v>
      </c>
    </row>
    <row r="311" customFormat="false" ht="15" hidden="false" customHeight="true" outlineLevel="0" collapsed="false">
      <c r="A311" s="35" t="s">
        <v>3424</v>
      </c>
      <c r="B311" s="209" t="s">
        <v>2677</v>
      </c>
      <c r="C311" s="35" t="s">
        <v>3413</v>
      </c>
      <c r="D311" s="35" t="s">
        <v>3181</v>
      </c>
      <c r="E311" s="18" t="s">
        <v>414</v>
      </c>
      <c r="F311" s="209" t="s">
        <v>290</v>
      </c>
      <c r="G311" s="209" t="s">
        <v>2679</v>
      </c>
      <c r="H311" s="35" t="s">
        <v>3423</v>
      </c>
      <c r="I311" s="18" t="s">
        <v>2714</v>
      </c>
      <c r="J311" s="35" t="s">
        <v>571</v>
      </c>
      <c r="K311" s="209"/>
      <c r="L311" s="209"/>
      <c r="M311" s="35" t="s">
        <v>571</v>
      </c>
      <c r="N311" s="18" t="s">
        <v>2812</v>
      </c>
      <c r="O311" s="6" t="s">
        <v>571</v>
      </c>
      <c r="P311" s="209" t="s">
        <v>1100</v>
      </c>
      <c r="Q311" s="40" t="n">
        <f aca="false">Calib!C14</f>
        <v>72</v>
      </c>
      <c r="R311" s="182" t="n">
        <f aca="false">SRC_PERF_009_Spd</f>
        <v>72</v>
      </c>
      <c r="S311" s="34" t="str">
        <f aca="false">IF(ISNUMBER($AF311),INDEX(IDX_SrcStat,$AF311),"—")</f>
        <v>Active</v>
      </c>
      <c r="T311" s="34" t="n">
        <f aca="false">IF(ISNUMBER($AF311),INDEX(IDX_SrcGrade,$AF311),"—")</f>
        <v>2</v>
      </c>
      <c r="U311" s="34" t="s">
        <v>2716</v>
      </c>
      <c r="V311" s="183" t="n">
        <f aca="false">IF(AND($F311="原始數據",$U311&lt;&gt;"連結 SRC"),1,0)</f>
        <v>0</v>
      </c>
      <c r="W311" s="183" t="n">
        <f aca="false">IF(AND($F311="Analogy",OR($H311="—",$H311="")),1,0)</f>
        <v>0</v>
      </c>
      <c r="X311" s="183" t="n">
        <f aca="false">IF(AND(OR($F311="Analogy",$F311="Assumed"),$G311&lt;&gt;"低",$G311&lt;&gt;"高",NOT(ISNUMBER($K311)),NOT(ISNUMBER($L311)),OR($M311="—",$M311="")),1,0)</f>
        <v>0</v>
      </c>
      <c r="Y311" s="183" t="n">
        <f aca="false">IF(AND(OR($F311="Analogy",$F311="Assumed",$F311="Derived（待改公式）",$F311="Derived（公式）"),OR($N311="—",$N311="",$N311=0)),1,0)</f>
        <v>0</v>
      </c>
      <c r="Z311" s="183" t="n">
        <f aca="false">IF(AND($F311="Decision",OR($J311="—",$J311="")),1,0)</f>
        <v>0</v>
      </c>
      <c r="AA311" s="180" t="n">
        <f aca="false">IF(OR($J311="—",$J311=""),0,IF(COUNTIF(Decisions!$A$5:$A$300,$J311)=0,1,0))</f>
        <v>0</v>
      </c>
      <c r="AB311" s="183" t="n">
        <f aca="false">IF(AND($F311="原始數據",$S311&lt;&gt;"Active"),1,0)</f>
        <v>0</v>
      </c>
      <c r="AC311" s="183" t="n">
        <f aca="false">IF(AND(ISNUMBER($K311),ISNUMBER($L311),ISNUMBER($Q311)),IF(OR($Q311&lt;MIN($K311,$L311),$Q311&gt;MAX($K311,$L311)),1,0),0)</f>
        <v>0</v>
      </c>
      <c r="AD311" s="183" t="n">
        <f aca="false">IF(AND(ISNUMBER($T311),$P311="高"),IF($T311=3,1,0),0)</f>
        <v>0</v>
      </c>
      <c r="AE311" s="183" t="n">
        <f aca="false">IF($S311="不存在",1,0)</f>
        <v>0</v>
      </c>
      <c r="AF311" s="34" t="n">
        <f aca="false">IF(OR($H311="—",$H311=""),"—",MATCH($H311,IDX_SrcID,0))</f>
        <v>290</v>
      </c>
    </row>
    <row r="312" customFormat="false" ht="15" hidden="false" customHeight="true" outlineLevel="0" collapsed="false">
      <c r="A312" s="35" t="s">
        <v>3425</v>
      </c>
      <c r="B312" s="209" t="s">
        <v>2677</v>
      </c>
      <c r="C312" s="35" t="s">
        <v>3413</v>
      </c>
      <c r="D312" s="35" t="s">
        <v>3185</v>
      </c>
      <c r="E312" s="6" t="s">
        <v>415</v>
      </c>
      <c r="F312" s="209" t="s">
        <v>290</v>
      </c>
      <c r="G312" s="209" t="s">
        <v>2679</v>
      </c>
      <c r="H312" s="35" t="s">
        <v>3423</v>
      </c>
      <c r="I312" s="18" t="s">
        <v>2714</v>
      </c>
      <c r="J312" s="35" t="s">
        <v>571</v>
      </c>
      <c r="K312" s="209"/>
      <c r="L312" s="209"/>
      <c r="M312" s="35" t="s">
        <v>571</v>
      </c>
      <c r="N312" s="18" t="s">
        <v>2812</v>
      </c>
      <c r="O312" s="6" t="s">
        <v>571</v>
      </c>
      <c r="P312" s="209" t="s">
        <v>1100</v>
      </c>
      <c r="Q312" s="40" t="n">
        <f aca="false">Calib!C15</f>
        <v>8192</v>
      </c>
      <c r="R312" s="182" t="n">
        <f aca="false">SRC_PERF_009_ISL</f>
        <v>8192</v>
      </c>
      <c r="S312" s="34" t="str">
        <f aca="false">IF(ISNUMBER($AF312),INDEX(IDX_SrcStat,$AF312),"—")</f>
        <v>Active</v>
      </c>
      <c r="T312" s="34" t="n">
        <f aca="false">IF(ISNUMBER($AF312),INDEX(IDX_SrcGrade,$AF312),"—")</f>
        <v>2</v>
      </c>
      <c r="U312" s="34" t="s">
        <v>2716</v>
      </c>
      <c r="V312" s="183" t="n">
        <f aca="false">IF(AND($F312="原始數據",$U312&lt;&gt;"連結 SRC"),1,0)</f>
        <v>0</v>
      </c>
      <c r="W312" s="183" t="n">
        <f aca="false">IF(AND($F312="Analogy",OR($H312="—",$H312="")),1,0)</f>
        <v>0</v>
      </c>
      <c r="X312" s="183" t="n">
        <f aca="false">IF(AND(OR($F312="Analogy",$F312="Assumed"),$G312&lt;&gt;"低",$G312&lt;&gt;"高",NOT(ISNUMBER($K312)),NOT(ISNUMBER($L312)),OR($M312="—",$M312="")),1,0)</f>
        <v>0</v>
      </c>
      <c r="Y312" s="183" t="n">
        <f aca="false">IF(AND(OR($F312="Analogy",$F312="Assumed",$F312="Derived（待改公式）",$F312="Derived（公式）"),OR($N312="—",$N312="",$N312=0)),1,0)</f>
        <v>0</v>
      </c>
      <c r="Z312" s="183" t="n">
        <f aca="false">IF(AND($F312="Decision",OR($J312="—",$J312="")),1,0)</f>
        <v>0</v>
      </c>
      <c r="AA312" s="180" t="n">
        <f aca="false">IF(OR($J312="—",$J312=""),0,IF(COUNTIF(Decisions!$A$5:$A$300,$J312)=0,1,0))</f>
        <v>0</v>
      </c>
      <c r="AB312" s="183" t="n">
        <f aca="false">IF(AND($F312="原始數據",$S312&lt;&gt;"Active"),1,0)</f>
        <v>0</v>
      </c>
      <c r="AC312" s="183" t="n">
        <f aca="false">IF(AND(ISNUMBER($K312),ISNUMBER($L312),ISNUMBER($Q312)),IF(OR($Q312&lt;MIN($K312,$L312),$Q312&gt;MAX($K312,$L312)),1,0),0)</f>
        <v>0</v>
      </c>
      <c r="AD312" s="183" t="n">
        <f aca="false">IF(AND(ISNUMBER($T312),$P312="高"),IF($T312=3,1,0),0)</f>
        <v>0</v>
      </c>
      <c r="AE312" s="183" t="n">
        <f aca="false">IF($S312="不存在",1,0)</f>
        <v>0</v>
      </c>
      <c r="AF312" s="34" t="n">
        <f aca="false">IF(OR($H312="—",$H312=""),"—",MATCH($H312,IDX_SrcID,0))</f>
        <v>290</v>
      </c>
    </row>
    <row r="313" customFormat="false" ht="15" hidden="false" customHeight="true" outlineLevel="0" collapsed="false">
      <c r="A313" s="35" t="s">
        <v>3426</v>
      </c>
      <c r="B313" s="209" t="s">
        <v>2677</v>
      </c>
      <c r="C313" s="35" t="s">
        <v>3413</v>
      </c>
      <c r="D313" s="35" t="s">
        <v>3190</v>
      </c>
      <c r="E313" s="6" t="s">
        <v>416</v>
      </c>
      <c r="F313" s="209" t="s">
        <v>290</v>
      </c>
      <c r="G313" s="209" t="s">
        <v>2679</v>
      </c>
      <c r="H313" s="35" t="s">
        <v>3423</v>
      </c>
      <c r="I313" s="18" t="s">
        <v>2714</v>
      </c>
      <c r="J313" s="35" t="s">
        <v>571</v>
      </c>
      <c r="K313" s="209"/>
      <c r="L313" s="209"/>
      <c r="M313" s="35" t="s">
        <v>571</v>
      </c>
      <c r="N313" s="18" t="s">
        <v>2812</v>
      </c>
      <c r="O313" s="6" t="s">
        <v>571</v>
      </c>
      <c r="P313" s="209" t="s">
        <v>1100</v>
      </c>
      <c r="Q313" s="40" t="n">
        <f aca="false">Calib!C16</f>
        <v>1024</v>
      </c>
      <c r="R313" s="182" t="n">
        <f aca="false">SRC_PERF_009_OSL</f>
        <v>1024</v>
      </c>
      <c r="S313" s="34" t="str">
        <f aca="false">IF(ISNUMBER($AF313),INDEX(IDX_SrcStat,$AF313),"—")</f>
        <v>Active</v>
      </c>
      <c r="T313" s="34" t="n">
        <f aca="false">IF(ISNUMBER($AF313),INDEX(IDX_SrcGrade,$AF313),"—")</f>
        <v>2</v>
      </c>
      <c r="U313" s="34" t="s">
        <v>2716</v>
      </c>
      <c r="V313" s="183" t="n">
        <f aca="false">IF(AND($F313="原始數據",$U313&lt;&gt;"連結 SRC"),1,0)</f>
        <v>0</v>
      </c>
      <c r="W313" s="183" t="n">
        <f aca="false">IF(AND($F313="Analogy",OR($H313="—",$H313="")),1,0)</f>
        <v>0</v>
      </c>
      <c r="X313" s="183" t="n">
        <f aca="false">IF(AND(OR($F313="Analogy",$F313="Assumed"),$G313&lt;&gt;"低",$G313&lt;&gt;"高",NOT(ISNUMBER($K313)),NOT(ISNUMBER($L313)),OR($M313="—",$M313="")),1,0)</f>
        <v>0</v>
      </c>
      <c r="Y313" s="183" t="n">
        <f aca="false">IF(AND(OR($F313="Analogy",$F313="Assumed",$F313="Derived（待改公式）",$F313="Derived（公式）"),OR($N313="—",$N313="",$N313=0)),1,0)</f>
        <v>0</v>
      </c>
      <c r="Z313" s="183" t="n">
        <f aca="false">IF(AND($F313="Decision",OR($J313="—",$J313="")),1,0)</f>
        <v>0</v>
      </c>
      <c r="AA313" s="180" t="n">
        <f aca="false">IF(OR($J313="—",$J313=""),0,IF(COUNTIF(Decisions!$A$5:$A$300,$J313)=0,1,0))</f>
        <v>0</v>
      </c>
      <c r="AB313" s="183" t="n">
        <f aca="false">IF(AND($F313="原始數據",$S313&lt;&gt;"Active"),1,0)</f>
        <v>0</v>
      </c>
      <c r="AC313" s="183" t="n">
        <f aca="false">IF(AND(ISNUMBER($K313),ISNUMBER($L313),ISNUMBER($Q313)),IF(OR($Q313&lt;MIN($K313,$L313),$Q313&gt;MAX($K313,$L313)),1,0),0)</f>
        <v>0</v>
      </c>
      <c r="AD313" s="183" t="n">
        <f aca="false">IF(AND(ISNUMBER($T313),$P313="高"),IF($T313=3,1,0),0)</f>
        <v>0</v>
      </c>
      <c r="AE313" s="183" t="n">
        <f aca="false">IF($S313="不存在",1,0)</f>
        <v>0</v>
      </c>
      <c r="AF313" s="34" t="n">
        <f aca="false">IF(OR($H313="—",$H313=""),"—",MATCH($H313,IDX_SrcID,0))</f>
        <v>290</v>
      </c>
    </row>
    <row r="314" customFormat="false" ht="15" hidden="false" customHeight="true" outlineLevel="0" collapsed="false">
      <c r="A314" s="35" t="s">
        <v>3427</v>
      </c>
      <c r="B314" s="209" t="s">
        <v>2677</v>
      </c>
      <c r="C314" s="35" t="s">
        <v>3413</v>
      </c>
      <c r="D314" s="35" t="s">
        <v>3212</v>
      </c>
      <c r="E314" s="18" t="s">
        <v>3428</v>
      </c>
      <c r="F314" s="209" t="s">
        <v>290</v>
      </c>
      <c r="G314" s="209" t="s">
        <v>2679</v>
      </c>
      <c r="H314" s="35" t="s">
        <v>3423</v>
      </c>
      <c r="I314" s="18" t="s">
        <v>3429</v>
      </c>
      <c r="J314" s="35" t="s">
        <v>571</v>
      </c>
      <c r="K314" s="209"/>
      <c r="L314" s="209"/>
      <c r="M314" s="35" t="s">
        <v>571</v>
      </c>
      <c r="N314" s="18" t="s">
        <v>2812</v>
      </c>
      <c r="O314" s="6" t="s">
        <v>3430</v>
      </c>
      <c r="P314" s="209" t="s">
        <v>1100</v>
      </c>
      <c r="Q314" s="40" t="n">
        <f aca="false">Calib!C17</f>
        <v>9342.1</v>
      </c>
      <c r="R314" s="182" t="n">
        <f aca="false">SRC_PERF_009</f>
        <v>9342.1</v>
      </c>
      <c r="S314" s="34" t="str">
        <f aca="false">IF(ISNUMBER($AF314),INDEX(IDX_SrcStat,$AF314),"—")</f>
        <v>Active</v>
      </c>
      <c r="T314" s="34" t="n">
        <f aca="false">IF(ISNUMBER($AF314),INDEX(IDX_SrcGrade,$AF314),"—")</f>
        <v>2</v>
      </c>
      <c r="U314" s="34" t="s">
        <v>2716</v>
      </c>
      <c r="V314" s="183" t="n">
        <f aca="false">IF(AND($F314="原始數據",$U314&lt;&gt;"連結 SRC"),1,0)</f>
        <v>0</v>
      </c>
      <c r="W314" s="183" t="n">
        <f aca="false">IF(AND($F314="Analogy",OR($H314="—",$H314="")),1,0)</f>
        <v>0</v>
      </c>
      <c r="X314" s="183" t="n">
        <f aca="false">IF(AND(OR($F314="Analogy",$F314="Assumed"),$G314&lt;&gt;"低",$G314&lt;&gt;"高",NOT(ISNUMBER($K314)),NOT(ISNUMBER($L314)),OR($M314="—",$M314="")),1,0)</f>
        <v>0</v>
      </c>
      <c r="Y314" s="183" t="n">
        <f aca="false">IF(AND(OR($F314="Analogy",$F314="Assumed",$F314="Derived（待改公式）",$F314="Derived（公式）"),OR($N314="—",$N314="",$N314=0)),1,0)</f>
        <v>0</v>
      </c>
      <c r="Z314" s="183" t="n">
        <f aca="false">IF(AND($F314="Decision",OR($J314="—",$J314="")),1,0)</f>
        <v>0</v>
      </c>
      <c r="AA314" s="180" t="n">
        <f aca="false">IF(OR($J314="—",$J314=""),0,IF(COUNTIF(Decisions!$A$5:$A$300,$J314)=0,1,0))</f>
        <v>0</v>
      </c>
      <c r="AB314" s="183" t="n">
        <f aca="false">IF(AND($F314="原始數據",$S314&lt;&gt;"Active"),1,0)</f>
        <v>0</v>
      </c>
      <c r="AC314" s="183" t="n">
        <f aca="false">IF(AND(ISNUMBER($K314),ISNUMBER($L314),ISNUMBER($Q314)),IF(OR($Q314&lt;MIN($K314,$L314),$Q314&gt;MAX($K314,$L314)),1,0),0)</f>
        <v>0</v>
      </c>
      <c r="AD314" s="183" t="n">
        <f aca="false">IF(AND(ISNUMBER($T314),$P314="高"),IF($T314=3,1,0),0)</f>
        <v>0</v>
      </c>
      <c r="AE314" s="183" t="n">
        <f aca="false">IF($S314="不存在",1,0)</f>
        <v>0</v>
      </c>
      <c r="AF314" s="34" t="n">
        <f aca="false">IF(OR($H314="—",$H314=""),"—",MATCH($H314,IDX_SrcID,0))</f>
        <v>290</v>
      </c>
    </row>
    <row r="315" customFormat="false" ht="15" hidden="false" customHeight="true" outlineLevel="0" collapsed="false">
      <c r="A315" s="35" t="s">
        <v>3431</v>
      </c>
      <c r="B315" s="209" t="s">
        <v>2677</v>
      </c>
      <c r="C315" s="35" t="s">
        <v>3413</v>
      </c>
      <c r="D315" s="35" t="s">
        <v>2710</v>
      </c>
      <c r="E315" s="6" t="s">
        <v>413</v>
      </c>
      <c r="F315" s="209" t="s">
        <v>290</v>
      </c>
      <c r="G315" s="209" t="s">
        <v>2679</v>
      </c>
      <c r="H315" s="35" t="s">
        <v>3432</v>
      </c>
      <c r="I315" s="18" t="s">
        <v>2714</v>
      </c>
      <c r="J315" s="35" t="s">
        <v>571</v>
      </c>
      <c r="K315" s="209"/>
      <c r="L315" s="209"/>
      <c r="M315" s="35" t="s">
        <v>571</v>
      </c>
      <c r="N315" s="18" t="s">
        <v>2812</v>
      </c>
      <c r="O315" s="6" t="s">
        <v>571</v>
      </c>
      <c r="P315" s="209" t="s">
        <v>2682</v>
      </c>
      <c r="Q315" s="180" t="n">
        <f aca="false">Calib!D13</f>
        <v>1</v>
      </c>
      <c r="R315" s="182" t="n">
        <f aca="false">SRC_PERF_010_MTP</f>
        <v>1</v>
      </c>
      <c r="S315" s="34" t="str">
        <f aca="false">IF(ISNUMBER($AF315),INDEX(IDX_SrcStat,$AF315),"—")</f>
        <v>Active</v>
      </c>
      <c r="T315" s="34" t="n">
        <f aca="false">IF(ISNUMBER($AF315),INDEX(IDX_SrcGrade,$AF315),"—")</f>
        <v>2</v>
      </c>
      <c r="U315" s="34" t="s">
        <v>2716</v>
      </c>
      <c r="V315" s="183" t="n">
        <f aca="false">IF(AND($F315="原始數據",$U315&lt;&gt;"連結 SRC"),1,0)</f>
        <v>0</v>
      </c>
      <c r="W315" s="183" t="n">
        <f aca="false">IF(AND($F315="Analogy",OR($H315="—",$H315="")),1,0)</f>
        <v>0</v>
      </c>
      <c r="X315" s="183" t="n">
        <f aca="false">IF(AND(OR($F315="Analogy",$F315="Assumed"),$G315&lt;&gt;"低",$G315&lt;&gt;"高",NOT(ISNUMBER($K315)),NOT(ISNUMBER($L315)),OR($M315="—",$M315="")),1,0)</f>
        <v>0</v>
      </c>
      <c r="Y315" s="183" t="n">
        <f aca="false">IF(AND(OR($F315="Analogy",$F315="Assumed",$F315="Derived（待改公式）",$F315="Derived（公式）"),OR($N315="—",$N315="",$N315=0)),1,0)</f>
        <v>0</v>
      </c>
      <c r="Z315" s="183" t="n">
        <f aca="false">IF(AND($F315="Decision",OR($J315="—",$J315="")),1,0)</f>
        <v>0</v>
      </c>
      <c r="AA315" s="180" t="n">
        <f aca="false">IF(OR($J315="—",$J315=""),0,IF(COUNTIF(Decisions!$A$5:$A$300,$J315)=0,1,0))</f>
        <v>0</v>
      </c>
      <c r="AB315" s="183" t="n">
        <f aca="false">IF(AND($F315="原始數據",$S315&lt;&gt;"Active"),1,0)</f>
        <v>0</v>
      </c>
      <c r="AC315" s="183" t="n">
        <f aca="false">IF(AND(ISNUMBER($K315),ISNUMBER($L315),ISNUMBER($Q315)),IF(OR($Q315&lt;MIN($K315,$L315),$Q315&gt;MAX($K315,$L315)),1,0),0)</f>
        <v>0</v>
      </c>
      <c r="AD315" s="183" t="n">
        <f aca="false">IF(AND(ISNUMBER($T315),$P315="高"),IF($T315=3,1,0),0)</f>
        <v>0</v>
      </c>
      <c r="AE315" s="183" t="n">
        <f aca="false">IF($S315="不存在",1,0)</f>
        <v>0</v>
      </c>
      <c r="AF315" s="34" t="n">
        <f aca="false">IF(OR($H315="—",$H315=""),"—",MATCH($H315,IDX_SrcID,0))</f>
        <v>291</v>
      </c>
    </row>
    <row r="316" customFormat="false" ht="15" hidden="false" customHeight="true" outlineLevel="0" collapsed="false">
      <c r="A316" s="35" t="s">
        <v>3433</v>
      </c>
      <c r="B316" s="209" t="s">
        <v>2677</v>
      </c>
      <c r="C316" s="35" t="s">
        <v>3413</v>
      </c>
      <c r="D316" s="35" t="s">
        <v>2720</v>
      </c>
      <c r="E316" s="18" t="s">
        <v>414</v>
      </c>
      <c r="F316" s="209" t="s">
        <v>290</v>
      </c>
      <c r="G316" s="209" t="s">
        <v>2679</v>
      </c>
      <c r="H316" s="35" t="s">
        <v>3432</v>
      </c>
      <c r="I316" s="18" t="s">
        <v>2714</v>
      </c>
      <c r="J316" s="35" t="s">
        <v>571</v>
      </c>
      <c r="K316" s="209"/>
      <c r="L316" s="209"/>
      <c r="M316" s="35" t="s">
        <v>571</v>
      </c>
      <c r="N316" s="18" t="s">
        <v>2812</v>
      </c>
      <c r="O316" s="6" t="s">
        <v>571</v>
      </c>
      <c r="P316" s="209" t="s">
        <v>1100</v>
      </c>
      <c r="Q316" s="40" t="n">
        <f aca="false">Calib!D14</f>
        <v>130</v>
      </c>
      <c r="R316" s="182" t="n">
        <f aca="false">SRC_PERF_010_Spd</f>
        <v>130</v>
      </c>
      <c r="S316" s="34" t="str">
        <f aca="false">IF(ISNUMBER($AF316),INDEX(IDX_SrcStat,$AF316),"—")</f>
        <v>Active</v>
      </c>
      <c r="T316" s="34" t="n">
        <f aca="false">IF(ISNUMBER($AF316),INDEX(IDX_SrcGrade,$AF316),"—")</f>
        <v>2</v>
      </c>
      <c r="U316" s="34" t="s">
        <v>2716</v>
      </c>
      <c r="V316" s="183" t="n">
        <f aca="false">IF(AND($F316="原始數據",$U316&lt;&gt;"連結 SRC"),1,0)</f>
        <v>0</v>
      </c>
      <c r="W316" s="183" t="n">
        <f aca="false">IF(AND($F316="Analogy",OR($H316="—",$H316="")),1,0)</f>
        <v>0</v>
      </c>
      <c r="X316" s="183" t="n">
        <f aca="false">IF(AND(OR($F316="Analogy",$F316="Assumed"),$G316&lt;&gt;"低",$G316&lt;&gt;"高",NOT(ISNUMBER($K316)),NOT(ISNUMBER($L316)),OR($M316="—",$M316="")),1,0)</f>
        <v>0</v>
      </c>
      <c r="Y316" s="183" t="n">
        <f aca="false">IF(AND(OR($F316="Analogy",$F316="Assumed",$F316="Derived（待改公式）",$F316="Derived（公式）"),OR($N316="—",$N316="",$N316=0)),1,0)</f>
        <v>0</v>
      </c>
      <c r="Z316" s="183" t="n">
        <f aca="false">IF(AND($F316="Decision",OR($J316="—",$J316="")),1,0)</f>
        <v>0</v>
      </c>
      <c r="AA316" s="180" t="n">
        <f aca="false">IF(OR($J316="—",$J316=""),0,IF(COUNTIF(Decisions!$A$5:$A$300,$J316)=0,1,0))</f>
        <v>0</v>
      </c>
      <c r="AB316" s="183" t="n">
        <f aca="false">IF(AND($F316="原始數據",$S316&lt;&gt;"Active"),1,0)</f>
        <v>0</v>
      </c>
      <c r="AC316" s="183" t="n">
        <f aca="false">IF(AND(ISNUMBER($K316),ISNUMBER($L316),ISNUMBER($Q316)),IF(OR($Q316&lt;MIN($K316,$L316),$Q316&gt;MAX($K316,$L316)),1,0),0)</f>
        <v>0</v>
      </c>
      <c r="AD316" s="183" t="n">
        <f aca="false">IF(AND(ISNUMBER($T316),$P316="高"),IF($T316=3,1,0),0)</f>
        <v>0</v>
      </c>
      <c r="AE316" s="183" t="n">
        <f aca="false">IF($S316="不存在",1,0)</f>
        <v>0</v>
      </c>
      <c r="AF316" s="34" t="n">
        <f aca="false">IF(OR($H316="—",$H316=""),"—",MATCH($H316,IDX_SrcID,0))</f>
        <v>291</v>
      </c>
    </row>
    <row r="317" customFormat="false" ht="15" hidden="false" customHeight="true" outlineLevel="0" collapsed="false">
      <c r="A317" s="35" t="s">
        <v>3434</v>
      </c>
      <c r="B317" s="209" t="s">
        <v>2677</v>
      </c>
      <c r="C317" s="35" t="s">
        <v>3413</v>
      </c>
      <c r="D317" s="35" t="s">
        <v>3188</v>
      </c>
      <c r="E317" s="6" t="s">
        <v>415</v>
      </c>
      <c r="F317" s="209" t="s">
        <v>290</v>
      </c>
      <c r="G317" s="209" t="s">
        <v>2679</v>
      </c>
      <c r="H317" s="35" t="s">
        <v>3432</v>
      </c>
      <c r="I317" s="18" t="s">
        <v>2714</v>
      </c>
      <c r="J317" s="35" t="s">
        <v>571</v>
      </c>
      <c r="K317" s="209"/>
      <c r="L317" s="209"/>
      <c r="M317" s="35" t="s">
        <v>571</v>
      </c>
      <c r="N317" s="18" t="s">
        <v>2812</v>
      </c>
      <c r="O317" s="6" t="s">
        <v>571</v>
      </c>
      <c r="P317" s="209" t="s">
        <v>1100</v>
      </c>
      <c r="Q317" s="40" t="n">
        <f aca="false">Calib!D15</f>
        <v>8192</v>
      </c>
      <c r="R317" s="182" t="n">
        <f aca="false">SRC_PERF_010_ISL</f>
        <v>8192</v>
      </c>
      <c r="S317" s="34" t="str">
        <f aca="false">IF(ISNUMBER($AF317),INDEX(IDX_SrcStat,$AF317),"—")</f>
        <v>Active</v>
      </c>
      <c r="T317" s="34" t="n">
        <f aca="false">IF(ISNUMBER($AF317),INDEX(IDX_SrcGrade,$AF317),"—")</f>
        <v>2</v>
      </c>
      <c r="U317" s="34" t="s">
        <v>2716</v>
      </c>
      <c r="V317" s="183" t="n">
        <f aca="false">IF(AND($F317="原始數據",$U317&lt;&gt;"連結 SRC"),1,0)</f>
        <v>0</v>
      </c>
      <c r="W317" s="183" t="n">
        <f aca="false">IF(AND($F317="Analogy",OR($H317="—",$H317="")),1,0)</f>
        <v>0</v>
      </c>
      <c r="X317" s="183" t="n">
        <f aca="false">IF(AND(OR($F317="Analogy",$F317="Assumed"),$G317&lt;&gt;"低",$G317&lt;&gt;"高",NOT(ISNUMBER($K317)),NOT(ISNUMBER($L317)),OR($M317="—",$M317="")),1,0)</f>
        <v>0</v>
      </c>
      <c r="Y317" s="183" t="n">
        <f aca="false">IF(AND(OR($F317="Analogy",$F317="Assumed",$F317="Derived（待改公式）",$F317="Derived（公式）"),OR($N317="—",$N317="",$N317=0)),1,0)</f>
        <v>0</v>
      </c>
      <c r="Z317" s="183" t="n">
        <f aca="false">IF(AND($F317="Decision",OR($J317="—",$J317="")),1,0)</f>
        <v>0</v>
      </c>
      <c r="AA317" s="180" t="n">
        <f aca="false">IF(OR($J317="—",$J317=""),0,IF(COUNTIF(Decisions!$A$5:$A$300,$J317)=0,1,0))</f>
        <v>0</v>
      </c>
      <c r="AB317" s="183" t="n">
        <f aca="false">IF(AND($F317="原始數據",$S317&lt;&gt;"Active"),1,0)</f>
        <v>0</v>
      </c>
      <c r="AC317" s="183" t="n">
        <f aca="false">IF(AND(ISNUMBER($K317),ISNUMBER($L317),ISNUMBER($Q317)),IF(OR($Q317&lt;MIN($K317,$L317),$Q317&gt;MAX($K317,$L317)),1,0),0)</f>
        <v>0</v>
      </c>
      <c r="AD317" s="183" t="n">
        <f aca="false">IF(AND(ISNUMBER($T317),$P317="高"),IF($T317=3,1,0),0)</f>
        <v>0</v>
      </c>
      <c r="AE317" s="183" t="n">
        <f aca="false">IF($S317="不存在",1,0)</f>
        <v>0</v>
      </c>
      <c r="AF317" s="34" t="n">
        <f aca="false">IF(OR($H317="—",$H317=""),"—",MATCH($H317,IDX_SrcID,0))</f>
        <v>291</v>
      </c>
    </row>
    <row r="318" customFormat="false" ht="15" hidden="false" customHeight="true" outlineLevel="0" collapsed="false">
      <c r="A318" s="35" t="s">
        <v>3435</v>
      </c>
      <c r="B318" s="209" t="s">
        <v>2677</v>
      </c>
      <c r="C318" s="35" t="s">
        <v>3413</v>
      </c>
      <c r="D318" s="35" t="s">
        <v>2726</v>
      </c>
      <c r="E318" s="6" t="s">
        <v>416</v>
      </c>
      <c r="F318" s="209" t="s">
        <v>290</v>
      </c>
      <c r="G318" s="209" t="s">
        <v>2679</v>
      </c>
      <c r="H318" s="35" t="s">
        <v>3432</v>
      </c>
      <c r="I318" s="18" t="s">
        <v>2714</v>
      </c>
      <c r="J318" s="35" t="s">
        <v>571</v>
      </c>
      <c r="K318" s="209"/>
      <c r="L318" s="209"/>
      <c r="M318" s="35" t="s">
        <v>571</v>
      </c>
      <c r="N318" s="18" t="s">
        <v>2812</v>
      </c>
      <c r="O318" s="6" t="s">
        <v>571</v>
      </c>
      <c r="P318" s="209" t="s">
        <v>1100</v>
      </c>
      <c r="Q318" s="40" t="n">
        <f aca="false">Calib!D16</f>
        <v>1024</v>
      </c>
      <c r="R318" s="182" t="n">
        <f aca="false">SRC_PERF_010_OSL</f>
        <v>1024</v>
      </c>
      <c r="S318" s="34" t="str">
        <f aca="false">IF(ISNUMBER($AF318),INDEX(IDX_SrcStat,$AF318),"—")</f>
        <v>Active</v>
      </c>
      <c r="T318" s="34" t="n">
        <f aca="false">IF(ISNUMBER($AF318),INDEX(IDX_SrcGrade,$AF318),"—")</f>
        <v>2</v>
      </c>
      <c r="U318" s="34" t="s">
        <v>2716</v>
      </c>
      <c r="V318" s="183" t="n">
        <f aca="false">IF(AND($F318="原始數據",$U318&lt;&gt;"連結 SRC"),1,0)</f>
        <v>0</v>
      </c>
      <c r="W318" s="183" t="n">
        <f aca="false">IF(AND($F318="Analogy",OR($H318="—",$H318="")),1,0)</f>
        <v>0</v>
      </c>
      <c r="X318" s="183" t="n">
        <f aca="false">IF(AND(OR($F318="Analogy",$F318="Assumed"),$G318&lt;&gt;"低",$G318&lt;&gt;"高",NOT(ISNUMBER($K318)),NOT(ISNUMBER($L318)),OR($M318="—",$M318="")),1,0)</f>
        <v>0</v>
      </c>
      <c r="Y318" s="183" t="n">
        <f aca="false">IF(AND(OR($F318="Analogy",$F318="Assumed",$F318="Derived（待改公式）",$F318="Derived（公式）"),OR($N318="—",$N318="",$N318=0)),1,0)</f>
        <v>0</v>
      </c>
      <c r="Z318" s="183" t="n">
        <f aca="false">IF(AND($F318="Decision",OR($J318="—",$J318="")),1,0)</f>
        <v>0</v>
      </c>
      <c r="AA318" s="180" t="n">
        <f aca="false">IF(OR($J318="—",$J318=""),0,IF(COUNTIF(Decisions!$A$5:$A$300,$J318)=0,1,0))</f>
        <v>0</v>
      </c>
      <c r="AB318" s="183" t="n">
        <f aca="false">IF(AND($F318="原始數據",$S318&lt;&gt;"Active"),1,0)</f>
        <v>0</v>
      </c>
      <c r="AC318" s="183" t="n">
        <f aca="false">IF(AND(ISNUMBER($K318),ISNUMBER($L318),ISNUMBER($Q318)),IF(OR($Q318&lt;MIN($K318,$L318),$Q318&gt;MAX($K318,$L318)),1,0),0)</f>
        <v>0</v>
      </c>
      <c r="AD318" s="183" t="n">
        <f aca="false">IF(AND(ISNUMBER($T318),$P318="高"),IF($T318=3,1,0),0)</f>
        <v>0</v>
      </c>
      <c r="AE318" s="183" t="n">
        <f aca="false">IF($S318="不存在",1,0)</f>
        <v>0</v>
      </c>
      <c r="AF318" s="34" t="n">
        <f aca="false">IF(OR($H318="—",$H318=""),"—",MATCH($H318,IDX_SrcID,0))</f>
        <v>291</v>
      </c>
    </row>
    <row r="319" customFormat="false" ht="15" hidden="false" customHeight="true" outlineLevel="0" collapsed="false">
      <c r="A319" s="35" t="s">
        <v>3436</v>
      </c>
      <c r="B319" s="209" t="s">
        <v>2677</v>
      </c>
      <c r="C319" s="35" t="s">
        <v>3413</v>
      </c>
      <c r="D319" s="35" t="s">
        <v>2732</v>
      </c>
      <c r="E319" s="18" t="s">
        <v>3428</v>
      </c>
      <c r="F319" s="209" t="s">
        <v>290</v>
      </c>
      <c r="G319" s="209" t="s">
        <v>2679</v>
      </c>
      <c r="H319" s="35" t="s">
        <v>3432</v>
      </c>
      <c r="I319" s="18" t="s">
        <v>3437</v>
      </c>
      <c r="J319" s="35" t="s">
        <v>571</v>
      </c>
      <c r="K319" s="209"/>
      <c r="L319" s="209"/>
      <c r="M319" s="35" t="s">
        <v>571</v>
      </c>
      <c r="N319" s="18" t="s">
        <v>2812</v>
      </c>
      <c r="O319" s="6" t="s">
        <v>3438</v>
      </c>
      <c r="P319" s="209" t="s">
        <v>1100</v>
      </c>
      <c r="Q319" s="40" t="n">
        <f aca="false">Calib!D17</f>
        <v>3405.2</v>
      </c>
      <c r="R319" s="182" t="n">
        <f aca="false">SRC_PERF_010</f>
        <v>3405.2</v>
      </c>
      <c r="S319" s="34" t="str">
        <f aca="false">IF(ISNUMBER($AF319),INDEX(IDX_SrcStat,$AF319),"—")</f>
        <v>Active</v>
      </c>
      <c r="T319" s="34" t="n">
        <f aca="false">IF(ISNUMBER($AF319),INDEX(IDX_SrcGrade,$AF319),"—")</f>
        <v>2</v>
      </c>
      <c r="U319" s="34" t="s">
        <v>2716</v>
      </c>
      <c r="V319" s="183" t="n">
        <f aca="false">IF(AND($F319="原始數據",$U319&lt;&gt;"連結 SRC"),1,0)</f>
        <v>0</v>
      </c>
      <c r="W319" s="183" t="n">
        <f aca="false">IF(AND($F319="Analogy",OR($H319="—",$H319="")),1,0)</f>
        <v>0</v>
      </c>
      <c r="X319" s="183" t="n">
        <f aca="false">IF(AND(OR($F319="Analogy",$F319="Assumed"),$G319&lt;&gt;"低",$G319&lt;&gt;"高",NOT(ISNUMBER($K319)),NOT(ISNUMBER($L319)),OR($M319="—",$M319="")),1,0)</f>
        <v>0</v>
      </c>
      <c r="Y319" s="183" t="n">
        <f aca="false">IF(AND(OR($F319="Analogy",$F319="Assumed",$F319="Derived（待改公式）",$F319="Derived（公式）"),OR($N319="—",$N319="",$N319=0)),1,0)</f>
        <v>0</v>
      </c>
      <c r="Z319" s="183" t="n">
        <f aca="false">IF(AND($F319="Decision",OR($J319="—",$J319="")),1,0)</f>
        <v>0</v>
      </c>
      <c r="AA319" s="180" t="n">
        <f aca="false">IF(OR($J319="—",$J319=""),0,IF(COUNTIF(Decisions!$A$5:$A$300,$J319)=0,1,0))</f>
        <v>0</v>
      </c>
      <c r="AB319" s="183" t="n">
        <f aca="false">IF(AND($F319="原始數據",$S319&lt;&gt;"Active"),1,0)</f>
        <v>0</v>
      </c>
      <c r="AC319" s="183" t="n">
        <f aca="false">IF(AND(ISNUMBER($K319),ISNUMBER($L319),ISNUMBER($Q319)),IF(OR($Q319&lt;MIN($K319,$L319),$Q319&gt;MAX($K319,$L319)),1,0),0)</f>
        <v>0</v>
      </c>
      <c r="AD319" s="183" t="n">
        <f aca="false">IF(AND(ISNUMBER($T319),$P319="高"),IF($T319=3,1,0),0)</f>
        <v>0</v>
      </c>
      <c r="AE319" s="183" t="n">
        <f aca="false">IF($S319="不存在",1,0)</f>
        <v>0</v>
      </c>
      <c r="AF319" s="34" t="n">
        <f aca="false">IF(OR($H319="—",$H319=""),"—",MATCH($H319,IDX_SrcID,0))</f>
        <v>291</v>
      </c>
    </row>
    <row r="320" customFormat="false" ht="15" hidden="false" customHeight="true" outlineLevel="0" collapsed="false">
      <c r="A320" s="35" t="s">
        <v>3439</v>
      </c>
      <c r="B320" s="209" t="s">
        <v>2677</v>
      </c>
      <c r="C320" s="35" t="s">
        <v>3413</v>
      </c>
      <c r="D320" s="35" t="s">
        <v>2599</v>
      </c>
      <c r="E320" s="6" t="s">
        <v>413</v>
      </c>
      <c r="F320" s="209" t="s">
        <v>290</v>
      </c>
      <c r="G320" s="209" t="s">
        <v>2679</v>
      </c>
      <c r="H320" s="35" t="s">
        <v>3440</v>
      </c>
      <c r="I320" s="18" t="s">
        <v>2714</v>
      </c>
      <c r="J320" s="35" t="s">
        <v>571</v>
      </c>
      <c r="K320" s="209"/>
      <c r="L320" s="209"/>
      <c r="M320" s="35" t="s">
        <v>571</v>
      </c>
      <c r="N320" s="18" t="s">
        <v>2812</v>
      </c>
      <c r="O320" s="6" t="s">
        <v>571</v>
      </c>
      <c r="P320" s="209" t="s">
        <v>2682</v>
      </c>
      <c r="Q320" s="180" t="n">
        <f aca="false">Calib!E13</f>
        <v>1</v>
      </c>
      <c r="R320" s="182" t="n">
        <f aca="false">SRC_PERF_004_MTP</f>
        <v>1</v>
      </c>
      <c r="S320" s="34" t="str">
        <f aca="false">IF(ISNUMBER($AF320),INDEX(IDX_SrcStat,$AF320),"—")</f>
        <v>Active</v>
      </c>
      <c r="T320" s="34" t="n">
        <f aca="false">IF(ISNUMBER($AF320),INDEX(IDX_SrcGrade,$AF320),"—")</f>
        <v>1</v>
      </c>
      <c r="U320" s="34" t="s">
        <v>2716</v>
      </c>
      <c r="V320" s="183" t="n">
        <f aca="false">IF(AND($F320="原始數據",$U320&lt;&gt;"連結 SRC"),1,0)</f>
        <v>0</v>
      </c>
      <c r="W320" s="183" t="n">
        <f aca="false">IF(AND($F320="Analogy",OR($H320="—",$H320="")),1,0)</f>
        <v>0</v>
      </c>
      <c r="X320" s="183" t="n">
        <f aca="false">IF(AND(OR($F320="Analogy",$F320="Assumed"),$G320&lt;&gt;"低",$G320&lt;&gt;"高",NOT(ISNUMBER($K320)),NOT(ISNUMBER($L320)),OR($M320="—",$M320="")),1,0)</f>
        <v>0</v>
      </c>
      <c r="Y320" s="183" t="n">
        <f aca="false">IF(AND(OR($F320="Analogy",$F320="Assumed",$F320="Derived（待改公式）",$F320="Derived（公式）"),OR($N320="—",$N320="",$N320=0)),1,0)</f>
        <v>0</v>
      </c>
      <c r="Z320" s="183" t="n">
        <f aca="false">IF(AND($F320="Decision",OR($J320="—",$J320="")),1,0)</f>
        <v>0</v>
      </c>
      <c r="AA320" s="180" t="n">
        <f aca="false">IF(OR($J320="—",$J320=""),0,IF(COUNTIF(Decisions!$A$5:$A$300,$J320)=0,1,0))</f>
        <v>0</v>
      </c>
      <c r="AB320" s="183" t="n">
        <f aca="false">IF(AND($F320="原始數據",$S320&lt;&gt;"Active"),1,0)</f>
        <v>0</v>
      </c>
      <c r="AC320" s="183" t="n">
        <f aca="false">IF(AND(ISNUMBER($K320),ISNUMBER($L320),ISNUMBER($Q320)),IF(OR($Q320&lt;MIN($K320,$L320),$Q320&gt;MAX($K320,$L320)),1,0),0)</f>
        <v>0</v>
      </c>
      <c r="AD320" s="183" t="n">
        <f aca="false">IF(AND(ISNUMBER($T320),$P320="高"),IF($T320=3,1,0),0)</f>
        <v>0</v>
      </c>
      <c r="AE320" s="183" t="n">
        <f aca="false">IF($S320="不存在",1,0)</f>
        <v>0</v>
      </c>
      <c r="AF320" s="34" t="n">
        <f aca="false">IF(OR($H320="—",$H320=""),"—",MATCH($H320,IDX_SrcID,0))</f>
        <v>285</v>
      </c>
    </row>
    <row r="321" customFormat="false" ht="15" hidden="false" customHeight="true" outlineLevel="0" collapsed="false">
      <c r="A321" s="35" t="s">
        <v>3441</v>
      </c>
      <c r="B321" s="209" t="s">
        <v>2677</v>
      </c>
      <c r="C321" s="35" t="s">
        <v>3413</v>
      </c>
      <c r="D321" s="35" t="s">
        <v>2718</v>
      </c>
      <c r="E321" s="18" t="s">
        <v>414</v>
      </c>
      <c r="F321" s="209" t="s">
        <v>290</v>
      </c>
      <c r="G321" s="209" t="s">
        <v>2679</v>
      </c>
      <c r="H321" s="35" t="s">
        <v>3440</v>
      </c>
      <c r="I321" s="18" t="s">
        <v>2714</v>
      </c>
      <c r="J321" s="35" t="s">
        <v>571</v>
      </c>
      <c r="K321" s="209"/>
      <c r="L321" s="209"/>
      <c r="M321" s="35" t="s">
        <v>571</v>
      </c>
      <c r="N321" s="18" t="s">
        <v>2812</v>
      </c>
      <c r="O321" s="6" t="s">
        <v>571</v>
      </c>
      <c r="P321" s="209" t="s">
        <v>1100</v>
      </c>
      <c r="Q321" s="40" t="n">
        <f aca="false">Calib!E14</f>
        <v>50</v>
      </c>
      <c r="R321" s="182" t="n">
        <f aca="false">SRC_PERF_004_Spd</f>
        <v>50</v>
      </c>
      <c r="S321" s="34" t="str">
        <f aca="false">IF(ISNUMBER($AF321),INDEX(IDX_SrcStat,$AF321),"—")</f>
        <v>Active</v>
      </c>
      <c r="T321" s="34" t="n">
        <f aca="false">IF(ISNUMBER($AF321),INDEX(IDX_SrcGrade,$AF321),"—")</f>
        <v>1</v>
      </c>
      <c r="U321" s="34" t="s">
        <v>2716</v>
      </c>
      <c r="V321" s="183" t="n">
        <f aca="false">IF(AND($F321="原始數據",$U321&lt;&gt;"連結 SRC"),1,0)</f>
        <v>0</v>
      </c>
      <c r="W321" s="183" t="n">
        <f aca="false">IF(AND($F321="Analogy",OR($H321="—",$H321="")),1,0)</f>
        <v>0</v>
      </c>
      <c r="X321" s="183" t="n">
        <f aca="false">IF(AND(OR($F321="Analogy",$F321="Assumed"),$G321&lt;&gt;"低",$G321&lt;&gt;"高",NOT(ISNUMBER($K321)),NOT(ISNUMBER($L321)),OR($M321="—",$M321="")),1,0)</f>
        <v>0</v>
      </c>
      <c r="Y321" s="183" t="n">
        <f aca="false">IF(AND(OR($F321="Analogy",$F321="Assumed",$F321="Derived（待改公式）",$F321="Derived（公式）"),OR($N321="—",$N321="",$N321=0)),1,0)</f>
        <v>0</v>
      </c>
      <c r="Z321" s="183" t="n">
        <f aca="false">IF(AND($F321="Decision",OR($J321="—",$J321="")),1,0)</f>
        <v>0</v>
      </c>
      <c r="AA321" s="180" t="n">
        <f aca="false">IF(OR($J321="—",$J321=""),0,IF(COUNTIF(Decisions!$A$5:$A$300,$J321)=0,1,0))</f>
        <v>0</v>
      </c>
      <c r="AB321" s="183" t="n">
        <f aca="false">IF(AND($F321="原始數據",$S321&lt;&gt;"Active"),1,0)</f>
        <v>0</v>
      </c>
      <c r="AC321" s="183" t="n">
        <f aca="false">IF(AND(ISNUMBER($K321),ISNUMBER($L321),ISNUMBER($Q321)),IF(OR($Q321&lt;MIN($K321,$L321),$Q321&gt;MAX($K321,$L321)),1,0),0)</f>
        <v>0</v>
      </c>
      <c r="AD321" s="183" t="n">
        <f aca="false">IF(AND(ISNUMBER($T321),$P321="高"),IF($T321=3,1,0),0)</f>
        <v>0</v>
      </c>
      <c r="AE321" s="183" t="n">
        <f aca="false">IF($S321="不存在",1,0)</f>
        <v>0</v>
      </c>
      <c r="AF321" s="34" t="n">
        <f aca="false">IF(OR($H321="—",$H321=""),"—",MATCH($H321,IDX_SrcID,0))</f>
        <v>285</v>
      </c>
    </row>
    <row r="322" customFormat="false" ht="15" hidden="false" customHeight="true" outlineLevel="0" collapsed="false">
      <c r="A322" s="35" t="s">
        <v>3442</v>
      </c>
      <c r="B322" s="209" t="s">
        <v>2677</v>
      </c>
      <c r="C322" s="35" t="s">
        <v>3413</v>
      </c>
      <c r="D322" s="35" t="s">
        <v>3235</v>
      </c>
      <c r="E322" s="6" t="s">
        <v>415</v>
      </c>
      <c r="F322" s="209" t="s">
        <v>290</v>
      </c>
      <c r="G322" s="209" t="s">
        <v>2679</v>
      </c>
      <c r="H322" s="35" t="s">
        <v>3440</v>
      </c>
      <c r="I322" s="18" t="s">
        <v>2714</v>
      </c>
      <c r="J322" s="35" t="s">
        <v>571</v>
      </c>
      <c r="K322" s="209"/>
      <c r="L322" s="209"/>
      <c r="M322" s="35" t="s">
        <v>571</v>
      </c>
      <c r="N322" s="18" t="s">
        <v>2812</v>
      </c>
      <c r="O322" s="6" t="s">
        <v>571</v>
      </c>
      <c r="P322" s="209" t="s">
        <v>1100</v>
      </c>
      <c r="Q322" s="40" t="n">
        <f aca="false">Calib!E15</f>
        <v>8192</v>
      </c>
      <c r="R322" s="182" t="n">
        <f aca="false">SRC_PERF_004_ISL</f>
        <v>8192</v>
      </c>
      <c r="S322" s="34" t="str">
        <f aca="false">IF(ISNUMBER($AF322),INDEX(IDX_SrcStat,$AF322),"—")</f>
        <v>Active</v>
      </c>
      <c r="T322" s="34" t="n">
        <f aca="false">IF(ISNUMBER($AF322),INDEX(IDX_SrcGrade,$AF322),"—")</f>
        <v>1</v>
      </c>
      <c r="U322" s="34" t="s">
        <v>2716</v>
      </c>
      <c r="V322" s="183" t="n">
        <f aca="false">IF(AND($F322="原始數據",$U322&lt;&gt;"連結 SRC"),1,0)</f>
        <v>0</v>
      </c>
      <c r="W322" s="183" t="n">
        <f aca="false">IF(AND($F322="Analogy",OR($H322="—",$H322="")),1,0)</f>
        <v>0</v>
      </c>
      <c r="X322" s="183" t="n">
        <f aca="false">IF(AND(OR($F322="Analogy",$F322="Assumed"),$G322&lt;&gt;"低",$G322&lt;&gt;"高",NOT(ISNUMBER($K322)),NOT(ISNUMBER($L322)),OR($M322="—",$M322="")),1,0)</f>
        <v>0</v>
      </c>
      <c r="Y322" s="183" t="n">
        <f aca="false">IF(AND(OR($F322="Analogy",$F322="Assumed",$F322="Derived（待改公式）",$F322="Derived（公式）"),OR($N322="—",$N322="",$N322=0)),1,0)</f>
        <v>0</v>
      </c>
      <c r="Z322" s="183" t="n">
        <f aca="false">IF(AND($F322="Decision",OR($J322="—",$J322="")),1,0)</f>
        <v>0</v>
      </c>
      <c r="AA322" s="180" t="n">
        <f aca="false">IF(OR($J322="—",$J322=""),0,IF(COUNTIF(Decisions!$A$5:$A$300,$J322)=0,1,0))</f>
        <v>0</v>
      </c>
      <c r="AB322" s="183" t="n">
        <f aca="false">IF(AND($F322="原始數據",$S322&lt;&gt;"Active"),1,0)</f>
        <v>0</v>
      </c>
      <c r="AC322" s="183" t="n">
        <f aca="false">IF(AND(ISNUMBER($K322),ISNUMBER($L322),ISNUMBER($Q322)),IF(OR($Q322&lt;MIN($K322,$L322),$Q322&gt;MAX($K322,$L322)),1,0),0)</f>
        <v>0</v>
      </c>
      <c r="AD322" s="183" t="n">
        <f aca="false">IF(AND(ISNUMBER($T322),$P322="高"),IF($T322=3,1,0),0)</f>
        <v>0</v>
      </c>
      <c r="AE322" s="183" t="n">
        <f aca="false">IF($S322="不存在",1,0)</f>
        <v>0</v>
      </c>
      <c r="AF322" s="34" t="n">
        <f aca="false">IF(OR($H322="—",$H322=""),"—",MATCH($H322,IDX_SrcID,0))</f>
        <v>285</v>
      </c>
    </row>
    <row r="323" customFormat="false" ht="15" hidden="false" customHeight="true" outlineLevel="0" collapsed="false">
      <c r="A323" s="35" t="s">
        <v>3443</v>
      </c>
      <c r="B323" s="209" t="s">
        <v>2677</v>
      </c>
      <c r="C323" s="35" t="s">
        <v>3413</v>
      </c>
      <c r="D323" s="35" t="s">
        <v>2724</v>
      </c>
      <c r="E323" s="6" t="s">
        <v>416</v>
      </c>
      <c r="F323" s="209" t="s">
        <v>290</v>
      </c>
      <c r="G323" s="209" t="s">
        <v>2679</v>
      </c>
      <c r="H323" s="35" t="s">
        <v>3440</v>
      </c>
      <c r="I323" s="18" t="s">
        <v>2714</v>
      </c>
      <c r="J323" s="35" t="s">
        <v>571</v>
      </c>
      <c r="K323" s="209"/>
      <c r="L323" s="209"/>
      <c r="M323" s="35" t="s">
        <v>571</v>
      </c>
      <c r="N323" s="18" t="s">
        <v>2812</v>
      </c>
      <c r="O323" s="6" t="s">
        <v>571</v>
      </c>
      <c r="P323" s="209" t="s">
        <v>1100</v>
      </c>
      <c r="Q323" s="40" t="n">
        <f aca="false">Calib!E16</f>
        <v>1024</v>
      </c>
      <c r="R323" s="182" t="n">
        <f aca="false">SRC_PERF_004_OSL</f>
        <v>1024</v>
      </c>
      <c r="S323" s="34" t="str">
        <f aca="false">IF(ISNUMBER($AF323),INDEX(IDX_SrcStat,$AF323),"—")</f>
        <v>Active</v>
      </c>
      <c r="T323" s="34" t="n">
        <f aca="false">IF(ISNUMBER($AF323),INDEX(IDX_SrcGrade,$AF323),"—")</f>
        <v>1</v>
      </c>
      <c r="U323" s="34" t="s">
        <v>2716</v>
      </c>
      <c r="V323" s="183" t="n">
        <f aca="false">IF(AND($F323="原始數據",$U323&lt;&gt;"連結 SRC"),1,0)</f>
        <v>0</v>
      </c>
      <c r="W323" s="183" t="n">
        <f aca="false">IF(AND($F323="Analogy",OR($H323="—",$H323="")),1,0)</f>
        <v>0</v>
      </c>
      <c r="X323" s="183" t="n">
        <f aca="false">IF(AND(OR($F323="Analogy",$F323="Assumed"),$G323&lt;&gt;"低",$G323&lt;&gt;"高",NOT(ISNUMBER($K323)),NOT(ISNUMBER($L323)),OR($M323="—",$M323="")),1,0)</f>
        <v>0</v>
      </c>
      <c r="Y323" s="183" t="n">
        <f aca="false">IF(AND(OR($F323="Analogy",$F323="Assumed",$F323="Derived（待改公式）",$F323="Derived（公式）"),OR($N323="—",$N323="",$N323=0)),1,0)</f>
        <v>0</v>
      </c>
      <c r="Z323" s="183" t="n">
        <f aca="false">IF(AND($F323="Decision",OR($J323="—",$J323="")),1,0)</f>
        <v>0</v>
      </c>
      <c r="AA323" s="180" t="n">
        <f aca="false">IF(OR($J323="—",$J323=""),0,IF(COUNTIF(Decisions!$A$5:$A$300,$J323)=0,1,0))</f>
        <v>0</v>
      </c>
      <c r="AB323" s="183" t="n">
        <f aca="false">IF(AND($F323="原始數據",$S323&lt;&gt;"Active"),1,0)</f>
        <v>0</v>
      </c>
      <c r="AC323" s="183" t="n">
        <f aca="false">IF(AND(ISNUMBER($K323),ISNUMBER($L323),ISNUMBER($Q323)),IF(OR($Q323&lt;MIN($K323,$L323),$Q323&gt;MAX($K323,$L323)),1,0),0)</f>
        <v>0</v>
      </c>
      <c r="AD323" s="183" t="n">
        <f aca="false">IF(AND(ISNUMBER($T323),$P323="高"),IF($T323=3,1,0),0)</f>
        <v>0</v>
      </c>
      <c r="AE323" s="183" t="n">
        <f aca="false">IF($S323="不存在",1,0)</f>
        <v>0</v>
      </c>
      <c r="AF323" s="34" t="n">
        <f aca="false">IF(OR($H323="—",$H323=""),"—",MATCH($H323,IDX_SrcID,0))</f>
        <v>285</v>
      </c>
    </row>
    <row r="324" customFormat="false" ht="15" hidden="false" customHeight="true" outlineLevel="0" collapsed="false">
      <c r="A324" s="35" t="s">
        <v>3444</v>
      </c>
      <c r="B324" s="209" t="s">
        <v>2677</v>
      </c>
      <c r="C324" s="35" t="s">
        <v>3413</v>
      </c>
      <c r="D324" s="35" t="s">
        <v>2730</v>
      </c>
      <c r="E324" s="18" t="s">
        <v>3428</v>
      </c>
      <c r="F324" s="209" t="s">
        <v>290</v>
      </c>
      <c r="G324" s="209" t="s">
        <v>2679</v>
      </c>
      <c r="H324" s="35" t="s">
        <v>3440</v>
      </c>
      <c r="I324" s="18" t="s">
        <v>2714</v>
      </c>
      <c r="J324" s="35" t="s">
        <v>571</v>
      </c>
      <c r="K324" s="209"/>
      <c r="L324" s="209"/>
      <c r="M324" s="35" t="s">
        <v>571</v>
      </c>
      <c r="N324" s="18" t="s">
        <v>2812</v>
      </c>
      <c r="O324" s="6" t="s">
        <v>571</v>
      </c>
      <c r="P324" s="209" t="s">
        <v>1100</v>
      </c>
      <c r="Q324" s="40" t="n">
        <f aca="false">Calib!E17</f>
        <v>11200</v>
      </c>
      <c r="R324" s="182" t="n">
        <f aca="false">SRC_PERF_004</f>
        <v>11200</v>
      </c>
      <c r="S324" s="34" t="str">
        <f aca="false">IF(ISNUMBER($AF324),INDEX(IDX_SrcStat,$AF324),"—")</f>
        <v>Active</v>
      </c>
      <c r="T324" s="34" t="n">
        <f aca="false">IF(ISNUMBER($AF324),INDEX(IDX_SrcGrade,$AF324),"—")</f>
        <v>1</v>
      </c>
      <c r="U324" s="34" t="s">
        <v>2716</v>
      </c>
      <c r="V324" s="183" t="n">
        <f aca="false">IF(AND($F324="原始數據",$U324&lt;&gt;"連結 SRC"),1,0)</f>
        <v>0</v>
      </c>
      <c r="W324" s="183" t="n">
        <f aca="false">IF(AND($F324="Analogy",OR($H324="—",$H324="")),1,0)</f>
        <v>0</v>
      </c>
      <c r="X324" s="183" t="n">
        <f aca="false">IF(AND(OR($F324="Analogy",$F324="Assumed"),$G324&lt;&gt;"低",$G324&lt;&gt;"高",NOT(ISNUMBER($K324)),NOT(ISNUMBER($L324)),OR($M324="—",$M324="")),1,0)</f>
        <v>0</v>
      </c>
      <c r="Y324" s="183" t="n">
        <f aca="false">IF(AND(OR($F324="Analogy",$F324="Assumed",$F324="Derived（待改公式）",$F324="Derived（公式）"),OR($N324="—",$N324="",$N324=0)),1,0)</f>
        <v>0</v>
      </c>
      <c r="Z324" s="183" t="n">
        <f aca="false">IF(AND($F324="Decision",OR($J324="—",$J324="")),1,0)</f>
        <v>0</v>
      </c>
      <c r="AA324" s="180" t="n">
        <f aca="false">IF(OR($J324="—",$J324=""),0,IF(COUNTIF(Decisions!$A$5:$A$300,$J324)=0,1,0))</f>
        <v>0</v>
      </c>
      <c r="AB324" s="183" t="n">
        <f aca="false">IF(AND($F324="原始數據",$S324&lt;&gt;"Active"),1,0)</f>
        <v>0</v>
      </c>
      <c r="AC324" s="183" t="n">
        <f aca="false">IF(AND(ISNUMBER($K324),ISNUMBER($L324),ISNUMBER($Q324)),IF(OR($Q324&lt;MIN($K324,$L324),$Q324&gt;MAX($K324,$L324)),1,0),0)</f>
        <v>0</v>
      </c>
      <c r="AD324" s="183" t="n">
        <f aca="false">IF(AND(ISNUMBER($T324),$P324="高"),IF($T324=3,1,0),0)</f>
        <v>0</v>
      </c>
      <c r="AE324" s="183" t="n">
        <f aca="false">IF($S324="不存在",1,0)</f>
        <v>0</v>
      </c>
      <c r="AF324" s="34" t="n">
        <f aca="false">IF(OR($H324="—",$H324=""),"—",MATCH($H324,IDX_SrcID,0))</f>
        <v>285</v>
      </c>
    </row>
    <row r="325" customFormat="false" ht="15" hidden="false" customHeight="true" outlineLevel="0" collapsed="false">
      <c r="A325" s="35" t="s">
        <v>3445</v>
      </c>
      <c r="B325" s="209" t="s">
        <v>2677</v>
      </c>
      <c r="C325" s="35" t="s">
        <v>3413</v>
      </c>
      <c r="D325" s="35" t="s">
        <v>2712</v>
      </c>
      <c r="E325" s="6" t="s">
        <v>413</v>
      </c>
      <c r="F325" s="209" t="s">
        <v>290</v>
      </c>
      <c r="G325" s="209" t="s">
        <v>2679</v>
      </c>
      <c r="H325" s="35" t="s">
        <v>3446</v>
      </c>
      <c r="I325" s="18" t="s">
        <v>2714</v>
      </c>
      <c r="J325" s="35" t="s">
        <v>571</v>
      </c>
      <c r="K325" s="209"/>
      <c r="L325" s="209"/>
      <c r="M325" s="35" t="s">
        <v>571</v>
      </c>
      <c r="N325" s="18" t="s">
        <v>2812</v>
      </c>
      <c r="O325" s="6" t="s">
        <v>571</v>
      </c>
      <c r="P325" s="209" t="s">
        <v>2682</v>
      </c>
      <c r="Q325" s="180" t="n">
        <f aca="false">Calib!F13</f>
        <v>0</v>
      </c>
      <c r="R325" s="182" t="n">
        <f aca="false">SRC_PERF_001_MTP</f>
        <v>0</v>
      </c>
      <c r="S325" s="34" t="str">
        <f aca="false">IF(ISNUMBER($AF325),INDEX(IDX_SrcStat,$AF325),"—")</f>
        <v>Active</v>
      </c>
      <c r="T325" s="34" t="n">
        <f aca="false">IF(ISNUMBER($AF325),INDEX(IDX_SrcGrade,$AF325),"—")</f>
        <v>1</v>
      </c>
      <c r="U325" s="34" t="s">
        <v>2716</v>
      </c>
      <c r="V325" s="183" t="n">
        <f aca="false">IF(AND($F325="原始數據",$U325&lt;&gt;"連結 SRC"),1,0)</f>
        <v>0</v>
      </c>
      <c r="W325" s="183" t="n">
        <f aca="false">IF(AND($F325="Analogy",OR($H325="—",$H325="")),1,0)</f>
        <v>0</v>
      </c>
      <c r="X325" s="183" t="n">
        <f aca="false">IF(AND(OR($F325="Analogy",$F325="Assumed"),$G325&lt;&gt;"低",$G325&lt;&gt;"高",NOT(ISNUMBER($K325)),NOT(ISNUMBER($L325)),OR($M325="—",$M325="")),1,0)</f>
        <v>0</v>
      </c>
      <c r="Y325" s="183" t="n">
        <f aca="false">IF(AND(OR($F325="Analogy",$F325="Assumed",$F325="Derived（待改公式）",$F325="Derived（公式）"),OR($N325="—",$N325="",$N325=0)),1,0)</f>
        <v>0</v>
      </c>
      <c r="Z325" s="183" t="n">
        <f aca="false">IF(AND($F325="Decision",OR($J325="—",$J325="")),1,0)</f>
        <v>0</v>
      </c>
      <c r="AA325" s="180" t="n">
        <f aca="false">IF(OR($J325="—",$J325=""),0,IF(COUNTIF(Decisions!$A$5:$A$300,$J325)=0,1,0))</f>
        <v>0</v>
      </c>
      <c r="AB325" s="183" t="n">
        <f aca="false">IF(AND($F325="原始數據",$S325&lt;&gt;"Active"),1,0)</f>
        <v>0</v>
      </c>
      <c r="AC325" s="183" t="n">
        <f aca="false">IF(AND(ISNUMBER($K325),ISNUMBER($L325),ISNUMBER($Q325)),IF(OR($Q325&lt;MIN($K325,$L325),$Q325&gt;MAX($K325,$L325)),1,0),0)</f>
        <v>0</v>
      </c>
      <c r="AD325" s="183" t="n">
        <f aca="false">IF(AND(ISNUMBER($T325),$P325="高"),IF($T325=3,1,0),0)</f>
        <v>0</v>
      </c>
      <c r="AE325" s="183" t="n">
        <f aca="false">IF($S325="不存在",1,0)</f>
        <v>0</v>
      </c>
      <c r="AF325" s="34" t="n">
        <f aca="false">IF(OR($H325="—",$H325=""),"—",MATCH($H325,IDX_SrcID,0))</f>
        <v>282</v>
      </c>
    </row>
    <row r="326" customFormat="false" ht="15" hidden="false" customHeight="true" outlineLevel="0" collapsed="false">
      <c r="A326" s="35" t="s">
        <v>3447</v>
      </c>
      <c r="B326" s="209" t="s">
        <v>2677</v>
      </c>
      <c r="C326" s="35" t="s">
        <v>3413</v>
      </c>
      <c r="D326" s="35" t="s">
        <v>2722</v>
      </c>
      <c r="E326" s="18" t="s">
        <v>414</v>
      </c>
      <c r="F326" s="209" t="s">
        <v>290</v>
      </c>
      <c r="G326" s="209" t="s">
        <v>2679</v>
      </c>
      <c r="H326" s="35" t="s">
        <v>3446</v>
      </c>
      <c r="I326" s="18" t="s">
        <v>2714</v>
      </c>
      <c r="J326" s="35" t="s">
        <v>571</v>
      </c>
      <c r="K326" s="209"/>
      <c r="L326" s="209"/>
      <c r="M326" s="35" t="s">
        <v>571</v>
      </c>
      <c r="N326" s="18" t="s">
        <v>2812</v>
      </c>
      <c r="O326" s="6" t="s">
        <v>571</v>
      </c>
      <c r="P326" s="209" t="s">
        <v>1100</v>
      </c>
      <c r="Q326" s="40" t="n">
        <f aca="false">Calib!F14</f>
        <v>27</v>
      </c>
      <c r="R326" s="182" t="n">
        <f aca="false">SRC_PERF_001_Spd</f>
        <v>27</v>
      </c>
      <c r="S326" s="34" t="str">
        <f aca="false">IF(ISNUMBER($AF326),INDEX(IDX_SrcStat,$AF326),"—")</f>
        <v>Active</v>
      </c>
      <c r="T326" s="34" t="n">
        <f aca="false">IF(ISNUMBER($AF326),INDEX(IDX_SrcGrade,$AF326),"—")</f>
        <v>1</v>
      </c>
      <c r="U326" s="34" t="s">
        <v>2716</v>
      </c>
      <c r="V326" s="183" t="n">
        <f aca="false">IF(AND($F326="原始數據",$U326&lt;&gt;"連結 SRC"),1,0)</f>
        <v>0</v>
      </c>
      <c r="W326" s="183" t="n">
        <f aca="false">IF(AND($F326="Analogy",OR($H326="—",$H326="")),1,0)</f>
        <v>0</v>
      </c>
      <c r="X326" s="183" t="n">
        <f aca="false">IF(AND(OR($F326="Analogy",$F326="Assumed"),$G326&lt;&gt;"低",$G326&lt;&gt;"高",NOT(ISNUMBER($K326)),NOT(ISNUMBER($L326)),OR($M326="—",$M326="")),1,0)</f>
        <v>0</v>
      </c>
      <c r="Y326" s="183" t="n">
        <f aca="false">IF(AND(OR($F326="Analogy",$F326="Assumed",$F326="Derived（待改公式）",$F326="Derived（公式）"),OR($N326="—",$N326="",$N326=0)),1,0)</f>
        <v>0</v>
      </c>
      <c r="Z326" s="183" t="n">
        <f aca="false">IF(AND($F326="Decision",OR($J326="—",$J326="")),1,0)</f>
        <v>0</v>
      </c>
      <c r="AA326" s="180" t="n">
        <f aca="false">IF(OR($J326="—",$J326=""),0,IF(COUNTIF(Decisions!$A$5:$A$300,$J326)=0,1,0))</f>
        <v>0</v>
      </c>
      <c r="AB326" s="183" t="n">
        <f aca="false">IF(AND($F326="原始數據",$S326&lt;&gt;"Active"),1,0)</f>
        <v>0</v>
      </c>
      <c r="AC326" s="183" t="n">
        <f aca="false">IF(AND(ISNUMBER($K326),ISNUMBER($L326),ISNUMBER($Q326)),IF(OR($Q326&lt;MIN($K326,$L326),$Q326&gt;MAX($K326,$L326)),1,0),0)</f>
        <v>0</v>
      </c>
      <c r="AD326" s="183" t="n">
        <f aca="false">IF(AND(ISNUMBER($T326),$P326="高"),IF($T326=3,1,0),0)</f>
        <v>0</v>
      </c>
      <c r="AE326" s="183" t="n">
        <f aca="false">IF($S326="不存在",1,0)</f>
        <v>0</v>
      </c>
      <c r="AF326" s="34" t="n">
        <f aca="false">IF(OR($H326="—",$H326=""),"—",MATCH($H326,IDX_SrcID,0))</f>
        <v>282</v>
      </c>
    </row>
    <row r="327" customFormat="false" ht="15" hidden="false" customHeight="true" outlineLevel="0" collapsed="false">
      <c r="A327" s="35" t="s">
        <v>3448</v>
      </c>
      <c r="B327" s="209" t="s">
        <v>2677</v>
      </c>
      <c r="C327" s="35" t="s">
        <v>3413</v>
      </c>
      <c r="D327" s="35" t="s">
        <v>3449</v>
      </c>
      <c r="E327" s="6" t="s">
        <v>415</v>
      </c>
      <c r="F327" s="209" t="s">
        <v>290</v>
      </c>
      <c r="G327" s="209" t="s">
        <v>2679</v>
      </c>
      <c r="H327" s="35" t="s">
        <v>3446</v>
      </c>
      <c r="I327" s="18" t="s">
        <v>2714</v>
      </c>
      <c r="J327" s="35" t="s">
        <v>571</v>
      </c>
      <c r="K327" s="209"/>
      <c r="L327" s="209"/>
      <c r="M327" s="35" t="s">
        <v>571</v>
      </c>
      <c r="N327" s="18" t="s">
        <v>2812</v>
      </c>
      <c r="O327" s="6" t="s">
        <v>571</v>
      </c>
      <c r="P327" s="209" t="s">
        <v>1100</v>
      </c>
      <c r="Q327" s="40" t="n">
        <f aca="false">Calib!F15</f>
        <v>8192</v>
      </c>
      <c r="R327" s="182" t="n">
        <f aca="false">SRC_PERF_001_ISL</f>
        <v>8192</v>
      </c>
      <c r="S327" s="34" t="str">
        <f aca="false">IF(ISNUMBER($AF327),INDEX(IDX_SrcStat,$AF327),"—")</f>
        <v>Active</v>
      </c>
      <c r="T327" s="34" t="n">
        <f aca="false">IF(ISNUMBER($AF327),INDEX(IDX_SrcGrade,$AF327),"—")</f>
        <v>1</v>
      </c>
      <c r="U327" s="34" t="s">
        <v>2716</v>
      </c>
      <c r="V327" s="183" t="n">
        <f aca="false">IF(AND($F327="原始數據",$U327&lt;&gt;"連結 SRC"),1,0)</f>
        <v>0</v>
      </c>
      <c r="W327" s="183" t="n">
        <f aca="false">IF(AND($F327="Analogy",OR($H327="—",$H327="")),1,0)</f>
        <v>0</v>
      </c>
      <c r="X327" s="183" t="n">
        <f aca="false">IF(AND(OR($F327="Analogy",$F327="Assumed"),$G327&lt;&gt;"低",$G327&lt;&gt;"高",NOT(ISNUMBER($K327)),NOT(ISNUMBER($L327)),OR($M327="—",$M327="")),1,0)</f>
        <v>0</v>
      </c>
      <c r="Y327" s="183" t="n">
        <f aca="false">IF(AND(OR($F327="Analogy",$F327="Assumed",$F327="Derived（待改公式）",$F327="Derived（公式）"),OR($N327="—",$N327="",$N327=0)),1,0)</f>
        <v>0</v>
      </c>
      <c r="Z327" s="183" t="n">
        <f aca="false">IF(AND($F327="Decision",OR($J327="—",$J327="")),1,0)</f>
        <v>0</v>
      </c>
      <c r="AA327" s="180" t="n">
        <f aca="false">IF(OR($J327="—",$J327=""),0,IF(COUNTIF(Decisions!$A$5:$A$300,$J327)=0,1,0))</f>
        <v>0</v>
      </c>
      <c r="AB327" s="183" t="n">
        <f aca="false">IF(AND($F327="原始數據",$S327&lt;&gt;"Active"),1,0)</f>
        <v>0</v>
      </c>
      <c r="AC327" s="183" t="n">
        <f aca="false">IF(AND(ISNUMBER($K327),ISNUMBER($L327),ISNUMBER($Q327)),IF(OR($Q327&lt;MIN($K327,$L327),$Q327&gt;MAX($K327,$L327)),1,0),0)</f>
        <v>0</v>
      </c>
      <c r="AD327" s="183" t="n">
        <f aca="false">IF(AND(ISNUMBER($T327),$P327="高"),IF($T327=3,1,0),0)</f>
        <v>0</v>
      </c>
      <c r="AE327" s="183" t="n">
        <f aca="false">IF($S327="不存在",1,0)</f>
        <v>0</v>
      </c>
      <c r="AF327" s="34" t="n">
        <f aca="false">IF(OR($H327="—",$H327=""),"—",MATCH($H327,IDX_SrcID,0))</f>
        <v>282</v>
      </c>
    </row>
    <row r="328" customFormat="false" ht="15" hidden="false" customHeight="true" outlineLevel="0" collapsed="false">
      <c r="A328" s="35" t="s">
        <v>3450</v>
      </c>
      <c r="B328" s="209" t="s">
        <v>2677</v>
      </c>
      <c r="C328" s="35" t="s">
        <v>3413</v>
      </c>
      <c r="D328" s="35" t="s">
        <v>2728</v>
      </c>
      <c r="E328" s="6" t="s">
        <v>416</v>
      </c>
      <c r="F328" s="209" t="s">
        <v>290</v>
      </c>
      <c r="G328" s="209" t="s">
        <v>2679</v>
      </c>
      <c r="H328" s="35" t="s">
        <v>3446</v>
      </c>
      <c r="I328" s="18" t="s">
        <v>2714</v>
      </c>
      <c r="J328" s="35" t="s">
        <v>571</v>
      </c>
      <c r="K328" s="209"/>
      <c r="L328" s="209"/>
      <c r="M328" s="35" t="s">
        <v>571</v>
      </c>
      <c r="N328" s="18" t="s">
        <v>2812</v>
      </c>
      <c r="O328" s="6" t="s">
        <v>571</v>
      </c>
      <c r="P328" s="209" t="s">
        <v>1100</v>
      </c>
      <c r="Q328" s="40" t="n">
        <f aca="false">Calib!F16</f>
        <v>1024</v>
      </c>
      <c r="R328" s="182" t="n">
        <f aca="false">SRC_PERF_001_OSL</f>
        <v>1024</v>
      </c>
      <c r="S328" s="34" t="str">
        <f aca="false">IF(ISNUMBER($AF328),INDEX(IDX_SrcStat,$AF328),"—")</f>
        <v>Active</v>
      </c>
      <c r="T328" s="34" t="n">
        <f aca="false">IF(ISNUMBER($AF328),INDEX(IDX_SrcGrade,$AF328),"—")</f>
        <v>1</v>
      </c>
      <c r="U328" s="34" t="s">
        <v>2716</v>
      </c>
      <c r="V328" s="183" t="n">
        <f aca="false">IF(AND($F328="原始數據",$U328&lt;&gt;"連結 SRC"),1,0)</f>
        <v>0</v>
      </c>
      <c r="W328" s="183" t="n">
        <f aca="false">IF(AND($F328="Analogy",OR($H328="—",$H328="")),1,0)</f>
        <v>0</v>
      </c>
      <c r="X328" s="183" t="n">
        <f aca="false">IF(AND(OR($F328="Analogy",$F328="Assumed"),$G328&lt;&gt;"低",$G328&lt;&gt;"高",NOT(ISNUMBER($K328)),NOT(ISNUMBER($L328)),OR($M328="—",$M328="")),1,0)</f>
        <v>0</v>
      </c>
      <c r="Y328" s="183" t="n">
        <f aca="false">IF(AND(OR($F328="Analogy",$F328="Assumed",$F328="Derived（待改公式）",$F328="Derived（公式）"),OR($N328="—",$N328="",$N328=0)),1,0)</f>
        <v>0</v>
      </c>
      <c r="Z328" s="183" t="n">
        <f aca="false">IF(AND($F328="Decision",OR($J328="—",$J328="")),1,0)</f>
        <v>0</v>
      </c>
      <c r="AA328" s="180" t="n">
        <f aca="false">IF(OR($J328="—",$J328=""),0,IF(COUNTIF(Decisions!$A$5:$A$300,$J328)=0,1,0))</f>
        <v>0</v>
      </c>
      <c r="AB328" s="183" t="n">
        <f aca="false">IF(AND($F328="原始數據",$S328&lt;&gt;"Active"),1,0)</f>
        <v>0</v>
      </c>
      <c r="AC328" s="183" t="n">
        <f aca="false">IF(AND(ISNUMBER($K328),ISNUMBER($L328),ISNUMBER($Q328)),IF(OR($Q328&lt;MIN($K328,$L328),$Q328&gt;MAX($K328,$L328)),1,0),0)</f>
        <v>0</v>
      </c>
      <c r="AD328" s="183" t="n">
        <f aca="false">IF(AND(ISNUMBER($T328),$P328="高"),IF($T328=3,1,0),0)</f>
        <v>0</v>
      </c>
      <c r="AE328" s="183" t="n">
        <f aca="false">IF($S328="不存在",1,0)</f>
        <v>0</v>
      </c>
      <c r="AF328" s="34" t="n">
        <f aca="false">IF(OR($H328="—",$H328=""),"—",MATCH($H328,IDX_SrcID,0))</f>
        <v>282</v>
      </c>
    </row>
    <row r="329" customFormat="false" ht="15" hidden="false" customHeight="true" outlineLevel="0" collapsed="false">
      <c r="A329" s="35" t="s">
        <v>3451</v>
      </c>
      <c r="B329" s="209" t="s">
        <v>2677</v>
      </c>
      <c r="C329" s="35" t="s">
        <v>3413</v>
      </c>
      <c r="D329" s="35" t="s">
        <v>2734</v>
      </c>
      <c r="E329" s="18" t="s">
        <v>3428</v>
      </c>
      <c r="F329" s="209" t="s">
        <v>290</v>
      </c>
      <c r="G329" s="209" t="s">
        <v>2679</v>
      </c>
      <c r="H329" s="35" t="s">
        <v>3446</v>
      </c>
      <c r="I329" s="18" t="s">
        <v>2714</v>
      </c>
      <c r="J329" s="35" t="s">
        <v>571</v>
      </c>
      <c r="K329" s="209"/>
      <c r="L329" s="209"/>
      <c r="M329" s="35" t="s">
        <v>571</v>
      </c>
      <c r="N329" s="18" t="s">
        <v>2812</v>
      </c>
      <c r="O329" s="6" t="s">
        <v>571</v>
      </c>
      <c r="P329" s="209" t="s">
        <v>1100</v>
      </c>
      <c r="Q329" s="40" t="n">
        <f aca="false">Calib!F17</f>
        <v>6182</v>
      </c>
      <c r="R329" s="182" t="n">
        <f aca="false">SRC_PERF_001</f>
        <v>6182</v>
      </c>
      <c r="S329" s="34" t="str">
        <f aca="false">IF(ISNUMBER($AF329),INDEX(IDX_SrcStat,$AF329),"—")</f>
        <v>Active</v>
      </c>
      <c r="T329" s="34" t="n">
        <f aca="false">IF(ISNUMBER($AF329),INDEX(IDX_SrcGrade,$AF329),"—")</f>
        <v>1</v>
      </c>
      <c r="U329" s="34" t="s">
        <v>2716</v>
      </c>
      <c r="V329" s="183" t="n">
        <f aca="false">IF(AND($F329="原始數據",$U329&lt;&gt;"連結 SRC"),1,0)</f>
        <v>0</v>
      </c>
      <c r="W329" s="183" t="n">
        <f aca="false">IF(AND($F329="Analogy",OR($H329="—",$H329="")),1,0)</f>
        <v>0</v>
      </c>
      <c r="X329" s="183" t="n">
        <f aca="false">IF(AND(OR($F329="Analogy",$F329="Assumed"),$G329&lt;&gt;"低",$G329&lt;&gt;"高",NOT(ISNUMBER($K329)),NOT(ISNUMBER($L329)),OR($M329="—",$M329="")),1,0)</f>
        <v>0</v>
      </c>
      <c r="Y329" s="183" t="n">
        <f aca="false">IF(AND(OR($F329="Analogy",$F329="Assumed",$F329="Derived（待改公式）",$F329="Derived（公式）"),OR($N329="—",$N329="",$N329=0)),1,0)</f>
        <v>0</v>
      </c>
      <c r="Z329" s="183" t="n">
        <f aca="false">IF(AND($F329="Decision",OR($J329="—",$J329="")),1,0)</f>
        <v>0</v>
      </c>
      <c r="AA329" s="180" t="n">
        <f aca="false">IF(OR($J329="—",$J329=""),0,IF(COUNTIF(Decisions!$A$5:$A$300,$J329)=0,1,0))</f>
        <v>0</v>
      </c>
      <c r="AB329" s="183" t="n">
        <f aca="false">IF(AND($F329="原始數據",$S329&lt;&gt;"Active"),1,0)</f>
        <v>0</v>
      </c>
      <c r="AC329" s="183" t="n">
        <f aca="false">IF(AND(ISNUMBER($K329),ISNUMBER($L329),ISNUMBER($Q329)),IF(OR($Q329&lt;MIN($K329,$L329),$Q329&gt;MAX($K329,$L329)),1,0),0)</f>
        <v>0</v>
      </c>
      <c r="AD329" s="183" t="n">
        <f aca="false">IF(AND(ISNUMBER($T329),$P329="高"),IF($T329=3,1,0),0)</f>
        <v>0</v>
      </c>
      <c r="AE329" s="183" t="n">
        <f aca="false">IF($S329="不存在",1,0)</f>
        <v>0</v>
      </c>
      <c r="AF329" s="34" t="n">
        <f aca="false">IF(OR($H329="—",$H329=""),"—",MATCH($H329,IDX_SrcID,0))</f>
        <v>282</v>
      </c>
    </row>
    <row r="330" customFormat="false" ht="15" hidden="false" customHeight="true" outlineLevel="0" collapsed="false">
      <c r="A330" s="35" t="s">
        <v>3452</v>
      </c>
      <c r="B330" s="209" t="s">
        <v>2677</v>
      </c>
      <c r="C330" s="35" t="s">
        <v>3413</v>
      </c>
      <c r="D330" s="35" t="s">
        <v>2943</v>
      </c>
      <c r="E330" s="6" t="s">
        <v>413</v>
      </c>
      <c r="F330" s="209" t="s">
        <v>290</v>
      </c>
      <c r="G330" s="209" t="s">
        <v>2679</v>
      </c>
      <c r="H330" s="35" t="s">
        <v>3453</v>
      </c>
      <c r="I330" s="18" t="s">
        <v>2714</v>
      </c>
      <c r="J330" s="35" t="s">
        <v>571</v>
      </c>
      <c r="K330" s="209"/>
      <c r="L330" s="209"/>
      <c r="M330" s="35" t="s">
        <v>571</v>
      </c>
      <c r="N330" s="18" t="s">
        <v>2812</v>
      </c>
      <c r="O330" s="6" t="s">
        <v>571</v>
      </c>
      <c r="P330" s="209" t="s">
        <v>2682</v>
      </c>
      <c r="Q330" s="180" t="n">
        <f aca="false">Calib!G13</f>
        <v>0</v>
      </c>
      <c r="R330" s="182" t="n">
        <f aca="false">SRC_PERF_002_MTP</f>
        <v>0</v>
      </c>
      <c r="S330" s="34" t="str">
        <f aca="false">IF(ISNUMBER($AF330),INDEX(IDX_SrcStat,$AF330),"—")</f>
        <v>Active</v>
      </c>
      <c r="T330" s="34" t="n">
        <f aca="false">IF(ISNUMBER($AF330),INDEX(IDX_SrcGrade,$AF330),"—")</f>
        <v>1</v>
      </c>
      <c r="U330" s="34" t="s">
        <v>2716</v>
      </c>
      <c r="V330" s="183" t="n">
        <f aca="false">IF(AND($F330="原始數據",$U330&lt;&gt;"連結 SRC"),1,0)</f>
        <v>0</v>
      </c>
      <c r="W330" s="183" t="n">
        <f aca="false">IF(AND($F330="Analogy",OR($H330="—",$H330="")),1,0)</f>
        <v>0</v>
      </c>
      <c r="X330" s="183" t="n">
        <f aca="false">IF(AND(OR($F330="Analogy",$F330="Assumed"),$G330&lt;&gt;"低",$G330&lt;&gt;"高",NOT(ISNUMBER($K330)),NOT(ISNUMBER($L330)),OR($M330="—",$M330="")),1,0)</f>
        <v>0</v>
      </c>
      <c r="Y330" s="183" t="n">
        <f aca="false">IF(AND(OR($F330="Analogy",$F330="Assumed",$F330="Derived（待改公式）",$F330="Derived（公式）"),OR($N330="—",$N330="",$N330=0)),1,0)</f>
        <v>0</v>
      </c>
      <c r="Z330" s="183" t="n">
        <f aca="false">IF(AND($F330="Decision",OR($J330="—",$J330="")),1,0)</f>
        <v>0</v>
      </c>
      <c r="AA330" s="180" t="n">
        <f aca="false">IF(OR($J330="—",$J330=""),0,IF(COUNTIF(Decisions!$A$5:$A$300,$J330)=0,1,0))</f>
        <v>0</v>
      </c>
      <c r="AB330" s="183" t="n">
        <f aca="false">IF(AND($F330="原始數據",$S330&lt;&gt;"Active"),1,0)</f>
        <v>0</v>
      </c>
      <c r="AC330" s="183" t="n">
        <f aca="false">IF(AND(ISNUMBER($K330),ISNUMBER($L330),ISNUMBER($Q330)),IF(OR($Q330&lt;MIN($K330,$L330),$Q330&gt;MAX($K330,$L330)),1,0),0)</f>
        <v>0</v>
      </c>
      <c r="AD330" s="183" t="n">
        <f aca="false">IF(AND(ISNUMBER($T330),$P330="高"),IF($T330=3,1,0),0)</f>
        <v>0</v>
      </c>
      <c r="AE330" s="183" t="n">
        <f aca="false">IF($S330="不存在",1,0)</f>
        <v>0</v>
      </c>
      <c r="AF330" s="34" t="n">
        <f aca="false">IF(OR($H330="—",$H330=""),"—",MATCH($H330,IDX_SrcID,0))</f>
        <v>283</v>
      </c>
    </row>
    <row r="331" customFormat="false" ht="15" hidden="false" customHeight="true" outlineLevel="0" collapsed="false">
      <c r="A331" s="35" t="s">
        <v>3454</v>
      </c>
      <c r="B331" s="209" t="s">
        <v>2677</v>
      </c>
      <c r="C331" s="35" t="s">
        <v>3413</v>
      </c>
      <c r="D331" s="35" t="s">
        <v>3402</v>
      </c>
      <c r="E331" s="18" t="s">
        <v>414</v>
      </c>
      <c r="F331" s="209" t="s">
        <v>290</v>
      </c>
      <c r="G331" s="209" t="s">
        <v>2679</v>
      </c>
      <c r="H331" s="35" t="s">
        <v>3453</v>
      </c>
      <c r="I331" s="18" t="s">
        <v>2714</v>
      </c>
      <c r="J331" s="35" t="s">
        <v>571</v>
      </c>
      <c r="K331" s="209"/>
      <c r="L331" s="209"/>
      <c r="M331" s="35" t="s">
        <v>571</v>
      </c>
      <c r="N331" s="18" t="s">
        <v>2812</v>
      </c>
      <c r="O331" s="6" t="s">
        <v>571</v>
      </c>
      <c r="P331" s="209" t="s">
        <v>1100</v>
      </c>
      <c r="Q331" s="40" t="n">
        <f aca="false">Calib!G14</f>
        <v>27</v>
      </c>
      <c r="R331" s="182" t="n">
        <f aca="false">SRC_PERF_002_Spd</f>
        <v>27</v>
      </c>
      <c r="S331" s="34" t="str">
        <f aca="false">IF(ISNUMBER($AF331),INDEX(IDX_SrcStat,$AF331),"—")</f>
        <v>Active</v>
      </c>
      <c r="T331" s="34" t="n">
        <f aca="false">IF(ISNUMBER($AF331),INDEX(IDX_SrcGrade,$AF331),"—")</f>
        <v>1</v>
      </c>
      <c r="U331" s="34" t="s">
        <v>2716</v>
      </c>
      <c r="V331" s="183" t="n">
        <f aca="false">IF(AND($F331="原始數據",$U331&lt;&gt;"連結 SRC"),1,0)</f>
        <v>0</v>
      </c>
      <c r="W331" s="183" t="n">
        <f aca="false">IF(AND($F331="Analogy",OR($H331="—",$H331="")),1,0)</f>
        <v>0</v>
      </c>
      <c r="X331" s="183" t="n">
        <f aca="false">IF(AND(OR($F331="Analogy",$F331="Assumed"),$G331&lt;&gt;"低",$G331&lt;&gt;"高",NOT(ISNUMBER($K331)),NOT(ISNUMBER($L331)),OR($M331="—",$M331="")),1,0)</f>
        <v>0</v>
      </c>
      <c r="Y331" s="183" t="n">
        <f aca="false">IF(AND(OR($F331="Analogy",$F331="Assumed",$F331="Derived（待改公式）",$F331="Derived（公式）"),OR($N331="—",$N331="",$N331=0)),1,0)</f>
        <v>0</v>
      </c>
      <c r="Z331" s="183" t="n">
        <f aca="false">IF(AND($F331="Decision",OR($J331="—",$J331="")),1,0)</f>
        <v>0</v>
      </c>
      <c r="AA331" s="180" t="n">
        <f aca="false">IF(OR($J331="—",$J331=""),0,IF(COUNTIF(Decisions!$A$5:$A$300,$J331)=0,1,0))</f>
        <v>0</v>
      </c>
      <c r="AB331" s="183" t="n">
        <f aca="false">IF(AND($F331="原始數據",$S331&lt;&gt;"Active"),1,0)</f>
        <v>0</v>
      </c>
      <c r="AC331" s="183" t="n">
        <f aca="false">IF(AND(ISNUMBER($K331),ISNUMBER($L331),ISNUMBER($Q331)),IF(OR($Q331&lt;MIN($K331,$L331),$Q331&gt;MAX($K331,$L331)),1,0),0)</f>
        <v>0</v>
      </c>
      <c r="AD331" s="183" t="n">
        <f aca="false">IF(AND(ISNUMBER($T331),$P331="高"),IF($T331=3,1,0),0)</f>
        <v>0</v>
      </c>
      <c r="AE331" s="183" t="n">
        <f aca="false">IF($S331="不存在",1,0)</f>
        <v>0</v>
      </c>
      <c r="AF331" s="34" t="n">
        <f aca="false">IF(OR($H331="—",$H331=""),"—",MATCH($H331,IDX_SrcID,0))</f>
        <v>283</v>
      </c>
    </row>
    <row r="332" customFormat="false" ht="15" hidden="false" customHeight="true" outlineLevel="0" collapsed="false">
      <c r="A332" s="35" t="s">
        <v>3455</v>
      </c>
      <c r="B332" s="209" t="s">
        <v>2677</v>
      </c>
      <c r="C332" s="35" t="s">
        <v>3413</v>
      </c>
      <c r="D332" s="35" t="s">
        <v>3456</v>
      </c>
      <c r="E332" s="6" t="s">
        <v>415</v>
      </c>
      <c r="F332" s="209" t="s">
        <v>290</v>
      </c>
      <c r="G332" s="209" t="s">
        <v>2679</v>
      </c>
      <c r="H332" s="35" t="s">
        <v>3453</v>
      </c>
      <c r="I332" s="18" t="s">
        <v>2714</v>
      </c>
      <c r="J332" s="35" t="s">
        <v>571</v>
      </c>
      <c r="K332" s="209"/>
      <c r="L332" s="209"/>
      <c r="M332" s="35" t="s">
        <v>571</v>
      </c>
      <c r="N332" s="18" t="s">
        <v>2812</v>
      </c>
      <c r="O332" s="6" t="s">
        <v>571</v>
      </c>
      <c r="P332" s="209" t="s">
        <v>1100</v>
      </c>
      <c r="Q332" s="40" t="n">
        <f aca="false">Calib!G15</f>
        <v>8192</v>
      </c>
      <c r="R332" s="182" t="n">
        <f aca="false">SRC_PERF_002_ISL</f>
        <v>8192</v>
      </c>
      <c r="S332" s="34" t="str">
        <f aca="false">IF(ISNUMBER($AF332),INDEX(IDX_SrcStat,$AF332),"—")</f>
        <v>Active</v>
      </c>
      <c r="T332" s="34" t="n">
        <f aca="false">IF(ISNUMBER($AF332),INDEX(IDX_SrcGrade,$AF332),"—")</f>
        <v>1</v>
      </c>
      <c r="U332" s="34" t="s">
        <v>2716</v>
      </c>
      <c r="V332" s="183" t="n">
        <f aca="false">IF(AND($F332="原始數據",$U332&lt;&gt;"連結 SRC"),1,0)</f>
        <v>0</v>
      </c>
      <c r="W332" s="183" t="n">
        <f aca="false">IF(AND($F332="Analogy",OR($H332="—",$H332="")),1,0)</f>
        <v>0</v>
      </c>
      <c r="X332" s="183" t="n">
        <f aca="false">IF(AND(OR($F332="Analogy",$F332="Assumed"),$G332&lt;&gt;"低",$G332&lt;&gt;"高",NOT(ISNUMBER($K332)),NOT(ISNUMBER($L332)),OR($M332="—",$M332="")),1,0)</f>
        <v>0</v>
      </c>
      <c r="Y332" s="183" t="n">
        <f aca="false">IF(AND(OR($F332="Analogy",$F332="Assumed",$F332="Derived（待改公式）",$F332="Derived（公式）"),OR($N332="—",$N332="",$N332=0)),1,0)</f>
        <v>0</v>
      </c>
      <c r="Z332" s="183" t="n">
        <f aca="false">IF(AND($F332="Decision",OR($J332="—",$J332="")),1,0)</f>
        <v>0</v>
      </c>
      <c r="AA332" s="180" t="n">
        <f aca="false">IF(OR($J332="—",$J332=""),0,IF(COUNTIF(Decisions!$A$5:$A$300,$J332)=0,1,0))</f>
        <v>0</v>
      </c>
      <c r="AB332" s="183" t="n">
        <f aca="false">IF(AND($F332="原始數據",$S332&lt;&gt;"Active"),1,0)</f>
        <v>0</v>
      </c>
      <c r="AC332" s="183" t="n">
        <f aca="false">IF(AND(ISNUMBER($K332),ISNUMBER($L332),ISNUMBER($Q332)),IF(OR($Q332&lt;MIN($K332,$L332),$Q332&gt;MAX($K332,$L332)),1,0),0)</f>
        <v>0</v>
      </c>
      <c r="AD332" s="183" t="n">
        <f aca="false">IF(AND(ISNUMBER($T332),$P332="高"),IF($T332=3,1,0),0)</f>
        <v>0</v>
      </c>
      <c r="AE332" s="183" t="n">
        <f aca="false">IF($S332="不存在",1,0)</f>
        <v>0</v>
      </c>
      <c r="AF332" s="34" t="n">
        <f aca="false">IF(OR($H332="—",$H332=""),"—",MATCH($H332,IDX_SrcID,0))</f>
        <v>283</v>
      </c>
    </row>
    <row r="333" customFormat="false" ht="15" hidden="false" customHeight="true" outlineLevel="0" collapsed="false">
      <c r="A333" s="35" t="s">
        <v>3457</v>
      </c>
      <c r="B333" s="209" t="s">
        <v>2677</v>
      </c>
      <c r="C333" s="35" t="s">
        <v>3413</v>
      </c>
      <c r="D333" s="35" t="s">
        <v>3458</v>
      </c>
      <c r="E333" s="6" t="s">
        <v>416</v>
      </c>
      <c r="F333" s="209" t="s">
        <v>290</v>
      </c>
      <c r="G333" s="209" t="s">
        <v>2679</v>
      </c>
      <c r="H333" s="35" t="s">
        <v>3453</v>
      </c>
      <c r="I333" s="18" t="s">
        <v>2714</v>
      </c>
      <c r="J333" s="35" t="s">
        <v>571</v>
      </c>
      <c r="K333" s="209"/>
      <c r="L333" s="209"/>
      <c r="M333" s="35" t="s">
        <v>571</v>
      </c>
      <c r="N333" s="18" t="s">
        <v>2812</v>
      </c>
      <c r="O333" s="6" t="s">
        <v>571</v>
      </c>
      <c r="P333" s="209" t="s">
        <v>1100</v>
      </c>
      <c r="Q333" s="40" t="n">
        <f aca="false">Calib!G16</f>
        <v>1024</v>
      </c>
      <c r="R333" s="182" t="n">
        <f aca="false">SRC_PERF_002_OSL</f>
        <v>1024</v>
      </c>
      <c r="S333" s="34" t="str">
        <f aca="false">IF(ISNUMBER($AF333),INDEX(IDX_SrcStat,$AF333),"—")</f>
        <v>Active</v>
      </c>
      <c r="T333" s="34" t="n">
        <f aca="false">IF(ISNUMBER($AF333),INDEX(IDX_SrcGrade,$AF333),"—")</f>
        <v>1</v>
      </c>
      <c r="U333" s="34" t="s">
        <v>2716</v>
      </c>
      <c r="V333" s="183" t="n">
        <f aca="false">IF(AND($F333="原始數據",$U333&lt;&gt;"連結 SRC"),1,0)</f>
        <v>0</v>
      </c>
      <c r="W333" s="183" t="n">
        <f aca="false">IF(AND($F333="Analogy",OR($H333="—",$H333="")),1,0)</f>
        <v>0</v>
      </c>
      <c r="X333" s="183" t="n">
        <f aca="false">IF(AND(OR($F333="Analogy",$F333="Assumed"),$G333&lt;&gt;"低",$G333&lt;&gt;"高",NOT(ISNUMBER($K333)),NOT(ISNUMBER($L333)),OR($M333="—",$M333="")),1,0)</f>
        <v>0</v>
      </c>
      <c r="Y333" s="183" t="n">
        <f aca="false">IF(AND(OR($F333="Analogy",$F333="Assumed",$F333="Derived（待改公式）",$F333="Derived（公式）"),OR($N333="—",$N333="",$N333=0)),1,0)</f>
        <v>0</v>
      </c>
      <c r="Z333" s="183" t="n">
        <f aca="false">IF(AND($F333="Decision",OR($J333="—",$J333="")),1,0)</f>
        <v>0</v>
      </c>
      <c r="AA333" s="180" t="n">
        <f aca="false">IF(OR($J333="—",$J333=""),0,IF(COUNTIF(Decisions!$A$5:$A$300,$J333)=0,1,0))</f>
        <v>0</v>
      </c>
      <c r="AB333" s="183" t="n">
        <f aca="false">IF(AND($F333="原始數據",$S333&lt;&gt;"Active"),1,0)</f>
        <v>0</v>
      </c>
      <c r="AC333" s="183" t="n">
        <f aca="false">IF(AND(ISNUMBER($K333),ISNUMBER($L333),ISNUMBER($Q333)),IF(OR($Q333&lt;MIN($K333,$L333),$Q333&gt;MAX($K333,$L333)),1,0),0)</f>
        <v>0</v>
      </c>
      <c r="AD333" s="183" t="n">
        <f aca="false">IF(AND(ISNUMBER($T333),$P333="高"),IF($T333=3,1,0),0)</f>
        <v>0</v>
      </c>
      <c r="AE333" s="183" t="n">
        <f aca="false">IF($S333="不存在",1,0)</f>
        <v>0</v>
      </c>
      <c r="AF333" s="34" t="n">
        <f aca="false">IF(OR($H333="—",$H333=""),"—",MATCH($H333,IDX_SrcID,0))</f>
        <v>283</v>
      </c>
    </row>
    <row r="334" customFormat="false" ht="15" hidden="false" customHeight="true" outlineLevel="0" collapsed="false">
      <c r="A334" s="35" t="s">
        <v>3459</v>
      </c>
      <c r="B334" s="209" t="s">
        <v>2677</v>
      </c>
      <c r="C334" s="35" t="s">
        <v>3413</v>
      </c>
      <c r="D334" s="35" t="s">
        <v>3460</v>
      </c>
      <c r="E334" s="18" t="s">
        <v>3428</v>
      </c>
      <c r="F334" s="209" t="s">
        <v>290</v>
      </c>
      <c r="G334" s="209" t="s">
        <v>2679</v>
      </c>
      <c r="H334" s="35" t="s">
        <v>3453</v>
      </c>
      <c r="I334" s="18" t="s">
        <v>2714</v>
      </c>
      <c r="J334" s="35" t="s">
        <v>571</v>
      </c>
      <c r="K334" s="209"/>
      <c r="L334" s="209"/>
      <c r="M334" s="35" t="s">
        <v>571</v>
      </c>
      <c r="N334" s="18" t="s">
        <v>2812</v>
      </c>
      <c r="O334" s="6" t="s">
        <v>571</v>
      </c>
      <c r="P334" s="209" t="s">
        <v>1100</v>
      </c>
      <c r="Q334" s="40" t="n">
        <f aca="false">Calib!G17</f>
        <v>2189</v>
      </c>
      <c r="R334" s="182" t="n">
        <f aca="false">SRC_PERF_002</f>
        <v>2189</v>
      </c>
      <c r="S334" s="34" t="str">
        <f aca="false">IF(ISNUMBER($AF334),INDEX(IDX_SrcStat,$AF334),"—")</f>
        <v>Active</v>
      </c>
      <c r="T334" s="34" t="n">
        <f aca="false">IF(ISNUMBER($AF334),INDEX(IDX_SrcGrade,$AF334),"—")</f>
        <v>1</v>
      </c>
      <c r="U334" s="34" t="s">
        <v>2716</v>
      </c>
      <c r="V334" s="183" t="n">
        <f aca="false">IF(AND($F334="原始數據",$U334&lt;&gt;"連結 SRC"),1,0)</f>
        <v>0</v>
      </c>
      <c r="W334" s="183" t="n">
        <f aca="false">IF(AND($F334="Analogy",OR($H334="—",$H334="")),1,0)</f>
        <v>0</v>
      </c>
      <c r="X334" s="183" t="n">
        <f aca="false">IF(AND(OR($F334="Analogy",$F334="Assumed"),$G334&lt;&gt;"低",$G334&lt;&gt;"高",NOT(ISNUMBER($K334)),NOT(ISNUMBER($L334)),OR($M334="—",$M334="")),1,0)</f>
        <v>0</v>
      </c>
      <c r="Y334" s="183" t="n">
        <f aca="false">IF(AND(OR($F334="Analogy",$F334="Assumed",$F334="Derived（待改公式）",$F334="Derived（公式）"),OR($N334="—",$N334="",$N334=0)),1,0)</f>
        <v>0</v>
      </c>
      <c r="Z334" s="183" t="n">
        <f aca="false">IF(AND($F334="Decision",OR($J334="—",$J334="")),1,0)</f>
        <v>0</v>
      </c>
      <c r="AA334" s="180" t="n">
        <f aca="false">IF(OR($J334="—",$J334=""),0,IF(COUNTIF(Decisions!$A$5:$A$300,$J334)=0,1,0))</f>
        <v>0</v>
      </c>
      <c r="AB334" s="183" t="n">
        <f aca="false">IF(AND($F334="原始數據",$S334&lt;&gt;"Active"),1,0)</f>
        <v>0</v>
      </c>
      <c r="AC334" s="183" t="n">
        <f aca="false">IF(AND(ISNUMBER($K334),ISNUMBER($L334),ISNUMBER($Q334)),IF(OR($Q334&lt;MIN($K334,$L334),$Q334&gt;MAX($K334,$L334)),1,0),0)</f>
        <v>0</v>
      </c>
      <c r="AD334" s="183" t="n">
        <f aca="false">IF(AND(ISNUMBER($T334),$P334="高"),IF($T334=3,1,0),0)</f>
        <v>0</v>
      </c>
      <c r="AE334" s="183" t="n">
        <f aca="false">IF($S334="不存在",1,0)</f>
        <v>0</v>
      </c>
      <c r="AF334" s="34" t="n">
        <f aca="false">IF(OR($H334="—",$H334=""),"—",MATCH($H334,IDX_SrcID,0))</f>
        <v>283</v>
      </c>
    </row>
    <row r="335" customFormat="false" ht="15" hidden="false" customHeight="true" outlineLevel="0" collapsed="false">
      <c r="A335" s="35" t="s">
        <v>3461</v>
      </c>
      <c r="B335" s="209" t="s">
        <v>2677</v>
      </c>
      <c r="C335" s="35" t="s">
        <v>3413</v>
      </c>
      <c r="D335" s="35" t="s">
        <v>3462</v>
      </c>
      <c r="E335" s="6" t="s">
        <v>413</v>
      </c>
      <c r="F335" s="209" t="s">
        <v>290</v>
      </c>
      <c r="G335" s="209" t="s">
        <v>2679</v>
      </c>
      <c r="H335" s="35" t="s">
        <v>3463</v>
      </c>
      <c r="I335" s="18" t="s">
        <v>2714</v>
      </c>
      <c r="J335" s="35" t="s">
        <v>571</v>
      </c>
      <c r="K335" s="209"/>
      <c r="L335" s="209"/>
      <c r="M335" s="35" t="s">
        <v>571</v>
      </c>
      <c r="N335" s="18" t="s">
        <v>2812</v>
      </c>
      <c r="O335" s="6" t="s">
        <v>571</v>
      </c>
      <c r="P335" s="209" t="s">
        <v>2682</v>
      </c>
      <c r="Q335" s="180" t="n">
        <f aca="false">Calib!H13</f>
        <v>1</v>
      </c>
      <c r="R335" s="182" t="n">
        <f aca="false">SRC_PERF_014_MTP</f>
        <v>1</v>
      </c>
      <c r="S335" s="34" t="str">
        <f aca="false">IF(ISNUMBER($AF335),INDEX(IDX_SrcStat,$AF335),"—")</f>
        <v>Active</v>
      </c>
      <c r="T335" s="34" t="n">
        <f aca="false">IF(ISNUMBER($AF335),INDEX(IDX_SrcGrade,$AF335),"—")</f>
        <v>1</v>
      </c>
      <c r="U335" s="34" t="s">
        <v>2716</v>
      </c>
      <c r="V335" s="183" t="n">
        <f aca="false">IF(AND($F335="原始數據",$U335&lt;&gt;"連結 SRC"),1,0)</f>
        <v>0</v>
      </c>
      <c r="W335" s="183" t="n">
        <f aca="false">IF(AND($F335="Analogy",OR($H335="—",$H335="")),1,0)</f>
        <v>0</v>
      </c>
      <c r="X335" s="183" t="n">
        <f aca="false">IF(AND(OR($F335="Analogy",$F335="Assumed"),$G335&lt;&gt;"低",$G335&lt;&gt;"高",NOT(ISNUMBER($K335)),NOT(ISNUMBER($L335)),OR($M335="—",$M335="")),1,0)</f>
        <v>0</v>
      </c>
      <c r="Y335" s="183" t="n">
        <f aca="false">IF(AND(OR($F335="Analogy",$F335="Assumed",$F335="Derived（待改公式）",$F335="Derived（公式）"),OR($N335="—",$N335="",$N335=0)),1,0)</f>
        <v>0</v>
      </c>
      <c r="Z335" s="183" t="n">
        <f aca="false">IF(AND($F335="Decision",OR($J335="—",$J335="")),1,0)</f>
        <v>0</v>
      </c>
      <c r="AA335" s="180" t="n">
        <f aca="false">IF(OR($J335="—",$J335=""),0,IF(COUNTIF(Decisions!$A$5:$A$300,$J335)=0,1,0))</f>
        <v>0</v>
      </c>
      <c r="AB335" s="183" t="n">
        <f aca="false">IF(AND($F335="原始數據",$S335&lt;&gt;"Active"),1,0)</f>
        <v>0</v>
      </c>
      <c r="AC335" s="183" t="n">
        <f aca="false">IF(AND(ISNUMBER($K335),ISNUMBER($L335),ISNUMBER($Q335)),IF(OR($Q335&lt;MIN($K335,$L335),$Q335&gt;MAX($K335,$L335)),1,0),0)</f>
        <v>0</v>
      </c>
      <c r="AD335" s="183" t="n">
        <f aca="false">IF(AND(ISNUMBER($T335),$P335="高"),IF($T335=3,1,0),0)</f>
        <v>0</v>
      </c>
      <c r="AE335" s="183" t="n">
        <f aca="false">IF($S335="不存在",1,0)</f>
        <v>0</v>
      </c>
      <c r="AF335" s="34" t="n">
        <f aca="false">IF(OR($H335="—",$H335=""),"—",MATCH($H335,IDX_SrcID,0))</f>
        <v>295</v>
      </c>
    </row>
    <row r="336" customFormat="false" ht="15" hidden="false" customHeight="true" outlineLevel="0" collapsed="false">
      <c r="A336" s="35" t="s">
        <v>3464</v>
      </c>
      <c r="B336" s="209" t="s">
        <v>2677</v>
      </c>
      <c r="C336" s="35" t="s">
        <v>3413</v>
      </c>
      <c r="D336" s="35" t="s">
        <v>3465</v>
      </c>
      <c r="E336" s="18" t="s">
        <v>414</v>
      </c>
      <c r="F336" s="209" t="s">
        <v>290</v>
      </c>
      <c r="G336" s="209" t="s">
        <v>2679</v>
      </c>
      <c r="H336" s="35" t="s">
        <v>3463</v>
      </c>
      <c r="I336" s="18" t="s">
        <v>2714</v>
      </c>
      <c r="J336" s="35" t="s">
        <v>571</v>
      </c>
      <c r="K336" s="209"/>
      <c r="L336" s="209"/>
      <c r="M336" s="35" t="s">
        <v>571</v>
      </c>
      <c r="N336" s="18" t="s">
        <v>2812</v>
      </c>
      <c r="O336" s="6" t="s">
        <v>571</v>
      </c>
      <c r="P336" s="209" t="s">
        <v>1100</v>
      </c>
      <c r="Q336" s="40" t="n">
        <f aca="false">Calib!H14</f>
        <v>110</v>
      </c>
      <c r="R336" s="182" t="n">
        <f aca="false">SRC_PERF_014_Spd</f>
        <v>110</v>
      </c>
      <c r="S336" s="34" t="str">
        <f aca="false">IF(ISNUMBER($AF336),INDEX(IDX_SrcStat,$AF336),"—")</f>
        <v>Active</v>
      </c>
      <c r="T336" s="34" t="n">
        <f aca="false">IF(ISNUMBER($AF336),INDEX(IDX_SrcGrade,$AF336),"—")</f>
        <v>1</v>
      </c>
      <c r="U336" s="34" t="s">
        <v>2716</v>
      </c>
      <c r="V336" s="183" t="n">
        <f aca="false">IF(AND($F336="原始數據",$U336&lt;&gt;"連結 SRC"),1,0)</f>
        <v>0</v>
      </c>
      <c r="W336" s="183" t="n">
        <f aca="false">IF(AND($F336="Analogy",OR($H336="—",$H336="")),1,0)</f>
        <v>0</v>
      </c>
      <c r="X336" s="183" t="n">
        <f aca="false">IF(AND(OR($F336="Analogy",$F336="Assumed"),$G336&lt;&gt;"低",$G336&lt;&gt;"高",NOT(ISNUMBER($K336)),NOT(ISNUMBER($L336)),OR($M336="—",$M336="")),1,0)</f>
        <v>0</v>
      </c>
      <c r="Y336" s="183" t="n">
        <f aca="false">IF(AND(OR($F336="Analogy",$F336="Assumed",$F336="Derived（待改公式）",$F336="Derived（公式）"),OR($N336="—",$N336="",$N336=0)),1,0)</f>
        <v>0</v>
      </c>
      <c r="Z336" s="183" t="n">
        <f aca="false">IF(AND($F336="Decision",OR($J336="—",$J336="")),1,0)</f>
        <v>0</v>
      </c>
      <c r="AA336" s="180" t="n">
        <f aca="false">IF(OR($J336="—",$J336=""),0,IF(COUNTIF(Decisions!$A$5:$A$300,$J336)=0,1,0))</f>
        <v>0</v>
      </c>
      <c r="AB336" s="183" t="n">
        <f aca="false">IF(AND($F336="原始數據",$S336&lt;&gt;"Active"),1,0)</f>
        <v>0</v>
      </c>
      <c r="AC336" s="183" t="n">
        <f aca="false">IF(AND(ISNUMBER($K336),ISNUMBER($L336),ISNUMBER($Q336)),IF(OR($Q336&lt;MIN($K336,$L336),$Q336&gt;MAX($K336,$L336)),1,0),0)</f>
        <v>0</v>
      </c>
      <c r="AD336" s="183" t="n">
        <f aca="false">IF(AND(ISNUMBER($T336),$P336="高"),IF($T336=3,1,0),0)</f>
        <v>0</v>
      </c>
      <c r="AE336" s="183" t="n">
        <f aca="false">IF($S336="不存在",1,0)</f>
        <v>0</v>
      </c>
      <c r="AF336" s="34" t="n">
        <f aca="false">IF(OR($H336="—",$H336=""),"—",MATCH($H336,IDX_SrcID,0))</f>
        <v>295</v>
      </c>
    </row>
    <row r="337" customFormat="false" ht="15" hidden="false" customHeight="true" outlineLevel="0" collapsed="false">
      <c r="A337" s="35" t="s">
        <v>3466</v>
      </c>
      <c r="B337" s="209" t="s">
        <v>2677</v>
      </c>
      <c r="C337" s="35" t="s">
        <v>3413</v>
      </c>
      <c r="D337" s="35" t="s">
        <v>3467</v>
      </c>
      <c r="E337" s="6" t="s">
        <v>415</v>
      </c>
      <c r="F337" s="209" t="s">
        <v>290</v>
      </c>
      <c r="G337" s="209" t="s">
        <v>2679</v>
      </c>
      <c r="H337" s="35" t="s">
        <v>3463</v>
      </c>
      <c r="I337" s="18" t="s">
        <v>2714</v>
      </c>
      <c r="J337" s="35" t="s">
        <v>571</v>
      </c>
      <c r="K337" s="209"/>
      <c r="L337" s="209"/>
      <c r="M337" s="35" t="s">
        <v>571</v>
      </c>
      <c r="N337" s="18" t="s">
        <v>2812</v>
      </c>
      <c r="O337" s="6" t="s">
        <v>571</v>
      </c>
      <c r="P337" s="209" t="s">
        <v>1100</v>
      </c>
      <c r="Q337" s="40" t="n">
        <f aca="false">Calib!H15</f>
        <v>8192</v>
      </c>
      <c r="R337" s="182" t="n">
        <f aca="false">SRC_PERF_014_ISL</f>
        <v>8192</v>
      </c>
      <c r="S337" s="34" t="str">
        <f aca="false">IF(ISNUMBER($AF337),INDEX(IDX_SrcStat,$AF337),"—")</f>
        <v>Active</v>
      </c>
      <c r="T337" s="34" t="n">
        <f aca="false">IF(ISNUMBER($AF337),INDEX(IDX_SrcGrade,$AF337),"—")</f>
        <v>1</v>
      </c>
      <c r="U337" s="34" t="s">
        <v>2716</v>
      </c>
      <c r="V337" s="183" t="n">
        <f aca="false">IF(AND($F337="原始數據",$U337&lt;&gt;"連結 SRC"),1,0)</f>
        <v>0</v>
      </c>
      <c r="W337" s="183" t="n">
        <f aca="false">IF(AND($F337="Analogy",OR($H337="—",$H337="")),1,0)</f>
        <v>0</v>
      </c>
      <c r="X337" s="183" t="n">
        <f aca="false">IF(AND(OR($F337="Analogy",$F337="Assumed"),$G337&lt;&gt;"低",$G337&lt;&gt;"高",NOT(ISNUMBER($K337)),NOT(ISNUMBER($L337)),OR($M337="—",$M337="")),1,0)</f>
        <v>0</v>
      </c>
      <c r="Y337" s="183" t="n">
        <f aca="false">IF(AND(OR($F337="Analogy",$F337="Assumed",$F337="Derived（待改公式）",$F337="Derived（公式）"),OR($N337="—",$N337="",$N337=0)),1,0)</f>
        <v>0</v>
      </c>
      <c r="Z337" s="183" t="n">
        <f aca="false">IF(AND($F337="Decision",OR($J337="—",$J337="")),1,0)</f>
        <v>0</v>
      </c>
      <c r="AA337" s="180" t="n">
        <f aca="false">IF(OR($J337="—",$J337=""),0,IF(COUNTIF(Decisions!$A$5:$A$300,$J337)=0,1,0))</f>
        <v>0</v>
      </c>
      <c r="AB337" s="183" t="n">
        <f aca="false">IF(AND($F337="原始數據",$S337&lt;&gt;"Active"),1,0)</f>
        <v>0</v>
      </c>
      <c r="AC337" s="183" t="n">
        <f aca="false">IF(AND(ISNUMBER($K337),ISNUMBER($L337),ISNUMBER($Q337)),IF(OR($Q337&lt;MIN($K337,$L337),$Q337&gt;MAX($K337,$L337)),1,0),0)</f>
        <v>0</v>
      </c>
      <c r="AD337" s="183" t="n">
        <f aca="false">IF(AND(ISNUMBER($T337),$P337="高"),IF($T337=3,1,0),0)</f>
        <v>0</v>
      </c>
      <c r="AE337" s="183" t="n">
        <f aca="false">IF($S337="不存在",1,0)</f>
        <v>0</v>
      </c>
      <c r="AF337" s="34" t="n">
        <f aca="false">IF(OR($H337="—",$H337=""),"—",MATCH($H337,IDX_SrcID,0))</f>
        <v>295</v>
      </c>
    </row>
    <row r="338" customFormat="false" ht="15" hidden="false" customHeight="true" outlineLevel="0" collapsed="false">
      <c r="A338" s="35" t="s">
        <v>3468</v>
      </c>
      <c r="B338" s="209" t="s">
        <v>2677</v>
      </c>
      <c r="C338" s="35" t="s">
        <v>3413</v>
      </c>
      <c r="D338" s="35" t="s">
        <v>3469</v>
      </c>
      <c r="E338" s="6" t="s">
        <v>416</v>
      </c>
      <c r="F338" s="209" t="s">
        <v>290</v>
      </c>
      <c r="G338" s="209" t="s">
        <v>2679</v>
      </c>
      <c r="H338" s="35" t="s">
        <v>3463</v>
      </c>
      <c r="I338" s="18" t="s">
        <v>2714</v>
      </c>
      <c r="J338" s="35" t="s">
        <v>571</v>
      </c>
      <c r="K338" s="209"/>
      <c r="L338" s="209"/>
      <c r="M338" s="35" t="s">
        <v>571</v>
      </c>
      <c r="N338" s="18" t="s">
        <v>2812</v>
      </c>
      <c r="O338" s="6" t="s">
        <v>571</v>
      </c>
      <c r="P338" s="209" t="s">
        <v>1100</v>
      </c>
      <c r="Q338" s="40" t="n">
        <f aca="false">Calib!H16</f>
        <v>1024</v>
      </c>
      <c r="R338" s="182" t="n">
        <f aca="false">SRC_PERF_014_OSL</f>
        <v>1024</v>
      </c>
      <c r="S338" s="34" t="str">
        <f aca="false">IF(ISNUMBER($AF338),INDEX(IDX_SrcStat,$AF338),"—")</f>
        <v>Active</v>
      </c>
      <c r="T338" s="34" t="n">
        <f aca="false">IF(ISNUMBER($AF338),INDEX(IDX_SrcGrade,$AF338),"—")</f>
        <v>1</v>
      </c>
      <c r="U338" s="34" t="s">
        <v>2716</v>
      </c>
      <c r="V338" s="183" t="n">
        <f aca="false">IF(AND($F338="原始數據",$U338&lt;&gt;"連結 SRC"),1,0)</f>
        <v>0</v>
      </c>
      <c r="W338" s="183" t="n">
        <f aca="false">IF(AND($F338="Analogy",OR($H338="—",$H338="")),1,0)</f>
        <v>0</v>
      </c>
      <c r="X338" s="183" t="n">
        <f aca="false">IF(AND(OR($F338="Analogy",$F338="Assumed"),$G338&lt;&gt;"低",$G338&lt;&gt;"高",NOT(ISNUMBER($K338)),NOT(ISNUMBER($L338)),OR($M338="—",$M338="")),1,0)</f>
        <v>0</v>
      </c>
      <c r="Y338" s="183" t="n">
        <f aca="false">IF(AND(OR($F338="Analogy",$F338="Assumed",$F338="Derived（待改公式）",$F338="Derived（公式）"),OR($N338="—",$N338="",$N338=0)),1,0)</f>
        <v>0</v>
      </c>
      <c r="Z338" s="183" t="n">
        <f aca="false">IF(AND($F338="Decision",OR($J338="—",$J338="")),1,0)</f>
        <v>0</v>
      </c>
      <c r="AA338" s="180" t="n">
        <f aca="false">IF(OR($J338="—",$J338=""),0,IF(COUNTIF(Decisions!$A$5:$A$300,$J338)=0,1,0))</f>
        <v>0</v>
      </c>
      <c r="AB338" s="183" t="n">
        <f aca="false">IF(AND($F338="原始數據",$S338&lt;&gt;"Active"),1,0)</f>
        <v>0</v>
      </c>
      <c r="AC338" s="183" t="n">
        <f aca="false">IF(AND(ISNUMBER($K338),ISNUMBER($L338),ISNUMBER($Q338)),IF(OR($Q338&lt;MIN($K338,$L338),$Q338&gt;MAX($K338,$L338)),1,0),0)</f>
        <v>0</v>
      </c>
      <c r="AD338" s="183" t="n">
        <f aca="false">IF(AND(ISNUMBER($T338),$P338="高"),IF($T338=3,1,0),0)</f>
        <v>0</v>
      </c>
      <c r="AE338" s="183" t="n">
        <f aca="false">IF($S338="不存在",1,0)</f>
        <v>0</v>
      </c>
      <c r="AF338" s="34" t="n">
        <f aca="false">IF(OR($H338="—",$H338=""),"—",MATCH($H338,IDX_SrcID,0))</f>
        <v>295</v>
      </c>
    </row>
    <row r="339" customFormat="false" ht="15" hidden="false" customHeight="true" outlineLevel="0" collapsed="false">
      <c r="A339" s="35" t="s">
        <v>3470</v>
      </c>
      <c r="B339" s="209" t="s">
        <v>2677</v>
      </c>
      <c r="C339" s="35" t="s">
        <v>3413</v>
      </c>
      <c r="D339" s="35" t="s">
        <v>3471</v>
      </c>
      <c r="E339" s="18" t="s">
        <v>3428</v>
      </c>
      <c r="F339" s="209" t="s">
        <v>290</v>
      </c>
      <c r="G339" s="209" t="s">
        <v>2679</v>
      </c>
      <c r="H339" s="35" t="s">
        <v>3463</v>
      </c>
      <c r="I339" s="18" t="s">
        <v>2714</v>
      </c>
      <c r="J339" s="35" t="s">
        <v>571</v>
      </c>
      <c r="K339" s="209"/>
      <c r="L339" s="209"/>
      <c r="M339" s="35" t="s">
        <v>571</v>
      </c>
      <c r="N339" s="18" t="s">
        <v>2812</v>
      </c>
      <c r="O339" s="6" t="s">
        <v>571</v>
      </c>
      <c r="P339" s="209" t="s">
        <v>1100</v>
      </c>
      <c r="Q339" s="40" t="n">
        <f aca="false">Calib!H17</f>
        <v>3795.5</v>
      </c>
      <c r="R339" s="182" t="n">
        <f aca="false">SRC_PERF_014</f>
        <v>3795.5</v>
      </c>
      <c r="S339" s="34" t="str">
        <f aca="false">IF(ISNUMBER($AF339),INDEX(IDX_SrcStat,$AF339),"—")</f>
        <v>Active</v>
      </c>
      <c r="T339" s="34" t="n">
        <f aca="false">IF(ISNUMBER($AF339),INDEX(IDX_SrcGrade,$AF339),"—")</f>
        <v>1</v>
      </c>
      <c r="U339" s="34" t="s">
        <v>2716</v>
      </c>
      <c r="V339" s="183" t="n">
        <f aca="false">IF(AND($F339="原始數據",$U339&lt;&gt;"連結 SRC"),1,0)</f>
        <v>0</v>
      </c>
      <c r="W339" s="183" t="n">
        <f aca="false">IF(AND($F339="Analogy",OR($H339="—",$H339="")),1,0)</f>
        <v>0</v>
      </c>
      <c r="X339" s="183" t="n">
        <f aca="false">IF(AND(OR($F339="Analogy",$F339="Assumed"),$G339&lt;&gt;"低",$G339&lt;&gt;"高",NOT(ISNUMBER($K339)),NOT(ISNUMBER($L339)),OR($M339="—",$M339="")),1,0)</f>
        <v>0</v>
      </c>
      <c r="Y339" s="183" t="n">
        <f aca="false">IF(AND(OR($F339="Analogy",$F339="Assumed",$F339="Derived（待改公式）",$F339="Derived（公式）"),OR($N339="—",$N339="",$N339=0)),1,0)</f>
        <v>0</v>
      </c>
      <c r="Z339" s="183" t="n">
        <f aca="false">IF(AND($F339="Decision",OR($J339="—",$J339="")),1,0)</f>
        <v>0</v>
      </c>
      <c r="AA339" s="180" t="n">
        <f aca="false">IF(OR($J339="—",$J339=""),0,IF(COUNTIF(Decisions!$A$5:$A$300,$J339)=0,1,0))</f>
        <v>0</v>
      </c>
      <c r="AB339" s="183" t="n">
        <f aca="false">IF(AND($F339="原始數據",$S339&lt;&gt;"Active"),1,0)</f>
        <v>0</v>
      </c>
      <c r="AC339" s="183" t="n">
        <f aca="false">IF(AND(ISNUMBER($K339),ISNUMBER($L339),ISNUMBER($Q339)),IF(OR($Q339&lt;MIN($K339,$L339),$Q339&gt;MAX($K339,$L339)),1,0),0)</f>
        <v>0</v>
      </c>
      <c r="AD339" s="183" t="n">
        <f aca="false">IF(AND(ISNUMBER($T339),$P339="高"),IF($T339=3,1,0),0)</f>
        <v>0</v>
      </c>
      <c r="AE339" s="183" t="n">
        <f aca="false">IF($S339="不存在",1,0)</f>
        <v>0</v>
      </c>
      <c r="AF339" s="34" t="n">
        <f aca="false">IF(OR($H339="—",$H339=""),"—",MATCH($H339,IDX_SrcID,0))</f>
        <v>295</v>
      </c>
    </row>
    <row r="340" customFormat="false" ht="15" hidden="false" customHeight="true" outlineLevel="0" collapsed="false">
      <c r="A340" s="35" t="s">
        <v>3472</v>
      </c>
      <c r="B340" s="209" t="s">
        <v>2677</v>
      </c>
      <c r="C340" s="35" t="s">
        <v>3413</v>
      </c>
      <c r="D340" s="35" t="s">
        <v>3473</v>
      </c>
      <c r="E340" s="6" t="s">
        <v>413</v>
      </c>
      <c r="F340" s="209" t="s">
        <v>290</v>
      </c>
      <c r="G340" s="209" t="s">
        <v>2679</v>
      </c>
      <c r="H340" s="35" t="s">
        <v>3474</v>
      </c>
      <c r="I340" s="18" t="s">
        <v>2714</v>
      </c>
      <c r="J340" s="35" t="s">
        <v>571</v>
      </c>
      <c r="K340" s="209"/>
      <c r="L340" s="209"/>
      <c r="M340" s="35" t="s">
        <v>571</v>
      </c>
      <c r="N340" s="18" t="s">
        <v>2812</v>
      </c>
      <c r="O340" s="6" t="s">
        <v>571</v>
      </c>
      <c r="P340" s="209" t="s">
        <v>2682</v>
      </c>
      <c r="Q340" s="180" t="n">
        <f aca="false">Calib!I13</f>
        <v>1</v>
      </c>
      <c r="R340" s="182" t="n">
        <f aca="false">SRC_PERF_015_MTP</f>
        <v>1</v>
      </c>
      <c r="S340" s="34" t="str">
        <f aca="false">IF(ISNUMBER($AF340),INDEX(IDX_SrcStat,$AF340),"—")</f>
        <v>Active</v>
      </c>
      <c r="T340" s="34" t="n">
        <f aca="false">IF(ISNUMBER($AF340),INDEX(IDX_SrcGrade,$AF340),"—")</f>
        <v>1</v>
      </c>
      <c r="U340" s="34" t="s">
        <v>2716</v>
      </c>
      <c r="V340" s="183" t="n">
        <f aca="false">IF(AND($F340="原始數據",$U340&lt;&gt;"連結 SRC"),1,0)</f>
        <v>0</v>
      </c>
      <c r="W340" s="183" t="n">
        <f aca="false">IF(AND($F340="Analogy",OR($H340="—",$H340="")),1,0)</f>
        <v>0</v>
      </c>
      <c r="X340" s="183" t="n">
        <f aca="false">IF(AND(OR($F340="Analogy",$F340="Assumed"),$G340&lt;&gt;"低",$G340&lt;&gt;"高",NOT(ISNUMBER($K340)),NOT(ISNUMBER($L340)),OR($M340="—",$M340="")),1,0)</f>
        <v>0</v>
      </c>
      <c r="Y340" s="183" t="n">
        <f aca="false">IF(AND(OR($F340="Analogy",$F340="Assumed",$F340="Derived（待改公式）",$F340="Derived（公式）"),OR($N340="—",$N340="",$N340=0)),1,0)</f>
        <v>0</v>
      </c>
      <c r="Z340" s="183" t="n">
        <f aca="false">IF(AND($F340="Decision",OR($J340="—",$J340="")),1,0)</f>
        <v>0</v>
      </c>
      <c r="AA340" s="180" t="n">
        <f aca="false">IF(OR($J340="—",$J340=""),0,IF(COUNTIF(Decisions!$A$5:$A$300,$J340)=0,1,0))</f>
        <v>0</v>
      </c>
      <c r="AB340" s="183" t="n">
        <f aca="false">IF(AND($F340="原始數據",$S340&lt;&gt;"Active"),1,0)</f>
        <v>0</v>
      </c>
      <c r="AC340" s="183" t="n">
        <f aca="false">IF(AND(ISNUMBER($K340),ISNUMBER($L340),ISNUMBER($Q340)),IF(OR($Q340&lt;MIN($K340,$L340),$Q340&gt;MAX($K340,$L340)),1,0),0)</f>
        <v>0</v>
      </c>
      <c r="AD340" s="183" t="n">
        <f aca="false">IF(AND(ISNUMBER($T340),$P340="高"),IF($T340=3,1,0),0)</f>
        <v>0</v>
      </c>
      <c r="AE340" s="183" t="n">
        <f aca="false">IF($S340="不存在",1,0)</f>
        <v>0</v>
      </c>
      <c r="AF340" s="34" t="n">
        <f aca="false">IF(OR($H340="—",$H340=""),"—",MATCH($H340,IDX_SrcID,0))</f>
        <v>296</v>
      </c>
    </row>
    <row r="341" customFormat="false" ht="15" hidden="false" customHeight="true" outlineLevel="0" collapsed="false">
      <c r="A341" s="35" t="s">
        <v>3475</v>
      </c>
      <c r="B341" s="209" t="s">
        <v>2677</v>
      </c>
      <c r="C341" s="35" t="s">
        <v>3413</v>
      </c>
      <c r="D341" s="35" t="s">
        <v>3476</v>
      </c>
      <c r="E341" s="18" t="s">
        <v>414</v>
      </c>
      <c r="F341" s="209" t="s">
        <v>290</v>
      </c>
      <c r="G341" s="209" t="s">
        <v>2679</v>
      </c>
      <c r="H341" s="35" t="s">
        <v>3474</v>
      </c>
      <c r="I341" s="18" t="s">
        <v>2714</v>
      </c>
      <c r="J341" s="35" t="s">
        <v>571</v>
      </c>
      <c r="K341" s="209"/>
      <c r="L341" s="209"/>
      <c r="M341" s="35" t="s">
        <v>571</v>
      </c>
      <c r="N341" s="18" t="s">
        <v>2812</v>
      </c>
      <c r="O341" s="6" t="s">
        <v>571</v>
      </c>
      <c r="P341" s="209" t="s">
        <v>1100</v>
      </c>
      <c r="Q341" s="40" t="n">
        <f aca="false">Calib!I14</f>
        <v>110</v>
      </c>
      <c r="R341" s="182" t="n">
        <f aca="false">SRC_PERF_015_Spd</f>
        <v>110</v>
      </c>
      <c r="S341" s="34" t="str">
        <f aca="false">IF(ISNUMBER($AF341),INDEX(IDX_SrcStat,$AF341),"—")</f>
        <v>Active</v>
      </c>
      <c r="T341" s="34" t="n">
        <f aca="false">IF(ISNUMBER($AF341),INDEX(IDX_SrcGrade,$AF341),"—")</f>
        <v>1</v>
      </c>
      <c r="U341" s="34" t="s">
        <v>2716</v>
      </c>
      <c r="V341" s="183" t="n">
        <f aca="false">IF(AND($F341="原始數據",$U341&lt;&gt;"連結 SRC"),1,0)</f>
        <v>0</v>
      </c>
      <c r="W341" s="183" t="n">
        <f aca="false">IF(AND($F341="Analogy",OR($H341="—",$H341="")),1,0)</f>
        <v>0</v>
      </c>
      <c r="X341" s="183" t="n">
        <f aca="false">IF(AND(OR($F341="Analogy",$F341="Assumed"),$G341&lt;&gt;"低",$G341&lt;&gt;"高",NOT(ISNUMBER($K341)),NOT(ISNUMBER($L341)),OR($M341="—",$M341="")),1,0)</f>
        <v>0</v>
      </c>
      <c r="Y341" s="183" t="n">
        <f aca="false">IF(AND(OR($F341="Analogy",$F341="Assumed",$F341="Derived（待改公式）",$F341="Derived（公式）"),OR($N341="—",$N341="",$N341=0)),1,0)</f>
        <v>0</v>
      </c>
      <c r="Z341" s="183" t="n">
        <f aca="false">IF(AND($F341="Decision",OR($J341="—",$J341="")),1,0)</f>
        <v>0</v>
      </c>
      <c r="AA341" s="180" t="n">
        <f aca="false">IF(OR($J341="—",$J341=""),0,IF(COUNTIF(Decisions!$A$5:$A$300,$J341)=0,1,0))</f>
        <v>0</v>
      </c>
      <c r="AB341" s="183" t="n">
        <f aca="false">IF(AND($F341="原始數據",$S341&lt;&gt;"Active"),1,0)</f>
        <v>0</v>
      </c>
      <c r="AC341" s="183" t="n">
        <f aca="false">IF(AND(ISNUMBER($K341),ISNUMBER($L341),ISNUMBER($Q341)),IF(OR($Q341&lt;MIN($K341,$L341),$Q341&gt;MAX($K341,$L341)),1,0),0)</f>
        <v>0</v>
      </c>
      <c r="AD341" s="183" t="n">
        <f aca="false">IF(AND(ISNUMBER($T341),$P341="高"),IF($T341=3,1,0),0)</f>
        <v>0</v>
      </c>
      <c r="AE341" s="183" t="n">
        <f aca="false">IF($S341="不存在",1,0)</f>
        <v>0</v>
      </c>
      <c r="AF341" s="34" t="n">
        <f aca="false">IF(OR($H341="—",$H341=""),"—",MATCH($H341,IDX_SrcID,0))</f>
        <v>296</v>
      </c>
    </row>
    <row r="342" customFormat="false" ht="15" hidden="false" customHeight="true" outlineLevel="0" collapsed="false">
      <c r="A342" s="35" t="s">
        <v>3477</v>
      </c>
      <c r="B342" s="209" t="s">
        <v>2677</v>
      </c>
      <c r="C342" s="35" t="s">
        <v>3413</v>
      </c>
      <c r="D342" s="35" t="s">
        <v>3478</v>
      </c>
      <c r="E342" s="6" t="s">
        <v>415</v>
      </c>
      <c r="F342" s="209" t="s">
        <v>290</v>
      </c>
      <c r="G342" s="209" t="s">
        <v>2679</v>
      </c>
      <c r="H342" s="35" t="s">
        <v>3474</v>
      </c>
      <c r="I342" s="18" t="s">
        <v>2714</v>
      </c>
      <c r="J342" s="35" t="s">
        <v>571</v>
      </c>
      <c r="K342" s="209"/>
      <c r="L342" s="209"/>
      <c r="M342" s="35" t="s">
        <v>571</v>
      </c>
      <c r="N342" s="18" t="s">
        <v>2812</v>
      </c>
      <c r="O342" s="6" t="s">
        <v>571</v>
      </c>
      <c r="P342" s="209" t="s">
        <v>1100</v>
      </c>
      <c r="Q342" s="40" t="n">
        <f aca="false">Calib!I15</f>
        <v>8192</v>
      </c>
      <c r="R342" s="182" t="n">
        <f aca="false">SRC_PERF_015_ISL</f>
        <v>8192</v>
      </c>
      <c r="S342" s="34" t="str">
        <f aca="false">IF(ISNUMBER($AF342),INDEX(IDX_SrcStat,$AF342),"—")</f>
        <v>Active</v>
      </c>
      <c r="T342" s="34" t="n">
        <f aca="false">IF(ISNUMBER($AF342),INDEX(IDX_SrcGrade,$AF342),"—")</f>
        <v>1</v>
      </c>
      <c r="U342" s="34" t="s">
        <v>2716</v>
      </c>
      <c r="V342" s="183" t="n">
        <f aca="false">IF(AND($F342="原始數據",$U342&lt;&gt;"連結 SRC"),1,0)</f>
        <v>0</v>
      </c>
      <c r="W342" s="183" t="n">
        <f aca="false">IF(AND($F342="Analogy",OR($H342="—",$H342="")),1,0)</f>
        <v>0</v>
      </c>
      <c r="X342" s="183" t="n">
        <f aca="false">IF(AND(OR($F342="Analogy",$F342="Assumed"),$G342&lt;&gt;"低",$G342&lt;&gt;"高",NOT(ISNUMBER($K342)),NOT(ISNUMBER($L342)),OR($M342="—",$M342="")),1,0)</f>
        <v>0</v>
      </c>
      <c r="Y342" s="183" t="n">
        <f aca="false">IF(AND(OR($F342="Analogy",$F342="Assumed",$F342="Derived（待改公式）",$F342="Derived（公式）"),OR($N342="—",$N342="",$N342=0)),1,0)</f>
        <v>0</v>
      </c>
      <c r="Z342" s="183" t="n">
        <f aca="false">IF(AND($F342="Decision",OR($J342="—",$J342="")),1,0)</f>
        <v>0</v>
      </c>
      <c r="AA342" s="180" t="n">
        <f aca="false">IF(OR($J342="—",$J342=""),0,IF(COUNTIF(Decisions!$A$5:$A$300,$J342)=0,1,0))</f>
        <v>0</v>
      </c>
      <c r="AB342" s="183" t="n">
        <f aca="false">IF(AND($F342="原始數據",$S342&lt;&gt;"Active"),1,0)</f>
        <v>0</v>
      </c>
      <c r="AC342" s="183" t="n">
        <f aca="false">IF(AND(ISNUMBER($K342),ISNUMBER($L342),ISNUMBER($Q342)),IF(OR($Q342&lt;MIN($K342,$L342),$Q342&gt;MAX($K342,$L342)),1,0),0)</f>
        <v>0</v>
      </c>
      <c r="AD342" s="183" t="n">
        <f aca="false">IF(AND(ISNUMBER($T342),$P342="高"),IF($T342=3,1,0),0)</f>
        <v>0</v>
      </c>
      <c r="AE342" s="183" t="n">
        <f aca="false">IF($S342="不存在",1,0)</f>
        <v>0</v>
      </c>
      <c r="AF342" s="34" t="n">
        <f aca="false">IF(OR($H342="—",$H342=""),"—",MATCH($H342,IDX_SrcID,0))</f>
        <v>296</v>
      </c>
    </row>
    <row r="343" customFormat="false" ht="15" hidden="false" customHeight="true" outlineLevel="0" collapsed="false">
      <c r="A343" s="35" t="s">
        <v>3479</v>
      </c>
      <c r="B343" s="209" t="s">
        <v>2677</v>
      </c>
      <c r="C343" s="35" t="s">
        <v>3413</v>
      </c>
      <c r="D343" s="35" t="s">
        <v>3480</v>
      </c>
      <c r="E343" s="6" t="s">
        <v>416</v>
      </c>
      <c r="F343" s="209" t="s">
        <v>290</v>
      </c>
      <c r="G343" s="209" t="s">
        <v>2679</v>
      </c>
      <c r="H343" s="35" t="s">
        <v>3474</v>
      </c>
      <c r="I343" s="18" t="s">
        <v>2714</v>
      </c>
      <c r="J343" s="35" t="s">
        <v>571</v>
      </c>
      <c r="K343" s="209"/>
      <c r="L343" s="209"/>
      <c r="M343" s="35" t="s">
        <v>571</v>
      </c>
      <c r="N343" s="18" t="s">
        <v>2812</v>
      </c>
      <c r="O343" s="6" t="s">
        <v>571</v>
      </c>
      <c r="P343" s="209" t="s">
        <v>1100</v>
      </c>
      <c r="Q343" s="40" t="n">
        <f aca="false">Calib!I16</f>
        <v>1024</v>
      </c>
      <c r="R343" s="182" t="n">
        <f aca="false">SRC_PERF_015_OSL</f>
        <v>1024</v>
      </c>
      <c r="S343" s="34" t="str">
        <f aca="false">IF(ISNUMBER($AF343),INDEX(IDX_SrcStat,$AF343),"—")</f>
        <v>Active</v>
      </c>
      <c r="T343" s="34" t="n">
        <f aca="false">IF(ISNUMBER($AF343),INDEX(IDX_SrcGrade,$AF343),"—")</f>
        <v>1</v>
      </c>
      <c r="U343" s="34" t="s">
        <v>2716</v>
      </c>
      <c r="V343" s="183" t="n">
        <f aca="false">IF(AND($F343="原始數據",$U343&lt;&gt;"連結 SRC"),1,0)</f>
        <v>0</v>
      </c>
      <c r="W343" s="183" t="n">
        <f aca="false">IF(AND($F343="Analogy",OR($H343="—",$H343="")),1,0)</f>
        <v>0</v>
      </c>
      <c r="X343" s="183" t="n">
        <f aca="false">IF(AND(OR($F343="Analogy",$F343="Assumed"),$G343&lt;&gt;"低",$G343&lt;&gt;"高",NOT(ISNUMBER($K343)),NOT(ISNUMBER($L343)),OR($M343="—",$M343="")),1,0)</f>
        <v>0</v>
      </c>
      <c r="Y343" s="183" t="n">
        <f aca="false">IF(AND(OR($F343="Analogy",$F343="Assumed",$F343="Derived（待改公式）",$F343="Derived（公式）"),OR($N343="—",$N343="",$N343=0)),1,0)</f>
        <v>0</v>
      </c>
      <c r="Z343" s="183" t="n">
        <f aca="false">IF(AND($F343="Decision",OR($J343="—",$J343="")),1,0)</f>
        <v>0</v>
      </c>
      <c r="AA343" s="180" t="n">
        <f aca="false">IF(OR($J343="—",$J343=""),0,IF(COUNTIF(Decisions!$A$5:$A$300,$J343)=0,1,0))</f>
        <v>0</v>
      </c>
      <c r="AB343" s="183" t="n">
        <f aca="false">IF(AND($F343="原始數據",$S343&lt;&gt;"Active"),1,0)</f>
        <v>0</v>
      </c>
      <c r="AC343" s="183" t="n">
        <f aca="false">IF(AND(ISNUMBER($K343),ISNUMBER($L343),ISNUMBER($Q343)),IF(OR($Q343&lt;MIN($K343,$L343),$Q343&gt;MAX($K343,$L343)),1,0),0)</f>
        <v>0</v>
      </c>
      <c r="AD343" s="183" t="n">
        <f aca="false">IF(AND(ISNUMBER($T343),$P343="高"),IF($T343=3,1,0),0)</f>
        <v>0</v>
      </c>
      <c r="AE343" s="183" t="n">
        <f aca="false">IF($S343="不存在",1,0)</f>
        <v>0</v>
      </c>
      <c r="AF343" s="34" t="n">
        <f aca="false">IF(OR($H343="—",$H343=""),"—",MATCH($H343,IDX_SrcID,0))</f>
        <v>296</v>
      </c>
    </row>
    <row r="344" customFormat="false" ht="15" hidden="false" customHeight="true" outlineLevel="0" collapsed="false">
      <c r="A344" s="35" t="s">
        <v>3481</v>
      </c>
      <c r="B344" s="209" t="s">
        <v>2677</v>
      </c>
      <c r="C344" s="35" t="s">
        <v>3413</v>
      </c>
      <c r="D344" s="35" t="s">
        <v>3482</v>
      </c>
      <c r="E344" s="18" t="s">
        <v>3428</v>
      </c>
      <c r="F344" s="209" t="s">
        <v>290</v>
      </c>
      <c r="G344" s="209" t="s">
        <v>2679</v>
      </c>
      <c r="H344" s="35" t="s">
        <v>3474</v>
      </c>
      <c r="I344" s="18" t="s">
        <v>2714</v>
      </c>
      <c r="J344" s="35" t="s">
        <v>571</v>
      </c>
      <c r="K344" s="209"/>
      <c r="L344" s="209"/>
      <c r="M344" s="35" t="s">
        <v>571</v>
      </c>
      <c r="N344" s="18" t="s">
        <v>2812</v>
      </c>
      <c r="O344" s="6" t="s">
        <v>571</v>
      </c>
      <c r="P344" s="209" t="s">
        <v>1100</v>
      </c>
      <c r="Q344" s="40" t="n">
        <f aca="false">Calib!I17</f>
        <v>6522.4</v>
      </c>
      <c r="R344" s="182" t="n">
        <f aca="false">SRC_PERF_015</f>
        <v>6522.4</v>
      </c>
      <c r="S344" s="34" t="str">
        <f aca="false">IF(ISNUMBER($AF344),INDEX(IDX_SrcStat,$AF344),"—")</f>
        <v>Active</v>
      </c>
      <c r="T344" s="34" t="n">
        <f aca="false">IF(ISNUMBER($AF344),INDEX(IDX_SrcGrade,$AF344),"—")</f>
        <v>1</v>
      </c>
      <c r="U344" s="34" t="s">
        <v>2716</v>
      </c>
      <c r="V344" s="183" t="n">
        <f aca="false">IF(AND($F344="原始數據",$U344&lt;&gt;"連結 SRC"),1,0)</f>
        <v>0</v>
      </c>
      <c r="W344" s="183" t="n">
        <f aca="false">IF(AND($F344="Analogy",OR($H344="—",$H344="")),1,0)</f>
        <v>0</v>
      </c>
      <c r="X344" s="183" t="n">
        <f aca="false">IF(AND(OR($F344="Analogy",$F344="Assumed"),$G344&lt;&gt;"低",$G344&lt;&gt;"高",NOT(ISNUMBER($K344)),NOT(ISNUMBER($L344)),OR($M344="—",$M344="")),1,0)</f>
        <v>0</v>
      </c>
      <c r="Y344" s="183" t="n">
        <f aca="false">IF(AND(OR($F344="Analogy",$F344="Assumed",$F344="Derived（待改公式）",$F344="Derived（公式）"),OR($N344="—",$N344="",$N344=0)),1,0)</f>
        <v>0</v>
      </c>
      <c r="Z344" s="183" t="n">
        <f aca="false">IF(AND($F344="Decision",OR($J344="—",$J344="")),1,0)</f>
        <v>0</v>
      </c>
      <c r="AA344" s="180" t="n">
        <f aca="false">IF(OR($J344="—",$J344=""),0,IF(COUNTIF(Decisions!$A$5:$A$300,$J344)=0,1,0))</f>
        <v>0</v>
      </c>
      <c r="AB344" s="183" t="n">
        <f aca="false">IF(AND($F344="原始數據",$S344&lt;&gt;"Active"),1,0)</f>
        <v>0</v>
      </c>
      <c r="AC344" s="183" t="n">
        <f aca="false">IF(AND(ISNUMBER($K344),ISNUMBER($L344),ISNUMBER($Q344)),IF(OR($Q344&lt;MIN($K344,$L344),$Q344&gt;MAX($K344,$L344)),1,0),0)</f>
        <v>0</v>
      </c>
      <c r="AD344" s="183" t="n">
        <f aca="false">IF(AND(ISNUMBER($T344),$P344="高"),IF($T344=3,1,0),0)</f>
        <v>0</v>
      </c>
      <c r="AE344" s="183" t="n">
        <f aca="false">IF($S344="不存在",1,0)</f>
        <v>0</v>
      </c>
      <c r="AF344" s="34" t="n">
        <f aca="false">IF(OR($H344="—",$H344=""),"—",MATCH($H344,IDX_SrcID,0))</f>
        <v>296</v>
      </c>
    </row>
    <row r="345" customFormat="false" ht="100.5" hidden="false" customHeight="true" outlineLevel="0" collapsed="false">
      <c r="A345" s="35" t="s">
        <v>3483</v>
      </c>
      <c r="B345" s="209" t="s">
        <v>2677</v>
      </c>
      <c r="C345" s="35" t="s">
        <v>3413</v>
      </c>
      <c r="D345" s="35" t="s">
        <v>3484</v>
      </c>
      <c r="E345" s="6" t="s">
        <v>473</v>
      </c>
      <c r="F345" s="35" t="s">
        <v>76</v>
      </c>
      <c r="G345" s="209" t="s">
        <v>2679</v>
      </c>
      <c r="H345" s="35" t="s">
        <v>3485</v>
      </c>
      <c r="I345" s="18" t="s">
        <v>3486</v>
      </c>
      <c r="J345" s="35" t="s">
        <v>571</v>
      </c>
      <c r="K345" s="211" t="n">
        <v>0.5</v>
      </c>
      <c r="L345" s="211" t="n">
        <v>2.5</v>
      </c>
      <c r="M345" s="35" t="s">
        <v>3487</v>
      </c>
      <c r="N345" s="210" t="str">
        <f aca="false">Calib!$J$67</f>
        <v>Hopper：v5.4 取 3（DeepSeek H800 線上 decode 約達峰值 18%，S30；當時峰值誤用 989 TF）。v5.5 峰值更正為 FP8 1,979 TF，倍數同步減半為 1.5，使 Hopper 產出不變；S30 口徑查核後重推 [Analogy，區間 0.5–2.5]；GB200、VR200 沿用 GB300 [Analogy]；RU [Assumed]</v>
      </c>
      <c r="O345" s="6" t="s">
        <v>571</v>
      </c>
      <c r="P345" s="209" t="s">
        <v>1100</v>
      </c>
      <c r="Q345" s="172" t="n">
        <f aca="false">Calib!C67</f>
        <v>1.5</v>
      </c>
      <c r="R345" s="182" t="n">
        <f aca="false">SRC_PERF_042</f>
        <v>14800</v>
      </c>
      <c r="S345" s="34" t="str">
        <f aca="false">IF(ISNUMBER($AF345),INDEX(IDX_SrcStat,$AF345),"—")</f>
        <v>Active</v>
      </c>
      <c r="T345" s="34" t="n">
        <f aca="false">IF(ISNUMBER($AF345),INDEX(IDX_SrcGrade,$AF345),"—")</f>
        <v>1</v>
      </c>
      <c r="U345" s="34" t="s">
        <v>2683</v>
      </c>
      <c r="V345" s="183" t="n">
        <f aca="false">IF(AND($F345="原始數據",$U345&lt;&gt;"連結 SRC"),1,0)</f>
        <v>0</v>
      </c>
      <c r="W345" s="183" t="n">
        <f aca="false">IF(AND($F345="Analogy",OR($H345="—",$H345="")),1,0)</f>
        <v>0</v>
      </c>
      <c r="X345" s="183" t="n">
        <f aca="false">IF(AND(OR($F345="Analogy",$F345="Assumed"),$G345&lt;&gt;"低",$G345&lt;&gt;"高",NOT(ISNUMBER($K345)),NOT(ISNUMBER($L345)),OR($M345="—",$M345="")),1,0)</f>
        <v>0</v>
      </c>
      <c r="Y345" s="183" t="n">
        <f aca="false">IF(AND(OR($F345="Analogy",$F345="Assumed",$F345="Derived（待改公式）",$F345="Derived（公式）"),OR($N345="—",$N345="",$N345=0)),1,0)</f>
        <v>0</v>
      </c>
      <c r="Z345" s="183" t="n">
        <f aca="false">IF(AND($F345="Decision",OR($J345="—",$J345="")),1,0)</f>
        <v>0</v>
      </c>
      <c r="AA345" s="180" t="n">
        <f aca="false">IF(OR($J345="—",$J345=""),0,IF(COUNTIF(Decisions!$A$5:$A$300,$J345)=0,1,0))</f>
        <v>0</v>
      </c>
      <c r="AB345" s="183" t="n">
        <f aca="false">IF(AND($F345="原始數據",$S345&lt;&gt;"Active"),1,0)</f>
        <v>0</v>
      </c>
      <c r="AC345" s="183" t="n">
        <f aca="false">IF(AND(ISNUMBER($K345),ISNUMBER($L345),ISNUMBER($Q345)),IF(OR($Q345&lt;MIN($K345,$L345),$Q345&gt;MAX($K345,$L345)),1,0),0)</f>
        <v>0</v>
      </c>
      <c r="AD345" s="183" t="n">
        <f aca="false">IF(AND(ISNUMBER($T345),$P345="高"),IF($T345=3,1,0),0)</f>
        <v>0</v>
      </c>
      <c r="AE345" s="183" t="n">
        <f aca="false">IF($S345="不存在",1,0)</f>
        <v>0</v>
      </c>
      <c r="AF345" s="34" t="n">
        <f aca="false">IF(OR($H345="—",$H345=""),"—",MATCH($H345,IDX_SrcID,0))</f>
        <v>323</v>
      </c>
    </row>
    <row r="346" customFormat="false" ht="29.25" hidden="false" customHeight="true" outlineLevel="0" collapsed="false">
      <c r="A346" s="35" t="s">
        <v>3488</v>
      </c>
      <c r="B346" s="209" t="s">
        <v>2677</v>
      </c>
      <c r="C346" s="35" t="s">
        <v>3413</v>
      </c>
      <c r="D346" s="35" t="s">
        <v>3489</v>
      </c>
      <c r="E346" s="6" t="s">
        <v>473</v>
      </c>
      <c r="F346" s="35" t="s">
        <v>76</v>
      </c>
      <c r="G346" s="209" t="s">
        <v>2679</v>
      </c>
      <c r="H346" s="35" t="s">
        <v>3423</v>
      </c>
      <c r="I346" s="18" t="s">
        <v>3490</v>
      </c>
      <c r="J346" s="35" t="s">
        <v>571</v>
      </c>
      <c r="K346" s="211" t="n">
        <v>0.5</v>
      </c>
      <c r="L346" s="211" t="n">
        <v>1.5</v>
      </c>
      <c r="M346" s="35" t="s">
        <v>3491</v>
      </c>
      <c r="N346" s="18" t="s">
        <v>3492</v>
      </c>
      <c r="O346" s="6" t="s">
        <v>571</v>
      </c>
      <c r="P346" s="209" t="s">
        <v>1100</v>
      </c>
      <c r="Q346" s="172" t="n">
        <f aca="false">Calib!D67</f>
        <v>1</v>
      </c>
      <c r="R346" s="182" t="n">
        <f aca="false">SRC_PERF_009</f>
        <v>9342.1</v>
      </c>
      <c r="S346" s="34" t="str">
        <f aca="false">IF(ISNUMBER($AF346),INDEX(IDX_SrcStat,$AF346),"—")</f>
        <v>Active</v>
      </c>
      <c r="T346" s="34" t="n">
        <f aca="false">IF(ISNUMBER($AF346),INDEX(IDX_SrcGrade,$AF346),"—")</f>
        <v>2</v>
      </c>
      <c r="U346" s="34" t="s">
        <v>2683</v>
      </c>
      <c r="V346" s="183" t="n">
        <f aca="false">IF(AND($F346="原始數據",$U346&lt;&gt;"連結 SRC"),1,0)</f>
        <v>0</v>
      </c>
      <c r="W346" s="183" t="n">
        <f aca="false">IF(AND($F346="Analogy",OR($H346="—",$H346="")),1,0)</f>
        <v>0</v>
      </c>
      <c r="X346" s="183" t="n">
        <f aca="false">IF(AND(OR($F346="Analogy",$F346="Assumed"),$G346&lt;&gt;"低",$G346&lt;&gt;"高",NOT(ISNUMBER($K346)),NOT(ISNUMBER($L346)),OR($M346="—",$M346="")),1,0)</f>
        <v>0</v>
      </c>
      <c r="Y346" s="183" t="n">
        <f aca="false">IF(AND(OR($F346="Analogy",$F346="Assumed",$F346="Derived（待改公式）",$F346="Derived（公式）"),OR($N346="—",$N346="",$N346=0)),1,0)</f>
        <v>0</v>
      </c>
      <c r="Z346" s="183" t="n">
        <f aca="false">IF(AND($F346="Decision",OR($J346="—",$J346="")),1,0)</f>
        <v>0</v>
      </c>
      <c r="AA346" s="180" t="n">
        <f aca="false">IF(OR($J346="—",$J346=""),0,IF(COUNTIF(Decisions!$A$5:$A$300,$J346)=0,1,0))</f>
        <v>0</v>
      </c>
      <c r="AB346" s="183" t="n">
        <f aca="false">IF(AND($F346="原始數據",$S346&lt;&gt;"Active"),1,0)</f>
        <v>0</v>
      </c>
      <c r="AC346" s="183" t="n">
        <f aca="false">IF(AND(ISNUMBER($K346),ISNUMBER($L346),ISNUMBER($Q346)),IF(OR($Q346&lt;MIN($K346,$L346),$Q346&gt;MAX($K346,$L346)),1,0),0)</f>
        <v>0</v>
      </c>
      <c r="AD346" s="183" t="n">
        <f aca="false">IF(AND(ISNUMBER($T346),$P346="高"),IF($T346=3,1,0),0)</f>
        <v>0</v>
      </c>
      <c r="AE346" s="183" t="n">
        <f aca="false">IF($S346="不存在",1,0)</f>
        <v>0</v>
      </c>
      <c r="AF346" s="34" t="n">
        <f aca="false">IF(OR($H346="—",$H346=""),"—",MATCH($H346,IDX_SrcID,0))</f>
        <v>290</v>
      </c>
    </row>
    <row r="347" customFormat="false" ht="29.25" hidden="false" customHeight="true" outlineLevel="0" collapsed="false">
      <c r="A347" s="35" t="s">
        <v>3493</v>
      </c>
      <c r="B347" s="209" t="s">
        <v>2677</v>
      </c>
      <c r="C347" s="35" t="s">
        <v>3413</v>
      </c>
      <c r="D347" s="35" t="s">
        <v>3494</v>
      </c>
      <c r="E347" s="6" t="s">
        <v>473</v>
      </c>
      <c r="F347" s="35" t="s">
        <v>76</v>
      </c>
      <c r="G347" s="209" t="s">
        <v>2679</v>
      </c>
      <c r="H347" s="35" t="s">
        <v>3423</v>
      </c>
      <c r="I347" s="18" t="s">
        <v>3490</v>
      </c>
      <c r="J347" s="35" t="s">
        <v>571</v>
      </c>
      <c r="K347" s="211" t="n">
        <v>0.5</v>
      </c>
      <c r="L347" s="211" t="n">
        <v>1.5</v>
      </c>
      <c r="M347" s="35" t="s">
        <v>3491</v>
      </c>
      <c r="N347" s="18" t="s">
        <v>3492</v>
      </c>
      <c r="O347" s="6" t="s">
        <v>571</v>
      </c>
      <c r="P347" s="209" t="s">
        <v>1100</v>
      </c>
      <c r="Q347" s="172" t="n">
        <f aca="false">Calib!E67</f>
        <v>1</v>
      </c>
      <c r="R347" s="182" t="n">
        <f aca="false">SRC_PERF_009</f>
        <v>9342.1</v>
      </c>
      <c r="S347" s="34" t="str">
        <f aca="false">IF(ISNUMBER($AF347),INDEX(IDX_SrcStat,$AF347),"—")</f>
        <v>Active</v>
      </c>
      <c r="T347" s="34" t="n">
        <f aca="false">IF(ISNUMBER($AF347),INDEX(IDX_SrcGrade,$AF347),"—")</f>
        <v>2</v>
      </c>
      <c r="U347" s="34" t="s">
        <v>2683</v>
      </c>
      <c r="V347" s="183" t="n">
        <f aca="false">IF(AND($F347="原始數據",$U347&lt;&gt;"連結 SRC"),1,0)</f>
        <v>0</v>
      </c>
      <c r="W347" s="183" t="n">
        <f aca="false">IF(AND($F347="Analogy",OR($H347="—",$H347="")),1,0)</f>
        <v>0</v>
      </c>
      <c r="X347" s="183" t="n">
        <f aca="false">IF(AND(OR($F347="Analogy",$F347="Assumed"),$G347&lt;&gt;"低",$G347&lt;&gt;"高",NOT(ISNUMBER($K347)),NOT(ISNUMBER($L347)),OR($M347="—",$M347="")),1,0)</f>
        <v>0</v>
      </c>
      <c r="Y347" s="183" t="n">
        <f aca="false">IF(AND(OR($F347="Analogy",$F347="Assumed",$F347="Derived（待改公式）",$F347="Derived（公式）"),OR($N347="—",$N347="",$N347=0)),1,0)</f>
        <v>0</v>
      </c>
      <c r="Z347" s="183" t="n">
        <f aca="false">IF(AND($F347="Decision",OR($J347="—",$J347="")),1,0)</f>
        <v>0</v>
      </c>
      <c r="AA347" s="180" t="n">
        <f aca="false">IF(OR($J347="—",$J347=""),0,IF(COUNTIF(Decisions!$A$5:$A$300,$J347)=0,1,0))</f>
        <v>0</v>
      </c>
      <c r="AB347" s="183" t="n">
        <f aca="false">IF(AND($F347="原始數據",$S347&lt;&gt;"Active"),1,0)</f>
        <v>0</v>
      </c>
      <c r="AC347" s="183" t="n">
        <f aca="false">IF(AND(ISNUMBER($K347),ISNUMBER($L347),ISNUMBER($Q347)),IF(OR($Q347&lt;MIN($K347,$L347),$Q347&gt;MAX($K347,$L347)),1,0),0)</f>
        <v>0</v>
      </c>
      <c r="AD347" s="183" t="n">
        <f aca="false">IF(AND(ISNUMBER($T347),$P347="高"),IF($T347=3,1,0),0)</f>
        <v>0</v>
      </c>
      <c r="AE347" s="183" t="n">
        <f aca="false">IF($S347="不存在",1,0)</f>
        <v>0</v>
      </c>
      <c r="AF347" s="34" t="n">
        <f aca="false">IF(OR($H347="—",$H347=""),"—",MATCH($H347,IDX_SrcID,0))</f>
        <v>290</v>
      </c>
    </row>
    <row r="348" customFormat="false" ht="29.25" hidden="false" customHeight="true" outlineLevel="0" collapsed="false">
      <c r="A348" s="35" t="s">
        <v>3495</v>
      </c>
      <c r="B348" s="209" t="s">
        <v>2677</v>
      </c>
      <c r="C348" s="35" t="s">
        <v>3413</v>
      </c>
      <c r="D348" s="35" t="s">
        <v>3496</v>
      </c>
      <c r="E348" s="6" t="s">
        <v>473</v>
      </c>
      <c r="F348" s="35" t="s">
        <v>76</v>
      </c>
      <c r="G348" s="209" t="s">
        <v>2679</v>
      </c>
      <c r="H348" s="35" t="s">
        <v>3423</v>
      </c>
      <c r="I348" s="18" t="s">
        <v>3490</v>
      </c>
      <c r="J348" s="35" t="s">
        <v>571</v>
      </c>
      <c r="K348" s="211" t="n">
        <v>0.5</v>
      </c>
      <c r="L348" s="211" t="n">
        <v>1.5</v>
      </c>
      <c r="M348" s="35" t="s">
        <v>3491</v>
      </c>
      <c r="N348" s="18" t="s">
        <v>3492</v>
      </c>
      <c r="O348" s="6" t="s">
        <v>571</v>
      </c>
      <c r="P348" s="209" t="s">
        <v>1100</v>
      </c>
      <c r="Q348" s="172" t="n">
        <f aca="false">Calib!F67</f>
        <v>1</v>
      </c>
      <c r="R348" s="182" t="n">
        <f aca="false">SRC_PERF_009</f>
        <v>9342.1</v>
      </c>
      <c r="S348" s="34" t="str">
        <f aca="false">IF(ISNUMBER($AF348),INDEX(IDX_SrcStat,$AF348),"—")</f>
        <v>Active</v>
      </c>
      <c r="T348" s="34" t="n">
        <f aca="false">IF(ISNUMBER($AF348),INDEX(IDX_SrcGrade,$AF348),"—")</f>
        <v>2</v>
      </c>
      <c r="U348" s="34" t="s">
        <v>2683</v>
      </c>
      <c r="V348" s="183" t="n">
        <f aca="false">IF(AND($F348="原始數據",$U348&lt;&gt;"連結 SRC"),1,0)</f>
        <v>0</v>
      </c>
      <c r="W348" s="183" t="n">
        <f aca="false">IF(AND($F348="Analogy",OR($H348="—",$H348="")),1,0)</f>
        <v>0</v>
      </c>
      <c r="X348" s="183" t="n">
        <f aca="false">IF(AND(OR($F348="Analogy",$F348="Assumed"),$G348&lt;&gt;"低",$G348&lt;&gt;"高",NOT(ISNUMBER($K348)),NOT(ISNUMBER($L348)),OR($M348="—",$M348="")),1,0)</f>
        <v>0</v>
      </c>
      <c r="Y348" s="183" t="n">
        <f aca="false">IF(AND(OR($F348="Analogy",$F348="Assumed",$F348="Derived（待改公式）",$F348="Derived（公式）"),OR($N348="—",$N348="",$N348=0)),1,0)</f>
        <v>0</v>
      </c>
      <c r="Z348" s="183" t="n">
        <f aca="false">IF(AND($F348="Decision",OR($J348="—",$J348="")),1,0)</f>
        <v>0</v>
      </c>
      <c r="AA348" s="180" t="n">
        <f aca="false">IF(OR($J348="—",$J348=""),0,IF(COUNTIF(Decisions!$A$5:$A$300,$J348)=0,1,0))</f>
        <v>0</v>
      </c>
      <c r="AB348" s="183" t="n">
        <f aca="false">IF(AND($F348="原始數據",$S348&lt;&gt;"Active"),1,0)</f>
        <v>0</v>
      </c>
      <c r="AC348" s="183" t="n">
        <f aca="false">IF(AND(ISNUMBER($K348),ISNUMBER($L348),ISNUMBER($Q348)),IF(OR($Q348&lt;MIN($K348,$L348),$Q348&gt;MAX($K348,$L348)),1,0),0)</f>
        <v>0</v>
      </c>
      <c r="AD348" s="183" t="n">
        <f aca="false">IF(AND(ISNUMBER($T348),$P348="高"),IF($T348=3,1,0),0)</f>
        <v>0</v>
      </c>
      <c r="AE348" s="183" t="n">
        <f aca="false">IF($S348="不存在",1,0)</f>
        <v>0</v>
      </c>
      <c r="AF348" s="34" t="n">
        <f aca="false">IF(OR($H348="—",$H348=""),"—",MATCH($H348,IDX_SrcID,0))</f>
        <v>290</v>
      </c>
    </row>
    <row r="349" customFormat="false" ht="29.25" hidden="false" customHeight="true" outlineLevel="0" collapsed="false">
      <c r="A349" s="35" t="s">
        <v>3497</v>
      </c>
      <c r="B349" s="209" t="s">
        <v>2677</v>
      </c>
      <c r="C349" s="35" t="s">
        <v>3413</v>
      </c>
      <c r="D349" s="35" t="s">
        <v>3498</v>
      </c>
      <c r="E349" s="6" t="s">
        <v>473</v>
      </c>
      <c r="F349" s="35" t="s">
        <v>76</v>
      </c>
      <c r="G349" s="209" t="s">
        <v>2679</v>
      </c>
      <c r="H349" s="35" t="s">
        <v>3423</v>
      </c>
      <c r="I349" s="18" t="s">
        <v>3490</v>
      </c>
      <c r="J349" s="35" t="s">
        <v>571</v>
      </c>
      <c r="K349" s="211" t="n">
        <v>0.5</v>
      </c>
      <c r="L349" s="211" t="n">
        <v>1.5</v>
      </c>
      <c r="M349" s="35" t="s">
        <v>3491</v>
      </c>
      <c r="N349" s="18" t="s">
        <v>3492</v>
      </c>
      <c r="O349" s="6" t="s">
        <v>571</v>
      </c>
      <c r="P349" s="209" t="s">
        <v>1100</v>
      </c>
      <c r="Q349" s="172" t="n">
        <f aca="false">Calib!G67</f>
        <v>1</v>
      </c>
      <c r="R349" s="182" t="n">
        <f aca="false">SRC_PERF_009</f>
        <v>9342.1</v>
      </c>
      <c r="S349" s="34" t="str">
        <f aca="false">IF(ISNUMBER($AF349),INDEX(IDX_SrcStat,$AF349),"—")</f>
        <v>Active</v>
      </c>
      <c r="T349" s="34" t="n">
        <f aca="false">IF(ISNUMBER($AF349),INDEX(IDX_SrcGrade,$AF349),"—")</f>
        <v>2</v>
      </c>
      <c r="U349" s="34" t="s">
        <v>2683</v>
      </c>
      <c r="V349" s="183" t="n">
        <f aca="false">IF(AND($F349="原始數據",$U349&lt;&gt;"連結 SRC"),1,0)</f>
        <v>0</v>
      </c>
      <c r="W349" s="183" t="n">
        <f aca="false">IF(AND($F349="Analogy",OR($H349="—",$H349="")),1,0)</f>
        <v>0</v>
      </c>
      <c r="X349" s="183" t="n">
        <f aca="false">IF(AND(OR($F349="Analogy",$F349="Assumed"),$G349&lt;&gt;"低",$G349&lt;&gt;"高",NOT(ISNUMBER($K349)),NOT(ISNUMBER($L349)),OR($M349="—",$M349="")),1,0)</f>
        <v>0</v>
      </c>
      <c r="Y349" s="183" t="n">
        <f aca="false">IF(AND(OR($F349="Analogy",$F349="Assumed",$F349="Derived（待改公式）",$F349="Derived（公式）"),OR($N349="—",$N349="",$N349=0)),1,0)</f>
        <v>0</v>
      </c>
      <c r="Z349" s="183" t="n">
        <f aca="false">IF(AND($F349="Decision",OR($J349="—",$J349="")),1,0)</f>
        <v>0</v>
      </c>
      <c r="AA349" s="180" t="n">
        <f aca="false">IF(OR($J349="—",$J349=""),0,IF(COUNTIF(Decisions!$A$5:$A$300,$J349)=0,1,0))</f>
        <v>0</v>
      </c>
      <c r="AB349" s="183" t="n">
        <f aca="false">IF(AND($F349="原始數據",$S349&lt;&gt;"Active"),1,0)</f>
        <v>0</v>
      </c>
      <c r="AC349" s="183" t="n">
        <f aca="false">IF(AND(ISNUMBER($K349),ISNUMBER($L349),ISNUMBER($Q349)),IF(OR($Q349&lt;MIN($K349,$L349),$Q349&gt;MAX($K349,$L349)),1,0),0)</f>
        <v>0</v>
      </c>
      <c r="AD349" s="183" t="n">
        <f aca="false">IF(AND(ISNUMBER($T349),$P349="高"),IF($T349=3,1,0),0)</f>
        <v>0</v>
      </c>
      <c r="AE349" s="183" t="n">
        <f aca="false">IF($S349="不存在",1,0)</f>
        <v>0</v>
      </c>
      <c r="AF349" s="34" t="n">
        <f aca="false">IF(OR($H349="—",$H349=""),"—",MATCH($H349,IDX_SrcID,0))</f>
        <v>290</v>
      </c>
    </row>
    <row r="350" customFormat="false" ht="29.25" hidden="false" customHeight="true" outlineLevel="0" collapsed="false">
      <c r="A350" s="35" t="s">
        <v>3499</v>
      </c>
      <c r="B350" s="209" t="s">
        <v>2677</v>
      </c>
      <c r="C350" s="35" t="s">
        <v>3413</v>
      </c>
      <c r="D350" s="35" t="s">
        <v>3500</v>
      </c>
      <c r="E350" s="18" t="s">
        <v>475</v>
      </c>
      <c r="F350" s="35" t="s">
        <v>72</v>
      </c>
      <c r="G350" s="209" t="s">
        <v>2679</v>
      </c>
      <c r="H350" s="35" t="s">
        <v>571</v>
      </c>
      <c r="I350" s="6" t="s">
        <v>571</v>
      </c>
      <c r="J350" s="35" t="s">
        <v>571</v>
      </c>
      <c r="K350" s="211" t="n">
        <v>1</v>
      </c>
      <c r="L350" s="211" t="n">
        <v>3</v>
      </c>
      <c r="M350" s="35" t="s">
        <v>3501</v>
      </c>
      <c r="N350" s="210" t="str">
        <f aca="false">Calib!$J$68</f>
        <v>Hopper EP 跨節點走 IB [Assumed 1.5，區間 1–3]</v>
      </c>
      <c r="O350" s="6" t="s">
        <v>571</v>
      </c>
      <c r="P350" s="209" t="s">
        <v>1100</v>
      </c>
      <c r="Q350" s="172" t="n">
        <f aca="false">Calib!C68</f>
        <v>1.5</v>
      </c>
      <c r="R350" s="35" t="s">
        <v>571</v>
      </c>
      <c r="S350" s="34" t="str">
        <f aca="false">IF(ISNUMBER($AF350),INDEX(IDX_SrcStat,$AF350),"—")</f>
        <v>—</v>
      </c>
      <c r="T350" s="34" t="str">
        <f aca="false">IF(ISNUMBER($AF350),INDEX(IDX_SrcGrade,$AF350),"—")</f>
        <v>—</v>
      </c>
      <c r="U350" s="34" t="s">
        <v>2683</v>
      </c>
      <c r="V350" s="183" t="n">
        <f aca="false">IF(AND($F350="原始數據",$U350&lt;&gt;"連結 SRC"),1,0)</f>
        <v>0</v>
      </c>
      <c r="W350" s="183" t="n">
        <f aca="false">IF(AND($F350="Analogy",OR($H350="—",$H350="")),1,0)</f>
        <v>0</v>
      </c>
      <c r="X350" s="183" t="n">
        <f aca="false">IF(AND(OR($F350="Analogy",$F350="Assumed"),$G350&lt;&gt;"低",$G350&lt;&gt;"高",NOT(ISNUMBER($K350)),NOT(ISNUMBER($L350)),OR($M350="—",$M350="")),1,0)</f>
        <v>0</v>
      </c>
      <c r="Y350" s="183" t="n">
        <f aca="false">IF(AND(OR($F350="Analogy",$F350="Assumed",$F350="Derived（待改公式）",$F350="Derived（公式）"),OR($N350="—",$N350="",$N350=0)),1,0)</f>
        <v>0</v>
      </c>
      <c r="Z350" s="183" t="n">
        <f aca="false">IF(AND($F350="Decision",OR($J350="—",$J350="")),1,0)</f>
        <v>0</v>
      </c>
      <c r="AA350" s="180" t="n">
        <f aca="false">IF(OR($J350="—",$J350=""),0,IF(COUNTIF(Decisions!$A$5:$A$300,$J350)=0,1,0))</f>
        <v>0</v>
      </c>
      <c r="AB350" s="183" t="n">
        <f aca="false">IF(AND($F350="原始數據",$S350&lt;&gt;"Active"),1,0)</f>
        <v>0</v>
      </c>
      <c r="AC350" s="183" t="n">
        <f aca="false">IF(AND(ISNUMBER($K350),ISNUMBER($L350),ISNUMBER($Q350)),IF(OR($Q350&lt;MIN($K350,$L350),$Q350&gt;MAX($K350,$L350)),1,0),0)</f>
        <v>0</v>
      </c>
      <c r="AD350" s="183" t="n">
        <f aca="false">IF(AND(ISNUMBER($T350),$P350="高"),IF($T350=3,1,0),0)</f>
        <v>0</v>
      </c>
      <c r="AE350" s="183" t="n">
        <f aca="false">IF($S350="不存在",1,0)</f>
        <v>0</v>
      </c>
      <c r="AF350" s="34" t="str">
        <f aca="false">IF(OR($H350="—",$H350=""),"—",MATCH($H350,IDX_SrcID,0))</f>
        <v>—</v>
      </c>
    </row>
    <row r="351" customFormat="false" ht="15" hidden="false" customHeight="true" outlineLevel="0" collapsed="false">
      <c r="A351" s="35" t="s">
        <v>3502</v>
      </c>
      <c r="B351" s="209" t="s">
        <v>2677</v>
      </c>
      <c r="C351" s="35" t="s">
        <v>3413</v>
      </c>
      <c r="D351" s="35" t="s">
        <v>3503</v>
      </c>
      <c r="E351" s="18" t="s">
        <v>475</v>
      </c>
      <c r="F351" s="35" t="s">
        <v>72</v>
      </c>
      <c r="G351" s="209" t="s">
        <v>2679</v>
      </c>
      <c r="H351" s="35" t="s">
        <v>571</v>
      </c>
      <c r="I351" s="6" t="s">
        <v>571</v>
      </c>
      <c r="J351" s="35" t="s">
        <v>571</v>
      </c>
      <c r="K351" s="211" t="n">
        <v>1</v>
      </c>
      <c r="L351" s="211" t="n">
        <v>1.5</v>
      </c>
      <c r="M351" s="35" t="s">
        <v>3504</v>
      </c>
      <c r="N351" s="18" t="s">
        <v>3505</v>
      </c>
      <c r="O351" s="6" t="s">
        <v>571</v>
      </c>
      <c r="P351" s="209" t="s">
        <v>1100</v>
      </c>
      <c r="Q351" s="172" t="n">
        <f aca="false">Calib!D68</f>
        <v>1</v>
      </c>
      <c r="R351" s="35" t="s">
        <v>571</v>
      </c>
      <c r="S351" s="34" t="str">
        <f aca="false">IF(ISNUMBER($AF351),INDEX(IDX_SrcStat,$AF351),"—")</f>
        <v>—</v>
      </c>
      <c r="T351" s="34" t="str">
        <f aca="false">IF(ISNUMBER($AF351),INDEX(IDX_SrcGrade,$AF351),"—")</f>
        <v>—</v>
      </c>
      <c r="U351" s="34" t="s">
        <v>2683</v>
      </c>
      <c r="V351" s="183" t="n">
        <f aca="false">IF(AND($F351="原始數據",$U351&lt;&gt;"連結 SRC"),1,0)</f>
        <v>0</v>
      </c>
      <c r="W351" s="183" t="n">
        <f aca="false">IF(AND($F351="Analogy",OR($H351="—",$H351="")),1,0)</f>
        <v>0</v>
      </c>
      <c r="X351" s="183" t="n">
        <f aca="false">IF(AND(OR($F351="Analogy",$F351="Assumed"),$G351&lt;&gt;"低",$G351&lt;&gt;"高",NOT(ISNUMBER($K351)),NOT(ISNUMBER($L351)),OR($M351="—",$M351="")),1,0)</f>
        <v>0</v>
      </c>
      <c r="Y351" s="183" t="n">
        <f aca="false">IF(AND(OR($F351="Analogy",$F351="Assumed",$F351="Derived（待改公式）",$F351="Derived（公式）"),OR($N351="—",$N351="",$N351=0)),1,0)</f>
        <v>0</v>
      </c>
      <c r="Z351" s="183" t="n">
        <f aca="false">IF(AND($F351="Decision",OR($J351="—",$J351="")),1,0)</f>
        <v>0</v>
      </c>
      <c r="AA351" s="180" t="n">
        <f aca="false">IF(OR($J351="—",$J351=""),0,IF(COUNTIF(Decisions!$A$5:$A$300,$J351)=0,1,0))</f>
        <v>0</v>
      </c>
      <c r="AB351" s="183" t="n">
        <f aca="false">IF(AND($F351="原始數據",$S351&lt;&gt;"Active"),1,0)</f>
        <v>0</v>
      </c>
      <c r="AC351" s="183" t="n">
        <f aca="false">IF(AND(ISNUMBER($K351),ISNUMBER($L351),ISNUMBER($Q351)),IF(OR($Q351&lt;MIN($K351,$L351),$Q351&gt;MAX($K351,$L351)),1,0),0)</f>
        <v>0</v>
      </c>
      <c r="AD351" s="183" t="n">
        <f aca="false">IF(AND(ISNUMBER($T351),$P351="高"),IF($T351=3,1,0),0)</f>
        <v>0</v>
      </c>
      <c r="AE351" s="183" t="n">
        <f aca="false">IF($S351="不存在",1,0)</f>
        <v>0</v>
      </c>
      <c r="AF351" s="34" t="str">
        <f aca="false">IF(OR($H351="—",$H351=""),"—",MATCH($H351,IDX_SrcID,0))</f>
        <v>—</v>
      </c>
    </row>
    <row r="352" customFormat="false" ht="15" hidden="false" customHeight="true" outlineLevel="0" collapsed="false">
      <c r="A352" s="35" t="s">
        <v>3506</v>
      </c>
      <c r="B352" s="209" t="s">
        <v>2677</v>
      </c>
      <c r="C352" s="35" t="s">
        <v>3413</v>
      </c>
      <c r="D352" s="35" t="s">
        <v>3507</v>
      </c>
      <c r="E352" s="18" t="s">
        <v>475</v>
      </c>
      <c r="F352" s="35" t="s">
        <v>72</v>
      </c>
      <c r="G352" s="209" t="s">
        <v>2679</v>
      </c>
      <c r="H352" s="35" t="s">
        <v>571</v>
      </c>
      <c r="I352" s="6" t="s">
        <v>571</v>
      </c>
      <c r="J352" s="35" t="s">
        <v>571</v>
      </c>
      <c r="K352" s="211" t="n">
        <v>1</v>
      </c>
      <c r="L352" s="211" t="n">
        <v>1.5</v>
      </c>
      <c r="M352" s="35" t="s">
        <v>3504</v>
      </c>
      <c r="N352" s="18" t="s">
        <v>3505</v>
      </c>
      <c r="O352" s="6" t="s">
        <v>571</v>
      </c>
      <c r="P352" s="209" t="s">
        <v>1100</v>
      </c>
      <c r="Q352" s="172" t="n">
        <f aca="false">Calib!E68</f>
        <v>1</v>
      </c>
      <c r="R352" s="35" t="s">
        <v>571</v>
      </c>
      <c r="S352" s="34" t="str">
        <f aca="false">IF(ISNUMBER($AF352),INDEX(IDX_SrcStat,$AF352),"—")</f>
        <v>—</v>
      </c>
      <c r="T352" s="34" t="str">
        <f aca="false">IF(ISNUMBER($AF352),INDEX(IDX_SrcGrade,$AF352),"—")</f>
        <v>—</v>
      </c>
      <c r="U352" s="34" t="s">
        <v>2683</v>
      </c>
      <c r="V352" s="183" t="n">
        <f aca="false">IF(AND($F352="原始數據",$U352&lt;&gt;"連結 SRC"),1,0)</f>
        <v>0</v>
      </c>
      <c r="W352" s="183" t="n">
        <f aca="false">IF(AND($F352="Analogy",OR($H352="—",$H352="")),1,0)</f>
        <v>0</v>
      </c>
      <c r="X352" s="183" t="n">
        <f aca="false">IF(AND(OR($F352="Analogy",$F352="Assumed"),$G352&lt;&gt;"低",$G352&lt;&gt;"高",NOT(ISNUMBER($K352)),NOT(ISNUMBER($L352)),OR($M352="—",$M352="")),1,0)</f>
        <v>0</v>
      </c>
      <c r="Y352" s="183" t="n">
        <f aca="false">IF(AND(OR($F352="Analogy",$F352="Assumed",$F352="Derived（待改公式）",$F352="Derived（公式）"),OR($N352="—",$N352="",$N352=0)),1,0)</f>
        <v>0</v>
      </c>
      <c r="Z352" s="183" t="n">
        <f aca="false">IF(AND($F352="Decision",OR($J352="—",$J352="")),1,0)</f>
        <v>0</v>
      </c>
      <c r="AA352" s="180" t="n">
        <f aca="false">IF(OR($J352="—",$J352=""),0,IF(COUNTIF(Decisions!$A$5:$A$300,$J352)=0,1,0))</f>
        <v>0</v>
      </c>
      <c r="AB352" s="183" t="n">
        <f aca="false">IF(AND($F352="原始數據",$S352&lt;&gt;"Active"),1,0)</f>
        <v>0</v>
      </c>
      <c r="AC352" s="183" t="n">
        <f aca="false">IF(AND(ISNUMBER($K352),ISNUMBER($L352),ISNUMBER($Q352)),IF(OR($Q352&lt;MIN($K352,$L352),$Q352&gt;MAX($K352,$L352)),1,0),0)</f>
        <v>0</v>
      </c>
      <c r="AD352" s="183" t="n">
        <f aca="false">IF(AND(ISNUMBER($T352),$P352="高"),IF($T352=3,1,0),0)</f>
        <v>0</v>
      </c>
      <c r="AE352" s="183" t="n">
        <f aca="false">IF($S352="不存在",1,0)</f>
        <v>0</v>
      </c>
      <c r="AF352" s="34" t="str">
        <f aca="false">IF(OR($H352="—",$H352=""),"—",MATCH($H352,IDX_SrcID,0))</f>
        <v>—</v>
      </c>
    </row>
    <row r="353" customFormat="false" ht="15" hidden="false" customHeight="true" outlineLevel="0" collapsed="false">
      <c r="A353" s="35" t="s">
        <v>3508</v>
      </c>
      <c r="B353" s="209" t="s">
        <v>2677</v>
      </c>
      <c r="C353" s="35" t="s">
        <v>3413</v>
      </c>
      <c r="D353" s="35" t="s">
        <v>3509</v>
      </c>
      <c r="E353" s="18" t="s">
        <v>475</v>
      </c>
      <c r="F353" s="35" t="s">
        <v>72</v>
      </c>
      <c r="G353" s="209" t="s">
        <v>2679</v>
      </c>
      <c r="H353" s="35" t="s">
        <v>571</v>
      </c>
      <c r="I353" s="6" t="s">
        <v>571</v>
      </c>
      <c r="J353" s="35" t="s">
        <v>571</v>
      </c>
      <c r="K353" s="211" t="n">
        <v>1</v>
      </c>
      <c r="L353" s="211" t="n">
        <v>1.5</v>
      </c>
      <c r="M353" s="35" t="s">
        <v>3504</v>
      </c>
      <c r="N353" s="18" t="s">
        <v>3505</v>
      </c>
      <c r="O353" s="6" t="s">
        <v>571</v>
      </c>
      <c r="P353" s="209" t="s">
        <v>1100</v>
      </c>
      <c r="Q353" s="172" t="n">
        <f aca="false">Calib!F68</f>
        <v>1</v>
      </c>
      <c r="R353" s="35" t="s">
        <v>571</v>
      </c>
      <c r="S353" s="34" t="str">
        <f aca="false">IF(ISNUMBER($AF353),INDEX(IDX_SrcStat,$AF353),"—")</f>
        <v>—</v>
      </c>
      <c r="T353" s="34" t="str">
        <f aca="false">IF(ISNUMBER($AF353),INDEX(IDX_SrcGrade,$AF353),"—")</f>
        <v>—</v>
      </c>
      <c r="U353" s="34" t="s">
        <v>2683</v>
      </c>
      <c r="V353" s="183" t="n">
        <f aca="false">IF(AND($F353="原始數據",$U353&lt;&gt;"連結 SRC"),1,0)</f>
        <v>0</v>
      </c>
      <c r="W353" s="183" t="n">
        <f aca="false">IF(AND($F353="Analogy",OR($H353="—",$H353="")),1,0)</f>
        <v>0</v>
      </c>
      <c r="X353" s="183" t="n">
        <f aca="false">IF(AND(OR($F353="Analogy",$F353="Assumed"),$G353&lt;&gt;"低",$G353&lt;&gt;"高",NOT(ISNUMBER($K353)),NOT(ISNUMBER($L353)),OR($M353="—",$M353="")),1,0)</f>
        <v>0</v>
      </c>
      <c r="Y353" s="183" t="n">
        <f aca="false">IF(AND(OR($F353="Analogy",$F353="Assumed",$F353="Derived（待改公式）",$F353="Derived（公式）"),OR($N353="—",$N353="",$N353=0)),1,0)</f>
        <v>0</v>
      </c>
      <c r="Z353" s="183" t="n">
        <f aca="false">IF(AND($F353="Decision",OR($J353="—",$J353="")),1,0)</f>
        <v>0</v>
      </c>
      <c r="AA353" s="180" t="n">
        <f aca="false">IF(OR($J353="—",$J353=""),0,IF(COUNTIF(Decisions!$A$5:$A$300,$J353)=0,1,0))</f>
        <v>0</v>
      </c>
      <c r="AB353" s="183" t="n">
        <f aca="false">IF(AND($F353="原始數據",$S353&lt;&gt;"Active"),1,0)</f>
        <v>0</v>
      </c>
      <c r="AC353" s="183" t="n">
        <f aca="false">IF(AND(ISNUMBER($K353),ISNUMBER($L353),ISNUMBER($Q353)),IF(OR($Q353&lt;MIN($K353,$L353),$Q353&gt;MAX($K353,$L353)),1,0),0)</f>
        <v>0</v>
      </c>
      <c r="AD353" s="183" t="n">
        <f aca="false">IF(AND(ISNUMBER($T353),$P353="高"),IF($T353=3,1,0),0)</f>
        <v>0</v>
      </c>
      <c r="AE353" s="183" t="n">
        <f aca="false">IF($S353="不存在",1,0)</f>
        <v>0</v>
      </c>
      <c r="AF353" s="34" t="str">
        <f aca="false">IF(OR($H353="—",$H353=""),"—",MATCH($H353,IDX_SrcID,0))</f>
        <v>—</v>
      </c>
    </row>
    <row r="354" customFormat="false" ht="15" hidden="false" customHeight="true" outlineLevel="0" collapsed="false">
      <c r="A354" s="35" t="s">
        <v>3510</v>
      </c>
      <c r="B354" s="209" t="s">
        <v>2677</v>
      </c>
      <c r="C354" s="35" t="s">
        <v>3413</v>
      </c>
      <c r="D354" s="35" t="s">
        <v>3511</v>
      </c>
      <c r="E354" s="18" t="s">
        <v>475</v>
      </c>
      <c r="F354" s="35" t="s">
        <v>72</v>
      </c>
      <c r="G354" s="209" t="s">
        <v>2679</v>
      </c>
      <c r="H354" s="35" t="s">
        <v>571</v>
      </c>
      <c r="I354" s="6" t="s">
        <v>571</v>
      </c>
      <c r="J354" s="35" t="s">
        <v>571</v>
      </c>
      <c r="K354" s="211" t="n">
        <v>1</v>
      </c>
      <c r="L354" s="211" t="n">
        <v>1.5</v>
      </c>
      <c r="M354" s="35" t="s">
        <v>3504</v>
      </c>
      <c r="N354" s="18" t="s">
        <v>3505</v>
      </c>
      <c r="O354" s="6" t="s">
        <v>571</v>
      </c>
      <c r="P354" s="209" t="s">
        <v>1100</v>
      </c>
      <c r="Q354" s="172" t="n">
        <f aca="false">Calib!G68</f>
        <v>1</v>
      </c>
      <c r="R354" s="35" t="s">
        <v>571</v>
      </c>
      <c r="S354" s="34" t="str">
        <f aca="false">IF(ISNUMBER($AF354),INDEX(IDX_SrcStat,$AF354),"—")</f>
        <v>—</v>
      </c>
      <c r="T354" s="34" t="str">
        <f aca="false">IF(ISNUMBER($AF354),INDEX(IDX_SrcGrade,$AF354),"—")</f>
        <v>—</v>
      </c>
      <c r="U354" s="34" t="s">
        <v>2683</v>
      </c>
      <c r="V354" s="183" t="n">
        <f aca="false">IF(AND($F354="原始數據",$U354&lt;&gt;"連結 SRC"),1,0)</f>
        <v>0</v>
      </c>
      <c r="W354" s="183" t="n">
        <f aca="false">IF(AND($F354="Analogy",OR($H354="—",$H354="")),1,0)</f>
        <v>0</v>
      </c>
      <c r="X354" s="183" t="n">
        <f aca="false">IF(AND(OR($F354="Analogy",$F354="Assumed"),$G354&lt;&gt;"低",$G354&lt;&gt;"高",NOT(ISNUMBER($K354)),NOT(ISNUMBER($L354)),OR($M354="—",$M354="")),1,0)</f>
        <v>0</v>
      </c>
      <c r="Y354" s="183" t="n">
        <f aca="false">IF(AND(OR($F354="Analogy",$F354="Assumed",$F354="Derived（待改公式）",$F354="Derived（公式）"),OR($N354="—",$N354="",$N354=0)),1,0)</f>
        <v>0</v>
      </c>
      <c r="Z354" s="183" t="n">
        <f aca="false">IF(AND($F354="Decision",OR($J354="—",$J354="")),1,0)</f>
        <v>0</v>
      </c>
      <c r="AA354" s="180" t="n">
        <f aca="false">IF(OR($J354="—",$J354=""),0,IF(COUNTIF(Decisions!$A$5:$A$300,$J354)=0,1,0))</f>
        <v>0</v>
      </c>
      <c r="AB354" s="183" t="n">
        <f aca="false">IF(AND($F354="原始數據",$S354&lt;&gt;"Active"),1,0)</f>
        <v>0</v>
      </c>
      <c r="AC354" s="183" t="n">
        <f aca="false">IF(AND(ISNUMBER($K354),ISNUMBER($L354),ISNUMBER($Q354)),IF(OR($Q354&lt;MIN($K354,$L354),$Q354&gt;MAX($K354,$L354)),1,0),0)</f>
        <v>0</v>
      </c>
      <c r="AD354" s="183" t="n">
        <f aca="false">IF(AND(ISNUMBER($T354),$P354="高"),IF($T354=3,1,0),0)</f>
        <v>0</v>
      </c>
      <c r="AE354" s="183" t="n">
        <f aca="false">IF($S354="不存在",1,0)</f>
        <v>0</v>
      </c>
      <c r="AF354" s="34" t="str">
        <f aca="false">IF(OR($H354="—",$H354=""),"—",MATCH($H354,IDX_SrcID,0))</f>
        <v>—</v>
      </c>
    </row>
    <row r="355" customFormat="false" ht="43.5" hidden="false" customHeight="true" outlineLevel="0" collapsed="false">
      <c r="A355" s="35" t="s">
        <v>3512</v>
      </c>
      <c r="B355" s="209" t="s">
        <v>2677</v>
      </c>
      <c r="C355" s="35" t="s">
        <v>3413</v>
      </c>
      <c r="D355" s="35" t="s">
        <v>3513</v>
      </c>
      <c r="E355" s="6" t="s">
        <v>477</v>
      </c>
      <c r="F355" s="35" t="s">
        <v>2965</v>
      </c>
      <c r="G355" s="209" t="s">
        <v>2679</v>
      </c>
      <c r="H355" s="35" t="s">
        <v>571</v>
      </c>
      <c r="I355" s="5" t="s">
        <v>3514</v>
      </c>
      <c r="J355" s="35" t="s">
        <v>571</v>
      </c>
      <c r="K355" s="211"/>
      <c r="L355" s="211"/>
      <c r="M355" s="35" t="s">
        <v>571</v>
      </c>
      <c r="N355" s="215" t="s">
        <v>3515</v>
      </c>
      <c r="O355" s="6" t="s">
        <v>3516</v>
      </c>
      <c r="P355" s="209" t="s">
        <v>2738</v>
      </c>
      <c r="Q355" s="172" t="n">
        <f aca="false">Calib!C69</f>
        <v>0.499747347145023</v>
      </c>
      <c r="R355" s="35" t="s">
        <v>571</v>
      </c>
      <c r="S355" s="34" t="str">
        <f aca="false">IF(ISNUMBER($AF355),INDEX(IDX_SrcStat,$AF355),"—")</f>
        <v>—</v>
      </c>
      <c r="T355" s="34" t="str">
        <f aca="false">IF(ISNUMBER($AF355),INDEX(IDX_SrcGrade,$AF355),"—")</f>
        <v>—</v>
      </c>
      <c r="U355" s="34" t="s">
        <v>2716</v>
      </c>
      <c r="V355" s="183" t="n">
        <f aca="false">IF(AND($F355="原始數據",$U355&lt;&gt;"連結 SRC"),1,0)</f>
        <v>0</v>
      </c>
      <c r="W355" s="183" t="n">
        <f aca="false">IF(AND($F355="Analogy",OR($H355="—",$H355="")),1,0)</f>
        <v>0</v>
      </c>
      <c r="X355" s="183" t="n">
        <f aca="false">IF(AND(OR($F355="Analogy",$F355="Assumed"),$G355&lt;&gt;"低",$G355&lt;&gt;"高",NOT(ISNUMBER($K355)),NOT(ISNUMBER($L355)),OR($M355="—",$M355="")),1,0)</f>
        <v>0</v>
      </c>
      <c r="Y355" s="183" t="n">
        <f aca="false">IF(AND(OR($F355="Analogy",$F355="Assumed",$F355="Derived（待改公式）",$F355="Derived（公式）"),OR($N355="—",$N355="",$N355=0)),1,0)</f>
        <v>0</v>
      </c>
      <c r="Z355" s="183" t="n">
        <f aca="false">IF(AND($F355="Decision",OR($J355="—",$J355="")),1,0)</f>
        <v>0</v>
      </c>
      <c r="AA355" s="180" t="n">
        <f aca="false">IF(OR($J355="—",$J355=""),0,IF(COUNTIF(Decisions!$A$5:$A$300,$J355)=0,1,0))</f>
        <v>0</v>
      </c>
      <c r="AB355" s="183" t="n">
        <f aca="false">IF(AND($F355="原始數據",$S355&lt;&gt;"Active"),1,0)</f>
        <v>0</v>
      </c>
      <c r="AC355" s="183" t="n">
        <f aca="false">IF(AND(ISNUMBER($K355),ISNUMBER($L355),ISNUMBER($Q355)),IF(OR($Q355&lt;MIN($K355,$L355),$Q355&gt;MAX($K355,$L355)),1,0),0)</f>
        <v>0</v>
      </c>
      <c r="AD355" s="183" t="n">
        <f aca="false">IF(AND(ISNUMBER($T355),$P355="高"),IF($T355=3,1,0),0)</f>
        <v>0</v>
      </c>
      <c r="AE355" s="183" t="n">
        <f aca="false">IF($S355="不存在",1,0)</f>
        <v>0</v>
      </c>
      <c r="AF355" s="34" t="str">
        <f aca="false">IF(OR($H355="—",$H355=""),"—",MATCH($H355,IDX_SrcID,0))</f>
        <v>—</v>
      </c>
    </row>
    <row r="356" customFormat="false" ht="15" hidden="false" customHeight="true" outlineLevel="0" collapsed="false">
      <c r="A356" s="35" t="s">
        <v>3517</v>
      </c>
      <c r="B356" s="209" t="s">
        <v>2677</v>
      </c>
      <c r="C356" s="35" t="s">
        <v>3413</v>
      </c>
      <c r="D356" s="35" t="s">
        <v>3518</v>
      </c>
      <c r="E356" s="6" t="s">
        <v>477</v>
      </c>
      <c r="F356" s="35" t="s">
        <v>72</v>
      </c>
      <c r="G356" s="209" t="s">
        <v>2679</v>
      </c>
      <c r="H356" s="35" t="s">
        <v>571</v>
      </c>
      <c r="I356" s="6" t="s">
        <v>571</v>
      </c>
      <c r="J356" s="35" t="s">
        <v>571</v>
      </c>
      <c r="K356" s="211" t="n">
        <v>0.5</v>
      </c>
      <c r="L356" s="211" t="n">
        <v>1.5</v>
      </c>
      <c r="M356" s="35" t="s">
        <v>3519</v>
      </c>
      <c r="N356" s="6" t="s">
        <v>3520</v>
      </c>
      <c r="O356" s="6" t="s">
        <v>571</v>
      </c>
      <c r="P356" s="209" t="s">
        <v>2738</v>
      </c>
      <c r="Q356" s="172" t="n">
        <f aca="false">Calib!D69</f>
        <v>1</v>
      </c>
      <c r="R356" s="35" t="s">
        <v>571</v>
      </c>
      <c r="S356" s="34" t="str">
        <f aca="false">IF(ISNUMBER($AF356),INDEX(IDX_SrcStat,$AF356),"—")</f>
        <v>—</v>
      </c>
      <c r="T356" s="34" t="str">
        <f aca="false">IF(ISNUMBER($AF356),INDEX(IDX_SrcGrade,$AF356),"—")</f>
        <v>—</v>
      </c>
      <c r="U356" s="34" t="s">
        <v>2683</v>
      </c>
      <c r="V356" s="183" t="n">
        <f aca="false">IF(AND($F356="原始數據",$U356&lt;&gt;"連結 SRC"),1,0)</f>
        <v>0</v>
      </c>
      <c r="W356" s="183" t="n">
        <f aca="false">IF(AND($F356="Analogy",OR($H356="—",$H356="")),1,0)</f>
        <v>0</v>
      </c>
      <c r="X356" s="183" t="n">
        <f aca="false">IF(AND(OR($F356="Analogy",$F356="Assumed"),$G356&lt;&gt;"低",$G356&lt;&gt;"高",NOT(ISNUMBER($K356)),NOT(ISNUMBER($L356)),OR($M356="—",$M356="")),1,0)</f>
        <v>0</v>
      </c>
      <c r="Y356" s="183" t="n">
        <f aca="false">IF(AND(OR($F356="Analogy",$F356="Assumed",$F356="Derived（待改公式）",$F356="Derived（公式）"),OR($N356="—",$N356="",$N356=0)),1,0)</f>
        <v>0</v>
      </c>
      <c r="Z356" s="183" t="n">
        <f aca="false">IF(AND($F356="Decision",OR($J356="—",$J356="")),1,0)</f>
        <v>0</v>
      </c>
      <c r="AA356" s="180" t="n">
        <f aca="false">IF(OR($J356="—",$J356=""),0,IF(COUNTIF(Decisions!$A$5:$A$300,$J356)=0,1,0))</f>
        <v>0</v>
      </c>
      <c r="AB356" s="183" t="n">
        <f aca="false">IF(AND($F356="原始數據",$S356&lt;&gt;"Active"),1,0)</f>
        <v>0</v>
      </c>
      <c r="AC356" s="183" t="n">
        <f aca="false">IF(AND(ISNUMBER($K356),ISNUMBER($L356),ISNUMBER($Q356)),IF(OR($Q356&lt;MIN($K356,$L356),$Q356&gt;MAX($K356,$L356)),1,0),0)</f>
        <v>0</v>
      </c>
      <c r="AD356" s="183" t="n">
        <f aca="false">IF(AND(ISNUMBER($T356),$P356="高"),IF($T356=3,1,0),0)</f>
        <v>0</v>
      </c>
      <c r="AE356" s="183" t="n">
        <f aca="false">IF($S356="不存在",1,0)</f>
        <v>0</v>
      </c>
      <c r="AF356" s="34" t="str">
        <f aca="false">IF(OR($H356="—",$H356=""),"—",MATCH($H356,IDX_SrcID,0))</f>
        <v>—</v>
      </c>
    </row>
    <row r="357" customFormat="false" ht="15" hidden="false" customHeight="true" outlineLevel="0" collapsed="false">
      <c r="A357" s="35" t="s">
        <v>3521</v>
      </c>
      <c r="B357" s="209" t="s">
        <v>2677</v>
      </c>
      <c r="C357" s="35" t="s">
        <v>3413</v>
      </c>
      <c r="D357" s="35" t="s">
        <v>3522</v>
      </c>
      <c r="E357" s="6" t="s">
        <v>477</v>
      </c>
      <c r="F357" s="35" t="s">
        <v>72</v>
      </c>
      <c r="G357" s="209" t="s">
        <v>2679</v>
      </c>
      <c r="H357" s="35" t="s">
        <v>571</v>
      </c>
      <c r="I357" s="6" t="s">
        <v>571</v>
      </c>
      <c r="J357" s="35" t="s">
        <v>571</v>
      </c>
      <c r="K357" s="211" t="n">
        <v>0.5</v>
      </c>
      <c r="L357" s="211" t="n">
        <v>1.5</v>
      </c>
      <c r="M357" s="35" t="s">
        <v>3519</v>
      </c>
      <c r="N357" s="6" t="s">
        <v>3520</v>
      </c>
      <c r="O357" s="6" t="s">
        <v>571</v>
      </c>
      <c r="P357" s="209" t="s">
        <v>2738</v>
      </c>
      <c r="Q357" s="172" t="n">
        <f aca="false">Calib!E69</f>
        <v>1</v>
      </c>
      <c r="R357" s="35" t="s">
        <v>571</v>
      </c>
      <c r="S357" s="34" t="str">
        <f aca="false">IF(ISNUMBER($AF357),INDEX(IDX_SrcStat,$AF357),"—")</f>
        <v>—</v>
      </c>
      <c r="T357" s="34" t="str">
        <f aca="false">IF(ISNUMBER($AF357),INDEX(IDX_SrcGrade,$AF357),"—")</f>
        <v>—</v>
      </c>
      <c r="U357" s="34" t="s">
        <v>2683</v>
      </c>
      <c r="V357" s="183" t="n">
        <f aca="false">IF(AND($F357="原始數據",$U357&lt;&gt;"連結 SRC"),1,0)</f>
        <v>0</v>
      </c>
      <c r="W357" s="183" t="n">
        <f aca="false">IF(AND($F357="Analogy",OR($H357="—",$H357="")),1,0)</f>
        <v>0</v>
      </c>
      <c r="X357" s="183" t="n">
        <f aca="false">IF(AND(OR($F357="Analogy",$F357="Assumed"),$G357&lt;&gt;"低",$G357&lt;&gt;"高",NOT(ISNUMBER($K357)),NOT(ISNUMBER($L357)),OR($M357="—",$M357="")),1,0)</f>
        <v>0</v>
      </c>
      <c r="Y357" s="183" t="n">
        <f aca="false">IF(AND(OR($F357="Analogy",$F357="Assumed",$F357="Derived（待改公式）",$F357="Derived（公式）"),OR($N357="—",$N357="",$N357=0)),1,0)</f>
        <v>0</v>
      </c>
      <c r="Z357" s="183" t="n">
        <f aca="false">IF(AND($F357="Decision",OR($J357="—",$J357="")),1,0)</f>
        <v>0</v>
      </c>
      <c r="AA357" s="180" t="n">
        <f aca="false">IF(OR($J357="—",$J357=""),0,IF(COUNTIF(Decisions!$A$5:$A$300,$J357)=0,1,0))</f>
        <v>0</v>
      </c>
      <c r="AB357" s="183" t="n">
        <f aca="false">IF(AND($F357="原始數據",$S357&lt;&gt;"Active"),1,0)</f>
        <v>0</v>
      </c>
      <c r="AC357" s="183" t="n">
        <f aca="false">IF(AND(ISNUMBER($K357),ISNUMBER($L357),ISNUMBER($Q357)),IF(OR($Q357&lt;MIN($K357,$L357),$Q357&gt;MAX($K357,$L357)),1,0),0)</f>
        <v>0</v>
      </c>
      <c r="AD357" s="183" t="n">
        <f aca="false">IF(AND(ISNUMBER($T357),$P357="高"),IF($T357=3,1,0),0)</f>
        <v>0</v>
      </c>
      <c r="AE357" s="183" t="n">
        <f aca="false">IF($S357="不存在",1,0)</f>
        <v>0</v>
      </c>
      <c r="AF357" s="34" t="str">
        <f aca="false">IF(OR($H357="—",$H357=""),"—",MATCH($H357,IDX_SrcID,0))</f>
        <v>—</v>
      </c>
    </row>
    <row r="358" customFormat="false" ht="15" hidden="false" customHeight="true" outlineLevel="0" collapsed="false">
      <c r="A358" s="35" t="s">
        <v>3523</v>
      </c>
      <c r="B358" s="209" t="s">
        <v>2677</v>
      </c>
      <c r="C358" s="35" t="s">
        <v>3413</v>
      </c>
      <c r="D358" s="35" t="s">
        <v>3524</v>
      </c>
      <c r="E358" s="6" t="s">
        <v>477</v>
      </c>
      <c r="F358" s="35" t="s">
        <v>72</v>
      </c>
      <c r="G358" s="209" t="s">
        <v>2679</v>
      </c>
      <c r="H358" s="35" t="s">
        <v>571</v>
      </c>
      <c r="I358" s="6" t="s">
        <v>571</v>
      </c>
      <c r="J358" s="35" t="s">
        <v>571</v>
      </c>
      <c r="K358" s="211" t="n">
        <v>0.5</v>
      </c>
      <c r="L358" s="211" t="n">
        <v>1.5</v>
      </c>
      <c r="M358" s="35" t="s">
        <v>3519</v>
      </c>
      <c r="N358" s="6" t="s">
        <v>3520</v>
      </c>
      <c r="O358" s="6" t="s">
        <v>571</v>
      </c>
      <c r="P358" s="209" t="s">
        <v>2738</v>
      </c>
      <c r="Q358" s="172" t="n">
        <f aca="false">Calib!F69</f>
        <v>1</v>
      </c>
      <c r="R358" s="35" t="s">
        <v>571</v>
      </c>
      <c r="S358" s="34" t="str">
        <f aca="false">IF(ISNUMBER($AF358),INDEX(IDX_SrcStat,$AF358),"—")</f>
        <v>—</v>
      </c>
      <c r="T358" s="34" t="str">
        <f aca="false">IF(ISNUMBER($AF358),INDEX(IDX_SrcGrade,$AF358),"—")</f>
        <v>—</v>
      </c>
      <c r="U358" s="34" t="s">
        <v>2683</v>
      </c>
      <c r="V358" s="183" t="n">
        <f aca="false">IF(AND($F358="原始數據",$U358&lt;&gt;"連結 SRC"),1,0)</f>
        <v>0</v>
      </c>
      <c r="W358" s="183" t="n">
        <f aca="false">IF(AND($F358="Analogy",OR($H358="—",$H358="")),1,0)</f>
        <v>0</v>
      </c>
      <c r="X358" s="183" t="n">
        <f aca="false">IF(AND(OR($F358="Analogy",$F358="Assumed"),$G358&lt;&gt;"低",$G358&lt;&gt;"高",NOT(ISNUMBER($K358)),NOT(ISNUMBER($L358)),OR($M358="—",$M358="")),1,0)</f>
        <v>0</v>
      </c>
      <c r="Y358" s="183" t="n">
        <f aca="false">IF(AND(OR($F358="Analogy",$F358="Assumed",$F358="Derived（待改公式）",$F358="Derived（公式）"),OR($N358="—",$N358="",$N358=0)),1,0)</f>
        <v>0</v>
      </c>
      <c r="Z358" s="183" t="n">
        <f aca="false">IF(AND($F358="Decision",OR($J358="—",$J358="")),1,0)</f>
        <v>0</v>
      </c>
      <c r="AA358" s="180" t="n">
        <f aca="false">IF(OR($J358="—",$J358=""),0,IF(COUNTIF(Decisions!$A$5:$A$300,$J358)=0,1,0))</f>
        <v>0</v>
      </c>
      <c r="AB358" s="183" t="n">
        <f aca="false">IF(AND($F358="原始數據",$S358&lt;&gt;"Active"),1,0)</f>
        <v>0</v>
      </c>
      <c r="AC358" s="183" t="n">
        <f aca="false">IF(AND(ISNUMBER($K358),ISNUMBER($L358),ISNUMBER($Q358)),IF(OR($Q358&lt;MIN($K358,$L358),$Q358&gt;MAX($K358,$L358)),1,0),0)</f>
        <v>0</v>
      </c>
      <c r="AD358" s="183" t="n">
        <f aca="false">IF(AND(ISNUMBER($T358),$P358="高"),IF($T358=3,1,0),0)</f>
        <v>0</v>
      </c>
      <c r="AE358" s="183" t="n">
        <f aca="false">IF($S358="不存在",1,0)</f>
        <v>0</v>
      </c>
      <c r="AF358" s="34" t="str">
        <f aca="false">IF(OR($H358="—",$H358=""),"—",MATCH($H358,IDX_SrcID,0))</f>
        <v>—</v>
      </c>
    </row>
    <row r="359" customFormat="false" ht="15" hidden="false" customHeight="true" outlineLevel="0" collapsed="false">
      <c r="A359" s="35" t="s">
        <v>3525</v>
      </c>
      <c r="B359" s="209" t="s">
        <v>2677</v>
      </c>
      <c r="C359" s="35" t="s">
        <v>3413</v>
      </c>
      <c r="D359" s="35" t="s">
        <v>3526</v>
      </c>
      <c r="E359" s="6" t="s">
        <v>477</v>
      </c>
      <c r="F359" s="35" t="s">
        <v>72</v>
      </c>
      <c r="G359" s="209" t="s">
        <v>2679</v>
      </c>
      <c r="H359" s="35" t="s">
        <v>571</v>
      </c>
      <c r="I359" s="6" t="s">
        <v>571</v>
      </c>
      <c r="J359" s="35" t="s">
        <v>571</v>
      </c>
      <c r="K359" s="211" t="n">
        <v>0.5</v>
      </c>
      <c r="L359" s="211" t="n">
        <v>1.5</v>
      </c>
      <c r="M359" s="35" t="s">
        <v>3519</v>
      </c>
      <c r="N359" s="6" t="s">
        <v>3520</v>
      </c>
      <c r="O359" s="6" t="s">
        <v>571</v>
      </c>
      <c r="P359" s="209" t="s">
        <v>2738</v>
      </c>
      <c r="Q359" s="172" t="n">
        <f aca="false">Calib!G69</f>
        <v>1</v>
      </c>
      <c r="R359" s="35" t="s">
        <v>571</v>
      </c>
      <c r="S359" s="34" t="str">
        <f aca="false">IF(ISNUMBER($AF359),INDEX(IDX_SrcStat,$AF359),"—")</f>
        <v>—</v>
      </c>
      <c r="T359" s="34" t="str">
        <f aca="false">IF(ISNUMBER($AF359),INDEX(IDX_SrcGrade,$AF359),"—")</f>
        <v>—</v>
      </c>
      <c r="U359" s="34" t="s">
        <v>2683</v>
      </c>
      <c r="V359" s="183" t="n">
        <f aca="false">IF(AND($F359="原始數據",$U359&lt;&gt;"連結 SRC"),1,0)</f>
        <v>0</v>
      </c>
      <c r="W359" s="183" t="n">
        <f aca="false">IF(AND($F359="Analogy",OR($H359="—",$H359="")),1,0)</f>
        <v>0</v>
      </c>
      <c r="X359" s="183" t="n">
        <f aca="false">IF(AND(OR($F359="Analogy",$F359="Assumed"),$G359&lt;&gt;"低",$G359&lt;&gt;"高",NOT(ISNUMBER($K359)),NOT(ISNUMBER($L359)),OR($M359="—",$M359="")),1,0)</f>
        <v>0</v>
      </c>
      <c r="Y359" s="183" t="n">
        <f aca="false">IF(AND(OR($F359="Analogy",$F359="Assumed",$F359="Derived（待改公式）",$F359="Derived（公式）"),OR($N359="—",$N359="",$N359=0)),1,0)</f>
        <v>0</v>
      </c>
      <c r="Z359" s="183" t="n">
        <f aca="false">IF(AND($F359="Decision",OR($J359="—",$J359="")),1,0)</f>
        <v>0</v>
      </c>
      <c r="AA359" s="180" t="n">
        <f aca="false">IF(OR($J359="—",$J359=""),0,IF(COUNTIF(Decisions!$A$5:$A$300,$J359)=0,1,0))</f>
        <v>0</v>
      </c>
      <c r="AB359" s="183" t="n">
        <f aca="false">IF(AND($F359="原始數據",$S359&lt;&gt;"Active"),1,0)</f>
        <v>0</v>
      </c>
      <c r="AC359" s="183" t="n">
        <f aca="false">IF(AND(ISNUMBER($K359),ISNUMBER($L359),ISNUMBER($Q359)),IF(OR($Q359&lt;MIN($K359,$L359),$Q359&gt;MAX($K359,$L359)),1,0),0)</f>
        <v>0</v>
      </c>
      <c r="AD359" s="183" t="n">
        <f aca="false">IF(AND(ISNUMBER($T359),$P359="高"),IF($T359=3,1,0),0)</f>
        <v>0</v>
      </c>
      <c r="AE359" s="183" t="n">
        <f aca="false">IF($S359="不存在",1,0)</f>
        <v>0</v>
      </c>
      <c r="AF359" s="34" t="str">
        <f aca="false">IF(OR($H359="—",$H359=""),"—",MATCH($H359,IDX_SrcID,0))</f>
        <v>—</v>
      </c>
    </row>
    <row r="360" customFormat="false" ht="15" hidden="false" customHeight="true" outlineLevel="0" collapsed="false">
      <c r="A360" s="35" t="s">
        <v>3527</v>
      </c>
      <c r="B360" s="209" t="s">
        <v>2677</v>
      </c>
      <c r="C360" s="35" t="s">
        <v>3413</v>
      </c>
      <c r="D360" s="35" t="s">
        <v>3528</v>
      </c>
      <c r="E360" s="6" t="s">
        <v>503</v>
      </c>
      <c r="F360" s="209" t="s">
        <v>3529</v>
      </c>
      <c r="G360" s="209" t="s">
        <v>3420</v>
      </c>
      <c r="H360" s="35" t="s">
        <v>571</v>
      </c>
      <c r="I360" s="6" t="s">
        <v>571</v>
      </c>
      <c r="J360" s="35" t="s">
        <v>571</v>
      </c>
      <c r="K360" s="209"/>
      <c r="L360" s="209"/>
      <c r="M360" s="35" t="s">
        <v>571</v>
      </c>
      <c r="N360" s="6" t="s">
        <v>3530</v>
      </c>
      <c r="O360" s="6" t="s">
        <v>571</v>
      </c>
      <c r="P360" s="35" t="s">
        <v>571</v>
      </c>
      <c r="Q360" s="182" t="s">
        <v>571</v>
      </c>
      <c r="R360" s="35" t="s">
        <v>571</v>
      </c>
      <c r="S360" s="34" t="str">
        <f aca="false">IF(ISNUMBER($AF360),INDEX(IDX_SrcStat,$AF360),"—")</f>
        <v>—</v>
      </c>
      <c r="T360" s="34" t="str">
        <f aca="false">IF(ISNUMBER($AF360),INDEX(IDX_SrcGrade,$AF360),"—")</f>
        <v>—</v>
      </c>
      <c r="U360" s="35" t="s">
        <v>571</v>
      </c>
      <c r="V360" s="183" t="n">
        <f aca="false">IF(AND($F360="原始數據",$U360&lt;&gt;"連結 SRC"),1,0)</f>
        <v>0</v>
      </c>
      <c r="W360" s="183" t="n">
        <f aca="false">IF(AND($F360="Analogy",OR($H360="—",$H360="")),1,0)</f>
        <v>0</v>
      </c>
      <c r="X360" s="183" t="n">
        <f aca="false">IF(AND(OR($F360="Analogy",$F360="Assumed"),$G360&lt;&gt;"低",$G360&lt;&gt;"高",NOT(ISNUMBER($K360)),NOT(ISNUMBER($L360)),OR($M360="—",$M360="")),1,0)</f>
        <v>0</v>
      </c>
      <c r="Y360" s="183" t="n">
        <f aca="false">IF(AND(OR($F360="Analogy",$F360="Assumed",$F360="Derived（待改公式）",$F360="Derived（公式）"),OR($N360="—",$N360="",$N360=0)),1,0)</f>
        <v>0</v>
      </c>
      <c r="Z360" s="183" t="n">
        <f aca="false">IF(AND($F360="Decision",OR($J360="—",$J360="")),1,0)</f>
        <v>0</v>
      </c>
      <c r="AA360" s="180" t="n">
        <f aca="false">IF(OR($J360="—",$J360=""),0,IF(COUNTIF(Decisions!$A$5:$A$300,$J360)=0,1,0))</f>
        <v>0</v>
      </c>
      <c r="AB360" s="183" t="n">
        <f aca="false">IF(AND($F360="原始數據",$S360&lt;&gt;"Active"),1,0)</f>
        <v>0</v>
      </c>
      <c r="AC360" s="183" t="n">
        <f aca="false">IF(AND(ISNUMBER($K360),ISNUMBER($L360),ISNUMBER($Q360)),IF(OR($Q360&lt;MIN($K360,$L360),$Q360&gt;MAX($K360,$L360)),1,0),0)</f>
        <v>0</v>
      </c>
      <c r="AD360" s="183" t="n">
        <f aca="false">IF(AND(ISNUMBER($T360),$P360="高"),IF($T360=3,1,0),0)</f>
        <v>0</v>
      </c>
      <c r="AE360" s="183" t="n">
        <f aca="false">IF($S360="不存在",1,0)</f>
        <v>0</v>
      </c>
      <c r="AF360" s="34" t="str">
        <f aca="false">IF(OR($H360="—",$H360=""),"—",MATCH($H360,IDX_SrcID,0))</f>
        <v>—</v>
      </c>
    </row>
    <row r="361" customFormat="false" ht="15" hidden="false" customHeight="true" outlineLevel="0" collapsed="false">
      <c r="A361" s="35" t="s">
        <v>3531</v>
      </c>
      <c r="B361" s="209" t="s">
        <v>2677</v>
      </c>
      <c r="C361" s="35" t="s">
        <v>3413</v>
      </c>
      <c r="D361" s="35" t="s">
        <v>3532</v>
      </c>
      <c r="E361" s="18" t="s">
        <v>227</v>
      </c>
      <c r="F361" s="209" t="s">
        <v>290</v>
      </c>
      <c r="G361" s="209" t="s">
        <v>2679</v>
      </c>
      <c r="H361" s="35" t="s">
        <v>3533</v>
      </c>
      <c r="I361" s="18" t="s">
        <v>2714</v>
      </c>
      <c r="J361" s="35" t="s">
        <v>571</v>
      </c>
      <c r="K361" s="209"/>
      <c r="L361" s="209"/>
      <c r="M361" s="35" t="s">
        <v>571</v>
      </c>
      <c r="N361" s="18" t="s">
        <v>2812</v>
      </c>
      <c r="O361" s="6" t="s">
        <v>571</v>
      </c>
      <c r="P361" s="209" t="s">
        <v>2682</v>
      </c>
      <c r="Q361" s="40" t="n">
        <f aca="false">Calib!C100</f>
        <v>671</v>
      </c>
      <c r="R361" s="182" t="n">
        <f aca="false">SRC_MOD_020</f>
        <v>671</v>
      </c>
      <c r="S361" s="34" t="str">
        <f aca="false">IF(ISNUMBER($AF361),INDEX(IDX_SrcStat,$AF361),"—")</f>
        <v>Active</v>
      </c>
      <c r="T361" s="34" t="n">
        <f aca="false">IF(ISNUMBER($AF361),INDEX(IDX_SrcGrade,$AF361),"—")</f>
        <v>3</v>
      </c>
      <c r="U361" s="34" t="s">
        <v>2716</v>
      </c>
      <c r="V361" s="183" t="n">
        <f aca="false">IF(AND($F361="原始數據",$U361&lt;&gt;"連結 SRC"),1,0)</f>
        <v>0</v>
      </c>
      <c r="W361" s="183" t="n">
        <f aca="false">IF(AND($F361="Analogy",OR($H361="—",$H361="")),1,0)</f>
        <v>0</v>
      </c>
      <c r="X361" s="183" t="n">
        <f aca="false">IF(AND(OR($F361="Analogy",$F361="Assumed"),$G361&lt;&gt;"低",$G361&lt;&gt;"高",NOT(ISNUMBER($K361)),NOT(ISNUMBER($L361)),OR($M361="—",$M361="")),1,0)</f>
        <v>0</v>
      </c>
      <c r="Y361" s="183" t="n">
        <f aca="false">IF(AND(OR($F361="Analogy",$F361="Assumed",$F361="Derived（待改公式）",$F361="Derived（公式）"),OR($N361="—",$N361="",$N361=0)),1,0)</f>
        <v>0</v>
      </c>
      <c r="Z361" s="183" t="n">
        <f aca="false">IF(AND($F361="Decision",OR($J361="—",$J361="")),1,0)</f>
        <v>0</v>
      </c>
      <c r="AA361" s="180" t="n">
        <f aca="false">IF(OR($J361="—",$J361=""),0,IF(COUNTIF(Decisions!$A$5:$A$300,$J361)=0,1,0))</f>
        <v>0</v>
      </c>
      <c r="AB361" s="183" t="n">
        <f aca="false">IF(AND($F361="原始數據",$S361&lt;&gt;"Active"),1,0)</f>
        <v>0</v>
      </c>
      <c r="AC361" s="183" t="n">
        <f aca="false">IF(AND(ISNUMBER($K361),ISNUMBER($L361),ISNUMBER($Q361)),IF(OR($Q361&lt;MIN($K361,$L361),$Q361&gt;MAX($K361,$L361)),1,0),0)</f>
        <v>0</v>
      </c>
      <c r="AD361" s="183" t="n">
        <f aca="false">IF(AND(ISNUMBER($T361),$P361="高"),IF($T361=3,1,0),0)</f>
        <v>0</v>
      </c>
      <c r="AE361" s="183" t="n">
        <f aca="false">IF($S361="不存在",1,0)</f>
        <v>0</v>
      </c>
      <c r="AF361" s="34" t="n">
        <f aca="false">IF(OR($H361="—",$H361=""),"—",MATCH($H361,IDX_SrcID,0))</f>
        <v>197</v>
      </c>
    </row>
    <row r="362" customFormat="false" ht="15" hidden="false" customHeight="true" outlineLevel="0" collapsed="false">
      <c r="A362" s="35" t="s">
        <v>3534</v>
      </c>
      <c r="B362" s="209" t="s">
        <v>2677</v>
      </c>
      <c r="C362" s="35" t="s">
        <v>3413</v>
      </c>
      <c r="D362" s="35" t="s">
        <v>3535</v>
      </c>
      <c r="E362" s="18" t="s">
        <v>231</v>
      </c>
      <c r="F362" s="209" t="s">
        <v>290</v>
      </c>
      <c r="G362" s="209" t="s">
        <v>2679</v>
      </c>
      <c r="H362" s="35" t="s">
        <v>3536</v>
      </c>
      <c r="I362" s="18" t="s">
        <v>2714</v>
      </c>
      <c r="J362" s="35" t="s">
        <v>571</v>
      </c>
      <c r="K362" s="209"/>
      <c r="L362" s="209"/>
      <c r="M362" s="35" t="s">
        <v>571</v>
      </c>
      <c r="N362" s="18" t="s">
        <v>2812</v>
      </c>
      <c r="O362" s="6" t="s">
        <v>571</v>
      </c>
      <c r="P362" s="209" t="s">
        <v>2682</v>
      </c>
      <c r="Q362" s="40" t="n">
        <f aca="false">Calib!C101</f>
        <v>37</v>
      </c>
      <c r="R362" s="182" t="n">
        <f aca="false">SRC_MOD_021</f>
        <v>37</v>
      </c>
      <c r="S362" s="34" t="str">
        <f aca="false">IF(ISNUMBER($AF362),INDEX(IDX_SrcStat,$AF362),"—")</f>
        <v>Active</v>
      </c>
      <c r="T362" s="34" t="n">
        <f aca="false">IF(ISNUMBER($AF362),INDEX(IDX_SrcGrade,$AF362),"—")</f>
        <v>3</v>
      </c>
      <c r="U362" s="34" t="s">
        <v>2716</v>
      </c>
      <c r="V362" s="183" t="n">
        <f aca="false">IF(AND($F362="原始數據",$U362&lt;&gt;"連結 SRC"),1,0)</f>
        <v>0</v>
      </c>
      <c r="W362" s="183" t="n">
        <f aca="false">IF(AND($F362="Analogy",OR($H362="—",$H362="")),1,0)</f>
        <v>0</v>
      </c>
      <c r="X362" s="183" t="n">
        <f aca="false">IF(AND(OR($F362="Analogy",$F362="Assumed"),$G362&lt;&gt;"低",$G362&lt;&gt;"高",NOT(ISNUMBER($K362)),NOT(ISNUMBER($L362)),OR($M362="—",$M362="")),1,0)</f>
        <v>0</v>
      </c>
      <c r="Y362" s="183" t="n">
        <f aca="false">IF(AND(OR($F362="Analogy",$F362="Assumed",$F362="Derived（待改公式）",$F362="Derived（公式）"),OR($N362="—",$N362="",$N362=0)),1,0)</f>
        <v>0</v>
      </c>
      <c r="Z362" s="183" t="n">
        <f aca="false">IF(AND($F362="Decision",OR($J362="—",$J362="")),1,0)</f>
        <v>0</v>
      </c>
      <c r="AA362" s="180" t="n">
        <f aca="false">IF(OR($J362="—",$J362=""),0,IF(COUNTIF(Decisions!$A$5:$A$300,$J362)=0,1,0))</f>
        <v>0</v>
      </c>
      <c r="AB362" s="183" t="n">
        <f aca="false">IF(AND($F362="原始數據",$S362&lt;&gt;"Active"),1,0)</f>
        <v>0</v>
      </c>
      <c r="AC362" s="183" t="n">
        <f aca="false">IF(AND(ISNUMBER($K362),ISNUMBER($L362),ISNUMBER($Q362)),IF(OR($Q362&lt;MIN($K362,$L362),$Q362&gt;MAX($K362,$L362)),1,0),0)</f>
        <v>0</v>
      </c>
      <c r="AD362" s="183" t="n">
        <f aca="false">IF(AND(ISNUMBER($T362),$P362="高"),IF($T362=3,1,0),0)</f>
        <v>0</v>
      </c>
      <c r="AE362" s="183" t="n">
        <f aca="false">IF($S362="不存在",1,0)</f>
        <v>0</v>
      </c>
      <c r="AF362" s="34" t="n">
        <f aca="false">IF(OR($H362="—",$H362=""),"—",MATCH($H362,IDX_SrcID,0))</f>
        <v>198</v>
      </c>
    </row>
    <row r="363" customFormat="false" ht="15" hidden="false" customHeight="true" outlineLevel="0" collapsed="false">
      <c r="A363" s="35" t="s">
        <v>3537</v>
      </c>
      <c r="B363" s="209" t="s">
        <v>2677</v>
      </c>
      <c r="C363" s="35" t="s">
        <v>3413</v>
      </c>
      <c r="D363" s="35" t="s">
        <v>3538</v>
      </c>
      <c r="E363" s="18" t="s">
        <v>233</v>
      </c>
      <c r="F363" s="209" t="s">
        <v>290</v>
      </c>
      <c r="G363" s="209" t="s">
        <v>2679</v>
      </c>
      <c r="H363" s="35" t="s">
        <v>3539</v>
      </c>
      <c r="I363" s="18" t="s">
        <v>2714</v>
      </c>
      <c r="J363" s="35" t="s">
        <v>571</v>
      </c>
      <c r="K363" s="209"/>
      <c r="L363" s="209"/>
      <c r="M363" s="35" t="s">
        <v>571</v>
      </c>
      <c r="N363" s="18" t="s">
        <v>2812</v>
      </c>
      <c r="O363" s="6" t="s">
        <v>571</v>
      </c>
      <c r="P363" s="209" t="s">
        <v>2682</v>
      </c>
      <c r="Q363" s="40" t="n">
        <f aca="false">Calib!C102</f>
        <v>61</v>
      </c>
      <c r="R363" s="182" t="n">
        <f aca="false">SRC_MOD_022</f>
        <v>61</v>
      </c>
      <c r="S363" s="34" t="str">
        <f aca="false">IF(ISNUMBER($AF363),INDEX(IDX_SrcStat,$AF363),"—")</f>
        <v>Active</v>
      </c>
      <c r="T363" s="34" t="n">
        <f aca="false">IF(ISNUMBER($AF363),INDEX(IDX_SrcGrade,$AF363),"—")</f>
        <v>3</v>
      </c>
      <c r="U363" s="34" t="s">
        <v>2716</v>
      </c>
      <c r="V363" s="183" t="n">
        <f aca="false">IF(AND($F363="原始數據",$U363&lt;&gt;"連結 SRC"),1,0)</f>
        <v>0</v>
      </c>
      <c r="W363" s="183" t="n">
        <f aca="false">IF(AND($F363="Analogy",OR($H363="—",$H363="")),1,0)</f>
        <v>0</v>
      </c>
      <c r="X363" s="183" t="n">
        <f aca="false">IF(AND(OR($F363="Analogy",$F363="Assumed"),$G363&lt;&gt;"低",$G363&lt;&gt;"高",NOT(ISNUMBER($K363)),NOT(ISNUMBER($L363)),OR($M363="—",$M363="")),1,0)</f>
        <v>0</v>
      </c>
      <c r="Y363" s="183" t="n">
        <f aca="false">IF(AND(OR($F363="Analogy",$F363="Assumed",$F363="Derived（待改公式）",$F363="Derived（公式）"),OR($N363="—",$N363="",$N363=0)),1,0)</f>
        <v>0</v>
      </c>
      <c r="Z363" s="183" t="n">
        <f aca="false">IF(AND($F363="Decision",OR($J363="—",$J363="")),1,0)</f>
        <v>0</v>
      </c>
      <c r="AA363" s="180" t="n">
        <f aca="false">IF(OR($J363="—",$J363=""),0,IF(COUNTIF(Decisions!$A$5:$A$300,$J363)=0,1,0))</f>
        <v>0</v>
      </c>
      <c r="AB363" s="183" t="n">
        <f aca="false">IF(AND($F363="原始數據",$S363&lt;&gt;"Active"),1,0)</f>
        <v>0</v>
      </c>
      <c r="AC363" s="183" t="n">
        <f aca="false">IF(AND(ISNUMBER($K363),ISNUMBER($L363),ISNUMBER($Q363)),IF(OR($Q363&lt;MIN($K363,$L363),$Q363&gt;MAX($K363,$L363)),1,0),0)</f>
        <v>0</v>
      </c>
      <c r="AD363" s="183" t="n">
        <f aca="false">IF(AND(ISNUMBER($T363),$P363="高"),IF($T363=3,1,0),0)</f>
        <v>0</v>
      </c>
      <c r="AE363" s="183" t="n">
        <f aca="false">IF($S363="不存在",1,0)</f>
        <v>0</v>
      </c>
      <c r="AF363" s="34" t="n">
        <f aca="false">IF(OR($H363="—",$H363=""),"—",MATCH($H363,IDX_SrcID,0))</f>
        <v>199</v>
      </c>
    </row>
    <row r="364" customFormat="false" ht="15" hidden="false" customHeight="true" outlineLevel="0" collapsed="false">
      <c r="A364" s="35" t="s">
        <v>3540</v>
      </c>
      <c r="B364" s="209" t="s">
        <v>2677</v>
      </c>
      <c r="C364" s="35" t="s">
        <v>3413</v>
      </c>
      <c r="D364" s="35" t="s">
        <v>3541</v>
      </c>
      <c r="E364" s="6" t="s">
        <v>236</v>
      </c>
      <c r="F364" s="209" t="s">
        <v>290</v>
      </c>
      <c r="G364" s="209" t="s">
        <v>2679</v>
      </c>
      <c r="H364" s="35" t="s">
        <v>3542</v>
      </c>
      <c r="I364" s="18" t="s">
        <v>2714</v>
      </c>
      <c r="J364" s="35" t="s">
        <v>571</v>
      </c>
      <c r="K364" s="209"/>
      <c r="L364" s="209"/>
      <c r="M364" s="35" t="s">
        <v>571</v>
      </c>
      <c r="N364" s="18" t="s">
        <v>2812</v>
      </c>
      <c r="O364" s="6" t="s">
        <v>571</v>
      </c>
      <c r="P364" s="209" t="s">
        <v>2682</v>
      </c>
      <c r="Q364" s="40" t="n">
        <f aca="false">Calib!C103</f>
        <v>7168</v>
      </c>
      <c r="R364" s="182" t="n">
        <f aca="false">SRC_MOD_023</f>
        <v>7168</v>
      </c>
      <c r="S364" s="34" t="str">
        <f aca="false">IF(ISNUMBER($AF364),INDEX(IDX_SrcStat,$AF364),"—")</f>
        <v>Active</v>
      </c>
      <c r="T364" s="34" t="n">
        <f aca="false">IF(ISNUMBER($AF364),INDEX(IDX_SrcGrade,$AF364),"—")</f>
        <v>3</v>
      </c>
      <c r="U364" s="34" t="s">
        <v>2716</v>
      </c>
      <c r="V364" s="183" t="n">
        <f aca="false">IF(AND($F364="原始數據",$U364&lt;&gt;"連結 SRC"),1,0)</f>
        <v>0</v>
      </c>
      <c r="W364" s="183" t="n">
        <f aca="false">IF(AND($F364="Analogy",OR($H364="—",$H364="")),1,0)</f>
        <v>0</v>
      </c>
      <c r="X364" s="183" t="n">
        <f aca="false">IF(AND(OR($F364="Analogy",$F364="Assumed"),$G364&lt;&gt;"低",$G364&lt;&gt;"高",NOT(ISNUMBER($K364)),NOT(ISNUMBER($L364)),OR($M364="—",$M364="")),1,0)</f>
        <v>0</v>
      </c>
      <c r="Y364" s="183" t="n">
        <f aca="false">IF(AND(OR($F364="Analogy",$F364="Assumed",$F364="Derived（待改公式）",$F364="Derived（公式）"),OR($N364="—",$N364="",$N364=0)),1,0)</f>
        <v>0</v>
      </c>
      <c r="Z364" s="183" t="n">
        <f aca="false">IF(AND($F364="Decision",OR($J364="—",$J364="")),1,0)</f>
        <v>0</v>
      </c>
      <c r="AA364" s="180" t="n">
        <f aca="false">IF(OR($J364="—",$J364=""),0,IF(COUNTIF(Decisions!$A$5:$A$300,$J364)=0,1,0))</f>
        <v>0</v>
      </c>
      <c r="AB364" s="183" t="n">
        <f aca="false">IF(AND($F364="原始數據",$S364&lt;&gt;"Active"),1,0)</f>
        <v>0</v>
      </c>
      <c r="AC364" s="183" t="n">
        <f aca="false">IF(AND(ISNUMBER($K364),ISNUMBER($L364),ISNUMBER($Q364)),IF(OR($Q364&lt;MIN($K364,$L364),$Q364&gt;MAX($K364,$L364)),1,0),0)</f>
        <v>0</v>
      </c>
      <c r="AD364" s="183" t="n">
        <f aca="false">IF(AND(ISNUMBER($T364),$P364="高"),IF($T364=3,1,0),0)</f>
        <v>0</v>
      </c>
      <c r="AE364" s="183" t="n">
        <f aca="false">IF($S364="不存在",1,0)</f>
        <v>0</v>
      </c>
      <c r="AF364" s="34" t="n">
        <f aca="false">IF(OR($H364="—",$H364=""),"—",MATCH($H364,IDX_SrcID,0))</f>
        <v>200</v>
      </c>
    </row>
    <row r="365" customFormat="false" ht="15" hidden="false" customHeight="true" outlineLevel="0" collapsed="false">
      <c r="A365" s="35" t="s">
        <v>3543</v>
      </c>
      <c r="B365" s="209" t="s">
        <v>2677</v>
      </c>
      <c r="C365" s="35" t="s">
        <v>3413</v>
      </c>
      <c r="D365" s="35" t="s">
        <v>3544</v>
      </c>
      <c r="E365" s="6" t="s">
        <v>242</v>
      </c>
      <c r="F365" s="209" t="s">
        <v>290</v>
      </c>
      <c r="G365" s="209" t="s">
        <v>2679</v>
      </c>
      <c r="H365" s="35" t="s">
        <v>3545</v>
      </c>
      <c r="I365" s="18" t="s">
        <v>2714</v>
      </c>
      <c r="J365" s="35" t="s">
        <v>571</v>
      </c>
      <c r="K365" s="209"/>
      <c r="L365" s="209"/>
      <c r="M365" s="35" t="s">
        <v>571</v>
      </c>
      <c r="N365" s="18" t="s">
        <v>2812</v>
      </c>
      <c r="O365" s="6" t="s">
        <v>571</v>
      </c>
      <c r="P365" s="209" t="s">
        <v>2682</v>
      </c>
      <c r="Q365" s="40" t="n">
        <f aca="false">Calib!C104</f>
        <v>256</v>
      </c>
      <c r="R365" s="182" t="n">
        <f aca="false">SRC_MOD_024</f>
        <v>256</v>
      </c>
      <c r="S365" s="34" t="str">
        <f aca="false">IF(ISNUMBER($AF365),INDEX(IDX_SrcStat,$AF365),"—")</f>
        <v>Active</v>
      </c>
      <c r="T365" s="34" t="n">
        <f aca="false">IF(ISNUMBER($AF365),INDEX(IDX_SrcGrade,$AF365),"—")</f>
        <v>3</v>
      </c>
      <c r="U365" s="34" t="s">
        <v>2716</v>
      </c>
      <c r="V365" s="183" t="n">
        <f aca="false">IF(AND($F365="原始數據",$U365&lt;&gt;"連結 SRC"),1,0)</f>
        <v>0</v>
      </c>
      <c r="W365" s="183" t="n">
        <f aca="false">IF(AND($F365="Analogy",OR($H365="—",$H365="")),1,0)</f>
        <v>0</v>
      </c>
      <c r="X365" s="183" t="n">
        <f aca="false">IF(AND(OR($F365="Analogy",$F365="Assumed"),$G365&lt;&gt;"低",$G365&lt;&gt;"高",NOT(ISNUMBER($K365)),NOT(ISNUMBER($L365)),OR($M365="—",$M365="")),1,0)</f>
        <v>0</v>
      </c>
      <c r="Y365" s="183" t="n">
        <f aca="false">IF(AND(OR($F365="Analogy",$F365="Assumed",$F365="Derived（待改公式）",$F365="Derived（公式）"),OR($N365="—",$N365="",$N365=0)),1,0)</f>
        <v>0</v>
      </c>
      <c r="Z365" s="183" t="n">
        <f aca="false">IF(AND($F365="Decision",OR($J365="—",$J365="")),1,0)</f>
        <v>0</v>
      </c>
      <c r="AA365" s="180" t="n">
        <f aca="false">IF(OR($J365="—",$J365=""),0,IF(COUNTIF(Decisions!$A$5:$A$300,$J365)=0,1,0))</f>
        <v>0</v>
      </c>
      <c r="AB365" s="183" t="n">
        <f aca="false">IF(AND($F365="原始數據",$S365&lt;&gt;"Active"),1,0)</f>
        <v>0</v>
      </c>
      <c r="AC365" s="183" t="n">
        <f aca="false">IF(AND(ISNUMBER($K365),ISNUMBER($L365),ISNUMBER($Q365)),IF(OR($Q365&lt;MIN($K365,$L365),$Q365&gt;MAX($K365,$L365)),1,0),0)</f>
        <v>0</v>
      </c>
      <c r="AD365" s="183" t="n">
        <f aca="false">IF(AND(ISNUMBER($T365),$P365="高"),IF($T365=3,1,0),0)</f>
        <v>0</v>
      </c>
      <c r="AE365" s="183" t="n">
        <f aca="false">IF($S365="不存在",1,0)</f>
        <v>0</v>
      </c>
      <c r="AF365" s="34" t="n">
        <f aca="false">IF(OR($H365="—",$H365=""),"—",MATCH($H365,IDX_SrcID,0))</f>
        <v>201</v>
      </c>
    </row>
    <row r="366" customFormat="false" ht="15" hidden="false" customHeight="true" outlineLevel="0" collapsed="false">
      <c r="A366" s="35" t="s">
        <v>3546</v>
      </c>
      <c r="B366" s="209" t="s">
        <v>2677</v>
      </c>
      <c r="C366" s="35" t="s">
        <v>3413</v>
      </c>
      <c r="D366" s="35" t="s">
        <v>3547</v>
      </c>
      <c r="E366" s="18" t="s">
        <v>3548</v>
      </c>
      <c r="F366" s="209" t="s">
        <v>290</v>
      </c>
      <c r="G366" s="209" t="s">
        <v>2679</v>
      </c>
      <c r="H366" s="35" t="s">
        <v>3549</v>
      </c>
      <c r="I366" s="18" t="s">
        <v>2714</v>
      </c>
      <c r="J366" s="35" t="s">
        <v>571</v>
      </c>
      <c r="K366" s="209"/>
      <c r="L366" s="209"/>
      <c r="M366" s="35" t="s">
        <v>571</v>
      </c>
      <c r="N366" s="18" t="s">
        <v>2812</v>
      </c>
      <c r="O366" s="6" t="s">
        <v>571</v>
      </c>
      <c r="P366" s="209" t="s">
        <v>2682</v>
      </c>
      <c r="Q366" s="40" t="n">
        <f aca="false">Calib!C105</f>
        <v>8</v>
      </c>
      <c r="R366" s="182" t="n">
        <f aca="false">SRC_MOD_025</f>
        <v>8</v>
      </c>
      <c r="S366" s="34" t="str">
        <f aca="false">IF(ISNUMBER($AF366),INDEX(IDX_SrcStat,$AF366),"—")</f>
        <v>Active</v>
      </c>
      <c r="T366" s="34" t="n">
        <f aca="false">IF(ISNUMBER($AF366),INDEX(IDX_SrcGrade,$AF366),"—")</f>
        <v>3</v>
      </c>
      <c r="U366" s="34" t="s">
        <v>2716</v>
      </c>
      <c r="V366" s="183" t="n">
        <f aca="false">IF(AND($F366="原始數據",$U366&lt;&gt;"連結 SRC"),1,0)</f>
        <v>0</v>
      </c>
      <c r="W366" s="183" t="n">
        <f aca="false">IF(AND($F366="Analogy",OR($H366="—",$H366="")),1,0)</f>
        <v>0</v>
      </c>
      <c r="X366" s="183" t="n">
        <f aca="false">IF(AND(OR($F366="Analogy",$F366="Assumed"),$G366&lt;&gt;"低",$G366&lt;&gt;"高",NOT(ISNUMBER($K366)),NOT(ISNUMBER($L366)),OR($M366="—",$M366="")),1,0)</f>
        <v>0</v>
      </c>
      <c r="Y366" s="183" t="n">
        <f aca="false">IF(AND(OR($F366="Analogy",$F366="Assumed",$F366="Derived（待改公式）",$F366="Derived（公式）"),OR($N366="—",$N366="",$N366=0)),1,0)</f>
        <v>0</v>
      </c>
      <c r="Z366" s="183" t="n">
        <f aca="false">IF(AND($F366="Decision",OR($J366="—",$J366="")),1,0)</f>
        <v>0</v>
      </c>
      <c r="AA366" s="180" t="n">
        <f aca="false">IF(OR($J366="—",$J366=""),0,IF(COUNTIF(Decisions!$A$5:$A$300,$J366)=0,1,0))</f>
        <v>0</v>
      </c>
      <c r="AB366" s="183" t="n">
        <f aca="false">IF(AND($F366="原始數據",$S366&lt;&gt;"Active"),1,0)</f>
        <v>0</v>
      </c>
      <c r="AC366" s="183" t="n">
        <f aca="false">IF(AND(ISNUMBER($K366),ISNUMBER($L366),ISNUMBER($Q366)),IF(OR($Q366&lt;MIN($K366,$L366),$Q366&gt;MAX($K366,$L366)),1,0),0)</f>
        <v>0</v>
      </c>
      <c r="AD366" s="183" t="n">
        <f aca="false">IF(AND(ISNUMBER($T366),$P366="高"),IF($T366=3,1,0),0)</f>
        <v>0</v>
      </c>
      <c r="AE366" s="183" t="n">
        <f aca="false">IF($S366="不存在",1,0)</f>
        <v>0</v>
      </c>
      <c r="AF366" s="34" t="n">
        <f aca="false">IF(OR($H366="—",$H366=""),"—",MATCH($H366,IDX_SrcID,0))</f>
        <v>202</v>
      </c>
    </row>
    <row r="367" customFormat="false" ht="15" hidden="false" customHeight="true" outlineLevel="0" collapsed="false">
      <c r="A367" s="35" t="s">
        <v>3550</v>
      </c>
      <c r="B367" s="209" t="s">
        <v>2677</v>
      </c>
      <c r="C367" s="35" t="s">
        <v>3413</v>
      </c>
      <c r="D367" s="35" t="s">
        <v>3551</v>
      </c>
      <c r="E367" s="6" t="s">
        <v>244</v>
      </c>
      <c r="F367" s="209" t="s">
        <v>290</v>
      </c>
      <c r="G367" s="209" t="s">
        <v>2679</v>
      </c>
      <c r="H367" s="35" t="s">
        <v>3552</v>
      </c>
      <c r="I367" s="18" t="s">
        <v>2714</v>
      </c>
      <c r="J367" s="35" t="s">
        <v>571</v>
      </c>
      <c r="K367" s="209"/>
      <c r="L367" s="209"/>
      <c r="M367" s="35" t="s">
        <v>571</v>
      </c>
      <c r="N367" s="18" t="s">
        <v>2812</v>
      </c>
      <c r="O367" s="6" t="s">
        <v>571</v>
      </c>
      <c r="P367" s="209" t="s">
        <v>2682</v>
      </c>
      <c r="Q367" s="40" t="n">
        <f aca="false">Calib!C106</f>
        <v>1</v>
      </c>
      <c r="R367" s="182" t="n">
        <f aca="false">SRC_MOD_026</f>
        <v>1</v>
      </c>
      <c r="S367" s="34" t="str">
        <f aca="false">IF(ISNUMBER($AF367),INDEX(IDX_SrcStat,$AF367),"—")</f>
        <v>Active</v>
      </c>
      <c r="T367" s="34" t="n">
        <f aca="false">IF(ISNUMBER($AF367),INDEX(IDX_SrcGrade,$AF367),"—")</f>
        <v>3</v>
      </c>
      <c r="U367" s="34" t="s">
        <v>2716</v>
      </c>
      <c r="V367" s="183" t="n">
        <f aca="false">IF(AND($F367="原始數據",$U367&lt;&gt;"連結 SRC"),1,0)</f>
        <v>0</v>
      </c>
      <c r="W367" s="183" t="n">
        <f aca="false">IF(AND($F367="Analogy",OR($H367="—",$H367="")),1,0)</f>
        <v>0</v>
      </c>
      <c r="X367" s="183" t="n">
        <f aca="false">IF(AND(OR($F367="Analogy",$F367="Assumed"),$G367&lt;&gt;"低",$G367&lt;&gt;"高",NOT(ISNUMBER($K367)),NOT(ISNUMBER($L367)),OR($M367="—",$M367="")),1,0)</f>
        <v>0</v>
      </c>
      <c r="Y367" s="183" t="n">
        <f aca="false">IF(AND(OR($F367="Analogy",$F367="Assumed",$F367="Derived（待改公式）",$F367="Derived（公式）"),OR($N367="—",$N367="",$N367=0)),1,0)</f>
        <v>0</v>
      </c>
      <c r="Z367" s="183" t="n">
        <f aca="false">IF(AND($F367="Decision",OR($J367="—",$J367="")),1,0)</f>
        <v>0</v>
      </c>
      <c r="AA367" s="180" t="n">
        <f aca="false">IF(OR($J367="—",$J367=""),0,IF(COUNTIF(Decisions!$A$5:$A$300,$J367)=0,1,0))</f>
        <v>0</v>
      </c>
      <c r="AB367" s="183" t="n">
        <f aca="false">IF(AND($F367="原始數據",$S367&lt;&gt;"Active"),1,0)</f>
        <v>0</v>
      </c>
      <c r="AC367" s="183" t="n">
        <f aca="false">IF(AND(ISNUMBER($K367),ISNUMBER($L367),ISNUMBER($Q367)),IF(OR($Q367&lt;MIN($K367,$L367),$Q367&gt;MAX($K367,$L367)),1,0),0)</f>
        <v>0</v>
      </c>
      <c r="AD367" s="183" t="n">
        <f aca="false">IF(AND(ISNUMBER($T367),$P367="高"),IF($T367=3,1,0),0)</f>
        <v>0</v>
      </c>
      <c r="AE367" s="183" t="n">
        <f aca="false">IF($S367="不存在",1,0)</f>
        <v>0</v>
      </c>
      <c r="AF367" s="34" t="n">
        <f aca="false">IF(OR($H367="—",$H367=""),"—",MATCH($H367,IDX_SrcID,0))</f>
        <v>203</v>
      </c>
    </row>
    <row r="368" customFormat="false" ht="15" hidden="false" customHeight="true" outlineLevel="0" collapsed="false">
      <c r="A368" s="35" t="s">
        <v>3553</v>
      </c>
      <c r="B368" s="209" t="s">
        <v>2677</v>
      </c>
      <c r="C368" s="35" t="s">
        <v>3413</v>
      </c>
      <c r="D368" s="35" t="s">
        <v>3554</v>
      </c>
      <c r="E368" s="6" t="s">
        <v>245</v>
      </c>
      <c r="F368" s="209" t="s">
        <v>290</v>
      </c>
      <c r="G368" s="209" t="s">
        <v>2679</v>
      </c>
      <c r="H368" s="35" t="s">
        <v>3555</v>
      </c>
      <c r="I368" s="18" t="s">
        <v>2714</v>
      </c>
      <c r="J368" s="35" t="s">
        <v>571</v>
      </c>
      <c r="K368" s="209"/>
      <c r="L368" s="209"/>
      <c r="M368" s="35" t="s">
        <v>571</v>
      </c>
      <c r="N368" s="18" t="s">
        <v>2812</v>
      </c>
      <c r="O368" s="6" t="s">
        <v>571</v>
      </c>
      <c r="P368" s="209" t="s">
        <v>2682</v>
      </c>
      <c r="Q368" s="40" t="n">
        <f aca="false">Calib!C107</f>
        <v>129280</v>
      </c>
      <c r="R368" s="182" t="n">
        <f aca="false">SRC_MOD_027</f>
        <v>129280</v>
      </c>
      <c r="S368" s="34" t="str">
        <f aca="false">IF(ISNUMBER($AF368),INDEX(IDX_SrcStat,$AF368),"—")</f>
        <v>Active</v>
      </c>
      <c r="T368" s="34" t="n">
        <f aca="false">IF(ISNUMBER($AF368),INDEX(IDX_SrcGrade,$AF368),"—")</f>
        <v>3</v>
      </c>
      <c r="U368" s="34" t="s">
        <v>2716</v>
      </c>
      <c r="V368" s="183" t="n">
        <f aca="false">IF(AND($F368="原始數據",$U368&lt;&gt;"連結 SRC"),1,0)</f>
        <v>0</v>
      </c>
      <c r="W368" s="183" t="n">
        <f aca="false">IF(AND($F368="Analogy",OR($H368="—",$H368="")),1,0)</f>
        <v>0</v>
      </c>
      <c r="X368" s="183" t="n">
        <f aca="false">IF(AND(OR($F368="Analogy",$F368="Assumed"),$G368&lt;&gt;"低",$G368&lt;&gt;"高",NOT(ISNUMBER($K368)),NOT(ISNUMBER($L368)),OR($M368="—",$M368="")),1,0)</f>
        <v>0</v>
      </c>
      <c r="Y368" s="183" t="n">
        <f aca="false">IF(AND(OR($F368="Analogy",$F368="Assumed",$F368="Derived（待改公式）",$F368="Derived（公式）"),OR($N368="—",$N368="",$N368=0)),1,0)</f>
        <v>0</v>
      </c>
      <c r="Z368" s="183" t="n">
        <f aca="false">IF(AND($F368="Decision",OR($J368="—",$J368="")),1,0)</f>
        <v>0</v>
      </c>
      <c r="AA368" s="180" t="n">
        <f aca="false">IF(OR($J368="—",$J368=""),0,IF(COUNTIF(Decisions!$A$5:$A$300,$J368)=0,1,0))</f>
        <v>0</v>
      </c>
      <c r="AB368" s="183" t="n">
        <f aca="false">IF(AND($F368="原始數據",$S368&lt;&gt;"Active"),1,0)</f>
        <v>0</v>
      </c>
      <c r="AC368" s="183" t="n">
        <f aca="false">IF(AND(ISNUMBER($K368),ISNUMBER($L368),ISNUMBER($Q368)),IF(OR($Q368&lt;MIN($K368,$L368),$Q368&gt;MAX($K368,$L368)),1,0),0)</f>
        <v>0</v>
      </c>
      <c r="AD368" s="183" t="n">
        <f aca="false">IF(AND(ISNUMBER($T368),$P368="高"),IF($T368=3,1,0),0)</f>
        <v>0</v>
      </c>
      <c r="AE368" s="183" t="n">
        <f aca="false">IF($S368="不存在",1,0)</f>
        <v>0</v>
      </c>
      <c r="AF368" s="34" t="n">
        <f aca="false">IF(OR($H368="—",$H368=""),"—",MATCH($H368,IDX_SrcID,0))</f>
        <v>204</v>
      </c>
    </row>
    <row r="369" customFormat="false" ht="29.25" hidden="false" customHeight="true" outlineLevel="0" collapsed="false">
      <c r="A369" s="35" t="s">
        <v>3556</v>
      </c>
      <c r="B369" s="209" t="s">
        <v>2677</v>
      </c>
      <c r="C369" s="35" t="s">
        <v>3413</v>
      </c>
      <c r="D369" s="35" t="s">
        <v>3557</v>
      </c>
      <c r="E369" s="6" t="s">
        <v>514</v>
      </c>
      <c r="F369" s="209" t="s">
        <v>290</v>
      </c>
      <c r="G369" s="209" t="s">
        <v>2679</v>
      </c>
      <c r="H369" s="35" t="s">
        <v>3558</v>
      </c>
      <c r="I369" s="18" t="s">
        <v>3013</v>
      </c>
      <c r="J369" s="35" t="s">
        <v>571</v>
      </c>
      <c r="K369" s="209"/>
      <c r="L369" s="209"/>
      <c r="M369" s="35" t="s">
        <v>571</v>
      </c>
      <c r="N369" s="18" t="s">
        <v>2812</v>
      </c>
      <c r="O369" s="6" t="s">
        <v>571</v>
      </c>
      <c r="P369" s="209" t="s">
        <v>2682</v>
      </c>
      <c r="Q369" s="40" t="n">
        <f aca="false">Calib!C108</f>
        <v>35136</v>
      </c>
      <c r="R369" s="182" t="n">
        <f aca="false">SRC_MOD_028</f>
        <v>576</v>
      </c>
      <c r="S369" s="34" t="str">
        <f aca="false">IF(ISNUMBER($AF369),INDEX(IDX_SrcStat,$AF369),"—")</f>
        <v>Active</v>
      </c>
      <c r="T369" s="34" t="n">
        <f aca="false">IF(ISNUMBER($AF369),INDEX(IDX_SrcGrade,$AF369),"—")</f>
        <v>3</v>
      </c>
      <c r="U369" s="34" t="s">
        <v>2716</v>
      </c>
      <c r="V369" s="183" t="n">
        <f aca="false">IF(AND($F369="原始數據",$U369&lt;&gt;"連結 SRC"),1,0)</f>
        <v>0</v>
      </c>
      <c r="W369" s="183" t="n">
        <f aca="false">IF(AND($F369="Analogy",OR($H369="—",$H369="")),1,0)</f>
        <v>0</v>
      </c>
      <c r="X369" s="183" t="n">
        <f aca="false">IF(AND(OR($F369="Analogy",$F369="Assumed"),$G369&lt;&gt;"低",$G369&lt;&gt;"高",NOT(ISNUMBER($K369)),NOT(ISNUMBER($L369)),OR($M369="—",$M369="")),1,0)</f>
        <v>0</v>
      </c>
      <c r="Y369" s="183" t="n">
        <f aca="false">IF(AND(OR($F369="Analogy",$F369="Assumed",$F369="Derived（待改公式）",$F369="Derived（公式）"),OR($N369="—",$N369="",$N369=0)),1,0)</f>
        <v>0</v>
      </c>
      <c r="Z369" s="183" t="n">
        <f aca="false">IF(AND($F369="Decision",OR($J369="—",$J369="")),1,0)</f>
        <v>0</v>
      </c>
      <c r="AA369" s="180" t="n">
        <f aca="false">IF(OR($J369="—",$J369=""),0,IF(COUNTIF(Decisions!$A$5:$A$300,$J369)=0,1,0))</f>
        <v>0</v>
      </c>
      <c r="AB369" s="183" t="n">
        <f aca="false">IF(AND($F369="原始數據",$S369&lt;&gt;"Active"),1,0)</f>
        <v>0</v>
      </c>
      <c r="AC369" s="183" t="n">
        <f aca="false">IF(AND(ISNUMBER($K369),ISNUMBER($L369),ISNUMBER($Q369)),IF(OR($Q369&lt;MIN($K369,$L369),$Q369&gt;MAX($K369,$L369)),1,0),0)</f>
        <v>0</v>
      </c>
      <c r="AD369" s="183" t="n">
        <f aca="false">IF(AND(ISNUMBER($T369),$P369="高"),IF($T369=3,1,0),0)</f>
        <v>0</v>
      </c>
      <c r="AE369" s="183" t="n">
        <f aca="false">IF($S369="不存在",1,0)</f>
        <v>0</v>
      </c>
      <c r="AF369" s="34" t="n">
        <f aca="false">IF(OR($H369="—",$H369=""),"—",MATCH($H369,IDX_SrcID,0))</f>
        <v>205</v>
      </c>
    </row>
    <row r="370" customFormat="false" ht="43.5" hidden="false" customHeight="true" outlineLevel="0" collapsed="false">
      <c r="A370" s="35" t="s">
        <v>3559</v>
      </c>
      <c r="B370" s="209" t="s">
        <v>2677</v>
      </c>
      <c r="C370" s="35" t="s">
        <v>3413</v>
      </c>
      <c r="D370" s="35" t="s">
        <v>3560</v>
      </c>
      <c r="E370" s="18" t="s">
        <v>3561</v>
      </c>
      <c r="F370" s="209" t="s">
        <v>290</v>
      </c>
      <c r="G370" s="209" t="s">
        <v>2679</v>
      </c>
      <c r="H370" s="35" t="s">
        <v>3562</v>
      </c>
      <c r="I370" s="18" t="s">
        <v>3013</v>
      </c>
      <c r="J370" s="35" t="s">
        <v>571</v>
      </c>
      <c r="K370" s="209"/>
      <c r="L370" s="209"/>
      <c r="M370" s="35" t="s">
        <v>571</v>
      </c>
      <c r="N370" s="18" t="s">
        <v>2812</v>
      </c>
      <c r="O370" s="6" t="s">
        <v>571</v>
      </c>
      <c r="P370" s="209" t="s">
        <v>2682</v>
      </c>
      <c r="Q370" s="40" t="n">
        <f aca="false">Calib!C109</f>
        <v>4997120</v>
      </c>
      <c r="R370" s="182" t="n">
        <f aca="false">SRC_MOD_049</f>
        <v>128</v>
      </c>
      <c r="S370" s="34" t="str">
        <f aca="false">IF(ISNUMBER($AF370),INDEX(IDX_SrcStat,$AF370),"—")</f>
        <v>Active</v>
      </c>
      <c r="T370" s="34" t="n">
        <f aca="false">IF(ISNUMBER($AF370),INDEX(IDX_SrcGrade,$AF370),"—")</f>
        <v>3</v>
      </c>
      <c r="U370" s="34" t="s">
        <v>2716</v>
      </c>
      <c r="V370" s="183" t="n">
        <f aca="false">IF(AND($F370="原始數據",$U370&lt;&gt;"連結 SRC"),1,0)</f>
        <v>0</v>
      </c>
      <c r="W370" s="183" t="n">
        <f aca="false">IF(AND($F370="Analogy",OR($H370="—",$H370="")),1,0)</f>
        <v>0</v>
      </c>
      <c r="X370" s="183" t="n">
        <f aca="false">IF(AND(OR($F370="Analogy",$F370="Assumed"),$G370&lt;&gt;"低",$G370&lt;&gt;"高",NOT(ISNUMBER($K370)),NOT(ISNUMBER($L370)),OR($M370="—",$M370="")),1,0)</f>
        <v>0</v>
      </c>
      <c r="Y370" s="183" t="n">
        <f aca="false">IF(AND(OR($F370="Analogy",$F370="Assumed",$F370="Derived（待改公式）",$F370="Derived（公式）"),OR($N370="—",$N370="",$N370=0)),1,0)</f>
        <v>0</v>
      </c>
      <c r="Z370" s="183" t="n">
        <f aca="false">IF(AND($F370="Decision",OR($J370="—",$J370="")),1,0)</f>
        <v>0</v>
      </c>
      <c r="AA370" s="180" t="n">
        <f aca="false">IF(OR($J370="—",$J370=""),0,IF(COUNTIF(Decisions!$A$5:$A$300,$J370)=0,1,0))</f>
        <v>0</v>
      </c>
      <c r="AB370" s="183" t="n">
        <f aca="false">IF(AND($F370="原始數據",$S370&lt;&gt;"Active"),1,0)</f>
        <v>0</v>
      </c>
      <c r="AC370" s="183" t="n">
        <f aca="false">IF(AND(ISNUMBER($K370),ISNUMBER($L370),ISNUMBER($Q370)),IF(OR($Q370&lt;MIN($K370,$L370),$Q370&gt;MAX($K370,$L370)),1,0),0)</f>
        <v>0</v>
      </c>
      <c r="AD370" s="183" t="n">
        <f aca="false">IF(AND(ISNUMBER($T370),$P370="高"),IF($T370=3,1,0),0)</f>
        <v>0</v>
      </c>
      <c r="AE370" s="183" t="n">
        <f aca="false">IF($S370="不存在",1,0)</f>
        <v>0</v>
      </c>
      <c r="AF370" s="34" t="n">
        <f aca="false">IF(OR($H370="—",$H370=""),"—",MATCH($H370,IDX_SrcID,0))</f>
        <v>226</v>
      </c>
    </row>
    <row r="371" customFormat="false" ht="29.25" hidden="false" customHeight="true" outlineLevel="0" collapsed="false">
      <c r="A371" s="35" t="s">
        <v>3563</v>
      </c>
      <c r="B371" s="209" t="s">
        <v>2677</v>
      </c>
      <c r="C371" s="35" t="s">
        <v>3413</v>
      </c>
      <c r="D371" s="35" t="s">
        <v>3564</v>
      </c>
      <c r="E371" s="18" t="s">
        <v>3565</v>
      </c>
      <c r="F371" s="209" t="s">
        <v>290</v>
      </c>
      <c r="G371" s="209" t="s">
        <v>2679</v>
      </c>
      <c r="H371" s="35" t="s">
        <v>3566</v>
      </c>
      <c r="I371" s="18" t="s">
        <v>2714</v>
      </c>
      <c r="J371" s="35" t="s">
        <v>571</v>
      </c>
      <c r="K371" s="209"/>
      <c r="L371" s="209"/>
      <c r="M371" s="35" t="s">
        <v>571</v>
      </c>
      <c r="N371" s="18" t="s">
        <v>2812</v>
      </c>
      <c r="O371" s="6" t="s">
        <v>571</v>
      </c>
      <c r="P371" s="209" t="s">
        <v>2682</v>
      </c>
      <c r="Q371" s="40" t="n">
        <f aca="false">Calib!C110</f>
        <v>800</v>
      </c>
      <c r="R371" s="182" t="n">
        <f aca="false">SRC_PERF_029</f>
        <v>800</v>
      </c>
      <c r="S371" s="34" t="str">
        <f aca="false">IF(ISNUMBER($AF371),INDEX(IDX_SrcStat,$AF371),"—")</f>
        <v>Active</v>
      </c>
      <c r="T371" s="34" t="n">
        <f aca="false">IF(ISNUMBER($AF371),INDEX(IDX_SrcGrade,$AF371),"—")</f>
        <v>1</v>
      </c>
      <c r="U371" s="34" t="s">
        <v>2716</v>
      </c>
      <c r="V371" s="183" t="n">
        <f aca="false">IF(AND($F371="原始數據",$U371&lt;&gt;"連結 SRC"),1,0)</f>
        <v>0</v>
      </c>
      <c r="W371" s="183" t="n">
        <f aca="false">IF(AND($F371="Analogy",OR($H371="—",$H371="")),1,0)</f>
        <v>0</v>
      </c>
      <c r="X371" s="183" t="n">
        <f aca="false">IF(AND(OR($F371="Analogy",$F371="Assumed"),$G371&lt;&gt;"低",$G371&lt;&gt;"高",NOT(ISNUMBER($K371)),NOT(ISNUMBER($L371)),OR($M371="—",$M371="")),1,0)</f>
        <v>0</v>
      </c>
      <c r="Y371" s="183" t="n">
        <f aca="false">IF(AND(OR($F371="Analogy",$F371="Assumed",$F371="Derived（待改公式）",$F371="Derived（公式）"),OR($N371="—",$N371="",$N371=0)),1,0)</f>
        <v>0</v>
      </c>
      <c r="Z371" s="183" t="n">
        <f aca="false">IF(AND($F371="Decision",OR($J371="—",$J371="")),1,0)</f>
        <v>0</v>
      </c>
      <c r="AA371" s="180" t="n">
        <f aca="false">IF(OR($J371="—",$J371=""),0,IF(COUNTIF(Decisions!$A$5:$A$300,$J371)=0,1,0))</f>
        <v>0</v>
      </c>
      <c r="AB371" s="183" t="n">
        <f aca="false">IF(AND($F371="原始數據",$S371&lt;&gt;"Active"),1,0)</f>
        <v>0</v>
      </c>
      <c r="AC371" s="183" t="n">
        <f aca="false">IF(AND(ISNUMBER($K371),ISNUMBER($L371),ISNUMBER($Q371)),IF(OR($Q371&lt;MIN($K371,$L371),$Q371&gt;MAX($K371,$L371)),1,0),0)</f>
        <v>0</v>
      </c>
      <c r="AD371" s="183" t="n">
        <f aca="false">IF(AND(ISNUMBER($T371),$P371="高"),IF($T371=3,1,0),0)</f>
        <v>0</v>
      </c>
      <c r="AE371" s="183" t="n">
        <f aca="false">IF($S371="不存在",1,0)</f>
        <v>0</v>
      </c>
      <c r="AF371" s="34" t="n">
        <f aca="false">IF(OR($H371="—",$H371=""),"—",MATCH($H371,IDX_SrcID,0))</f>
        <v>310</v>
      </c>
    </row>
    <row r="372" customFormat="false" ht="15" hidden="false" customHeight="true" outlineLevel="0" collapsed="false">
      <c r="A372" s="35" t="s">
        <v>3567</v>
      </c>
      <c r="B372" s="209" t="s">
        <v>2677</v>
      </c>
      <c r="C372" s="35" t="s">
        <v>3413</v>
      </c>
      <c r="D372" s="35" t="s">
        <v>3568</v>
      </c>
      <c r="E372" s="18" t="s">
        <v>3569</v>
      </c>
      <c r="F372" s="209" t="s">
        <v>290</v>
      </c>
      <c r="G372" s="209" t="s">
        <v>2679</v>
      </c>
      <c r="H372" s="35" t="s">
        <v>3570</v>
      </c>
      <c r="I372" s="18" t="s">
        <v>2714</v>
      </c>
      <c r="J372" s="35" t="s">
        <v>571</v>
      </c>
      <c r="K372" s="209"/>
      <c r="L372" s="209"/>
      <c r="M372" s="35" t="s">
        <v>571</v>
      </c>
      <c r="N372" s="18" t="s">
        <v>2812</v>
      </c>
      <c r="O372" s="6" t="s">
        <v>571</v>
      </c>
      <c r="P372" s="209" t="s">
        <v>2682</v>
      </c>
      <c r="Q372" s="40" t="n">
        <f aca="false">Calib!C111</f>
        <v>3880</v>
      </c>
      <c r="R372" s="182" t="n">
        <f aca="false">SRC_PERF_030</f>
        <v>3880</v>
      </c>
      <c r="S372" s="34" t="str">
        <f aca="false">IF(ISNUMBER($AF372),INDEX(IDX_SrcStat,$AF372),"—")</f>
        <v>Active</v>
      </c>
      <c r="T372" s="34" t="n">
        <f aca="false">IF(ISNUMBER($AF372),INDEX(IDX_SrcGrade,$AF372),"—")</f>
        <v>1</v>
      </c>
      <c r="U372" s="34" t="s">
        <v>2716</v>
      </c>
      <c r="V372" s="183" t="n">
        <f aca="false">IF(AND($F372="原始數據",$U372&lt;&gt;"連結 SRC"),1,0)</f>
        <v>0</v>
      </c>
      <c r="W372" s="183" t="n">
        <f aca="false">IF(AND($F372="Analogy",OR($H372="—",$H372="")),1,0)</f>
        <v>0</v>
      </c>
      <c r="X372" s="183" t="n">
        <f aca="false">IF(AND(OR($F372="Analogy",$F372="Assumed"),$G372&lt;&gt;"低",$G372&lt;&gt;"高",NOT(ISNUMBER($K372)),NOT(ISNUMBER($L372)),OR($M372="—",$M372="")),1,0)</f>
        <v>0</v>
      </c>
      <c r="Y372" s="183" t="n">
        <f aca="false">IF(AND(OR($F372="Analogy",$F372="Assumed",$F372="Derived（待改公式）",$F372="Derived（公式）"),OR($N372="—",$N372="",$N372=0)),1,0)</f>
        <v>0</v>
      </c>
      <c r="Z372" s="183" t="n">
        <f aca="false">IF(AND($F372="Decision",OR($J372="—",$J372="")),1,0)</f>
        <v>0</v>
      </c>
      <c r="AA372" s="180" t="n">
        <f aca="false">IF(OR($J372="—",$J372=""),0,IF(COUNTIF(Decisions!$A$5:$A$300,$J372)=0,1,0))</f>
        <v>0</v>
      </c>
      <c r="AB372" s="183" t="n">
        <f aca="false">IF(AND($F372="原始數據",$S372&lt;&gt;"Active"),1,0)</f>
        <v>0</v>
      </c>
      <c r="AC372" s="183" t="n">
        <f aca="false">IF(AND(ISNUMBER($K372),ISNUMBER($L372),ISNUMBER($Q372)),IF(OR($Q372&lt;MIN($K372,$L372),$Q372&gt;MAX($K372,$L372)),1,0),0)</f>
        <v>0</v>
      </c>
      <c r="AD372" s="183" t="n">
        <f aca="false">IF(AND(ISNUMBER($T372),$P372="高"),IF($T372=3,1,0),0)</f>
        <v>0</v>
      </c>
      <c r="AE372" s="183" t="n">
        <f aca="false">IF($S372="不存在",1,0)</f>
        <v>0</v>
      </c>
      <c r="AF372" s="34" t="n">
        <f aca="false">IF(OR($H372="—",$H372=""),"—",MATCH($H372,IDX_SrcID,0))</f>
        <v>311</v>
      </c>
    </row>
    <row r="373" customFormat="false" ht="15" hidden="false" customHeight="true" outlineLevel="0" collapsed="false">
      <c r="A373" s="35" t="s">
        <v>3571</v>
      </c>
      <c r="B373" s="209" t="s">
        <v>2677</v>
      </c>
      <c r="C373" s="35" t="s">
        <v>3413</v>
      </c>
      <c r="D373" s="35" t="s">
        <v>3572</v>
      </c>
      <c r="E373" s="18" t="s">
        <v>407</v>
      </c>
      <c r="F373" s="209" t="s">
        <v>3419</v>
      </c>
      <c r="G373" s="209" t="s">
        <v>3420</v>
      </c>
      <c r="H373" s="35" t="s">
        <v>571</v>
      </c>
      <c r="I373" s="6" t="s">
        <v>571</v>
      </c>
      <c r="J373" s="35" t="s">
        <v>571</v>
      </c>
      <c r="K373" s="209"/>
      <c r="L373" s="209"/>
      <c r="M373" s="35" t="s">
        <v>571</v>
      </c>
      <c r="N373" s="6" t="s">
        <v>3573</v>
      </c>
      <c r="O373" s="6" t="s">
        <v>571</v>
      </c>
      <c r="P373" s="35" t="s">
        <v>571</v>
      </c>
      <c r="Q373" s="182" t="s">
        <v>571</v>
      </c>
      <c r="R373" s="35" t="s">
        <v>571</v>
      </c>
      <c r="S373" s="34" t="str">
        <f aca="false">IF(ISNUMBER($AF373),INDEX(IDX_SrcStat,$AF373),"—")</f>
        <v>—</v>
      </c>
      <c r="T373" s="34" t="str">
        <f aca="false">IF(ISNUMBER($AF373),INDEX(IDX_SrcGrade,$AF373),"—")</f>
        <v>—</v>
      </c>
      <c r="U373" s="35" t="s">
        <v>571</v>
      </c>
      <c r="V373" s="183" t="n">
        <f aca="false">IF(AND($F373="原始數據",$U373&lt;&gt;"連結 SRC"),1,0)</f>
        <v>0</v>
      </c>
      <c r="W373" s="183" t="n">
        <f aca="false">IF(AND($F373="Analogy",OR($H373="—",$H373="")),1,0)</f>
        <v>0</v>
      </c>
      <c r="X373" s="183" t="n">
        <f aca="false">IF(AND(OR($F373="Analogy",$F373="Assumed"),$G373&lt;&gt;"低",$G373&lt;&gt;"高",NOT(ISNUMBER($K373)),NOT(ISNUMBER($L373)),OR($M373="—",$M373="")),1,0)</f>
        <v>0</v>
      </c>
      <c r="Y373" s="183" t="n">
        <f aca="false">IF(AND(OR($F373="Analogy",$F373="Assumed",$F373="Derived（待改公式）",$F373="Derived（公式）"),OR($N373="—",$N373="",$N373=0)),1,0)</f>
        <v>0</v>
      </c>
      <c r="Z373" s="183" t="n">
        <f aca="false">IF(AND($F373="Decision",OR($J373="—",$J373="")),1,0)</f>
        <v>0</v>
      </c>
      <c r="AA373" s="180" t="n">
        <f aca="false">IF(OR($J373="—",$J373=""),0,IF(COUNTIF(Decisions!$A$5:$A$300,$J373)=0,1,0))</f>
        <v>0</v>
      </c>
      <c r="AB373" s="183" t="n">
        <f aca="false">IF(AND($F373="原始數據",$S373&lt;&gt;"Active"),1,0)</f>
        <v>0</v>
      </c>
      <c r="AC373" s="183" t="n">
        <f aca="false">IF(AND(ISNUMBER($K373),ISNUMBER($L373),ISNUMBER($Q373)),IF(OR($Q373&lt;MIN($K373,$L373),$Q373&gt;MAX($K373,$L373)),1,0),0)</f>
        <v>0</v>
      </c>
      <c r="AD373" s="183" t="n">
        <f aca="false">IF(AND(ISNUMBER($T373),$P373="高"),IF($T373=3,1,0),0)</f>
        <v>0</v>
      </c>
      <c r="AE373" s="183" t="n">
        <f aca="false">IF($S373="不存在",1,0)</f>
        <v>0</v>
      </c>
      <c r="AF373" s="34" t="str">
        <f aca="false">IF(OR($H373="—",$H373=""),"—",MATCH($H373,IDX_SrcID,0))</f>
        <v>—</v>
      </c>
    </row>
    <row r="374" customFormat="false" ht="29.25" hidden="false" customHeight="true" outlineLevel="0" collapsed="false">
      <c r="A374" s="35" t="s">
        <v>3574</v>
      </c>
      <c r="B374" s="209" t="s">
        <v>2677</v>
      </c>
      <c r="C374" s="35" t="s">
        <v>3413</v>
      </c>
      <c r="D374" s="35" t="s">
        <v>3575</v>
      </c>
      <c r="E374" s="18" t="s">
        <v>3576</v>
      </c>
      <c r="F374" s="209" t="s">
        <v>290</v>
      </c>
      <c r="G374" s="209" t="s">
        <v>2679</v>
      </c>
      <c r="H374" s="35" t="s">
        <v>3577</v>
      </c>
      <c r="I374" s="18" t="s">
        <v>3013</v>
      </c>
      <c r="J374" s="35" t="s">
        <v>571</v>
      </c>
      <c r="K374" s="209"/>
      <c r="L374" s="209"/>
      <c r="M374" s="35" t="s">
        <v>571</v>
      </c>
      <c r="N374" s="18" t="s">
        <v>2812</v>
      </c>
      <c r="O374" s="6" t="s">
        <v>571</v>
      </c>
      <c r="P374" s="34" t="s">
        <v>2682</v>
      </c>
      <c r="Q374" s="175" t="n">
        <f aca="false">Calib!C118</f>
        <v>66.6666666666667</v>
      </c>
      <c r="R374" s="182" t="n">
        <f aca="false">SRC_PERF_031</f>
        <v>15</v>
      </c>
      <c r="S374" s="34" t="str">
        <f aca="false">IF(ISNUMBER($AF374),INDEX(IDX_SrcStat,$AF374),"—")</f>
        <v>Active</v>
      </c>
      <c r="T374" s="34" t="n">
        <f aca="false">IF(ISNUMBER($AF374),INDEX(IDX_SrcGrade,$AF374),"—")</f>
        <v>1</v>
      </c>
      <c r="U374" s="34" t="s">
        <v>2716</v>
      </c>
      <c r="V374" s="183" t="n">
        <f aca="false">IF(AND($F374="原始數據",$U374&lt;&gt;"連結 SRC"),1,0)</f>
        <v>0</v>
      </c>
      <c r="W374" s="183" t="n">
        <f aca="false">IF(AND($F374="Analogy",OR($H374="—",$H374="")),1,0)</f>
        <v>0</v>
      </c>
      <c r="X374" s="183" t="n">
        <f aca="false">IF(AND(OR($F374="Analogy",$F374="Assumed"),$G374&lt;&gt;"低",$G374&lt;&gt;"高",NOT(ISNUMBER($K374)),NOT(ISNUMBER($L374)),OR($M374="—",$M374="")),1,0)</f>
        <v>0</v>
      </c>
      <c r="Y374" s="183" t="n">
        <f aca="false">IF(AND(OR($F374="Analogy",$F374="Assumed",$F374="Derived（待改公式）",$F374="Derived（公式）"),OR($N374="—",$N374="",$N374=0)),1,0)</f>
        <v>0</v>
      </c>
      <c r="Z374" s="183" t="n">
        <f aca="false">IF(AND($F374="Decision",OR($J374="—",$J374="")),1,0)</f>
        <v>0</v>
      </c>
      <c r="AA374" s="180" t="n">
        <f aca="false">IF(OR($J374="—",$J374=""),0,IF(COUNTIF(Decisions!$A$5:$A$300,$J374)=0,1,0))</f>
        <v>0</v>
      </c>
      <c r="AB374" s="183" t="n">
        <f aca="false">IF(AND($F374="原始數據",$S374&lt;&gt;"Active"),1,0)</f>
        <v>0</v>
      </c>
      <c r="AC374" s="183" t="n">
        <f aca="false">IF(AND(ISNUMBER($K374),ISNUMBER($L374),ISNUMBER($Q374)),IF(OR($Q374&lt;MIN($K374,$L374),$Q374&gt;MAX($K374,$L374)),1,0),0)</f>
        <v>0</v>
      </c>
      <c r="AD374" s="183" t="n">
        <f aca="false">IF(AND(ISNUMBER($T374),$P374="高"),IF($T374=3,1,0),0)</f>
        <v>0</v>
      </c>
      <c r="AE374" s="183" t="n">
        <f aca="false">IF($S374="不存在",1,0)</f>
        <v>0</v>
      </c>
      <c r="AF374" s="34" t="n">
        <f aca="false">IF(OR($H374="—",$H374=""),"—",MATCH($H374,IDX_SrcID,0))</f>
        <v>312</v>
      </c>
    </row>
    <row r="375" customFormat="false" ht="29.25" hidden="false" customHeight="true" outlineLevel="0" collapsed="false">
      <c r="A375" s="35" t="s">
        <v>3578</v>
      </c>
      <c r="B375" s="209" t="s">
        <v>2677</v>
      </c>
      <c r="C375" s="35" t="s">
        <v>3413</v>
      </c>
      <c r="D375" s="35" t="s">
        <v>3579</v>
      </c>
      <c r="E375" s="18" t="s">
        <v>3576</v>
      </c>
      <c r="F375" s="209" t="s">
        <v>290</v>
      </c>
      <c r="G375" s="209" t="s">
        <v>2679</v>
      </c>
      <c r="H375" s="35" t="s">
        <v>3577</v>
      </c>
      <c r="I375" s="18" t="s">
        <v>3013</v>
      </c>
      <c r="J375" s="35" t="s">
        <v>571</v>
      </c>
      <c r="K375" s="209"/>
      <c r="L375" s="209"/>
      <c r="M375" s="35" t="s">
        <v>571</v>
      </c>
      <c r="N375" s="18" t="s">
        <v>2812</v>
      </c>
      <c r="O375" s="6" t="s">
        <v>571</v>
      </c>
      <c r="P375" s="34" t="s">
        <v>2682</v>
      </c>
      <c r="Q375" s="175" t="n">
        <f aca="false">Calib!D118</f>
        <v>66.6666666666667</v>
      </c>
      <c r="R375" s="182" t="n">
        <f aca="false">SRC_PERF_031</f>
        <v>15</v>
      </c>
      <c r="S375" s="34" t="str">
        <f aca="false">IF(ISNUMBER($AF375),INDEX(IDX_SrcStat,$AF375),"—")</f>
        <v>Active</v>
      </c>
      <c r="T375" s="34" t="n">
        <f aca="false">IF(ISNUMBER($AF375),INDEX(IDX_SrcGrade,$AF375),"—")</f>
        <v>1</v>
      </c>
      <c r="U375" s="34" t="s">
        <v>2716</v>
      </c>
      <c r="V375" s="183" t="n">
        <f aca="false">IF(AND($F375="原始數據",$U375&lt;&gt;"連結 SRC"),1,0)</f>
        <v>0</v>
      </c>
      <c r="W375" s="183" t="n">
        <f aca="false">IF(AND($F375="Analogy",OR($H375="—",$H375="")),1,0)</f>
        <v>0</v>
      </c>
      <c r="X375" s="183" t="n">
        <f aca="false">IF(AND(OR($F375="Analogy",$F375="Assumed"),$G375&lt;&gt;"低",$G375&lt;&gt;"高",NOT(ISNUMBER($K375)),NOT(ISNUMBER($L375)),OR($M375="—",$M375="")),1,0)</f>
        <v>0</v>
      </c>
      <c r="Y375" s="183" t="n">
        <f aca="false">IF(AND(OR($F375="Analogy",$F375="Assumed",$F375="Derived（待改公式）",$F375="Derived（公式）"),OR($N375="—",$N375="",$N375=0)),1,0)</f>
        <v>0</v>
      </c>
      <c r="Z375" s="183" t="n">
        <f aca="false">IF(AND($F375="Decision",OR($J375="—",$J375="")),1,0)</f>
        <v>0</v>
      </c>
      <c r="AA375" s="180" t="n">
        <f aca="false">IF(OR($J375="—",$J375=""),0,IF(COUNTIF(Decisions!$A$5:$A$300,$J375)=0,1,0))</f>
        <v>0</v>
      </c>
      <c r="AB375" s="183" t="n">
        <f aca="false">IF(AND($F375="原始數據",$S375&lt;&gt;"Active"),1,0)</f>
        <v>0</v>
      </c>
      <c r="AC375" s="183" t="n">
        <f aca="false">IF(AND(ISNUMBER($K375),ISNUMBER($L375),ISNUMBER($Q375)),IF(OR($Q375&lt;MIN($K375,$L375),$Q375&gt;MAX($K375,$L375)),1,0),0)</f>
        <v>0</v>
      </c>
      <c r="AD375" s="183" t="n">
        <f aca="false">IF(AND(ISNUMBER($T375),$P375="高"),IF($T375=3,1,0),0)</f>
        <v>0</v>
      </c>
      <c r="AE375" s="183" t="n">
        <f aca="false">IF($S375="不存在",1,0)</f>
        <v>0</v>
      </c>
      <c r="AF375" s="34" t="n">
        <f aca="false">IF(OR($H375="—",$H375=""),"—",MATCH($H375,IDX_SrcID,0))</f>
        <v>312</v>
      </c>
    </row>
    <row r="376" customFormat="false" ht="29.25" hidden="false" customHeight="true" outlineLevel="0" collapsed="false">
      <c r="A376" s="35" t="s">
        <v>3580</v>
      </c>
      <c r="B376" s="209" t="s">
        <v>2677</v>
      </c>
      <c r="C376" s="35" t="s">
        <v>3413</v>
      </c>
      <c r="D376" s="35" t="s">
        <v>3581</v>
      </c>
      <c r="E376" s="18" t="s">
        <v>3576</v>
      </c>
      <c r="F376" s="209" t="s">
        <v>290</v>
      </c>
      <c r="G376" s="209" t="s">
        <v>2679</v>
      </c>
      <c r="H376" s="35" t="s">
        <v>3577</v>
      </c>
      <c r="I376" s="18" t="s">
        <v>3013</v>
      </c>
      <c r="J376" s="35" t="s">
        <v>571</v>
      </c>
      <c r="K376" s="209"/>
      <c r="L376" s="209"/>
      <c r="M376" s="35" t="s">
        <v>571</v>
      </c>
      <c r="N376" s="18" t="s">
        <v>2812</v>
      </c>
      <c r="O376" s="6" t="s">
        <v>571</v>
      </c>
      <c r="P376" s="34" t="s">
        <v>2682</v>
      </c>
      <c r="Q376" s="175" t="n">
        <f aca="false">Calib!E118</f>
        <v>66.6666666666667</v>
      </c>
      <c r="R376" s="182" t="n">
        <f aca="false">SRC_PERF_031</f>
        <v>15</v>
      </c>
      <c r="S376" s="34" t="str">
        <f aca="false">IF(ISNUMBER($AF376),INDEX(IDX_SrcStat,$AF376),"—")</f>
        <v>Active</v>
      </c>
      <c r="T376" s="34" t="n">
        <f aca="false">IF(ISNUMBER($AF376),INDEX(IDX_SrcGrade,$AF376),"—")</f>
        <v>1</v>
      </c>
      <c r="U376" s="34" t="s">
        <v>2716</v>
      </c>
      <c r="V376" s="183" t="n">
        <f aca="false">IF(AND($F376="原始數據",$U376&lt;&gt;"連結 SRC"),1,0)</f>
        <v>0</v>
      </c>
      <c r="W376" s="183" t="n">
        <f aca="false">IF(AND($F376="Analogy",OR($H376="—",$H376="")),1,0)</f>
        <v>0</v>
      </c>
      <c r="X376" s="183" t="n">
        <f aca="false">IF(AND(OR($F376="Analogy",$F376="Assumed"),$G376&lt;&gt;"低",$G376&lt;&gt;"高",NOT(ISNUMBER($K376)),NOT(ISNUMBER($L376)),OR($M376="—",$M376="")),1,0)</f>
        <v>0</v>
      </c>
      <c r="Y376" s="183" t="n">
        <f aca="false">IF(AND(OR($F376="Analogy",$F376="Assumed",$F376="Derived（待改公式）",$F376="Derived（公式）"),OR($N376="—",$N376="",$N376=0)),1,0)</f>
        <v>0</v>
      </c>
      <c r="Z376" s="183" t="n">
        <f aca="false">IF(AND($F376="Decision",OR($J376="—",$J376="")),1,0)</f>
        <v>0</v>
      </c>
      <c r="AA376" s="180" t="n">
        <f aca="false">IF(OR($J376="—",$J376=""),0,IF(COUNTIF(Decisions!$A$5:$A$300,$J376)=0,1,0))</f>
        <v>0</v>
      </c>
      <c r="AB376" s="183" t="n">
        <f aca="false">IF(AND($F376="原始數據",$S376&lt;&gt;"Active"),1,0)</f>
        <v>0</v>
      </c>
      <c r="AC376" s="183" t="n">
        <f aca="false">IF(AND(ISNUMBER($K376),ISNUMBER($L376),ISNUMBER($Q376)),IF(OR($Q376&lt;MIN($K376,$L376),$Q376&gt;MAX($K376,$L376)),1,0),0)</f>
        <v>0</v>
      </c>
      <c r="AD376" s="183" t="n">
        <f aca="false">IF(AND(ISNUMBER($T376),$P376="高"),IF($T376=3,1,0),0)</f>
        <v>0</v>
      </c>
      <c r="AE376" s="183" t="n">
        <f aca="false">IF($S376="不存在",1,0)</f>
        <v>0</v>
      </c>
      <c r="AF376" s="34" t="n">
        <f aca="false">IF(OR($H376="—",$H376=""),"—",MATCH($H376,IDX_SrcID,0))</f>
        <v>312</v>
      </c>
    </row>
    <row r="377" customFormat="false" ht="29.25" hidden="false" customHeight="true" outlineLevel="0" collapsed="false">
      <c r="A377" s="35" t="s">
        <v>3582</v>
      </c>
      <c r="B377" s="209" t="s">
        <v>2677</v>
      </c>
      <c r="C377" s="35" t="s">
        <v>3413</v>
      </c>
      <c r="D377" s="35" t="s">
        <v>3583</v>
      </c>
      <c r="E377" s="18" t="s">
        <v>3576</v>
      </c>
      <c r="F377" s="209" t="s">
        <v>290</v>
      </c>
      <c r="G377" s="209" t="s">
        <v>2679</v>
      </c>
      <c r="H377" s="35" t="s">
        <v>3584</v>
      </c>
      <c r="I377" s="18" t="s">
        <v>3013</v>
      </c>
      <c r="J377" s="35" t="s">
        <v>571</v>
      </c>
      <c r="K377" s="209"/>
      <c r="L377" s="209"/>
      <c r="M377" s="35" t="s">
        <v>571</v>
      </c>
      <c r="N377" s="18" t="s">
        <v>2812</v>
      </c>
      <c r="O377" s="6" t="s">
        <v>571</v>
      </c>
      <c r="P377" s="34" t="s">
        <v>2682</v>
      </c>
      <c r="Q377" s="175" t="n">
        <f aca="false">Calib!F118</f>
        <v>12.5</v>
      </c>
      <c r="R377" s="182" t="n">
        <f aca="false">SRC_PERF_032</f>
        <v>80</v>
      </c>
      <c r="S377" s="34" t="str">
        <f aca="false">IF(ISNUMBER($AF377),INDEX(IDX_SrcStat,$AF377),"—")</f>
        <v>Active</v>
      </c>
      <c r="T377" s="34" t="n">
        <f aca="false">IF(ISNUMBER($AF377),INDEX(IDX_SrcGrade,$AF377),"—")</f>
        <v>1</v>
      </c>
      <c r="U377" s="34" t="s">
        <v>2716</v>
      </c>
      <c r="V377" s="183" t="n">
        <f aca="false">IF(AND($F377="原始數據",$U377&lt;&gt;"連結 SRC"),1,0)</f>
        <v>0</v>
      </c>
      <c r="W377" s="183" t="n">
        <f aca="false">IF(AND($F377="Analogy",OR($H377="—",$H377="")),1,0)</f>
        <v>0</v>
      </c>
      <c r="X377" s="183" t="n">
        <f aca="false">IF(AND(OR($F377="Analogy",$F377="Assumed"),$G377&lt;&gt;"低",$G377&lt;&gt;"高",NOT(ISNUMBER($K377)),NOT(ISNUMBER($L377)),OR($M377="—",$M377="")),1,0)</f>
        <v>0</v>
      </c>
      <c r="Y377" s="183" t="n">
        <f aca="false">IF(AND(OR($F377="Analogy",$F377="Assumed",$F377="Derived（待改公式）",$F377="Derived（公式）"),OR($N377="—",$N377="",$N377=0)),1,0)</f>
        <v>0</v>
      </c>
      <c r="Z377" s="183" t="n">
        <f aca="false">IF(AND($F377="Decision",OR($J377="—",$J377="")),1,0)</f>
        <v>0</v>
      </c>
      <c r="AA377" s="180" t="n">
        <f aca="false">IF(OR($J377="—",$J377=""),0,IF(COUNTIF(Decisions!$A$5:$A$300,$J377)=0,1,0))</f>
        <v>0</v>
      </c>
      <c r="AB377" s="183" t="n">
        <f aca="false">IF(AND($F377="原始數據",$S377&lt;&gt;"Active"),1,0)</f>
        <v>0</v>
      </c>
      <c r="AC377" s="183" t="n">
        <f aca="false">IF(AND(ISNUMBER($K377),ISNUMBER($L377),ISNUMBER($Q377)),IF(OR($Q377&lt;MIN($K377,$L377),$Q377&gt;MAX($K377,$L377)),1,0),0)</f>
        <v>0</v>
      </c>
      <c r="AD377" s="183" t="n">
        <f aca="false">IF(AND(ISNUMBER($T377),$P377="高"),IF($T377=3,1,0),0)</f>
        <v>0</v>
      </c>
      <c r="AE377" s="183" t="n">
        <f aca="false">IF($S377="不存在",1,0)</f>
        <v>0</v>
      </c>
      <c r="AF377" s="34" t="n">
        <f aca="false">IF(OR($H377="—",$H377=""),"—",MATCH($H377,IDX_SrcID,0))</f>
        <v>313</v>
      </c>
    </row>
    <row r="378" customFormat="false" ht="43.5" hidden="false" customHeight="true" outlineLevel="0" collapsed="false">
      <c r="A378" s="35" t="s">
        <v>3585</v>
      </c>
      <c r="B378" s="209" t="s">
        <v>2677</v>
      </c>
      <c r="C378" s="35" t="s">
        <v>3413</v>
      </c>
      <c r="D378" s="35" t="s">
        <v>3586</v>
      </c>
      <c r="E378" s="18" t="s">
        <v>3587</v>
      </c>
      <c r="F378" s="209" t="s">
        <v>2864</v>
      </c>
      <c r="G378" s="209" t="s">
        <v>2679</v>
      </c>
      <c r="H378" s="35" t="s">
        <v>3266</v>
      </c>
      <c r="I378" s="18" t="s">
        <v>3588</v>
      </c>
      <c r="J378" s="35" t="s">
        <v>571</v>
      </c>
      <c r="K378" s="209"/>
      <c r="L378" s="209"/>
      <c r="M378" s="35" t="s">
        <v>571</v>
      </c>
      <c r="N378" s="18" t="s">
        <v>3589</v>
      </c>
      <c r="O378" s="6" t="s">
        <v>571</v>
      </c>
      <c r="P378" s="209" t="s">
        <v>2682</v>
      </c>
      <c r="Q378" s="180" t="n">
        <f aca="false">Calib!C119</f>
        <v>1</v>
      </c>
      <c r="R378" s="182" t="n">
        <f aca="false">SRC_PERF_035</f>
        <v>3</v>
      </c>
      <c r="S378" s="34" t="str">
        <f aca="false">IF(ISNUMBER($AF378),INDEX(IDX_SrcStat,$AF378),"—")</f>
        <v>Active</v>
      </c>
      <c r="T378" s="34" t="n">
        <f aca="false">IF(ISNUMBER($AF378),INDEX(IDX_SrcGrade,$AF378),"—")</f>
        <v>1</v>
      </c>
      <c r="U378" s="34" t="s">
        <v>2683</v>
      </c>
      <c r="V378" s="183" t="n">
        <f aca="false">IF(AND($F378="原始數據",$U378&lt;&gt;"連結 SRC"),1,0)</f>
        <v>0</v>
      </c>
      <c r="W378" s="183" t="n">
        <f aca="false">IF(AND($F378="Analogy",OR($H378="—",$H378="")),1,0)</f>
        <v>0</v>
      </c>
      <c r="X378" s="183" t="n">
        <f aca="false">IF(AND(OR($F378="Analogy",$F378="Assumed"),$G378&lt;&gt;"低",$G378&lt;&gt;"高",NOT(ISNUMBER($K378)),NOT(ISNUMBER($L378)),OR($M378="—",$M378="")),1,0)</f>
        <v>0</v>
      </c>
      <c r="Y378" s="183" t="n">
        <f aca="false">IF(AND(OR($F378="Analogy",$F378="Assumed",$F378="Derived（待改公式）",$F378="Derived（公式）"),OR($N378="—",$N378="",$N378=0)),1,0)</f>
        <v>0</v>
      </c>
      <c r="Z378" s="183" t="n">
        <f aca="false">IF(AND($F378="Decision",OR($J378="—",$J378="")),1,0)</f>
        <v>0</v>
      </c>
      <c r="AA378" s="180" t="n">
        <f aca="false">IF(OR($J378="—",$J378=""),0,IF(COUNTIF(Decisions!$A$5:$A$300,$J378)=0,1,0))</f>
        <v>0</v>
      </c>
      <c r="AB378" s="183" t="n">
        <f aca="false">IF(AND($F378="原始數據",$S378&lt;&gt;"Active"),1,0)</f>
        <v>0</v>
      </c>
      <c r="AC378" s="183" t="n">
        <f aca="false">IF(AND(ISNUMBER($K378),ISNUMBER($L378),ISNUMBER($Q378)),IF(OR($Q378&lt;MIN($K378,$L378),$Q378&gt;MAX($K378,$L378)),1,0),0)</f>
        <v>0</v>
      </c>
      <c r="AD378" s="183" t="n">
        <f aca="false">IF(AND(ISNUMBER($T378),$P378="高"),IF($T378=3,1,0),0)</f>
        <v>0</v>
      </c>
      <c r="AE378" s="183" t="n">
        <f aca="false">IF($S378="不存在",1,0)</f>
        <v>0</v>
      </c>
      <c r="AF378" s="34" t="n">
        <f aca="false">IF(OR($H378="—",$H378=""),"—",MATCH($H378,IDX_SrcID,0))</f>
        <v>316</v>
      </c>
    </row>
    <row r="379" customFormat="false" ht="43.5" hidden="false" customHeight="true" outlineLevel="0" collapsed="false">
      <c r="A379" s="35" t="s">
        <v>3590</v>
      </c>
      <c r="B379" s="209" t="s">
        <v>2677</v>
      </c>
      <c r="C379" s="35" t="s">
        <v>3413</v>
      </c>
      <c r="D379" s="35" t="s">
        <v>3591</v>
      </c>
      <c r="E379" s="18" t="s">
        <v>3587</v>
      </c>
      <c r="F379" s="209" t="s">
        <v>2864</v>
      </c>
      <c r="G379" s="209" t="s">
        <v>2679</v>
      </c>
      <c r="H379" s="35" t="s">
        <v>3266</v>
      </c>
      <c r="I379" s="18" t="s">
        <v>3588</v>
      </c>
      <c r="J379" s="35" t="s">
        <v>571</v>
      </c>
      <c r="K379" s="209"/>
      <c r="L379" s="209"/>
      <c r="M379" s="35" t="s">
        <v>571</v>
      </c>
      <c r="N379" s="18" t="s">
        <v>3589</v>
      </c>
      <c r="O379" s="6" t="s">
        <v>571</v>
      </c>
      <c r="P379" s="209" t="s">
        <v>2682</v>
      </c>
      <c r="Q379" s="180" t="n">
        <f aca="false">Calib!D119</f>
        <v>1</v>
      </c>
      <c r="R379" s="182" t="n">
        <f aca="false">SRC_PERF_035</f>
        <v>3</v>
      </c>
      <c r="S379" s="34" t="str">
        <f aca="false">IF(ISNUMBER($AF379),INDEX(IDX_SrcStat,$AF379),"—")</f>
        <v>Active</v>
      </c>
      <c r="T379" s="34" t="n">
        <f aca="false">IF(ISNUMBER($AF379),INDEX(IDX_SrcGrade,$AF379),"—")</f>
        <v>1</v>
      </c>
      <c r="U379" s="34" t="s">
        <v>2683</v>
      </c>
      <c r="V379" s="183" t="n">
        <f aca="false">IF(AND($F379="原始數據",$U379&lt;&gt;"連結 SRC"),1,0)</f>
        <v>0</v>
      </c>
      <c r="W379" s="183" t="n">
        <f aca="false">IF(AND($F379="Analogy",OR($H379="—",$H379="")),1,0)</f>
        <v>0</v>
      </c>
      <c r="X379" s="183" t="n">
        <f aca="false">IF(AND(OR($F379="Analogy",$F379="Assumed"),$G379&lt;&gt;"低",$G379&lt;&gt;"高",NOT(ISNUMBER($K379)),NOT(ISNUMBER($L379)),OR($M379="—",$M379="")),1,0)</f>
        <v>0</v>
      </c>
      <c r="Y379" s="183" t="n">
        <f aca="false">IF(AND(OR($F379="Analogy",$F379="Assumed",$F379="Derived（待改公式）",$F379="Derived（公式）"),OR($N379="—",$N379="",$N379=0)),1,0)</f>
        <v>0</v>
      </c>
      <c r="Z379" s="183" t="n">
        <f aca="false">IF(AND($F379="Decision",OR($J379="—",$J379="")),1,0)</f>
        <v>0</v>
      </c>
      <c r="AA379" s="180" t="n">
        <f aca="false">IF(OR($J379="—",$J379=""),0,IF(COUNTIF(Decisions!$A$5:$A$300,$J379)=0,1,0))</f>
        <v>0</v>
      </c>
      <c r="AB379" s="183" t="n">
        <f aca="false">IF(AND($F379="原始數據",$S379&lt;&gt;"Active"),1,0)</f>
        <v>0</v>
      </c>
      <c r="AC379" s="183" t="n">
        <f aca="false">IF(AND(ISNUMBER($K379),ISNUMBER($L379),ISNUMBER($Q379)),IF(OR($Q379&lt;MIN($K379,$L379),$Q379&gt;MAX($K379,$L379)),1,0),0)</f>
        <v>0</v>
      </c>
      <c r="AD379" s="183" t="n">
        <f aca="false">IF(AND(ISNUMBER($T379),$P379="高"),IF($T379=3,1,0),0)</f>
        <v>0</v>
      </c>
      <c r="AE379" s="183" t="n">
        <f aca="false">IF($S379="不存在",1,0)</f>
        <v>0</v>
      </c>
      <c r="AF379" s="34" t="n">
        <f aca="false">IF(OR($H379="—",$H379=""),"—",MATCH($H379,IDX_SrcID,0))</f>
        <v>316</v>
      </c>
    </row>
    <row r="380" customFormat="false" ht="43.5" hidden="false" customHeight="true" outlineLevel="0" collapsed="false">
      <c r="A380" s="35" t="s">
        <v>3592</v>
      </c>
      <c r="B380" s="209" t="s">
        <v>2677</v>
      </c>
      <c r="C380" s="35" t="s">
        <v>3413</v>
      </c>
      <c r="D380" s="35" t="s">
        <v>3593</v>
      </c>
      <c r="E380" s="18" t="s">
        <v>3587</v>
      </c>
      <c r="F380" s="209" t="s">
        <v>2864</v>
      </c>
      <c r="G380" s="209" t="s">
        <v>2679</v>
      </c>
      <c r="H380" s="35" t="s">
        <v>3266</v>
      </c>
      <c r="I380" s="18" t="s">
        <v>3588</v>
      </c>
      <c r="J380" s="35" t="s">
        <v>571</v>
      </c>
      <c r="K380" s="209"/>
      <c r="L380" s="209"/>
      <c r="M380" s="35" t="s">
        <v>571</v>
      </c>
      <c r="N380" s="18" t="s">
        <v>3589</v>
      </c>
      <c r="O380" s="6" t="s">
        <v>571</v>
      </c>
      <c r="P380" s="209" t="s">
        <v>2682</v>
      </c>
      <c r="Q380" s="180" t="n">
        <f aca="false">Calib!E119</f>
        <v>1</v>
      </c>
      <c r="R380" s="182" t="n">
        <f aca="false">SRC_PERF_035</f>
        <v>3</v>
      </c>
      <c r="S380" s="34" t="str">
        <f aca="false">IF(ISNUMBER($AF380),INDEX(IDX_SrcStat,$AF380),"—")</f>
        <v>Active</v>
      </c>
      <c r="T380" s="34" t="n">
        <f aca="false">IF(ISNUMBER($AF380),INDEX(IDX_SrcGrade,$AF380),"—")</f>
        <v>1</v>
      </c>
      <c r="U380" s="34" t="s">
        <v>2683</v>
      </c>
      <c r="V380" s="183" t="n">
        <f aca="false">IF(AND($F380="原始數據",$U380&lt;&gt;"連結 SRC"),1,0)</f>
        <v>0</v>
      </c>
      <c r="W380" s="183" t="n">
        <f aca="false">IF(AND($F380="Analogy",OR($H380="—",$H380="")),1,0)</f>
        <v>0</v>
      </c>
      <c r="X380" s="183" t="n">
        <f aca="false">IF(AND(OR($F380="Analogy",$F380="Assumed"),$G380&lt;&gt;"低",$G380&lt;&gt;"高",NOT(ISNUMBER($K380)),NOT(ISNUMBER($L380)),OR($M380="—",$M380="")),1,0)</f>
        <v>0</v>
      </c>
      <c r="Y380" s="183" t="n">
        <f aca="false">IF(AND(OR($F380="Analogy",$F380="Assumed",$F380="Derived（待改公式）",$F380="Derived（公式）"),OR($N380="—",$N380="",$N380=0)),1,0)</f>
        <v>0</v>
      </c>
      <c r="Z380" s="183" t="n">
        <f aca="false">IF(AND($F380="Decision",OR($J380="—",$J380="")),1,0)</f>
        <v>0</v>
      </c>
      <c r="AA380" s="180" t="n">
        <f aca="false">IF(OR($J380="—",$J380=""),0,IF(COUNTIF(Decisions!$A$5:$A$300,$J380)=0,1,0))</f>
        <v>0</v>
      </c>
      <c r="AB380" s="183" t="n">
        <f aca="false">IF(AND($F380="原始數據",$S380&lt;&gt;"Active"),1,0)</f>
        <v>0</v>
      </c>
      <c r="AC380" s="183" t="n">
        <f aca="false">IF(AND(ISNUMBER($K380),ISNUMBER($L380),ISNUMBER($Q380)),IF(OR($Q380&lt;MIN($K380,$L380),$Q380&gt;MAX($K380,$L380)),1,0),0)</f>
        <v>0</v>
      </c>
      <c r="AD380" s="183" t="n">
        <f aca="false">IF(AND(ISNUMBER($T380),$P380="高"),IF($T380=3,1,0),0)</f>
        <v>0</v>
      </c>
      <c r="AE380" s="183" t="n">
        <f aca="false">IF($S380="不存在",1,0)</f>
        <v>0</v>
      </c>
      <c r="AF380" s="34" t="n">
        <f aca="false">IF(OR($H380="—",$H380=""),"—",MATCH($H380,IDX_SrcID,0))</f>
        <v>316</v>
      </c>
    </row>
    <row r="381" customFormat="false" ht="43.5" hidden="false" customHeight="true" outlineLevel="0" collapsed="false">
      <c r="A381" s="35" t="s">
        <v>3594</v>
      </c>
      <c r="B381" s="209" t="s">
        <v>2677</v>
      </c>
      <c r="C381" s="35" t="s">
        <v>3413</v>
      </c>
      <c r="D381" s="35" t="s">
        <v>3595</v>
      </c>
      <c r="E381" s="18" t="s">
        <v>3587</v>
      </c>
      <c r="F381" s="209" t="s">
        <v>2864</v>
      </c>
      <c r="G381" s="209" t="s">
        <v>2679</v>
      </c>
      <c r="H381" s="35" t="s">
        <v>3266</v>
      </c>
      <c r="I381" s="18" t="s">
        <v>3596</v>
      </c>
      <c r="J381" s="35" t="s">
        <v>571</v>
      </c>
      <c r="K381" s="209"/>
      <c r="L381" s="209"/>
      <c r="M381" s="35" t="s">
        <v>571</v>
      </c>
      <c r="N381" s="18" t="s">
        <v>3597</v>
      </c>
      <c r="O381" s="6" t="s">
        <v>571</v>
      </c>
      <c r="P381" s="209" t="s">
        <v>2682</v>
      </c>
      <c r="Q381" s="180" t="n">
        <f aca="false">Calib!F119</f>
        <v>0</v>
      </c>
      <c r="R381" s="182" t="n">
        <f aca="false">SRC_PERF_035</f>
        <v>3</v>
      </c>
      <c r="S381" s="34" t="str">
        <f aca="false">IF(ISNUMBER($AF381),INDEX(IDX_SrcStat,$AF381),"—")</f>
        <v>Active</v>
      </c>
      <c r="T381" s="34" t="n">
        <f aca="false">IF(ISNUMBER($AF381),INDEX(IDX_SrcGrade,$AF381),"—")</f>
        <v>1</v>
      </c>
      <c r="U381" s="34" t="s">
        <v>2683</v>
      </c>
      <c r="V381" s="183" t="n">
        <f aca="false">IF(AND($F381="原始數據",$U381&lt;&gt;"連結 SRC"),1,0)</f>
        <v>0</v>
      </c>
      <c r="W381" s="183" t="n">
        <f aca="false">IF(AND($F381="Analogy",OR($H381="—",$H381="")),1,0)</f>
        <v>0</v>
      </c>
      <c r="X381" s="183" t="n">
        <f aca="false">IF(AND(OR($F381="Analogy",$F381="Assumed"),$G381&lt;&gt;"低",$G381&lt;&gt;"高",NOT(ISNUMBER($K381)),NOT(ISNUMBER($L381)),OR($M381="—",$M381="")),1,0)</f>
        <v>0</v>
      </c>
      <c r="Y381" s="183" t="n">
        <f aca="false">IF(AND(OR($F381="Analogy",$F381="Assumed",$F381="Derived（待改公式）",$F381="Derived（公式）"),OR($N381="—",$N381="",$N381=0)),1,0)</f>
        <v>0</v>
      </c>
      <c r="Z381" s="183" t="n">
        <f aca="false">IF(AND($F381="Decision",OR($J381="—",$J381="")),1,0)</f>
        <v>0</v>
      </c>
      <c r="AA381" s="180" t="n">
        <f aca="false">IF(OR($J381="—",$J381=""),0,IF(COUNTIF(Decisions!$A$5:$A$300,$J381)=0,1,0))</f>
        <v>0</v>
      </c>
      <c r="AB381" s="183" t="n">
        <f aca="false">IF(AND($F381="原始數據",$S381&lt;&gt;"Active"),1,0)</f>
        <v>0</v>
      </c>
      <c r="AC381" s="183" t="n">
        <f aca="false">IF(AND(ISNUMBER($K381),ISNUMBER($L381),ISNUMBER($Q381)),IF(OR($Q381&lt;MIN($K381,$L381),$Q381&gt;MAX($K381,$L381)),1,0),0)</f>
        <v>0</v>
      </c>
      <c r="AD381" s="183" t="n">
        <f aca="false">IF(AND(ISNUMBER($T381),$P381="高"),IF($T381=3,1,0),0)</f>
        <v>0</v>
      </c>
      <c r="AE381" s="183" t="n">
        <f aca="false">IF($S381="不存在",1,0)</f>
        <v>0</v>
      </c>
      <c r="AF381" s="34" t="n">
        <f aca="false">IF(OR($H381="—",$H381=""),"—",MATCH($H381,IDX_SrcID,0))</f>
        <v>316</v>
      </c>
    </row>
    <row r="382" customFormat="false" ht="29.25" hidden="false" customHeight="true" outlineLevel="0" collapsed="false">
      <c r="A382" s="35" t="s">
        <v>3598</v>
      </c>
      <c r="B382" s="209" t="s">
        <v>2677</v>
      </c>
      <c r="C382" s="35" t="s">
        <v>3413</v>
      </c>
      <c r="D382" s="35" t="s">
        <v>3599</v>
      </c>
      <c r="E382" s="6" t="s">
        <v>526</v>
      </c>
      <c r="F382" s="209" t="s">
        <v>290</v>
      </c>
      <c r="G382" s="209" t="s">
        <v>2679</v>
      </c>
      <c r="H382" s="35" t="s">
        <v>3600</v>
      </c>
      <c r="I382" s="18" t="s">
        <v>3013</v>
      </c>
      <c r="J382" s="35" t="s">
        <v>571</v>
      </c>
      <c r="K382" s="209"/>
      <c r="L382" s="209"/>
      <c r="M382" s="35" t="s">
        <v>571</v>
      </c>
      <c r="N382" s="18" t="s">
        <v>2812</v>
      </c>
      <c r="O382" s="6" t="s">
        <v>571</v>
      </c>
      <c r="P382" s="34" t="s">
        <v>2682</v>
      </c>
      <c r="Q382" s="40" t="n">
        <f aca="false">Calib!C120</f>
        <v>3520.91666666667</v>
      </c>
      <c r="R382" s="182" t="n">
        <f aca="false">SRC_PERF_028</f>
        <v>253506</v>
      </c>
      <c r="S382" s="34" t="str">
        <f aca="false">IF(ISNUMBER($AF382),INDEX(IDX_SrcStat,$AF382),"—")</f>
        <v>Active</v>
      </c>
      <c r="T382" s="34" t="n">
        <f aca="false">IF(ISNUMBER($AF382),INDEX(IDX_SrcGrade,$AF382),"—")</f>
        <v>2</v>
      </c>
      <c r="U382" s="34" t="s">
        <v>2716</v>
      </c>
      <c r="V382" s="183" t="n">
        <f aca="false">IF(AND($F382="原始數據",$U382&lt;&gt;"連結 SRC"),1,0)</f>
        <v>0</v>
      </c>
      <c r="W382" s="183" t="n">
        <f aca="false">IF(AND($F382="Analogy",OR($H382="—",$H382="")),1,0)</f>
        <v>0</v>
      </c>
      <c r="X382" s="183" t="n">
        <f aca="false">IF(AND(OR($F382="Analogy",$F382="Assumed"),$G382&lt;&gt;"低",$G382&lt;&gt;"高",NOT(ISNUMBER($K382)),NOT(ISNUMBER($L382)),OR($M382="—",$M382="")),1,0)</f>
        <v>0</v>
      </c>
      <c r="Y382" s="183" t="n">
        <f aca="false">IF(AND(OR($F382="Analogy",$F382="Assumed",$F382="Derived（待改公式）",$F382="Derived（公式）"),OR($N382="—",$N382="",$N382=0)),1,0)</f>
        <v>0</v>
      </c>
      <c r="Z382" s="183" t="n">
        <f aca="false">IF(AND($F382="Decision",OR($J382="—",$J382="")),1,0)</f>
        <v>0</v>
      </c>
      <c r="AA382" s="180" t="n">
        <f aca="false">IF(OR($J382="—",$J382=""),0,IF(COUNTIF(Decisions!$A$5:$A$300,$J382)=0,1,0))</f>
        <v>0</v>
      </c>
      <c r="AB382" s="183" t="n">
        <f aca="false">IF(AND($F382="原始數據",$S382&lt;&gt;"Active"),1,0)</f>
        <v>0</v>
      </c>
      <c r="AC382" s="183" t="n">
        <f aca="false">IF(AND(ISNUMBER($K382),ISNUMBER($L382),ISNUMBER($Q382)),IF(OR($Q382&lt;MIN($K382,$L382),$Q382&gt;MAX($K382,$L382)),1,0),0)</f>
        <v>0</v>
      </c>
      <c r="AD382" s="183" t="n">
        <f aca="false">IF(AND(ISNUMBER($T382),$P382="高"),IF($T382=3,1,0),0)</f>
        <v>0</v>
      </c>
      <c r="AE382" s="183" t="n">
        <f aca="false">IF($S382="不存在",1,0)</f>
        <v>0</v>
      </c>
      <c r="AF382" s="34" t="n">
        <f aca="false">IF(OR($H382="—",$H382=""),"—",MATCH($H382,IDX_SrcID,0))</f>
        <v>309</v>
      </c>
    </row>
    <row r="383" customFormat="false" ht="29.25" hidden="false" customHeight="true" outlineLevel="0" collapsed="false">
      <c r="A383" s="35" t="s">
        <v>3601</v>
      </c>
      <c r="B383" s="209" t="s">
        <v>2677</v>
      </c>
      <c r="C383" s="35" t="s">
        <v>3413</v>
      </c>
      <c r="D383" s="35" t="s">
        <v>3602</v>
      </c>
      <c r="E383" s="6" t="s">
        <v>526</v>
      </c>
      <c r="F383" s="209" t="s">
        <v>290</v>
      </c>
      <c r="G383" s="209" t="s">
        <v>2679</v>
      </c>
      <c r="H383" s="35" t="s">
        <v>3603</v>
      </c>
      <c r="I383" s="18" t="s">
        <v>3013</v>
      </c>
      <c r="J383" s="35" t="s">
        <v>571</v>
      </c>
      <c r="K383" s="209"/>
      <c r="L383" s="209"/>
      <c r="M383" s="35" t="s">
        <v>571</v>
      </c>
      <c r="N383" s="18" t="s">
        <v>2812</v>
      </c>
      <c r="O383" s="6" t="s">
        <v>571</v>
      </c>
      <c r="P383" s="34" t="s">
        <v>2682</v>
      </c>
      <c r="Q383" s="40" t="n">
        <f aca="false">Calib!D120</f>
        <v>3337.75</v>
      </c>
      <c r="R383" s="182" t="n">
        <f aca="false">SRC_PERF_025</f>
        <v>240318</v>
      </c>
      <c r="S383" s="34" t="str">
        <f aca="false">IF(ISNUMBER($AF383),INDEX(IDX_SrcStat,$AF383),"—")</f>
        <v>Active</v>
      </c>
      <c r="T383" s="34" t="n">
        <f aca="false">IF(ISNUMBER($AF383),INDEX(IDX_SrcGrade,$AF383),"—")</f>
        <v>2</v>
      </c>
      <c r="U383" s="34" t="s">
        <v>2716</v>
      </c>
      <c r="V383" s="183" t="n">
        <f aca="false">IF(AND($F383="原始數據",$U383&lt;&gt;"連結 SRC"),1,0)</f>
        <v>0</v>
      </c>
      <c r="W383" s="183" t="n">
        <f aca="false">IF(AND($F383="Analogy",OR($H383="—",$H383="")),1,0)</f>
        <v>0</v>
      </c>
      <c r="X383" s="183" t="n">
        <f aca="false">IF(AND(OR($F383="Analogy",$F383="Assumed"),$G383&lt;&gt;"低",$G383&lt;&gt;"高",NOT(ISNUMBER($K383)),NOT(ISNUMBER($L383)),OR($M383="—",$M383="")),1,0)</f>
        <v>0</v>
      </c>
      <c r="Y383" s="183" t="n">
        <f aca="false">IF(AND(OR($F383="Analogy",$F383="Assumed",$F383="Derived（待改公式）",$F383="Derived（公式）"),OR($N383="—",$N383="",$N383=0)),1,0)</f>
        <v>0</v>
      </c>
      <c r="Z383" s="183" t="n">
        <f aca="false">IF(AND($F383="Decision",OR($J383="—",$J383="")),1,0)</f>
        <v>0</v>
      </c>
      <c r="AA383" s="180" t="n">
        <f aca="false">IF(OR($J383="—",$J383=""),0,IF(COUNTIF(Decisions!$A$5:$A$300,$J383)=0,1,0))</f>
        <v>0</v>
      </c>
      <c r="AB383" s="183" t="n">
        <f aca="false">IF(AND($F383="原始數據",$S383&lt;&gt;"Active"),1,0)</f>
        <v>0</v>
      </c>
      <c r="AC383" s="183" t="n">
        <f aca="false">IF(AND(ISNUMBER($K383),ISNUMBER($L383),ISNUMBER($Q383)),IF(OR($Q383&lt;MIN($K383,$L383),$Q383&gt;MAX($K383,$L383)),1,0),0)</f>
        <v>0</v>
      </c>
      <c r="AD383" s="183" t="n">
        <f aca="false">IF(AND(ISNUMBER($T383),$P383="高"),IF($T383=3,1,0),0)</f>
        <v>0</v>
      </c>
      <c r="AE383" s="183" t="n">
        <f aca="false">IF($S383="不存在",1,0)</f>
        <v>0</v>
      </c>
      <c r="AF383" s="34" t="n">
        <f aca="false">IF(OR($H383="—",$H383=""),"—",MATCH($H383,IDX_SrcID,0))</f>
        <v>306</v>
      </c>
    </row>
    <row r="384" customFormat="false" ht="29.25" hidden="false" customHeight="true" outlineLevel="0" collapsed="false">
      <c r="A384" s="35" t="s">
        <v>3604</v>
      </c>
      <c r="B384" s="209" t="s">
        <v>2677</v>
      </c>
      <c r="C384" s="35" t="s">
        <v>3413</v>
      </c>
      <c r="D384" s="35" t="s">
        <v>3605</v>
      </c>
      <c r="E384" s="6" t="s">
        <v>526</v>
      </c>
      <c r="F384" s="209" t="s">
        <v>290</v>
      </c>
      <c r="G384" s="209" t="s">
        <v>2679</v>
      </c>
      <c r="H384" s="35" t="s">
        <v>3606</v>
      </c>
      <c r="I384" s="18" t="s">
        <v>3013</v>
      </c>
      <c r="J384" s="35" t="s">
        <v>571</v>
      </c>
      <c r="K384" s="209"/>
      <c r="L384" s="209"/>
      <c r="M384" s="35" t="s">
        <v>571</v>
      </c>
      <c r="N384" s="18" t="s">
        <v>2812</v>
      </c>
      <c r="O384" s="6" t="s">
        <v>571</v>
      </c>
      <c r="P384" s="34" t="s">
        <v>2682</v>
      </c>
      <c r="Q384" s="40" t="n">
        <f aca="false">Calib!E120</f>
        <v>9065.97222222222</v>
      </c>
      <c r="R384" s="182" t="n">
        <f aca="false">SRC_PERF_027</f>
        <v>652750</v>
      </c>
      <c r="S384" s="34" t="str">
        <f aca="false">IF(ISNUMBER($AF384),INDEX(IDX_SrcStat,$AF384),"—")</f>
        <v>Active</v>
      </c>
      <c r="T384" s="34" t="n">
        <f aca="false">IF(ISNUMBER($AF384),INDEX(IDX_SrcGrade,$AF384),"—")</f>
        <v>2</v>
      </c>
      <c r="U384" s="34" t="s">
        <v>2716</v>
      </c>
      <c r="V384" s="183" t="n">
        <f aca="false">IF(AND($F384="原始數據",$U384&lt;&gt;"連結 SRC"),1,0)</f>
        <v>0</v>
      </c>
      <c r="W384" s="183" t="n">
        <f aca="false">IF(AND($F384="Analogy",OR($H384="—",$H384="")),1,0)</f>
        <v>0</v>
      </c>
      <c r="X384" s="183" t="n">
        <f aca="false">IF(AND(OR($F384="Analogy",$F384="Assumed"),$G384&lt;&gt;"低",$G384&lt;&gt;"高",NOT(ISNUMBER($K384)),NOT(ISNUMBER($L384)),OR($M384="—",$M384="")),1,0)</f>
        <v>0</v>
      </c>
      <c r="Y384" s="183" t="n">
        <f aca="false">IF(AND(OR($F384="Analogy",$F384="Assumed",$F384="Derived（待改公式）",$F384="Derived（公式）"),OR($N384="—",$N384="",$N384=0)),1,0)</f>
        <v>0</v>
      </c>
      <c r="Z384" s="183" t="n">
        <f aca="false">IF(AND($F384="Decision",OR($J384="—",$J384="")),1,0)</f>
        <v>0</v>
      </c>
      <c r="AA384" s="180" t="n">
        <f aca="false">IF(OR($J384="—",$J384=""),0,IF(COUNTIF(Decisions!$A$5:$A$300,$J384)=0,1,0))</f>
        <v>0</v>
      </c>
      <c r="AB384" s="183" t="n">
        <f aca="false">IF(AND($F384="原始數據",$S384&lt;&gt;"Active"),1,0)</f>
        <v>0</v>
      </c>
      <c r="AC384" s="183" t="n">
        <f aca="false">IF(AND(ISNUMBER($K384),ISNUMBER($L384),ISNUMBER($Q384)),IF(OR($Q384&lt;MIN($K384,$L384),$Q384&gt;MAX($K384,$L384)),1,0),0)</f>
        <v>0</v>
      </c>
      <c r="AD384" s="183" t="n">
        <f aca="false">IF(AND(ISNUMBER($T384),$P384="高"),IF($T384=3,1,0),0)</f>
        <v>0</v>
      </c>
      <c r="AE384" s="183" t="n">
        <f aca="false">IF($S384="不存在",1,0)</f>
        <v>0</v>
      </c>
      <c r="AF384" s="34" t="n">
        <f aca="false">IF(OR($H384="—",$H384=""),"—",MATCH($H384,IDX_SrcID,0))</f>
        <v>308</v>
      </c>
    </row>
    <row r="385" customFormat="false" ht="29.25" hidden="false" customHeight="true" outlineLevel="0" collapsed="false">
      <c r="A385" s="35" t="s">
        <v>3607</v>
      </c>
      <c r="B385" s="209" t="s">
        <v>2677</v>
      </c>
      <c r="C385" s="35" t="s">
        <v>3413</v>
      </c>
      <c r="D385" s="35" t="s">
        <v>3608</v>
      </c>
      <c r="E385" s="6" t="s">
        <v>526</v>
      </c>
      <c r="F385" s="209" t="s">
        <v>290</v>
      </c>
      <c r="G385" s="209" t="s">
        <v>2679</v>
      </c>
      <c r="H385" s="35" t="s">
        <v>3609</v>
      </c>
      <c r="I385" s="18" t="s">
        <v>2714</v>
      </c>
      <c r="J385" s="35" t="s">
        <v>571</v>
      </c>
      <c r="K385" s="209"/>
      <c r="L385" s="209"/>
      <c r="M385" s="35" t="s">
        <v>571</v>
      </c>
      <c r="N385" s="18" t="s">
        <v>2812</v>
      </c>
      <c r="O385" s="6" t="s">
        <v>571</v>
      </c>
      <c r="P385" s="209" t="s">
        <v>2682</v>
      </c>
      <c r="Q385" s="40" t="n">
        <f aca="false">Calib!F120</f>
        <v>8064</v>
      </c>
      <c r="R385" s="182" t="n">
        <f aca="false">SRC_PERF_026</f>
        <v>8064</v>
      </c>
      <c r="S385" s="34" t="str">
        <f aca="false">IF(ISNUMBER($AF385),INDEX(IDX_SrcStat,$AF385),"—")</f>
        <v>Active</v>
      </c>
      <c r="T385" s="34" t="n">
        <f aca="false">IF(ISNUMBER($AF385),INDEX(IDX_SrcGrade,$AF385),"—")</f>
        <v>2</v>
      </c>
      <c r="U385" s="34" t="s">
        <v>2716</v>
      </c>
      <c r="V385" s="183" t="n">
        <f aca="false">IF(AND($F385="原始數據",$U385&lt;&gt;"連結 SRC"),1,0)</f>
        <v>0</v>
      </c>
      <c r="W385" s="183" t="n">
        <f aca="false">IF(AND($F385="Analogy",OR($H385="—",$H385="")),1,0)</f>
        <v>0</v>
      </c>
      <c r="X385" s="183" t="n">
        <f aca="false">IF(AND(OR($F385="Analogy",$F385="Assumed"),$G385&lt;&gt;"低",$G385&lt;&gt;"高",NOT(ISNUMBER($K385)),NOT(ISNUMBER($L385)),OR($M385="—",$M385="")),1,0)</f>
        <v>0</v>
      </c>
      <c r="Y385" s="183" t="n">
        <f aca="false">IF(AND(OR($F385="Analogy",$F385="Assumed",$F385="Derived（待改公式）",$F385="Derived（公式）"),OR($N385="—",$N385="",$N385=0)),1,0)</f>
        <v>0</v>
      </c>
      <c r="Z385" s="183" t="n">
        <f aca="false">IF(AND($F385="Decision",OR($J385="—",$J385="")),1,0)</f>
        <v>0</v>
      </c>
      <c r="AA385" s="180" t="n">
        <f aca="false">IF(OR($J385="—",$J385=""),0,IF(COUNTIF(Decisions!$A$5:$A$300,$J385)=0,1,0))</f>
        <v>0</v>
      </c>
      <c r="AB385" s="183" t="n">
        <f aca="false">IF(AND($F385="原始數據",$S385&lt;&gt;"Active"),1,0)</f>
        <v>0</v>
      </c>
      <c r="AC385" s="183" t="n">
        <f aca="false">IF(AND(ISNUMBER($K385),ISNUMBER($L385),ISNUMBER($Q385)),IF(OR($Q385&lt;MIN($K385,$L385),$Q385&gt;MAX($K385,$L385)),1,0),0)</f>
        <v>0</v>
      </c>
      <c r="AD385" s="183" t="n">
        <f aca="false">IF(AND(ISNUMBER($T385),$P385="高"),IF($T385=3,1,0),0)</f>
        <v>0</v>
      </c>
      <c r="AE385" s="183" t="n">
        <f aca="false">IF($S385="不存在",1,0)</f>
        <v>0</v>
      </c>
      <c r="AF385" s="34" t="n">
        <f aca="false">IF(OR($H385="—",$H385=""),"—",MATCH($H385,IDX_SrcID,0))</f>
        <v>307</v>
      </c>
    </row>
    <row r="386" customFormat="false" ht="29.25" hidden="false" customHeight="true" outlineLevel="0" collapsed="false">
      <c r="A386" s="35" t="s">
        <v>3610</v>
      </c>
      <c r="B386" s="209" t="s">
        <v>2677</v>
      </c>
      <c r="C386" s="35" t="s">
        <v>3611</v>
      </c>
      <c r="D386" s="35" t="s">
        <v>3326</v>
      </c>
      <c r="E386" s="6" t="s">
        <v>2312</v>
      </c>
      <c r="F386" s="35" t="s">
        <v>72</v>
      </c>
      <c r="G386" s="209" t="s">
        <v>2679</v>
      </c>
      <c r="H386" s="35" t="s">
        <v>571</v>
      </c>
      <c r="I386" s="6" t="s">
        <v>571</v>
      </c>
      <c r="J386" s="35" t="s">
        <v>571</v>
      </c>
      <c r="K386" s="211" t="n">
        <v>0.4</v>
      </c>
      <c r="L386" s="211" t="n">
        <v>0.8</v>
      </c>
      <c r="M386" s="35" t="s">
        <v>3612</v>
      </c>
      <c r="N386" s="210" t="str">
        <f aca="false">Energy!$F$5</f>
        <v>Assumed：pJ/FLOP＝GPU 功率 × 此比例 ÷ 峰值（滿載上限口徑），區間 0.4–0.8</v>
      </c>
      <c r="O386" s="6" t="s">
        <v>571</v>
      </c>
      <c r="P386" s="209" t="s">
        <v>2682</v>
      </c>
      <c r="Q386" s="174" t="n">
        <f aca="false">Energy!C5</f>
        <v>0.6</v>
      </c>
      <c r="R386" s="35" t="s">
        <v>571</v>
      </c>
      <c r="S386" s="34" t="str">
        <f aca="false">IF(ISNUMBER($AF386),INDEX(IDX_SrcStat,$AF386),"—")</f>
        <v>—</v>
      </c>
      <c r="T386" s="34" t="str">
        <f aca="false">IF(ISNUMBER($AF386),INDEX(IDX_SrcGrade,$AF386),"—")</f>
        <v>—</v>
      </c>
      <c r="U386" s="34" t="s">
        <v>2683</v>
      </c>
      <c r="V386" s="183" t="n">
        <f aca="false">IF(AND($F386="原始數據",$U386&lt;&gt;"連結 SRC"),1,0)</f>
        <v>0</v>
      </c>
      <c r="W386" s="183" t="n">
        <f aca="false">IF(AND($F386="Analogy",OR($H386="—",$H386="")),1,0)</f>
        <v>0</v>
      </c>
      <c r="X386" s="183" t="n">
        <f aca="false">IF(AND(OR($F386="Analogy",$F386="Assumed"),$G386&lt;&gt;"低",$G386&lt;&gt;"高",NOT(ISNUMBER($K386)),NOT(ISNUMBER($L386)),OR($M386="—",$M386="")),1,0)</f>
        <v>0</v>
      </c>
      <c r="Y386" s="183" t="n">
        <f aca="false">IF(AND(OR($F386="Analogy",$F386="Assumed",$F386="Derived（待改公式）",$F386="Derived（公式）"),OR($N386="—",$N386="",$N386=0)),1,0)</f>
        <v>0</v>
      </c>
      <c r="Z386" s="183" t="n">
        <f aca="false">IF(AND($F386="Decision",OR($J386="—",$J386="")),1,0)</f>
        <v>0</v>
      </c>
      <c r="AA386" s="180" t="n">
        <f aca="false">IF(OR($J386="—",$J386=""),0,IF(COUNTIF(Decisions!$A$5:$A$300,$J386)=0,1,0))</f>
        <v>0</v>
      </c>
      <c r="AB386" s="183" t="n">
        <f aca="false">IF(AND($F386="原始數據",$S386&lt;&gt;"Active"),1,0)</f>
        <v>0</v>
      </c>
      <c r="AC386" s="183" t="n">
        <f aca="false">IF(AND(ISNUMBER($K386),ISNUMBER($L386),ISNUMBER($Q386)),IF(OR($Q386&lt;MIN($K386,$L386),$Q386&gt;MAX($K386,$L386)),1,0),0)</f>
        <v>0</v>
      </c>
      <c r="AD386" s="183" t="n">
        <f aca="false">IF(AND(ISNUMBER($T386),$P386="高"),IF($T386=3,1,0),0)</f>
        <v>0</v>
      </c>
      <c r="AE386" s="183" t="n">
        <f aca="false">IF($S386="不存在",1,0)</f>
        <v>0</v>
      </c>
      <c r="AF386" s="34" t="str">
        <f aca="false">IF(OR($H386="—",$H386=""),"—",MATCH($H386,IDX_SrcID,0))</f>
        <v>—</v>
      </c>
    </row>
    <row r="387" customFormat="false" ht="29.25" hidden="false" customHeight="true" outlineLevel="0" collapsed="false">
      <c r="A387" s="35" t="s">
        <v>3613</v>
      </c>
      <c r="B387" s="209" t="s">
        <v>2677</v>
      </c>
      <c r="C387" s="35" t="s">
        <v>3611</v>
      </c>
      <c r="D387" s="35" t="s">
        <v>2836</v>
      </c>
      <c r="E387" s="6" t="s">
        <v>2314</v>
      </c>
      <c r="F387" s="35" t="s">
        <v>76</v>
      </c>
      <c r="G387" s="209" t="s">
        <v>2679</v>
      </c>
      <c r="H387" s="35" t="s">
        <v>3614</v>
      </c>
      <c r="I387" s="18" t="s">
        <v>3615</v>
      </c>
      <c r="J387" s="35" t="s">
        <v>571</v>
      </c>
      <c r="K387" s="211" t="n">
        <v>5</v>
      </c>
      <c r="L387" s="211" t="n">
        <v>20</v>
      </c>
      <c r="M387" s="35" t="s">
        <v>3616</v>
      </c>
      <c r="N387" s="210" t="str">
        <f aca="false">Energy!$F$6</f>
        <v>Analogy：SerDes＋交換約 1–2 pJ/bit；區間 5–20</v>
      </c>
      <c r="O387" s="6" t="s">
        <v>571</v>
      </c>
      <c r="P387" s="209" t="s">
        <v>2682</v>
      </c>
      <c r="Q387" s="180" t="n">
        <f aca="false">Energy!C6</f>
        <v>10</v>
      </c>
      <c r="R387" s="182" t="n">
        <f aca="false">SRC_HW_035_Lo</f>
        <v>1</v>
      </c>
      <c r="S387" s="34" t="str">
        <f aca="false">IF(ISNUMBER($AF387),INDEX(IDX_SrcStat,$AF387),"—")</f>
        <v>Active</v>
      </c>
      <c r="T387" s="34" t="n">
        <f aca="false">IF(ISNUMBER($AF387),INDEX(IDX_SrcGrade,$AF387),"—")</f>
        <v>3</v>
      </c>
      <c r="U387" s="34" t="s">
        <v>2683</v>
      </c>
      <c r="V387" s="183" t="n">
        <f aca="false">IF(AND($F387="原始數據",$U387&lt;&gt;"連結 SRC"),1,0)</f>
        <v>0</v>
      </c>
      <c r="W387" s="183" t="n">
        <f aca="false">IF(AND($F387="Analogy",OR($H387="—",$H387="")),1,0)</f>
        <v>0</v>
      </c>
      <c r="X387" s="183" t="n">
        <f aca="false">IF(AND(OR($F387="Analogy",$F387="Assumed"),$G387&lt;&gt;"低",$G387&lt;&gt;"高",NOT(ISNUMBER($K387)),NOT(ISNUMBER($L387)),OR($M387="—",$M387="")),1,0)</f>
        <v>0</v>
      </c>
      <c r="Y387" s="183" t="n">
        <f aca="false">IF(AND(OR($F387="Analogy",$F387="Assumed",$F387="Derived（待改公式）",$F387="Derived（公式）"),OR($N387="—",$N387="",$N387=0)),1,0)</f>
        <v>0</v>
      </c>
      <c r="Z387" s="183" t="n">
        <f aca="false">IF(AND($F387="Decision",OR($J387="—",$J387="")),1,0)</f>
        <v>0</v>
      </c>
      <c r="AA387" s="180" t="n">
        <f aca="false">IF(OR($J387="—",$J387=""),0,IF(COUNTIF(Decisions!$A$5:$A$300,$J387)=0,1,0))</f>
        <v>0</v>
      </c>
      <c r="AB387" s="183" t="n">
        <f aca="false">IF(AND($F387="原始數據",$S387&lt;&gt;"Active"),1,0)</f>
        <v>0</v>
      </c>
      <c r="AC387" s="183" t="n">
        <f aca="false">IF(AND(ISNUMBER($K387),ISNUMBER($L387),ISNUMBER($Q387)),IF(OR($Q387&lt;MIN($K387,$L387),$Q387&gt;MAX($K387,$L387)),1,0),0)</f>
        <v>0</v>
      </c>
      <c r="AD387" s="183" t="n">
        <f aca="false">IF(AND(ISNUMBER($T387),$P387="高"),IF($T387=3,1,0),0)</f>
        <v>0</v>
      </c>
      <c r="AE387" s="183" t="n">
        <f aca="false">IF($S387="不存在",1,0)</f>
        <v>0</v>
      </c>
      <c r="AF387" s="34" t="n">
        <f aca="false">IF(OR($H387="—",$H387=""),"—",MATCH($H387,IDX_SrcID,0))</f>
        <v>35</v>
      </c>
    </row>
    <row r="388" customFormat="false" ht="29.25" hidden="false" customHeight="true" outlineLevel="0" collapsed="false">
      <c r="A388" s="35" t="s">
        <v>3617</v>
      </c>
      <c r="B388" s="209" t="s">
        <v>2677</v>
      </c>
      <c r="C388" s="35" t="s">
        <v>3611</v>
      </c>
      <c r="D388" s="35" t="s">
        <v>3160</v>
      </c>
      <c r="E388" s="6" t="s">
        <v>2317</v>
      </c>
      <c r="F388" s="35" t="s">
        <v>72</v>
      </c>
      <c r="G388" s="209" t="s">
        <v>2679</v>
      </c>
      <c r="H388" s="35" t="s">
        <v>571</v>
      </c>
      <c r="I388" s="6" t="s">
        <v>571</v>
      </c>
      <c r="J388" s="35" t="s">
        <v>571</v>
      </c>
      <c r="K388" s="211" t="n">
        <v>20</v>
      </c>
      <c r="L388" s="211" t="n">
        <v>80</v>
      </c>
      <c r="M388" s="35" t="s">
        <v>3618</v>
      </c>
      <c r="N388" s="210" t="str">
        <f aca="false">Energy!$F$7</f>
        <v>Analogy：含光模組與網卡；區間 20–80</v>
      </c>
      <c r="O388" s="6" t="s">
        <v>3068</v>
      </c>
      <c r="P388" s="209" t="s">
        <v>2682</v>
      </c>
      <c r="Q388" s="180" t="n">
        <f aca="false">Energy!C7</f>
        <v>40</v>
      </c>
      <c r="R388" s="35" t="s">
        <v>571</v>
      </c>
      <c r="S388" s="34" t="str">
        <f aca="false">IF(ISNUMBER($AF388),INDEX(IDX_SrcStat,$AF388),"—")</f>
        <v>—</v>
      </c>
      <c r="T388" s="34" t="str">
        <f aca="false">IF(ISNUMBER($AF388),INDEX(IDX_SrcGrade,$AF388),"—")</f>
        <v>—</v>
      </c>
      <c r="U388" s="34" t="s">
        <v>2683</v>
      </c>
      <c r="V388" s="183" t="n">
        <f aca="false">IF(AND($F388="原始數據",$U388&lt;&gt;"連結 SRC"),1,0)</f>
        <v>0</v>
      </c>
      <c r="W388" s="183" t="n">
        <f aca="false">IF(AND($F388="Analogy",OR($H388="—",$H388="")),1,0)</f>
        <v>0</v>
      </c>
      <c r="X388" s="183" t="n">
        <f aca="false">IF(AND(OR($F388="Analogy",$F388="Assumed"),$G388&lt;&gt;"低",$G388&lt;&gt;"高",NOT(ISNUMBER($K388)),NOT(ISNUMBER($L388)),OR($M388="—",$M388="")),1,0)</f>
        <v>0</v>
      </c>
      <c r="Y388" s="183" t="n">
        <f aca="false">IF(AND(OR($F388="Analogy",$F388="Assumed",$F388="Derived（待改公式）",$F388="Derived（公式）"),OR($N388="—",$N388="",$N388=0)),1,0)</f>
        <v>0</v>
      </c>
      <c r="Z388" s="183" t="n">
        <f aca="false">IF(AND($F388="Decision",OR($J388="—",$J388="")),1,0)</f>
        <v>0</v>
      </c>
      <c r="AA388" s="180" t="n">
        <f aca="false">IF(OR($J388="—",$J388=""),0,IF(COUNTIF(Decisions!$A$5:$A$300,$J388)=0,1,0))</f>
        <v>0</v>
      </c>
      <c r="AB388" s="183" t="n">
        <f aca="false">IF(AND($F388="原始數據",$S388&lt;&gt;"Active"),1,0)</f>
        <v>0</v>
      </c>
      <c r="AC388" s="183" t="n">
        <f aca="false">IF(AND(ISNUMBER($K388),ISNUMBER($L388),ISNUMBER($Q388)),IF(OR($Q388&lt;MIN($K388,$L388),$Q388&gt;MAX($K388,$L388)),1,0),0)</f>
        <v>0</v>
      </c>
      <c r="AD388" s="183" t="n">
        <f aca="false">IF(AND(ISNUMBER($T388),$P388="高"),IF($T388=3,1,0),0)</f>
        <v>0</v>
      </c>
      <c r="AE388" s="183" t="n">
        <f aca="false">IF($S388="不存在",1,0)</f>
        <v>0</v>
      </c>
      <c r="AF388" s="34" t="str">
        <f aca="false">IF(OR($H388="—",$H388=""),"—",MATCH($H388,IDX_SrcID,0))</f>
        <v>—</v>
      </c>
    </row>
    <row r="389" customFormat="false" ht="43.5" hidden="false" customHeight="true" outlineLevel="0" collapsed="false">
      <c r="A389" s="35" t="s">
        <v>3619</v>
      </c>
      <c r="B389" s="209" t="s">
        <v>2677</v>
      </c>
      <c r="C389" s="35" t="s">
        <v>3620</v>
      </c>
      <c r="D389" s="35" t="s">
        <v>3326</v>
      </c>
      <c r="E389" s="6" t="s">
        <v>2331</v>
      </c>
      <c r="F389" s="35" t="s">
        <v>72</v>
      </c>
      <c r="G389" s="209" t="s">
        <v>57</v>
      </c>
      <c r="H389" s="35" t="s">
        <v>571</v>
      </c>
      <c r="I389" s="6" t="s">
        <v>571</v>
      </c>
      <c r="J389" s="35" t="s">
        <v>571</v>
      </c>
      <c r="K389" s="172" t="n">
        <f aca="false">NonNV!B5</f>
        <v>0.5</v>
      </c>
      <c r="L389" s="172" t="n">
        <f aca="false">NonNV!D5</f>
        <v>1</v>
      </c>
      <c r="M389" s="35" t="s">
        <v>571</v>
      </c>
      <c r="N389" s="210" t="str">
        <f aca="false">NonNV!$L$5</f>
        <v>MI355X 在 V4-Pro 上 26 天內吞吐提升 110 倍（S20 所屬部落格），軟體成熟度為主要不確定</v>
      </c>
      <c r="O389" s="6" t="s">
        <v>571</v>
      </c>
      <c r="P389" s="209" t="s">
        <v>2682</v>
      </c>
      <c r="Q389" s="172" t="n">
        <f aca="false">NonNV!C5</f>
        <v>0.7</v>
      </c>
      <c r="R389" s="35" t="s">
        <v>571</v>
      </c>
      <c r="S389" s="34" t="str">
        <f aca="false">IF(ISNUMBER($AF389),INDEX(IDX_SrcStat,$AF389),"—")</f>
        <v>—</v>
      </c>
      <c r="T389" s="34" t="str">
        <f aca="false">IF(ISNUMBER($AF389),INDEX(IDX_SrcGrade,$AF389),"—")</f>
        <v>—</v>
      </c>
      <c r="U389" s="34" t="s">
        <v>2683</v>
      </c>
      <c r="V389" s="183" t="n">
        <f aca="false">IF(AND($F389="原始數據",$U389&lt;&gt;"連結 SRC"),1,0)</f>
        <v>0</v>
      </c>
      <c r="W389" s="183" t="n">
        <f aca="false">IF(AND($F389="Analogy",OR($H389="—",$H389="")),1,0)</f>
        <v>0</v>
      </c>
      <c r="X389" s="183" t="n">
        <f aca="false">IF(AND(OR($F389="Analogy",$F389="Assumed"),$G389&lt;&gt;"低",$G389&lt;&gt;"高",NOT(ISNUMBER($K389)),NOT(ISNUMBER($L389)),OR($M389="—",$M389="")),1,0)</f>
        <v>0</v>
      </c>
      <c r="Y389" s="183" t="n">
        <f aca="false">IF(AND(OR($F389="Analogy",$F389="Assumed",$F389="Derived（待改公式）",$F389="Derived（公式）"),OR($N389="—",$N389="",$N389=0)),1,0)</f>
        <v>0</v>
      </c>
      <c r="Z389" s="183" t="n">
        <f aca="false">IF(AND($F389="Decision",OR($J389="—",$J389="")),1,0)</f>
        <v>0</v>
      </c>
      <c r="AA389" s="180" t="n">
        <f aca="false">IF(OR($J389="—",$J389=""),0,IF(COUNTIF(Decisions!$A$5:$A$300,$J389)=0,1,0))</f>
        <v>0</v>
      </c>
      <c r="AB389" s="183" t="n">
        <f aca="false">IF(AND($F389="原始數據",$S389&lt;&gt;"Active"),1,0)</f>
        <v>0</v>
      </c>
      <c r="AC389" s="183" t="n">
        <f aca="false">IF(AND(ISNUMBER($K389),ISNUMBER($L389),ISNUMBER($Q389)),IF(OR($Q389&lt;MIN($K389,$L389),$Q389&gt;MAX($K389,$L389)),1,0),0)</f>
        <v>0</v>
      </c>
      <c r="AD389" s="183" t="n">
        <f aca="false">IF(AND(ISNUMBER($T389),$P389="高"),IF($T389=3,1,0),0)</f>
        <v>0</v>
      </c>
      <c r="AE389" s="183" t="n">
        <f aca="false">IF($S389="不存在",1,0)</f>
        <v>0</v>
      </c>
      <c r="AF389" s="34" t="str">
        <f aca="false">IF(OR($H389="—",$H389=""),"—",MATCH($H389,IDX_SrcID,0))</f>
        <v>—</v>
      </c>
    </row>
    <row r="390" customFormat="false" ht="43.5" hidden="false" customHeight="true" outlineLevel="0" collapsed="false">
      <c r="A390" s="35" t="s">
        <v>3621</v>
      </c>
      <c r="B390" s="209" t="s">
        <v>2677</v>
      </c>
      <c r="C390" s="35" t="s">
        <v>3620</v>
      </c>
      <c r="D390" s="35" t="s">
        <v>3334</v>
      </c>
      <c r="E390" s="6" t="s">
        <v>2331</v>
      </c>
      <c r="F390" s="35" t="s">
        <v>72</v>
      </c>
      <c r="G390" s="209" t="s">
        <v>57</v>
      </c>
      <c r="H390" s="35" t="s">
        <v>571</v>
      </c>
      <c r="I390" s="6" t="s">
        <v>571</v>
      </c>
      <c r="J390" s="35" t="s">
        <v>571</v>
      </c>
      <c r="K390" s="172" t="n">
        <f aca="false">NonNV!E5</f>
        <v>0.8</v>
      </c>
      <c r="L390" s="172" t="n">
        <f aca="false">NonNV!G5</f>
        <v>1</v>
      </c>
      <c r="M390" s="35" t="s">
        <v>571</v>
      </c>
      <c r="N390" s="210" t="str">
        <f aca="false">NonNV!$L$5</f>
        <v>MI355X 在 V4-Pro 上 26 天內吞吐提升 110 倍（S20 所屬部落格），軟體成熟度為主要不確定</v>
      </c>
      <c r="O390" s="6" t="s">
        <v>571</v>
      </c>
      <c r="P390" s="209" t="s">
        <v>2682</v>
      </c>
      <c r="Q390" s="172" t="n">
        <f aca="false">NonNV!F5</f>
        <v>0.9</v>
      </c>
      <c r="R390" s="35" t="s">
        <v>571</v>
      </c>
      <c r="S390" s="34" t="str">
        <f aca="false">IF(ISNUMBER($AF390),INDEX(IDX_SrcStat,$AF390),"—")</f>
        <v>—</v>
      </c>
      <c r="T390" s="34" t="str">
        <f aca="false">IF(ISNUMBER($AF390),INDEX(IDX_SrcGrade,$AF390),"—")</f>
        <v>—</v>
      </c>
      <c r="U390" s="34" t="s">
        <v>2683</v>
      </c>
      <c r="V390" s="183" t="n">
        <f aca="false">IF(AND($F390="原始數據",$U390&lt;&gt;"連結 SRC"),1,0)</f>
        <v>0</v>
      </c>
      <c r="W390" s="183" t="n">
        <f aca="false">IF(AND($F390="Analogy",OR($H390="—",$H390="")),1,0)</f>
        <v>0</v>
      </c>
      <c r="X390" s="183" t="n">
        <f aca="false">IF(AND(OR($F390="Analogy",$F390="Assumed"),$G390&lt;&gt;"低",$G390&lt;&gt;"高",NOT(ISNUMBER($K390)),NOT(ISNUMBER($L390)),OR($M390="—",$M390="")),1,0)</f>
        <v>0</v>
      </c>
      <c r="Y390" s="183" t="n">
        <f aca="false">IF(AND(OR($F390="Analogy",$F390="Assumed",$F390="Derived（待改公式）",$F390="Derived（公式）"),OR($N390="—",$N390="",$N390=0)),1,0)</f>
        <v>0</v>
      </c>
      <c r="Z390" s="183" t="n">
        <f aca="false">IF(AND($F390="Decision",OR($J390="—",$J390="")),1,0)</f>
        <v>0</v>
      </c>
      <c r="AA390" s="180" t="n">
        <f aca="false">IF(OR($J390="—",$J390=""),0,IF(COUNTIF(Decisions!$A$5:$A$300,$J390)=0,1,0))</f>
        <v>0</v>
      </c>
      <c r="AB390" s="183" t="n">
        <f aca="false">IF(AND($F390="原始數據",$S390&lt;&gt;"Active"),1,0)</f>
        <v>0</v>
      </c>
      <c r="AC390" s="183" t="n">
        <f aca="false">IF(AND(ISNUMBER($K390),ISNUMBER($L390),ISNUMBER($Q390)),IF(OR($Q390&lt;MIN($K390,$L390),$Q390&gt;MAX($K390,$L390)),1,0),0)</f>
        <v>0</v>
      </c>
      <c r="AD390" s="183" t="n">
        <f aca="false">IF(AND(ISNUMBER($T390),$P390="高"),IF($T390=3,1,0),0)</f>
        <v>0</v>
      </c>
      <c r="AE390" s="183" t="n">
        <f aca="false">IF($S390="不存在",1,0)</f>
        <v>0</v>
      </c>
      <c r="AF390" s="34" t="str">
        <f aca="false">IF(OR($H390="—",$H390=""),"—",MATCH($H390,IDX_SrcID,0))</f>
        <v>—</v>
      </c>
    </row>
    <row r="391" customFormat="false" ht="43.5" hidden="false" customHeight="true" outlineLevel="0" collapsed="false">
      <c r="A391" s="35" t="s">
        <v>3622</v>
      </c>
      <c r="B391" s="209" t="s">
        <v>2677</v>
      </c>
      <c r="C391" s="35" t="s">
        <v>3620</v>
      </c>
      <c r="D391" s="35" t="s">
        <v>3623</v>
      </c>
      <c r="E391" s="6" t="s">
        <v>2331</v>
      </c>
      <c r="F391" s="35" t="s">
        <v>72</v>
      </c>
      <c r="G391" s="209" t="s">
        <v>1099</v>
      </c>
      <c r="H391" s="35" t="s">
        <v>571</v>
      </c>
      <c r="I391" s="6" t="s">
        <v>571</v>
      </c>
      <c r="J391" s="35" t="s">
        <v>571</v>
      </c>
      <c r="K391" s="209"/>
      <c r="L391" s="209"/>
      <c r="M391" s="35" t="s">
        <v>571</v>
      </c>
      <c r="N391" s="210" t="str">
        <f aca="false">NonNV!$L$5</f>
        <v>MI355X 在 V4-Pro 上 26 天內吞吐提升 110 倍（S20 所屬部落格），軟體成熟度為主要不確定</v>
      </c>
      <c r="O391" s="6" t="s">
        <v>571</v>
      </c>
      <c r="P391" s="209" t="s">
        <v>2682</v>
      </c>
      <c r="Q391" s="172" t="n">
        <f aca="false">NonNV!B5</f>
        <v>0.5</v>
      </c>
      <c r="R391" s="35" t="s">
        <v>571</v>
      </c>
      <c r="S391" s="34" t="str">
        <f aca="false">IF(ISNUMBER($AF391),INDEX(IDX_SrcStat,$AF391),"—")</f>
        <v>—</v>
      </c>
      <c r="T391" s="34" t="str">
        <f aca="false">IF(ISNUMBER($AF391),INDEX(IDX_SrcGrade,$AF391),"—")</f>
        <v>—</v>
      </c>
      <c r="U391" s="34" t="s">
        <v>2683</v>
      </c>
      <c r="V391" s="183" t="n">
        <f aca="false">IF(AND($F391="原始數據",$U391&lt;&gt;"連結 SRC"),1,0)</f>
        <v>0</v>
      </c>
      <c r="W391" s="183" t="n">
        <f aca="false">IF(AND($F391="Analogy",OR($H391="—",$H391="")),1,0)</f>
        <v>0</v>
      </c>
      <c r="X391" s="183" t="n">
        <f aca="false">IF(AND(OR($F391="Analogy",$F391="Assumed"),$G391&lt;&gt;"低",$G391&lt;&gt;"高",NOT(ISNUMBER($K391)),NOT(ISNUMBER($L391)),OR($M391="—",$M391="")),1,0)</f>
        <v>0</v>
      </c>
      <c r="Y391" s="183" t="n">
        <f aca="false">IF(AND(OR($F391="Analogy",$F391="Assumed",$F391="Derived（待改公式）",$F391="Derived（公式）"),OR($N391="—",$N391="",$N391=0)),1,0)</f>
        <v>0</v>
      </c>
      <c r="Z391" s="183" t="n">
        <f aca="false">IF(AND($F391="Decision",OR($J391="—",$J391="")),1,0)</f>
        <v>0</v>
      </c>
      <c r="AA391" s="180" t="n">
        <f aca="false">IF(OR($J391="—",$J391=""),0,IF(COUNTIF(Decisions!$A$5:$A$300,$J391)=0,1,0))</f>
        <v>0</v>
      </c>
      <c r="AB391" s="183" t="n">
        <f aca="false">IF(AND($F391="原始數據",$S391&lt;&gt;"Active"),1,0)</f>
        <v>0</v>
      </c>
      <c r="AC391" s="183" t="n">
        <f aca="false">IF(AND(ISNUMBER($K391),ISNUMBER($L391),ISNUMBER($Q391)),IF(OR($Q391&lt;MIN($K391,$L391),$Q391&gt;MAX($K391,$L391)),1,0),0)</f>
        <v>0</v>
      </c>
      <c r="AD391" s="183" t="n">
        <f aca="false">IF(AND(ISNUMBER($T391),$P391="高"),IF($T391=3,1,0),0)</f>
        <v>0</v>
      </c>
      <c r="AE391" s="183" t="n">
        <f aca="false">IF($S391="不存在",1,0)</f>
        <v>0</v>
      </c>
      <c r="AF391" s="34" t="str">
        <f aca="false">IF(OR($H391="—",$H391=""),"—",MATCH($H391,IDX_SrcID,0))</f>
        <v>—</v>
      </c>
    </row>
    <row r="392" customFormat="false" ht="43.5" hidden="false" customHeight="true" outlineLevel="0" collapsed="false">
      <c r="A392" s="35" t="s">
        <v>3624</v>
      </c>
      <c r="B392" s="209" t="s">
        <v>2677</v>
      </c>
      <c r="C392" s="35" t="s">
        <v>3620</v>
      </c>
      <c r="D392" s="35" t="s">
        <v>3331</v>
      </c>
      <c r="E392" s="6" t="s">
        <v>2331</v>
      </c>
      <c r="F392" s="35" t="s">
        <v>72</v>
      </c>
      <c r="G392" s="209" t="s">
        <v>1100</v>
      </c>
      <c r="H392" s="35" t="s">
        <v>571</v>
      </c>
      <c r="I392" s="6" t="s">
        <v>571</v>
      </c>
      <c r="J392" s="35" t="s">
        <v>571</v>
      </c>
      <c r="K392" s="209"/>
      <c r="L392" s="209"/>
      <c r="M392" s="35" t="s">
        <v>571</v>
      </c>
      <c r="N392" s="210" t="str">
        <f aca="false">NonNV!$L$5</f>
        <v>MI355X 在 V4-Pro 上 26 天內吞吐提升 110 倍（S20 所屬部落格），軟體成熟度為主要不確定</v>
      </c>
      <c r="O392" s="6" t="s">
        <v>571</v>
      </c>
      <c r="P392" s="209" t="s">
        <v>2682</v>
      </c>
      <c r="Q392" s="172" t="n">
        <f aca="false">NonNV!D5</f>
        <v>1</v>
      </c>
      <c r="R392" s="35" t="s">
        <v>571</v>
      </c>
      <c r="S392" s="34" t="str">
        <f aca="false">IF(ISNUMBER($AF392),INDEX(IDX_SrcStat,$AF392),"—")</f>
        <v>—</v>
      </c>
      <c r="T392" s="34" t="str">
        <f aca="false">IF(ISNUMBER($AF392),INDEX(IDX_SrcGrade,$AF392),"—")</f>
        <v>—</v>
      </c>
      <c r="U392" s="34" t="s">
        <v>2683</v>
      </c>
      <c r="V392" s="183" t="n">
        <f aca="false">IF(AND($F392="原始數據",$U392&lt;&gt;"連結 SRC"),1,0)</f>
        <v>0</v>
      </c>
      <c r="W392" s="183" t="n">
        <f aca="false">IF(AND($F392="Analogy",OR($H392="—",$H392="")),1,0)</f>
        <v>0</v>
      </c>
      <c r="X392" s="183" t="n">
        <f aca="false">IF(AND(OR($F392="Analogy",$F392="Assumed"),$G392&lt;&gt;"低",$G392&lt;&gt;"高",NOT(ISNUMBER($K392)),NOT(ISNUMBER($L392)),OR($M392="—",$M392="")),1,0)</f>
        <v>0</v>
      </c>
      <c r="Y392" s="183" t="n">
        <f aca="false">IF(AND(OR($F392="Analogy",$F392="Assumed",$F392="Derived（待改公式）",$F392="Derived（公式）"),OR($N392="—",$N392="",$N392=0)),1,0)</f>
        <v>0</v>
      </c>
      <c r="Z392" s="183" t="n">
        <f aca="false">IF(AND($F392="Decision",OR($J392="—",$J392="")),1,0)</f>
        <v>0</v>
      </c>
      <c r="AA392" s="180" t="n">
        <f aca="false">IF(OR($J392="—",$J392=""),0,IF(COUNTIF(Decisions!$A$5:$A$300,$J392)=0,1,0))</f>
        <v>0</v>
      </c>
      <c r="AB392" s="183" t="n">
        <f aca="false">IF(AND($F392="原始數據",$S392&lt;&gt;"Active"),1,0)</f>
        <v>0</v>
      </c>
      <c r="AC392" s="183" t="n">
        <f aca="false">IF(AND(ISNUMBER($K392),ISNUMBER($L392),ISNUMBER($Q392)),IF(OR($Q392&lt;MIN($K392,$L392),$Q392&gt;MAX($K392,$L392)),1,0),0)</f>
        <v>0</v>
      </c>
      <c r="AD392" s="183" t="n">
        <f aca="false">IF(AND(ISNUMBER($T392),$P392="高"),IF($T392=3,1,0),0)</f>
        <v>0</v>
      </c>
      <c r="AE392" s="183" t="n">
        <f aca="false">IF($S392="不存在",1,0)</f>
        <v>0</v>
      </c>
      <c r="AF392" s="34" t="str">
        <f aca="false">IF(OR($H392="—",$H392=""),"—",MATCH($H392,IDX_SrcID,0))</f>
        <v>—</v>
      </c>
    </row>
    <row r="393" customFormat="false" ht="43.5" hidden="false" customHeight="true" outlineLevel="0" collapsed="false">
      <c r="A393" s="35" t="s">
        <v>3625</v>
      </c>
      <c r="B393" s="209" t="s">
        <v>2677</v>
      </c>
      <c r="C393" s="35" t="s">
        <v>3620</v>
      </c>
      <c r="D393" s="35" t="s">
        <v>2577</v>
      </c>
      <c r="E393" s="6" t="s">
        <v>2331</v>
      </c>
      <c r="F393" s="35" t="s">
        <v>72</v>
      </c>
      <c r="G393" s="209" t="s">
        <v>1099</v>
      </c>
      <c r="H393" s="35" t="s">
        <v>571</v>
      </c>
      <c r="I393" s="6" t="s">
        <v>571</v>
      </c>
      <c r="J393" s="35" t="s">
        <v>571</v>
      </c>
      <c r="K393" s="209"/>
      <c r="L393" s="209"/>
      <c r="M393" s="35" t="s">
        <v>571</v>
      </c>
      <c r="N393" s="210" t="str">
        <f aca="false">NonNV!$L$5</f>
        <v>MI355X 在 V4-Pro 上 26 天內吞吐提升 110 倍（S20 所屬部落格），軟體成熟度為主要不確定</v>
      </c>
      <c r="O393" s="6" t="s">
        <v>571</v>
      </c>
      <c r="P393" s="209" t="s">
        <v>2682</v>
      </c>
      <c r="Q393" s="172" t="n">
        <f aca="false">NonNV!E5</f>
        <v>0.8</v>
      </c>
      <c r="R393" s="35" t="s">
        <v>571</v>
      </c>
      <c r="S393" s="34" t="str">
        <f aca="false">IF(ISNUMBER($AF393),INDEX(IDX_SrcStat,$AF393),"—")</f>
        <v>—</v>
      </c>
      <c r="T393" s="34" t="str">
        <f aca="false">IF(ISNUMBER($AF393),INDEX(IDX_SrcGrade,$AF393),"—")</f>
        <v>—</v>
      </c>
      <c r="U393" s="34" t="s">
        <v>2683</v>
      </c>
      <c r="V393" s="183" t="n">
        <f aca="false">IF(AND($F393="原始數據",$U393&lt;&gt;"連結 SRC"),1,0)</f>
        <v>0</v>
      </c>
      <c r="W393" s="183" t="n">
        <f aca="false">IF(AND($F393="Analogy",OR($H393="—",$H393="")),1,0)</f>
        <v>0</v>
      </c>
      <c r="X393" s="183" t="n">
        <f aca="false">IF(AND(OR($F393="Analogy",$F393="Assumed"),$G393&lt;&gt;"低",$G393&lt;&gt;"高",NOT(ISNUMBER($K393)),NOT(ISNUMBER($L393)),OR($M393="—",$M393="")),1,0)</f>
        <v>0</v>
      </c>
      <c r="Y393" s="183" t="n">
        <f aca="false">IF(AND(OR($F393="Analogy",$F393="Assumed",$F393="Derived（待改公式）",$F393="Derived（公式）"),OR($N393="—",$N393="",$N393=0)),1,0)</f>
        <v>0</v>
      </c>
      <c r="Z393" s="183" t="n">
        <f aca="false">IF(AND($F393="Decision",OR($J393="—",$J393="")),1,0)</f>
        <v>0</v>
      </c>
      <c r="AA393" s="180" t="n">
        <f aca="false">IF(OR($J393="—",$J393=""),0,IF(COUNTIF(Decisions!$A$5:$A$300,$J393)=0,1,0))</f>
        <v>0</v>
      </c>
      <c r="AB393" s="183" t="n">
        <f aca="false">IF(AND($F393="原始數據",$S393&lt;&gt;"Active"),1,0)</f>
        <v>0</v>
      </c>
      <c r="AC393" s="183" t="n">
        <f aca="false">IF(AND(ISNUMBER($K393),ISNUMBER($L393),ISNUMBER($Q393)),IF(OR($Q393&lt;MIN($K393,$L393),$Q393&gt;MAX($K393,$L393)),1,0),0)</f>
        <v>0</v>
      </c>
      <c r="AD393" s="183" t="n">
        <f aca="false">IF(AND(ISNUMBER($T393),$P393="高"),IF($T393=3,1,0),0)</f>
        <v>0</v>
      </c>
      <c r="AE393" s="183" t="n">
        <f aca="false">IF($S393="不存在",1,0)</f>
        <v>0</v>
      </c>
      <c r="AF393" s="34" t="str">
        <f aca="false">IF(OR($H393="—",$H393=""),"—",MATCH($H393,IDX_SrcID,0))</f>
        <v>—</v>
      </c>
    </row>
    <row r="394" customFormat="false" ht="43.5" hidden="false" customHeight="true" outlineLevel="0" collapsed="false">
      <c r="A394" s="35" t="s">
        <v>3626</v>
      </c>
      <c r="B394" s="209" t="s">
        <v>2677</v>
      </c>
      <c r="C394" s="35" t="s">
        <v>3620</v>
      </c>
      <c r="D394" s="35" t="s">
        <v>3336</v>
      </c>
      <c r="E394" s="6" t="s">
        <v>2331</v>
      </c>
      <c r="F394" s="35" t="s">
        <v>72</v>
      </c>
      <c r="G394" s="209" t="s">
        <v>1100</v>
      </c>
      <c r="H394" s="35" t="s">
        <v>571</v>
      </c>
      <c r="I394" s="6" t="s">
        <v>571</v>
      </c>
      <c r="J394" s="35" t="s">
        <v>571</v>
      </c>
      <c r="K394" s="209"/>
      <c r="L394" s="209"/>
      <c r="M394" s="35" t="s">
        <v>571</v>
      </c>
      <c r="N394" s="210" t="str">
        <f aca="false">NonNV!$L$5</f>
        <v>MI355X 在 V4-Pro 上 26 天內吞吐提升 110 倍（S20 所屬部落格），軟體成熟度為主要不確定</v>
      </c>
      <c r="O394" s="6" t="s">
        <v>571</v>
      </c>
      <c r="P394" s="209" t="s">
        <v>2682</v>
      </c>
      <c r="Q394" s="172" t="n">
        <f aca="false">NonNV!G5</f>
        <v>1</v>
      </c>
      <c r="R394" s="35" t="s">
        <v>571</v>
      </c>
      <c r="S394" s="34" t="str">
        <f aca="false">IF(ISNUMBER($AF394),INDEX(IDX_SrcStat,$AF394),"—")</f>
        <v>—</v>
      </c>
      <c r="T394" s="34" t="str">
        <f aca="false">IF(ISNUMBER($AF394),INDEX(IDX_SrcGrade,$AF394),"—")</f>
        <v>—</v>
      </c>
      <c r="U394" s="34" t="s">
        <v>2683</v>
      </c>
      <c r="V394" s="183" t="n">
        <f aca="false">IF(AND($F394="原始數據",$U394&lt;&gt;"連結 SRC"),1,0)</f>
        <v>0</v>
      </c>
      <c r="W394" s="183" t="n">
        <f aca="false">IF(AND($F394="Analogy",OR($H394="—",$H394="")),1,0)</f>
        <v>0</v>
      </c>
      <c r="X394" s="183" t="n">
        <f aca="false">IF(AND(OR($F394="Analogy",$F394="Assumed"),$G394&lt;&gt;"低",$G394&lt;&gt;"高",NOT(ISNUMBER($K394)),NOT(ISNUMBER($L394)),OR($M394="—",$M394="")),1,0)</f>
        <v>0</v>
      </c>
      <c r="Y394" s="183" t="n">
        <f aca="false">IF(AND(OR($F394="Analogy",$F394="Assumed",$F394="Derived（待改公式）",$F394="Derived（公式）"),OR($N394="—",$N394="",$N394=0)),1,0)</f>
        <v>0</v>
      </c>
      <c r="Z394" s="183" t="n">
        <f aca="false">IF(AND($F394="Decision",OR($J394="—",$J394="")),1,0)</f>
        <v>0</v>
      </c>
      <c r="AA394" s="180" t="n">
        <f aca="false">IF(OR($J394="—",$J394=""),0,IF(COUNTIF(Decisions!$A$5:$A$300,$J394)=0,1,0))</f>
        <v>0</v>
      </c>
      <c r="AB394" s="183" t="n">
        <f aca="false">IF(AND($F394="原始數據",$S394&lt;&gt;"Active"),1,0)</f>
        <v>0</v>
      </c>
      <c r="AC394" s="183" t="n">
        <f aca="false">IF(AND(ISNUMBER($K394),ISNUMBER($L394),ISNUMBER($Q394)),IF(OR($Q394&lt;MIN($K394,$L394),$Q394&gt;MAX($K394,$L394)),1,0),0)</f>
        <v>0</v>
      </c>
      <c r="AD394" s="183" t="n">
        <f aca="false">IF(AND(ISNUMBER($T394),$P394="高"),IF($T394=3,1,0),0)</f>
        <v>0</v>
      </c>
      <c r="AE394" s="183" t="n">
        <f aca="false">IF($S394="不存在",1,0)</f>
        <v>0</v>
      </c>
      <c r="AF394" s="34" t="str">
        <f aca="false">IF(OR($H394="—",$H394=""),"—",MATCH($H394,IDX_SrcID,0))</f>
        <v>—</v>
      </c>
    </row>
    <row r="395" customFormat="false" ht="15" hidden="false" customHeight="true" outlineLevel="0" collapsed="false">
      <c r="A395" s="35" t="s">
        <v>3627</v>
      </c>
      <c r="B395" s="209" t="s">
        <v>2677</v>
      </c>
      <c r="C395" s="35" t="s">
        <v>3620</v>
      </c>
      <c r="D395" s="35" t="s">
        <v>2836</v>
      </c>
      <c r="E395" s="6" t="s">
        <v>2333</v>
      </c>
      <c r="F395" s="35" t="s">
        <v>72</v>
      </c>
      <c r="G395" s="209" t="s">
        <v>57</v>
      </c>
      <c r="H395" s="35" t="s">
        <v>571</v>
      </c>
      <c r="I395" s="6" t="s">
        <v>571</v>
      </c>
      <c r="J395" s="35" t="s">
        <v>571</v>
      </c>
      <c r="K395" s="172" t="n">
        <f aca="false">NonNV!B6</f>
        <v>0.6</v>
      </c>
      <c r="L395" s="172" t="n">
        <f aca="false">NonNV!D6</f>
        <v>1.1</v>
      </c>
      <c r="M395" s="35" t="s">
        <v>571</v>
      </c>
      <c r="N395" s="210" t="str">
        <f aca="false">NonNV!$L$6</f>
        <v>自用為主，無公開同口徑實測</v>
      </c>
      <c r="O395" s="6" t="s">
        <v>571</v>
      </c>
      <c r="P395" s="209" t="s">
        <v>2682</v>
      </c>
      <c r="Q395" s="172" t="n">
        <f aca="false">NonNV!C6</f>
        <v>0.8</v>
      </c>
      <c r="R395" s="35" t="s">
        <v>571</v>
      </c>
      <c r="S395" s="34" t="str">
        <f aca="false">IF(ISNUMBER($AF395),INDEX(IDX_SrcStat,$AF395),"—")</f>
        <v>—</v>
      </c>
      <c r="T395" s="34" t="str">
        <f aca="false">IF(ISNUMBER($AF395),INDEX(IDX_SrcGrade,$AF395),"—")</f>
        <v>—</v>
      </c>
      <c r="U395" s="34" t="s">
        <v>2683</v>
      </c>
      <c r="V395" s="183" t="n">
        <f aca="false">IF(AND($F395="原始數據",$U395&lt;&gt;"連結 SRC"),1,0)</f>
        <v>0</v>
      </c>
      <c r="W395" s="183" t="n">
        <f aca="false">IF(AND($F395="Analogy",OR($H395="—",$H395="")),1,0)</f>
        <v>0</v>
      </c>
      <c r="X395" s="183" t="n">
        <f aca="false">IF(AND(OR($F395="Analogy",$F395="Assumed"),$G395&lt;&gt;"低",$G395&lt;&gt;"高",NOT(ISNUMBER($K395)),NOT(ISNUMBER($L395)),OR($M395="—",$M395="")),1,0)</f>
        <v>0</v>
      </c>
      <c r="Y395" s="183" t="n">
        <f aca="false">IF(AND(OR($F395="Analogy",$F395="Assumed",$F395="Derived（待改公式）",$F395="Derived（公式）"),OR($N395="—",$N395="",$N395=0)),1,0)</f>
        <v>0</v>
      </c>
      <c r="Z395" s="183" t="n">
        <f aca="false">IF(AND($F395="Decision",OR($J395="—",$J395="")),1,0)</f>
        <v>0</v>
      </c>
      <c r="AA395" s="180" t="n">
        <f aca="false">IF(OR($J395="—",$J395=""),0,IF(COUNTIF(Decisions!$A$5:$A$300,$J395)=0,1,0))</f>
        <v>0</v>
      </c>
      <c r="AB395" s="183" t="n">
        <f aca="false">IF(AND($F395="原始數據",$S395&lt;&gt;"Active"),1,0)</f>
        <v>0</v>
      </c>
      <c r="AC395" s="183" t="n">
        <f aca="false">IF(AND(ISNUMBER($K395),ISNUMBER($L395),ISNUMBER($Q395)),IF(OR($Q395&lt;MIN($K395,$L395),$Q395&gt;MAX($K395,$L395)),1,0),0)</f>
        <v>0</v>
      </c>
      <c r="AD395" s="183" t="n">
        <f aca="false">IF(AND(ISNUMBER($T395),$P395="高"),IF($T395=3,1,0),0)</f>
        <v>0</v>
      </c>
      <c r="AE395" s="183" t="n">
        <f aca="false">IF($S395="不存在",1,0)</f>
        <v>0</v>
      </c>
      <c r="AF395" s="34" t="str">
        <f aca="false">IF(OR($H395="—",$H395=""),"—",MATCH($H395,IDX_SrcID,0))</f>
        <v>—</v>
      </c>
    </row>
    <row r="396" customFormat="false" ht="15" hidden="false" customHeight="true" outlineLevel="0" collapsed="false">
      <c r="A396" s="35" t="s">
        <v>3628</v>
      </c>
      <c r="B396" s="209" t="s">
        <v>2677</v>
      </c>
      <c r="C396" s="35" t="s">
        <v>3620</v>
      </c>
      <c r="D396" s="35" t="s">
        <v>2844</v>
      </c>
      <c r="E396" s="6" t="s">
        <v>2333</v>
      </c>
      <c r="F396" s="35" t="s">
        <v>72</v>
      </c>
      <c r="G396" s="209" t="s">
        <v>57</v>
      </c>
      <c r="H396" s="35" t="s">
        <v>571</v>
      </c>
      <c r="I396" s="6" t="s">
        <v>571</v>
      </c>
      <c r="J396" s="35" t="s">
        <v>571</v>
      </c>
      <c r="K396" s="172" t="n">
        <f aca="false">NonNV!E6</f>
        <v>0.7</v>
      </c>
      <c r="L396" s="172" t="n">
        <f aca="false">NonNV!G6</f>
        <v>1</v>
      </c>
      <c r="M396" s="35" t="s">
        <v>571</v>
      </c>
      <c r="N396" s="210" t="str">
        <f aca="false">NonNV!$L$6</f>
        <v>自用為主，無公開同口徑實測</v>
      </c>
      <c r="O396" s="6" t="s">
        <v>571</v>
      </c>
      <c r="P396" s="209" t="s">
        <v>2682</v>
      </c>
      <c r="Q396" s="172" t="n">
        <f aca="false">NonNV!F6</f>
        <v>0.8</v>
      </c>
      <c r="R396" s="35" t="s">
        <v>571</v>
      </c>
      <c r="S396" s="34" t="str">
        <f aca="false">IF(ISNUMBER($AF396),INDEX(IDX_SrcStat,$AF396),"—")</f>
        <v>—</v>
      </c>
      <c r="T396" s="34" t="str">
        <f aca="false">IF(ISNUMBER($AF396),INDEX(IDX_SrcGrade,$AF396),"—")</f>
        <v>—</v>
      </c>
      <c r="U396" s="34" t="s">
        <v>2683</v>
      </c>
      <c r="V396" s="183" t="n">
        <f aca="false">IF(AND($F396="原始數據",$U396&lt;&gt;"連結 SRC"),1,0)</f>
        <v>0</v>
      </c>
      <c r="W396" s="183" t="n">
        <f aca="false">IF(AND($F396="Analogy",OR($H396="—",$H396="")),1,0)</f>
        <v>0</v>
      </c>
      <c r="X396" s="183" t="n">
        <f aca="false">IF(AND(OR($F396="Analogy",$F396="Assumed"),$G396&lt;&gt;"低",$G396&lt;&gt;"高",NOT(ISNUMBER($K396)),NOT(ISNUMBER($L396)),OR($M396="—",$M396="")),1,0)</f>
        <v>0</v>
      </c>
      <c r="Y396" s="183" t="n">
        <f aca="false">IF(AND(OR($F396="Analogy",$F396="Assumed",$F396="Derived（待改公式）",$F396="Derived（公式）"),OR($N396="—",$N396="",$N396=0)),1,0)</f>
        <v>0</v>
      </c>
      <c r="Z396" s="183" t="n">
        <f aca="false">IF(AND($F396="Decision",OR($J396="—",$J396="")),1,0)</f>
        <v>0</v>
      </c>
      <c r="AA396" s="180" t="n">
        <f aca="false">IF(OR($J396="—",$J396=""),0,IF(COUNTIF(Decisions!$A$5:$A$300,$J396)=0,1,0))</f>
        <v>0</v>
      </c>
      <c r="AB396" s="183" t="n">
        <f aca="false">IF(AND($F396="原始數據",$S396&lt;&gt;"Active"),1,0)</f>
        <v>0</v>
      </c>
      <c r="AC396" s="183" t="n">
        <f aca="false">IF(AND(ISNUMBER($K396),ISNUMBER($L396),ISNUMBER($Q396)),IF(OR($Q396&lt;MIN($K396,$L396),$Q396&gt;MAX($K396,$L396)),1,0),0)</f>
        <v>0</v>
      </c>
      <c r="AD396" s="183" t="n">
        <f aca="false">IF(AND(ISNUMBER($T396),$P396="高"),IF($T396=3,1,0),0)</f>
        <v>0</v>
      </c>
      <c r="AE396" s="183" t="n">
        <f aca="false">IF($S396="不存在",1,0)</f>
        <v>0</v>
      </c>
      <c r="AF396" s="34" t="str">
        <f aca="false">IF(OR($H396="—",$H396=""),"—",MATCH($H396,IDX_SrcID,0))</f>
        <v>—</v>
      </c>
    </row>
    <row r="397" customFormat="false" ht="15" hidden="false" customHeight="true" outlineLevel="0" collapsed="false">
      <c r="A397" s="35" t="s">
        <v>3629</v>
      </c>
      <c r="B397" s="209" t="s">
        <v>2677</v>
      </c>
      <c r="C397" s="35" t="s">
        <v>3620</v>
      </c>
      <c r="D397" s="35" t="s">
        <v>3630</v>
      </c>
      <c r="E397" s="6" t="s">
        <v>2333</v>
      </c>
      <c r="F397" s="35" t="s">
        <v>72</v>
      </c>
      <c r="G397" s="209" t="s">
        <v>1099</v>
      </c>
      <c r="H397" s="35" t="s">
        <v>571</v>
      </c>
      <c r="I397" s="6" t="s">
        <v>571</v>
      </c>
      <c r="J397" s="35" t="s">
        <v>571</v>
      </c>
      <c r="K397" s="209"/>
      <c r="L397" s="209"/>
      <c r="M397" s="35" t="s">
        <v>571</v>
      </c>
      <c r="N397" s="210" t="str">
        <f aca="false">NonNV!$L$6</f>
        <v>自用為主，無公開同口徑實測</v>
      </c>
      <c r="O397" s="6" t="s">
        <v>571</v>
      </c>
      <c r="P397" s="209" t="s">
        <v>2682</v>
      </c>
      <c r="Q397" s="172" t="n">
        <f aca="false">NonNV!B6</f>
        <v>0.6</v>
      </c>
      <c r="R397" s="35" t="s">
        <v>571</v>
      </c>
      <c r="S397" s="34" t="str">
        <f aca="false">IF(ISNUMBER($AF397),INDEX(IDX_SrcStat,$AF397),"—")</f>
        <v>—</v>
      </c>
      <c r="T397" s="34" t="str">
        <f aca="false">IF(ISNUMBER($AF397),INDEX(IDX_SrcGrade,$AF397),"—")</f>
        <v>—</v>
      </c>
      <c r="U397" s="34" t="s">
        <v>2683</v>
      </c>
      <c r="V397" s="183" t="n">
        <f aca="false">IF(AND($F397="原始數據",$U397&lt;&gt;"連結 SRC"),1,0)</f>
        <v>0</v>
      </c>
      <c r="W397" s="183" t="n">
        <f aca="false">IF(AND($F397="Analogy",OR($H397="—",$H397="")),1,0)</f>
        <v>0</v>
      </c>
      <c r="X397" s="183" t="n">
        <f aca="false">IF(AND(OR($F397="Analogy",$F397="Assumed"),$G397&lt;&gt;"低",$G397&lt;&gt;"高",NOT(ISNUMBER($K397)),NOT(ISNUMBER($L397)),OR($M397="—",$M397="")),1,0)</f>
        <v>0</v>
      </c>
      <c r="Y397" s="183" t="n">
        <f aca="false">IF(AND(OR($F397="Analogy",$F397="Assumed",$F397="Derived（待改公式）",$F397="Derived（公式）"),OR($N397="—",$N397="",$N397=0)),1,0)</f>
        <v>0</v>
      </c>
      <c r="Z397" s="183" t="n">
        <f aca="false">IF(AND($F397="Decision",OR($J397="—",$J397="")),1,0)</f>
        <v>0</v>
      </c>
      <c r="AA397" s="180" t="n">
        <f aca="false">IF(OR($J397="—",$J397=""),0,IF(COUNTIF(Decisions!$A$5:$A$300,$J397)=0,1,0))</f>
        <v>0</v>
      </c>
      <c r="AB397" s="183" t="n">
        <f aca="false">IF(AND($F397="原始數據",$S397&lt;&gt;"Active"),1,0)</f>
        <v>0</v>
      </c>
      <c r="AC397" s="183" t="n">
        <f aca="false">IF(AND(ISNUMBER($K397),ISNUMBER($L397),ISNUMBER($Q397)),IF(OR($Q397&lt;MIN($K397,$L397),$Q397&gt;MAX($K397,$L397)),1,0),0)</f>
        <v>0</v>
      </c>
      <c r="AD397" s="183" t="n">
        <f aca="false">IF(AND(ISNUMBER($T397),$P397="高"),IF($T397=3,1,0),0)</f>
        <v>0</v>
      </c>
      <c r="AE397" s="183" t="n">
        <f aca="false">IF($S397="不存在",1,0)</f>
        <v>0</v>
      </c>
      <c r="AF397" s="34" t="str">
        <f aca="false">IF(OR($H397="—",$H397=""),"—",MATCH($H397,IDX_SrcID,0))</f>
        <v>—</v>
      </c>
    </row>
    <row r="398" customFormat="false" ht="15" hidden="false" customHeight="true" outlineLevel="0" collapsed="false">
      <c r="A398" s="35" t="s">
        <v>3631</v>
      </c>
      <c r="B398" s="209" t="s">
        <v>2677</v>
      </c>
      <c r="C398" s="35" t="s">
        <v>3620</v>
      </c>
      <c r="D398" s="35" t="s">
        <v>2840</v>
      </c>
      <c r="E398" s="6" t="s">
        <v>2333</v>
      </c>
      <c r="F398" s="35" t="s">
        <v>72</v>
      </c>
      <c r="G398" s="209" t="s">
        <v>1100</v>
      </c>
      <c r="H398" s="35" t="s">
        <v>571</v>
      </c>
      <c r="I398" s="6" t="s">
        <v>571</v>
      </c>
      <c r="J398" s="35" t="s">
        <v>571</v>
      </c>
      <c r="K398" s="209"/>
      <c r="L398" s="209"/>
      <c r="M398" s="35" t="s">
        <v>571</v>
      </c>
      <c r="N398" s="210" t="str">
        <f aca="false">NonNV!$L$6</f>
        <v>自用為主，無公開同口徑實測</v>
      </c>
      <c r="O398" s="6" t="s">
        <v>571</v>
      </c>
      <c r="P398" s="209" t="s">
        <v>2682</v>
      </c>
      <c r="Q398" s="172" t="n">
        <f aca="false">NonNV!D6</f>
        <v>1.1</v>
      </c>
      <c r="R398" s="35" t="s">
        <v>571</v>
      </c>
      <c r="S398" s="34" t="str">
        <f aca="false">IF(ISNUMBER($AF398),INDEX(IDX_SrcStat,$AF398),"—")</f>
        <v>—</v>
      </c>
      <c r="T398" s="34" t="str">
        <f aca="false">IF(ISNUMBER($AF398),INDEX(IDX_SrcGrade,$AF398),"—")</f>
        <v>—</v>
      </c>
      <c r="U398" s="34" t="s">
        <v>2683</v>
      </c>
      <c r="V398" s="183" t="n">
        <f aca="false">IF(AND($F398="原始數據",$U398&lt;&gt;"連結 SRC"),1,0)</f>
        <v>0</v>
      </c>
      <c r="W398" s="183" t="n">
        <f aca="false">IF(AND($F398="Analogy",OR($H398="—",$H398="")),1,0)</f>
        <v>0</v>
      </c>
      <c r="X398" s="183" t="n">
        <f aca="false">IF(AND(OR($F398="Analogy",$F398="Assumed"),$G398&lt;&gt;"低",$G398&lt;&gt;"高",NOT(ISNUMBER($K398)),NOT(ISNUMBER($L398)),OR($M398="—",$M398="")),1,0)</f>
        <v>0</v>
      </c>
      <c r="Y398" s="183" t="n">
        <f aca="false">IF(AND(OR($F398="Analogy",$F398="Assumed",$F398="Derived（待改公式）",$F398="Derived（公式）"),OR($N398="—",$N398="",$N398=0)),1,0)</f>
        <v>0</v>
      </c>
      <c r="Z398" s="183" t="n">
        <f aca="false">IF(AND($F398="Decision",OR($J398="—",$J398="")),1,0)</f>
        <v>0</v>
      </c>
      <c r="AA398" s="180" t="n">
        <f aca="false">IF(OR($J398="—",$J398=""),0,IF(COUNTIF(Decisions!$A$5:$A$300,$J398)=0,1,0))</f>
        <v>0</v>
      </c>
      <c r="AB398" s="183" t="n">
        <f aca="false">IF(AND($F398="原始數據",$S398&lt;&gt;"Active"),1,0)</f>
        <v>0</v>
      </c>
      <c r="AC398" s="183" t="n">
        <f aca="false">IF(AND(ISNUMBER($K398),ISNUMBER($L398),ISNUMBER($Q398)),IF(OR($Q398&lt;MIN($K398,$L398),$Q398&gt;MAX($K398,$L398)),1,0),0)</f>
        <v>0</v>
      </c>
      <c r="AD398" s="183" t="n">
        <f aca="false">IF(AND(ISNUMBER($T398),$P398="高"),IF($T398=3,1,0),0)</f>
        <v>0</v>
      </c>
      <c r="AE398" s="183" t="n">
        <f aca="false">IF($S398="不存在",1,0)</f>
        <v>0</v>
      </c>
      <c r="AF398" s="34" t="str">
        <f aca="false">IF(OR($H398="—",$H398=""),"—",MATCH($H398,IDX_SrcID,0))</f>
        <v>—</v>
      </c>
    </row>
    <row r="399" customFormat="false" ht="15" hidden="false" customHeight="true" outlineLevel="0" collapsed="false">
      <c r="A399" s="35" t="s">
        <v>3632</v>
      </c>
      <c r="B399" s="209" t="s">
        <v>2677</v>
      </c>
      <c r="C399" s="35" t="s">
        <v>3620</v>
      </c>
      <c r="D399" s="35" t="s">
        <v>2579</v>
      </c>
      <c r="E399" s="6" t="s">
        <v>2333</v>
      </c>
      <c r="F399" s="35" t="s">
        <v>72</v>
      </c>
      <c r="G399" s="209" t="s">
        <v>1099</v>
      </c>
      <c r="H399" s="35" t="s">
        <v>571</v>
      </c>
      <c r="I399" s="6" t="s">
        <v>571</v>
      </c>
      <c r="J399" s="35" t="s">
        <v>571</v>
      </c>
      <c r="K399" s="209"/>
      <c r="L399" s="209"/>
      <c r="M399" s="35" t="s">
        <v>571</v>
      </c>
      <c r="N399" s="210" t="str">
        <f aca="false">NonNV!$L$6</f>
        <v>自用為主，無公開同口徑實測</v>
      </c>
      <c r="O399" s="6" t="s">
        <v>571</v>
      </c>
      <c r="P399" s="209" t="s">
        <v>2682</v>
      </c>
      <c r="Q399" s="172" t="n">
        <f aca="false">NonNV!E6</f>
        <v>0.7</v>
      </c>
      <c r="R399" s="35" t="s">
        <v>571</v>
      </c>
      <c r="S399" s="34" t="str">
        <f aca="false">IF(ISNUMBER($AF399),INDEX(IDX_SrcStat,$AF399),"—")</f>
        <v>—</v>
      </c>
      <c r="T399" s="34" t="str">
        <f aca="false">IF(ISNUMBER($AF399),INDEX(IDX_SrcGrade,$AF399),"—")</f>
        <v>—</v>
      </c>
      <c r="U399" s="34" t="s">
        <v>2683</v>
      </c>
      <c r="V399" s="183" t="n">
        <f aca="false">IF(AND($F399="原始數據",$U399&lt;&gt;"連結 SRC"),1,0)</f>
        <v>0</v>
      </c>
      <c r="W399" s="183" t="n">
        <f aca="false">IF(AND($F399="Analogy",OR($H399="—",$H399="")),1,0)</f>
        <v>0</v>
      </c>
      <c r="X399" s="183" t="n">
        <f aca="false">IF(AND(OR($F399="Analogy",$F399="Assumed"),$G399&lt;&gt;"低",$G399&lt;&gt;"高",NOT(ISNUMBER($K399)),NOT(ISNUMBER($L399)),OR($M399="—",$M399="")),1,0)</f>
        <v>0</v>
      </c>
      <c r="Y399" s="183" t="n">
        <f aca="false">IF(AND(OR($F399="Analogy",$F399="Assumed",$F399="Derived（待改公式）",$F399="Derived（公式）"),OR($N399="—",$N399="",$N399=0)),1,0)</f>
        <v>0</v>
      </c>
      <c r="Z399" s="183" t="n">
        <f aca="false">IF(AND($F399="Decision",OR($J399="—",$J399="")),1,0)</f>
        <v>0</v>
      </c>
      <c r="AA399" s="180" t="n">
        <f aca="false">IF(OR($J399="—",$J399=""),0,IF(COUNTIF(Decisions!$A$5:$A$300,$J399)=0,1,0))</f>
        <v>0</v>
      </c>
      <c r="AB399" s="183" t="n">
        <f aca="false">IF(AND($F399="原始數據",$S399&lt;&gt;"Active"),1,0)</f>
        <v>0</v>
      </c>
      <c r="AC399" s="183" t="n">
        <f aca="false">IF(AND(ISNUMBER($K399),ISNUMBER($L399),ISNUMBER($Q399)),IF(OR($Q399&lt;MIN($K399,$L399),$Q399&gt;MAX($K399,$L399)),1,0),0)</f>
        <v>0</v>
      </c>
      <c r="AD399" s="183" t="n">
        <f aca="false">IF(AND(ISNUMBER($T399),$P399="高"),IF($T399=3,1,0),0)</f>
        <v>0</v>
      </c>
      <c r="AE399" s="183" t="n">
        <f aca="false">IF($S399="不存在",1,0)</f>
        <v>0</v>
      </c>
      <c r="AF399" s="34" t="str">
        <f aca="false">IF(OR($H399="—",$H399=""),"—",MATCH($H399,IDX_SrcID,0))</f>
        <v>—</v>
      </c>
    </row>
    <row r="400" customFormat="false" ht="15" hidden="false" customHeight="true" outlineLevel="0" collapsed="false">
      <c r="A400" s="35" t="s">
        <v>3633</v>
      </c>
      <c r="B400" s="209" t="s">
        <v>2677</v>
      </c>
      <c r="C400" s="35" t="s">
        <v>3620</v>
      </c>
      <c r="D400" s="35" t="s">
        <v>2846</v>
      </c>
      <c r="E400" s="6" t="s">
        <v>2333</v>
      </c>
      <c r="F400" s="35" t="s">
        <v>72</v>
      </c>
      <c r="G400" s="209" t="s">
        <v>1100</v>
      </c>
      <c r="H400" s="35" t="s">
        <v>571</v>
      </c>
      <c r="I400" s="6" t="s">
        <v>571</v>
      </c>
      <c r="J400" s="35" t="s">
        <v>571</v>
      </c>
      <c r="K400" s="209"/>
      <c r="L400" s="209"/>
      <c r="M400" s="35" t="s">
        <v>571</v>
      </c>
      <c r="N400" s="210" t="str">
        <f aca="false">NonNV!$L$6</f>
        <v>自用為主，無公開同口徑實測</v>
      </c>
      <c r="O400" s="6" t="s">
        <v>571</v>
      </c>
      <c r="P400" s="209" t="s">
        <v>2682</v>
      </c>
      <c r="Q400" s="172" t="n">
        <f aca="false">NonNV!G6</f>
        <v>1</v>
      </c>
      <c r="R400" s="35" t="s">
        <v>571</v>
      </c>
      <c r="S400" s="34" t="str">
        <f aca="false">IF(ISNUMBER($AF400),INDEX(IDX_SrcStat,$AF400),"—")</f>
        <v>—</v>
      </c>
      <c r="T400" s="34" t="str">
        <f aca="false">IF(ISNUMBER($AF400),INDEX(IDX_SrcGrade,$AF400),"—")</f>
        <v>—</v>
      </c>
      <c r="U400" s="34" t="s">
        <v>2683</v>
      </c>
      <c r="V400" s="183" t="n">
        <f aca="false">IF(AND($F400="原始數據",$U400&lt;&gt;"連結 SRC"),1,0)</f>
        <v>0</v>
      </c>
      <c r="W400" s="183" t="n">
        <f aca="false">IF(AND($F400="Analogy",OR($H400="—",$H400="")),1,0)</f>
        <v>0</v>
      </c>
      <c r="X400" s="183" t="n">
        <f aca="false">IF(AND(OR($F400="Analogy",$F400="Assumed"),$G400&lt;&gt;"低",$G400&lt;&gt;"高",NOT(ISNUMBER($K400)),NOT(ISNUMBER($L400)),OR($M400="—",$M400="")),1,0)</f>
        <v>0</v>
      </c>
      <c r="Y400" s="183" t="n">
        <f aca="false">IF(AND(OR($F400="Analogy",$F400="Assumed",$F400="Derived（待改公式）",$F400="Derived（公式）"),OR($N400="—",$N400="",$N400=0)),1,0)</f>
        <v>0</v>
      </c>
      <c r="Z400" s="183" t="n">
        <f aca="false">IF(AND($F400="Decision",OR($J400="—",$J400="")),1,0)</f>
        <v>0</v>
      </c>
      <c r="AA400" s="180" t="n">
        <f aca="false">IF(OR($J400="—",$J400=""),0,IF(COUNTIF(Decisions!$A$5:$A$300,$J400)=0,1,0))</f>
        <v>0</v>
      </c>
      <c r="AB400" s="183" t="n">
        <f aca="false">IF(AND($F400="原始數據",$S400&lt;&gt;"Active"),1,0)</f>
        <v>0</v>
      </c>
      <c r="AC400" s="183" t="n">
        <f aca="false">IF(AND(ISNUMBER($K400),ISNUMBER($L400),ISNUMBER($Q400)),IF(OR($Q400&lt;MIN($K400,$L400),$Q400&gt;MAX($K400,$L400)),1,0),0)</f>
        <v>0</v>
      </c>
      <c r="AD400" s="183" t="n">
        <f aca="false">IF(AND(ISNUMBER($T400),$P400="高"),IF($T400=3,1,0),0)</f>
        <v>0</v>
      </c>
      <c r="AE400" s="183" t="n">
        <f aca="false">IF($S400="不存在",1,0)</f>
        <v>0</v>
      </c>
      <c r="AF400" s="34" t="str">
        <f aca="false">IF(OR($H400="—",$H400=""),"—",MATCH($H400,IDX_SrcID,0))</f>
        <v>—</v>
      </c>
    </row>
    <row r="401" customFormat="false" ht="15" hidden="false" customHeight="true" outlineLevel="0" collapsed="false">
      <c r="A401" s="35" t="s">
        <v>3634</v>
      </c>
      <c r="B401" s="209" t="s">
        <v>2677</v>
      </c>
      <c r="C401" s="35" t="s">
        <v>3620</v>
      </c>
      <c r="D401" s="35" t="s">
        <v>3160</v>
      </c>
      <c r="E401" s="6" t="s">
        <v>2335</v>
      </c>
      <c r="F401" s="35" t="s">
        <v>72</v>
      </c>
      <c r="G401" s="209" t="s">
        <v>57</v>
      </c>
      <c r="H401" s="35" t="s">
        <v>571</v>
      </c>
      <c r="I401" s="6" t="s">
        <v>571</v>
      </c>
      <c r="J401" s="35" t="s">
        <v>571</v>
      </c>
      <c r="K401" s="172" t="n">
        <f aca="false">NonNV!B7</f>
        <v>0.3</v>
      </c>
      <c r="L401" s="172" t="n">
        <f aca="false">NonNV!D7</f>
        <v>0.8</v>
      </c>
      <c r="M401" s="35" t="s">
        <v>571</v>
      </c>
      <c r="N401" s="210" t="str">
        <f aca="false">NonNV!$L$7</f>
        <v>OpenAI v0.5 以 2GW Trainium 合約為輸入</v>
      </c>
      <c r="O401" s="6" t="s">
        <v>571</v>
      </c>
      <c r="P401" s="209" t="s">
        <v>2682</v>
      </c>
      <c r="Q401" s="172" t="n">
        <f aca="false">NonNV!C7</f>
        <v>0.5</v>
      </c>
      <c r="R401" s="35" t="s">
        <v>571</v>
      </c>
      <c r="S401" s="34" t="str">
        <f aca="false">IF(ISNUMBER($AF401),INDEX(IDX_SrcStat,$AF401),"—")</f>
        <v>—</v>
      </c>
      <c r="T401" s="34" t="str">
        <f aca="false">IF(ISNUMBER($AF401),INDEX(IDX_SrcGrade,$AF401),"—")</f>
        <v>—</v>
      </c>
      <c r="U401" s="34" t="s">
        <v>2683</v>
      </c>
      <c r="V401" s="183" t="n">
        <f aca="false">IF(AND($F401="原始數據",$U401&lt;&gt;"連結 SRC"),1,0)</f>
        <v>0</v>
      </c>
      <c r="W401" s="183" t="n">
        <f aca="false">IF(AND($F401="Analogy",OR($H401="—",$H401="")),1,0)</f>
        <v>0</v>
      </c>
      <c r="X401" s="183" t="n">
        <f aca="false">IF(AND(OR($F401="Analogy",$F401="Assumed"),$G401&lt;&gt;"低",$G401&lt;&gt;"高",NOT(ISNUMBER($K401)),NOT(ISNUMBER($L401)),OR($M401="—",$M401="")),1,0)</f>
        <v>0</v>
      </c>
      <c r="Y401" s="183" t="n">
        <f aca="false">IF(AND(OR($F401="Analogy",$F401="Assumed",$F401="Derived（待改公式）",$F401="Derived（公式）"),OR($N401="—",$N401="",$N401=0)),1,0)</f>
        <v>0</v>
      </c>
      <c r="Z401" s="183" t="n">
        <f aca="false">IF(AND($F401="Decision",OR($J401="—",$J401="")),1,0)</f>
        <v>0</v>
      </c>
      <c r="AA401" s="180" t="n">
        <f aca="false">IF(OR($J401="—",$J401=""),0,IF(COUNTIF(Decisions!$A$5:$A$300,$J401)=0,1,0))</f>
        <v>0</v>
      </c>
      <c r="AB401" s="183" t="n">
        <f aca="false">IF(AND($F401="原始數據",$S401&lt;&gt;"Active"),1,0)</f>
        <v>0</v>
      </c>
      <c r="AC401" s="183" t="n">
        <f aca="false">IF(AND(ISNUMBER($K401),ISNUMBER($L401),ISNUMBER($Q401)),IF(OR($Q401&lt;MIN($K401,$L401),$Q401&gt;MAX($K401,$L401)),1,0),0)</f>
        <v>0</v>
      </c>
      <c r="AD401" s="183" t="n">
        <f aca="false">IF(AND(ISNUMBER($T401),$P401="高"),IF($T401=3,1,0),0)</f>
        <v>0</v>
      </c>
      <c r="AE401" s="183" t="n">
        <f aca="false">IF($S401="不存在",1,0)</f>
        <v>0</v>
      </c>
      <c r="AF401" s="34" t="str">
        <f aca="false">IF(OR($H401="—",$H401=""),"—",MATCH($H401,IDX_SrcID,0))</f>
        <v>—</v>
      </c>
    </row>
    <row r="402" customFormat="false" ht="15" hidden="false" customHeight="true" outlineLevel="0" collapsed="false">
      <c r="A402" s="35" t="s">
        <v>3635</v>
      </c>
      <c r="B402" s="209" t="s">
        <v>2677</v>
      </c>
      <c r="C402" s="35" t="s">
        <v>3620</v>
      </c>
      <c r="D402" s="35" t="s">
        <v>3350</v>
      </c>
      <c r="E402" s="6" t="s">
        <v>2335</v>
      </c>
      <c r="F402" s="35" t="s">
        <v>72</v>
      </c>
      <c r="G402" s="209" t="s">
        <v>57</v>
      </c>
      <c r="H402" s="35" t="s">
        <v>571</v>
      </c>
      <c r="I402" s="6" t="s">
        <v>571</v>
      </c>
      <c r="J402" s="35" t="s">
        <v>571</v>
      </c>
      <c r="K402" s="172" t="n">
        <f aca="false">NonNV!E7</f>
        <v>0.6</v>
      </c>
      <c r="L402" s="172" t="n">
        <f aca="false">NonNV!G7</f>
        <v>0.9</v>
      </c>
      <c r="M402" s="35" t="s">
        <v>571</v>
      </c>
      <c r="N402" s="210" t="str">
        <f aca="false">NonNV!$L$7</f>
        <v>OpenAI v0.5 以 2GW Trainium 合約為輸入</v>
      </c>
      <c r="O402" s="6" t="s">
        <v>571</v>
      </c>
      <c r="P402" s="209" t="s">
        <v>2682</v>
      </c>
      <c r="Q402" s="172" t="n">
        <f aca="false">NonNV!F7</f>
        <v>0.7</v>
      </c>
      <c r="R402" s="35" t="s">
        <v>571</v>
      </c>
      <c r="S402" s="34" t="str">
        <f aca="false">IF(ISNUMBER($AF402),INDEX(IDX_SrcStat,$AF402),"—")</f>
        <v>—</v>
      </c>
      <c r="T402" s="34" t="str">
        <f aca="false">IF(ISNUMBER($AF402),INDEX(IDX_SrcGrade,$AF402),"—")</f>
        <v>—</v>
      </c>
      <c r="U402" s="34" t="s">
        <v>2683</v>
      </c>
      <c r="V402" s="183" t="n">
        <f aca="false">IF(AND($F402="原始數據",$U402&lt;&gt;"連結 SRC"),1,0)</f>
        <v>0</v>
      </c>
      <c r="W402" s="183" t="n">
        <f aca="false">IF(AND($F402="Analogy",OR($H402="—",$H402="")),1,0)</f>
        <v>0</v>
      </c>
      <c r="X402" s="183" t="n">
        <f aca="false">IF(AND(OR($F402="Analogy",$F402="Assumed"),$G402&lt;&gt;"低",$G402&lt;&gt;"高",NOT(ISNUMBER($K402)),NOT(ISNUMBER($L402)),OR($M402="—",$M402="")),1,0)</f>
        <v>0</v>
      </c>
      <c r="Y402" s="183" t="n">
        <f aca="false">IF(AND(OR($F402="Analogy",$F402="Assumed",$F402="Derived（待改公式）",$F402="Derived（公式）"),OR($N402="—",$N402="",$N402=0)),1,0)</f>
        <v>0</v>
      </c>
      <c r="Z402" s="183" t="n">
        <f aca="false">IF(AND($F402="Decision",OR($J402="—",$J402="")),1,0)</f>
        <v>0</v>
      </c>
      <c r="AA402" s="180" t="n">
        <f aca="false">IF(OR($J402="—",$J402=""),0,IF(COUNTIF(Decisions!$A$5:$A$300,$J402)=0,1,0))</f>
        <v>0</v>
      </c>
      <c r="AB402" s="183" t="n">
        <f aca="false">IF(AND($F402="原始數據",$S402&lt;&gt;"Active"),1,0)</f>
        <v>0</v>
      </c>
      <c r="AC402" s="183" t="n">
        <f aca="false">IF(AND(ISNUMBER($K402),ISNUMBER($L402),ISNUMBER($Q402)),IF(OR($Q402&lt;MIN($K402,$L402),$Q402&gt;MAX($K402,$L402)),1,0),0)</f>
        <v>0</v>
      </c>
      <c r="AD402" s="183" t="n">
        <f aca="false">IF(AND(ISNUMBER($T402),$P402="高"),IF($T402=3,1,0),0)</f>
        <v>0</v>
      </c>
      <c r="AE402" s="183" t="n">
        <f aca="false">IF($S402="不存在",1,0)</f>
        <v>0</v>
      </c>
      <c r="AF402" s="34" t="str">
        <f aca="false">IF(OR($H402="—",$H402=""),"—",MATCH($H402,IDX_SrcID,0))</f>
        <v>—</v>
      </c>
    </row>
    <row r="403" customFormat="false" ht="15" hidden="false" customHeight="true" outlineLevel="0" collapsed="false">
      <c r="A403" s="35" t="s">
        <v>3636</v>
      </c>
      <c r="B403" s="209" t="s">
        <v>2677</v>
      </c>
      <c r="C403" s="35" t="s">
        <v>3620</v>
      </c>
      <c r="D403" s="35" t="s">
        <v>3637</v>
      </c>
      <c r="E403" s="6" t="s">
        <v>2335</v>
      </c>
      <c r="F403" s="35" t="s">
        <v>72</v>
      </c>
      <c r="G403" s="209" t="s">
        <v>1099</v>
      </c>
      <c r="H403" s="35" t="s">
        <v>571</v>
      </c>
      <c r="I403" s="6" t="s">
        <v>571</v>
      </c>
      <c r="J403" s="35" t="s">
        <v>571</v>
      </c>
      <c r="K403" s="209"/>
      <c r="L403" s="209"/>
      <c r="M403" s="35" t="s">
        <v>571</v>
      </c>
      <c r="N403" s="210" t="str">
        <f aca="false">NonNV!$L$7</f>
        <v>OpenAI v0.5 以 2GW Trainium 合約為輸入</v>
      </c>
      <c r="O403" s="6" t="s">
        <v>571</v>
      </c>
      <c r="P403" s="209" t="s">
        <v>2682</v>
      </c>
      <c r="Q403" s="172" t="n">
        <f aca="false">NonNV!B7</f>
        <v>0.3</v>
      </c>
      <c r="R403" s="35" t="s">
        <v>571</v>
      </c>
      <c r="S403" s="34" t="str">
        <f aca="false">IF(ISNUMBER($AF403),INDEX(IDX_SrcStat,$AF403),"—")</f>
        <v>—</v>
      </c>
      <c r="T403" s="34" t="str">
        <f aca="false">IF(ISNUMBER($AF403),INDEX(IDX_SrcGrade,$AF403),"—")</f>
        <v>—</v>
      </c>
      <c r="U403" s="34" t="s">
        <v>2683</v>
      </c>
      <c r="V403" s="183" t="n">
        <f aca="false">IF(AND($F403="原始數據",$U403&lt;&gt;"連結 SRC"),1,0)</f>
        <v>0</v>
      </c>
      <c r="W403" s="183" t="n">
        <f aca="false">IF(AND($F403="Analogy",OR($H403="—",$H403="")),1,0)</f>
        <v>0</v>
      </c>
      <c r="X403" s="183" t="n">
        <f aca="false">IF(AND(OR($F403="Analogy",$F403="Assumed"),$G403&lt;&gt;"低",$G403&lt;&gt;"高",NOT(ISNUMBER($K403)),NOT(ISNUMBER($L403)),OR($M403="—",$M403="")),1,0)</f>
        <v>0</v>
      </c>
      <c r="Y403" s="183" t="n">
        <f aca="false">IF(AND(OR($F403="Analogy",$F403="Assumed",$F403="Derived（待改公式）",$F403="Derived（公式）"),OR($N403="—",$N403="",$N403=0)),1,0)</f>
        <v>0</v>
      </c>
      <c r="Z403" s="183" t="n">
        <f aca="false">IF(AND($F403="Decision",OR($J403="—",$J403="")),1,0)</f>
        <v>0</v>
      </c>
      <c r="AA403" s="180" t="n">
        <f aca="false">IF(OR($J403="—",$J403=""),0,IF(COUNTIF(Decisions!$A$5:$A$300,$J403)=0,1,0))</f>
        <v>0</v>
      </c>
      <c r="AB403" s="183" t="n">
        <f aca="false">IF(AND($F403="原始數據",$S403&lt;&gt;"Active"),1,0)</f>
        <v>0</v>
      </c>
      <c r="AC403" s="183" t="n">
        <f aca="false">IF(AND(ISNUMBER($K403),ISNUMBER($L403),ISNUMBER($Q403)),IF(OR($Q403&lt;MIN($K403,$L403),$Q403&gt;MAX($K403,$L403)),1,0),0)</f>
        <v>0</v>
      </c>
      <c r="AD403" s="183" t="n">
        <f aca="false">IF(AND(ISNUMBER($T403),$P403="高"),IF($T403=3,1,0),0)</f>
        <v>0</v>
      </c>
      <c r="AE403" s="183" t="n">
        <f aca="false">IF($S403="不存在",1,0)</f>
        <v>0</v>
      </c>
      <c r="AF403" s="34" t="str">
        <f aca="false">IF(OR($H403="—",$H403=""),"—",MATCH($H403,IDX_SrcID,0))</f>
        <v>—</v>
      </c>
    </row>
    <row r="404" customFormat="false" ht="15" hidden="false" customHeight="true" outlineLevel="0" collapsed="false">
      <c r="A404" s="35" t="s">
        <v>3638</v>
      </c>
      <c r="B404" s="209" t="s">
        <v>2677</v>
      </c>
      <c r="C404" s="35" t="s">
        <v>3620</v>
      </c>
      <c r="D404" s="35" t="s">
        <v>3163</v>
      </c>
      <c r="E404" s="6" t="s">
        <v>2335</v>
      </c>
      <c r="F404" s="35" t="s">
        <v>72</v>
      </c>
      <c r="G404" s="209" t="s">
        <v>1100</v>
      </c>
      <c r="H404" s="35" t="s">
        <v>571</v>
      </c>
      <c r="I404" s="6" t="s">
        <v>571</v>
      </c>
      <c r="J404" s="35" t="s">
        <v>571</v>
      </c>
      <c r="K404" s="209"/>
      <c r="L404" s="209"/>
      <c r="M404" s="35" t="s">
        <v>571</v>
      </c>
      <c r="N404" s="210" t="str">
        <f aca="false">NonNV!$L$7</f>
        <v>OpenAI v0.5 以 2GW Trainium 合約為輸入</v>
      </c>
      <c r="O404" s="6" t="s">
        <v>571</v>
      </c>
      <c r="P404" s="209" t="s">
        <v>2682</v>
      </c>
      <c r="Q404" s="172" t="n">
        <f aca="false">NonNV!D7</f>
        <v>0.8</v>
      </c>
      <c r="R404" s="35" t="s">
        <v>571</v>
      </c>
      <c r="S404" s="34" t="str">
        <f aca="false">IF(ISNUMBER($AF404),INDEX(IDX_SrcStat,$AF404),"—")</f>
        <v>—</v>
      </c>
      <c r="T404" s="34" t="str">
        <f aca="false">IF(ISNUMBER($AF404),INDEX(IDX_SrcGrade,$AF404),"—")</f>
        <v>—</v>
      </c>
      <c r="U404" s="34" t="s">
        <v>2683</v>
      </c>
      <c r="V404" s="183" t="n">
        <f aca="false">IF(AND($F404="原始數據",$U404&lt;&gt;"連結 SRC"),1,0)</f>
        <v>0</v>
      </c>
      <c r="W404" s="183" t="n">
        <f aca="false">IF(AND($F404="Analogy",OR($H404="—",$H404="")),1,0)</f>
        <v>0</v>
      </c>
      <c r="X404" s="183" t="n">
        <f aca="false">IF(AND(OR($F404="Analogy",$F404="Assumed"),$G404&lt;&gt;"低",$G404&lt;&gt;"高",NOT(ISNUMBER($K404)),NOT(ISNUMBER($L404)),OR($M404="—",$M404="")),1,0)</f>
        <v>0</v>
      </c>
      <c r="Y404" s="183" t="n">
        <f aca="false">IF(AND(OR($F404="Analogy",$F404="Assumed",$F404="Derived（待改公式）",$F404="Derived（公式）"),OR($N404="—",$N404="",$N404=0)),1,0)</f>
        <v>0</v>
      </c>
      <c r="Z404" s="183" t="n">
        <f aca="false">IF(AND($F404="Decision",OR($J404="—",$J404="")),1,0)</f>
        <v>0</v>
      </c>
      <c r="AA404" s="180" t="n">
        <f aca="false">IF(OR($J404="—",$J404=""),0,IF(COUNTIF(Decisions!$A$5:$A$300,$J404)=0,1,0))</f>
        <v>0</v>
      </c>
      <c r="AB404" s="183" t="n">
        <f aca="false">IF(AND($F404="原始數據",$S404&lt;&gt;"Active"),1,0)</f>
        <v>0</v>
      </c>
      <c r="AC404" s="183" t="n">
        <f aca="false">IF(AND(ISNUMBER($K404),ISNUMBER($L404),ISNUMBER($Q404)),IF(OR($Q404&lt;MIN($K404,$L404),$Q404&gt;MAX($K404,$L404)),1,0),0)</f>
        <v>0</v>
      </c>
      <c r="AD404" s="183" t="n">
        <f aca="false">IF(AND(ISNUMBER($T404),$P404="高"),IF($T404=3,1,0),0)</f>
        <v>0</v>
      </c>
      <c r="AE404" s="183" t="n">
        <f aca="false">IF($S404="不存在",1,0)</f>
        <v>0</v>
      </c>
      <c r="AF404" s="34" t="str">
        <f aca="false">IF(OR($H404="—",$H404=""),"—",MATCH($H404,IDX_SrcID,0))</f>
        <v>—</v>
      </c>
    </row>
    <row r="405" customFormat="false" ht="15" hidden="false" customHeight="true" outlineLevel="0" collapsed="false">
      <c r="A405" s="35" t="s">
        <v>3639</v>
      </c>
      <c r="B405" s="209" t="s">
        <v>2677</v>
      </c>
      <c r="C405" s="35" t="s">
        <v>3620</v>
      </c>
      <c r="D405" s="35" t="s">
        <v>2582</v>
      </c>
      <c r="E405" s="6" t="s">
        <v>2335</v>
      </c>
      <c r="F405" s="35" t="s">
        <v>72</v>
      </c>
      <c r="G405" s="209" t="s">
        <v>1099</v>
      </c>
      <c r="H405" s="35" t="s">
        <v>571</v>
      </c>
      <c r="I405" s="6" t="s">
        <v>571</v>
      </c>
      <c r="J405" s="35" t="s">
        <v>571</v>
      </c>
      <c r="K405" s="209"/>
      <c r="L405" s="209"/>
      <c r="M405" s="35" t="s">
        <v>571</v>
      </c>
      <c r="N405" s="210" t="str">
        <f aca="false">NonNV!$L$7</f>
        <v>OpenAI v0.5 以 2GW Trainium 合約為輸入</v>
      </c>
      <c r="O405" s="6" t="s">
        <v>571</v>
      </c>
      <c r="P405" s="209" t="s">
        <v>2682</v>
      </c>
      <c r="Q405" s="172" t="n">
        <f aca="false">NonNV!E7</f>
        <v>0.6</v>
      </c>
      <c r="R405" s="35" t="s">
        <v>571</v>
      </c>
      <c r="S405" s="34" t="str">
        <f aca="false">IF(ISNUMBER($AF405),INDEX(IDX_SrcStat,$AF405),"—")</f>
        <v>—</v>
      </c>
      <c r="T405" s="34" t="str">
        <f aca="false">IF(ISNUMBER($AF405),INDEX(IDX_SrcGrade,$AF405),"—")</f>
        <v>—</v>
      </c>
      <c r="U405" s="34" t="s">
        <v>2683</v>
      </c>
      <c r="V405" s="183" t="n">
        <f aca="false">IF(AND($F405="原始數據",$U405&lt;&gt;"連結 SRC"),1,0)</f>
        <v>0</v>
      </c>
      <c r="W405" s="183" t="n">
        <f aca="false">IF(AND($F405="Analogy",OR($H405="—",$H405="")),1,0)</f>
        <v>0</v>
      </c>
      <c r="X405" s="183" t="n">
        <f aca="false">IF(AND(OR($F405="Analogy",$F405="Assumed"),$G405&lt;&gt;"低",$G405&lt;&gt;"高",NOT(ISNUMBER($K405)),NOT(ISNUMBER($L405)),OR($M405="—",$M405="")),1,0)</f>
        <v>0</v>
      </c>
      <c r="Y405" s="183" t="n">
        <f aca="false">IF(AND(OR($F405="Analogy",$F405="Assumed",$F405="Derived（待改公式）",$F405="Derived（公式）"),OR($N405="—",$N405="",$N405=0)),1,0)</f>
        <v>0</v>
      </c>
      <c r="Z405" s="183" t="n">
        <f aca="false">IF(AND($F405="Decision",OR($J405="—",$J405="")),1,0)</f>
        <v>0</v>
      </c>
      <c r="AA405" s="180" t="n">
        <f aca="false">IF(OR($J405="—",$J405=""),0,IF(COUNTIF(Decisions!$A$5:$A$300,$J405)=0,1,0))</f>
        <v>0</v>
      </c>
      <c r="AB405" s="183" t="n">
        <f aca="false">IF(AND($F405="原始數據",$S405&lt;&gt;"Active"),1,0)</f>
        <v>0</v>
      </c>
      <c r="AC405" s="183" t="n">
        <f aca="false">IF(AND(ISNUMBER($K405),ISNUMBER($L405),ISNUMBER($Q405)),IF(OR($Q405&lt;MIN($K405,$L405),$Q405&gt;MAX($K405,$L405)),1,0),0)</f>
        <v>0</v>
      </c>
      <c r="AD405" s="183" t="n">
        <f aca="false">IF(AND(ISNUMBER($T405),$P405="高"),IF($T405=3,1,0),0)</f>
        <v>0</v>
      </c>
      <c r="AE405" s="183" t="n">
        <f aca="false">IF($S405="不存在",1,0)</f>
        <v>0</v>
      </c>
      <c r="AF405" s="34" t="str">
        <f aca="false">IF(OR($H405="—",$H405=""),"—",MATCH($H405,IDX_SrcID,0))</f>
        <v>—</v>
      </c>
    </row>
    <row r="406" customFormat="false" ht="15" hidden="false" customHeight="true" outlineLevel="0" collapsed="false">
      <c r="A406" s="35" t="s">
        <v>3640</v>
      </c>
      <c r="B406" s="209" t="s">
        <v>2677</v>
      </c>
      <c r="C406" s="35" t="s">
        <v>3620</v>
      </c>
      <c r="D406" s="35" t="s">
        <v>3352</v>
      </c>
      <c r="E406" s="6" t="s">
        <v>2335</v>
      </c>
      <c r="F406" s="35" t="s">
        <v>72</v>
      </c>
      <c r="G406" s="209" t="s">
        <v>1100</v>
      </c>
      <c r="H406" s="35" t="s">
        <v>571</v>
      </c>
      <c r="I406" s="6" t="s">
        <v>571</v>
      </c>
      <c r="J406" s="35" t="s">
        <v>571</v>
      </c>
      <c r="K406" s="209"/>
      <c r="L406" s="209"/>
      <c r="M406" s="35" t="s">
        <v>571</v>
      </c>
      <c r="N406" s="210" t="str">
        <f aca="false">NonNV!$L$7</f>
        <v>OpenAI v0.5 以 2GW Trainium 合約為輸入</v>
      </c>
      <c r="O406" s="6" t="s">
        <v>571</v>
      </c>
      <c r="P406" s="209" t="s">
        <v>2682</v>
      </c>
      <c r="Q406" s="172" t="n">
        <f aca="false">NonNV!G7</f>
        <v>0.9</v>
      </c>
      <c r="R406" s="35" t="s">
        <v>571</v>
      </c>
      <c r="S406" s="34" t="str">
        <f aca="false">IF(ISNUMBER($AF406),INDEX(IDX_SrcStat,$AF406),"—")</f>
        <v>—</v>
      </c>
      <c r="T406" s="34" t="str">
        <f aca="false">IF(ISNUMBER($AF406),INDEX(IDX_SrcGrade,$AF406),"—")</f>
        <v>—</v>
      </c>
      <c r="U406" s="34" t="s">
        <v>2683</v>
      </c>
      <c r="V406" s="183" t="n">
        <f aca="false">IF(AND($F406="原始數據",$U406&lt;&gt;"連結 SRC"),1,0)</f>
        <v>0</v>
      </c>
      <c r="W406" s="183" t="n">
        <f aca="false">IF(AND($F406="Analogy",OR($H406="—",$H406="")),1,0)</f>
        <v>0</v>
      </c>
      <c r="X406" s="183" t="n">
        <f aca="false">IF(AND(OR($F406="Analogy",$F406="Assumed"),$G406&lt;&gt;"低",$G406&lt;&gt;"高",NOT(ISNUMBER($K406)),NOT(ISNUMBER($L406)),OR($M406="—",$M406="")),1,0)</f>
        <v>0</v>
      </c>
      <c r="Y406" s="183" t="n">
        <f aca="false">IF(AND(OR($F406="Analogy",$F406="Assumed",$F406="Derived（待改公式）",$F406="Derived（公式）"),OR($N406="—",$N406="",$N406=0)),1,0)</f>
        <v>0</v>
      </c>
      <c r="Z406" s="183" t="n">
        <f aca="false">IF(AND($F406="Decision",OR($J406="—",$J406="")),1,0)</f>
        <v>0</v>
      </c>
      <c r="AA406" s="180" t="n">
        <f aca="false">IF(OR($J406="—",$J406=""),0,IF(COUNTIF(Decisions!$A$5:$A$300,$J406)=0,1,0))</f>
        <v>0</v>
      </c>
      <c r="AB406" s="183" t="n">
        <f aca="false">IF(AND($F406="原始數據",$S406&lt;&gt;"Active"),1,0)</f>
        <v>0</v>
      </c>
      <c r="AC406" s="183" t="n">
        <f aca="false">IF(AND(ISNUMBER($K406),ISNUMBER($L406),ISNUMBER($Q406)),IF(OR($Q406&lt;MIN($K406,$L406),$Q406&gt;MAX($K406,$L406)),1,0),0)</f>
        <v>0</v>
      </c>
      <c r="AD406" s="183" t="n">
        <f aca="false">IF(AND(ISNUMBER($T406),$P406="高"),IF($T406=3,1,0),0)</f>
        <v>0</v>
      </c>
      <c r="AE406" s="183" t="n">
        <f aca="false">IF($S406="不存在",1,0)</f>
        <v>0</v>
      </c>
      <c r="AF406" s="34" t="str">
        <f aca="false">IF(OR($H406="—",$H406=""),"—",MATCH($H406,IDX_SrcID,0))</f>
        <v>—</v>
      </c>
    </row>
    <row r="407" customFormat="false" ht="29.25" hidden="false" customHeight="true" outlineLevel="0" collapsed="false">
      <c r="A407" s="35" t="s">
        <v>3641</v>
      </c>
      <c r="B407" s="209" t="s">
        <v>2677</v>
      </c>
      <c r="C407" s="35" t="s">
        <v>3620</v>
      </c>
      <c r="D407" s="35" t="s">
        <v>2849</v>
      </c>
      <c r="E407" s="6" t="s">
        <v>2337</v>
      </c>
      <c r="F407" s="35" t="s">
        <v>72</v>
      </c>
      <c r="G407" s="209" t="s">
        <v>57</v>
      </c>
      <c r="H407" s="35" t="s">
        <v>571</v>
      </c>
      <c r="I407" s="6" t="s">
        <v>571</v>
      </c>
      <c r="J407" s="35" t="s">
        <v>571</v>
      </c>
      <c r="K407" s="172" t="n">
        <f aca="false">NonNV!B8</f>
        <v>0.2</v>
      </c>
      <c r="L407" s="172" t="n">
        <f aca="false">NonNV!D8</f>
        <v>0.8</v>
      </c>
      <c r="M407" s="35" t="s">
        <v>571</v>
      </c>
      <c r="N407" s="210" t="str">
        <f aca="false">NonNV!$L$8</f>
        <v>高互動性利基；每 GW 吞吐低、單用戶速度高</v>
      </c>
      <c r="O407" s="6" t="s">
        <v>571</v>
      </c>
      <c r="P407" s="209" t="s">
        <v>2682</v>
      </c>
      <c r="Q407" s="172" t="n">
        <f aca="false">NonNV!C8</f>
        <v>0.4</v>
      </c>
      <c r="R407" s="35" t="s">
        <v>571</v>
      </c>
      <c r="S407" s="34" t="str">
        <f aca="false">IF(ISNUMBER($AF407),INDEX(IDX_SrcStat,$AF407),"—")</f>
        <v>—</v>
      </c>
      <c r="T407" s="34" t="str">
        <f aca="false">IF(ISNUMBER($AF407),INDEX(IDX_SrcGrade,$AF407),"—")</f>
        <v>—</v>
      </c>
      <c r="U407" s="34" t="s">
        <v>2683</v>
      </c>
      <c r="V407" s="183" t="n">
        <f aca="false">IF(AND($F407="原始數據",$U407&lt;&gt;"連結 SRC"),1,0)</f>
        <v>0</v>
      </c>
      <c r="W407" s="183" t="n">
        <f aca="false">IF(AND($F407="Analogy",OR($H407="—",$H407="")),1,0)</f>
        <v>0</v>
      </c>
      <c r="X407" s="183" t="n">
        <f aca="false">IF(AND(OR($F407="Analogy",$F407="Assumed"),$G407&lt;&gt;"低",$G407&lt;&gt;"高",NOT(ISNUMBER($K407)),NOT(ISNUMBER($L407)),OR($M407="—",$M407="")),1,0)</f>
        <v>0</v>
      </c>
      <c r="Y407" s="183" t="n">
        <f aca="false">IF(AND(OR($F407="Analogy",$F407="Assumed",$F407="Derived（待改公式）",$F407="Derived（公式）"),OR($N407="—",$N407="",$N407=0)),1,0)</f>
        <v>0</v>
      </c>
      <c r="Z407" s="183" t="n">
        <f aca="false">IF(AND($F407="Decision",OR($J407="—",$J407="")),1,0)</f>
        <v>0</v>
      </c>
      <c r="AA407" s="180" t="n">
        <f aca="false">IF(OR($J407="—",$J407=""),0,IF(COUNTIF(Decisions!$A$5:$A$300,$J407)=0,1,0))</f>
        <v>0</v>
      </c>
      <c r="AB407" s="183" t="n">
        <f aca="false">IF(AND($F407="原始數據",$S407&lt;&gt;"Active"),1,0)</f>
        <v>0</v>
      </c>
      <c r="AC407" s="183" t="n">
        <f aca="false">IF(AND(ISNUMBER($K407),ISNUMBER($L407),ISNUMBER($Q407)),IF(OR($Q407&lt;MIN($K407,$L407),$Q407&gt;MAX($K407,$L407)),1,0),0)</f>
        <v>0</v>
      </c>
      <c r="AD407" s="183" t="n">
        <f aca="false">IF(AND(ISNUMBER($T407),$P407="高"),IF($T407=3,1,0),0)</f>
        <v>0</v>
      </c>
      <c r="AE407" s="183" t="n">
        <f aca="false">IF($S407="不存在",1,0)</f>
        <v>0</v>
      </c>
      <c r="AF407" s="34" t="str">
        <f aca="false">IF(OR($H407="—",$H407=""),"—",MATCH($H407,IDX_SrcID,0))</f>
        <v>—</v>
      </c>
    </row>
    <row r="408" customFormat="false" ht="29.25" hidden="false" customHeight="true" outlineLevel="0" collapsed="false">
      <c r="A408" s="35" t="s">
        <v>3642</v>
      </c>
      <c r="B408" s="209" t="s">
        <v>2677</v>
      </c>
      <c r="C408" s="35" t="s">
        <v>3620</v>
      </c>
      <c r="D408" s="35" t="s">
        <v>2857</v>
      </c>
      <c r="E408" s="6" t="s">
        <v>2337</v>
      </c>
      <c r="F408" s="35" t="s">
        <v>72</v>
      </c>
      <c r="G408" s="209" t="s">
        <v>57</v>
      </c>
      <c r="H408" s="35" t="s">
        <v>571</v>
      </c>
      <c r="I408" s="6" t="s">
        <v>571</v>
      </c>
      <c r="J408" s="35" t="s">
        <v>571</v>
      </c>
      <c r="K408" s="172" t="n">
        <f aca="false">NonNV!E8</f>
        <v>0.8</v>
      </c>
      <c r="L408" s="172" t="n">
        <f aca="false">NonNV!G8</f>
        <v>1.2</v>
      </c>
      <c r="M408" s="35" t="s">
        <v>571</v>
      </c>
      <c r="N408" s="210" t="str">
        <f aca="false">NonNV!$L$8</f>
        <v>高互動性利基；每 GW 吞吐低、單用戶速度高</v>
      </c>
      <c r="O408" s="6" t="s">
        <v>571</v>
      </c>
      <c r="P408" s="209" t="s">
        <v>2682</v>
      </c>
      <c r="Q408" s="172" t="n">
        <f aca="false">NonNV!F8</f>
        <v>1</v>
      </c>
      <c r="R408" s="35" t="s">
        <v>571</v>
      </c>
      <c r="S408" s="34" t="str">
        <f aca="false">IF(ISNUMBER($AF408),INDEX(IDX_SrcStat,$AF408),"—")</f>
        <v>—</v>
      </c>
      <c r="T408" s="34" t="str">
        <f aca="false">IF(ISNUMBER($AF408),INDEX(IDX_SrcGrade,$AF408),"—")</f>
        <v>—</v>
      </c>
      <c r="U408" s="34" t="s">
        <v>2683</v>
      </c>
      <c r="V408" s="183" t="n">
        <f aca="false">IF(AND($F408="原始數據",$U408&lt;&gt;"連結 SRC"),1,0)</f>
        <v>0</v>
      </c>
      <c r="W408" s="183" t="n">
        <f aca="false">IF(AND($F408="Analogy",OR($H408="—",$H408="")),1,0)</f>
        <v>0</v>
      </c>
      <c r="X408" s="183" t="n">
        <f aca="false">IF(AND(OR($F408="Analogy",$F408="Assumed"),$G408&lt;&gt;"低",$G408&lt;&gt;"高",NOT(ISNUMBER($K408)),NOT(ISNUMBER($L408)),OR($M408="—",$M408="")),1,0)</f>
        <v>0</v>
      </c>
      <c r="Y408" s="183" t="n">
        <f aca="false">IF(AND(OR($F408="Analogy",$F408="Assumed",$F408="Derived（待改公式）",$F408="Derived（公式）"),OR($N408="—",$N408="",$N408=0)),1,0)</f>
        <v>0</v>
      </c>
      <c r="Z408" s="183" t="n">
        <f aca="false">IF(AND($F408="Decision",OR($J408="—",$J408="")),1,0)</f>
        <v>0</v>
      </c>
      <c r="AA408" s="180" t="n">
        <f aca="false">IF(OR($J408="—",$J408=""),0,IF(COUNTIF(Decisions!$A$5:$A$300,$J408)=0,1,0))</f>
        <v>0</v>
      </c>
      <c r="AB408" s="183" t="n">
        <f aca="false">IF(AND($F408="原始數據",$S408&lt;&gt;"Active"),1,0)</f>
        <v>0</v>
      </c>
      <c r="AC408" s="183" t="n">
        <f aca="false">IF(AND(ISNUMBER($K408),ISNUMBER($L408),ISNUMBER($Q408)),IF(OR($Q408&lt;MIN($K408,$L408),$Q408&gt;MAX($K408,$L408)),1,0),0)</f>
        <v>0</v>
      </c>
      <c r="AD408" s="183" t="n">
        <f aca="false">IF(AND(ISNUMBER($T408),$P408="高"),IF($T408=3,1,0),0)</f>
        <v>0</v>
      </c>
      <c r="AE408" s="183" t="n">
        <f aca="false">IF($S408="不存在",1,0)</f>
        <v>0</v>
      </c>
      <c r="AF408" s="34" t="str">
        <f aca="false">IF(OR($H408="—",$H408=""),"—",MATCH($H408,IDX_SrcID,0))</f>
        <v>—</v>
      </c>
    </row>
    <row r="409" customFormat="false" ht="29.25" hidden="false" customHeight="true" outlineLevel="0" collapsed="false">
      <c r="A409" s="35" t="s">
        <v>3643</v>
      </c>
      <c r="B409" s="209" t="s">
        <v>2677</v>
      </c>
      <c r="C409" s="35" t="s">
        <v>3620</v>
      </c>
      <c r="D409" s="35" t="s">
        <v>3644</v>
      </c>
      <c r="E409" s="6" t="s">
        <v>2337</v>
      </c>
      <c r="F409" s="35" t="s">
        <v>72</v>
      </c>
      <c r="G409" s="209" t="s">
        <v>1099</v>
      </c>
      <c r="H409" s="35" t="s">
        <v>571</v>
      </c>
      <c r="I409" s="6" t="s">
        <v>571</v>
      </c>
      <c r="J409" s="35" t="s">
        <v>571</v>
      </c>
      <c r="K409" s="209"/>
      <c r="L409" s="209"/>
      <c r="M409" s="35" t="s">
        <v>571</v>
      </c>
      <c r="N409" s="210" t="str">
        <f aca="false">NonNV!$L$8</f>
        <v>高互動性利基；每 GW 吞吐低、單用戶速度高</v>
      </c>
      <c r="O409" s="6" t="s">
        <v>571</v>
      </c>
      <c r="P409" s="209" t="s">
        <v>2682</v>
      </c>
      <c r="Q409" s="172" t="n">
        <f aca="false">NonNV!B8</f>
        <v>0.2</v>
      </c>
      <c r="R409" s="35" t="s">
        <v>571</v>
      </c>
      <c r="S409" s="34" t="str">
        <f aca="false">IF(ISNUMBER($AF409),INDEX(IDX_SrcStat,$AF409),"—")</f>
        <v>—</v>
      </c>
      <c r="T409" s="34" t="str">
        <f aca="false">IF(ISNUMBER($AF409),INDEX(IDX_SrcGrade,$AF409),"—")</f>
        <v>—</v>
      </c>
      <c r="U409" s="34" t="s">
        <v>2683</v>
      </c>
      <c r="V409" s="183" t="n">
        <f aca="false">IF(AND($F409="原始數據",$U409&lt;&gt;"連結 SRC"),1,0)</f>
        <v>0</v>
      </c>
      <c r="W409" s="183" t="n">
        <f aca="false">IF(AND($F409="Analogy",OR($H409="—",$H409="")),1,0)</f>
        <v>0</v>
      </c>
      <c r="X409" s="183" t="n">
        <f aca="false">IF(AND(OR($F409="Analogy",$F409="Assumed"),$G409&lt;&gt;"低",$G409&lt;&gt;"高",NOT(ISNUMBER($K409)),NOT(ISNUMBER($L409)),OR($M409="—",$M409="")),1,0)</f>
        <v>0</v>
      </c>
      <c r="Y409" s="183" t="n">
        <f aca="false">IF(AND(OR($F409="Analogy",$F409="Assumed",$F409="Derived（待改公式）",$F409="Derived（公式）"),OR($N409="—",$N409="",$N409=0)),1,0)</f>
        <v>0</v>
      </c>
      <c r="Z409" s="183" t="n">
        <f aca="false">IF(AND($F409="Decision",OR($J409="—",$J409="")),1,0)</f>
        <v>0</v>
      </c>
      <c r="AA409" s="180" t="n">
        <f aca="false">IF(OR($J409="—",$J409=""),0,IF(COUNTIF(Decisions!$A$5:$A$300,$J409)=0,1,0))</f>
        <v>0</v>
      </c>
      <c r="AB409" s="183" t="n">
        <f aca="false">IF(AND($F409="原始數據",$S409&lt;&gt;"Active"),1,0)</f>
        <v>0</v>
      </c>
      <c r="AC409" s="183" t="n">
        <f aca="false">IF(AND(ISNUMBER($K409),ISNUMBER($L409),ISNUMBER($Q409)),IF(OR($Q409&lt;MIN($K409,$L409),$Q409&gt;MAX($K409,$L409)),1,0),0)</f>
        <v>0</v>
      </c>
      <c r="AD409" s="183" t="n">
        <f aca="false">IF(AND(ISNUMBER($T409),$P409="高"),IF($T409=3,1,0),0)</f>
        <v>0</v>
      </c>
      <c r="AE409" s="183" t="n">
        <f aca="false">IF($S409="不存在",1,0)</f>
        <v>0</v>
      </c>
      <c r="AF409" s="34" t="str">
        <f aca="false">IF(OR($H409="—",$H409=""),"—",MATCH($H409,IDX_SrcID,0))</f>
        <v>—</v>
      </c>
    </row>
    <row r="410" customFormat="false" ht="29.25" hidden="false" customHeight="true" outlineLevel="0" collapsed="false">
      <c r="A410" s="35" t="s">
        <v>3645</v>
      </c>
      <c r="B410" s="209" t="s">
        <v>2677</v>
      </c>
      <c r="C410" s="35" t="s">
        <v>3620</v>
      </c>
      <c r="D410" s="35" t="s">
        <v>2852</v>
      </c>
      <c r="E410" s="6" t="s">
        <v>2337</v>
      </c>
      <c r="F410" s="35" t="s">
        <v>72</v>
      </c>
      <c r="G410" s="209" t="s">
        <v>1100</v>
      </c>
      <c r="H410" s="35" t="s">
        <v>571</v>
      </c>
      <c r="I410" s="6" t="s">
        <v>571</v>
      </c>
      <c r="J410" s="35" t="s">
        <v>571</v>
      </c>
      <c r="K410" s="209"/>
      <c r="L410" s="209"/>
      <c r="M410" s="35" t="s">
        <v>571</v>
      </c>
      <c r="N410" s="210" t="str">
        <f aca="false">NonNV!$L$8</f>
        <v>高互動性利基；每 GW 吞吐低、單用戶速度高</v>
      </c>
      <c r="O410" s="6" t="s">
        <v>571</v>
      </c>
      <c r="P410" s="209" t="s">
        <v>2682</v>
      </c>
      <c r="Q410" s="172" t="n">
        <f aca="false">NonNV!D8</f>
        <v>0.8</v>
      </c>
      <c r="R410" s="35" t="s">
        <v>571</v>
      </c>
      <c r="S410" s="34" t="str">
        <f aca="false">IF(ISNUMBER($AF410),INDEX(IDX_SrcStat,$AF410),"—")</f>
        <v>—</v>
      </c>
      <c r="T410" s="34" t="str">
        <f aca="false">IF(ISNUMBER($AF410),INDEX(IDX_SrcGrade,$AF410),"—")</f>
        <v>—</v>
      </c>
      <c r="U410" s="34" t="s">
        <v>2683</v>
      </c>
      <c r="V410" s="183" t="n">
        <f aca="false">IF(AND($F410="原始數據",$U410&lt;&gt;"連結 SRC"),1,0)</f>
        <v>0</v>
      </c>
      <c r="W410" s="183" t="n">
        <f aca="false">IF(AND($F410="Analogy",OR($H410="—",$H410="")),1,0)</f>
        <v>0</v>
      </c>
      <c r="X410" s="183" t="n">
        <f aca="false">IF(AND(OR($F410="Analogy",$F410="Assumed"),$G410&lt;&gt;"低",$G410&lt;&gt;"高",NOT(ISNUMBER($K410)),NOT(ISNUMBER($L410)),OR($M410="—",$M410="")),1,0)</f>
        <v>0</v>
      </c>
      <c r="Y410" s="183" t="n">
        <f aca="false">IF(AND(OR($F410="Analogy",$F410="Assumed",$F410="Derived（待改公式）",$F410="Derived（公式）"),OR($N410="—",$N410="",$N410=0)),1,0)</f>
        <v>0</v>
      </c>
      <c r="Z410" s="183" t="n">
        <f aca="false">IF(AND($F410="Decision",OR($J410="—",$J410="")),1,0)</f>
        <v>0</v>
      </c>
      <c r="AA410" s="180" t="n">
        <f aca="false">IF(OR($J410="—",$J410=""),0,IF(COUNTIF(Decisions!$A$5:$A$300,$J410)=0,1,0))</f>
        <v>0</v>
      </c>
      <c r="AB410" s="183" t="n">
        <f aca="false">IF(AND($F410="原始數據",$S410&lt;&gt;"Active"),1,0)</f>
        <v>0</v>
      </c>
      <c r="AC410" s="183" t="n">
        <f aca="false">IF(AND(ISNUMBER($K410),ISNUMBER($L410),ISNUMBER($Q410)),IF(OR($Q410&lt;MIN($K410,$L410),$Q410&gt;MAX($K410,$L410)),1,0),0)</f>
        <v>0</v>
      </c>
      <c r="AD410" s="183" t="n">
        <f aca="false">IF(AND(ISNUMBER($T410),$P410="高"),IF($T410=3,1,0),0)</f>
        <v>0</v>
      </c>
      <c r="AE410" s="183" t="n">
        <f aca="false">IF($S410="不存在",1,0)</f>
        <v>0</v>
      </c>
      <c r="AF410" s="34" t="str">
        <f aca="false">IF(OR($H410="—",$H410=""),"—",MATCH($H410,IDX_SrcID,0))</f>
        <v>—</v>
      </c>
    </row>
    <row r="411" customFormat="false" ht="29.25" hidden="false" customHeight="true" outlineLevel="0" collapsed="false">
      <c r="A411" s="35" t="s">
        <v>3646</v>
      </c>
      <c r="B411" s="209" t="s">
        <v>2677</v>
      </c>
      <c r="C411" s="35" t="s">
        <v>3620</v>
      </c>
      <c r="D411" s="35" t="s">
        <v>2585</v>
      </c>
      <c r="E411" s="6" t="s">
        <v>2337</v>
      </c>
      <c r="F411" s="35" t="s">
        <v>72</v>
      </c>
      <c r="G411" s="209" t="s">
        <v>1099</v>
      </c>
      <c r="H411" s="35" t="s">
        <v>571</v>
      </c>
      <c r="I411" s="6" t="s">
        <v>571</v>
      </c>
      <c r="J411" s="35" t="s">
        <v>571</v>
      </c>
      <c r="K411" s="209"/>
      <c r="L411" s="209"/>
      <c r="M411" s="35" t="s">
        <v>571</v>
      </c>
      <c r="N411" s="210" t="str">
        <f aca="false">NonNV!$L$8</f>
        <v>高互動性利基；每 GW 吞吐低、單用戶速度高</v>
      </c>
      <c r="O411" s="6" t="s">
        <v>571</v>
      </c>
      <c r="P411" s="209" t="s">
        <v>2682</v>
      </c>
      <c r="Q411" s="172" t="n">
        <f aca="false">NonNV!E8</f>
        <v>0.8</v>
      </c>
      <c r="R411" s="35" t="s">
        <v>571</v>
      </c>
      <c r="S411" s="34" t="str">
        <f aca="false">IF(ISNUMBER($AF411),INDEX(IDX_SrcStat,$AF411),"—")</f>
        <v>—</v>
      </c>
      <c r="T411" s="34" t="str">
        <f aca="false">IF(ISNUMBER($AF411),INDEX(IDX_SrcGrade,$AF411),"—")</f>
        <v>—</v>
      </c>
      <c r="U411" s="34" t="s">
        <v>2683</v>
      </c>
      <c r="V411" s="183" t="n">
        <f aca="false">IF(AND($F411="原始數據",$U411&lt;&gt;"連結 SRC"),1,0)</f>
        <v>0</v>
      </c>
      <c r="W411" s="183" t="n">
        <f aca="false">IF(AND($F411="Analogy",OR($H411="—",$H411="")),1,0)</f>
        <v>0</v>
      </c>
      <c r="X411" s="183" t="n">
        <f aca="false">IF(AND(OR($F411="Analogy",$F411="Assumed"),$G411&lt;&gt;"低",$G411&lt;&gt;"高",NOT(ISNUMBER($K411)),NOT(ISNUMBER($L411)),OR($M411="—",$M411="")),1,0)</f>
        <v>0</v>
      </c>
      <c r="Y411" s="183" t="n">
        <f aca="false">IF(AND(OR($F411="Analogy",$F411="Assumed",$F411="Derived（待改公式）",$F411="Derived（公式）"),OR($N411="—",$N411="",$N411=0)),1,0)</f>
        <v>0</v>
      </c>
      <c r="Z411" s="183" t="n">
        <f aca="false">IF(AND($F411="Decision",OR($J411="—",$J411="")),1,0)</f>
        <v>0</v>
      </c>
      <c r="AA411" s="180" t="n">
        <f aca="false">IF(OR($J411="—",$J411=""),0,IF(COUNTIF(Decisions!$A$5:$A$300,$J411)=0,1,0))</f>
        <v>0</v>
      </c>
      <c r="AB411" s="183" t="n">
        <f aca="false">IF(AND($F411="原始數據",$S411&lt;&gt;"Active"),1,0)</f>
        <v>0</v>
      </c>
      <c r="AC411" s="183" t="n">
        <f aca="false">IF(AND(ISNUMBER($K411),ISNUMBER($L411),ISNUMBER($Q411)),IF(OR($Q411&lt;MIN($K411,$L411),$Q411&gt;MAX($K411,$L411)),1,0),0)</f>
        <v>0</v>
      </c>
      <c r="AD411" s="183" t="n">
        <f aca="false">IF(AND(ISNUMBER($T411),$P411="高"),IF($T411=3,1,0),0)</f>
        <v>0</v>
      </c>
      <c r="AE411" s="183" t="n">
        <f aca="false">IF($S411="不存在",1,0)</f>
        <v>0</v>
      </c>
      <c r="AF411" s="34" t="str">
        <f aca="false">IF(OR($H411="—",$H411=""),"—",MATCH($H411,IDX_SrcID,0))</f>
        <v>—</v>
      </c>
    </row>
    <row r="412" customFormat="false" ht="29.25" hidden="false" customHeight="true" outlineLevel="0" collapsed="false">
      <c r="A412" s="35" t="s">
        <v>3647</v>
      </c>
      <c r="B412" s="209" t="s">
        <v>2677</v>
      </c>
      <c r="C412" s="35" t="s">
        <v>3620</v>
      </c>
      <c r="D412" s="35" t="s">
        <v>2860</v>
      </c>
      <c r="E412" s="6" t="s">
        <v>2337</v>
      </c>
      <c r="F412" s="35" t="s">
        <v>72</v>
      </c>
      <c r="G412" s="209" t="s">
        <v>1100</v>
      </c>
      <c r="H412" s="35" t="s">
        <v>571</v>
      </c>
      <c r="I412" s="6" t="s">
        <v>571</v>
      </c>
      <c r="J412" s="35" t="s">
        <v>571</v>
      </c>
      <c r="K412" s="209"/>
      <c r="L412" s="209"/>
      <c r="M412" s="35" t="s">
        <v>571</v>
      </c>
      <c r="N412" s="210" t="str">
        <f aca="false">NonNV!$L$8</f>
        <v>高互動性利基；每 GW 吞吐低、單用戶速度高</v>
      </c>
      <c r="O412" s="6" t="s">
        <v>571</v>
      </c>
      <c r="P412" s="209" t="s">
        <v>2682</v>
      </c>
      <c r="Q412" s="172" t="n">
        <f aca="false">NonNV!G8</f>
        <v>1.2</v>
      </c>
      <c r="R412" s="35" t="s">
        <v>571</v>
      </c>
      <c r="S412" s="34" t="str">
        <f aca="false">IF(ISNUMBER($AF412),INDEX(IDX_SrcStat,$AF412),"—")</f>
        <v>—</v>
      </c>
      <c r="T412" s="34" t="str">
        <f aca="false">IF(ISNUMBER($AF412),INDEX(IDX_SrcGrade,$AF412),"—")</f>
        <v>—</v>
      </c>
      <c r="U412" s="34" t="s">
        <v>2683</v>
      </c>
      <c r="V412" s="183" t="n">
        <f aca="false">IF(AND($F412="原始數據",$U412&lt;&gt;"連結 SRC"),1,0)</f>
        <v>0</v>
      </c>
      <c r="W412" s="183" t="n">
        <f aca="false">IF(AND($F412="Analogy",OR($H412="—",$H412="")),1,0)</f>
        <v>0</v>
      </c>
      <c r="X412" s="183" t="n">
        <f aca="false">IF(AND(OR($F412="Analogy",$F412="Assumed"),$G412&lt;&gt;"低",$G412&lt;&gt;"高",NOT(ISNUMBER($K412)),NOT(ISNUMBER($L412)),OR($M412="—",$M412="")),1,0)</f>
        <v>0</v>
      </c>
      <c r="Y412" s="183" t="n">
        <f aca="false">IF(AND(OR($F412="Analogy",$F412="Assumed",$F412="Derived（待改公式）",$F412="Derived（公式）"),OR($N412="—",$N412="",$N412=0)),1,0)</f>
        <v>0</v>
      </c>
      <c r="Z412" s="183" t="n">
        <f aca="false">IF(AND($F412="Decision",OR($J412="—",$J412="")),1,0)</f>
        <v>0</v>
      </c>
      <c r="AA412" s="180" t="n">
        <f aca="false">IF(OR($J412="—",$J412=""),0,IF(COUNTIF(Decisions!$A$5:$A$300,$J412)=0,1,0))</f>
        <v>0</v>
      </c>
      <c r="AB412" s="183" t="n">
        <f aca="false">IF(AND($F412="原始數據",$S412&lt;&gt;"Active"),1,0)</f>
        <v>0</v>
      </c>
      <c r="AC412" s="183" t="n">
        <f aca="false">IF(AND(ISNUMBER($K412),ISNUMBER($L412),ISNUMBER($Q412)),IF(OR($Q412&lt;MIN($K412,$L412),$Q412&gt;MAX($K412,$L412)),1,0),0)</f>
        <v>0</v>
      </c>
      <c r="AD412" s="183" t="n">
        <f aca="false">IF(AND(ISNUMBER($T412),$P412="高"),IF($T412=3,1,0),0)</f>
        <v>0</v>
      </c>
      <c r="AE412" s="183" t="n">
        <f aca="false">IF($S412="不存在",1,0)</f>
        <v>0</v>
      </c>
      <c r="AF412" s="34" t="str">
        <f aca="false">IF(OR($H412="—",$H412=""),"—",MATCH($H412,IDX_SrcID,0))</f>
        <v>—</v>
      </c>
    </row>
    <row r="413" customFormat="false" ht="29.25" hidden="false" customHeight="true" outlineLevel="0" collapsed="false">
      <c r="A413" s="35" t="s">
        <v>3648</v>
      </c>
      <c r="B413" s="209" t="s">
        <v>2677</v>
      </c>
      <c r="C413" s="35" t="s">
        <v>3620</v>
      </c>
      <c r="D413" s="35" t="s">
        <v>2863</v>
      </c>
      <c r="E413" s="6" t="s">
        <v>2339</v>
      </c>
      <c r="F413" s="35" t="s">
        <v>72</v>
      </c>
      <c r="G413" s="209" t="s">
        <v>57</v>
      </c>
      <c r="H413" s="35" t="s">
        <v>571</v>
      </c>
      <c r="I413" s="6" t="s">
        <v>571</v>
      </c>
      <c r="J413" s="35" t="s">
        <v>571</v>
      </c>
      <c r="K413" s="172" t="n">
        <f aca="false">NonNV!B9</f>
        <v>0.4</v>
      </c>
      <c r="L413" s="172" t="n">
        <f aca="false">NonNV!D9</f>
        <v>0.9</v>
      </c>
      <c r="M413" s="35" t="s">
        <v>571</v>
      </c>
      <c r="N413" s="210" t="str">
        <f aca="false">NonNV!$L$9</f>
        <v>無公開規格；沿用 v0.5「自研／其他 0.6（0.4–1.0）」</v>
      </c>
      <c r="O413" s="6" t="s">
        <v>571</v>
      </c>
      <c r="P413" s="209" t="s">
        <v>2682</v>
      </c>
      <c r="Q413" s="172" t="n">
        <f aca="false">NonNV!C9</f>
        <v>0.6</v>
      </c>
      <c r="R413" s="35" t="s">
        <v>571</v>
      </c>
      <c r="S413" s="34" t="str">
        <f aca="false">IF(ISNUMBER($AF413),INDEX(IDX_SrcStat,$AF413),"—")</f>
        <v>—</v>
      </c>
      <c r="T413" s="34" t="str">
        <f aca="false">IF(ISNUMBER($AF413),INDEX(IDX_SrcGrade,$AF413),"—")</f>
        <v>—</v>
      </c>
      <c r="U413" s="34" t="s">
        <v>2683</v>
      </c>
      <c r="V413" s="183" t="n">
        <f aca="false">IF(AND($F413="原始數據",$U413&lt;&gt;"連結 SRC"),1,0)</f>
        <v>0</v>
      </c>
      <c r="W413" s="183" t="n">
        <f aca="false">IF(AND($F413="Analogy",OR($H413="—",$H413="")),1,0)</f>
        <v>0</v>
      </c>
      <c r="X413" s="183" t="n">
        <f aca="false">IF(AND(OR($F413="Analogy",$F413="Assumed"),$G413&lt;&gt;"低",$G413&lt;&gt;"高",NOT(ISNUMBER($K413)),NOT(ISNUMBER($L413)),OR($M413="—",$M413="")),1,0)</f>
        <v>0</v>
      </c>
      <c r="Y413" s="183" t="n">
        <f aca="false">IF(AND(OR($F413="Analogy",$F413="Assumed",$F413="Derived（待改公式）",$F413="Derived（公式）"),OR($N413="—",$N413="",$N413=0)),1,0)</f>
        <v>0</v>
      </c>
      <c r="Z413" s="183" t="n">
        <f aca="false">IF(AND($F413="Decision",OR($J413="—",$J413="")),1,0)</f>
        <v>0</v>
      </c>
      <c r="AA413" s="180" t="n">
        <f aca="false">IF(OR($J413="—",$J413=""),0,IF(COUNTIF(Decisions!$A$5:$A$300,$J413)=0,1,0))</f>
        <v>0</v>
      </c>
      <c r="AB413" s="183" t="n">
        <f aca="false">IF(AND($F413="原始數據",$S413&lt;&gt;"Active"),1,0)</f>
        <v>0</v>
      </c>
      <c r="AC413" s="183" t="n">
        <f aca="false">IF(AND(ISNUMBER($K413),ISNUMBER($L413),ISNUMBER($Q413)),IF(OR($Q413&lt;MIN($K413,$L413),$Q413&gt;MAX($K413,$L413)),1,0),0)</f>
        <v>0</v>
      </c>
      <c r="AD413" s="183" t="n">
        <f aca="false">IF(AND(ISNUMBER($T413),$P413="高"),IF($T413=3,1,0),0)</f>
        <v>0</v>
      </c>
      <c r="AE413" s="183" t="n">
        <f aca="false">IF($S413="不存在",1,0)</f>
        <v>0</v>
      </c>
      <c r="AF413" s="34" t="str">
        <f aca="false">IF(OR($H413="—",$H413=""),"—",MATCH($H413,IDX_SrcID,0))</f>
        <v>—</v>
      </c>
    </row>
    <row r="414" customFormat="false" ht="29.25" hidden="false" customHeight="true" outlineLevel="0" collapsed="false">
      <c r="A414" s="35" t="s">
        <v>3649</v>
      </c>
      <c r="B414" s="209" t="s">
        <v>2677</v>
      </c>
      <c r="C414" s="35" t="s">
        <v>3620</v>
      </c>
      <c r="D414" s="35" t="s">
        <v>2694</v>
      </c>
      <c r="E414" s="6" t="s">
        <v>2339</v>
      </c>
      <c r="F414" s="35" t="s">
        <v>72</v>
      </c>
      <c r="G414" s="209" t="s">
        <v>57</v>
      </c>
      <c r="H414" s="35" t="s">
        <v>571</v>
      </c>
      <c r="I414" s="6" t="s">
        <v>571</v>
      </c>
      <c r="J414" s="35" t="s">
        <v>571</v>
      </c>
      <c r="K414" s="172" t="n">
        <f aca="false">NonNV!E9</f>
        <v>0.7</v>
      </c>
      <c r="L414" s="172" t="n">
        <f aca="false">NonNV!G9</f>
        <v>1</v>
      </c>
      <c r="M414" s="35" t="s">
        <v>571</v>
      </c>
      <c r="N414" s="210" t="str">
        <f aca="false">NonNV!$L$9</f>
        <v>無公開規格；沿用 v0.5「自研／其他 0.6（0.4–1.0）」</v>
      </c>
      <c r="O414" s="6" t="s">
        <v>571</v>
      </c>
      <c r="P414" s="209" t="s">
        <v>2682</v>
      </c>
      <c r="Q414" s="172" t="n">
        <f aca="false">NonNV!F9</f>
        <v>0.8</v>
      </c>
      <c r="R414" s="35" t="s">
        <v>571</v>
      </c>
      <c r="S414" s="34" t="str">
        <f aca="false">IF(ISNUMBER($AF414),INDEX(IDX_SrcStat,$AF414),"—")</f>
        <v>—</v>
      </c>
      <c r="T414" s="34" t="str">
        <f aca="false">IF(ISNUMBER($AF414),INDEX(IDX_SrcGrade,$AF414),"—")</f>
        <v>—</v>
      </c>
      <c r="U414" s="34" t="s">
        <v>2683</v>
      </c>
      <c r="V414" s="183" t="n">
        <f aca="false">IF(AND($F414="原始數據",$U414&lt;&gt;"連結 SRC"),1,0)</f>
        <v>0</v>
      </c>
      <c r="W414" s="183" t="n">
        <f aca="false">IF(AND($F414="Analogy",OR($H414="—",$H414="")),1,0)</f>
        <v>0</v>
      </c>
      <c r="X414" s="183" t="n">
        <f aca="false">IF(AND(OR($F414="Analogy",$F414="Assumed"),$G414&lt;&gt;"低",$G414&lt;&gt;"高",NOT(ISNUMBER($K414)),NOT(ISNUMBER($L414)),OR($M414="—",$M414="")),1,0)</f>
        <v>0</v>
      </c>
      <c r="Y414" s="183" t="n">
        <f aca="false">IF(AND(OR($F414="Analogy",$F414="Assumed",$F414="Derived（待改公式）",$F414="Derived（公式）"),OR($N414="—",$N414="",$N414=0)),1,0)</f>
        <v>0</v>
      </c>
      <c r="Z414" s="183" t="n">
        <f aca="false">IF(AND($F414="Decision",OR($J414="—",$J414="")),1,0)</f>
        <v>0</v>
      </c>
      <c r="AA414" s="180" t="n">
        <f aca="false">IF(OR($J414="—",$J414=""),0,IF(COUNTIF(Decisions!$A$5:$A$300,$J414)=0,1,0))</f>
        <v>0</v>
      </c>
      <c r="AB414" s="183" t="n">
        <f aca="false">IF(AND($F414="原始數據",$S414&lt;&gt;"Active"),1,0)</f>
        <v>0</v>
      </c>
      <c r="AC414" s="183" t="n">
        <f aca="false">IF(AND(ISNUMBER($K414),ISNUMBER($L414),ISNUMBER($Q414)),IF(OR($Q414&lt;MIN($K414,$L414),$Q414&gt;MAX($K414,$L414)),1,0),0)</f>
        <v>0</v>
      </c>
      <c r="AD414" s="183" t="n">
        <f aca="false">IF(AND(ISNUMBER($T414),$P414="高"),IF($T414=3,1,0),0)</f>
        <v>0</v>
      </c>
      <c r="AE414" s="183" t="n">
        <f aca="false">IF($S414="不存在",1,0)</f>
        <v>0</v>
      </c>
      <c r="AF414" s="34" t="str">
        <f aca="false">IF(OR($H414="—",$H414=""),"—",MATCH($H414,IDX_SrcID,0))</f>
        <v>—</v>
      </c>
    </row>
    <row r="415" customFormat="false" ht="29.25" hidden="false" customHeight="true" outlineLevel="0" collapsed="false">
      <c r="A415" s="35" t="s">
        <v>3650</v>
      </c>
      <c r="B415" s="209" t="s">
        <v>2677</v>
      </c>
      <c r="C415" s="35" t="s">
        <v>3620</v>
      </c>
      <c r="D415" s="35" t="s">
        <v>3651</v>
      </c>
      <c r="E415" s="6" t="s">
        <v>2339</v>
      </c>
      <c r="F415" s="35" t="s">
        <v>72</v>
      </c>
      <c r="G415" s="209" t="s">
        <v>1099</v>
      </c>
      <c r="H415" s="35" t="s">
        <v>571</v>
      </c>
      <c r="I415" s="6" t="s">
        <v>571</v>
      </c>
      <c r="J415" s="35" t="s">
        <v>571</v>
      </c>
      <c r="K415" s="209"/>
      <c r="L415" s="209"/>
      <c r="M415" s="35" t="s">
        <v>571</v>
      </c>
      <c r="N415" s="210" t="str">
        <f aca="false">NonNV!$L$9</f>
        <v>無公開規格；沿用 v0.5「自研／其他 0.6（0.4–1.0）」</v>
      </c>
      <c r="O415" s="6" t="s">
        <v>571</v>
      </c>
      <c r="P415" s="209" t="s">
        <v>2682</v>
      </c>
      <c r="Q415" s="172" t="n">
        <f aca="false">NonNV!B9</f>
        <v>0.4</v>
      </c>
      <c r="R415" s="35" t="s">
        <v>571</v>
      </c>
      <c r="S415" s="34" t="str">
        <f aca="false">IF(ISNUMBER($AF415),INDEX(IDX_SrcStat,$AF415),"—")</f>
        <v>—</v>
      </c>
      <c r="T415" s="34" t="str">
        <f aca="false">IF(ISNUMBER($AF415),INDEX(IDX_SrcGrade,$AF415),"—")</f>
        <v>—</v>
      </c>
      <c r="U415" s="34" t="s">
        <v>2683</v>
      </c>
      <c r="V415" s="183" t="n">
        <f aca="false">IF(AND($F415="原始數據",$U415&lt;&gt;"連結 SRC"),1,0)</f>
        <v>0</v>
      </c>
      <c r="W415" s="183" t="n">
        <f aca="false">IF(AND($F415="Analogy",OR($H415="—",$H415="")),1,0)</f>
        <v>0</v>
      </c>
      <c r="X415" s="183" t="n">
        <f aca="false">IF(AND(OR($F415="Analogy",$F415="Assumed"),$G415&lt;&gt;"低",$G415&lt;&gt;"高",NOT(ISNUMBER($K415)),NOT(ISNUMBER($L415)),OR($M415="—",$M415="")),1,0)</f>
        <v>0</v>
      </c>
      <c r="Y415" s="183" t="n">
        <f aca="false">IF(AND(OR($F415="Analogy",$F415="Assumed",$F415="Derived（待改公式）",$F415="Derived（公式）"),OR($N415="—",$N415="",$N415=0)),1,0)</f>
        <v>0</v>
      </c>
      <c r="Z415" s="183" t="n">
        <f aca="false">IF(AND($F415="Decision",OR($J415="—",$J415="")),1,0)</f>
        <v>0</v>
      </c>
      <c r="AA415" s="180" t="n">
        <f aca="false">IF(OR($J415="—",$J415=""),0,IF(COUNTIF(Decisions!$A$5:$A$300,$J415)=0,1,0))</f>
        <v>0</v>
      </c>
      <c r="AB415" s="183" t="n">
        <f aca="false">IF(AND($F415="原始數據",$S415&lt;&gt;"Active"),1,0)</f>
        <v>0</v>
      </c>
      <c r="AC415" s="183" t="n">
        <f aca="false">IF(AND(ISNUMBER($K415),ISNUMBER($L415),ISNUMBER($Q415)),IF(OR($Q415&lt;MIN($K415,$L415),$Q415&gt;MAX($K415,$L415)),1,0),0)</f>
        <v>0</v>
      </c>
      <c r="AD415" s="183" t="n">
        <f aca="false">IF(AND(ISNUMBER($T415),$P415="高"),IF($T415=3,1,0),0)</f>
        <v>0</v>
      </c>
      <c r="AE415" s="183" t="n">
        <f aca="false">IF($S415="不存在",1,0)</f>
        <v>0</v>
      </c>
      <c r="AF415" s="34" t="str">
        <f aca="false">IF(OR($H415="—",$H415=""),"—",MATCH($H415,IDX_SrcID,0))</f>
        <v>—</v>
      </c>
    </row>
    <row r="416" customFormat="false" ht="29.25" hidden="false" customHeight="true" outlineLevel="0" collapsed="false">
      <c r="A416" s="35" t="s">
        <v>3652</v>
      </c>
      <c r="B416" s="209" t="s">
        <v>2677</v>
      </c>
      <c r="C416" s="35" t="s">
        <v>3620</v>
      </c>
      <c r="D416" s="35" t="s">
        <v>2692</v>
      </c>
      <c r="E416" s="6" t="s">
        <v>2339</v>
      </c>
      <c r="F416" s="35" t="s">
        <v>72</v>
      </c>
      <c r="G416" s="209" t="s">
        <v>1100</v>
      </c>
      <c r="H416" s="35" t="s">
        <v>571</v>
      </c>
      <c r="I416" s="6" t="s">
        <v>571</v>
      </c>
      <c r="J416" s="35" t="s">
        <v>571</v>
      </c>
      <c r="K416" s="209"/>
      <c r="L416" s="209"/>
      <c r="M416" s="35" t="s">
        <v>571</v>
      </c>
      <c r="N416" s="210" t="str">
        <f aca="false">NonNV!$L$9</f>
        <v>無公開規格；沿用 v0.5「自研／其他 0.6（0.4–1.0）」</v>
      </c>
      <c r="O416" s="6" t="s">
        <v>571</v>
      </c>
      <c r="P416" s="209" t="s">
        <v>2682</v>
      </c>
      <c r="Q416" s="172" t="n">
        <f aca="false">NonNV!D9</f>
        <v>0.9</v>
      </c>
      <c r="R416" s="35" t="s">
        <v>571</v>
      </c>
      <c r="S416" s="34" t="str">
        <f aca="false">IF(ISNUMBER($AF416),INDEX(IDX_SrcStat,$AF416),"—")</f>
        <v>—</v>
      </c>
      <c r="T416" s="34" t="str">
        <f aca="false">IF(ISNUMBER($AF416),INDEX(IDX_SrcGrade,$AF416),"—")</f>
        <v>—</v>
      </c>
      <c r="U416" s="34" t="s">
        <v>2683</v>
      </c>
      <c r="V416" s="183" t="n">
        <f aca="false">IF(AND($F416="原始數據",$U416&lt;&gt;"連結 SRC"),1,0)</f>
        <v>0</v>
      </c>
      <c r="W416" s="183" t="n">
        <f aca="false">IF(AND($F416="Analogy",OR($H416="—",$H416="")),1,0)</f>
        <v>0</v>
      </c>
      <c r="X416" s="183" t="n">
        <f aca="false">IF(AND(OR($F416="Analogy",$F416="Assumed"),$G416&lt;&gt;"低",$G416&lt;&gt;"高",NOT(ISNUMBER($K416)),NOT(ISNUMBER($L416)),OR($M416="—",$M416="")),1,0)</f>
        <v>0</v>
      </c>
      <c r="Y416" s="183" t="n">
        <f aca="false">IF(AND(OR($F416="Analogy",$F416="Assumed",$F416="Derived（待改公式）",$F416="Derived（公式）"),OR($N416="—",$N416="",$N416=0)),1,0)</f>
        <v>0</v>
      </c>
      <c r="Z416" s="183" t="n">
        <f aca="false">IF(AND($F416="Decision",OR($J416="—",$J416="")),1,0)</f>
        <v>0</v>
      </c>
      <c r="AA416" s="180" t="n">
        <f aca="false">IF(OR($J416="—",$J416=""),0,IF(COUNTIF(Decisions!$A$5:$A$300,$J416)=0,1,0))</f>
        <v>0</v>
      </c>
      <c r="AB416" s="183" t="n">
        <f aca="false">IF(AND($F416="原始數據",$S416&lt;&gt;"Active"),1,0)</f>
        <v>0</v>
      </c>
      <c r="AC416" s="183" t="n">
        <f aca="false">IF(AND(ISNUMBER($K416),ISNUMBER($L416),ISNUMBER($Q416)),IF(OR($Q416&lt;MIN($K416,$L416),$Q416&gt;MAX($K416,$L416)),1,0),0)</f>
        <v>0</v>
      </c>
      <c r="AD416" s="183" t="n">
        <f aca="false">IF(AND(ISNUMBER($T416),$P416="高"),IF($T416=3,1,0),0)</f>
        <v>0</v>
      </c>
      <c r="AE416" s="183" t="n">
        <f aca="false">IF($S416="不存在",1,0)</f>
        <v>0</v>
      </c>
      <c r="AF416" s="34" t="str">
        <f aca="false">IF(OR($H416="—",$H416=""),"—",MATCH($H416,IDX_SrcID,0))</f>
        <v>—</v>
      </c>
    </row>
    <row r="417" customFormat="false" ht="29.25" hidden="false" customHeight="true" outlineLevel="0" collapsed="false">
      <c r="A417" s="35" t="s">
        <v>3653</v>
      </c>
      <c r="B417" s="209" t="s">
        <v>2677</v>
      </c>
      <c r="C417" s="35" t="s">
        <v>3620</v>
      </c>
      <c r="D417" s="35" t="s">
        <v>2588</v>
      </c>
      <c r="E417" s="6" t="s">
        <v>2339</v>
      </c>
      <c r="F417" s="35" t="s">
        <v>72</v>
      </c>
      <c r="G417" s="209" t="s">
        <v>1099</v>
      </c>
      <c r="H417" s="35" t="s">
        <v>571</v>
      </c>
      <c r="I417" s="6" t="s">
        <v>571</v>
      </c>
      <c r="J417" s="35" t="s">
        <v>571</v>
      </c>
      <c r="K417" s="209"/>
      <c r="L417" s="209"/>
      <c r="M417" s="35" t="s">
        <v>571</v>
      </c>
      <c r="N417" s="210" t="str">
        <f aca="false">NonNV!$L$9</f>
        <v>無公開規格；沿用 v0.5「自研／其他 0.6（0.4–1.0）」</v>
      </c>
      <c r="O417" s="6" t="s">
        <v>571</v>
      </c>
      <c r="P417" s="209" t="s">
        <v>2682</v>
      </c>
      <c r="Q417" s="172" t="n">
        <f aca="false">NonNV!E9</f>
        <v>0.7</v>
      </c>
      <c r="R417" s="35" t="s">
        <v>571</v>
      </c>
      <c r="S417" s="34" t="str">
        <f aca="false">IF(ISNUMBER($AF417),INDEX(IDX_SrcStat,$AF417),"—")</f>
        <v>—</v>
      </c>
      <c r="T417" s="34" t="str">
        <f aca="false">IF(ISNUMBER($AF417),INDEX(IDX_SrcGrade,$AF417),"—")</f>
        <v>—</v>
      </c>
      <c r="U417" s="34" t="s">
        <v>2683</v>
      </c>
      <c r="V417" s="183" t="n">
        <f aca="false">IF(AND($F417="原始數據",$U417&lt;&gt;"連結 SRC"),1,0)</f>
        <v>0</v>
      </c>
      <c r="W417" s="183" t="n">
        <f aca="false">IF(AND($F417="Analogy",OR($H417="—",$H417="")),1,0)</f>
        <v>0</v>
      </c>
      <c r="X417" s="183" t="n">
        <f aca="false">IF(AND(OR($F417="Analogy",$F417="Assumed"),$G417&lt;&gt;"低",$G417&lt;&gt;"高",NOT(ISNUMBER($K417)),NOT(ISNUMBER($L417)),OR($M417="—",$M417="")),1,0)</f>
        <v>0</v>
      </c>
      <c r="Y417" s="183" t="n">
        <f aca="false">IF(AND(OR($F417="Analogy",$F417="Assumed",$F417="Derived（待改公式）",$F417="Derived（公式）"),OR($N417="—",$N417="",$N417=0)),1,0)</f>
        <v>0</v>
      </c>
      <c r="Z417" s="183" t="n">
        <f aca="false">IF(AND($F417="Decision",OR($J417="—",$J417="")),1,0)</f>
        <v>0</v>
      </c>
      <c r="AA417" s="180" t="n">
        <f aca="false">IF(OR($J417="—",$J417=""),0,IF(COUNTIF(Decisions!$A$5:$A$300,$J417)=0,1,0))</f>
        <v>0</v>
      </c>
      <c r="AB417" s="183" t="n">
        <f aca="false">IF(AND($F417="原始數據",$S417&lt;&gt;"Active"),1,0)</f>
        <v>0</v>
      </c>
      <c r="AC417" s="183" t="n">
        <f aca="false">IF(AND(ISNUMBER($K417),ISNUMBER($L417),ISNUMBER($Q417)),IF(OR($Q417&lt;MIN($K417,$L417),$Q417&gt;MAX($K417,$L417)),1,0),0)</f>
        <v>0</v>
      </c>
      <c r="AD417" s="183" t="n">
        <f aca="false">IF(AND(ISNUMBER($T417),$P417="高"),IF($T417=3,1,0),0)</f>
        <v>0</v>
      </c>
      <c r="AE417" s="183" t="n">
        <f aca="false">IF($S417="不存在",1,0)</f>
        <v>0</v>
      </c>
      <c r="AF417" s="34" t="str">
        <f aca="false">IF(OR($H417="—",$H417=""),"—",MATCH($H417,IDX_SrcID,0))</f>
        <v>—</v>
      </c>
    </row>
    <row r="418" customFormat="false" ht="29.25" hidden="false" customHeight="true" outlineLevel="0" collapsed="false">
      <c r="A418" s="35" t="s">
        <v>3654</v>
      </c>
      <c r="B418" s="209" t="s">
        <v>2677</v>
      </c>
      <c r="C418" s="35" t="s">
        <v>3620</v>
      </c>
      <c r="D418" s="35" t="s">
        <v>2878</v>
      </c>
      <c r="E418" s="6" t="s">
        <v>2339</v>
      </c>
      <c r="F418" s="35" t="s">
        <v>72</v>
      </c>
      <c r="G418" s="209" t="s">
        <v>1100</v>
      </c>
      <c r="H418" s="35" t="s">
        <v>571</v>
      </c>
      <c r="I418" s="6" t="s">
        <v>571</v>
      </c>
      <c r="J418" s="35" t="s">
        <v>571</v>
      </c>
      <c r="K418" s="209"/>
      <c r="L418" s="209"/>
      <c r="M418" s="35" t="s">
        <v>571</v>
      </c>
      <c r="N418" s="210" t="str">
        <f aca="false">NonNV!$L$9</f>
        <v>無公開規格；沿用 v0.5「自研／其他 0.6（0.4–1.0）」</v>
      </c>
      <c r="O418" s="6" t="s">
        <v>571</v>
      </c>
      <c r="P418" s="209" t="s">
        <v>2682</v>
      </c>
      <c r="Q418" s="172" t="n">
        <f aca="false">NonNV!G9</f>
        <v>1</v>
      </c>
      <c r="R418" s="35" t="s">
        <v>571</v>
      </c>
      <c r="S418" s="34" t="str">
        <f aca="false">IF(ISNUMBER($AF418),INDEX(IDX_SrcStat,$AF418),"—")</f>
        <v>—</v>
      </c>
      <c r="T418" s="34" t="str">
        <f aca="false">IF(ISNUMBER($AF418),INDEX(IDX_SrcGrade,$AF418),"—")</f>
        <v>—</v>
      </c>
      <c r="U418" s="34" t="s">
        <v>2683</v>
      </c>
      <c r="V418" s="183" t="n">
        <f aca="false">IF(AND($F418="原始數據",$U418&lt;&gt;"連結 SRC"),1,0)</f>
        <v>0</v>
      </c>
      <c r="W418" s="183" t="n">
        <f aca="false">IF(AND($F418="Analogy",OR($H418="—",$H418="")),1,0)</f>
        <v>0</v>
      </c>
      <c r="X418" s="183" t="n">
        <f aca="false">IF(AND(OR($F418="Analogy",$F418="Assumed"),$G418&lt;&gt;"低",$G418&lt;&gt;"高",NOT(ISNUMBER($K418)),NOT(ISNUMBER($L418)),OR($M418="—",$M418="")),1,0)</f>
        <v>0</v>
      </c>
      <c r="Y418" s="183" t="n">
        <f aca="false">IF(AND(OR($F418="Analogy",$F418="Assumed",$F418="Derived（待改公式）",$F418="Derived（公式）"),OR($N418="—",$N418="",$N418=0)),1,0)</f>
        <v>0</v>
      </c>
      <c r="Z418" s="183" t="n">
        <f aca="false">IF(AND($F418="Decision",OR($J418="—",$J418="")),1,0)</f>
        <v>0</v>
      </c>
      <c r="AA418" s="180" t="n">
        <f aca="false">IF(OR($J418="—",$J418=""),0,IF(COUNTIF(Decisions!$A$5:$A$300,$J418)=0,1,0))</f>
        <v>0</v>
      </c>
      <c r="AB418" s="183" t="n">
        <f aca="false">IF(AND($F418="原始數據",$S418&lt;&gt;"Active"),1,0)</f>
        <v>0</v>
      </c>
      <c r="AC418" s="183" t="n">
        <f aca="false">IF(AND(ISNUMBER($K418),ISNUMBER($L418),ISNUMBER($Q418)),IF(OR($Q418&lt;MIN($K418,$L418),$Q418&gt;MAX($K418,$L418)),1,0),0)</f>
        <v>0</v>
      </c>
      <c r="AD418" s="183" t="n">
        <f aca="false">IF(AND(ISNUMBER($T418),$P418="高"),IF($T418=3,1,0),0)</f>
        <v>0</v>
      </c>
      <c r="AE418" s="183" t="n">
        <f aca="false">IF($S418="不存在",1,0)</f>
        <v>0</v>
      </c>
      <c r="AF418" s="34" t="str">
        <f aca="false">IF(OR($H418="—",$H418=""),"—",MATCH($H418,IDX_SrcID,0))</f>
        <v>—</v>
      </c>
    </row>
    <row r="419" customFormat="false" ht="15" hidden="false" customHeight="true" outlineLevel="0" collapsed="false">
      <c r="A419" s="35" t="s">
        <v>3655</v>
      </c>
      <c r="B419" s="209" t="s">
        <v>2677</v>
      </c>
      <c r="C419" s="35" t="s">
        <v>3656</v>
      </c>
      <c r="D419" s="35" t="s">
        <v>3657</v>
      </c>
      <c r="E419" s="18" t="s">
        <v>407</v>
      </c>
      <c r="F419" s="209" t="s">
        <v>3419</v>
      </c>
      <c r="G419" s="209" t="s">
        <v>3420</v>
      </c>
      <c r="H419" s="35" t="s">
        <v>571</v>
      </c>
      <c r="I419" s="6" t="s">
        <v>571</v>
      </c>
      <c r="J419" s="35" t="s">
        <v>571</v>
      </c>
      <c r="K419" s="209"/>
      <c r="L419" s="209"/>
      <c r="M419" s="35" t="s">
        <v>571</v>
      </c>
      <c r="N419" s="18" t="s">
        <v>3658</v>
      </c>
      <c r="O419" s="6" t="s">
        <v>571</v>
      </c>
      <c r="P419" s="35" t="s">
        <v>571</v>
      </c>
      <c r="Q419" s="182" t="s">
        <v>571</v>
      </c>
      <c r="R419" s="35" t="s">
        <v>571</v>
      </c>
      <c r="S419" s="34" t="str">
        <f aca="false">IF(ISNUMBER($AF419),INDEX(IDX_SrcStat,$AF419),"—")</f>
        <v>—</v>
      </c>
      <c r="T419" s="34" t="str">
        <f aca="false">IF(ISNUMBER($AF419),INDEX(IDX_SrcGrade,$AF419),"—")</f>
        <v>—</v>
      </c>
      <c r="U419" s="35" t="s">
        <v>571</v>
      </c>
      <c r="V419" s="183" t="n">
        <f aca="false">IF(AND($F419="原始數據",$U419&lt;&gt;"連結 SRC"),1,0)</f>
        <v>0</v>
      </c>
      <c r="W419" s="183" t="n">
        <f aca="false">IF(AND($F419="Analogy",OR($H419="—",$H419="")),1,0)</f>
        <v>0</v>
      </c>
      <c r="X419" s="183" t="n">
        <f aca="false">IF(AND(OR($F419="Analogy",$F419="Assumed"),$G419&lt;&gt;"低",$G419&lt;&gt;"高",NOT(ISNUMBER($K419)),NOT(ISNUMBER($L419)),OR($M419="—",$M419="")),1,0)</f>
        <v>0</v>
      </c>
      <c r="Y419" s="183" t="n">
        <f aca="false">IF(AND(OR($F419="Analogy",$F419="Assumed",$F419="Derived（待改公式）",$F419="Derived（公式）"),OR($N419="—",$N419="",$N419=0)),1,0)</f>
        <v>0</v>
      </c>
      <c r="Z419" s="183" t="n">
        <f aca="false">IF(AND($F419="Decision",OR($J419="—",$J419="")),1,0)</f>
        <v>0</v>
      </c>
      <c r="AA419" s="180" t="n">
        <f aca="false">IF(OR($J419="—",$J419=""),0,IF(COUNTIF(Decisions!$A$5:$A$300,$J419)=0,1,0))</f>
        <v>0</v>
      </c>
      <c r="AB419" s="183" t="n">
        <f aca="false">IF(AND($F419="原始數據",$S419&lt;&gt;"Active"),1,0)</f>
        <v>0</v>
      </c>
      <c r="AC419" s="183" t="n">
        <f aca="false">IF(AND(ISNUMBER($K419),ISNUMBER($L419),ISNUMBER($Q419)),IF(OR($Q419&lt;MIN($K419,$L419),$Q419&gt;MAX($K419,$L419)),1,0),0)</f>
        <v>0</v>
      </c>
      <c r="AD419" s="183" t="n">
        <f aca="false">IF(AND(ISNUMBER($T419),$P419="高"),IF($T419=3,1,0),0)</f>
        <v>0</v>
      </c>
      <c r="AE419" s="183" t="n">
        <f aca="false">IF($S419="不存在",1,0)</f>
        <v>0</v>
      </c>
      <c r="AF419" s="34" t="str">
        <f aca="false">IF(OR($H419="—",$H419=""),"—",MATCH($H419,IDX_SrcID,0))</f>
        <v>—</v>
      </c>
    </row>
    <row r="420" customFormat="false" ht="15" hidden="false" customHeight="true" outlineLevel="0" collapsed="false">
      <c r="A420" s="35" t="s">
        <v>3659</v>
      </c>
      <c r="B420" s="209" t="s">
        <v>2677</v>
      </c>
      <c r="C420" s="35" t="s">
        <v>3656</v>
      </c>
      <c r="D420" s="35" t="s">
        <v>3660</v>
      </c>
      <c r="E420" s="18" t="s">
        <v>674</v>
      </c>
      <c r="F420" s="209" t="s">
        <v>3419</v>
      </c>
      <c r="G420" s="209" t="s">
        <v>3420</v>
      </c>
      <c r="H420" s="35" t="s">
        <v>571</v>
      </c>
      <c r="I420" s="6" t="s">
        <v>571</v>
      </c>
      <c r="J420" s="35" t="s">
        <v>571</v>
      </c>
      <c r="K420" s="209"/>
      <c r="L420" s="209"/>
      <c r="M420" s="35" t="s">
        <v>571</v>
      </c>
      <c r="N420" s="18" t="s">
        <v>3658</v>
      </c>
      <c r="O420" s="6" t="s">
        <v>571</v>
      </c>
      <c r="P420" s="35" t="s">
        <v>571</v>
      </c>
      <c r="Q420" s="182" t="s">
        <v>571</v>
      </c>
      <c r="R420" s="35" t="s">
        <v>571</v>
      </c>
      <c r="S420" s="34" t="str">
        <f aca="false">IF(ISNUMBER($AF420),INDEX(IDX_SrcStat,$AF420),"—")</f>
        <v>—</v>
      </c>
      <c r="T420" s="34" t="str">
        <f aca="false">IF(ISNUMBER($AF420),INDEX(IDX_SrcGrade,$AF420),"—")</f>
        <v>—</v>
      </c>
      <c r="U420" s="35" t="s">
        <v>571</v>
      </c>
      <c r="V420" s="183" t="n">
        <f aca="false">IF(AND($F420="原始數據",$U420&lt;&gt;"連結 SRC"),1,0)</f>
        <v>0</v>
      </c>
      <c r="W420" s="183" t="n">
        <f aca="false">IF(AND($F420="Analogy",OR($H420="—",$H420="")),1,0)</f>
        <v>0</v>
      </c>
      <c r="X420" s="183" t="n">
        <f aca="false">IF(AND(OR($F420="Analogy",$F420="Assumed"),$G420&lt;&gt;"低",$G420&lt;&gt;"高",NOT(ISNUMBER($K420)),NOT(ISNUMBER($L420)),OR($M420="—",$M420="")),1,0)</f>
        <v>0</v>
      </c>
      <c r="Y420" s="183" t="n">
        <f aca="false">IF(AND(OR($F420="Analogy",$F420="Assumed",$F420="Derived（待改公式）",$F420="Derived（公式）"),OR($N420="—",$N420="",$N420=0)),1,0)</f>
        <v>0</v>
      </c>
      <c r="Z420" s="183" t="n">
        <f aca="false">IF(AND($F420="Decision",OR($J420="—",$J420="")),1,0)</f>
        <v>0</v>
      </c>
      <c r="AA420" s="180" t="n">
        <f aca="false">IF(OR($J420="—",$J420=""),0,IF(COUNTIF(Decisions!$A$5:$A$300,$J420)=0,1,0))</f>
        <v>0</v>
      </c>
      <c r="AB420" s="183" t="n">
        <f aca="false">IF(AND($F420="原始數據",$S420&lt;&gt;"Active"),1,0)</f>
        <v>0</v>
      </c>
      <c r="AC420" s="183" t="n">
        <f aca="false">IF(AND(ISNUMBER($K420),ISNUMBER($L420),ISNUMBER($Q420)),IF(OR($Q420&lt;MIN($K420,$L420),$Q420&gt;MAX($K420,$L420)),1,0),0)</f>
        <v>0</v>
      </c>
      <c r="AD420" s="183" t="n">
        <f aca="false">IF(AND(ISNUMBER($T420),$P420="高"),IF($T420=3,1,0),0)</f>
        <v>0</v>
      </c>
      <c r="AE420" s="183" t="n">
        <f aca="false">IF($S420="不存在",1,0)</f>
        <v>0</v>
      </c>
      <c r="AF420" s="34" t="str">
        <f aca="false">IF(OR($H420="—",$H420=""),"—",MATCH($H420,IDX_SrcID,0))</f>
        <v>—</v>
      </c>
    </row>
    <row r="421" customFormat="false" ht="15" hidden="false" customHeight="true" outlineLevel="0" collapsed="false">
      <c r="A421" s="35" t="s">
        <v>3661</v>
      </c>
      <c r="B421" s="209" t="s">
        <v>2677</v>
      </c>
      <c r="C421" s="35" t="s">
        <v>2428</v>
      </c>
      <c r="D421" s="35" t="s">
        <v>3662</v>
      </c>
      <c r="E421" s="18" t="s">
        <v>407</v>
      </c>
      <c r="F421" s="209" t="s">
        <v>3419</v>
      </c>
      <c r="G421" s="209" t="s">
        <v>3420</v>
      </c>
      <c r="H421" s="35" t="s">
        <v>571</v>
      </c>
      <c r="I421" s="6" t="s">
        <v>571</v>
      </c>
      <c r="J421" s="35" t="s">
        <v>571</v>
      </c>
      <c r="K421" s="209"/>
      <c r="L421" s="209"/>
      <c r="M421" s="35" t="s">
        <v>571</v>
      </c>
      <c r="N421" s="18" t="s">
        <v>3658</v>
      </c>
      <c r="O421" s="6" t="s">
        <v>571</v>
      </c>
      <c r="P421" s="35" t="s">
        <v>571</v>
      </c>
      <c r="Q421" s="182" t="s">
        <v>571</v>
      </c>
      <c r="R421" s="35" t="s">
        <v>571</v>
      </c>
      <c r="S421" s="34" t="str">
        <f aca="false">IF(ISNUMBER($AF421),INDEX(IDX_SrcStat,$AF421),"—")</f>
        <v>—</v>
      </c>
      <c r="T421" s="34" t="str">
        <f aca="false">IF(ISNUMBER($AF421),INDEX(IDX_SrcGrade,$AF421),"—")</f>
        <v>—</v>
      </c>
      <c r="U421" s="35" t="s">
        <v>571</v>
      </c>
      <c r="V421" s="183" t="n">
        <f aca="false">IF(AND($F421="原始數據",$U421&lt;&gt;"連結 SRC"),1,0)</f>
        <v>0</v>
      </c>
      <c r="W421" s="183" t="n">
        <f aca="false">IF(AND($F421="Analogy",OR($H421="—",$H421="")),1,0)</f>
        <v>0</v>
      </c>
      <c r="X421" s="183" t="n">
        <f aca="false">IF(AND(OR($F421="Analogy",$F421="Assumed"),$G421&lt;&gt;"低",$G421&lt;&gt;"高",NOT(ISNUMBER($K421)),NOT(ISNUMBER($L421)),OR($M421="—",$M421="")),1,0)</f>
        <v>0</v>
      </c>
      <c r="Y421" s="183" t="n">
        <f aca="false">IF(AND(OR($F421="Analogy",$F421="Assumed",$F421="Derived（待改公式）",$F421="Derived（公式）"),OR($N421="—",$N421="",$N421=0)),1,0)</f>
        <v>0</v>
      </c>
      <c r="Z421" s="183" t="n">
        <f aca="false">IF(AND($F421="Decision",OR($J421="—",$J421="")),1,0)</f>
        <v>0</v>
      </c>
      <c r="AA421" s="180" t="n">
        <f aca="false">IF(OR($J421="—",$J421=""),0,IF(COUNTIF(Decisions!$A$5:$A$300,$J421)=0,1,0))</f>
        <v>0</v>
      </c>
      <c r="AB421" s="183" t="n">
        <f aca="false">IF(AND($F421="原始數據",$S421&lt;&gt;"Active"),1,0)</f>
        <v>0</v>
      </c>
      <c r="AC421" s="183" t="n">
        <f aca="false">IF(AND(ISNUMBER($K421),ISNUMBER($L421),ISNUMBER($Q421)),IF(OR($Q421&lt;MIN($K421,$L421),$Q421&gt;MAX($K421,$L421)),1,0),0)</f>
        <v>0</v>
      </c>
      <c r="AD421" s="183" t="n">
        <f aca="false">IF(AND(ISNUMBER($T421),$P421="高"),IF($T421=3,1,0),0)</f>
        <v>0</v>
      </c>
      <c r="AE421" s="183" t="n">
        <f aca="false">IF($S421="不存在",1,0)</f>
        <v>0</v>
      </c>
      <c r="AF421" s="34" t="str">
        <f aca="false">IF(OR($H421="—",$H421=""),"—",MATCH($H421,IDX_SrcID,0))</f>
        <v>—</v>
      </c>
    </row>
    <row r="422" customFormat="false" ht="15" hidden="false" customHeight="true" outlineLevel="0" collapsed="false">
      <c r="A422" s="35" t="s">
        <v>3663</v>
      </c>
      <c r="B422" s="209" t="s">
        <v>2677</v>
      </c>
      <c r="C422" s="35" t="s">
        <v>2428</v>
      </c>
      <c r="D422" s="35" t="s">
        <v>3664</v>
      </c>
      <c r="E422" s="18" t="s">
        <v>674</v>
      </c>
      <c r="F422" s="209" t="s">
        <v>3419</v>
      </c>
      <c r="G422" s="209" t="s">
        <v>3420</v>
      </c>
      <c r="H422" s="35" t="s">
        <v>571</v>
      </c>
      <c r="I422" s="6" t="s">
        <v>571</v>
      </c>
      <c r="J422" s="35" t="s">
        <v>571</v>
      </c>
      <c r="K422" s="209"/>
      <c r="L422" s="209"/>
      <c r="M422" s="35" t="s">
        <v>571</v>
      </c>
      <c r="N422" s="18" t="s">
        <v>3658</v>
      </c>
      <c r="O422" s="6" t="s">
        <v>571</v>
      </c>
      <c r="P422" s="35" t="s">
        <v>571</v>
      </c>
      <c r="Q422" s="182" t="s">
        <v>571</v>
      </c>
      <c r="R422" s="35" t="s">
        <v>571</v>
      </c>
      <c r="S422" s="34" t="str">
        <f aca="false">IF(ISNUMBER($AF422),INDEX(IDX_SrcStat,$AF422),"—")</f>
        <v>—</v>
      </c>
      <c r="T422" s="34" t="str">
        <f aca="false">IF(ISNUMBER($AF422),INDEX(IDX_SrcGrade,$AF422),"—")</f>
        <v>—</v>
      </c>
      <c r="U422" s="35" t="s">
        <v>571</v>
      </c>
      <c r="V422" s="183" t="n">
        <f aca="false">IF(AND($F422="原始數據",$U422&lt;&gt;"連結 SRC"),1,0)</f>
        <v>0</v>
      </c>
      <c r="W422" s="183" t="n">
        <f aca="false">IF(AND($F422="Analogy",OR($H422="—",$H422="")),1,0)</f>
        <v>0</v>
      </c>
      <c r="X422" s="183" t="n">
        <f aca="false">IF(AND(OR($F422="Analogy",$F422="Assumed"),$G422&lt;&gt;"低",$G422&lt;&gt;"高",NOT(ISNUMBER($K422)),NOT(ISNUMBER($L422)),OR($M422="—",$M422="")),1,0)</f>
        <v>0</v>
      </c>
      <c r="Y422" s="183" t="n">
        <f aca="false">IF(AND(OR($F422="Analogy",$F422="Assumed",$F422="Derived（待改公式）",$F422="Derived（公式）"),OR($N422="—",$N422="",$N422=0)),1,0)</f>
        <v>0</v>
      </c>
      <c r="Z422" s="183" t="n">
        <f aca="false">IF(AND($F422="Decision",OR($J422="—",$J422="")),1,0)</f>
        <v>0</v>
      </c>
      <c r="AA422" s="180" t="n">
        <f aca="false">IF(OR($J422="—",$J422=""),0,IF(COUNTIF(Decisions!$A$5:$A$300,$J422)=0,1,0))</f>
        <v>0</v>
      </c>
      <c r="AB422" s="183" t="n">
        <f aca="false">IF(AND($F422="原始數據",$S422&lt;&gt;"Active"),1,0)</f>
        <v>0</v>
      </c>
      <c r="AC422" s="183" t="n">
        <f aca="false">IF(AND(ISNUMBER($K422),ISNUMBER($L422),ISNUMBER($Q422)),IF(OR($Q422&lt;MIN($K422,$L422),$Q422&gt;MAX($K422,$L422)),1,0),0)</f>
        <v>0</v>
      </c>
      <c r="AD422" s="183" t="n">
        <f aca="false">IF(AND(ISNUMBER($T422),$P422="高"),IF($T422=3,1,0),0)</f>
        <v>0</v>
      </c>
      <c r="AE422" s="183" t="n">
        <f aca="false">IF($S422="不存在",1,0)</f>
        <v>0</v>
      </c>
      <c r="AF422" s="34" t="str">
        <f aca="false">IF(OR($H422="—",$H422=""),"—",MATCH($H422,IDX_SrcID,0))</f>
        <v>—</v>
      </c>
    </row>
    <row r="423" customFormat="false" ht="15" hidden="false" customHeight="true" outlineLevel="0" collapsed="false">
      <c r="A423" s="35" t="s">
        <v>3665</v>
      </c>
      <c r="B423" s="209" t="s">
        <v>2677</v>
      </c>
      <c r="C423" s="35" t="s">
        <v>2428</v>
      </c>
      <c r="D423" s="35" t="s">
        <v>3666</v>
      </c>
      <c r="E423" s="18" t="s">
        <v>430</v>
      </c>
      <c r="F423" s="209" t="s">
        <v>3529</v>
      </c>
      <c r="G423" s="209" t="s">
        <v>3420</v>
      </c>
      <c r="H423" s="35" t="s">
        <v>571</v>
      </c>
      <c r="I423" s="6" t="s">
        <v>571</v>
      </c>
      <c r="J423" s="35" t="s">
        <v>571</v>
      </c>
      <c r="K423" s="209"/>
      <c r="L423" s="209"/>
      <c r="M423" s="35" t="s">
        <v>571</v>
      </c>
      <c r="N423" s="18" t="s">
        <v>3667</v>
      </c>
      <c r="O423" s="6" t="s">
        <v>571</v>
      </c>
      <c r="P423" s="34" t="s">
        <v>2682</v>
      </c>
      <c r="Q423" s="37" t="n">
        <f aca="false">Sens_Perf!M14</f>
        <v>50</v>
      </c>
      <c r="R423" s="35" t="s">
        <v>571</v>
      </c>
      <c r="S423" s="34" t="str">
        <f aca="false">IF(ISNUMBER($AF423),INDEX(IDX_SrcStat,$AF423),"—")</f>
        <v>—</v>
      </c>
      <c r="T423" s="34" t="str">
        <f aca="false">IF(ISNUMBER($AF423),INDEX(IDX_SrcGrade,$AF423),"—")</f>
        <v>—</v>
      </c>
      <c r="U423" s="34" t="s">
        <v>2683</v>
      </c>
      <c r="V423" s="183" t="n">
        <f aca="false">IF(AND($F423="原始數據",$U423&lt;&gt;"連結 SRC"),1,0)</f>
        <v>0</v>
      </c>
      <c r="W423" s="183" t="n">
        <f aca="false">IF(AND($F423="Analogy",OR($H423="—",$H423="")),1,0)</f>
        <v>0</v>
      </c>
      <c r="X423" s="183" t="n">
        <f aca="false">IF(AND(OR($F423="Analogy",$F423="Assumed"),$G423&lt;&gt;"低",$G423&lt;&gt;"高",NOT(ISNUMBER($K423)),NOT(ISNUMBER($L423)),OR($M423="—",$M423="")),1,0)</f>
        <v>0</v>
      </c>
      <c r="Y423" s="183" t="n">
        <f aca="false">IF(AND(OR($F423="Analogy",$F423="Assumed",$F423="Derived（待改公式）",$F423="Derived（公式）"),OR($N423="—",$N423="",$N423=0)),1,0)</f>
        <v>0</v>
      </c>
      <c r="Z423" s="183" t="n">
        <f aca="false">IF(AND($F423="Decision",OR($J423="—",$J423="")),1,0)</f>
        <v>0</v>
      </c>
      <c r="AA423" s="180" t="n">
        <f aca="false">IF(OR($J423="—",$J423=""),0,IF(COUNTIF(Decisions!$A$5:$A$300,$J423)=0,1,0))</f>
        <v>0</v>
      </c>
      <c r="AB423" s="183" t="n">
        <f aca="false">IF(AND($F423="原始數據",$S423&lt;&gt;"Active"),1,0)</f>
        <v>0</v>
      </c>
      <c r="AC423" s="183" t="n">
        <f aca="false">IF(AND(ISNUMBER($K423),ISNUMBER($L423),ISNUMBER($Q423)),IF(OR($Q423&lt;MIN($K423,$L423),$Q423&gt;MAX($K423,$L423)),1,0),0)</f>
        <v>0</v>
      </c>
      <c r="AD423" s="183" t="n">
        <f aca="false">IF(AND(ISNUMBER($T423),$P423="高"),IF($T423=3,1,0),0)</f>
        <v>0</v>
      </c>
      <c r="AE423" s="183" t="n">
        <f aca="false">IF($S423="不存在",1,0)</f>
        <v>0</v>
      </c>
      <c r="AF423" s="34" t="str">
        <f aca="false">IF(OR($H423="—",$H423=""),"—",MATCH($H423,IDX_SrcID,0))</f>
        <v>—</v>
      </c>
    </row>
    <row r="424" customFormat="false" ht="15" hidden="false" customHeight="true" outlineLevel="0" collapsed="false">
      <c r="A424" s="35" t="s">
        <v>3668</v>
      </c>
      <c r="B424" s="209" t="s">
        <v>2677</v>
      </c>
      <c r="C424" s="35" t="s">
        <v>2428</v>
      </c>
      <c r="D424" s="35" t="s">
        <v>3669</v>
      </c>
      <c r="E424" s="6" t="s">
        <v>329</v>
      </c>
      <c r="F424" s="209" t="s">
        <v>3529</v>
      </c>
      <c r="G424" s="209" t="s">
        <v>3420</v>
      </c>
      <c r="H424" s="35" t="s">
        <v>571</v>
      </c>
      <c r="I424" s="6" t="s">
        <v>571</v>
      </c>
      <c r="J424" s="35" t="s">
        <v>571</v>
      </c>
      <c r="K424" s="209"/>
      <c r="L424" s="209"/>
      <c r="M424" s="35" t="s">
        <v>571</v>
      </c>
      <c r="N424" s="18" t="s">
        <v>3667</v>
      </c>
      <c r="O424" s="6" t="s">
        <v>571</v>
      </c>
      <c r="P424" s="35" t="s">
        <v>571</v>
      </c>
      <c r="Q424" s="182" t="s">
        <v>571</v>
      </c>
      <c r="R424" s="35" t="s">
        <v>571</v>
      </c>
      <c r="S424" s="34" t="str">
        <f aca="false">IF(ISNUMBER($AF424),INDEX(IDX_SrcStat,$AF424),"—")</f>
        <v>—</v>
      </c>
      <c r="T424" s="34" t="str">
        <f aca="false">IF(ISNUMBER($AF424),INDEX(IDX_SrcGrade,$AF424),"—")</f>
        <v>—</v>
      </c>
      <c r="U424" s="35" t="s">
        <v>571</v>
      </c>
      <c r="V424" s="183" t="n">
        <f aca="false">IF(AND($F424="原始數據",$U424&lt;&gt;"連結 SRC"),1,0)</f>
        <v>0</v>
      </c>
      <c r="W424" s="183" t="n">
        <f aca="false">IF(AND($F424="Analogy",OR($H424="—",$H424="")),1,0)</f>
        <v>0</v>
      </c>
      <c r="X424" s="183" t="n">
        <f aca="false">IF(AND(OR($F424="Analogy",$F424="Assumed"),$G424&lt;&gt;"低",$G424&lt;&gt;"高",NOT(ISNUMBER($K424)),NOT(ISNUMBER($L424)),OR($M424="—",$M424="")),1,0)</f>
        <v>0</v>
      </c>
      <c r="Y424" s="183" t="n">
        <f aca="false">IF(AND(OR($F424="Analogy",$F424="Assumed",$F424="Derived（待改公式）",$F424="Derived（公式）"),OR($N424="—",$N424="",$N424=0)),1,0)</f>
        <v>0</v>
      </c>
      <c r="Z424" s="183" t="n">
        <f aca="false">IF(AND($F424="Decision",OR($J424="—",$J424="")),1,0)</f>
        <v>0</v>
      </c>
      <c r="AA424" s="180" t="n">
        <f aca="false">IF(OR($J424="—",$J424=""),0,IF(COUNTIF(Decisions!$A$5:$A$300,$J424)=0,1,0))</f>
        <v>0</v>
      </c>
      <c r="AB424" s="183" t="n">
        <f aca="false">IF(AND($F424="原始數據",$S424&lt;&gt;"Active"),1,0)</f>
        <v>0</v>
      </c>
      <c r="AC424" s="183" t="n">
        <f aca="false">IF(AND(ISNUMBER($K424),ISNUMBER($L424),ISNUMBER($Q424)),IF(OR($Q424&lt;MIN($K424,$L424),$Q424&gt;MAX($K424,$L424)),1,0),0)</f>
        <v>0</v>
      </c>
      <c r="AD424" s="183" t="n">
        <f aca="false">IF(AND(ISNUMBER($T424),$P424="高"),IF($T424=3,1,0),0)</f>
        <v>0</v>
      </c>
      <c r="AE424" s="183" t="n">
        <f aca="false">IF($S424="不存在",1,0)</f>
        <v>0</v>
      </c>
      <c r="AF424" s="34" t="str">
        <f aca="false">IF(OR($H424="—",$H424=""),"—",MATCH($H424,IDX_SrcID,0))</f>
        <v>—</v>
      </c>
    </row>
    <row r="425" customFormat="false" ht="15" hidden="false" customHeight="true" outlineLevel="0" collapsed="false">
      <c r="A425" s="35" t="s">
        <v>3670</v>
      </c>
      <c r="B425" s="209" t="s">
        <v>2677</v>
      </c>
      <c r="C425" s="35" t="s">
        <v>2428</v>
      </c>
      <c r="D425" s="35" t="s">
        <v>3671</v>
      </c>
      <c r="E425" s="18" t="s">
        <v>3672</v>
      </c>
      <c r="F425" s="209" t="s">
        <v>3529</v>
      </c>
      <c r="G425" s="209" t="s">
        <v>3420</v>
      </c>
      <c r="H425" s="35" t="s">
        <v>571</v>
      </c>
      <c r="I425" s="6" t="s">
        <v>571</v>
      </c>
      <c r="J425" s="35" t="s">
        <v>571</v>
      </c>
      <c r="K425" s="209"/>
      <c r="L425" s="209"/>
      <c r="M425" s="35" t="s">
        <v>571</v>
      </c>
      <c r="N425" s="18" t="s">
        <v>3667</v>
      </c>
      <c r="O425" s="6" t="s">
        <v>571</v>
      </c>
      <c r="P425" s="35" t="s">
        <v>571</v>
      </c>
      <c r="Q425" s="182" t="s">
        <v>571</v>
      </c>
      <c r="R425" s="35" t="s">
        <v>571</v>
      </c>
      <c r="S425" s="34" t="str">
        <f aca="false">IF(ISNUMBER($AF425),INDEX(IDX_SrcStat,$AF425),"—")</f>
        <v>—</v>
      </c>
      <c r="T425" s="34" t="str">
        <f aca="false">IF(ISNUMBER($AF425),INDEX(IDX_SrcGrade,$AF425),"—")</f>
        <v>—</v>
      </c>
      <c r="U425" s="35" t="s">
        <v>571</v>
      </c>
      <c r="V425" s="183" t="n">
        <f aca="false">IF(AND($F425="原始數據",$U425&lt;&gt;"連結 SRC"),1,0)</f>
        <v>0</v>
      </c>
      <c r="W425" s="183" t="n">
        <f aca="false">IF(AND($F425="Analogy",OR($H425="—",$H425="")),1,0)</f>
        <v>0</v>
      </c>
      <c r="X425" s="183" t="n">
        <f aca="false">IF(AND(OR($F425="Analogy",$F425="Assumed"),$G425&lt;&gt;"低",$G425&lt;&gt;"高",NOT(ISNUMBER($K425)),NOT(ISNUMBER($L425)),OR($M425="—",$M425="")),1,0)</f>
        <v>0</v>
      </c>
      <c r="Y425" s="183" t="n">
        <f aca="false">IF(AND(OR($F425="Analogy",$F425="Assumed",$F425="Derived（待改公式）",$F425="Derived（公式）"),OR($N425="—",$N425="",$N425=0)),1,0)</f>
        <v>0</v>
      </c>
      <c r="Z425" s="183" t="n">
        <f aca="false">IF(AND($F425="Decision",OR($J425="—",$J425="")),1,0)</f>
        <v>0</v>
      </c>
      <c r="AA425" s="180" t="n">
        <f aca="false">IF(OR($J425="—",$J425=""),0,IF(COUNTIF(Decisions!$A$5:$A$300,$J425)=0,1,0))</f>
        <v>0</v>
      </c>
      <c r="AB425" s="183" t="n">
        <f aca="false">IF(AND($F425="原始數據",$S425&lt;&gt;"Active"),1,0)</f>
        <v>0</v>
      </c>
      <c r="AC425" s="183" t="n">
        <f aca="false">IF(AND(ISNUMBER($K425),ISNUMBER($L425),ISNUMBER($Q425)),IF(OR($Q425&lt;MIN($K425,$L425),$Q425&gt;MAX($K425,$L425)),1,0),0)</f>
        <v>0</v>
      </c>
      <c r="AD425" s="183" t="n">
        <f aca="false">IF(AND(ISNUMBER($T425),$P425="高"),IF($T425=3,1,0),0)</f>
        <v>0</v>
      </c>
      <c r="AE425" s="183" t="n">
        <f aca="false">IF($S425="不存在",1,0)</f>
        <v>0</v>
      </c>
      <c r="AF425" s="34" t="str">
        <f aca="false">IF(OR($H425="—",$H425=""),"—",MATCH($H425,IDX_SrcID,0))</f>
        <v>—</v>
      </c>
    </row>
    <row r="426" customFormat="false" ht="15" hidden="false" customHeight="true" outlineLevel="0" collapsed="false">
      <c r="A426" s="35" t="s">
        <v>3673</v>
      </c>
      <c r="B426" s="209" t="s">
        <v>2677</v>
      </c>
      <c r="C426" s="35" t="s">
        <v>2428</v>
      </c>
      <c r="D426" s="35" t="s">
        <v>3674</v>
      </c>
      <c r="E426" s="18" t="s">
        <v>703</v>
      </c>
      <c r="F426" s="209" t="s">
        <v>3529</v>
      </c>
      <c r="G426" s="209" t="s">
        <v>3420</v>
      </c>
      <c r="H426" s="35" t="s">
        <v>571</v>
      </c>
      <c r="I426" s="6" t="s">
        <v>571</v>
      </c>
      <c r="J426" s="35" t="s">
        <v>571</v>
      </c>
      <c r="K426" s="209"/>
      <c r="L426" s="209"/>
      <c r="M426" s="35" t="s">
        <v>571</v>
      </c>
      <c r="N426" s="18" t="s">
        <v>3667</v>
      </c>
      <c r="O426" s="6" t="s">
        <v>571</v>
      </c>
      <c r="P426" s="35" t="s">
        <v>571</v>
      </c>
      <c r="Q426" s="182" t="s">
        <v>571</v>
      </c>
      <c r="R426" s="35" t="s">
        <v>571</v>
      </c>
      <c r="S426" s="34" t="str">
        <f aca="false">IF(ISNUMBER($AF426),INDEX(IDX_SrcStat,$AF426),"—")</f>
        <v>—</v>
      </c>
      <c r="T426" s="34" t="str">
        <f aca="false">IF(ISNUMBER($AF426),INDEX(IDX_SrcGrade,$AF426),"—")</f>
        <v>—</v>
      </c>
      <c r="U426" s="35" t="s">
        <v>571</v>
      </c>
      <c r="V426" s="183" t="n">
        <f aca="false">IF(AND($F426="原始數據",$U426&lt;&gt;"連結 SRC"),1,0)</f>
        <v>0</v>
      </c>
      <c r="W426" s="183" t="n">
        <f aca="false">IF(AND($F426="Analogy",OR($H426="—",$H426="")),1,0)</f>
        <v>0</v>
      </c>
      <c r="X426" s="183" t="n">
        <f aca="false">IF(AND(OR($F426="Analogy",$F426="Assumed"),$G426&lt;&gt;"低",$G426&lt;&gt;"高",NOT(ISNUMBER($K426)),NOT(ISNUMBER($L426)),OR($M426="—",$M426="")),1,0)</f>
        <v>0</v>
      </c>
      <c r="Y426" s="183" t="n">
        <f aca="false">IF(AND(OR($F426="Analogy",$F426="Assumed",$F426="Derived（待改公式）",$F426="Derived（公式）"),OR($N426="—",$N426="",$N426=0)),1,0)</f>
        <v>0</v>
      </c>
      <c r="Z426" s="183" t="n">
        <f aca="false">IF(AND($F426="Decision",OR($J426="—",$J426="")),1,0)</f>
        <v>0</v>
      </c>
      <c r="AA426" s="180" t="n">
        <f aca="false">IF(OR($J426="—",$J426=""),0,IF(COUNTIF(Decisions!$A$5:$A$300,$J426)=0,1,0))</f>
        <v>0</v>
      </c>
      <c r="AB426" s="183" t="n">
        <f aca="false">IF(AND($F426="原始數據",$S426&lt;&gt;"Active"),1,0)</f>
        <v>0</v>
      </c>
      <c r="AC426" s="183" t="n">
        <f aca="false">IF(AND(ISNUMBER($K426),ISNUMBER($L426),ISNUMBER($Q426)),IF(OR($Q426&lt;MIN($K426,$L426),$Q426&gt;MAX($K426,$L426)),1,0),0)</f>
        <v>0</v>
      </c>
      <c r="AD426" s="183" t="n">
        <f aca="false">IF(AND(ISNUMBER($T426),$P426="高"),IF($T426=3,1,0),0)</f>
        <v>0</v>
      </c>
      <c r="AE426" s="183" t="n">
        <f aca="false">IF($S426="不存在",1,0)</f>
        <v>0</v>
      </c>
      <c r="AF426" s="34" t="str">
        <f aca="false">IF(OR($H426="—",$H426=""),"—",MATCH($H426,IDX_SrcID,0))</f>
        <v>—</v>
      </c>
    </row>
    <row r="427" customFormat="false" ht="15" hidden="false" customHeight="true" outlineLevel="0" collapsed="false">
      <c r="A427" s="35" t="s">
        <v>3675</v>
      </c>
      <c r="B427" s="209" t="s">
        <v>2677</v>
      </c>
      <c r="C427" s="35" t="s">
        <v>2428</v>
      </c>
      <c r="D427" s="35" t="s">
        <v>3676</v>
      </c>
      <c r="E427" s="18" t="s">
        <v>325</v>
      </c>
      <c r="F427" s="209" t="s">
        <v>3529</v>
      </c>
      <c r="G427" s="209" t="s">
        <v>3420</v>
      </c>
      <c r="H427" s="35" t="s">
        <v>571</v>
      </c>
      <c r="I427" s="6" t="s">
        <v>571</v>
      </c>
      <c r="J427" s="35" t="s">
        <v>571</v>
      </c>
      <c r="K427" s="209"/>
      <c r="L427" s="209"/>
      <c r="M427" s="35" t="s">
        <v>571</v>
      </c>
      <c r="N427" s="18" t="s">
        <v>3667</v>
      </c>
      <c r="O427" s="6" t="s">
        <v>571</v>
      </c>
      <c r="P427" s="35" t="s">
        <v>571</v>
      </c>
      <c r="Q427" s="182" t="s">
        <v>571</v>
      </c>
      <c r="R427" s="35" t="s">
        <v>571</v>
      </c>
      <c r="S427" s="34" t="str">
        <f aca="false">IF(ISNUMBER($AF427),INDEX(IDX_SrcStat,$AF427),"—")</f>
        <v>—</v>
      </c>
      <c r="T427" s="34" t="str">
        <f aca="false">IF(ISNUMBER($AF427),INDEX(IDX_SrcGrade,$AF427),"—")</f>
        <v>—</v>
      </c>
      <c r="U427" s="35" t="s">
        <v>571</v>
      </c>
      <c r="V427" s="183" t="n">
        <f aca="false">IF(AND($F427="原始數據",$U427&lt;&gt;"連結 SRC"),1,0)</f>
        <v>0</v>
      </c>
      <c r="W427" s="183" t="n">
        <f aca="false">IF(AND($F427="Analogy",OR($H427="—",$H427="")),1,0)</f>
        <v>0</v>
      </c>
      <c r="X427" s="183" t="n">
        <f aca="false">IF(AND(OR($F427="Analogy",$F427="Assumed"),$G427&lt;&gt;"低",$G427&lt;&gt;"高",NOT(ISNUMBER($K427)),NOT(ISNUMBER($L427)),OR($M427="—",$M427="")),1,0)</f>
        <v>0</v>
      </c>
      <c r="Y427" s="183" t="n">
        <f aca="false">IF(AND(OR($F427="Analogy",$F427="Assumed",$F427="Derived（待改公式）",$F427="Derived（公式）"),OR($N427="—",$N427="",$N427=0)),1,0)</f>
        <v>0</v>
      </c>
      <c r="Z427" s="183" t="n">
        <f aca="false">IF(AND($F427="Decision",OR($J427="—",$J427="")),1,0)</f>
        <v>0</v>
      </c>
      <c r="AA427" s="180" t="n">
        <f aca="false">IF(OR($J427="—",$J427=""),0,IF(COUNTIF(Decisions!$A$5:$A$300,$J427)=0,1,0))</f>
        <v>0</v>
      </c>
      <c r="AB427" s="183" t="n">
        <f aca="false">IF(AND($F427="原始數據",$S427&lt;&gt;"Active"),1,0)</f>
        <v>0</v>
      </c>
      <c r="AC427" s="183" t="n">
        <f aca="false">IF(AND(ISNUMBER($K427),ISNUMBER($L427),ISNUMBER($Q427)),IF(OR($Q427&lt;MIN($K427,$L427),$Q427&gt;MAX($K427,$L427)),1,0),0)</f>
        <v>0</v>
      </c>
      <c r="AD427" s="183" t="n">
        <f aca="false">IF(AND(ISNUMBER($T427),$P427="高"),IF($T427=3,1,0),0)</f>
        <v>0</v>
      </c>
      <c r="AE427" s="183" t="n">
        <f aca="false">IF($S427="不存在",1,0)</f>
        <v>0</v>
      </c>
      <c r="AF427" s="34" t="str">
        <f aca="false">IF(OR($H427="—",$H427=""),"—",MATCH($H427,IDX_SrcID,0))</f>
        <v>—</v>
      </c>
    </row>
    <row r="428" customFormat="false" ht="43.5" hidden="false" customHeight="true" outlineLevel="0" collapsed="false">
      <c r="A428" s="35" t="s">
        <v>3677</v>
      </c>
      <c r="B428" s="209" t="s">
        <v>2677</v>
      </c>
      <c r="C428" s="35" t="s">
        <v>2428</v>
      </c>
      <c r="D428" s="35" t="s">
        <v>3678</v>
      </c>
      <c r="E428" s="6" t="s">
        <v>706</v>
      </c>
      <c r="F428" s="209" t="s">
        <v>3529</v>
      </c>
      <c r="G428" s="209" t="s">
        <v>3420</v>
      </c>
      <c r="H428" s="35" t="s">
        <v>571</v>
      </c>
      <c r="I428" s="6" t="s">
        <v>571</v>
      </c>
      <c r="J428" s="35" t="s">
        <v>571</v>
      </c>
      <c r="K428" s="209"/>
      <c r="L428" s="209"/>
      <c r="M428" s="35" t="s">
        <v>571</v>
      </c>
      <c r="N428" s="18" t="s">
        <v>3667</v>
      </c>
      <c r="O428" s="6" t="s">
        <v>571</v>
      </c>
      <c r="P428" s="35" t="s">
        <v>571</v>
      </c>
      <c r="Q428" s="182" t="s">
        <v>571</v>
      </c>
      <c r="R428" s="35" t="s">
        <v>571</v>
      </c>
      <c r="S428" s="34" t="str">
        <f aca="false">IF(ISNUMBER($AF428),INDEX(IDX_SrcStat,$AF428),"—")</f>
        <v>—</v>
      </c>
      <c r="T428" s="34" t="str">
        <f aca="false">IF(ISNUMBER($AF428),INDEX(IDX_SrcGrade,$AF428),"—")</f>
        <v>—</v>
      </c>
      <c r="U428" s="35" t="s">
        <v>571</v>
      </c>
      <c r="V428" s="183" t="n">
        <f aca="false">IF(AND($F428="原始數據",$U428&lt;&gt;"連結 SRC"),1,0)</f>
        <v>0</v>
      </c>
      <c r="W428" s="183" t="n">
        <f aca="false">IF(AND($F428="Analogy",OR($H428="—",$H428="")),1,0)</f>
        <v>0</v>
      </c>
      <c r="X428" s="183" t="n">
        <f aca="false">IF(AND(OR($F428="Analogy",$F428="Assumed"),$G428&lt;&gt;"低",$G428&lt;&gt;"高",NOT(ISNUMBER($K428)),NOT(ISNUMBER($L428)),OR($M428="—",$M428="")),1,0)</f>
        <v>0</v>
      </c>
      <c r="Y428" s="183" t="n">
        <f aca="false">IF(AND(OR($F428="Analogy",$F428="Assumed",$F428="Derived（待改公式）",$F428="Derived（公式）"),OR($N428="—",$N428="",$N428=0)),1,0)</f>
        <v>0</v>
      </c>
      <c r="Z428" s="183" t="n">
        <f aca="false">IF(AND($F428="Decision",OR($J428="—",$J428="")),1,0)</f>
        <v>0</v>
      </c>
      <c r="AA428" s="180" t="n">
        <f aca="false">IF(OR($J428="—",$J428=""),0,IF(COUNTIF(Decisions!$A$5:$A$300,$J428)=0,1,0))</f>
        <v>0</v>
      </c>
      <c r="AB428" s="183" t="n">
        <f aca="false">IF(AND($F428="原始數據",$S428&lt;&gt;"Active"),1,0)</f>
        <v>0</v>
      </c>
      <c r="AC428" s="183" t="n">
        <f aca="false">IF(AND(ISNUMBER($K428),ISNUMBER($L428),ISNUMBER($Q428)),IF(OR($Q428&lt;MIN($K428,$L428),$Q428&gt;MAX($K428,$L428)),1,0),0)</f>
        <v>0</v>
      </c>
      <c r="AD428" s="183" t="n">
        <f aca="false">IF(AND(ISNUMBER($T428),$P428="高"),IF($T428=3,1,0),0)</f>
        <v>0</v>
      </c>
      <c r="AE428" s="183" t="n">
        <f aca="false">IF($S428="不存在",1,0)</f>
        <v>0</v>
      </c>
      <c r="AF428" s="34" t="str">
        <f aca="false">IF(OR($H428="—",$H428=""),"—",MATCH($H428,IDX_SrcID,0))</f>
        <v>—</v>
      </c>
    </row>
    <row r="429" customFormat="false" ht="29.25" hidden="false" customHeight="true" outlineLevel="0" collapsed="false">
      <c r="A429" s="35" t="s">
        <v>3679</v>
      </c>
      <c r="B429" s="209" t="s">
        <v>2677</v>
      </c>
      <c r="C429" s="35" t="s">
        <v>2428</v>
      </c>
      <c r="D429" s="35" t="s">
        <v>3680</v>
      </c>
      <c r="E429" s="18" t="s">
        <v>3681</v>
      </c>
      <c r="F429" s="209" t="s">
        <v>3529</v>
      </c>
      <c r="G429" s="209" t="s">
        <v>3420</v>
      </c>
      <c r="H429" s="35" t="s">
        <v>571</v>
      </c>
      <c r="I429" s="6" t="s">
        <v>571</v>
      </c>
      <c r="J429" s="35" t="s">
        <v>571</v>
      </c>
      <c r="K429" s="209"/>
      <c r="L429" s="209"/>
      <c r="M429" s="35" t="s">
        <v>571</v>
      </c>
      <c r="N429" s="18" t="s">
        <v>3667</v>
      </c>
      <c r="O429" s="6" t="s">
        <v>571</v>
      </c>
      <c r="P429" s="35" t="s">
        <v>571</v>
      </c>
      <c r="Q429" s="182" t="s">
        <v>571</v>
      </c>
      <c r="R429" s="35" t="s">
        <v>571</v>
      </c>
      <c r="S429" s="34" t="str">
        <f aca="false">IF(ISNUMBER($AF429),INDEX(IDX_SrcStat,$AF429),"—")</f>
        <v>—</v>
      </c>
      <c r="T429" s="34" t="str">
        <f aca="false">IF(ISNUMBER($AF429),INDEX(IDX_SrcGrade,$AF429),"—")</f>
        <v>—</v>
      </c>
      <c r="U429" s="35" t="s">
        <v>571</v>
      </c>
      <c r="V429" s="183" t="n">
        <f aca="false">IF(AND($F429="原始數據",$U429&lt;&gt;"連結 SRC"),1,0)</f>
        <v>0</v>
      </c>
      <c r="W429" s="183" t="n">
        <f aca="false">IF(AND($F429="Analogy",OR($H429="—",$H429="")),1,0)</f>
        <v>0</v>
      </c>
      <c r="X429" s="183" t="n">
        <f aca="false">IF(AND(OR($F429="Analogy",$F429="Assumed"),$G429&lt;&gt;"低",$G429&lt;&gt;"高",NOT(ISNUMBER($K429)),NOT(ISNUMBER($L429)),OR($M429="—",$M429="")),1,0)</f>
        <v>0</v>
      </c>
      <c r="Y429" s="183" t="n">
        <f aca="false">IF(AND(OR($F429="Analogy",$F429="Assumed",$F429="Derived（待改公式）",$F429="Derived（公式）"),OR($N429="—",$N429="",$N429=0)),1,0)</f>
        <v>0</v>
      </c>
      <c r="Z429" s="183" t="n">
        <f aca="false">IF(AND($F429="Decision",OR($J429="—",$J429="")),1,0)</f>
        <v>0</v>
      </c>
      <c r="AA429" s="180" t="n">
        <f aca="false">IF(OR($J429="—",$J429=""),0,IF(COUNTIF(Decisions!$A$5:$A$300,$J429)=0,1,0))</f>
        <v>0</v>
      </c>
      <c r="AB429" s="183" t="n">
        <f aca="false">IF(AND($F429="原始數據",$S429&lt;&gt;"Active"),1,0)</f>
        <v>0</v>
      </c>
      <c r="AC429" s="183" t="n">
        <f aca="false">IF(AND(ISNUMBER($K429),ISNUMBER($L429),ISNUMBER($Q429)),IF(OR($Q429&lt;MIN($K429,$L429),$Q429&gt;MAX($K429,$L429)),1,0),0)</f>
        <v>0</v>
      </c>
      <c r="AD429" s="183" t="n">
        <f aca="false">IF(AND(ISNUMBER($T429),$P429="高"),IF($T429=3,1,0),0)</f>
        <v>0</v>
      </c>
      <c r="AE429" s="183" t="n">
        <f aca="false">IF($S429="不存在",1,0)</f>
        <v>0</v>
      </c>
      <c r="AF429" s="34" t="str">
        <f aca="false">IF(OR($H429="—",$H429=""),"—",MATCH($H429,IDX_SrcID,0))</f>
        <v>—</v>
      </c>
    </row>
    <row r="430" customFormat="false" ht="15" hidden="false" customHeight="true" outlineLevel="0" collapsed="false">
      <c r="A430" s="35" t="s">
        <v>3682</v>
      </c>
      <c r="B430" s="209" t="s">
        <v>2677</v>
      </c>
      <c r="C430" s="35" t="s">
        <v>3683</v>
      </c>
      <c r="D430" s="35" t="s">
        <v>3657</v>
      </c>
      <c r="E430" s="18" t="s">
        <v>407</v>
      </c>
      <c r="F430" s="209" t="s">
        <v>3419</v>
      </c>
      <c r="G430" s="209" t="s">
        <v>3420</v>
      </c>
      <c r="H430" s="35" t="s">
        <v>571</v>
      </c>
      <c r="I430" s="6" t="s">
        <v>571</v>
      </c>
      <c r="J430" s="35" t="s">
        <v>571</v>
      </c>
      <c r="K430" s="209"/>
      <c r="L430" s="209"/>
      <c r="M430" s="35" t="s">
        <v>571</v>
      </c>
      <c r="N430" s="18" t="s">
        <v>3658</v>
      </c>
      <c r="O430" s="6" t="s">
        <v>571</v>
      </c>
      <c r="P430" s="35" t="s">
        <v>571</v>
      </c>
      <c r="Q430" s="182" t="s">
        <v>571</v>
      </c>
      <c r="R430" s="35" t="s">
        <v>571</v>
      </c>
      <c r="S430" s="34" t="str">
        <f aca="false">IF(ISNUMBER($AF430),INDEX(IDX_SrcStat,$AF430),"—")</f>
        <v>—</v>
      </c>
      <c r="T430" s="34" t="str">
        <f aca="false">IF(ISNUMBER($AF430),INDEX(IDX_SrcGrade,$AF430),"—")</f>
        <v>—</v>
      </c>
      <c r="U430" s="35" t="s">
        <v>571</v>
      </c>
      <c r="V430" s="183" t="n">
        <f aca="false">IF(AND($F430="原始數據",$U430&lt;&gt;"連結 SRC"),1,0)</f>
        <v>0</v>
      </c>
      <c r="W430" s="183" t="n">
        <f aca="false">IF(AND($F430="Analogy",OR($H430="—",$H430="")),1,0)</f>
        <v>0</v>
      </c>
      <c r="X430" s="183" t="n">
        <f aca="false">IF(AND(OR($F430="Analogy",$F430="Assumed"),$G430&lt;&gt;"低",$G430&lt;&gt;"高",NOT(ISNUMBER($K430)),NOT(ISNUMBER($L430)),OR($M430="—",$M430="")),1,0)</f>
        <v>0</v>
      </c>
      <c r="Y430" s="183" t="n">
        <f aca="false">IF(AND(OR($F430="Analogy",$F430="Assumed",$F430="Derived（待改公式）",$F430="Derived（公式）"),OR($N430="—",$N430="",$N430=0)),1,0)</f>
        <v>0</v>
      </c>
      <c r="Z430" s="183" t="n">
        <f aca="false">IF(AND($F430="Decision",OR($J430="—",$J430="")),1,0)</f>
        <v>0</v>
      </c>
      <c r="AA430" s="180" t="n">
        <f aca="false">IF(OR($J430="—",$J430=""),0,IF(COUNTIF(Decisions!$A$5:$A$300,$J430)=0,1,0))</f>
        <v>0</v>
      </c>
      <c r="AB430" s="183" t="n">
        <f aca="false">IF(AND($F430="原始數據",$S430&lt;&gt;"Active"),1,0)</f>
        <v>0</v>
      </c>
      <c r="AC430" s="183" t="n">
        <f aca="false">IF(AND(ISNUMBER($K430),ISNUMBER($L430),ISNUMBER($Q430)),IF(OR($Q430&lt;MIN($K430,$L430),$Q430&gt;MAX($K430,$L430)),1,0),0)</f>
        <v>0</v>
      </c>
      <c r="AD430" s="183" t="n">
        <f aca="false">IF(AND(ISNUMBER($T430),$P430="高"),IF($T430=3,1,0),0)</f>
        <v>0</v>
      </c>
      <c r="AE430" s="183" t="n">
        <f aca="false">IF($S430="不存在",1,0)</f>
        <v>0</v>
      </c>
      <c r="AF430" s="34" t="str">
        <f aca="false">IF(OR($H430="—",$H430=""),"—",MATCH($H430,IDX_SrcID,0))</f>
        <v>—</v>
      </c>
    </row>
    <row r="431" customFormat="false" ht="15" hidden="false" customHeight="true" outlineLevel="0" collapsed="false">
      <c r="A431" s="35" t="s">
        <v>3684</v>
      </c>
      <c r="B431" s="209" t="s">
        <v>3685</v>
      </c>
      <c r="C431" s="35" t="s">
        <v>3686</v>
      </c>
      <c r="D431" s="35" t="s">
        <v>2979</v>
      </c>
      <c r="E431" s="18" t="s">
        <v>3687</v>
      </c>
      <c r="F431" s="209" t="s">
        <v>290</v>
      </c>
      <c r="G431" s="209" t="s">
        <v>2679</v>
      </c>
      <c r="H431" s="35" t="s">
        <v>3688</v>
      </c>
      <c r="I431" s="18" t="s">
        <v>2714</v>
      </c>
      <c r="J431" s="35" t="s">
        <v>571</v>
      </c>
      <c r="K431" s="209"/>
      <c r="L431" s="209"/>
      <c r="M431" s="35" t="s">
        <v>571</v>
      </c>
      <c r="N431" s="18" t="s">
        <v>2812</v>
      </c>
      <c r="O431" s="6" t="s">
        <v>571</v>
      </c>
      <c r="P431" s="209" t="s">
        <v>1100</v>
      </c>
      <c r="Q431" s="175" t="n">
        <f aca="false">Train_In!C25</f>
        <v>32</v>
      </c>
      <c r="R431" s="182" t="n">
        <f aca="false">SRC_MOD_029</f>
        <v>32</v>
      </c>
      <c r="S431" s="34" t="str">
        <f aca="false">IF(ISNUMBER($AF431),INDEX(IDX_SrcStat,$AF431),"—")</f>
        <v>Active</v>
      </c>
      <c r="T431" s="34" t="n">
        <f aca="false">IF(ISNUMBER($AF431),INDEX(IDX_SrcGrade,$AF431),"—")</f>
        <v>1</v>
      </c>
      <c r="U431" s="34" t="s">
        <v>2716</v>
      </c>
      <c r="V431" s="183" t="n">
        <f aca="false">IF(AND($F431="原始數據",$U431&lt;&gt;"連結 SRC"),1,0)</f>
        <v>0</v>
      </c>
      <c r="W431" s="183" t="n">
        <f aca="false">IF(AND($F431="Analogy",OR($H431="—",$H431="")),1,0)</f>
        <v>0</v>
      </c>
      <c r="X431" s="183" t="n">
        <f aca="false">IF(AND(OR($F431="Analogy",$F431="Assumed"),$G431&lt;&gt;"低",$G431&lt;&gt;"高",NOT(ISNUMBER($K431)),NOT(ISNUMBER($L431)),OR($M431="—",$M431="")),1,0)</f>
        <v>0</v>
      </c>
      <c r="Y431" s="183" t="n">
        <f aca="false">IF(AND(OR($F431="Analogy",$F431="Assumed",$F431="Derived（待改公式）",$F431="Derived（公式）"),OR($N431="—",$N431="",$N431=0)),1,0)</f>
        <v>0</v>
      </c>
      <c r="Z431" s="183" t="n">
        <f aca="false">IF(AND($F431="Decision",OR($J431="—",$J431="")),1,0)</f>
        <v>0</v>
      </c>
      <c r="AA431" s="180" t="n">
        <f aca="false">IF(OR($J431="—",$J431=""),0,IF(COUNTIF(Decisions!$A$5:$A$300,$J431)=0,1,0))</f>
        <v>0</v>
      </c>
      <c r="AB431" s="183" t="n">
        <f aca="false">IF(AND($F431="原始數據",$S431&lt;&gt;"Active"),1,0)</f>
        <v>0</v>
      </c>
      <c r="AC431" s="183" t="n">
        <f aca="false">IF(AND(ISNUMBER($K431),ISNUMBER($L431),ISNUMBER($Q431)),IF(OR($Q431&lt;MIN($K431,$L431),$Q431&gt;MAX($K431,$L431)),1,0),0)</f>
        <v>0</v>
      </c>
      <c r="AD431" s="183" t="n">
        <f aca="false">IF(AND(ISNUMBER($T431),$P431="高"),IF($T431=3,1,0),0)</f>
        <v>0</v>
      </c>
      <c r="AE431" s="183" t="n">
        <f aca="false">IF($S431="不存在",1,0)</f>
        <v>0</v>
      </c>
      <c r="AF431" s="34" t="n">
        <f aca="false">IF(OR($H431="—",$H431=""),"—",MATCH($H431,IDX_SrcID,0))</f>
        <v>206</v>
      </c>
    </row>
    <row r="432" customFormat="false" ht="15" hidden="false" customHeight="true" outlineLevel="0" collapsed="false">
      <c r="A432" s="35" t="s">
        <v>3689</v>
      </c>
      <c r="B432" s="209" t="s">
        <v>3685</v>
      </c>
      <c r="C432" s="35" t="s">
        <v>3686</v>
      </c>
      <c r="D432" s="35" t="s">
        <v>2982</v>
      </c>
      <c r="E432" s="18" t="s">
        <v>3687</v>
      </c>
      <c r="F432" s="209" t="s">
        <v>290</v>
      </c>
      <c r="G432" s="209" t="s">
        <v>2679</v>
      </c>
      <c r="H432" s="35" t="s">
        <v>3690</v>
      </c>
      <c r="I432" s="18" t="s">
        <v>2714</v>
      </c>
      <c r="J432" s="35" t="s">
        <v>571</v>
      </c>
      <c r="K432" s="209"/>
      <c r="L432" s="209"/>
      <c r="M432" s="35" t="s">
        <v>571</v>
      </c>
      <c r="N432" s="18" t="s">
        <v>2812</v>
      </c>
      <c r="O432" s="6" t="s">
        <v>571</v>
      </c>
      <c r="P432" s="209" t="s">
        <v>1100</v>
      </c>
      <c r="Q432" s="175" t="n">
        <f aca="false">Train_In!D25</f>
        <v>33</v>
      </c>
      <c r="R432" s="182" t="n">
        <f aca="false">SRC_MOD_030</f>
        <v>33</v>
      </c>
      <c r="S432" s="34" t="str">
        <f aca="false">IF(ISNUMBER($AF432),INDEX(IDX_SrcStat,$AF432),"—")</f>
        <v>Active</v>
      </c>
      <c r="T432" s="34" t="n">
        <f aca="false">IF(ISNUMBER($AF432),INDEX(IDX_SrcGrade,$AF432),"—")</f>
        <v>1</v>
      </c>
      <c r="U432" s="34" t="s">
        <v>2716</v>
      </c>
      <c r="V432" s="183" t="n">
        <f aca="false">IF(AND($F432="原始數據",$U432&lt;&gt;"連結 SRC"),1,0)</f>
        <v>0</v>
      </c>
      <c r="W432" s="183" t="n">
        <f aca="false">IF(AND($F432="Analogy",OR($H432="—",$H432="")),1,0)</f>
        <v>0</v>
      </c>
      <c r="X432" s="183" t="n">
        <f aca="false">IF(AND(OR($F432="Analogy",$F432="Assumed"),$G432&lt;&gt;"低",$G432&lt;&gt;"高",NOT(ISNUMBER($K432)),NOT(ISNUMBER($L432)),OR($M432="—",$M432="")),1,0)</f>
        <v>0</v>
      </c>
      <c r="Y432" s="183" t="n">
        <f aca="false">IF(AND(OR($F432="Analogy",$F432="Assumed",$F432="Derived（待改公式）",$F432="Derived（公式）"),OR($N432="—",$N432="",$N432=0)),1,0)</f>
        <v>0</v>
      </c>
      <c r="Z432" s="183" t="n">
        <f aca="false">IF(AND($F432="Decision",OR($J432="—",$J432="")),1,0)</f>
        <v>0</v>
      </c>
      <c r="AA432" s="180" t="n">
        <f aca="false">IF(OR($J432="—",$J432=""),0,IF(COUNTIF(Decisions!$A$5:$A$300,$J432)=0,1,0))</f>
        <v>0</v>
      </c>
      <c r="AB432" s="183" t="n">
        <f aca="false">IF(AND($F432="原始數據",$S432&lt;&gt;"Active"),1,0)</f>
        <v>0</v>
      </c>
      <c r="AC432" s="183" t="n">
        <f aca="false">IF(AND(ISNUMBER($K432),ISNUMBER($L432),ISNUMBER($Q432)),IF(OR($Q432&lt;MIN($K432,$L432),$Q432&gt;MAX($K432,$L432)),1,0),0)</f>
        <v>0</v>
      </c>
      <c r="AD432" s="183" t="n">
        <f aca="false">IF(AND(ISNUMBER($T432),$P432="高"),IF($T432=3,1,0),0)</f>
        <v>0</v>
      </c>
      <c r="AE432" s="183" t="n">
        <f aca="false">IF($S432="不存在",1,0)</f>
        <v>0</v>
      </c>
      <c r="AF432" s="34" t="n">
        <f aca="false">IF(OR($H432="—",$H432=""),"—",MATCH($H432,IDX_SrcID,0))</f>
        <v>207</v>
      </c>
    </row>
    <row r="433" customFormat="false" ht="15" hidden="false" customHeight="true" outlineLevel="0" collapsed="false">
      <c r="A433" s="35" t="s">
        <v>3691</v>
      </c>
      <c r="B433" s="209" t="s">
        <v>3685</v>
      </c>
      <c r="C433" s="35" t="s">
        <v>3686</v>
      </c>
      <c r="D433" s="35" t="s">
        <v>2995</v>
      </c>
      <c r="E433" s="18" t="s">
        <v>3692</v>
      </c>
      <c r="F433" s="209" t="s">
        <v>290</v>
      </c>
      <c r="G433" s="209" t="s">
        <v>2679</v>
      </c>
      <c r="H433" s="35" t="s">
        <v>3693</v>
      </c>
      <c r="I433" s="18" t="s">
        <v>2714</v>
      </c>
      <c r="J433" s="35" t="s">
        <v>571</v>
      </c>
      <c r="K433" s="209"/>
      <c r="L433" s="209"/>
      <c r="M433" s="35" t="s">
        <v>571</v>
      </c>
      <c r="N433" s="18" t="s">
        <v>2812</v>
      </c>
      <c r="O433" s="6" t="s">
        <v>571</v>
      </c>
      <c r="P433" s="209" t="s">
        <v>2738</v>
      </c>
      <c r="Q433" s="40" t="n">
        <f aca="false">Train_In!C26</f>
        <v>4096</v>
      </c>
      <c r="R433" s="182" t="n">
        <f aca="false">SRC_MOD_031</f>
        <v>4096</v>
      </c>
      <c r="S433" s="34" t="str">
        <f aca="false">IF(ISNUMBER($AF433),INDEX(IDX_SrcStat,$AF433),"—")</f>
        <v>Active</v>
      </c>
      <c r="T433" s="34" t="n">
        <f aca="false">IF(ISNUMBER($AF433),INDEX(IDX_SrcGrade,$AF433),"—")</f>
        <v>1</v>
      </c>
      <c r="U433" s="34" t="s">
        <v>2716</v>
      </c>
      <c r="V433" s="183" t="n">
        <f aca="false">IF(AND($F433="原始數據",$U433&lt;&gt;"連結 SRC"),1,0)</f>
        <v>0</v>
      </c>
      <c r="W433" s="183" t="n">
        <f aca="false">IF(AND($F433="Analogy",OR($H433="—",$H433="")),1,0)</f>
        <v>0</v>
      </c>
      <c r="X433" s="183" t="n">
        <f aca="false">IF(AND(OR($F433="Analogy",$F433="Assumed"),$G433&lt;&gt;"低",$G433&lt;&gt;"高",NOT(ISNUMBER($K433)),NOT(ISNUMBER($L433)),OR($M433="—",$M433="")),1,0)</f>
        <v>0</v>
      </c>
      <c r="Y433" s="183" t="n">
        <f aca="false">IF(AND(OR($F433="Analogy",$F433="Assumed",$F433="Derived（待改公式）",$F433="Derived（公式）"),OR($N433="—",$N433="",$N433=0)),1,0)</f>
        <v>0</v>
      </c>
      <c r="Z433" s="183" t="n">
        <f aca="false">IF(AND($F433="Decision",OR($J433="—",$J433="")),1,0)</f>
        <v>0</v>
      </c>
      <c r="AA433" s="180" t="n">
        <f aca="false">IF(OR($J433="—",$J433=""),0,IF(COUNTIF(Decisions!$A$5:$A$300,$J433)=0,1,0))</f>
        <v>0</v>
      </c>
      <c r="AB433" s="183" t="n">
        <f aca="false">IF(AND($F433="原始數據",$S433&lt;&gt;"Active"),1,0)</f>
        <v>0</v>
      </c>
      <c r="AC433" s="183" t="n">
        <f aca="false">IF(AND(ISNUMBER($K433),ISNUMBER($L433),ISNUMBER($Q433)),IF(OR($Q433&lt;MIN($K433,$L433),$Q433&gt;MAX($K433,$L433)),1,0),0)</f>
        <v>0</v>
      </c>
      <c r="AD433" s="183" t="n">
        <f aca="false">IF(AND(ISNUMBER($T433),$P433="高"),IF($T433=3,1,0),0)</f>
        <v>0</v>
      </c>
      <c r="AE433" s="183" t="n">
        <f aca="false">IF($S433="不存在",1,0)</f>
        <v>0</v>
      </c>
      <c r="AF433" s="34" t="n">
        <f aca="false">IF(OR($H433="—",$H433=""),"—",MATCH($H433,IDX_SrcID,0))</f>
        <v>208</v>
      </c>
    </row>
    <row r="434" customFormat="false" ht="15" hidden="false" customHeight="true" outlineLevel="0" collapsed="false">
      <c r="A434" s="35" t="s">
        <v>3694</v>
      </c>
      <c r="B434" s="209" t="s">
        <v>3685</v>
      </c>
      <c r="C434" s="35" t="s">
        <v>3686</v>
      </c>
      <c r="D434" s="35" t="s">
        <v>2998</v>
      </c>
      <c r="E434" s="18" t="s">
        <v>3692</v>
      </c>
      <c r="F434" s="209" t="s">
        <v>290</v>
      </c>
      <c r="G434" s="209" t="s">
        <v>2679</v>
      </c>
      <c r="H434" s="35" t="s">
        <v>3693</v>
      </c>
      <c r="I434" s="18" t="s">
        <v>2714</v>
      </c>
      <c r="J434" s="35" t="s">
        <v>571</v>
      </c>
      <c r="K434" s="209"/>
      <c r="L434" s="209"/>
      <c r="M434" s="35" t="s">
        <v>571</v>
      </c>
      <c r="N434" s="18" t="s">
        <v>2812</v>
      </c>
      <c r="O434" s="6" t="s">
        <v>571</v>
      </c>
      <c r="P434" s="209" t="s">
        <v>2738</v>
      </c>
      <c r="Q434" s="40" t="n">
        <f aca="false">Train_In!D26</f>
        <v>4096</v>
      </c>
      <c r="R434" s="182" t="n">
        <f aca="false">SRC_MOD_031</f>
        <v>4096</v>
      </c>
      <c r="S434" s="34" t="str">
        <f aca="false">IF(ISNUMBER($AF434),INDEX(IDX_SrcStat,$AF434),"—")</f>
        <v>Active</v>
      </c>
      <c r="T434" s="34" t="n">
        <f aca="false">IF(ISNUMBER($AF434),INDEX(IDX_SrcGrade,$AF434),"—")</f>
        <v>1</v>
      </c>
      <c r="U434" s="34" t="s">
        <v>2716</v>
      </c>
      <c r="V434" s="183" t="n">
        <f aca="false">IF(AND($F434="原始數據",$U434&lt;&gt;"連結 SRC"),1,0)</f>
        <v>0</v>
      </c>
      <c r="W434" s="183" t="n">
        <f aca="false">IF(AND($F434="Analogy",OR($H434="—",$H434="")),1,0)</f>
        <v>0</v>
      </c>
      <c r="X434" s="183" t="n">
        <f aca="false">IF(AND(OR($F434="Analogy",$F434="Assumed"),$G434&lt;&gt;"低",$G434&lt;&gt;"高",NOT(ISNUMBER($K434)),NOT(ISNUMBER($L434)),OR($M434="—",$M434="")),1,0)</f>
        <v>0</v>
      </c>
      <c r="Y434" s="183" t="n">
        <f aca="false">IF(AND(OR($F434="Analogy",$F434="Assumed",$F434="Derived（待改公式）",$F434="Derived（公式）"),OR($N434="—",$N434="",$N434=0)),1,0)</f>
        <v>0</v>
      </c>
      <c r="Z434" s="183" t="n">
        <f aca="false">IF(AND($F434="Decision",OR($J434="—",$J434="")),1,0)</f>
        <v>0</v>
      </c>
      <c r="AA434" s="180" t="n">
        <f aca="false">IF(OR($J434="—",$J434=""),0,IF(COUNTIF(Decisions!$A$5:$A$300,$J434)=0,1,0))</f>
        <v>0</v>
      </c>
      <c r="AB434" s="183" t="n">
        <f aca="false">IF(AND($F434="原始數據",$S434&lt;&gt;"Active"),1,0)</f>
        <v>0</v>
      </c>
      <c r="AC434" s="183" t="n">
        <f aca="false">IF(AND(ISNUMBER($K434),ISNUMBER($L434),ISNUMBER($Q434)),IF(OR($Q434&lt;MIN($K434,$L434),$Q434&gt;MAX($K434,$L434)),1,0),0)</f>
        <v>0</v>
      </c>
      <c r="AD434" s="183" t="n">
        <f aca="false">IF(AND(ISNUMBER($T434),$P434="高"),IF($T434=3,1,0),0)</f>
        <v>0</v>
      </c>
      <c r="AE434" s="183" t="n">
        <f aca="false">IF($S434="不存在",1,0)</f>
        <v>0</v>
      </c>
      <c r="AF434" s="34" t="n">
        <f aca="false">IF(OR($H434="—",$H434=""),"—",MATCH($H434,IDX_SrcID,0))</f>
        <v>208</v>
      </c>
    </row>
    <row r="435" customFormat="false" ht="15" hidden="false" customHeight="true" outlineLevel="0" collapsed="false">
      <c r="A435" s="35" t="s">
        <v>3695</v>
      </c>
      <c r="B435" s="209" t="s">
        <v>3685</v>
      </c>
      <c r="C435" s="35" t="s">
        <v>3686</v>
      </c>
      <c r="D435" s="35" t="s">
        <v>3140</v>
      </c>
      <c r="E435" s="6" t="s">
        <v>929</v>
      </c>
      <c r="F435" s="209" t="s">
        <v>290</v>
      </c>
      <c r="G435" s="209" t="s">
        <v>2679</v>
      </c>
      <c r="H435" s="35" t="s">
        <v>3696</v>
      </c>
      <c r="I435" s="18" t="s">
        <v>2714</v>
      </c>
      <c r="J435" s="35" t="s">
        <v>571</v>
      </c>
      <c r="K435" s="209"/>
      <c r="L435" s="209"/>
      <c r="M435" s="35" t="s">
        <v>571</v>
      </c>
      <c r="N435" s="18" t="s">
        <v>2812</v>
      </c>
      <c r="O435" s="6" t="s">
        <v>571</v>
      </c>
      <c r="P435" s="209" t="s">
        <v>2682</v>
      </c>
      <c r="Q435" s="175" t="n">
        <f aca="false">Train_In!C41</f>
        <v>14.8</v>
      </c>
      <c r="R435" s="182" t="n">
        <f aca="false">SRC_MOD_039</f>
        <v>14.8</v>
      </c>
      <c r="S435" s="34" t="str">
        <f aca="false">IF(ISNUMBER($AF435),INDEX(IDX_SrcStat,$AF435),"—")</f>
        <v>Active</v>
      </c>
      <c r="T435" s="34" t="n">
        <f aca="false">IF(ISNUMBER($AF435),INDEX(IDX_SrcGrade,$AF435),"—")</f>
        <v>3</v>
      </c>
      <c r="U435" s="34" t="s">
        <v>2716</v>
      </c>
      <c r="V435" s="183" t="n">
        <f aca="false">IF(AND($F435="原始數據",$U435&lt;&gt;"連結 SRC"),1,0)</f>
        <v>0</v>
      </c>
      <c r="W435" s="183" t="n">
        <f aca="false">IF(AND($F435="Analogy",OR($H435="—",$H435="")),1,0)</f>
        <v>0</v>
      </c>
      <c r="X435" s="183" t="n">
        <f aca="false">IF(AND(OR($F435="Analogy",$F435="Assumed"),$G435&lt;&gt;"低",$G435&lt;&gt;"高",NOT(ISNUMBER($K435)),NOT(ISNUMBER($L435)),OR($M435="—",$M435="")),1,0)</f>
        <v>0</v>
      </c>
      <c r="Y435" s="183" t="n">
        <f aca="false">IF(AND(OR($F435="Analogy",$F435="Assumed",$F435="Derived（待改公式）",$F435="Derived（公式）"),OR($N435="—",$N435="",$N435=0)),1,0)</f>
        <v>0</v>
      </c>
      <c r="Z435" s="183" t="n">
        <f aca="false">IF(AND($F435="Decision",OR($J435="—",$J435="")),1,0)</f>
        <v>0</v>
      </c>
      <c r="AA435" s="180" t="n">
        <f aca="false">IF(OR($J435="—",$J435=""),0,IF(COUNTIF(Decisions!$A$5:$A$300,$J435)=0,1,0))</f>
        <v>0</v>
      </c>
      <c r="AB435" s="183" t="n">
        <f aca="false">IF(AND($F435="原始數據",$S435&lt;&gt;"Active"),1,0)</f>
        <v>0</v>
      </c>
      <c r="AC435" s="183" t="n">
        <f aca="false">IF(AND(ISNUMBER($K435),ISNUMBER($L435),ISNUMBER($Q435)),IF(OR($Q435&lt;MIN($K435,$L435),$Q435&gt;MAX($K435,$L435)),1,0),0)</f>
        <v>0</v>
      </c>
      <c r="AD435" s="183" t="n">
        <f aca="false">IF(AND(ISNUMBER($T435),$P435="高"),IF($T435=3,1,0),0)</f>
        <v>0</v>
      </c>
      <c r="AE435" s="183" t="n">
        <f aca="false">IF($S435="不存在",1,0)</f>
        <v>0</v>
      </c>
      <c r="AF435" s="34" t="n">
        <f aca="false">IF(OR($H435="—",$H435=""),"—",MATCH($H435,IDX_SrcID,0))</f>
        <v>216</v>
      </c>
    </row>
    <row r="436" customFormat="false" ht="29.25" hidden="false" customHeight="true" outlineLevel="0" collapsed="false">
      <c r="A436" s="35" t="s">
        <v>3697</v>
      </c>
      <c r="B436" s="209" t="s">
        <v>3685</v>
      </c>
      <c r="C436" s="35" t="s">
        <v>3686</v>
      </c>
      <c r="D436" s="35" t="s">
        <v>3698</v>
      </c>
      <c r="E436" s="6" t="s">
        <v>931</v>
      </c>
      <c r="F436" s="209" t="s">
        <v>290</v>
      </c>
      <c r="G436" s="209" t="s">
        <v>2679</v>
      </c>
      <c r="H436" s="35" t="s">
        <v>3699</v>
      </c>
      <c r="I436" s="18" t="s">
        <v>2714</v>
      </c>
      <c r="J436" s="35" t="s">
        <v>571</v>
      </c>
      <c r="K436" s="209"/>
      <c r="L436" s="209"/>
      <c r="M436" s="35" t="s">
        <v>571</v>
      </c>
      <c r="N436" s="18" t="s">
        <v>2812</v>
      </c>
      <c r="O436" s="6" t="s">
        <v>571</v>
      </c>
      <c r="P436" s="209" t="s">
        <v>2682</v>
      </c>
      <c r="Q436" s="37" t="n">
        <f aca="false">Train_In!C42</f>
        <v>2.664</v>
      </c>
      <c r="R436" s="182" t="n">
        <f aca="false">SRC_MOD_040</f>
        <v>2.664</v>
      </c>
      <c r="S436" s="34" t="str">
        <f aca="false">IF(ISNUMBER($AF436),INDEX(IDX_SrcStat,$AF436),"—")</f>
        <v>Active</v>
      </c>
      <c r="T436" s="34" t="n">
        <f aca="false">IF(ISNUMBER($AF436),INDEX(IDX_SrcGrade,$AF436),"—")</f>
        <v>3</v>
      </c>
      <c r="U436" s="34" t="s">
        <v>2716</v>
      </c>
      <c r="V436" s="183" t="n">
        <f aca="false">IF(AND($F436="原始數據",$U436&lt;&gt;"連結 SRC"),1,0)</f>
        <v>0</v>
      </c>
      <c r="W436" s="183" t="n">
        <f aca="false">IF(AND($F436="Analogy",OR($H436="—",$H436="")),1,0)</f>
        <v>0</v>
      </c>
      <c r="X436" s="183" t="n">
        <f aca="false">IF(AND(OR($F436="Analogy",$F436="Assumed"),$G436&lt;&gt;"低",$G436&lt;&gt;"高",NOT(ISNUMBER($K436)),NOT(ISNUMBER($L436)),OR($M436="—",$M436="")),1,0)</f>
        <v>0</v>
      </c>
      <c r="Y436" s="183" t="n">
        <f aca="false">IF(AND(OR($F436="Analogy",$F436="Assumed",$F436="Derived（待改公式）",$F436="Derived（公式）"),OR($N436="—",$N436="",$N436=0)),1,0)</f>
        <v>0</v>
      </c>
      <c r="Z436" s="183" t="n">
        <f aca="false">IF(AND($F436="Decision",OR($J436="—",$J436="")),1,0)</f>
        <v>0</v>
      </c>
      <c r="AA436" s="180" t="n">
        <f aca="false">IF(OR($J436="—",$J436=""),0,IF(COUNTIF(Decisions!$A$5:$A$300,$J436)=0,1,0))</f>
        <v>0</v>
      </c>
      <c r="AB436" s="183" t="n">
        <f aca="false">IF(AND($F436="原始數據",$S436&lt;&gt;"Active"),1,0)</f>
        <v>0</v>
      </c>
      <c r="AC436" s="183" t="n">
        <f aca="false">IF(AND(ISNUMBER($K436),ISNUMBER($L436),ISNUMBER($Q436)),IF(OR($Q436&lt;MIN($K436,$L436),$Q436&gt;MAX($K436,$L436)),1,0),0)</f>
        <v>0</v>
      </c>
      <c r="AD436" s="183" t="n">
        <f aca="false">IF(AND(ISNUMBER($T436),$P436="高"),IF($T436=3,1,0),0)</f>
        <v>0</v>
      </c>
      <c r="AE436" s="183" t="n">
        <f aca="false">IF($S436="不存在",1,0)</f>
        <v>0</v>
      </c>
      <c r="AF436" s="34" t="n">
        <f aca="false">IF(OR($H436="—",$H436=""),"—",MATCH($H436,IDX_SrcID,0))</f>
        <v>217</v>
      </c>
    </row>
    <row r="437" customFormat="false" ht="15" hidden="false" customHeight="true" outlineLevel="0" collapsed="false">
      <c r="A437" s="35" t="s">
        <v>3700</v>
      </c>
      <c r="B437" s="209" t="s">
        <v>3685</v>
      </c>
      <c r="C437" s="35" t="s">
        <v>3686</v>
      </c>
      <c r="D437" s="35" t="s">
        <v>3701</v>
      </c>
      <c r="E437" s="6" t="s">
        <v>934</v>
      </c>
      <c r="F437" s="209" t="s">
        <v>290</v>
      </c>
      <c r="G437" s="209" t="s">
        <v>2679</v>
      </c>
      <c r="H437" s="35" t="s">
        <v>3702</v>
      </c>
      <c r="I437" s="18" t="s">
        <v>2714</v>
      </c>
      <c r="J437" s="35" t="s">
        <v>571</v>
      </c>
      <c r="K437" s="209"/>
      <c r="L437" s="209"/>
      <c r="M437" s="35" t="s">
        <v>571</v>
      </c>
      <c r="N437" s="18" t="s">
        <v>2812</v>
      </c>
      <c r="O437" s="6" t="s">
        <v>571</v>
      </c>
      <c r="P437" s="209" t="s">
        <v>2682</v>
      </c>
      <c r="Q437" s="40" t="n">
        <f aca="false">Train_In!C43</f>
        <v>4096</v>
      </c>
      <c r="R437" s="182" t="n">
        <f aca="false">SRC_MOD_042</f>
        <v>4096</v>
      </c>
      <c r="S437" s="34" t="str">
        <f aca="false">IF(ISNUMBER($AF437),INDEX(IDX_SrcStat,$AF437),"—")</f>
        <v>Active</v>
      </c>
      <c r="T437" s="34" t="n">
        <f aca="false">IF(ISNUMBER($AF437),INDEX(IDX_SrcGrade,$AF437),"—")</f>
        <v>3</v>
      </c>
      <c r="U437" s="34" t="s">
        <v>2716</v>
      </c>
      <c r="V437" s="183" t="n">
        <f aca="false">IF(AND($F437="原始數據",$U437&lt;&gt;"連結 SRC"),1,0)</f>
        <v>0</v>
      </c>
      <c r="W437" s="183" t="n">
        <f aca="false">IF(AND($F437="Analogy",OR($H437="—",$H437="")),1,0)</f>
        <v>0</v>
      </c>
      <c r="X437" s="183" t="n">
        <f aca="false">IF(AND(OR($F437="Analogy",$F437="Assumed"),$G437&lt;&gt;"低",$G437&lt;&gt;"高",NOT(ISNUMBER($K437)),NOT(ISNUMBER($L437)),OR($M437="—",$M437="")),1,0)</f>
        <v>0</v>
      </c>
      <c r="Y437" s="183" t="n">
        <f aca="false">IF(AND(OR($F437="Analogy",$F437="Assumed",$F437="Derived（待改公式）",$F437="Derived（公式）"),OR($N437="—",$N437="",$N437=0)),1,0)</f>
        <v>0</v>
      </c>
      <c r="Z437" s="183" t="n">
        <f aca="false">IF(AND($F437="Decision",OR($J437="—",$J437="")),1,0)</f>
        <v>0</v>
      </c>
      <c r="AA437" s="180" t="n">
        <f aca="false">IF(OR($J437="—",$J437=""),0,IF(COUNTIF(Decisions!$A$5:$A$300,$J437)=0,1,0))</f>
        <v>0</v>
      </c>
      <c r="AB437" s="183" t="n">
        <f aca="false">IF(AND($F437="原始數據",$S437&lt;&gt;"Active"),1,0)</f>
        <v>0</v>
      </c>
      <c r="AC437" s="183" t="n">
        <f aca="false">IF(AND(ISNUMBER($K437),ISNUMBER($L437),ISNUMBER($Q437)),IF(OR($Q437&lt;MIN($K437,$L437),$Q437&gt;MAX($K437,$L437)),1,0),0)</f>
        <v>0</v>
      </c>
      <c r="AD437" s="183" t="n">
        <f aca="false">IF(AND(ISNUMBER($T437),$P437="高"),IF($T437=3,1,0),0)</f>
        <v>0</v>
      </c>
      <c r="AE437" s="183" t="n">
        <f aca="false">IF($S437="不存在",1,0)</f>
        <v>0</v>
      </c>
      <c r="AF437" s="34" t="n">
        <f aca="false">IF(OR($H437="—",$H437=""),"—",MATCH($H437,IDX_SrcID,0))</f>
        <v>219</v>
      </c>
    </row>
    <row r="438" customFormat="false" ht="15" hidden="false" customHeight="true" outlineLevel="0" collapsed="false">
      <c r="A438" s="35" t="s">
        <v>3703</v>
      </c>
      <c r="B438" s="209" t="s">
        <v>3685</v>
      </c>
      <c r="C438" s="35" t="s">
        <v>3686</v>
      </c>
      <c r="D438" s="35" t="s">
        <v>3704</v>
      </c>
      <c r="E438" s="6" t="s">
        <v>938</v>
      </c>
      <c r="F438" s="209" t="s">
        <v>290</v>
      </c>
      <c r="G438" s="209" t="s">
        <v>2679</v>
      </c>
      <c r="H438" s="35" t="s">
        <v>2167</v>
      </c>
      <c r="I438" s="18" t="s">
        <v>2714</v>
      </c>
      <c r="J438" s="35" t="s">
        <v>571</v>
      </c>
      <c r="K438" s="209"/>
      <c r="L438" s="209"/>
      <c r="M438" s="35" t="s">
        <v>571</v>
      </c>
      <c r="N438" s="18" t="s">
        <v>2812</v>
      </c>
      <c r="O438" s="6" t="s">
        <v>571</v>
      </c>
      <c r="P438" s="209" t="s">
        <v>2682</v>
      </c>
      <c r="Q438" s="179" t="n">
        <f aca="false">Train_In!C45</f>
        <v>1</v>
      </c>
      <c r="R438" s="182" t="n">
        <f aca="false">SRC_MOD_036</f>
        <v>1</v>
      </c>
      <c r="S438" s="34" t="str">
        <f aca="false">IF(ISNUMBER($AF438),INDEX(IDX_SrcStat,$AF438),"—")</f>
        <v>Active</v>
      </c>
      <c r="T438" s="34" t="n">
        <f aca="false">IF(ISNUMBER($AF438),INDEX(IDX_SrcGrade,$AF438),"—")</f>
        <v>1</v>
      </c>
      <c r="U438" s="34" t="s">
        <v>2716</v>
      </c>
      <c r="V438" s="183" t="n">
        <f aca="false">IF(AND($F438="原始數據",$U438&lt;&gt;"連結 SRC"),1,0)</f>
        <v>0</v>
      </c>
      <c r="W438" s="183" t="n">
        <f aca="false">IF(AND($F438="Analogy",OR($H438="—",$H438="")),1,0)</f>
        <v>0</v>
      </c>
      <c r="X438" s="183" t="n">
        <f aca="false">IF(AND(OR($F438="Analogy",$F438="Assumed"),$G438&lt;&gt;"低",$G438&lt;&gt;"高",NOT(ISNUMBER($K438)),NOT(ISNUMBER($L438)),OR($M438="—",$M438="")),1,0)</f>
        <v>0</v>
      </c>
      <c r="Y438" s="183" t="n">
        <f aca="false">IF(AND(OR($F438="Analogy",$F438="Assumed",$F438="Derived（待改公式）",$F438="Derived（公式）"),OR($N438="—",$N438="",$N438=0)),1,0)</f>
        <v>0</v>
      </c>
      <c r="Z438" s="183" t="n">
        <f aca="false">IF(AND($F438="Decision",OR($J438="—",$J438="")),1,0)</f>
        <v>0</v>
      </c>
      <c r="AA438" s="180" t="n">
        <f aca="false">IF(OR($J438="—",$J438=""),0,IF(COUNTIF(Decisions!$A$5:$A$300,$J438)=0,1,0))</f>
        <v>0</v>
      </c>
      <c r="AB438" s="183" t="n">
        <f aca="false">IF(AND($F438="原始數據",$S438&lt;&gt;"Active"),1,0)</f>
        <v>0</v>
      </c>
      <c r="AC438" s="183" t="n">
        <f aca="false">IF(AND(ISNUMBER($K438),ISNUMBER($L438),ISNUMBER($Q438)),IF(OR($Q438&lt;MIN($K438,$L438),$Q438&gt;MAX($K438,$L438)),1,0),0)</f>
        <v>0</v>
      </c>
      <c r="AD438" s="183" t="n">
        <f aca="false">IF(AND(ISNUMBER($T438),$P438="高"),IF($T438=3,1,0),0)</f>
        <v>0</v>
      </c>
      <c r="AE438" s="183" t="n">
        <f aca="false">IF($S438="不存在",1,0)</f>
        <v>0</v>
      </c>
      <c r="AF438" s="34" t="n">
        <f aca="false">IF(OR($H438="—",$H438=""),"—",MATCH($H438,IDX_SrcID,0))</f>
        <v>213</v>
      </c>
    </row>
    <row r="439" customFormat="false" ht="29.25" hidden="false" customHeight="true" outlineLevel="0" collapsed="false">
      <c r="A439" s="35" t="s">
        <v>3705</v>
      </c>
      <c r="B439" s="209" t="s">
        <v>3685</v>
      </c>
      <c r="C439" s="35" t="s">
        <v>24</v>
      </c>
      <c r="D439" s="35" t="s">
        <v>3706</v>
      </c>
      <c r="E439" s="6" t="s">
        <v>618</v>
      </c>
      <c r="F439" s="209" t="s">
        <v>290</v>
      </c>
      <c r="G439" s="209" t="s">
        <v>2679</v>
      </c>
      <c r="H439" s="35" t="s">
        <v>3707</v>
      </c>
      <c r="I439" s="18" t="s">
        <v>3708</v>
      </c>
      <c r="J439" s="35" t="s">
        <v>571</v>
      </c>
      <c r="K439" s="209"/>
      <c r="L439" s="209"/>
      <c r="M439" s="35" t="s">
        <v>571</v>
      </c>
      <c r="N439" s="6" t="s">
        <v>3709</v>
      </c>
      <c r="O439" s="6" t="s">
        <v>571</v>
      </c>
      <c r="P439" s="209" t="s">
        <v>2682</v>
      </c>
      <c r="Q439" s="180" t="n">
        <f aca="false">Tech_Registry!J14</f>
        <v>4</v>
      </c>
      <c r="R439" s="182" t="n">
        <f aca="false">SRC_MOD_043</f>
        <v>1</v>
      </c>
      <c r="S439" s="34" t="str">
        <f aca="false">IF(ISNUMBER($AF439),INDEX(IDX_SrcStat,$AF439),"—")</f>
        <v>Active</v>
      </c>
      <c r="T439" s="34" t="n">
        <f aca="false">IF(ISNUMBER($AF439),INDEX(IDX_SrcGrade,$AF439),"—")</f>
        <v>1</v>
      </c>
      <c r="U439" s="34" t="s">
        <v>2716</v>
      </c>
      <c r="V439" s="183" t="n">
        <f aca="false">IF(AND($F439="原始數據",$U439&lt;&gt;"連結 SRC"),1,0)</f>
        <v>0</v>
      </c>
      <c r="W439" s="183" t="n">
        <f aca="false">IF(AND($F439="Analogy",OR($H439="—",$H439="")),1,0)</f>
        <v>0</v>
      </c>
      <c r="X439" s="183" t="n">
        <f aca="false">IF(AND(OR($F439="Analogy",$F439="Assumed"),$G439&lt;&gt;"低",$G439&lt;&gt;"高",NOT(ISNUMBER($K439)),NOT(ISNUMBER($L439)),OR($M439="—",$M439="")),1,0)</f>
        <v>0</v>
      </c>
      <c r="Y439" s="183" t="n">
        <f aca="false">IF(AND(OR($F439="Analogy",$F439="Assumed",$F439="Derived（待改公式）",$F439="Derived（公式）"),OR($N439="—",$N439="",$N439=0)),1,0)</f>
        <v>0</v>
      </c>
      <c r="Z439" s="183" t="n">
        <f aca="false">IF(AND($F439="Decision",OR($J439="—",$J439="")),1,0)</f>
        <v>0</v>
      </c>
      <c r="AA439" s="180" t="n">
        <f aca="false">IF(OR($J439="—",$J439=""),0,IF(COUNTIF(Decisions!$A$5:$A$300,$J439)=0,1,0))</f>
        <v>0</v>
      </c>
      <c r="AB439" s="183" t="n">
        <f aca="false">IF(AND($F439="原始數據",$S439&lt;&gt;"Active"),1,0)</f>
        <v>0</v>
      </c>
      <c r="AC439" s="183" t="n">
        <f aca="false">IF(AND(ISNUMBER($K439),ISNUMBER($L439),ISNUMBER($Q439)),IF(OR($Q439&lt;MIN($K439,$L439),$Q439&gt;MAX($K439,$L439)),1,0),0)</f>
        <v>0</v>
      </c>
      <c r="AD439" s="183" t="n">
        <f aca="false">IF(AND(ISNUMBER($T439),$P439="高"),IF($T439=3,1,0),0)</f>
        <v>0</v>
      </c>
      <c r="AE439" s="183" t="n">
        <f aca="false">IF($S439="不存在",1,0)</f>
        <v>0</v>
      </c>
      <c r="AF439" s="34" t="n">
        <f aca="false">IF(OR($H439="—",$H439=""),"—",MATCH($H439,IDX_SrcID,0))</f>
        <v>220</v>
      </c>
    </row>
    <row r="440" customFormat="false" ht="43.5" hidden="false" customHeight="true" outlineLevel="0" collapsed="false">
      <c r="A440" s="35" t="s">
        <v>3710</v>
      </c>
      <c r="B440" s="209" t="s">
        <v>2677</v>
      </c>
      <c r="C440" s="35" t="s">
        <v>3155</v>
      </c>
      <c r="D440" s="35" t="s">
        <v>3075</v>
      </c>
      <c r="E440" s="18" t="s">
        <v>3711</v>
      </c>
      <c r="F440" s="35" t="s">
        <v>72</v>
      </c>
      <c r="G440" s="209" t="s">
        <v>2679</v>
      </c>
      <c r="H440" s="35" t="s">
        <v>571</v>
      </c>
      <c r="I440" s="6" t="s">
        <v>571</v>
      </c>
      <c r="J440" s="35" t="s">
        <v>571</v>
      </c>
      <c r="K440" s="209"/>
      <c r="L440" s="209"/>
      <c r="M440" s="209" t="s">
        <v>2624</v>
      </c>
      <c r="N440" s="18" t="s">
        <v>3712</v>
      </c>
      <c r="O440" s="6" t="s">
        <v>571</v>
      </c>
      <c r="P440" s="209" t="s">
        <v>2682</v>
      </c>
      <c r="Q440" s="40" t="n">
        <f aca="false">Arch!C32</f>
        <v>128000</v>
      </c>
      <c r="R440" s="35" t="s">
        <v>571</v>
      </c>
      <c r="S440" s="34" t="str">
        <f aca="false">IF(ISNUMBER($AF440),INDEX(IDX_SrcStat,$AF440),"—")</f>
        <v>—</v>
      </c>
      <c r="T440" s="34" t="str">
        <f aca="false">IF(ISNUMBER($AF440),INDEX(IDX_SrcGrade,$AF440),"—")</f>
        <v>—</v>
      </c>
      <c r="U440" s="34" t="s">
        <v>2683</v>
      </c>
      <c r="V440" s="183" t="n">
        <f aca="false">IF(AND($F440="原始數據",$U440&lt;&gt;"連結 SRC"),1,0)</f>
        <v>0</v>
      </c>
      <c r="W440" s="183" t="n">
        <f aca="false">IF(AND($F440="Analogy",OR($H440="—",$H440="")),1,0)</f>
        <v>0</v>
      </c>
      <c r="X440" s="183" t="n">
        <f aca="false">IF(AND(OR($F440="Analogy",$F440="Assumed"),$G440&lt;&gt;"低",$G440&lt;&gt;"高",NOT(ISNUMBER($K440)),NOT(ISNUMBER($L440)),OR($M440="—",$M440="")),1,0)</f>
        <v>0</v>
      </c>
      <c r="Y440" s="183" t="n">
        <f aca="false">IF(AND(OR($F440="Analogy",$F440="Assumed",$F440="Derived（待改公式）",$F440="Derived（公式）"),OR($N440="—",$N440="",$N440=0)),1,0)</f>
        <v>0</v>
      </c>
      <c r="Z440" s="183" t="n">
        <f aca="false">IF(AND($F440="Decision",OR($J440="—",$J440="")),1,0)</f>
        <v>0</v>
      </c>
      <c r="AA440" s="180" t="n">
        <f aca="false">IF(OR($J440="—",$J440=""),0,IF(COUNTIF(Decisions!$A$5:$A$300,$J440)=0,1,0))</f>
        <v>0</v>
      </c>
      <c r="AB440" s="183" t="n">
        <f aca="false">IF(AND($F440="原始數據",$S440&lt;&gt;"Active"),1,0)</f>
        <v>0</v>
      </c>
      <c r="AC440" s="183" t="n">
        <f aca="false">IF(AND(ISNUMBER($K440),ISNUMBER($L440),ISNUMBER($Q440)),IF(OR($Q440&lt;MIN($K440,$L440),$Q440&gt;MAX($K440,$L440)),1,0),0)</f>
        <v>0</v>
      </c>
      <c r="AD440" s="183" t="n">
        <f aca="false">IF(AND(ISNUMBER($T440),$P440="高"),IF($T440=3,1,0),0)</f>
        <v>0</v>
      </c>
      <c r="AE440" s="183" t="n">
        <f aca="false">IF($S440="不存在",1,0)</f>
        <v>0</v>
      </c>
      <c r="AF440" s="34" t="str">
        <f aca="false">IF(OR($H440="—",$H440=""),"—",MATCH($H440,IDX_SrcID,0))</f>
        <v>—</v>
      </c>
    </row>
    <row r="441" customFormat="false" ht="29.25" hidden="false" customHeight="true" outlineLevel="0" collapsed="false">
      <c r="A441" s="35" t="s">
        <v>3713</v>
      </c>
      <c r="B441" s="209" t="s">
        <v>3714</v>
      </c>
      <c r="C441" s="35" t="s">
        <v>3715</v>
      </c>
      <c r="D441" s="35" t="s">
        <v>3716</v>
      </c>
      <c r="E441" s="18" t="s">
        <v>3717</v>
      </c>
      <c r="F441" s="209" t="s">
        <v>3529</v>
      </c>
      <c r="G441" s="209" t="s">
        <v>3420</v>
      </c>
      <c r="H441" s="35" t="s">
        <v>571</v>
      </c>
      <c r="I441" s="6" t="s">
        <v>571</v>
      </c>
      <c r="J441" s="35" t="s">
        <v>571</v>
      </c>
      <c r="K441" s="209"/>
      <c r="L441" s="209"/>
      <c r="M441" s="35" t="s">
        <v>571</v>
      </c>
      <c r="N441" s="6" t="s">
        <v>3718</v>
      </c>
      <c r="O441" s="6" t="s">
        <v>571</v>
      </c>
      <c r="P441" s="35" t="s">
        <v>571</v>
      </c>
      <c r="Q441" s="182" t="s">
        <v>571</v>
      </c>
      <c r="R441" s="35" t="s">
        <v>571</v>
      </c>
      <c r="S441" s="34" t="str">
        <f aca="false">IF(ISNUMBER($AF441),INDEX(IDX_SrcStat,$AF441),"—")</f>
        <v>—</v>
      </c>
      <c r="T441" s="34" t="str">
        <f aca="false">IF(ISNUMBER($AF441),INDEX(IDX_SrcGrade,$AF441),"—")</f>
        <v>—</v>
      </c>
      <c r="U441" s="35" t="s">
        <v>571</v>
      </c>
      <c r="V441" s="183" t="n">
        <f aca="false">IF(AND($F441="原始數據",$U441&lt;&gt;"連結 SRC"),1,0)</f>
        <v>0</v>
      </c>
      <c r="W441" s="183" t="n">
        <f aca="false">IF(AND($F441="Analogy",OR($H441="—",$H441="")),1,0)</f>
        <v>0</v>
      </c>
      <c r="X441" s="183" t="n">
        <f aca="false">IF(AND(OR($F441="Analogy",$F441="Assumed"),$G441&lt;&gt;"低",$G441&lt;&gt;"高",NOT(ISNUMBER($K441)),NOT(ISNUMBER($L441)),OR($M441="—",$M441="")),1,0)</f>
        <v>0</v>
      </c>
      <c r="Y441" s="183" t="n">
        <f aca="false">IF(AND(OR($F441="Analogy",$F441="Assumed",$F441="Derived（待改公式）",$F441="Derived（公式）"),OR($N441="—",$N441="",$N441=0)),1,0)</f>
        <v>0</v>
      </c>
      <c r="Z441" s="183" t="n">
        <f aca="false">IF(AND($F441="Decision",OR($J441="—",$J441="")),1,0)</f>
        <v>0</v>
      </c>
      <c r="AA441" s="180" t="n">
        <f aca="false">IF(OR($J441="—",$J441=""),0,IF(COUNTIF(Decisions!$A$5:$A$300,$J441)=0,1,0))</f>
        <v>0</v>
      </c>
      <c r="AB441" s="183" t="n">
        <f aca="false">IF(AND($F441="原始數據",$S441&lt;&gt;"Active"),1,0)</f>
        <v>0</v>
      </c>
      <c r="AC441" s="183" t="n">
        <f aca="false">IF(AND(ISNUMBER($K441),ISNUMBER($L441),ISNUMBER($Q441)),IF(OR($Q441&lt;MIN($K441,$L441),$Q441&gt;MAX($K441,$L441)),1,0),0)</f>
        <v>0</v>
      </c>
      <c r="AD441" s="183" t="n">
        <f aca="false">IF(AND(ISNUMBER($T441),$P441="高"),IF($T441=3,1,0),0)</f>
        <v>0</v>
      </c>
      <c r="AE441" s="183" t="n">
        <f aca="false">IF($S441="不存在",1,0)</f>
        <v>0</v>
      </c>
      <c r="AF441" s="34" t="str">
        <f aca="false">IF(OR($H441="—",$H441=""),"—",MATCH($H441,IDX_SrcID,0))</f>
        <v>—</v>
      </c>
    </row>
    <row r="442" customFormat="false" ht="29.25" hidden="false" customHeight="true" outlineLevel="0" collapsed="false">
      <c r="A442" s="35" t="s">
        <v>3719</v>
      </c>
      <c r="B442" s="209" t="s">
        <v>3714</v>
      </c>
      <c r="C442" s="35" t="s">
        <v>3715</v>
      </c>
      <c r="D442" s="35" t="s">
        <v>3720</v>
      </c>
      <c r="E442" s="18" t="s">
        <v>3721</v>
      </c>
      <c r="F442" s="209" t="s">
        <v>3529</v>
      </c>
      <c r="G442" s="209" t="s">
        <v>3420</v>
      </c>
      <c r="H442" s="35" t="s">
        <v>571</v>
      </c>
      <c r="I442" s="6" t="s">
        <v>571</v>
      </c>
      <c r="J442" s="35" t="s">
        <v>571</v>
      </c>
      <c r="K442" s="209"/>
      <c r="L442" s="209"/>
      <c r="M442" s="35" t="s">
        <v>571</v>
      </c>
      <c r="N442" s="6" t="s">
        <v>3722</v>
      </c>
      <c r="O442" s="6" t="s">
        <v>571</v>
      </c>
      <c r="P442" s="35" t="s">
        <v>571</v>
      </c>
      <c r="Q442" s="182" t="s">
        <v>571</v>
      </c>
      <c r="R442" s="35" t="s">
        <v>571</v>
      </c>
      <c r="S442" s="34" t="str">
        <f aca="false">IF(ISNUMBER($AF442),INDEX(IDX_SrcStat,$AF442),"—")</f>
        <v>—</v>
      </c>
      <c r="T442" s="34" t="str">
        <f aca="false">IF(ISNUMBER($AF442),INDEX(IDX_SrcGrade,$AF442),"—")</f>
        <v>—</v>
      </c>
      <c r="U442" s="35" t="s">
        <v>571</v>
      </c>
      <c r="V442" s="183" t="n">
        <f aca="false">IF(AND($F442="原始數據",$U442&lt;&gt;"連結 SRC"),1,0)</f>
        <v>0</v>
      </c>
      <c r="W442" s="183" t="n">
        <f aca="false">IF(AND($F442="Analogy",OR($H442="—",$H442="")),1,0)</f>
        <v>0</v>
      </c>
      <c r="X442" s="183" t="n">
        <f aca="false">IF(AND(OR($F442="Analogy",$F442="Assumed"),$G442&lt;&gt;"低",$G442&lt;&gt;"高",NOT(ISNUMBER($K442)),NOT(ISNUMBER($L442)),OR($M442="—",$M442="")),1,0)</f>
        <v>0</v>
      </c>
      <c r="Y442" s="183" t="n">
        <f aca="false">IF(AND(OR($F442="Analogy",$F442="Assumed",$F442="Derived（待改公式）",$F442="Derived（公式）"),OR($N442="—",$N442="",$N442=0)),1,0)</f>
        <v>0</v>
      </c>
      <c r="Z442" s="183" t="n">
        <f aca="false">IF(AND($F442="Decision",OR($J442="—",$J442="")),1,0)</f>
        <v>0</v>
      </c>
      <c r="AA442" s="180" t="n">
        <f aca="false">IF(OR($J442="—",$J442=""),0,IF(COUNTIF(Decisions!$A$5:$A$300,$J442)=0,1,0))</f>
        <v>0</v>
      </c>
      <c r="AB442" s="183" t="n">
        <f aca="false">IF(AND($F442="原始數據",$S442&lt;&gt;"Active"),1,0)</f>
        <v>0</v>
      </c>
      <c r="AC442" s="183" t="n">
        <f aca="false">IF(AND(ISNUMBER($K442),ISNUMBER($L442),ISNUMBER($Q442)),IF(OR($Q442&lt;MIN($K442,$L442),$Q442&gt;MAX($K442,$L442)),1,0),0)</f>
        <v>0</v>
      </c>
      <c r="AD442" s="183" t="n">
        <f aca="false">IF(AND(ISNUMBER($T442),$P442="高"),IF($T442=3,1,0),0)</f>
        <v>0</v>
      </c>
      <c r="AE442" s="183" t="n">
        <f aca="false">IF($S442="不存在",1,0)</f>
        <v>0</v>
      </c>
      <c r="AF442" s="34" t="str">
        <f aca="false">IF(OR($H442="—",$H442=""),"—",MATCH($H442,IDX_SrcID,0))</f>
        <v>—</v>
      </c>
    </row>
    <row r="443" customFormat="false" ht="29.25" hidden="false" customHeight="true" outlineLevel="0" collapsed="false">
      <c r="A443" s="35" t="s">
        <v>3723</v>
      </c>
      <c r="B443" s="209" t="s">
        <v>3714</v>
      </c>
      <c r="C443" s="35" t="s">
        <v>3724</v>
      </c>
      <c r="D443" s="35" t="s">
        <v>3725</v>
      </c>
      <c r="E443" s="6" t="s">
        <v>3726</v>
      </c>
      <c r="F443" s="209" t="s">
        <v>3529</v>
      </c>
      <c r="G443" s="209" t="s">
        <v>2679</v>
      </c>
      <c r="H443" s="35" t="s">
        <v>571</v>
      </c>
      <c r="I443" s="6" t="s">
        <v>571</v>
      </c>
      <c r="J443" s="35" t="s">
        <v>571</v>
      </c>
      <c r="K443" s="209"/>
      <c r="L443" s="209"/>
      <c r="M443" s="35" t="s">
        <v>571</v>
      </c>
      <c r="N443" s="6" t="s">
        <v>3727</v>
      </c>
      <c r="O443" s="6" t="s">
        <v>571</v>
      </c>
      <c r="P443" s="34" t="s">
        <v>2682</v>
      </c>
      <c r="Q443" s="172" t="n">
        <f aca="false">Sens_Rev!B18</f>
        <v>0.5</v>
      </c>
      <c r="R443" s="35" t="s">
        <v>571</v>
      </c>
      <c r="S443" s="34" t="str">
        <f aca="false">IF(ISNUMBER($AF443),INDEX(IDX_SrcStat,$AF443),"—")</f>
        <v>—</v>
      </c>
      <c r="T443" s="34" t="str">
        <f aca="false">IF(ISNUMBER($AF443),INDEX(IDX_SrcGrade,$AF443),"—")</f>
        <v>—</v>
      </c>
      <c r="U443" s="34" t="s">
        <v>2683</v>
      </c>
      <c r="V443" s="183" t="n">
        <f aca="false">IF(AND($F443="原始數據",$U443&lt;&gt;"連結 SRC"),1,0)</f>
        <v>0</v>
      </c>
      <c r="W443" s="183" t="n">
        <f aca="false">IF(AND($F443="Analogy",OR($H443="—",$H443="")),1,0)</f>
        <v>0</v>
      </c>
      <c r="X443" s="183" t="n">
        <f aca="false">IF(AND(OR($F443="Analogy",$F443="Assumed"),$G443&lt;&gt;"低",$G443&lt;&gt;"高",NOT(ISNUMBER($K443)),NOT(ISNUMBER($L443)),OR($M443="—",$M443="")),1,0)</f>
        <v>0</v>
      </c>
      <c r="Y443" s="183" t="n">
        <f aca="false">IF(AND(OR($F443="Analogy",$F443="Assumed",$F443="Derived（待改公式）",$F443="Derived（公式）"),OR($N443="—",$N443="",$N443=0)),1,0)</f>
        <v>0</v>
      </c>
      <c r="Z443" s="183" t="n">
        <f aca="false">IF(AND($F443="Decision",OR($J443="—",$J443="")),1,0)</f>
        <v>0</v>
      </c>
      <c r="AA443" s="180" t="n">
        <f aca="false">IF(OR($J443="—",$J443=""),0,IF(COUNTIF(Decisions!$A$5:$A$300,$J443)=0,1,0))</f>
        <v>0</v>
      </c>
      <c r="AB443" s="183" t="n">
        <f aca="false">IF(AND($F443="原始數據",$S443&lt;&gt;"Active"),1,0)</f>
        <v>0</v>
      </c>
      <c r="AC443" s="183" t="n">
        <f aca="false">IF(AND(ISNUMBER($K443),ISNUMBER($L443),ISNUMBER($Q443)),IF(OR($Q443&lt;MIN($K443,$L443),$Q443&gt;MAX($K443,$L443)),1,0),0)</f>
        <v>0</v>
      </c>
      <c r="AD443" s="183" t="n">
        <f aca="false">IF(AND(ISNUMBER($T443),$P443="高"),IF($T443=3,1,0),0)</f>
        <v>0</v>
      </c>
      <c r="AE443" s="183" t="n">
        <f aca="false">IF($S443="不存在",1,0)</f>
        <v>0</v>
      </c>
      <c r="AF443" s="34" t="str">
        <f aca="false">IF(OR($H443="—",$H443=""),"—",MATCH($H443,IDX_SrcID,0))</f>
        <v>—</v>
      </c>
    </row>
    <row r="444" customFormat="false" ht="29.25" hidden="false" customHeight="true" outlineLevel="0" collapsed="false">
      <c r="A444" s="35" t="s">
        <v>3728</v>
      </c>
      <c r="B444" s="209" t="s">
        <v>3714</v>
      </c>
      <c r="C444" s="35" t="s">
        <v>24</v>
      </c>
      <c r="D444" s="35" t="s">
        <v>3729</v>
      </c>
      <c r="E444" s="18" t="s">
        <v>3730</v>
      </c>
      <c r="F444" s="35" t="s">
        <v>64</v>
      </c>
      <c r="G444" s="209" t="s">
        <v>2679</v>
      </c>
      <c r="H444" s="35" t="s">
        <v>571</v>
      </c>
      <c r="I444" s="6" t="s">
        <v>571</v>
      </c>
      <c r="J444" s="35" t="s">
        <v>3706</v>
      </c>
      <c r="K444" s="209"/>
      <c r="L444" s="209"/>
      <c r="M444" s="35" t="s">
        <v>571</v>
      </c>
      <c r="N444" s="6" t="s">
        <v>3731</v>
      </c>
      <c r="O444" s="6" t="s">
        <v>571</v>
      </c>
      <c r="P444" s="34" t="s">
        <v>2682</v>
      </c>
      <c r="Q444" s="180" t="n">
        <f aca="false">Tech_Registry!J17</f>
        <v>2</v>
      </c>
      <c r="R444" s="35" t="s">
        <v>571</v>
      </c>
      <c r="S444" s="34" t="str">
        <f aca="false">IF(ISNUMBER($AF444),INDEX(IDX_SrcStat,$AF444),"—")</f>
        <v>—</v>
      </c>
      <c r="T444" s="34" t="str">
        <f aca="false">IF(ISNUMBER($AF444),INDEX(IDX_SrcGrade,$AF444),"—")</f>
        <v>—</v>
      </c>
      <c r="U444" s="34" t="s">
        <v>2683</v>
      </c>
      <c r="V444" s="183" t="n">
        <f aca="false">IF(AND($F444="原始數據",$U444&lt;&gt;"連結 SRC"),1,0)</f>
        <v>0</v>
      </c>
      <c r="W444" s="183" t="n">
        <f aca="false">IF(AND($F444="Analogy",OR($H444="—",$H444="")),1,0)</f>
        <v>0</v>
      </c>
      <c r="X444" s="183" t="n">
        <f aca="false">IF(AND(OR($F444="Analogy",$F444="Assumed"),$G444&lt;&gt;"低",$G444&lt;&gt;"高",NOT(ISNUMBER($K444)),NOT(ISNUMBER($L444)),OR($M444="—",$M444="")),1,0)</f>
        <v>0</v>
      </c>
      <c r="Y444" s="183" t="n">
        <f aca="false">IF(AND(OR($F444="Analogy",$F444="Assumed",$F444="Derived（待改公式）",$F444="Derived（公式）"),OR($N444="—",$N444="",$N444=0)),1,0)</f>
        <v>0</v>
      </c>
      <c r="Z444" s="183" t="n">
        <f aca="false">IF(AND($F444="Decision",OR($J444="—",$J444="")),1,0)</f>
        <v>0</v>
      </c>
      <c r="AA444" s="180" t="n">
        <f aca="false">IF(OR($J444="—",$J444=""),0,IF(COUNTIF(Decisions!$A$5:$A$300,$J444)=0,1,0))</f>
        <v>0</v>
      </c>
      <c r="AB444" s="183" t="n">
        <f aca="false">IF(AND($F444="原始數據",$S444&lt;&gt;"Active"),1,0)</f>
        <v>0</v>
      </c>
      <c r="AC444" s="183" t="n">
        <f aca="false">IF(AND(ISNUMBER($K444),ISNUMBER($L444),ISNUMBER($Q444)),IF(OR($Q444&lt;MIN($K444,$L444),$Q444&gt;MAX($K444,$L444)),1,0),0)</f>
        <v>0</v>
      </c>
      <c r="AD444" s="183" t="n">
        <f aca="false">IF(AND(ISNUMBER($T444),$P444="高"),IF($T444=3,1,0),0)</f>
        <v>0</v>
      </c>
      <c r="AE444" s="183" t="n">
        <f aca="false">IF($S444="不存在",1,0)</f>
        <v>0</v>
      </c>
      <c r="AF444" s="34" t="str">
        <f aca="false">IF(OR($H444="—",$H444=""),"—",MATCH($H444,IDX_SrcID,0))</f>
        <v>—</v>
      </c>
    </row>
    <row r="445" customFormat="false" ht="43.5" hidden="false" customHeight="true" outlineLevel="0" collapsed="false">
      <c r="A445" s="35" t="s">
        <v>3732</v>
      </c>
      <c r="B445" s="209" t="s">
        <v>3733</v>
      </c>
      <c r="C445" s="35" t="s">
        <v>3734</v>
      </c>
      <c r="D445" s="35" t="s">
        <v>2914</v>
      </c>
      <c r="E445" s="18" t="s">
        <v>3735</v>
      </c>
      <c r="F445" s="35" t="s">
        <v>72</v>
      </c>
      <c r="G445" s="209" t="s">
        <v>57</v>
      </c>
      <c r="H445" s="35" t="s">
        <v>571</v>
      </c>
      <c r="I445" s="6" t="s">
        <v>571</v>
      </c>
      <c r="J445" s="35" t="s">
        <v>571</v>
      </c>
      <c r="K445" s="174" t="n">
        <f aca="false">Cap_In!D12</f>
        <v>0.1</v>
      </c>
      <c r="L445" s="174" t="n">
        <f aca="false">Cap_In!E12</f>
        <v>0.3</v>
      </c>
      <c r="M445" s="35" t="s">
        <v>571</v>
      </c>
      <c r="N445" s="18" t="s">
        <v>3736</v>
      </c>
      <c r="O445" s="6" t="s">
        <v>571</v>
      </c>
      <c r="P445" s="209" t="s">
        <v>2738</v>
      </c>
      <c r="Q445" s="174" t="n">
        <f aca="false">Cap_In!C12</f>
        <v>0.2</v>
      </c>
      <c r="R445" s="35" t="s">
        <v>571</v>
      </c>
      <c r="S445" s="34" t="str">
        <f aca="false">IF(ISNUMBER($AF445),INDEX(IDX_SrcStat,$AF445),"—")</f>
        <v>—</v>
      </c>
      <c r="T445" s="34" t="str">
        <f aca="false">IF(ISNUMBER($AF445),INDEX(IDX_SrcGrade,$AF445),"—")</f>
        <v>—</v>
      </c>
      <c r="U445" s="34" t="s">
        <v>2683</v>
      </c>
      <c r="V445" s="183" t="n">
        <f aca="false">IF(AND($F445="原始數據",$U445&lt;&gt;"連結 SRC"),1,0)</f>
        <v>0</v>
      </c>
      <c r="W445" s="183" t="n">
        <f aca="false">IF(AND($F445="Analogy",OR($H445="—",$H445="")),1,0)</f>
        <v>0</v>
      </c>
      <c r="X445" s="183" t="n">
        <f aca="false">IF(AND(OR($F445="Analogy",$F445="Assumed"),$G445&lt;&gt;"低",$G445&lt;&gt;"高",NOT(ISNUMBER($K445)),NOT(ISNUMBER($L445)),OR($M445="—",$M445="")),1,0)</f>
        <v>0</v>
      </c>
      <c r="Y445" s="183" t="n">
        <f aca="false">IF(AND(OR($F445="Analogy",$F445="Assumed",$F445="Derived（待改公式）",$F445="Derived（公式）"),OR($N445="—",$N445="",$N445=0)),1,0)</f>
        <v>0</v>
      </c>
      <c r="Z445" s="183" t="n">
        <f aca="false">IF(AND($F445="Decision",OR($J445="—",$J445="")),1,0)</f>
        <v>0</v>
      </c>
      <c r="AA445" s="180" t="n">
        <f aca="false">IF(OR($J445="—",$J445=""),0,IF(COUNTIF(Decisions!$A$5:$A$300,$J445)=0,1,0))</f>
        <v>0</v>
      </c>
      <c r="AB445" s="183" t="n">
        <f aca="false">IF(AND($F445="原始數據",$S445&lt;&gt;"Active"),1,0)</f>
        <v>0</v>
      </c>
      <c r="AC445" s="183" t="n">
        <f aca="false">IF(AND(ISNUMBER($K445),ISNUMBER($L445),ISNUMBER($Q445)),IF(OR($Q445&lt;MIN($K445,$L445),$Q445&gt;MAX($K445,$L445)),1,0),0)</f>
        <v>0</v>
      </c>
      <c r="AD445" s="183" t="n">
        <f aca="false">IF(AND(ISNUMBER($T445),$P445="高"),IF($T445=3,1,0),0)</f>
        <v>0</v>
      </c>
      <c r="AE445" s="183" t="n">
        <f aca="false">IF($S445="不存在",1,0)</f>
        <v>0</v>
      </c>
      <c r="AF445" s="34" t="str">
        <f aca="false">IF(OR($H445="—",$H445=""),"—",MATCH($H445,IDX_SrcID,0))</f>
        <v>—</v>
      </c>
    </row>
    <row r="446" customFormat="false" ht="43.5" hidden="false" customHeight="true" outlineLevel="0" collapsed="false">
      <c r="A446" s="35" t="s">
        <v>3737</v>
      </c>
      <c r="B446" s="209" t="s">
        <v>3733</v>
      </c>
      <c r="C446" s="35" t="s">
        <v>3734</v>
      </c>
      <c r="D446" s="35" t="s">
        <v>3738</v>
      </c>
      <c r="E446" s="18" t="s">
        <v>3735</v>
      </c>
      <c r="F446" s="35" t="s">
        <v>72</v>
      </c>
      <c r="G446" s="209" t="s">
        <v>3739</v>
      </c>
      <c r="H446" s="35" t="s">
        <v>571</v>
      </c>
      <c r="I446" s="6" t="s">
        <v>571</v>
      </c>
      <c r="J446" s="35" t="s">
        <v>571</v>
      </c>
      <c r="K446" s="209"/>
      <c r="L446" s="209"/>
      <c r="M446" s="35" t="s">
        <v>3740</v>
      </c>
      <c r="N446" s="18" t="s">
        <v>3736</v>
      </c>
      <c r="O446" s="6" t="s">
        <v>571</v>
      </c>
      <c r="P446" s="209" t="s">
        <v>2738</v>
      </c>
      <c r="Q446" s="182" t="s">
        <v>571</v>
      </c>
      <c r="R446" s="35" t="s">
        <v>571</v>
      </c>
      <c r="S446" s="34" t="str">
        <f aca="false">IF(ISNUMBER($AF446),INDEX(IDX_SrcStat,$AF446),"—")</f>
        <v>—</v>
      </c>
      <c r="T446" s="34" t="str">
        <f aca="false">IF(ISNUMBER($AF446),INDEX(IDX_SrcGrade,$AF446),"—")</f>
        <v>—</v>
      </c>
      <c r="U446" s="35" t="s">
        <v>571</v>
      </c>
      <c r="V446" s="183" t="n">
        <f aca="false">IF(AND($F446="原始數據",$U446&lt;&gt;"連結 SRC"),1,0)</f>
        <v>0</v>
      </c>
      <c r="W446" s="183" t="n">
        <f aca="false">IF(AND($F446="Analogy",OR($H446="—",$H446="")),1,0)</f>
        <v>0</v>
      </c>
      <c r="X446" s="183" t="n">
        <f aca="false">IF(AND(OR($F446="Analogy",$F446="Assumed"),$G446&lt;&gt;"低",$G446&lt;&gt;"高",NOT(ISNUMBER($K446)),NOT(ISNUMBER($L446)),OR($M446="—",$M446="")),1,0)</f>
        <v>0</v>
      </c>
      <c r="Y446" s="183" t="n">
        <f aca="false">IF(AND(OR($F446="Analogy",$F446="Assumed",$F446="Derived（待改公式）",$F446="Derived（公式）"),OR($N446="—",$N446="",$N446=0)),1,0)</f>
        <v>0</v>
      </c>
      <c r="Z446" s="183" t="n">
        <f aca="false">IF(AND($F446="Decision",OR($J446="—",$J446="")),1,0)</f>
        <v>0</v>
      </c>
      <c r="AA446" s="180" t="n">
        <f aca="false">IF(OR($J446="—",$J446=""),0,IF(COUNTIF(Decisions!$A$5:$A$300,$J446)=0,1,0))</f>
        <v>0</v>
      </c>
      <c r="AB446" s="183" t="n">
        <f aca="false">IF(AND($F446="原始數據",$S446&lt;&gt;"Active"),1,0)</f>
        <v>0</v>
      </c>
      <c r="AC446" s="183" t="n">
        <f aca="false">IF(AND(ISNUMBER($K446),ISNUMBER($L446),ISNUMBER($Q446)),IF(OR($Q446&lt;MIN($K446,$L446),$Q446&gt;MAX($K446,$L446)),1,0),0)</f>
        <v>0</v>
      </c>
      <c r="AD446" s="183" t="n">
        <f aca="false">IF(AND(ISNUMBER($T446),$P446="高"),IF($T446=3,1,0),0)</f>
        <v>0</v>
      </c>
      <c r="AE446" s="183" t="n">
        <f aca="false">IF($S446="不存在",1,0)</f>
        <v>0</v>
      </c>
      <c r="AF446" s="34" t="str">
        <f aca="false">IF(OR($H446="—",$H446=""),"—",MATCH($H446,IDX_SrcID,0))</f>
        <v>—</v>
      </c>
    </row>
    <row r="447" customFormat="false" ht="29.25" hidden="false" customHeight="true" outlineLevel="0" collapsed="false">
      <c r="A447" s="35" t="s">
        <v>3741</v>
      </c>
      <c r="B447" s="209" t="s">
        <v>3733</v>
      </c>
      <c r="C447" s="35" t="s">
        <v>3734</v>
      </c>
      <c r="D447" s="35" t="s">
        <v>2932</v>
      </c>
      <c r="E447" s="18" t="s">
        <v>3742</v>
      </c>
      <c r="F447" s="35" t="s">
        <v>72</v>
      </c>
      <c r="G447" s="209" t="s">
        <v>57</v>
      </c>
      <c r="H447" s="35" t="s">
        <v>571</v>
      </c>
      <c r="I447" s="6" t="s">
        <v>571</v>
      </c>
      <c r="J447" s="35" t="s">
        <v>571</v>
      </c>
      <c r="K447" s="174" t="n">
        <f aca="false">Cap_In!D13</f>
        <v>0.3</v>
      </c>
      <c r="L447" s="174" t="n">
        <f aca="false">Cap_In!E13</f>
        <v>0.75</v>
      </c>
      <c r="M447" s="35" t="s">
        <v>571</v>
      </c>
      <c r="N447" s="18" t="s">
        <v>3743</v>
      </c>
      <c r="O447" s="6" t="s">
        <v>571</v>
      </c>
      <c r="P447" s="209" t="s">
        <v>2738</v>
      </c>
      <c r="Q447" s="174" t="n">
        <f aca="false">Cap_In!C13</f>
        <v>0.55</v>
      </c>
      <c r="R447" s="35" t="s">
        <v>571</v>
      </c>
      <c r="S447" s="34" t="str">
        <f aca="false">IF(ISNUMBER($AF447),INDEX(IDX_SrcStat,$AF447),"—")</f>
        <v>—</v>
      </c>
      <c r="T447" s="34" t="str">
        <f aca="false">IF(ISNUMBER($AF447),INDEX(IDX_SrcGrade,$AF447),"—")</f>
        <v>—</v>
      </c>
      <c r="U447" s="34" t="s">
        <v>2683</v>
      </c>
      <c r="V447" s="183" t="n">
        <f aca="false">IF(AND($F447="原始數據",$U447&lt;&gt;"連結 SRC"),1,0)</f>
        <v>0</v>
      </c>
      <c r="W447" s="183" t="n">
        <f aca="false">IF(AND($F447="Analogy",OR($H447="—",$H447="")),1,0)</f>
        <v>0</v>
      </c>
      <c r="X447" s="183" t="n">
        <f aca="false">IF(AND(OR($F447="Analogy",$F447="Assumed"),$G447&lt;&gt;"低",$G447&lt;&gt;"高",NOT(ISNUMBER($K447)),NOT(ISNUMBER($L447)),OR($M447="—",$M447="")),1,0)</f>
        <v>0</v>
      </c>
      <c r="Y447" s="183" t="n">
        <f aca="false">IF(AND(OR($F447="Analogy",$F447="Assumed",$F447="Derived（待改公式）",$F447="Derived（公式）"),OR($N447="—",$N447="",$N447=0)),1,0)</f>
        <v>0</v>
      </c>
      <c r="Z447" s="183" t="n">
        <f aca="false">IF(AND($F447="Decision",OR($J447="—",$J447="")),1,0)</f>
        <v>0</v>
      </c>
      <c r="AA447" s="180" t="n">
        <f aca="false">IF(OR($J447="—",$J447=""),0,IF(COUNTIF(Decisions!$A$5:$A$300,$J447)=0,1,0))</f>
        <v>0</v>
      </c>
      <c r="AB447" s="183" t="n">
        <f aca="false">IF(AND($F447="原始數據",$S447&lt;&gt;"Active"),1,0)</f>
        <v>0</v>
      </c>
      <c r="AC447" s="183" t="n">
        <f aca="false">IF(AND(ISNUMBER($K447),ISNUMBER($L447),ISNUMBER($Q447)),IF(OR($Q447&lt;MIN($K447,$L447),$Q447&gt;MAX($K447,$L447)),1,0),0)</f>
        <v>0</v>
      </c>
      <c r="AD447" s="183" t="n">
        <f aca="false">IF(AND(ISNUMBER($T447),$P447="高"),IF($T447=3,1,0),0)</f>
        <v>0</v>
      </c>
      <c r="AE447" s="183" t="n">
        <f aca="false">IF($S447="不存在",1,0)</f>
        <v>0</v>
      </c>
      <c r="AF447" s="34" t="str">
        <f aca="false">IF(OR($H447="—",$H447=""),"—",MATCH($H447,IDX_SrcID,0))</f>
        <v>—</v>
      </c>
    </row>
    <row r="448" customFormat="false" ht="29.25" hidden="false" customHeight="true" outlineLevel="0" collapsed="false">
      <c r="A448" s="35" t="s">
        <v>3744</v>
      </c>
      <c r="B448" s="209" t="s">
        <v>3733</v>
      </c>
      <c r="C448" s="35" t="s">
        <v>3734</v>
      </c>
      <c r="D448" s="35" t="s">
        <v>3745</v>
      </c>
      <c r="E448" s="18" t="s">
        <v>3742</v>
      </c>
      <c r="F448" s="35" t="s">
        <v>72</v>
      </c>
      <c r="G448" s="209" t="s">
        <v>3739</v>
      </c>
      <c r="H448" s="35" t="s">
        <v>571</v>
      </c>
      <c r="I448" s="6" t="s">
        <v>571</v>
      </c>
      <c r="J448" s="35" t="s">
        <v>571</v>
      </c>
      <c r="K448" s="209"/>
      <c r="L448" s="209"/>
      <c r="M448" s="35" t="s">
        <v>3746</v>
      </c>
      <c r="N448" s="18" t="s">
        <v>3743</v>
      </c>
      <c r="O448" s="6" t="s">
        <v>571</v>
      </c>
      <c r="P448" s="209" t="s">
        <v>2738</v>
      </c>
      <c r="Q448" s="182" t="s">
        <v>571</v>
      </c>
      <c r="R448" s="35" t="s">
        <v>571</v>
      </c>
      <c r="S448" s="34" t="str">
        <f aca="false">IF(ISNUMBER($AF448),INDEX(IDX_SrcStat,$AF448),"—")</f>
        <v>—</v>
      </c>
      <c r="T448" s="34" t="str">
        <f aca="false">IF(ISNUMBER($AF448),INDEX(IDX_SrcGrade,$AF448),"—")</f>
        <v>—</v>
      </c>
      <c r="U448" s="35" t="s">
        <v>571</v>
      </c>
      <c r="V448" s="183" t="n">
        <f aca="false">IF(AND($F448="原始數據",$U448&lt;&gt;"連結 SRC"),1,0)</f>
        <v>0</v>
      </c>
      <c r="W448" s="183" t="n">
        <f aca="false">IF(AND($F448="Analogy",OR($H448="—",$H448="")),1,0)</f>
        <v>0</v>
      </c>
      <c r="X448" s="183" t="n">
        <f aca="false">IF(AND(OR($F448="Analogy",$F448="Assumed"),$G448&lt;&gt;"低",$G448&lt;&gt;"高",NOT(ISNUMBER($K448)),NOT(ISNUMBER($L448)),OR($M448="—",$M448="")),1,0)</f>
        <v>0</v>
      </c>
      <c r="Y448" s="183" t="n">
        <f aca="false">IF(AND(OR($F448="Analogy",$F448="Assumed",$F448="Derived（待改公式）",$F448="Derived（公式）"),OR($N448="—",$N448="",$N448=0)),1,0)</f>
        <v>0</v>
      </c>
      <c r="Z448" s="183" t="n">
        <f aca="false">IF(AND($F448="Decision",OR($J448="—",$J448="")),1,0)</f>
        <v>0</v>
      </c>
      <c r="AA448" s="180" t="n">
        <f aca="false">IF(OR($J448="—",$J448=""),0,IF(COUNTIF(Decisions!$A$5:$A$300,$J448)=0,1,0))</f>
        <v>0</v>
      </c>
      <c r="AB448" s="183" t="n">
        <f aca="false">IF(AND($F448="原始數據",$S448&lt;&gt;"Active"),1,0)</f>
        <v>0</v>
      </c>
      <c r="AC448" s="183" t="n">
        <f aca="false">IF(AND(ISNUMBER($K448),ISNUMBER($L448),ISNUMBER($Q448)),IF(OR($Q448&lt;MIN($K448,$L448),$Q448&gt;MAX($K448,$L448)),1,0),0)</f>
        <v>0</v>
      </c>
      <c r="AD448" s="183" t="n">
        <f aca="false">IF(AND(ISNUMBER($T448),$P448="高"),IF($T448=3,1,0),0)</f>
        <v>0</v>
      </c>
      <c r="AE448" s="183" t="n">
        <f aca="false">IF($S448="不存在",1,0)</f>
        <v>0</v>
      </c>
      <c r="AF448" s="34" t="str">
        <f aca="false">IF(OR($H448="—",$H448=""),"—",MATCH($H448,IDX_SrcID,0))</f>
        <v>—</v>
      </c>
    </row>
    <row r="449" customFormat="false" ht="29.25" hidden="false" customHeight="true" outlineLevel="0" collapsed="false">
      <c r="A449" s="35" t="s">
        <v>3747</v>
      </c>
      <c r="B449" s="209" t="s">
        <v>3733</v>
      </c>
      <c r="C449" s="35" t="s">
        <v>3734</v>
      </c>
      <c r="D449" s="35" t="s">
        <v>3181</v>
      </c>
      <c r="E449" s="18" t="s">
        <v>3748</v>
      </c>
      <c r="F449" s="35" t="s">
        <v>64</v>
      </c>
      <c r="G449" s="209" t="s">
        <v>57</v>
      </c>
      <c r="H449" s="35" t="s">
        <v>571</v>
      </c>
      <c r="I449" s="6" t="s">
        <v>571</v>
      </c>
      <c r="J449" s="35" t="s">
        <v>3749</v>
      </c>
      <c r="K449" s="172" t="n">
        <f aca="false">Cap_In!D14</f>
        <v>0</v>
      </c>
      <c r="L449" s="172" t="n">
        <f aca="false">Cap_In!E14</f>
        <v>0.5</v>
      </c>
      <c r="M449" s="35" t="s">
        <v>571</v>
      </c>
      <c r="N449" s="6" t="s">
        <v>3750</v>
      </c>
      <c r="O449" s="6" t="s">
        <v>571</v>
      </c>
      <c r="P449" s="209" t="s">
        <v>2682</v>
      </c>
      <c r="Q449" s="172" t="n">
        <f aca="false">Cap_In!C14</f>
        <v>0</v>
      </c>
      <c r="R449" s="35" t="s">
        <v>571</v>
      </c>
      <c r="S449" s="34" t="str">
        <f aca="false">IF(ISNUMBER($AF449),INDEX(IDX_SrcStat,$AF449),"—")</f>
        <v>—</v>
      </c>
      <c r="T449" s="34" t="str">
        <f aca="false">IF(ISNUMBER($AF449),INDEX(IDX_SrcGrade,$AF449),"—")</f>
        <v>—</v>
      </c>
      <c r="U449" s="34" t="s">
        <v>2683</v>
      </c>
      <c r="V449" s="183" t="n">
        <f aca="false">IF(AND($F449="原始數據",$U449&lt;&gt;"連結 SRC"),1,0)</f>
        <v>0</v>
      </c>
      <c r="W449" s="183" t="n">
        <f aca="false">IF(AND($F449="Analogy",OR($H449="—",$H449="")),1,0)</f>
        <v>0</v>
      </c>
      <c r="X449" s="183" t="n">
        <f aca="false">IF(AND(OR($F449="Analogy",$F449="Assumed"),$G449&lt;&gt;"低",$G449&lt;&gt;"高",NOT(ISNUMBER($K449)),NOT(ISNUMBER($L449)),OR($M449="—",$M449="")),1,0)</f>
        <v>0</v>
      </c>
      <c r="Y449" s="183" t="n">
        <f aca="false">IF(AND(OR($F449="Analogy",$F449="Assumed",$F449="Derived（待改公式）",$F449="Derived（公式）"),OR($N449="—",$N449="",$N449=0)),1,0)</f>
        <v>0</v>
      </c>
      <c r="Z449" s="183" t="n">
        <f aca="false">IF(AND($F449="Decision",OR($J449="—",$J449="")),1,0)</f>
        <v>0</v>
      </c>
      <c r="AA449" s="180" t="n">
        <f aca="false">IF(OR($J449="—",$J449=""),0,IF(COUNTIF(Decisions!$A$5:$A$300,$J449)=0,1,0))</f>
        <v>0</v>
      </c>
      <c r="AB449" s="183" t="n">
        <f aca="false">IF(AND($F449="原始數據",$S449&lt;&gt;"Active"),1,0)</f>
        <v>0</v>
      </c>
      <c r="AC449" s="183" t="n">
        <f aca="false">IF(AND(ISNUMBER($K449),ISNUMBER($L449),ISNUMBER($Q449)),IF(OR($Q449&lt;MIN($K449,$L449),$Q449&gt;MAX($K449,$L449)),1,0),0)</f>
        <v>0</v>
      </c>
      <c r="AD449" s="183" t="n">
        <f aca="false">IF(AND(ISNUMBER($T449),$P449="高"),IF($T449=3,1,0),0)</f>
        <v>0</v>
      </c>
      <c r="AE449" s="183" t="n">
        <f aca="false">IF($S449="不存在",1,0)</f>
        <v>0</v>
      </c>
      <c r="AF449" s="34" t="str">
        <f aca="false">IF(OR($H449="—",$H449=""),"—",MATCH($H449,IDX_SrcID,0))</f>
        <v>—</v>
      </c>
    </row>
    <row r="450" customFormat="false" ht="29.25" hidden="false" customHeight="true" outlineLevel="0" collapsed="false">
      <c r="A450" s="35" t="s">
        <v>3751</v>
      </c>
      <c r="B450" s="209" t="s">
        <v>3733</v>
      </c>
      <c r="C450" s="35" t="s">
        <v>3734</v>
      </c>
      <c r="D450" s="35" t="s">
        <v>3752</v>
      </c>
      <c r="E450" s="18" t="s">
        <v>3748</v>
      </c>
      <c r="F450" s="35" t="s">
        <v>64</v>
      </c>
      <c r="G450" s="209" t="s">
        <v>3739</v>
      </c>
      <c r="H450" s="35" t="s">
        <v>571</v>
      </c>
      <c r="I450" s="6" t="s">
        <v>571</v>
      </c>
      <c r="J450" s="35" t="s">
        <v>3749</v>
      </c>
      <c r="K450" s="209"/>
      <c r="L450" s="209"/>
      <c r="M450" s="35" t="s">
        <v>3753</v>
      </c>
      <c r="N450" s="6" t="s">
        <v>3750</v>
      </c>
      <c r="O450" s="6" t="s">
        <v>571</v>
      </c>
      <c r="P450" s="209" t="s">
        <v>2682</v>
      </c>
      <c r="Q450" s="182" t="s">
        <v>571</v>
      </c>
      <c r="R450" s="35" t="s">
        <v>571</v>
      </c>
      <c r="S450" s="34" t="str">
        <f aca="false">IF(ISNUMBER($AF450),INDEX(IDX_SrcStat,$AF450),"—")</f>
        <v>—</v>
      </c>
      <c r="T450" s="34" t="str">
        <f aca="false">IF(ISNUMBER($AF450),INDEX(IDX_SrcGrade,$AF450),"—")</f>
        <v>—</v>
      </c>
      <c r="U450" s="35" t="s">
        <v>571</v>
      </c>
      <c r="V450" s="183" t="n">
        <f aca="false">IF(AND($F450="原始數據",$U450&lt;&gt;"連結 SRC"),1,0)</f>
        <v>0</v>
      </c>
      <c r="W450" s="183" t="n">
        <f aca="false">IF(AND($F450="Analogy",OR($H450="—",$H450="")),1,0)</f>
        <v>0</v>
      </c>
      <c r="X450" s="183" t="n">
        <f aca="false">IF(AND(OR($F450="Analogy",$F450="Assumed"),$G450&lt;&gt;"低",$G450&lt;&gt;"高",NOT(ISNUMBER($K450)),NOT(ISNUMBER($L450)),OR($M450="—",$M450="")),1,0)</f>
        <v>0</v>
      </c>
      <c r="Y450" s="183" t="n">
        <f aca="false">IF(AND(OR($F450="Analogy",$F450="Assumed",$F450="Derived（待改公式）",$F450="Derived（公式）"),OR($N450="—",$N450="",$N450=0)),1,0)</f>
        <v>0</v>
      </c>
      <c r="Z450" s="183" t="n">
        <f aca="false">IF(AND($F450="Decision",OR($J450="—",$J450="")),1,0)</f>
        <v>0</v>
      </c>
      <c r="AA450" s="180" t="n">
        <f aca="false">IF(OR($J450="—",$J450=""),0,IF(COUNTIF(Decisions!$A$5:$A$300,$J450)=0,1,0))</f>
        <v>0</v>
      </c>
      <c r="AB450" s="183" t="n">
        <f aca="false">IF(AND($F450="原始數據",$S450&lt;&gt;"Active"),1,0)</f>
        <v>0</v>
      </c>
      <c r="AC450" s="183" t="n">
        <f aca="false">IF(AND(ISNUMBER($K450),ISNUMBER($L450),ISNUMBER($Q450)),IF(OR($Q450&lt;MIN($K450,$L450),$Q450&gt;MAX($K450,$L450)),1,0),0)</f>
        <v>0</v>
      </c>
      <c r="AD450" s="183" t="n">
        <f aca="false">IF(AND(ISNUMBER($T450),$P450="高"),IF($T450=3,1,0),0)</f>
        <v>0</v>
      </c>
      <c r="AE450" s="183" t="n">
        <f aca="false">IF($S450="不存在",1,0)</f>
        <v>0</v>
      </c>
      <c r="AF450" s="34" t="str">
        <f aca="false">IF(OR($H450="—",$H450=""),"—",MATCH($H450,IDX_SrcID,0))</f>
        <v>—</v>
      </c>
    </row>
    <row r="451" customFormat="false" ht="29.25" hidden="false" customHeight="true" outlineLevel="0" collapsed="false">
      <c r="A451" s="35" t="s">
        <v>3754</v>
      </c>
      <c r="B451" s="209" t="s">
        <v>3733</v>
      </c>
      <c r="C451" s="35" t="s">
        <v>3734</v>
      </c>
      <c r="D451" s="35" t="s">
        <v>3185</v>
      </c>
      <c r="E451" s="18" t="s">
        <v>3755</v>
      </c>
      <c r="F451" s="209" t="s">
        <v>3529</v>
      </c>
      <c r="G451" s="209" t="s">
        <v>57</v>
      </c>
      <c r="H451" s="35" t="s">
        <v>571</v>
      </c>
      <c r="I451" s="6" t="s">
        <v>571</v>
      </c>
      <c r="J451" s="35" t="s">
        <v>571</v>
      </c>
      <c r="K451" s="172" t="n">
        <f aca="false">Cap_In!D15</f>
        <v>0.5</v>
      </c>
      <c r="L451" s="172" t="n">
        <f aca="false">Cap_In!E15</f>
        <v>7</v>
      </c>
      <c r="M451" s="35" t="s">
        <v>571</v>
      </c>
      <c r="N451" s="18" t="s">
        <v>3756</v>
      </c>
      <c r="O451" s="6" t="s">
        <v>571</v>
      </c>
      <c r="P451" s="209" t="s">
        <v>2682</v>
      </c>
      <c r="Q451" s="172" t="n">
        <f aca="false">Cap_In!C15</f>
        <v>1</v>
      </c>
      <c r="R451" s="35" t="s">
        <v>571</v>
      </c>
      <c r="S451" s="34" t="str">
        <f aca="false">IF(ISNUMBER($AF451),INDEX(IDX_SrcStat,$AF451),"—")</f>
        <v>—</v>
      </c>
      <c r="T451" s="34" t="str">
        <f aca="false">IF(ISNUMBER($AF451),INDEX(IDX_SrcGrade,$AF451),"—")</f>
        <v>—</v>
      </c>
      <c r="U451" s="34" t="s">
        <v>2683</v>
      </c>
      <c r="V451" s="183" t="n">
        <f aca="false">IF(AND($F451="原始數據",$U451&lt;&gt;"連結 SRC"),1,0)</f>
        <v>0</v>
      </c>
      <c r="W451" s="183" t="n">
        <f aca="false">IF(AND($F451="Analogy",OR($H451="—",$H451="")),1,0)</f>
        <v>0</v>
      </c>
      <c r="X451" s="183" t="n">
        <f aca="false">IF(AND(OR($F451="Analogy",$F451="Assumed"),$G451&lt;&gt;"低",$G451&lt;&gt;"高",NOT(ISNUMBER($K451)),NOT(ISNUMBER($L451)),OR($M451="—",$M451="")),1,0)</f>
        <v>0</v>
      </c>
      <c r="Y451" s="183" t="n">
        <f aca="false">IF(AND(OR($F451="Analogy",$F451="Assumed",$F451="Derived（待改公式）",$F451="Derived（公式）"),OR($N451="—",$N451="",$N451=0)),1,0)</f>
        <v>0</v>
      </c>
      <c r="Z451" s="183" t="n">
        <f aca="false">IF(AND($F451="Decision",OR($J451="—",$J451="")),1,0)</f>
        <v>0</v>
      </c>
      <c r="AA451" s="180" t="n">
        <f aca="false">IF(OR($J451="—",$J451=""),0,IF(COUNTIF(Decisions!$A$5:$A$300,$J451)=0,1,0))</f>
        <v>0</v>
      </c>
      <c r="AB451" s="183" t="n">
        <f aca="false">IF(AND($F451="原始數據",$S451&lt;&gt;"Active"),1,0)</f>
        <v>0</v>
      </c>
      <c r="AC451" s="183" t="n">
        <f aca="false">IF(AND(ISNUMBER($K451),ISNUMBER($L451),ISNUMBER($Q451)),IF(OR($Q451&lt;MIN($K451,$L451),$Q451&gt;MAX($K451,$L451)),1,0),0)</f>
        <v>0</v>
      </c>
      <c r="AD451" s="183" t="n">
        <f aca="false">IF(AND(ISNUMBER($T451),$P451="高"),IF($T451=3,1,0),0)</f>
        <v>0</v>
      </c>
      <c r="AE451" s="183" t="n">
        <f aca="false">IF($S451="不存在",1,0)</f>
        <v>0</v>
      </c>
      <c r="AF451" s="34" t="str">
        <f aca="false">IF(OR($H451="—",$H451=""),"—",MATCH($H451,IDX_SrcID,0))</f>
        <v>—</v>
      </c>
    </row>
    <row r="452" customFormat="false" ht="29.25" hidden="false" customHeight="true" outlineLevel="0" collapsed="false">
      <c r="A452" s="35" t="s">
        <v>3757</v>
      </c>
      <c r="B452" s="209" t="s">
        <v>3733</v>
      </c>
      <c r="C452" s="35" t="s">
        <v>3734</v>
      </c>
      <c r="D452" s="35" t="s">
        <v>3758</v>
      </c>
      <c r="E452" s="18" t="s">
        <v>3755</v>
      </c>
      <c r="F452" s="209" t="s">
        <v>3529</v>
      </c>
      <c r="G452" s="209" t="s">
        <v>3739</v>
      </c>
      <c r="H452" s="35" t="s">
        <v>571</v>
      </c>
      <c r="I452" s="6" t="s">
        <v>571</v>
      </c>
      <c r="J452" s="35" t="s">
        <v>571</v>
      </c>
      <c r="K452" s="209"/>
      <c r="L452" s="209"/>
      <c r="M452" s="35" t="s">
        <v>3759</v>
      </c>
      <c r="N452" s="18" t="s">
        <v>3756</v>
      </c>
      <c r="O452" s="6" t="s">
        <v>571</v>
      </c>
      <c r="P452" s="209" t="s">
        <v>2682</v>
      </c>
      <c r="Q452" s="182" t="s">
        <v>571</v>
      </c>
      <c r="R452" s="35" t="s">
        <v>571</v>
      </c>
      <c r="S452" s="34" t="str">
        <f aca="false">IF(ISNUMBER($AF452),INDEX(IDX_SrcStat,$AF452),"—")</f>
        <v>—</v>
      </c>
      <c r="T452" s="34" t="str">
        <f aca="false">IF(ISNUMBER($AF452),INDEX(IDX_SrcGrade,$AF452),"—")</f>
        <v>—</v>
      </c>
      <c r="U452" s="35" t="s">
        <v>571</v>
      </c>
      <c r="V452" s="183" t="n">
        <f aca="false">IF(AND($F452="原始數據",$U452&lt;&gt;"連結 SRC"),1,0)</f>
        <v>0</v>
      </c>
      <c r="W452" s="183" t="n">
        <f aca="false">IF(AND($F452="Analogy",OR($H452="—",$H452="")),1,0)</f>
        <v>0</v>
      </c>
      <c r="X452" s="183" t="n">
        <f aca="false">IF(AND(OR($F452="Analogy",$F452="Assumed"),$G452&lt;&gt;"低",$G452&lt;&gt;"高",NOT(ISNUMBER($K452)),NOT(ISNUMBER($L452)),OR($M452="—",$M452="")),1,0)</f>
        <v>0</v>
      </c>
      <c r="Y452" s="183" t="n">
        <f aca="false">IF(AND(OR($F452="Analogy",$F452="Assumed",$F452="Derived（待改公式）",$F452="Derived（公式）"),OR($N452="—",$N452="",$N452=0)),1,0)</f>
        <v>0</v>
      </c>
      <c r="Z452" s="183" t="n">
        <f aca="false">IF(AND($F452="Decision",OR($J452="—",$J452="")),1,0)</f>
        <v>0</v>
      </c>
      <c r="AA452" s="180" t="n">
        <f aca="false">IF(OR($J452="—",$J452=""),0,IF(COUNTIF(Decisions!$A$5:$A$300,$J452)=0,1,0))</f>
        <v>0</v>
      </c>
      <c r="AB452" s="183" t="n">
        <f aca="false">IF(AND($F452="原始數據",$S452&lt;&gt;"Active"),1,0)</f>
        <v>0</v>
      </c>
      <c r="AC452" s="183" t="n">
        <f aca="false">IF(AND(ISNUMBER($K452),ISNUMBER($L452),ISNUMBER($Q452)),IF(OR($Q452&lt;MIN($K452,$L452),$Q452&gt;MAX($K452,$L452)),1,0),0)</f>
        <v>0</v>
      </c>
      <c r="AD452" s="183" t="n">
        <f aca="false">IF(AND(ISNUMBER($T452),$P452="高"),IF($T452=3,1,0),0)</f>
        <v>0</v>
      </c>
      <c r="AE452" s="183" t="n">
        <f aca="false">IF($S452="不存在",1,0)</f>
        <v>0</v>
      </c>
      <c r="AF452" s="34" t="str">
        <f aca="false">IF(OR($H452="—",$H452=""),"—",MATCH($H452,IDX_SrcID,0))</f>
        <v>—</v>
      </c>
    </row>
    <row r="453" customFormat="false" ht="29.25" hidden="false" customHeight="true" outlineLevel="0" collapsed="false">
      <c r="A453" s="35" t="s">
        <v>3760</v>
      </c>
      <c r="B453" s="209" t="s">
        <v>3733</v>
      </c>
      <c r="C453" s="35" t="s">
        <v>3734</v>
      </c>
      <c r="D453" s="35" t="s">
        <v>3761</v>
      </c>
      <c r="E453" s="18" t="s">
        <v>3762</v>
      </c>
      <c r="F453" s="35" t="s">
        <v>64</v>
      </c>
      <c r="G453" s="209" t="s">
        <v>3420</v>
      </c>
      <c r="H453" s="35" t="s">
        <v>571</v>
      </c>
      <c r="I453" s="6" t="s">
        <v>571</v>
      </c>
      <c r="J453" s="35" t="s">
        <v>3763</v>
      </c>
      <c r="K453" s="209"/>
      <c r="L453" s="209"/>
      <c r="M453" s="35" t="s">
        <v>571</v>
      </c>
      <c r="N453" s="6" t="s">
        <v>3764</v>
      </c>
      <c r="O453" s="6" t="s">
        <v>571</v>
      </c>
      <c r="P453" s="209" t="s">
        <v>2682</v>
      </c>
      <c r="Q453" s="182" t="s">
        <v>571</v>
      </c>
      <c r="R453" s="35" t="s">
        <v>571</v>
      </c>
      <c r="S453" s="34" t="str">
        <f aca="false">IF(ISNUMBER($AF453),INDEX(IDX_SrcStat,$AF453),"—")</f>
        <v>—</v>
      </c>
      <c r="T453" s="34" t="str">
        <f aca="false">IF(ISNUMBER($AF453),INDEX(IDX_SrcGrade,$AF453),"—")</f>
        <v>—</v>
      </c>
      <c r="U453" s="35" t="s">
        <v>571</v>
      </c>
      <c r="V453" s="183" t="n">
        <f aca="false">IF(AND($F453="原始數據",$U453&lt;&gt;"連結 SRC"),1,0)</f>
        <v>0</v>
      </c>
      <c r="W453" s="183" t="n">
        <f aca="false">IF(AND($F453="Analogy",OR($H453="—",$H453="")),1,0)</f>
        <v>0</v>
      </c>
      <c r="X453" s="183" t="n">
        <f aca="false">IF(AND(OR($F453="Analogy",$F453="Assumed"),$G453&lt;&gt;"低",$G453&lt;&gt;"高",NOT(ISNUMBER($K453)),NOT(ISNUMBER($L453)),OR($M453="—",$M453="")),1,0)</f>
        <v>0</v>
      </c>
      <c r="Y453" s="183" t="n">
        <f aca="false">IF(AND(OR($F453="Analogy",$F453="Assumed",$F453="Derived（待改公式）",$F453="Derived（公式）"),OR($N453="—",$N453="",$N453=0)),1,0)</f>
        <v>0</v>
      </c>
      <c r="Z453" s="183" t="n">
        <f aca="false">IF(AND($F453="Decision",OR($J453="—",$J453="")),1,0)</f>
        <v>0</v>
      </c>
      <c r="AA453" s="180" t="n">
        <f aca="false">IF(OR($J453="—",$J453=""),0,IF(COUNTIF(Decisions!$A$5:$A$300,$J453)=0,1,0))</f>
        <v>0</v>
      </c>
      <c r="AB453" s="183" t="n">
        <f aca="false">IF(AND($F453="原始數據",$S453&lt;&gt;"Active"),1,0)</f>
        <v>0</v>
      </c>
      <c r="AC453" s="183" t="n">
        <f aca="false">IF(AND(ISNUMBER($K453),ISNUMBER($L453),ISNUMBER($Q453)),IF(OR($Q453&lt;MIN($K453,$L453),$Q453&gt;MAX($K453,$L453)),1,0),0)</f>
        <v>0</v>
      </c>
      <c r="AD453" s="183" t="n">
        <f aca="false">IF(AND(ISNUMBER($T453),$P453="高"),IF($T453=3,1,0),0)</f>
        <v>0</v>
      </c>
      <c r="AE453" s="183" t="n">
        <f aca="false">IF($S453="不存在",1,0)</f>
        <v>0</v>
      </c>
      <c r="AF453" s="34" t="str">
        <f aca="false">IF(OR($H453="—",$H453=""),"—",MATCH($H453,IDX_SrcID,0))</f>
        <v>—</v>
      </c>
    </row>
    <row r="454" customFormat="false" ht="29.25" hidden="false" customHeight="true" outlineLevel="0" collapsed="false">
      <c r="A454" s="35" t="s">
        <v>3765</v>
      </c>
      <c r="B454" s="209" t="s">
        <v>3733</v>
      </c>
      <c r="C454" s="35" t="s">
        <v>3734</v>
      </c>
      <c r="D454" s="35" t="s">
        <v>3766</v>
      </c>
      <c r="E454" s="18" t="s">
        <v>1117</v>
      </c>
      <c r="F454" s="35" t="s">
        <v>72</v>
      </c>
      <c r="G454" s="209" t="s">
        <v>3420</v>
      </c>
      <c r="H454" s="35" t="s">
        <v>571</v>
      </c>
      <c r="I454" s="6" t="s">
        <v>571</v>
      </c>
      <c r="J454" s="35" t="s">
        <v>3767</v>
      </c>
      <c r="K454" s="209"/>
      <c r="L454" s="209"/>
      <c r="M454" s="209" t="s">
        <v>3768</v>
      </c>
      <c r="N454" s="6" t="s">
        <v>3769</v>
      </c>
      <c r="O454" s="6" t="s">
        <v>571</v>
      </c>
      <c r="P454" s="209" t="s">
        <v>2682</v>
      </c>
      <c r="Q454" s="182" t="s">
        <v>571</v>
      </c>
      <c r="R454" s="35" t="s">
        <v>571</v>
      </c>
      <c r="S454" s="34" t="str">
        <f aca="false">IF(ISNUMBER($AF454),INDEX(IDX_SrcStat,$AF454),"—")</f>
        <v>—</v>
      </c>
      <c r="T454" s="34" t="str">
        <f aca="false">IF(ISNUMBER($AF454),INDEX(IDX_SrcGrade,$AF454),"—")</f>
        <v>—</v>
      </c>
      <c r="U454" s="35" t="s">
        <v>571</v>
      </c>
      <c r="V454" s="183" t="n">
        <f aca="false">IF(AND($F454="原始數據",$U454&lt;&gt;"連結 SRC"),1,0)</f>
        <v>0</v>
      </c>
      <c r="W454" s="183" t="n">
        <f aca="false">IF(AND($F454="Analogy",OR($H454="—",$H454="")),1,0)</f>
        <v>0</v>
      </c>
      <c r="X454" s="183" t="n">
        <f aca="false">IF(AND(OR($F454="Analogy",$F454="Assumed"),$G454&lt;&gt;"低",$G454&lt;&gt;"高",NOT(ISNUMBER($K454)),NOT(ISNUMBER($L454)),OR($M454="—",$M454="")),1,0)</f>
        <v>0</v>
      </c>
      <c r="Y454" s="183" t="n">
        <f aca="false">IF(AND(OR($F454="Analogy",$F454="Assumed",$F454="Derived（待改公式）",$F454="Derived（公式）"),OR($N454="—",$N454="",$N454=0)),1,0)</f>
        <v>0</v>
      </c>
      <c r="Z454" s="183" t="n">
        <f aca="false">IF(AND($F454="Decision",OR($J454="—",$J454="")),1,0)</f>
        <v>0</v>
      </c>
      <c r="AA454" s="180" t="n">
        <f aca="false">IF(OR($J454="—",$J454=""),0,IF(COUNTIF(Decisions!$A$5:$A$300,$J454)=0,1,0))</f>
        <v>0</v>
      </c>
      <c r="AB454" s="183" t="n">
        <f aca="false">IF(AND($F454="原始數據",$S454&lt;&gt;"Active"),1,0)</f>
        <v>0</v>
      </c>
      <c r="AC454" s="183" t="n">
        <f aca="false">IF(AND(ISNUMBER($K454),ISNUMBER($L454),ISNUMBER($Q454)),IF(OR($Q454&lt;MIN($K454,$L454),$Q454&gt;MAX($K454,$L454)),1,0),0)</f>
        <v>0</v>
      </c>
      <c r="AD454" s="183" t="n">
        <f aca="false">IF(AND(ISNUMBER($T454),$P454="高"),IF($T454=3,1,0),0)</f>
        <v>0</v>
      </c>
      <c r="AE454" s="183" t="n">
        <f aca="false">IF($S454="不存在",1,0)</f>
        <v>0</v>
      </c>
      <c r="AF454" s="34" t="str">
        <f aca="false">IF(OR($H454="—",$H454=""),"—",MATCH($H454,IDX_SrcID,0))</f>
        <v>—</v>
      </c>
    </row>
    <row r="455" customFormat="false" ht="29.25" hidden="false" customHeight="true" outlineLevel="0" collapsed="false">
      <c r="A455" s="35" t="s">
        <v>3770</v>
      </c>
      <c r="B455" s="209" t="s">
        <v>3733</v>
      </c>
      <c r="C455" s="35" t="s">
        <v>3734</v>
      </c>
      <c r="D455" s="35" t="s">
        <v>3771</v>
      </c>
      <c r="E455" s="18" t="s">
        <v>1120</v>
      </c>
      <c r="F455" s="35" t="s">
        <v>72</v>
      </c>
      <c r="G455" s="209" t="s">
        <v>1099</v>
      </c>
      <c r="H455" s="35" t="s">
        <v>571</v>
      </c>
      <c r="I455" s="6" t="s">
        <v>571</v>
      </c>
      <c r="J455" s="35" t="s">
        <v>3767</v>
      </c>
      <c r="K455" s="209"/>
      <c r="L455" s="209"/>
      <c r="M455" s="35" t="s">
        <v>571</v>
      </c>
      <c r="N455" s="6" t="s">
        <v>3769</v>
      </c>
      <c r="O455" s="6" t="s">
        <v>571</v>
      </c>
      <c r="P455" s="209" t="s">
        <v>2682</v>
      </c>
      <c r="Q455" s="182" t="s">
        <v>571</v>
      </c>
      <c r="R455" s="35" t="s">
        <v>571</v>
      </c>
      <c r="S455" s="34" t="str">
        <f aca="false">IF(ISNUMBER($AF455),INDEX(IDX_SrcStat,$AF455),"—")</f>
        <v>—</v>
      </c>
      <c r="T455" s="34" t="str">
        <f aca="false">IF(ISNUMBER($AF455),INDEX(IDX_SrcGrade,$AF455),"—")</f>
        <v>—</v>
      </c>
      <c r="U455" s="35" t="s">
        <v>571</v>
      </c>
      <c r="V455" s="183" t="n">
        <f aca="false">IF(AND($F455="原始數據",$U455&lt;&gt;"連結 SRC"),1,0)</f>
        <v>0</v>
      </c>
      <c r="W455" s="183" t="n">
        <f aca="false">IF(AND($F455="Analogy",OR($H455="—",$H455="")),1,0)</f>
        <v>0</v>
      </c>
      <c r="X455" s="183" t="n">
        <f aca="false">IF(AND(OR($F455="Analogy",$F455="Assumed"),$G455&lt;&gt;"低",$G455&lt;&gt;"高",NOT(ISNUMBER($K455)),NOT(ISNUMBER($L455)),OR($M455="—",$M455="")),1,0)</f>
        <v>0</v>
      </c>
      <c r="Y455" s="183" t="n">
        <f aca="false">IF(AND(OR($F455="Analogy",$F455="Assumed",$F455="Derived（待改公式）",$F455="Derived（公式）"),OR($N455="—",$N455="",$N455=0)),1,0)</f>
        <v>0</v>
      </c>
      <c r="Z455" s="183" t="n">
        <f aca="false">IF(AND($F455="Decision",OR($J455="—",$J455="")),1,0)</f>
        <v>0</v>
      </c>
      <c r="AA455" s="180" t="n">
        <f aca="false">IF(OR($J455="—",$J455=""),0,IF(COUNTIF(Decisions!$A$5:$A$300,$J455)=0,1,0))</f>
        <v>0</v>
      </c>
      <c r="AB455" s="183" t="n">
        <f aca="false">IF(AND($F455="原始數據",$S455&lt;&gt;"Active"),1,0)</f>
        <v>0</v>
      </c>
      <c r="AC455" s="183" t="n">
        <f aca="false">IF(AND(ISNUMBER($K455),ISNUMBER($L455),ISNUMBER($Q455)),IF(OR($Q455&lt;MIN($K455,$L455),$Q455&gt;MAX($K455,$L455)),1,0),0)</f>
        <v>0</v>
      </c>
      <c r="AD455" s="183" t="n">
        <f aca="false">IF(AND(ISNUMBER($T455),$P455="高"),IF($T455=3,1,0),0)</f>
        <v>0</v>
      </c>
      <c r="AE455" s="183" t="n">
        <f aca="false">IF($S455="不存在",1,0)</f>
        <v>0</v>
      </c>
      <c r="AF455" s="34" t="str">
        <f aca="false">IF(OR($H455="—",$H455=""),"—",MATCH($H455,IDX_SrcID,0))</f>
        <v>—</v>
      </c>
    </row>
    <row r="456" customFormat="false" ht="29.25" hidden="false" customHeight="true" outlineLevel="0" collapsed="false">
      <c r="A456" s="35" t="s">
        <v>3772</v>
      </c>
      <c r="B456" s="209" t="s">
        <v>3733</v>
      </c>
      <c r="C456" s="35" t="s">
        <v>3734</v>
      </c>
      <c r="D456" s="35" t="s">
        <v>3773</v>
      </c>
      <c r="E456" s="18" t="s">
        <v>1121</v>
      </c>
      <c r="F456" s="35" t="s">
        <v>72</v>
      </c>
      <c r="G456" s="209" t="s">
        <v>1100</v>
      </c>
      <c r="H456" s="35" t="s">
        <v>571</v>
      </c>
      <c r="I456" s="6" t="s">
        <v>571</v>
      </c>
      <c r="J456" s="35" t="s">
        <v>3767</v>
      </c>
      <c r="K456" s="209"/>
      <c r="L456" s="209"/>
      <c r="M456" s="35" t="s">
        <v>571</v>
      </c>
      <c r="N456" s="6" t="s">
        <v>3769</v>
      </c>
      <c r="O456" s="6" t="s">
        <v>571</v>
      </c>
      <c r="P456" s="209" t="s">
        <v>2682</v>
      </c>
      <c r="Q456" s="182" t="s">
        <v>571</v>
      </c>
      <c r="R456" s="35" t="s">
        <v>571</v>
      </c>
      <c r="S456" s="34" t="str">
        <f aca="false">IF(ISNUMBER($AF456),INDEX(IDX_SrcStat,$AF456),"—")</f>
        <v>—</v>
      </c>
      <c r="T456" s="34" t="str">
        <f aca="false">IF(ISNUMBER($AF456),INDEX(IDX_SrcGrade,$AF456),"—")</f>
        <v>—</v>
      </c>
      <c r="U456" s="35" t="s">
        <v>571</v>
      </c>
      <c r="V456" s="183" t="n">
        <f aca="false">IF(AND($F456="原始數據",$U456&lt;&gt;"連結 SRC"),1,0)</f>
        <v>0</v>
      </c>
      <c r="W456" s="183" t="n">
        <f aca="false">IF(AND($F456="Analogy",OR($H456="—",$H456="")),1,0)</f>
        <v>0</v>
      </c>
      <c r="X456" s="183" t="n">
        <f aca="false">IF(AND(OR($F456="Analogy",$F456="Assumed"),$G456&lt;&gt;"低",$G456&lt;&gt;"高",NOT(ISNUMBER($K456)),NOT(ISNUMBER($L456)),OR($M456="—",$M456="")),1,0)</f>
        <v>0</v>
      </c>
      <c r="Y456" s="183" t="n">
        <f aca="false">IF(AND(OR($F456="Analogy",$F456="Assumed",$F456="Derived（待改公式）",$F456="Derived（公式）"),OR($N456="—",$N456="",$N456=0)),1,0)</f>
        <v>0</v>
      </c>
      <c r="Z456" s="183" t="n">
        <f aca="false">IF(AND($F456="Decision",OR($J456="—",$J456="")),1,0)</f>
        <v>0</v>
      </c>
      <c r="AA456" s="180" t="n">
        <f aca="false">IF(OR($J456="—",$J456=""),0,IF(COUNTIF(Decisions!$A$5:$A$300,$J456)=0,1,0))</f>
        <v>0</v>
      </c>
      <c r="AB456" s="183" t="n">
        <f aca="false">IF(AND($F456="原始數據",$S456&lt;&gt;"Active"),1,0)</f>
        <v>0</v>
      </c>
      <c r="AC456" s="183" t="n">
        <f aca="false">IF(AND(ISNUMBER($K456),ISNUMBER($L456),ISNUMBER($Q456)),IF(OR($Q456&lt;MIN($K456,$L456),$Q456&gt;MAX($K456,$L456)),1,0),0)</f>
        <v>0</v>
      </c>
      <c r="AD456" s="183" t="n">
        <f aca="false">IF(AND(ISNUMBER($T456),$P456="高"),IF($T456=3,1,0),0)</f>
        <v>0</v>
      </c>
      <c r="AE456" s="183" t="n">
        <f aca="false">IF($S456="不存在",1,0)</f>
        <v>0</v>
      </c>
      <c r="AF456" s="34" t="str">
        <f aca="false">IF(OR($H456="—",$H456=""),"—",MATCH($H456,IDX_SrcID,0))</f>
        <v>—</v>
      </c>
    </row>
    <row r="457" customFormat="false" ht="43.5" hidden="false" customHeight="true" outlineLevel="0" collapsed="false">
      <c r="A457" s="35" t="s">
        <v>3774</v>
      </c>
      <c r="B457" s="209" t="s">
        <v>3733</v>
      </c>
      <c r="C457" s="35" t="s">
        <v>3734</v>
      </c>
      <c r="D457" s="35" t="s">
        <v>3026</v>
      </c>
      <c r="E457" s="18" t="s">
        <v>1123</v>
      </c>
      <c r="F457" s="209" t="s">
        <v>2864</v>
      </c>
      <c r="G457" s="209" t="s">
        <v>57</v>
      </c>
      <c r="H457" s="35" t="s">
        <v>2273</v>
      </c>
      <c r="I457" s="18" t="s">
        <v>3775</v>
      </c>
      <c r="J457" s="35" t="s">
        <v>3776</v>
      </c>
      <c r="K457" s="174" t="n">
        <f aca="false">Cap_In!D28</f>
        <v>0.3</v>
      </c>
      <c r="L457" s="174" t="n">
        <f aca="false">Cap_In!E28</f>
        <v>0.6</v>
      </c>
      <c r="M457" s="35" t="s">
        <v>571</v>
      </c>
      <c r="N457" s="18" t="s">
        <v>3777</v>
      </c>
      <c r="O457" s="6" t="s">
        <v>3778</v>
      </c>
      <c r="P457" s="209" t="s">
        <v>1100</v>
      </c>
      <c r="Q457" s="174" t="n">
        <f aca="false">Cap_In!C28</f>
        <v>0.41</v>
      </c>
      <c r="R457" s="182" t="n">
        <f aca="false">SRC_DEM_004</f>
        <v>8.4</v>
      </c>
      <c r="S457" s="34" t="str">
        <f aca="false">IF(ISNUMBER($AF457),INDEX(IDX_SrcStat,$AF457),"—")</f>
        <v>Active</v>
      </c>
      <c r="T457" s="34" t="n">
        <f aca="false">IF(ISNUMBER($AF457),INDEX(IDX_SrcGrade,$AF457),"—")</f>
        <v>2</v>
      </c>
      <c r="U457" s="34" t="s">
        <v>2683</v>
      </c>
      <c r="V457" s="183" t="n">
        <f aca="false">IF(AND($F457="原始數據",$U457&lt;&gt;"連結 SRC"),1,0)</f>
        <v>0</v>
      </c>
      <c r="W457" s="183" t="n">
        <f aca="false">IF(AND($F457="Analogy",OR($H457="—",$H457="")),1,0)</f>
        <v>0</v>
      </c>
      <c r="X457" s="183" t="n">
        <f aca="false">IF(AND(OR($F457="Analogy",$F457="Assumed"),$G457&lt;&gt;"低",$G457&lt;&gt;"高",NOT(ISNUMBER($K457)),NOT(ISNUMBER($L457)),OR($M457="—",$M457="")),1,0)</f>
        <v>0</v>
      </c>
      <c r="Y457" s="183" t="n">
        <f aca="false">IF(AND(OR($F457="Analogy",$F457="Assumed",$F457="Derived（待改公式）",$F457="Derived（公式）"),OR($N457="—",$N457="",$N457=0)),1,0)</f>
        <v>0</v>
      </c>
      <c r="Z457" s="183" t="n">
        <f aca="false">IF(AND($F457="Decision",OR($J457="—",$J457="")),1,0)</f>
        <v>0</v>
      </c>
      <c r="AA457" s="180" t="n">
        <f aca="false">IF(OR($J457="—",$J457=""),0,IF(COUNTIF(Decisions!$A$5:$A$300,$J457)=0,1,0))</f>
        <v>0</v>
      </c>
      <c r="AB457" s="183" t="n">
        <f aca="false">IF(AND($F457="原始數據",$S457&lt;&gt;"Active"),1,0)</f>
        <v>0</v>
      </c>
      <c r="AC457" s="183" t="n">
        <f aca="false">IF(AND(ISNUMBER($K457),ISNUMBER($L457),ISNUMBER($Q457)),IF(OR($Q457&lt;MIN($K457,$L457),$Q457&gt;MAX($K457,$L457)),1,0),0)</f>
        <v>0</v>
      </c>
      <c r="AD457" s="183" t="n">
        <f aca="false">IF(AND(ISNUMBER($T457),$P457="高"),IF($T457=3,1,0),0)</f>
        <v>0</v>
      </c>
      <c r="AE457" s="183" t="n">
        <f aca="false">IF($S457="不存在",1,0)</f>
        <v>0</v>
      </c>
      <c r="AF457" s="34" t="n">
        <f aca="false">IF(OR($H457="—",$H457=""),"—",MATCH($H457,IDX_SrcID,0))</f>
        <v>616</v>
      </c>
    </row>
    <row r="458" customFormat="false" ht="15" hidden="false" customHeight="true" outlineLevel="0" collapsed="false">
      <c r="A458" s="35" t="s">
        <v>3779</v>
      </c>
      <c r="B458" s="209" t="s">
        <v>3733</v>
      </c>
      <c r="C458" s="35" t="s">
        <v>3734</v>
      </c>
      <c r="D458" s="35" t="s">
        <v>3780</v>
      </c>
      <c r="E458" s="18" t="s">
        <v>1123</v>
      </c>
      <c r="F458" s="35" t="s">
        <v>72</v>
      </c>
      <c r="G458" s="209" t="s">
        <v>3739</v>
      </c>
      <c r="H458" s="35" t="s">
        <v>571</v>
      </c>
      <c r="I458" s="6" t="s">
        <v>571</v>
      </c>
      <c r="J458" s="35" t="s">
        <v>3776</v>
      </c>
      <c r="K458" s="209"/>
      <c r="L458" s="209"/>
      <c r="M458" s="35" t="s">
        <v>3781</v>
      </c>
      <c r="N458" s="6" t="s">
        <v>3782</v>
      </c>
      <c r="O458" s="6" t="s">
        <v>571</v>
      </c>
      <c r="P458" s="209" t="s">
        <v>1100</v>
      </c>
      <c r="Q458" s="182" t="s">
        <v>571</v>
      </c>
      <c r="R458" s="35" t="s">
        <v>571</v>
      </c>
      <c r="S458" s="34" t="str">
        <f aca="false">IF(ISNUMBER($AF458),INDEX(IDX_SrcStat,$AF458),"—")</f>
        <v>—</v>
      </c>
      <c r="T458" s="34" t="str">
        <f aca="false">IF(ISNUMBER($AF458),INDEX(IDX_SrcGrade,$AF458),"—")</f>
        <v>—</v>
      </c>
      <c r="U458" s="35" t="s">
        <v>571</v>
      </c>
      <c r="V458" s="183" t="n">
        <f aca="false">IF(AND($F458="原始數據",$U458&lt;&gt;"連結 SRC"),1,0)</f>
        <v>0</v>
      </c>
      <c r="W458" s="183" t="n">
        <f aca="false">IF(AND($F458="Analogy",OR($H458="—",$H458="")),1,0)</f>
        <v>0</v>
      </c>
      <c r="X458" s="183" t="n">
        <f aca="false">IF(AND(OR($F458="Analogy",$F458="Assumed"),$G458&lt;&gt;"低",$G458&lt;&gt;"高",NOT(ISNUMBER($K458)),NOT(ISNUMBER($L458)),OR($M458="—",$M458="")),1,0)</f>
        <v>0</v>
      </c>
      <c r="Y458" s="183" t="n">
        <f aca="false">IF(AND(OR($F458="Analogy",$F458="Assumed",$F458="Derived（待改公式）",$F458="Derived（公式）"),OR($N458="—",$N458="",$N458=0)),1,0)</f>
        <v>0</v>
      </c>
      <c r="Z458" s="183" t="n">
        <f aca="false">IF(AND($F458="Decision",OR($J458="—",$J458="")),1,0)</f>
        <v>0</v>
      </c>
      <c r="AA458" s="180" t="n">
        <f aca="false">IF(OR($J458="—",$J458=""),0,IF(COUNTIF(Decisions!$A$5:$A$300,$J458)=0,1,0))</f>
        <v>0</v>
      </c>
      <c r="AB458" s="183" t="n">
        <f aca="false">IF(AND($F458="原始數據",$S458&lt;&gt;"Active"),1,0)</f>
        <v>0</v>
      </c>
      <c r="AC458" s="183" t="n">
        <f aca="false">IF(AND(ISNUMBER($K458),ISNUMBER($L458),ISNUMBER($Q458)),IF(OR($Q458&lt;MIN($K458,$L458),$Q458&gt;MAX($K458,$L458)),1,0),0)</f>
        <v>0</v>
      </c>
      <c r="AD458" s="183" t="n">
        <f aca="false">IF(AND(ISNUMBER($T458),$P458="高"),IF($T458=3,1,0),0)</f>
        <v>0</v>
      </c>
      <c r="AE458" s="183" t="n">
        <f aca="false">IF($S458="不存在",1,0)</f>
        <v>0</v>
      </c>
      <c r="AF458" s="34" t="str">
        <f aca="false">IF(OR($H458="—",$H458=""),"—",MATCH($H458,IDX_SrcID,0))</f>
        <v>—</v>
      </c>
    </row>
    <row r="459" customFormat="false" ht="29.25" hidden="false" customHeight="true" outlineLevel="0" collapsed="false">
      <c r="A459" s="35" t="s">
        <v>3783</v>
      </c>
      <c r="B459" s="209" t="s">
        <v>3733</v>
      </c>
      <c r="C459" s="35" t="s">
        <v>3734</v>
      </c>
      <c r="D459" s="35" t="s">
        <v>3036</v>
      </c>
      <c r="E459" s="18" t="s">
        <v>1126</v>
      </c>
      <c r="F459" s="209" t="s">
        <v>2864</v>
      </c>
      <c r="G459" s="209" t="s">
        <v>57</v>
      </c>
      <c r="H459" s="35" t="s">
        <v>2282</v>
      </c>
      <c r="I459" s="18" t="s">
        <v>3784</v>
      </c>
      <c r="J459" s="35" t="s">
        <v>3776</v>
      </c>
      <c r="K459" s="174" t="n">
        <f aca="false">Cap_In!D29</f>
        <v>0.35</v>
      </c>
      <c r="L459" s="174" t="n">
        <f aca="false">Cap_In!E29</f>
        <v>0.6</v>
      </c>
      <c r="M459" s="35" t="s">
        <v>571</v>
      </c>
      <c r="N459" s="18" t="s">
        <v>3785</v>
      </c>
      <c r="O459" s="6" t="s">
        <v>3786</v>
      </c>
      <c r="P459" s="209" t="s">
        <v>1100</v>
      </c>
      <c r="Q459" s="174" t="n">
        <f aca="false">Cap_In!C29</f>
        <v>0.46</v>
      </c>
      <c r="R459" s="182" t="n">
        <f aca="false">SRC_DEM_005</f>
        <v>3.9</v>
      </c>
      <c r="S459" s="34" t="str">
        <f aca="false">IF(ISNUMBER($AF459),INDEX(IDX_SrcStat,$AF459),"—")</f>
        <v>Active</v>
      </c>
      <c r="T459" s="34" t="n">
        <f aca="false">IF(ISNUMBER($AF459),INDEX(IDX_SrcGrade,$AF459),"—")</f>
        <v>2</v>
      </c>
      <c r="U459" s="34" t="s">
        <v>2683</v>
      </c>
      <c r="V459" s="183" t="n">
        <f aca="false">IF(AND($F459="原始數據",$U459&lt;&gt;"連結 SRC"),1,0)</f>
        <v>0</v>
      </c>
      <c r="W459" s="183" t="n">
        <f aca="false">IF(AND($F459="Analogy",OR($H459="—",$H459="")),1,0)</f>
        <v>0</v>
      </c>
      <c r="X459" s="183" t="n">
        <f aca="false">IF(AND(OR($F459="Analogy",$F459="Assumed"),$G459&lt;&gt;"低",$G459&lt;&gt;"高",NOT(ISNUMBER($K459)),NOT(ISNUMBER($L459)),OR($M459="—",$M459="")),1,0)</f>
        <v>0</v>
      </c>
      <c r="Y459" s="183" t="n">
        <f aca="false">IF(AND(OR($F459="Analogy",$F459="Assumed",$F459="Derived（待改公式）",$F459="Derived（公式）"),OR($N459="—",$N459="",$N459=0)),1,0)</f>
        <v>0</v>
      </c>
      <c r="Z459" s="183" t="n">
        <f aca="false">IF(AND($F459="Decision",OR($J459="—",$J459="")),1,0)</f>
        <v>0</v>
      </c>
      <c r="AA459" s="180" t="n">
        <f aca="false">IF(OR($J459="—",$J459=""),0,IF(COUNTIF(Decisions!$A$5:$A$300,$J459)=0,1,0))</f>
        <v>0</v>
      </c>
      <c r="AB459" s="183" t="n">
        <f aca="false">IF(AND($F459="原始數據",$S459&lt;&gt;"Active"),1,0)</f>
        <v>0</v>
      </c>
      <c r="AC459" s="183" t="n">
        <f aca="false">IF(AND(ISNUMBER($K459),ISNUMBER($L459),ISNUMBER($Q459)),IF(OR($Q459&lt;MIN($K459,$L459),$Q459&gt;MAX($K459,$L459)),1,0),0)</f>
        <v>0</v>
      </c>
      <c r="AD459" s="183" t="n">
        <f aca="false">IF(AND(ISNUMBER($T459),$P459="高"),IF($T459=3,1,0),0)</f>
        <v>0</v>
      </c>
      <c r="AE459" s="183" t="n">
        <f aca="false">IF($S459="不存在",1,0)</f>
        <v>0</v>
      </c>
      <c r="AF459" s="34" t="n">
        <f aca="false">IF(OR($H459="—",$H459=""),"—",MATCH($H459,IDX_SrcID,0))</f>
        <v>617</v>
      </c>
    </row>
    <row r="460" customFormat="false" ht="15" hidden="false" customHeight="true" outlineLevel="0" collapsed="false">
      <c r="A460" s="35" t="s">
        <v>3787</v>
      </c>
      <c r="B460" s="209" t="s">
        <v>3733</v>
      </c>
      <c r="C460" s="35" t="s">
        <v>3734</v>
      </c>
      <c r="D460" s="35" t="s">
        <v>3788</v>
      </c>
      <c r="E460" s="18" t="s">
        <v>1126</v>
      </c>
      <c r="F460" s="35" t="s">
        <v>72</v>
      </c>
      <c r="G460" s="209" t="s">
        <v>3739</v>
      </c>
      <c r="H460" s="35" t="s">
        <v>571</v>
      </c>
      <c r="I460" s="6" t="s">
        <v>571</v>
      </c>
      <c r="J460" s="35" t="s">
        <v>3776</v>
      </c>
      <c r="K460" s="209"/>
      <c r="L460" s="209"/>
      <c r="M460" s="35" t="s">
        <v>3789</v>
      </c>
      <c r="N460" s="6" t="s">
        <v>3790</v>
      </c>
      <c r="O460" s="6" t="s">
        <v>571</v>
      </c>
      <c r="P460" s="209" t="s">
        <v>1100</v>
      </c>
      <c r="Q460" s="182" t="s">
        <v>571</v>
      </c>
      <c r="R460" s="35" t="s">
        <v>571</v>
      </c>
      <c r="S460" s="34" t="str">
        <f aca="false">IF(ISNUMBER($AF460),INDEX(IDX_SrcStat,$AF460),"—")</f>
        <v>—</v>
      </c>
      <c r="T460" s="34" t="str">
        <f aca="false">IF(ISNUMBER($AF460),INDEX(IDX_SrcGrade,$AF460),"—")</f>
        <v>—</v>
      </c>
      <c r="U460" s="35" t="s">
        <v>571</v>
      </c>
      <c r="V460" s="183" t="n">
        <f aca="false">IF(AND($F460="原始數據",$U460&lt;&gt;"連結 SRC"),1,0)</f>
        <v>0</v>
      </c>
      <c r="W460" s="183" t="n">
        <f aca="false">IF(AND($F460="Analogy",OR($H460="—",$H460="")),1,0)</f>
        <v>0</v>
      </c>
      <c r="X460" s="183" t="n">
        <f aca="false">IF(AND(OR($F460="Analogy",$F460="Assumed"),$G460&lt;&gt;"低",$G460&lt;&gt;"高",NOT(ISNUMBER($K460)),NOT(ISNUMBER($L460)),OR($M460="—",$M460="")),1,0)</f>
        <v>0</v>
      </c>
      <c r="Y460" s="183" t="n">
        <f aca="false">IF(AND(OR($F460="Analogy",$F460="Assumed",$F460="Derived（待改公式）",$F460="Derived（公式）"),OR($N460="—",$N460="",$N460=0)),1,0)</f>
        <v>0</v>
      </c>
      <c r="Z460" s="183" t="n">
        <f aca="false">IF(AND($F460="Decision",OR($J460="—",$J460="")),1,0)</f>
        <v>0</v>
      </c>
      <c r="AA460" s="180" t="n">
        <f aca="false">IF(OR($J460="—",$J460=""),0,IF(COUNTIF(Decisions!$A$5:$A$300,$J460)=0,1,0))</f>
        <v>0</v>
      </c>
      <c r="AB460" s="183" t="n">
        <f aca="false">IF(AND($F460="原始數據",$S460&lt;&gt;"Active"),1,0)</f>
        <v>0</v>
      </c>
      <c r="AC460" s="183" t="n">
        <f aca="false">IF(AND(ISNUMBER($K460),ISNUMBER($L460),ISNUMBER($Q460)),IF(OR($Q460&lt;MIN($K460,$L460),$Q460&gt;MAX($K460,$L460)),1,0),0)</f>
        <v>0</v>
      </c>
      <c r="AD460" s="183" t="n">
        <f aca="false">IF(AND(ISNUMBER($T460),$P460="高"),IF($T460=3,1,0),0)</f>
        <v>0</v>
      </c>
      <c r="AE460" s="183" t="n">
        <f aca="false">IF($S460="不存在",1,0)</f>
        <v>0</v>
      </c>
      <c r="AF460" s="34" t="str">
        <f aca="false">IF(OR($H460="—",$H460=""),"—",MATCH($H460,IDX_SrcID,0))</f>
        <v>—</v>
      </c>
    </row>
    <row r="461" customFormat="false" ht="29.25" hidden="false" customHeight="true" outlineLevel="0" collapsed="false">
      <c r="A461" s="35" t="s">
        <v>3791</v>
      </c>
      <c r="B461" s="209" t="s">
        <v>3733</v>
      </c>
      <c r="C461" s="35" t="s">
        <v>3734</v>
      </c>
      <c r="D461" s="35" t="s">
        <v>3792</v>
      </c>
      <c r="E461" s="18" t="s">
        <v>3793</v>
      </c>
      <c r="F461" s="35" t="s">
        <v>72</v>
      </c>
      <c r="G461" s="209" t="s">
        <v>3420</v>
      </c>
      <c r="H461" s="35" t="s">
        <v>571</v>
      </c>
      <c r="I461" s="6" t="s">
        <v>571</v>
      </c>
      <c r="J461" s="35" t="s">
        <v>3776</v>
      </c>
      <c r="K461" s="209"/>
      <c r="L461" s="209"/>
      <c r="M461" s="209" t="s">
        <v>3794</v>
      </c>
      <c r="N461" s="6" t="s">
        <v>3795</v>
      </c>
      <c r="O461" s="6" t="s">
        <v>571</v>
      </c>
      <c r="P461" s="209" t="s">
        <v>2682</v>
      </c>
      <c r="Q461" s="182" t="s">
        <v>571</v>
      </c>
      <c r="R461" s="35" t="s">
        <v>571</v>
      </c>
      <c r="S461" s="34" t="str">
        <f aca="false">IF(ISNUMBER($AF461),INDEX(IDX_SrcStat,$AF461),"—")</f>
        <v>—</v>
      </c>
      <c r="T461" s="34" t="str">
        <f aca="false">IF(ISNUMBER($AF461),INDEX(IDX_SrcGrade,$AF461),"—")</f>
        <v>—</v>
      </c>
      <c r="U461" s="35" t="s">
        <v>571</v>
      </c>
      <c r="V461" s="183" t="n">
        <f aca="false">IF(AND($F461="原始數據",$U461&lt;&gt;"連結 SRC"),1,0)</f>
        <v>0</v>
      </c>
      <c r="W461" s="183" t="n">
        <f aca="false">IF(AND($F461="Analogy",OR($H461="—",$H461="")),1,0)</f>
        <v>0</v>
      </c>
      <c r="X461" s="183" t="n">
        <f aca="false">IF(AND(OR($F461="Analogy",$F461="Assumed"),$G461&lt;&gt;"低",$G461&lt;&gt;"高",NOT(ISNUMBER($K461)),NOT(ISNUMBER($L461)),OR($M461="—",$M461="")),1,0)</f>
        <v>0</v>
      </c>
      <c r="Y461" s="183" t="n">
        <f aca="false">IF(AND(OR($F461="Analogy",$F461="Assumed",$F461="Derived（待改公式）",$F461="Derived（公式）"),OR($N461="—",$N461="",$N461=0)),1,0)</f>
        <v>0</v>
      </c>
      <c r="Z461" s="183" t="n">
        <f aca="false">IF(AND($F461="Decision",OR($J461="—",$J461="")),1,0)</f>
        <v>0</v>
      </c>
      <c r="AA461" s="180" t="n">
        <f aca="false">IF(OR($J461="—",$J461=""),0,IF(COUNTIF(Decisions!$A$5:$A$300,$J461)=0,1,0))</f>
        <v>0</v>
      </c>
      <c r="AB461" s="183" t="n">
        <f aca="false">IF(AND($F461="原始數據",$S461&lt;&gt;"Active"),1,0)</f>
        <v>0</v>
      </c>
      <c r="AC461" s="183" t="n">
        <f aca="false">IF(AND(ISNUMBER($K461),ISNUMBER($L461),ISNUMBER($Q461)),IF(OR($Q461&lt;MIN($K461,$L461),$Q461&gt;MAX($K461,$L461)),1,0),0)</f>
        <v>0</v>
      </c>
      <c r="AD461" s="183" t="n">
        <f aca="false">IF(AND(ISNUMBER($T461),$P461="高"),IF($T461=3,1,0),0)</f>
        <v>0</v>
      </c>
      <c r="AE461" s="183" t="n">
        <f aca="false">IF($S461="不存在",1,0)</f>
        <v>0</v>
      </c>
      <c r="AF461" s="34" t="str">
        <f aca="false">IF(OR($H461="—",$H461=""),"—",MATCH($H461,IDX_SrcID,0))</f>
        <v>—</v>
      </c>
    </row>
    <row r="462" customFormat="false" ht="15" hidden="false" customHeight="true" outlineLevel="0" collapsed="false">
      <c r="A462" s="35" t="s">
        <v>3796</v>
      </c>
      <c r="B462" s="209" t="s">
        <v>3733</v>
      </c>
      <c r="C462" s="35" t="s">
        <v>3734</v>
      </c>
      <c r="D462" s="35" t="s">
        <v>3797</v>
      </c>
      <c r="E462" s="18" t="s">
        <v>3798</v>
      </c>
      <c r="F462" s="35" t="s">
        <v>72</v>
      </c>
      <c r="G462" s="209" t="s">
        <v>3420</v>
      </c>
      <c r="H462" s="35" t="s">
        <v>571</v>
      </c>
      <c r="I462" s="6" t="s">
        <v>571</v>
      </c>
      <c r="J462" s="35" t="s">
        <v>3776</v>
      </c>
      <c r="K462" s="209"/>
      <c r="L462" s="209"/>
      <c r="M462" s="35" t="s">
        <v>3799</v>
      </c>
      <c r="N462" s="6" t="s">
        <v>3800</v>
      </c>
      <c r="O462" s="6" t="s">
        <v>571</v>
      </c>
      <c r="P462" s="209" t="s">
        <v>2682</v>
      </c>
      <c r="Q462" s="182" t="s">
        <v>571</v>
      </c>
      <c r="R462" s="35" t="s">
        <v>571</v>
      </c>
      <c r="S462" s="34" t="str">
        <f aca="false">IF(ISNUMBER($AF462),INDEX(IDX_SrcStat,$AF462),"—")</f>
        <v>—</v>
      </c>
      <c r="T462" s="34" t="str">
        <f aca="false">IF(ISNUMBER($AF462),INDEX(IDX_SrcGrade,$AF462),"—")</f>
        <v>—</v>
      </c>
      <c r="U462" s="35" t="s">
        <v>571</v>
      </c>
      <c r="V462" s="183" t="n">
        <f aca="false">IF(AND($F462="原始數據",$U462&lt;&gt;"連結 SRC"),1,0)</f>
        <v>0</v>
      </c>
      <c r="W462" s="183" t="n">
        <f aca="false">IF(AND($F462="Analogy",OR($H462="—",$H462="")),1,0)</f>
        <v>0</v>
      </c>
      <c r="X462" s="183" t="n">
        <f aca="false">IF(AND(OR($F462="Analogy",$F462="Assumed"),$G462&lt;&gt;"低",$G462&lt;&gt;"高",NOT(ISNUMBER($K462)),NOT(ISNUMBER($L462)),OR($M462="—",$M462="")),1,0)</f>
        <v>0</v>
      </c>
      <c r="Y462" s="183" t="n">
        <f aca="false">IF(AND(OR($F462="Analogy",$F462="Assumed",$F462="Derived（待改公式）",$F462="Derived（公式）"),OR($N462="—",$N462="",$N462=0)),1,0)</f>
        <v>0</v>
      </c>
      <c r="Z462" s="183" t="n">
        <f aca="false">IF(AND($F462="Decision",OR($J462="—",$J462="")),1,0)</f>
        <v>0</v>
      </c>
      <c r="AA462" s="180" t="n">
        <f aca="false">IF(OR($J462="—",$J462=""),0,IF(COUNTIF(Decisions!$A$5:$A$300,$J462)=0,1,0))</f>
        <v>0</v>
      </c>
      <c r="AB462" s="183" t="n">
        <f aca="false">IF(AND($F462="原始數據",$S462&lt;&gt;"Active"),1,0)</f>
        <v>0</v>
      </c>
      <c r="AC462" s="183" t="n">
        <f aca="false">IF(AND(ISNUMBER($K462),ISNUMBER($L462),ISNUMBER($Q462)),IF(OR($Q462&lt;MIN($K462,$L462),$Q462&gt;MAX($K462,$L462)),1,0),0)</f>
        <v>0</v>
      </c>
      <c r="AD462" s="183" t="n">
        <f aca="false">IF(AND(ISNUMBER($T462),$P462="高"),IF($T462=3,1,0),0)</f>
        <v>0</v>
      </c>
      <c r="AE462" s="183" t="n">
        <f aca="false">IF($S462="不存在",1,0)</f>
        <v>0</v>
      </c>
      <c r="AF462" s="34" t="str">
        <f aca="false">IF(OR($H462="—",$H462=""),"—",MATCH($H462,IDX_SrcID,0))</f>
        <v>—</v>
      </c>
    </row>
    <row r="463" customFormat="false" ht="29.25" hidden="false" customHeight="true" outlineLevel="0" collapsed="false">
      <c r="A463" s="35" t="s">
        <v>3801</v>
      </c>
      <c r="B463" s="209" t="s">
        <v>3733</v>
      </c>
      <c r="C463" s="35" t="s">
        <v>3734</v>
      </c>
      <c r="D463" s="35" t="s">
        <v>3802</v>
      </c>
      <c r="E463" s="18" t="s">
        <v>3803</v>
      </c>
      <c r="F463" s="35" t="s">
        <v>72</v>
      </c>
      <c r="G463" s="209" t="s">
        <v>57</v>
      </c>
      <c r="H463" s="35" t="s">
        <v>571</v>
      </c>
      <c r="I463" s="6" t="s">
        <v>571</v>
      </c>
      <c r="J463" s="35" t="s">
        <v>3804</v>
      </c>
      <c r="K463" s="180" t="n">
        <f aca="false">Cap_In!D36</f>
        <v>1</v>
      </c>
      <c r="L463" s="180" t="n">
        <f aca="false">Cap_In!E36</f>
        <v>3</v>
      </c>
      <c r="M463" s="35" t="s">
        <v>571</v>
      </c>
      <c r="N463" s="6" t="s">
        <v>3805</v>
      </c>
      <c r="O463" s="6" t="s">
        <v>571</v>
      </c>
      <c r="P463" s="209" t="s">
        <v>1099</v>
      </c>
      <c r="Q463" s="180" t="n">
        <f aca="false">Cap_In!C36</f>
        <v>2</v>
      </c>
      <c r="R463" s="35" t="s">
        <v>571</v>
      </c>
      <c r="S463" s="34" t="str">
        <f aca="false">IF(ISNUMBER($AF463),INDEX(IDX_SrcStat,$AF463),"—")</f>
        <v>—</v>
      </c>
      <c r="T463" s="34" t="str">
        <f aca="false">IF(ISNUMBER($AF463),INDEX(IDX_SrcGrade,$AF463),"—")</f>
        <v>—</v>
      </c>
      <c r="U463" s="34" t="s">
        <v>2683</v>
      </c>
      <c r="V463" s="183" t="n">
        <f aca="false">IF(AND($F463="原始數據",$U463&lt;&gt;"連結 SRC"),1,0)</f>
        <v>0</v>
      </c>
      <c r="W463" s="183" t="n">
        <f aca="false">IF(AND($F463="Analogy",OR($H463="—",$H463="")),1,0)</f>
        <v>0</v>
      </c>
      <c r="X463" s="183" t="n">
        <f aca="false">IF(AND(OR($F463="Analogy",$F463="Assumed"),$G463&lt;&gt;"低",$G463&lt;&gt;"高",NOT(ISNUMBER($K463)),NOT(ISNUMBER($L463)),OR($M463="—",$M463="")),1,0)</f>
        <v>0</v>
      </c>
      <c r="Y463" s="183" t="n">
        <f aca="false">IF(AND(OR($F463="Analogy",$F463="Assumed",$F463="Derived（待改公式）",$F463="Derived（公式）"),OR($N463="—",$N463="",$N463=0)),1,0)</f>
        <v>0</v>
      </c>
      <c r="Z463" s="183" t="n">
        <f aca="false">IF(AND($F463="Decision",OR($J463="—",$J463="")),1,0)</f>
        <v>0</v>
      </c>
      <c r="AA463" s="180" t="n">
        <f aca="false">IF(OR($J463="—",$J463=""),0,IF(COUNTIF(Decisions!$A$5:$A$300,$J463)=0,1,0))</f>
        <v>0</v>
      </c>
      <c r="AB463" s="183" t="n">
        <f aca="false">IF(AND($F463="原始數據",$S463&lt;&gt;"Active"),1,0)</f>
        <v>0</v>
      </c>
      <c r="AC463" s="183" t="n">
        <f aca="false">IF(AND(ISNUMBER($K463),ISNUMBER($L463),ISNUMBER($Q463)),IF(OR($Q463&lt;MIN($K463,$L463),$Q463&gt;MAX($K463,$L463)),1,0),0)</f>
        <v>0</v>
      </c>
      <c r="AD463" s="183" t="n">
        <f aca="false">IF(AND(ISNUMBER($T463),$P463="高"),IF($T463=3,1,0),0)</f>
        <v>0</v>
      </c>
      <c r="AE463" s="183" t="n">
        <f aca="false">IF($S463="不存在",1,0)</f>
        <v>0</v>
      </c>
      <c r="AF463" s="34" t="str">
        <f aca="false">IF(OR($H463="—",$H463=""),"—",MATCH($H463,IDX_SrcID,0))</f>
        <v>—</v>
      </c>
    </row>
    <row r="464" customFormat="false" ht="29.25" hidden="false" customHeight="true" outlineLevel="0" collapsed="false">
      <c r="A464" s="35" t="s">
        <v>3806</v>
      </c>
      <c r="B464" s="209" t="s">
        <v>3733</v>
      </c>
      <c r="C464" s="35" t="s">
        <v>3734</v>
      </c>
      <c r="D464" s="35" t="s">
        <v>3807</v>
      </c>
      <c r="E464" s="18" t="s">
        <v>3803</v>
      </c>
      <c r="F464" s="35" t="s">
        <v>72</v>
      </c>
      <c r="G464" s="209" t="s">
        <v>3739</v>
      </c>
      <c r="H464" s="35" t="s">
        <v>571</v>
      </c>
      <c r="I464" s="6" t="s">
        <v>571</v>
      </c>
      <c r="J464" s="35" t="s">
        <v>3804</v>
      </c>
      <c r="K464" s="209"/>
      <c r="L464" s="209"/>
      <c r="M464" s="35" t="s">
        <v>3808</v>
      </c>
      <c r="N464" s="6" t="s">
        <v>3809</v>
      </c>
      <c r="O464" s="6" t="s">
        <v>571</v>
      </c>
      <c r="P464" s="209" t="s">
        <v>2682</v>
      </c>
      <c r="Q464" s="182" t="s">
        <v>571</v>
      </c>
      <c r="R464" s="35" t="s">
        <v>571</v>
      </c>
      <c r="S464" s="34" t="str">
        <f aca="false">IF(ISNUMBER($AF464),INDEX(IDX_SrcStat,$AF464),"—")</f>
        <v>—</v>
      </c>
      <c r="T464" s="34" t="str">
        <f aca="false">IF(ISNUMBER($AF464),INDEX(IDX_SrcGrade,$AF464),"—")</f>
        <v>—</v>
      </c>
      <c r="U464" s="35" t="s">
        <v>571</v>
      </c>
      <c r="V464" s="183" t="n">
        <f aca="false">IF(AND($F464="原始數據",$U464&lt;&gt;"連結 SRC"),1,0)</f>
        <v>0</v>
      </c>
      <c r="W464" s="183" t="n">
        <f aca="false">IF(AND($F464="Analogy",OR($H464="—",$H464="")),1,0)</f>
        <v>0</v>
      </c>
      <c r="X464" s="183" t="n">
        <f aca="false">IF(AND(OR($F464="Analogy",$F464="Assumed"),$G464&lt;&gt;"低",$G464&lt;&gt;"高",NOT(ISNUMBER($K464)),NOT(ISNUMBER($L464)),OR($M464="—",$M464="")),1,0)</f>
        <v>0</v>
      </c>
      <c r="Y464" s="183" t="n">
        <f aca="false">IF(AND(OR($F464="Analogy",$F464="Assumed",$F464="Derived（待改公式）",$F464="Derived（公式）"),OR($N464="—",$N464="",$N464=0)),1,0)</f>
        <v>0</v>
      </c>
      <c r="Z464" s="183" t="n">
        <f aca="false">IF(AND($F464="Decision",OR($J464="—",$J464="")),1,0)</f>
        <v>0</v>
      </c>
      <c r="AA464" s="180" t="n">
        <f aca="false">IF(OR($J464="—",$J464=""),0,IF(COUNTIF(Decisions!$A$5:$A$300,$J464)=0,1,0))</f>
        <v>0</v>
      </c>
      <c r="AB464" s="183" t="n">
        <f aca="false">IF(AND($F464="原始數據",$S464&lt;&gt;"Active"),1,0)</f>
        <v>0</v>
      </c>
      <c r="AC464" s="183" t="n">
        <f aca="false">IF(AND(ISNUMBER($K464),ISNUMBER($L464),ISNUMBER($Q464)),IF(OR($Q464&lt;MIN($K464,$L464),$Q464&gt;MAX($K464,$L464)),1,0),0)</f>
        <v>0</v>
      </c>
      <c r="AD464" s="183" t="n">
        <f aca="false">IF(AND(ISNUMBER($T464),$P464="高"),IF($T464=3,1,0),0)</f>
        <v>0</v>
      </c>
      <c r="AE464" s="183" t="n">
        <f aca="false">IF($S464="不存在",1,0)</f>
        <v>0</v>
      </c>
      <c r="AF464" s="34" t="str">
        <f aca="false">IF(OR($H464="—",$H464=""),"—",MATCH($H464,IDX_SrcID,0))</f>
        <v>—</v>
      </c>
    </row>
    <row r="465" customFormat="false" ht="57.75" hidden="false" customHeight="true" outlineLevel="0" collapsed="false">
      <c r="A465" s="35" t="s">
        <v>3810</v>
      </c>
      <c r="B465" s="209" t="s">
        <v>3733</v>
      </c>
      <c r="C465" s="35" t="s">
        <v>3734</v>
      </c>
      <c r="D465" s="35" t="s">
        <v>3811</v>
      </c>
      <c r="E465" s="18" t="s">
        <v>1135</v>
      </c>
      <c r="F465" s="35" t="s">
        <v>72</v>
      </c>
      <c r="G465" s="209" t="s">
        <v>57</v>
      </c>
      <c r="H465" s="35" t="s">
        <v>571</v>
      </c>
      <c r="I465" s="6" t="s">
        <v>571</v>
      </c>
      <c r="J465" s="35" t="s">
        <v>3804</v>
      </c>
      <c r="K465" s="216" t="n">
        <f aca="false">Cap_In!D37</f>
        <v>0.0833333333333333</v>
      </c>
      <c r="L465" s="216" t="n">
        <f aca="false">Cap_In!E37</f>
        <v>1</v>
      </c>
      <c r="M465" s="35" t="s">
        <v>571</v>
      </c>
      <c r="N465" s="6" t="s">
        <v>3812</v>
      </c>
      <c r="O465" s="6" t="s">
        <v>3813</v>
      </c>
      <c r="P465" s="209" t="s">
        <v>1099</v>
      </c>
      <c r="Q465" s="216" t="n">
        <f aca="false">Cap_In!C37</f>
        <v>0.0833333333333333</v>
      </c>
      <c r="R465" s="35" t="s">
        <v>571</v>
      </c>
      <c r="S465" s="34" t="str">
        <f aca="false">IF(ISNUMBER($AF465),INDEX(IDX_SrcStat,$AF465),"—")</f>
        <v>—</v>
      </c>
      <c r="T465" s="34" t="str">
        <f aca="false">IF(ISNUMBER($AF465),INDEX(IDX_SrcGrade,$AF465),"—")</f>
        <v>—</v>
      </c>
      <c r="U465" s="34" t="s">
        <v>2683</v>
      </c>
      <c r="V465" s="183" t="n">
        <f aca="false">IF(AND($F465="原始數據",$U465&lt;&gt;"連結 SRC"),1,0)</f>
        <v>0</v>
      </c>
      <c r="W465" s="183" t="n">
        <f aca="false">IF(AND($F465="Analogy",OR($H465="—",$H465="")),1,0)</f>
        <v>0</v>
      </c>
      <c r="X465" s="183" t="n">
        <f aca="false">IF(AND(OR($F465="Analogy",$F465="Assumed"),$G465&lt;&gt;"低",$G465&lt;&gt;"高",NOT(ISNUMBER($K465)),NOT(ISNUMBER($L465)),OR($M465="—",$M465="")),1,0)</f>
        <v>0</v>
      </c>
      <c r="Y465" s="183" t="n">
        <f aca="false">IF(AND(OR($F465="Analogy",$F465="Assumed",$F465="Derived（待改公式）",$F465="Derived（公式）"),OR($N465="—",$N465="",$N465=0)),1,0)</f>
        <v>0</v>
      </c>
      <c r="Z465" s="183" t="n">
        <f aca="false">IF(AND($F465="Decision",OR($J465="—",$J465="")),1,0)</f>
        <v>0</v>
      </c>
      <c r="AA465" s="180" t="n">
        <f aca="false">IF(OR($J465="—",$J465=""),0,IF(COUNTIF(Decisions!$A$5:$A$300,$J465)=0,1,0))</f>
        <v>0</v>
      </c>
      <c r="AB465" s="183" t="n">
        <f aca="false">IF(AND($F465="原始數據",$S465&lt;&gt;"Active"),1,0)</f>
        <v>0</v>
      </c>
      <c r="AC465" s="183" t="n">
        <f aca="false">IF(AND(ISNUMBER($K465),ISNUMBER($L465),ISNUMBER($Q465)),IF(OR($Q465&lt;MIN($K465,$L465),$Q465&gt;MAX($K465,$L465)),1,0),0)</f>
        <v>0</v>
      </c>
      <c r="AD465" s="183" t="n">
        <f aca="false">IF(AND(ISNUMBER($T465),$P465="高"),IF($T465=3,1,0),0)</f>
        <v>0</v>
      </c>
      <c r="AE465" s="183" t="n">
        <f aca="false">IF($S465="不存在",1,0)</f>
        <v>0</v>
      </c>
      <c r="AF465" s="34" t="str">
        <f aca="false">IF(OR($H465="—",$H465=""),"—",MATCH($H465,IDX_SrcID,0))</f>
        <v>—</v>
      </c>
    </row>
    <row r="466" customFormat="false" ht="57.75" hidden="false" customHeight="true" outlineLevel="0" collapsed="false">
      <c r="A466" s="35" t="s">
        <v>3814</v>
      </c>
      <c r="B466" s="209" t="s">
        <v>3733</v>
      </c>
      <c r="C466" s="35" t="s">
        <v>3734</v>
      </c>
      <c r="D466" s="35" t="s">
        <v>3815</v>
      </c>
      <c r="E466" s="18" t="s">
        <v>1135</v>
      </c>
      <c r="F466" s="35" t="s">
        <v>72</v>
      </c>
      <c r="G466" s="209" t="s">
        <v>3739</v>
      </c>
      <c r="H466" s="35" t="s">
        <v>571</v>
      </c>
      <c r="I466" s="6" t="s">
        <v>571</v>
      </c>
      <c r="J466" s="35" t="s">
        <v>3804</v>
      </c>
      <c r="K466" s="209"/>
      <c r="L466" s="209"/>
      <c r="M466" s="35" t="s">
        <v>3816</v>
      </c>
      <c r="N466" s="6" t="s">
        <v>3817</v>
      </c>
      <c r="O466" s="6" t="s">
        <v>571</v>
      </c>
      <c r="P466" s="209" t="s">
        <v>1099</v>
      </c>
      <c r="Q466" s="182" t="s">
        <v>571</v>
      </c>
      <c r="R466" s="35" t="s">
        <v>571</v>
      </c>
      <c r="S466" s="34" t="str">
        <f aca="false">IF(ISNUMBER($AF466),INDEX(IDX_SrcStat,$AF466),"—")</f>
        <v>—</v>
      </c>
      <c r="T466" s="34" t="str">
        <f aca="false">IF(ISNUMBER($AF466),INDEX(IDX_SrcGrade,$AF466),"—")</f>
        <v>—</v>
      </c>
      <c r="U466" s="35" t="s">
        <v>571</v>
      </c>
      <c r="V466" s="183" t="n">
        <f aca="false">IF(AND($F466="原始數據",$U466&lt;&gt;"連結 SRC"),1,0)</f>
        <v>0</v>
      </c>
      <c r="W466" s="183" t="n">
        <f aca="false">IF(AND($F466="Analogy",OR($H466="—",$H466="")),1,0)</f>
        <v>0</v>
      </c>
      <c r="X466" s="183" t="n">
        <f aca="false">IF(AND(OR($F466="Analogy",$F466="Assumed"),$G466&lt;&gt;"低",$G466&lt;&gt;"高",NOT(ISNUMBER($K466)),NOT(ISNUMBER($L466)),OR($M466="—",$M466="")),1,0)</f>
        <v>0</v>
      </c>
      <c r="Y466" s="183" t="n">
        <f aca="false">IF(AND(OR($F466="Analogy",$F466="Assumed",$F466="Derived（待改公式）",$F466="Derived（公式）"),OR($N466="—",$N466="",$N466=0)),1,0)</f>
        <v>0</v>
      </c>
      <c r="Z466" s="183" t="n">
        <f aca="false">IF(AND($F466="Decision",OR($J466="—",$J466="")),1,0)</f>
        <v>0</v>
      </c>
      <c r="AA466" s="180" t="n">
        <f aca="false">IF(OR($J466="—",$J466=""),0,IF(COUNTIF(Decisions!$A$5:$A$300,$J466)=0,1,0))</f>
        <v>0</v>
      </c>
      <c r="AB466" s="183" t="n">
        <f aca="false">IF(AND($F466="原始數據",$S466&lt;&gt;"Active"),1,0)</f>
        <v>0</v>
      </c>
      <c r="AC466" s="183" t="n">
        <f aca="false">IF(AND(ISNUMBER($K466),ISNUMBER($L466),ISNUMBER($Q466)),IF(OR($Q466&lt;MIN($K466,$L466),$Q466&gt;MAX($K466,$L466)),1,0),0)</f>
        <v>0</v>
      </c>
      <c r="AD466" s="183" t="n">
        <f aca="false">IF(AND(ISNUMBER($T466),$P466="高"),IF($T466=3,1,0),0)</f>
        <v>0</v>
      </c>
      <c r="AE466" s="183" t="n">
        <f aca="false">IF($S466="不存在",1,0)</f>
        <v>0</v>
      </c>
      <c r="AF466" s="34" t="str">
        <f aca="false">IF(OR($H466="—",$H466=""),"—",MATCH($H466,IDX_SrcID,0))</f>
        <v>—</v>
      </c>
    </row>
    <row r="467" customFormat="false" ht="29.25" hidden="false" customHeight="true" outlineLevel="0" collapsed="false">
      <c r="A467" s="35" t="s">
        <v>3818</v>
      </c>
      <c r="B467" s="209" t="s">
        <v>3733</v>
      </c>
      <c r="C467" s="35" t="s">
        <v>3734</v>
      </c>
      <c r="D467" s="35" t="s">
        <v>3819</v>
      </c>
      <c r="E467" s="18" t="s">
        <v>1137</v>
      </c>
      <c r="F467" s="35" t="s">
        <v>72</v>
      </c>
      <c r="G467" s="209" t="s">
        <v>57</v>
      </c>
      <c r="H467" s="35" t="s">
        <v>571</v>
      </c>
      <c r="I467" s="6" t="s">
        <v>571</v>
      </c>
      <c r="J467" s="35" t="s">
        <v>3804</v>
      </c>
      <c r="K467" s="180" t="n">
        <f aca="false">Cap_In!D38</f>
        <v>1</v>
      </c>
      <c r="L467" s="180" t="n">
        <f aca="false">Cap_In!E38</f>
        <v>20</v>
      </c>
      <c r="M467" s="35" t="s">
        <v>571</v>
      </c>
      <c r="N467" s="6" t="s">
        <v>3820</v>
      </c>
      <c r="O467" s="6" t="s">
        <v>571</v>
      </c>
      <c r="P467" s="209" t="s">
        <v>1099</v>
      </c>
      <c r="Q467" s="180" t="n">
        <f aca="false">Cap_In!C38</f>
        <v>5</v>
      </c>
      <c r="R467" s="35" t="s">
        <v>571</v>
      </c>
      <c r="S467" s="34" t="str">
        <f aca="false">IF(ISNUMBER($AF467),INDEX(IDX_SrcStat,$AF467),"—")</f>
        <v>—</v>
      </c>
      <c r="T467" s="34" t="str">
        <f aca="false">IF(ISNUMBER($AF467),INDEX(IDX_SrcGrade,$AF467),"—")</f>
        <v>—</v>
      </c>
      <c r="U467" s="34" t="s">
        <v>2683</v>
      </c>
      <c r="V467" s="183" t="n">
        <f aca="false">IF(AND($F467="原始數據",$U467&lt;&gt;"連結 SRC"),1,0)</f>
        <v>0</v>
      </c>
      <c r="W467" s="183" t="n">
        <f aca="false">IF(AND($F467="Analogy",OR($H467="—",$H467="")),1,0)</f>
        <v>0</v>
      </c>
      <c r="X467" s="183" t="n">
        <f aca="false">IF(AND(OR($F467="Analogy",$F467="Assumed"),$G467&lt;&gt;"低",$G467&lt;&gt;"高",NOT(ISNUMBER($K467)),NOT(ISNUMBER($L467)),OR($M467="—",$M467="")),1,0)</f>
        <v>0</v>
      </c>
      <c r="Y467" s="183" t="n">
        <f aca="false">IF(AND(OR($F467="Analogy",$F467="Assumed",$F467="Derived（待改公式）",$F467="Derived（公式）"),OR($N467="—",$N467="",$N467=0)),1,0)</f>
        <v>0</v>
      </c>
      <c r="Z467" s="183" t="n">
        <f aca="false">IF(AND($F467="Decision",OR($J467="—",$J467="")),1,0)</f>
        <v>0</v>
      </c>
      <c r="AA467" s="180" t="n">
        <f aca="false">IF(OR($J467="—",$J467=""),0,IF(COUNTIF(Decisions!$A$5:$A$300,$J467)=0,1,0))</f>
        <v>0</v>
      </c>
      <c r="AB467" s="183" t="n">
        <f aca="false">IF(AND($F467="原始數據",$S467&lt;&gt;"Active"),1,0)</f>
        <v>0</v>
      </c>
      <c r="AC467" s="183" t="n">
        <f aca="false">IF(AND(ISNUMBER($K467),ISNUMBER($L467),ISNUMBER($Q467)),IF(OR($Q467&lt;MIN($K467,$L467),$Q467&gt;MAX($K467,$L467)),1,0),0)</f>
        <v>0</v>
      </c>
      <c r="AD467" s="183" t="n">
        <f aca="false">IF(AND(ISNUMBER($T467),$P467="高"),IF($T467=3,1,0),0)</f>
        <v>0</v>
      </c>
      <c r="AE467" s="183" t="n">
        <f aca="false">IF($S467="不存在",1,0)</f>
        <v>0</v>
      </c>
      <c r="AF467" s="34" t="str">
        <f aca="false">IF(OR($H467="—",$H467=""),"—",MATCH($H467,IDX_SrcID,0))</f>
        <v>—</v>
      </c>
    </row>
    <row r="468" customFormat="false" ht="29.25" hidden="false" customHeight="true" outlineLevel="0" collapsed="false">
      <c r="A468" s="35" t="s">
        <v>3821</v>
      </c>
      <c r="B468" s="209" t="s">
        <v>3733</v>
      </c>
      <c r="C468" s="35" t="s">
        <v>3734</v>
      </c>
      <c r="D468" s="35" t="s">
        <v>3822</v>
      </c>
      <c r="E468" s="18" t="s">
        <v>1137</v>
      </c>
      <c r="F468" s="35" t="s">
        <v>72</v>
      </c>
      <c r="G468" s="209" t="s">
        <v>3739</v>
      </c>
      <c r="H468" s="35" t="s">
        <v>571</v>
      </c>
      <c r="I468" s="6" t="s">
        <v>571</v>
      </c>
      <c r="J468" s="35" t="s">
        <v>3804</v>
      </c>
      <c r="K468" s="209"/>
      <c r="L468" s="209"/>
      <c r="M468" s="35" t="s">
        <v>3823</v>
      </c>
      <c r="N468" s="6" t="s">
        <v>3824</v>
      </c>
      <c r="O468" s="6" t="s">
        <v>571</v>
      </c>
      <c r="P468" s="209" t="s">
        <v>1099</v>
      </c>
      <c r="Q468" s="182" t="s">
        <v>571</v>
      </c>
      <c r="R468" s="35" t="s">
        <v>571</v>
      </c>
      <c r="S468" s="34" t="str">
        <f aca="false">IF(ISNUMBER($AF468),INDEX(IDX_SrcStat,$AF468),"—")</f>
        <v>—</v>
      </c>
      <c r="T468" s="34" t="str">
        <f aca="false">IF(ISNUMBER($AF468),INDEX(IDX_SrcGrade,$AF468),"—")</f>
        <v>—</v>
      </c>
      <c r="U468" s="35" t="s">
        <v>571</v>
      </c>
      <c r="V468" s="183" t="n">
        <f aca="false">IF(AND($F468="原始數據",$U468&lt;&gt;"連結 SRC"),1,0)</f>
        <v>0</v>
      </c>
      <c r="W468" s="183" t="n">
        <f aca="false">IF(AND($F468="Analogy",OR($H468="—",$H468="")),1,0)</f>
        <v>0</v>
      </c>
      <c r="X468" s="183" t="n">
        <f aca="false">IF(AND(OR($F468="Analogy",$F468="Assumed"),$G468&lt;&gt;"低",$G468&lt;&gt;"高",NOT(ISNUMBER($K468)),NOT(ISNUMBER($L468)),OR($M468="—",$M468="")),1,0)</f>
        <v>0</v>
      </c>
      <c r="Y468" s="183" t="n">
        <f aca="false">IF(AND(OR($F468="Analogy",$F468="Assumed",$F468="Derived（待改公式）",$F468="Derived（公式）"),OR($N468="—",$N468="",$N468=0)),1,0)</f>
        <v>0</v>
      </c>
      <c r="Z468" s="183" t="n">
        <f aca="false">IF(AND($F468="Decision",OR($J468="—",$J468="")),1,0)</f>
        <v>0</v>
      </c>
      <c r="AA468" s="180" t="n">
        <f aca="false">IF(OR($J468="—",$J468=""),0,IF(COUNTIF(Decisions!$A$5:$A$300,$J468)=0,1,0))</f>
        <v>0</v>
      </c>
      <c r="AB468" s="183" t="n">
        <f aca="false">IF(AND($F468="原始數據",$S468&lt;&gt;"Active"),1,0)</f>
        <v>0</v>
      </c>
      <c r="AC468" s="183" t="n">
        <f aca="false">IF(AND(ISNUMBER($K468),ISNUMBER($L468),ISNUMBER($Q468)),IF(OR($Q468&lt;MIN($K468,$L468),$Q468&gt;MAX($K468,$L468)),1,0),0)</f>
        <v>0</v>
      </c>
      <c r="AD468" s="183" t="n">
        <f aca="false">IF(AND(ISNUMBER($T468),$P468="高"),IF($T468=3,1,0),0)</f>
        <v>0</v>
      </c>
      <c r="AE468" s="183" t="n">
        <f aca="false">IF($S468="不存在",1,0)</f>
        <v>0</v>
      </c>
      <c r="AF468" s="34" t="str">
        <f aca="false">IF(OR($H468="—",$H468=""),"—",MATCH($H468,IDX_SrcID,0))</f>
        <v>—</v>
      </c>
    </row>
    <row r="469" customFormat="false" ht="15" hidden="false" customHeight="true" outlineLevel="0" collapsed="false">
      <c r="A469" s="35" t="s">
        <v>3825</v>
      </c>
      <c r="B469" s="209" t="s">
        <v>3733</v>
      </c>
      <c r="C469" s="35" t="s">
        <v>3734</v>
      </c>
      <c r="D469" s="35" t="s">
        <v>3113</v>
      </c>
      <c r="E469" s="6" t="s">
        <v>1140</v>
      </c>
      <c r="F469" s="35" t="s">
        <v>72</v>
      </c>
      <c r="G469" s="209" t="s">
        <v>57</v>
      </c>
      <c r="H469" s="35" t="s">
        <v>571</v>
      </c>
      <c r="I469" s="6" t="s">
        <v>571</v>
      </c>
      <c r="J469" s="35" t="s">
        <v>571</v>
      </c>
      <c r="K469" s="172" t="n">
        <f aca="false">Cap_In!D39</f>
        <v>5</v>
      </c>
      <c r="L469" s="172" t="n">
        <f aca="false">Cap_In!E39</f>
        <v>20</v>
      </c>
      <c r="M469" s="35" t="s">
        <v>571</v>
      </c>
      <c r="N469" s="6" t="s">
        <v>3826</v>
      </c>
      <c r="O469" s="6" t="s">
        <v>571</v>
      </c>
      <c r="P469" s="209" t="s">
        <v>1099</v>
      </c>
      <c r="Q469" s="172" t="n">
        <f aca="false">Cap_In!C39</f>
        <v>10</v>
      </c>
      <c r="R469" s="35" t="s">
        <v>571</v>
      </c>
      <c r="S469" s="34" t="str">
        <f aca="false">IF(ISNUMBER($AF469),INDEX(IDX_SrcStat,$AF469),"—")</f>
        <v>—</v>
      </c>
      <c r="T469" s="34" t="str">
        <f aca="false">IF(ISNUMBER($AF469),INDEX(IDX_SrcGrade,$AF469),"—")</f>
        <v>—</v>
      </c>
      <c r="U469" s="34" t="s">
        <v>2683</v>
      </c>
      <c r="V469" s="183" t="n">
        <f aca="false">IF(AND($F469="原始數據",$U469&lt;&gt;"連結 SRC"),1,0)</f>
        <v>0</v>
      </c>
      <c r="W469" s="183" t="n">
        <f aca="false">IF(AND($F469="Analogy",OR($H469="—",$H469="")),1,0)</f>
        <v>0</v>
      </c>
      <c r="X469" s="183" t="n">
        <f aca="false">IF(AND(OR($F469="Analogy",$F469="Assumed"),$G469&lt;&gt;"低",$G469&lt;&gt;"高",NOT(ISNUMBER($K469)),NOT(ISNUMBER($L469)),OR($M469="—",$M469="")),1,0)</f>
        <v>0</v>
      </c>
      <c r="Y469" s="183" t="n">
        <f aca="false">IF(AND(OR($F469="Analogy",$F469="Assumed",$F469="Derived（待改公式）",$F469="Derived（公式）"),OR($N469="—",$N469="",$N469=0)),1,0)</f>
        <v>0</v>
      </c>
      <c r="Z469" s="183" t="n">
        <f aca="false">IF(AND($F469="Decision",OR($J469="—",$J469="")),1,0)</f>
        <v>0</v>
      </c>
      <c r="AA469" s="180" t="n">
        <f aca="false">IF(OR($J469="—",$J469=""),0,IF(COUNTIF(Decisions!$A$5:$A$300,$J469)=0,1,0))</f>
        <v>0</v>
      </c>
      <c r="AB469" s="183" t="n">
        <f aca="false">IF(AND($F469="原始數據",$S469&lt;&gt;"Active"),1,0)</f>
        <v>0</v>
      </c>
      <c r="AC469" s="183" t="n">
        <f aca="false">IF(AND(ISNUMBER($K469),ISNUMBER($L469),ISNUMBER($Q469)),IF(OR($Q469&lt;MIN($K469,$L469),$Q469&gt;MAX($K469,$L469)),1,0),0)</f>
        <v>0</v>
      </c>
      <c r="AD469" s="183" t="n">
        <f aca="false">IF(AND(ISNUMBER($T469),$P469="高"),IF($T469=3,1,0),0)</f>
        <v>0</v>
      </c>
      <c r="AE469" s="183" t="n">
        <f aca="false">IF($S469="不存在",1,0)</f>
        <v>0</v>
      </c>
      <c r="AF469" s="34" t="str">
        <f aca="false">IF(OR($H469="—",$H469=""),"—",MATCH($H469,IDX_SrcID,0))</f>
        <v>—</v>
      </c>
    </row>
    <row r="470" customFormat="false" ht="15" hidden="false" customHeight="true" outlineLevel="0" collapsed="false">
      <c r="A470" s="35" t="s">
        <v>3827</v>
      </c>
      <c r="B470" s="209" t="s">
        <v>3733</v>
      </c>
      <c r="C470" s="35" t="s">
        <v>3734</v>
      </c>
      <c r="D470" s="35" t="s">
        <v>3828</v>
      </c>
      <c r="E470" s="6" t="s">
        <v>1140</v>
      </c>
      <c r="F470" s="35" t="s">
        <v>72</v>
      </c>
      <c r="G470" s="209" t="s">
        <v>3739</v>
      </c>
      <c r="H470" s="35" t="s">
        <v>571</v>
      </c>
      <c r="I470" s="6" t="s">
        <v>571</v>
      </c>
      <c r="J470" s="35" t="s">
        <v>571</v>
      </c>
      <c r="K470" s="209"/>
      <c r="L470" s="209"/>
      <c r="M470" s="35" t="s">
        <v>3829</v>
      </c>
      <c r="N470" s="6" t="s">
        <v>3830</v>
      </c>
      <c r="O470" s="6" t="s">
        <v>571</v>
      </c>
      <c r="P470" s="209" t="s">
        <v>1099</v>
      </c>
      <c r="Q470" s="182" t="s">
        <v>571</v>
      </c>
      <c r="R470" s="35" t="s">
        <v>571</v>
      </c>
      <c r="S470" s="34" t="str">
        <f aca="false">IF(ISNUMBER($AF470),INDEX(IDX_SrcStat,$AF470),"—")</f>
        <v>—</v>
      </c>
      <c r="T470" s="34" t="str">
        <f aca="false">IF(ISNUMBER($AF470),INDEX(IDX_SrcGrade,$AF470),"—")</f>
        <v>—</v>
      </c>
      <c r="U470" s="35" t="s">
        <v>571</v>
      </c>
      <c r="V470" s="183" t="n">
        <f aca="false">IF(AND($F470="原始數據",$U470&lt;&gt;"連結 SRC"),1,0)</f>
        <v>0</v>
      </c>
      <c r="W470" s="183" t="n">
        <f aca="false">IF(AND($F470="Analogy",OR($H470="—",$H470="")),1,0)</f>
        <v>0</v>
      </c>
      <c r="X470" s="183" t="n">
        <f aca="false">IF(AND(OR($F470="Analogy",$F470="Assumed"),$G470&lt;&gt;"低",$G470&lt;&gt;"高",NOT(ISNUMBER($K470)),NOT(ISNUMBER($L470)),OR($M470="—",$M470="")),1,0)</f>
        <v>0</v>
      </c>
      <c r="Y470" s="183" t="n">
        <f aca="false">IF(AND(OR($F470="Analogy",$F470="Assumed",$F470="Derived（待改公式）",$F470="Derived（公式）"),OR($N470="—",$N470="",$N470=0)),1,0)</f>
        <v>0</v>
      </c>
      <c r="Z470" s="183" t="n">
        <f aca="false">IF(AND($F470="Decision",OR($J470="—",$J470="")),1,0)</f>
        <v>0</v>
      </c>
      <c r="AA470" s="180" t="n">
        <f aca="false">IF(OR($J470="—",$J470=""),0,IF(COUNTIF(Decisions!$A$5:$A$300,$J470)=0,1,0))</f>
        <v>0</v>
      </c>
      <c r="AB470" s="183" t="n">
        <f aca="false">IF(AND($F470="原始數據",$S470&lt;&gt;"Active"),1,0)</f>
        <v>0</v>
      </c>
      <c r="AC470" s="183" t="n">
        <f aca="false">IF(AND(ISNUMBER($K470),ISNUMBER($L470),ISNUMBER($Q470)),IF(OR($Q470&lt;MIN($K470,$L470),$Q470&gt;MAX($K470,$L470)),1,0),0)</f>
        <v>0</v>
      </c>
      <c r="AD470" s="183" t="n">
        <f aca="false">IF(AND(ISNUMBER($T470),$P470="高"),IF($T470=3,1,0),0)</f>
        <v>0</v>
      </c>
      <c r="AE470" s="183" t="n">
        <f aca="false">IF($S470="不存在",1,0)</f>
        <v>0</v>
      </c>
      <c r="AF470" s="34" t="str">
        <f aca="false">IF(OR($H470="—",$H470=""),"—",MATCH($H470,IDX_SrcID,0))</f>
        <v>—</v>
      </c>
    </row>
    <row r="471" customFormat="false" ht="15" hidden="false" customHeight="true" outlineLevel="0" collapsed="false">
      <c r="A471" s="35" t="s">
        <v>3831</v>
      </c>
      <c r="B471" s="209" t="s">
        <v>3733</v>
      </c>
      <c r="C471" s="35" t="s">
        <v>3734</v>
      </c>
      <c r="D471" s="35" t="s">
        <v>3126</v>
      </c>
      <c r="E471" s="6" t="s">
        <v>1143</v>
      </c>
      <c r="F471" s="35" t="s">
        <v>72</v>
      </c>
      <c r="G471" s="209" t="s">
        <v>57</v>
      </c>
      <c r="H471" s="35" t="s">
        <v>571</v>
      </c>
      <c r="I471" s="6" t="s">
        <v>571</v>
      </c>
      <c r="J471" s="35" t="s">
        <v>571</v>
      </c>
      <c r="K471" s="180" t="n">
        <f aca="false">Cap_In!D40</f>
        <v>3</v>
      </c>
      <c r="L471" s="180" t="n">
        <f aca="false">Cap_In!E40</f>
        <v>6</v>
      </c>
      <c r="M471" s="35" t="s">
        <v>571</v>
      </c>
      <c r="N471" s="6" t="s">
        <v>3832</v>
      </c>
      <c r="O471" s="6" t="s">
        <v>571</v>
      </c>
      <c r="P471" s="209" t="s">
        <v>1099</v>
      </c>
      <c r="Q471" s="180" t="n">
        <f aca="false">Cap_In!C40</f>
        <v>4</v>
      </c>
      <c r="R471" s="35" t="s">
        <v>571</v>
      </c>
      <c r="S471" s="34" t="str">
        <f aca="false">IF(ISNUMBER($AF471),INDEX(IDX_SrcStat,$AF471),"—")</f>
        <v>—</v>
      </c>
      <c r="T471" s="34" t="str">
        <f aca="false">IF(ISNUMBER($AF471),INDEX(IDX_SrcGrade,$AF471),"—")</f>
        <v>—</v>
      </c>
      <c r="U471" s="34" t="s">
        <v>2683</v>
      </c>
      <c r="V471" s="183" t="n">
        <f aca="false">IF(AND($F471="原始數據",$U471&lt;&gt;"連結 SRC"),1,0)</f>
        <v>0</v>
      </c>
      <c r="W471" s="183" t="n">
        <f aca="false">IF(AND($F471="Analogy",OR($H471="—",$H471="")),1,0)</f>
        <v>0</v>
      </c>
      <c r="X471" s="183" t="n">
        <f aca="false">IF(AND(OR($F471="Analogy",$F471="Assumed"),$G471&lt;&gt;"低",$G471&lt;&gt;"高",NOT(ISNUMBER($K471)),NOT(ISNUMBER($L471)),OR($M471="—",$M471="")),1,0)</f>
        <v>0</v>
      </c>
      <c r="Y471" s="183" t="n">
        <f aca="false">IF(AND(OR($F471="Analogy",$F471="Assumed",$F471="Derived（待改公式）",$F471="Derived（公式）"),OR($N471="—",$N471="",$N471=0)),1,0)</f>
        <v>0</v>
      </c>
      <c r="Z471" s="183" t="n">
        <f aca="false">IF(AND($F471="Decision",OR($J471="—",$J471="")),1,0)</f>
        <v>0</v>
      </c>
      <c r="AA471" s="180" t="n">
        <f aca="false">IF(OR($J471="—",$J471=""),0,IF(COUNTIF(Decisions!$A$5:$A$300,$J471)=0,1,0))</f>
        <v>0</v>
      </c>
      <c r="AB471" s="183" t="n">
        <f aca="false">IF(AND($F471="原始數據",$S471&lt;&gt;"Active"),1,0)</f>
        <v>0</v>
      </c>
      <c r="AC471" s="183" t="n">
        <f aca="false">IF(AND(ISNUMBER($K471),ISNUMBER($L471),ISNUMBER($Q471)),IF(OR($Q471&lt;MIN($K471,$L471),$Q471&gt;MAX($K471,$L471)),1,0),0)</f>
        <v>0</v>
      </c>
      <c r="AD471" s="183" t="n">
        <f aca="false">IF(AND(ISNUMBER($T471),$P471="高"),IF($T471=3,1,0),0)</f>
        <v>0</v>
      </c>
      <c r="AE471" s="183" t="n">
        <f aca="false">IF($S471="不存在",1,0)</f>
        <v>0</v>
      </c>
      <c r="AF471" s="34" t="str">
        <f aca="false">IF(OR($H471="—",$H471=""),"—",MATCH($H471,IDX_SrcID,0))</f>
        <v>—</v>
      </c>
    </row>
    <row r="472" customFormat="false" ht="15" hidden="false" customHeight="true" outlineLevel="0" collapsed="false">
      <c r="A472" s="35" t="s">
        <v>3833</v>
      </c>
      <c r="B472" s="209" t="s">
        <v>3733</v>
      </c>
      <c r="C472" s="35" t="s">
        <v>3734</v>
      </c>
      <c r="D472" s="35" t="s">
        <v>3834</v>
      </c>
      <c r="E472" s="6" t="s">
        <v>1143</v>
      </c>
      <c r="F472" s="35" t="s">
        <v>72</v>
      </c>
      <c r="G472" s="209" t="s">
        <v>3739</v>
      </c>
      <c r="H472" s="35" t="s">
        <v>571</v>
      </c>
      <c r="I472" s="6" t="s">
        <v>571</v>
      </c>
      <c r="J472" s="35" t="s">
        <v>571</v>
      </c>
      <c r="K472" s="209"/>
      <c r="L472" s="209"/>
      <c r="M472" s="35" t="s">
        <v>3835</v>
      </c>
      <c r="N472" s="6" t="s">
        <v>1143</v>
      </c>
      <c r="O472" s="6" t="s">
        <v>571</v>
      </c>
      <c r="P472" s="209" t="s">
        <v>1099</v>
      </c>
      <c r="Q472" s="182" t="s">
        <v>571</v>
      </c>
      <c r="R472" s="35" t="s">
        <v>571</v>
      </c>
      <c r="S472" s="34" t="str">
        <f aca="false">IF(ISNUMBER($AF472),INDEX(IDX_SrcStat,$AF472),"—")</f>
        <v>—</v>
      </c>
      <c r="T472" s="34" t="str">
        <f aca="false">IF(ISNUMBER($AF472),INDEX(IDX_SrcGrade,$AF472),"—")</f>
        <v>—</v>
      </c>
      <c r="U472" s="35" t="s">
        <v>571</v>
      </c>
      <c r="V472" s="183" t="n">
        <f aca="false">IF(AND($F472="原始數據",$U472&lt;&gt;"連結 SRC"),1,0)</f>
        <v>0</v>
      </c>
      <c r="W472" s="183" t="n">
        <f aca="false">IF(AND($F472="Analogy",OR($H472="—",$H472="")),1,0)</f>
        <v>0</v>
      </c>
      <c r="X472" s="183" t="n">
        <f aca="false">IF(AND(OR($F472="Analogy",$F472="Assumed"),$G472&lt;&gt;"低",$G472&lt;&gt;"高",NOT(ISNUMBER($K472)),NOT(ISNUMBER($L472)),OR($M472="—",$M472="")),1,0)</f>
        <v>0</v>
      </c>
      <c r="Y472" s="183" t="n">
        <f aca="false">IF(AND(OR($F472="Analogy",$F472="Assumed",$F472="Derived（待改公式）",$F472="Derived（公式）"),OR($N472="—",$N472="",$N472=0)),1,0)</f>
        <v>0</v>
      </c>
      <c r="Z472" s="183" t="n">
        <f aca="false">IF(AND($F472="Decision",OR($J472="—",$J472="")),1,0)</f>
        <v>0</v>
      </c>
      <c r="AA472" s="180" t="n">
        <f aca="false">IF(OR($J472="—",$J472=""),0,IF(COUNTIF(Decisions!$A$5:$A$300,$J472)=0,1,0))</f>
        <v>0</v>
      </c>
      <c r="AB472" s="183" t="n">
        <f aca="false">IF(AND($F472="原始數據",$S472&lt;&gt;"Active"),1,0)</f>
        <v>0</v>
      </c>
      <c r="AC472" s="183" t="n">
        <f aca="false">IF(AND(ISNUMBER($K472),ISNUMBER($L472),ISNUMBER($Q472)),IF(OR($Q472&lt;MIN($K472,$L472),$Q472&gt;MAX($K472,$L472)),1,0),0)</f>
        <v>0</v>
      </c>
      <c r="AD472" s="183" t="n">
        <f aca="false">IF(AND(ISNUMBER($T472),$P472="高"),IF($T472=3,1,0),0)</f>
        <v>0</v>
      </c>
      <c r="AE472" s="183" t="n">
        <f aca="false">IF($S472="不存在",1,0)</f>
        <v>0</v>
      </c>
      <c r="AF472" s="34" t="str">
        <f aca="false">IF(OR($H472="—",$H472=""),"—",MATCH($H472,IDX_SrcID,0))</f>
        <v>—</v>
      </c>
    </row>
    <row r="473" customFormat="false" ht="15" hidden="false" customHeight="true" outlineLevel="0" collapsed="false">
      <c r="A473" s="35" t="s">
        <v>3836</v>
      </c>
      <c r="B473" s="209" t="s">
        <v>3733</v>
      </c>
      <c r="C473" s="35" t="s">
        <v>3734</v>
      </c>
      <c r="D473" s="35" t="s">
        <v>3140</v>
      </c>
      <c r="E473" s="6" t="s">
        <v>1144</v>
      </c>
      <c r="F473" s="35" t="s">
        <v>72</v>
      </c>
      <c r="G473" s="209" t="s">
        <v>57</v>
      </c>
      <c r="H473" s="35" t="s">
        <v>571</v>
      </c>
      <c r="I473" s="6" t="s">
        <v>571</v>
      </c>
      <c r="J473" s="35" t="s">
        <v>571</v>
      </c>
      <c r="K473" s="172" t="n">
        <f aca="false">Cap_In!D41</f>
        <v>0.05</v>
      </c>
      <c r="L473" s="172" t="n">
        <f aca="false">Cap_In!E41</f>
        <v>0.3</v>
      </c>
      <c r="M473" s="35" t="s">
        <v>571</v>
      </c>
      <c r="N473" s="18" t="s">
        <v>3837</v>
      </c>
      <c r="O473" s="6" t="s">
        <v>571</v>
      </c>
      <c r="P473" s="209" t="s">
        <v>2682</v>
      </c>
      <c r="Q473" s="172" t="n">
        <f aca="false">Cap_In!C41</f>
        <v>0.1</v>
      </c>
      <c r="R473" s="35" t="s">
        <v>571</v>
      </c>
      <c r="S473" s="34" t="str">
        <f aca="false">IF(ISNUMBER($AF473),INDEX(IDX_SrcStat,$AF473),"—")</f>
        <v>—</v>
      </c>
      <c r="T473" s="34" t="str">
        <f aca="false">IF(ISNUMBER($AF473),INDEX(IDX_SrcGrade,$AF473),"—")</f>
        <v>—</v>
      </c>
      <c r="U473" s="34" t="s">
        <v>2683</v>
      </c>
      <c r="V473" s="183" t="n">
        <f aca="false">IF(AND($F473="原始數據",$U473&lt;&gt;"連結 SRC"),1,0)</f>
        <v>0</v>
      </c>
      <c r="W473" s="183" t="n">
        <f aca="false">IF(AND($F473="Analogy",OR($H473="—",$H473="")),1,0)</f>
        <v>0</v>
      </c>
      <c r="X473" s="183" t="n">
        <f aca="false">IF(AND(OR($F473="Analogy",$F473="Assumed"),$G473&lt;&gt;"低",$G473&lt;&gt;"高",NOT(ISNUMBER($K473)),NOT(ISNUMBER($L473)),OR($M473="—",$M473="")),1,0)</f>
        <v>0</v>
      </c>
      <c r="Y473" s="183" t="n">
        <f aca="false">IF(AND(OR($F473="Analogy",$F473="Assumed",$F473="Derived（待改公式）",$F473="Derived（公式）"),OR($N473="—",$N473="",$N473=0)),1,0)</f>
        <v>0</v>
      </c>
      <c r="Z473" s="183" t="n">
        <f aca="false">IF(AND($F473="Decision",OR($J473="—",$J473="")),1,0)</f>
        <v>0</v>
      </c>
      <c r="AA473" s="180" t="n">
        <f aca="false">IF(OR($J473="—",$J473=""),0,IF(COUNTIF(Decisions!$A$5:$A$300,$J473)=0,1,0))</f>
        <v>0</v>
      </c>
      <c r="AB473" s="183" t="n">
        <f aca="false">IF(AND($F473="原始數據",$S473&lt;&gt;"Active"),1,0)</f>
        <v>0</v>
      </c>
      <c r="AC473" s="183" t="n">
        <f aca="false">IF(AND(ISNUMBER($K473),ISNUMBER($L473),ISNUMBER($Q473)),IF(OR($Q473&lt;MIN($K473,$L473),$Q473&gt;MAX($K473,$L473)),1,0),0)</f>
        <v>0</v>
      </c>
      <c r="AD473" s="183" t="n">
        <f aca="false">IF(AND(ISNUMBER($T473),$P473="高"),IF($T473=3,1,0),0)</f>
        <v>0</v>
      </c>
      <c r="AE473" s="183" t="n">
        <f aca="false">IF($S473="不存在",1,0)</f>
        <v>0</v>
      </c>
      <c r="AF473" s="34" t="str">
        <f aca="false">IF(OR($H473="—",$H473=""),"—",MATCH($H473,IDX_SrcID,0))</f>
        <v>—</v>
      </c>
    </row>
    <row r="474" customFormat="false" ht="15" hidden="false" customHeight="true" outlineLevel="0" collapsed="false">
      <c r="A474" s="35" t="s">
        <v>3838</v>
      </c>
      <c r="B474" s="209" t="s">
        <v>3733</v>
      </c>
      <c r="C474" s="35" t="s">
        <v>3734</v>
      </c>
      <c r="D474" s="35" t="s">
        <v>3839</v>
      </c>
      <c r="E474" s="6" t="s">
        <v>1144</v>
      </c>
      <c r="F474" s="35" t="s">
        <v>72</v>
      </c>
      <c r="G474" s="209" t="s">
        <v>3739</v>
      </c>
      <c r="H474" s="35" t="s">
        <v>571</v>
      </c>
      <c r="I474" s="6" t="s">
        <v>571</v>
      </c>
      <c r="J474" s="35" t="s">
        <v>571</v>
      </c>
      <c r="K474" s="209"/>
      <c r="L474" s="209"/>
      <c r="M474" s="35" t="s">
        <v>3840</v>
      </c>
      <c r="N474" s="18" t="s">
        <v>3837</v>
      </c>
      <c r="O474" s="6" t="s">
        <v>571</v>
      </c>
      <c r="P474" s="209" t="s">
        <v>2682</v>
      </c>
      <c r="Q474" s="182" t="s">
        <v>571</v>
      </c>
      <c r="R474" s="35" t="s">
        <v>571</v>
      </c>
      <c r="S474" s="34" t="str">
        <f aca="false">IF(ISNUMBER($AF474),INDEX(IDX_SrcStat,$AF474),"—")</f>
        <v>—</v>
      </c>
      <c r="T474" s="34" t="str">
        <f aca="false">IF(ISNUMBER($AF474),INDEX(IDX_SrcGrade,$AF474),"—")</f>
        <v>—</v>
      </c>
      <c r="U474" s="35" t="s">
        <v>571</v>
      </c>
      <c r="V474" s="183" t="n">
        <f aca="false">IF(AND($F474="原始數據",$U474&lt;&gt;"連結 SRC"),1,0)</f>
        <v>0</v>
      </c>
      <c r="W474" s="183" t="n">
        <f aca="false">IF(AND($F474="Analogy",OR($H474="—",$H474="")),1,0)</f>
        <v>0</v>
      </c>
      <c r="X474" s="183" t="n">
        <f aca="false">IF(AND(OR($F474="Analogy",$F474="Assumed"),$G474&lt;&gt;"低",$G474&lt;&gt;"高",NOT(ISNUMBER($K474)),NOT(ISNUMBER($L474)),OR($M474="—",$M474="")),1,0)</f>
        <v>0</v>
      </c>
      <c r="Y474" s="183" t="n">
        <f aca="false">IF(AND(OR($F474="Analogy",$F474="Assumed",$F474="Derived（待改公式）",$F474="Derived（公式）"),OR($N474="—",$N474="",$N474=0)),1,0)</f>
        <v>0</v>
      </c>
      <c r="Z474" s="183" t="n">
        <f aca="false">IF(AND($F474="Decision",OR($J474="—",$J474="")),1,0)</f>
        <v>0</v>
      </c>
      <c r="AA474" s="180" t="n">
        <f aca="false">IF(OR($J474="—",$J474=""),0,IF(COUNTIF(Decisions!$A$5:$A$300,$J474)=0,1,0))</f>
        <v>0</v>
      </c>
      <c r="AB474" s="183" t="n">
        <f aca="false">IF(AND($F474="原始數據",$S474&lt;&gt;"Active"),1,0)</f>
        <v>0</v>
      </c>
      <c r="AC474" s="183" t="n">
        <f aca="false">IF(AND(ISNUMBER($K474),ISNUMBER($L474),ISNUMBER($Q474)),IF(OR($Q474&lt;MIN($K474,$L474),$Q474&gt;MAX($K474,$L474)),1,0),0)</f>
        <v>0</v>
      </c>
      <c r="AD474" s="183" t="n">
        <f aca="false">IF(AND(ISNUMBER($T474),$P474="高"),IF($T474=3,1,0),0)</f>
        <v>0</v>
      </c>
      <c r="AE474" s="183" t="n">
        <f aca="false">IF($S474="不存在",1,0)</f>
        <v>0</v>
      </c>
      <c r="AF474" s="34" t="str">
        <f aca="false">IF(OR($H474="—",$H474=""),"—",MATCH($H474,IDX_SrcID,0))</f>
        <v>—</v>
      </c>
    </row>
    <row r="475" customFormat="false" ht="15" hidden="false" customHeight="true" outlineLevel="0" collapsed="false">
      <c r="A475" s="35" t="s">
        <v>3841</v>
      </c>
      <c r="B475" s="209" t="s">
        <v>3733</v>
      </c>
      <c r="C475" s="35" t="s">
        <v>3734</v>
      </c>
      <c r="D475" s="35" t="s">
        <v>3698</v>
      </c>
      <c r="E475" s="6" t="s">
        <v>1146</v>
      </c>
      <c r="F475" s="35" t="s">
        <v>72</v>
      </c>
      <c r="G475" s="209" t="s">
        <v>57</v>
      </c>
      <c r="H475" s="35" t="s">
        <v>571</v>
      </c>
      <c r="I475" s="6" t="s">
        <v>571</v>
      </c>
      <c r="J475" s="35" t="s">
        <v>571</v>
      </c>
      <c r="K475" s="180" t="n">
        <f aca="false">Cap_In!D42</f>
        <v>3</v>
      </c>
      <c r="L475" s="180" t="n">
        <f aca="false">Cap_In!E42</f>
        <v>6</v>
      </c>
      <c r="M475" s="35" t="s">
        <v>571</v>
      </c>
      <c r="N475" s="6" t="s">
        <v>1146</v>
      </c>
      <c r="O475" s="6" t="s">
        <v>571</v>
      </c>
      <c r="P475" s="209" t="s">
        <v>2682</v>
      </c>
      <c r="Q475" s="180" t="n">
        <f aca="false">Cap_In!C42</f>
        <v>5</v>
      </c>
      <c r="R475" s="35" t="s">
        <v>571</v>
      </c>
      <c r="S475" s="34" t="str">
        <f aca="false">IF(ISNUMBER($AF475),INDEX(IDX_SrcStat,$AF475),"—")</f>
        <v>—</v>
      </c>
      <c r="T475" s="34" t="str">
        <f aca="false">IF(ISNUMBER($AF475),INDEX(IDX_SrcGrade,$AF475),"—")</f>
        <v>—</v>
      </c>
      <c r="U475" s="34" t="s">
        <v>2683</v>
      </c>
      <c r="V475" s="183" t="n">
        <f aca="false">IF(AND($F475="原始數據",$U475&lt;&gt;"連結 SRC"),1,0)</f>
        <v>0</v>
      </c>
      <c r="W475" s="183" t="n">
        <f aca="false">IF(AND($F475="Analogy",OR($H475="—",$H475="")),1,0)</f>
        <v>0</v>
      </c>
      <c r="X475" s="183" t="n">
        <f aca="false">IF(AND(OR($F475="Analogy",$F475="Assumed"),$G475&lt;&gt;"低",$G475&lt;&gt;"高",NOT(ISNUMBER($K475)),NOT(ISNUMBER($L475)),OR($M475="—",$M475="")),1,0)</f>
        <v>0</v>
      </c>
      <c r="Y475" s="183" t="n">
        <f aca="false">IF(AND(OR($F475="Analogy",$F475="Assumed",$F475="Derived（待改公式）",$F475="Derived（公式）"),OR($N475="—",$N475="",$N475=0)),1,0)</f>
        <v>0</v>
      </c>
      <c r="Z475" s="183" t="n">
        <f aca="false">IF(AND($F475="Decision",OR($J475="—",$J475="")),1,0)</f>
        <v>0</v>
      </c>
      <c r="AA475" s="180" t="n">
        <f aca="false">IF(OR($J475="—",$J475=""),0,IF(COUNTIF(Decisions!$A$5:$A$300,$J475)=0,1,0))</f>
        <v>0</v>
      </c>
      <c r="AB475" s="183" t="n">
        <f aca="false">IF(AND($F475="原始數據",$S475&lt;&gt;"Active"),1,0)</f>
        <v>0</v>
      </c>
      <c r="AC475" s="183" t="n">
        <f aca="false">IF(AND(ISNUMBER($K475),ISNUMBER($L475),ISNUMBER($Q475)),IF(OR($Q475&lt;MIN($K475,$L475),$Q475&gt;MAX($K475,$L475)),1,0),0)</f>
        <v>0</v>
      </c>
      <c r="AD475" s="183" t="n">
        <f aca="false">IF(AND(ISNUMBER($T475),$P475="高"),IF($T475=3,1,0),0)</f>
        <v>0</v>
      </c>
      <c r="AE475" s="183" t="n">
        <f aca="false">IF($S475="不存在",1,0)</f>
        <v>0</v>
      </c>
      <c r="AF475" s="34" t="str">
        <f aca="false">IF(OR($H475="—",$H475=""),"—",MATCH($H475,IDX_SrcID,0))</f>
        <v>—</v>
      </c>
    </row>
    <row r="476" customFormat="false" ht="15" hidden="false" customHeight="true" outlineLevel="0" collapsed="false">
      <c r="A476" s="35" t="s">
        <v>3842</v>
      </c>
      <c r="B476" s="209" t="s">
        <v>3733</v>
      </c>
      <c r="C476" s="35" t="s">
        <v>3734</v>
      </c>
      <c r="D476" s="35" t="s">
        <v>3843</v>
      </c>
      <c r="E476" s="6" t="s">
        <v>1146</v>
      </c>
      <c r="F476" s="35" t="s">
        <v>72</v>
      </c>
      <c r="G476" s="209" t="s">
        <v>3739</v>
      </c>
      <c r="H476" s="35" t="s">
        <v>571</v>
      </c>
      <c r="I476" s="6" t="s">
        <v>571</v>
      </c>
      <c r="J476" s="35" t="s">
        <v>571</v>
      </c>
      <c r="K476" s="209"/>
      <c r="L476" s="209"/>
      <c r="M476" s="35" t="s">
        <v>3844</v>
      </c>
      <c r="N476" s="6" t="s">
        <v>1146</v>
      </c>
      <c r="O476" s="6" t="s">
        <v>571</v>
      </c>
      <c r="P476" s="209" t="s">
        <v>2682</v>
      </c>
      <c r="Q476" s="182" t="s">
        <v>571</v>
      </c>
      <c r="R476" s="35" t="s">
        <v>571</v>
      </c>
      <c r="S476" s="34" t="str">
        <f aca="false">IF(ISNUMBER($AF476),INDEX(IDX_SrcStat,$AF476),"—")</f>
        <v>—</v>
      </c>
      <c r="T476" s="34" t="str">
        <f aca="false">IF(ISNUMBER($AF476),INDEX(IDX_SrcGrade,$AF476),"—")</f>
        <v>—</v>
      </c>
      <c r="U476" s="35" t="s">
        <v>571</v>
      </c>
      <c r="V476" s="183" t="n">
        <f aca="false">IF(AND($F476="原始數據",$U476&lt;&gt;"連結 SRC"),1,0)</f>
        <v>0</v>
      </c>
      <c r="W476" s="183" t="n">
        <f aca="false">IF(AND($F476="Analogy",OR($H476="—",$H476="")),1,0)</f>
        <v>0</v>
      </c>
      <c r="X476" s="183" t="n">
        <f aca="false">IF(AND(OR($F476="Analogy",$F476="Assumed"),$G476&lt;&gt;"低",$G476&lt;&gt;"高",NOT(ISNUMBER($K476)),NOT(ISNUMBER($L476)),OR($M476="—",$M476="")),1,0)</f>
        <v>0</v>
      </c>
      <c r="Y476" s="183" t="n">
        <f aca="false">IF(AND(OR($F476="Analogy",$F476="Assumed",$F476="Derived（待改公式）",$F476="Derived（公式）"),OR($N476="—",$N476="",$N476=0)),1,0)</f>
        <v>0</v>
      </c>
      <c r="Z476" s="183" t="n">
        <f aca="false">IF(AND($F476="Decision",OR($J476="—",$J476="")),1,0)</f>
        <v>0</v>
      </c>
      <c r="AA476" s="180" t="n">
        <f aca="false">IF(OR($J476="—",$J476=""),0,IF(COUNTIF(Decisions!$A$5:$A$300,$J476)=0,1,0))</f>
        <v>0</v>
      </c>
      <c r="AB476" s="183" t="n">
        <f aca="false">IF(AND($F476="原始數據",$S476&lt;&gt;"Active"),1,0)</f>
        <v>0</v>
      </c>
      <c r="AC476" s="183" t="n">
        <f aca="false">IF(AND(ISNUMBER($K476),ISNUMBER($L476),ISNUMBER($Q476)),IF(OR($Q476&lt;MIN($K476,$L476),$Q476&gt;MAX($K476,$L476)),1,0),0)</f>
        <v>0</v>
      </c>
      <c r="AD476" s="183" t="n">
        <f aca="false">IF(AND(ISNUMBER($T476),$P476="高"),IF($T476=3,1,0),0)</f>
        <v>0</v>
      </c>
      <c r="AE476" s="183" t="n">
        <f aca="false">IF($S476="不存在",1,0)</f>
        <v>0</v>
      </c>
      <c r="AF476" s="34" t="str">
        <f aca="false">IF(OR($H476="—",$H476=""),"—",MATCH($H476,IDX_SrcID,0))</f>
        <v>—</v>
      </c>
    </row>
    <row r="477" customFormat="false" ht="43.5" hidden="false" customHeight="true" outlineLevel="0" collapsed="false">
      <c r="A477" s="35" t="s">
        <v>3845</v>
      </c>
      <c r="B477" s="209" t="s">
        <v>3733</v>
      </c>
      <c r="C477" s="35" t="s">
        <v>3734</v>
      </c>
      <c r="D477" s="35" t="s">
        <v>3846</v>
      </c>
      <c r="E477" s="6" t="s">
        <v>1160</v>
      </c>
      <c r="F477" s="209" t="s">
        <v>3847</v>
      </c>
      <c r="G477" s="209" t="s">
        <v>3420</v>
      </c>
      <c r="H477" s="35" t="s">
        <v>3848</v>
      </c>
      <c r="I477" s="18" t="s">
        <v>3849</v>
      </c>
      <c r="J477" s="35" t="s">
        <v>3763</v>
      </c>
      <c r="K477" s="209"/>
      <c r="L477" s="209"/>
      <c r="M477" s="209" t="s">
        <v>2624</v>
      </c>
      <c r="N477" s="18" t="s">
        <v>3850</v>
      </c>
      <c r="O477" s="6" t="s">
        <v>571</v>
      </c>
      <c r="P477" s="209" t="s">
        <v>2682</v>
      </c>
      <c r="Q477" s="182" t="s">
        <v>571</v>
      </c>
      <c r="R477" s="182" t="n">
        <f aca="false">SRC_PRC_027</f>
        <v>0.5</v>
      </c>
      <c r="S477" s="34" t="str">
        <f aca="false">IF(ISNUMBER($AF477),INDEX(IDX_SrcStat,$AF477),"—")</f>
        <v>Active</v>
      </c>
      <c r="T477" s="34" t="n">
        <f aca="false">IF(ISNUMBER($AF477),INDEX(IDX_SrcGrade,$AF477),"—")</f>
        <v>1</v>
      </c>
      <c r="U477" s="35" t="s">
        <v>571</v>
      </c>
      <c r="V477" s="183" t="n">
        <f aca="false">IF(AND($F477="原始數據",$U477&lt;&gt;"連結 SRC"),1,0)</f>
        <v>0</v>
      </c>
      <c r="W477" s="183" t="n">
        <f aca="false">IF(AND($F477="Analogy",OR($H477="—",$H477="")),1,0)</f>
        <v>0</v>
      </c>
      <c r="X477" s="183" t="n">
        <f aca="false">IF(AND(OR($F477="Analogy",$F477="Assumed"),$G477&lt;&gt;"低",$G477&lt;&gt;"高",NOT(ISNUMBER($K477)),NOT(ISNUMBER($L477)),OR($M477="—",$M477="")),1,0)</f>
        <v>0</v>
      </c>
      <c r="Y477" s="183" t="n">
        <f aca="false">IF(AND(OR($F477="Analogy",$F477="Assumed",$F477="Derived（待改公式）",$F477="Derived（公式）"),OR($N477="—",$N477="",$N477=0)),1,0)</f>
        <v>0</v>
      </c>
      <c r="Z477" s="183" t="n">
        <f aca="false">IF(AND($F477="Decision",OR($J477="—",$J477="")),1,0)</f>
        <v>0</v>
      </c>
      <c r="AA477" s="180" t="n">
        <f aca="false">IF(OR($J477="—",$J477=""),0,IF(COUNTIF(Decisions!$A$5:$A$300,$J477)=0,1,0))</f>
        <v>0</v>
      </c>
      <c r="AB477" s="183" t="n">
        <f aca="false">IF(AND($F477="原始數據",$S477&lt;&gt;"Active"),1,0)</f>
        <v>0</v>
      </c>
      <c r="AC477" s="183" t="n">
        <f aca="false">IF(AND(ISNUMBER($K477),ISNUMBER($L477),ISNUMBER($Q477)),IF(OR($Q477&lt;MIN($K477,$L477),$Q477&gt;MAX($K477,$L477)),1,0),0)</f>
        <v>0</v>
      </c>
      <c r="AD477" s="183" t="n">
        <f aca="false">IF(AND(ISNUMBER($T477),$P477="高"),IF($T477=3,1,0),0)</f>
        <v>0</v>
      </c>
      <c r="AE477" s="183" t="n">
        <f aca="false">IF($S477="不存在",1,0)</f>
        <v>0</v>
      </c>
      <c r="AF477" s="34" t="n">
        <f aca="false">IF(OR($H477="—",$H477=""),"—",MATCH($H477,IDX_SrcID,0))</f>
        <v>409</v>
      </c>
    </row>
    <row r="478" customFormat="false" ht="29.25" hidden="false" customHeight="true" outlineLevel="0" collapsed="false">
      <c r="A478" s="35" t="s">
        <v>3851</v>
      </c>
      <c r="B478" s="209" t="s">
        <v>3733</v>
      </c>
      <c r="C478" s="35" t="s">
        <v>3734</v>
      </c>
      <c r="D478" s="35" t="s">
        <v>3852</v>
      </c>
      <c r="E478" s="6" t="s">
        <v>1160</v>
      </c>
      <c r="F478" s="35" t="s">
        <v>2965</v>
      </c>
      <c r="G478" s="209" t="s">
        <v>3420</v>
      </c>
      <c r="H478" s="35" t="s">
        <v>571</v>
      </c>
      <c r="I478" s="6" t="s">
        <v>571</v>
      </c>
      <c r="J478" s="35" t="s">
        <v>3853</v>
      </c>
      <c r="K478" s="209"/>
      <c r="L478" s="209"/>
      <c r="M478" s="209" t="s">
        <v>2624</v>
      </c>
      <c r="N478" s="18" t="s">
        <v>3854</v>
      </c>
      <c r="O478" s="6" t="s">
        <v>571</v>
      </c>
      <c r="P478" s="209" t="s">
        <v>2682</v>
      </c>
      <c r="Q478" s="182" t="s">
        <v>571</v>
      </c>
      <c r="R478" s="35" t="s">
        <v>571</v>
      </c>
      <c r="S478" s="34" t="str">
        <f aca="false">IF(ISNUMBER($AF478),INDEX(IDX_SrcStat,$AF478),"—")</f>
        <v>—</v>
      </c>
      <c r="T478" s="34" t="str">
        <f aca="false">IF(ISNUMBER($AF478),INDEX(IDX_SrcGrade,$AF478),"—")</f>
        <v>—</v>
      </c>
      <c r="U478" s="35" t="s">
        <v>571</v>
      </c>
      <c r="V478" s="183" t="n">
        <f aca="false">IF(AND($F478="原始數據",$U478&lt;&gt;"連結 SRC"),1,0)</f>
        <v>0</v>
      </c>
      <c r="W478" s="183" t="n">
        <f aca="false">IF(AND($F478="Analogy",OR($H478="—",$H478="")),1,0)</f>
        <v>0</v>
      </c>
      <c r="X478" s="183" t="n">
        <f aca="false">IF(AND(OR($F478="Analogy",$F478="Assumed"),$G478&lt;&gt;"低",$G478&lt;&gt;"高",NOT(ISNUMBER($K478)),NOT(ISNUMBER($L478)),OR($M478="—",$M478="")),1,0)</f>
        <v>0</v>
      </c>
      <c r="Y478" s="183" t="n">
        <f aca="false">IF(AND(OR($F478="Analogy",$F478="Assumed",$F478="Derived（待改公式）",$F478="Derived（公式）"),OR($N478="—",$N478="",$N478=0)),1,0)</f>
        <v>0</v>
      </c>
      <c r="Z478" s="183" t="n">
        <f aca="false">IF(AND($F478="Decision",OR($J478="—",$J478="")),1,0)</f>
        <v>0</v>
      </c>
      <c r="AA478" s="180" t="n">
        <f aca="false">IF(OR($J478="—",$J478=""),0,IF(COUNTIF(Decisions!$A$5:$A$300,$J478)=0,1,0))</f>
        <v>0</v>
      </c>
      <c r="AB478" s="183" t="n">
        <f aca="false">IF(AND($F478="原始數據",$S478&lt;&gt;"Active"),1,0)</f>
        <v>0</v>
      </c>
      <c r="AC478" s="183" t="n">
        <f aca="false">IF(AND(ISNUMBER($K478),ISNUMBER($L478),ISNUMBER($Q478)),IF(OR($Q478&lt;MIN($K478,$L478),$Q478&gt;MAX($K478,$L478)),1,0),0)</f>
        <v>0</v>
      </c>
      <c r="AD478" s="183" t="n">
        <f aca="false">IF(AND(ISNUMBER($T478),$P478="高"),IF($T478=3,1,0),0)</f>
        <v>0</v>
      </c>
      <c r="AE478" s="183" t="n">
        <f aca="false">IF($S478="不存在",1,0)</f>
        <v>0</v>
      </c>
      <c r="AF478" s="34" t="str">
        <f aca="false">IF(OR($H478="—",$H478=""),"—",MATCH($H478,IDX_SrcID,0))</f>
        <v>—</v>
      </c>
    </row>
    <row r="479" customFormat="false" ht="40.5" hidden="false" customHeight="true" outlineLevel="0" collapsed="false">
      <c r="A479" s="35" t="s">
        <v>3855</v>
      </c>
      <c r="B479" s="209" t="s">
        <v>3733</v>
      </c>
      <c r="C479" s="35" t="s">
        <v>3734</v>
      </c>
      <c r="D479" s="35" t="s">
        <v>3856</v>
      </c>
      <c r="E479" s="6" t="s">
        <v>1175</v>
      </c>
      <c r="F479" s="35" t="s">
        <v>72</v>
      </c>
      <c r="G479" s="209" t="s">
        <v>2679</v>
      </c>
      <c r="H479" s="35" t="s">
        <v>571</v>
      </c>
      <c r="I479" s="6" t="s">
        <v>571</v>
      </c>
      <c r="J479" s="35" t="s">
        <v>571</v>
      </c>
      <c r="K479" s="211" t="n">
        <v>0.125</v>
      </c>
      <c r="L479" s="211" t="n">
        <v>0.5</v>
      </c>
      <c r="M479" s="35" t="s">
        <v>3857</v>
      </c>
      <c r="N479" s="6" t="s">
        <v>3858</v>
      </c>
      <c r="O479" s="6" t="s">
        <v>3859</v>
      </c>
      <c r="P479" s="209" t="s">
        <v>2682</v>
      </c>
      <c r="Q479" s="37" t="n">
        <f aca="false">Cap_In!F50</f>
        <v>0.5</v>
      </c>
      <c r="R479" s="35" t="s">
        <v>571</v>
      </c>
      <c r="S479" s="34" t="str">
        <f aca="false">IF(ISNUMBER($AF479),INDEX(IDX_SrcStat,$AF479),"—")</f>
        <v>—</v>
      </c>
      <c r="T479" s="34" t="str">
        <f aca="false">IF(ISNUMBER($AF479),INDEX(IDX_SrcGrade,$AF479),"—")</f>
        <v>—</v>
      </c>
      <c r="U479" s="34" t="s">
        <v>2683</v>
      </c>
      <c r="V479" s="183" t="n">
        <f aca="false">IF(AND($F479="原始數據",$U479&lt;&gt;"連結 SRC"),1,0)</f>
        <v>0</v>
      </c>
      <c r="W479" s="183" t="n">
        <f aca="false">IF(AND($F479="Analogy",OR($H479="—",$H479="")),1,0)</f>
        <v>0</v>
      </c>
      <c r="X479" s="183" t="n">
        <f aca="false">IF(AND(OR($F479="Analogy",$F479="Assumed"),$G479&lt;&gt;"低",$G479&lt;&gt;"高",NOT(ISNUMBER($K479)),NOT(ISNUMBER($L479)),OR($M479="—",$M479="")),1,0)</f>
        <v>0</v>
      </c>
      <c r="Y479" s="183" t="n">
        <f aca="false">IF(AND(OR($F479="Analogy",$F479="Assumed",$F479="Derived（待改公式）",$F479="Derived（公式）"),OR($N479="—",$N479="",$N479=0)),1,0)</f>
        <v>0</v>
      </c>
      <c r="Z479" s="183" t="n">
        <f aca="false">IF(AND($F479="Decision",OR($J479="—",$J479="")),1,0)</f>
        <v>0</v>
      </c>
      <c r="AA479" s="180" t="n">
        <f aca="false">IF(OR($J479="—",$J479=""),0,IF(COUNTIF(Decisions!$A$5:$A$300,$J479)=0,1,0))</f>
        <v>0</v>
      </c>
      <c r="AB479" s="183" t="n">
        <f aca="false">IF(AND($F479="原始數據",$S479&lt;&gt;"Active"),1,0)</f>
        <v>0</v>
      </c>
      <c r="AC479" s="183" t="n">
        <f aca="false">IF(AND(ISNUMBER($K479),ISNUMBER($L479),ISNUMBER($Q479)),IF(OR($Q479&lt;MIN($K479,$L479),$Q479&gt;MAX($K479,$L479)),1,0),0)</f>
        <v>0</v>
      </c>
      <c r="AD479" s="183" t="n">
        <f aca="false">IF(AND(ISNUMBER($T479),$P479="高"),IF($T479=3,1,0),0)</f>
        <v>0</v>
      </c>
      <c r="AE479" s="183" t="n">
        <f aca="false">IF($S479="不存在",1,0)</f>
        <v>0</v>
      </c>
      <c r="AF479" s="34" t="str">
        <f aca="false">IF(OR($H479="—",$H479=""),"—",MATCH($H479,IDX_SrcID,0))</f>
        <v>—</v>
      </c>
    </row>
    <row r="480" customFormat="false" ht="40.5" hidden="false" customHeight="true" outlineLevel="0" collapsed="false">
      <c r="A480" s="35" t="s">
        <v>3860</v>
      </c>
      <c r="B480" s="209" t="s">
        <v>3733</v>
      </c>
      <c r="C480" s="35" t="s">
        <v>3734</v>
      </c>
      <c r="D480" s="35" t="s">
        <v>3861</v>
      </c>
      <c r="E480" s="6" t="s">
        <v>1178</v>
      </c>
      <c r="F480" s="35" t="s">
        <v>72</v>
      </c>
      <c r="G480" s="209" t="s">
        <v>2679</v>
      </c>
      <c r="H480" s="35" t="s">
        <v>571</v>
      </c>
      <c r="I480" s="6" t="s">
        <v>571</v>
      </c>
      <c r="J480" s="35" t="s">
        <v>571</v>
      </c>
      <c r="K480" s="211" t="n">
        <v>0.1</v>
      </c>
      <c r="L480" s="211" t="n">
        <v>0.4</v>
      </c>
      <c r="M480" s="35" t="s">
        <v>3862</v>
      </c>
      <c r="N480" s="6" t="s">
        <v>3863</v>
      </c>
      <c r="O480" s="6" t="s">
        <v>3859</v>
      </c>
      <c r="P480" s="209" t="s">
        <v>2682</v>
      </c>
      <c r="Q480" s="37" t="n">
        <f aca="false">Cap_In!F51</f>
        <v>0.2</v>
      </c>
      <c r="R480" s="35" t="s">
        <v>571</v>
      </c>
      <c r="S480" s="34" t="str">
        <f aca="false">IF(ISNUMBER($AF480),INDEX(IDX_SrcStat,$AF480),"—")</f>
        <v>—</v>
      </c>
      <c r="T480" s="34" t="str">
        <f aca="false">IF(ISNUMBER($AF480),INDEX(IDX_SrcGrade,$AF480),"—")</f>
        <v>—</v>
      </c>
      <c r="U480" s="34" t="s">
        <v>2683</v>
      </c>
      <c r="V480" s="183" t="n">
        <f aca="false">IF(AND($F480="原始數據",$U480&lt;&gt;"連結 SRC"),1,0)</f>
        <v>0</v>
      </c>
      <c r="W480" s="183" t="n">
        <f aca="false">IF(AND($F480="Analogy",OR($H480="—",$H480="")),1,0)</f>
        <v>0</v>
      </c>
      <c r="X480" s="183" t="n">
        <f aca="false">IF(AND(OR($F480="Analogy",$F480="Assumed"),$G480&lt;&gt;"低",$G480&lt;&gt;"高",NOT(ISNUMBER($K480)),NOT(ISNUMBER($L480)),OR($M480="—",$M480="")),1,0)</f>
        <v>0</v>
      </c>
      <c r="Y480" s="183" t="n">
        <f aca="false">IF(AND(OR($F480="Analogy",$F480="Assumed",$F480="Derived（待改公式）",$F480="Derived（公式）"),OR($N480="—",$N480="",$N480=0)),1,0)</f>
        <v>0</v>
      </c>
      <c r="Z480" s="183" t="n">
        <f aca="false">IF(AND($F480="Decision",OR($J480="—",$J480="")),1,0)</f>
        <v>0</v>
      </c>
      <c r="AA480" s="180" t="n">
        <f aca="false">IF(OR($J480="—",$J480=""),0,IF(COUNTIF(Decisions!$A$5:$A$300,$J480)=0,1,0))</f>
        <v>0</v>
      </c>
      <c r="AB480" s="183" t="n">
        <f aca="false">IF(AND($F480="原始數據",$S480&lt;&gt;"Active"),1,0)</f>
        <v>0</v>
      </c>
      <c r="AC480" s="183" t="n">
        <f aca="false">IF(AND(ISNUMBER($K480),ISNUMBER($L480),ISNUMBER($Q480)),IF(OR($Q480&lt;MIN($K480,$L480),$Q480&gt;MAX($K480,$L480)),1,0),0)</f>
        <v>0</v>
      </c>
      <c r="AD480" s="183" t="n">
        <f aca="false">IF(AND(ISNUMBER($T480),$P480="高"),IF($T480=3,1,0),0)</f>
        <v>0</v>
      </c>
      <c r="AE480" s="183" t="n">
        <f aca="false">IF($S480="不存在",1,0)</f>
        <v>0</v>
      </c>
      <c r="AF480" s="34" t="str">
        <f aca="false">IF(OR($H480="—",$H480=""),"—",MATCH($H480,IDX_SrcID,0))</f>
        <v>—</v>
      </c>
    </row>
    <row r="481" customFormat="false" ht="57.75" hidden="false" customHeight="true" outlineLevel="0" collapsed="false">
      <c r="A481" s="35" t="s">
        <v>3864</v>
      </c>
      <c r="B481" s="209" t="s">
        <v>3733</v>
      </c>
      <c r="C481" s="35" t="s">
        <v>3734</v>
      </c>
      <c r="D481" s="35" t="s">
        <v>3865</v>
      </c>
      <c r="E481" s="6" t="s">
        <v>1187</v>
      </c>
      <c r="F481" s="35" t="s">
        <v>76</v>
      </c>
      <c r="G481" s="209" t="s">
        <v>2679</v>
      </c>
      <c r="H481" s="35" t="s">
        <v>3866</v>
      </c>
      <c r="I481" s="18" t="s">
        <v>3867</v>
      </c>
      <c r="J481" s="35" t="s">
        <v>571</v>
      </c>
      <c r="K481" s="211" t="n">
        <v>33</v>
      </c>
      <c r="L481" s="211" t="n">
        <v>39</v>
      </c>
      <c r="M481" s="35" t="s">
        <v>3868</v>
      </c>
      <c r="N481" s="18" t="s">
        <v>3869</v>
      </c>
      <c r="O481" s="6" t="s">
        <v>3870</v>
      </c>
      <c r="P481" s="209" t="s">
        <v>2682</v>
      </c>
      <c r="Q481" s="180" t="n">
        <f aca="false">Cap_In!I53</f>
        <v>36</v>
      </c>
      <c r="R481" s="182" t="n">
        <f aca="false">SRC_CAP_007</f>
        <v>36</v>
      </c>
      <c r="S481" s="34" t="str">
        <f aca="false">IF(ISNUMBER($AF481),INDEX(IDX_SrcStat,$AF481),"—")</f>
        <v>Active</v>
      </c>
      <c r="T481" s="34" t="n">
        <f aca="false">IF(ISNUMBER($AF481),INDEX(IDX_SrcGrade,$AF481),"—")</f>
        <v>2</v>
      </c>
      <c r="U481" s="34" t="s">
        <v>2683</v>
      </c>
      <c r="V481" s="183" t="n">
        <f aca="false">IF(AND($F481="原始數據",$U481&lt;&gt;"連結 SRC"),1,0)</f>
        <v>0</v>
      </c>
      <c r="W481" s="183" t="n">
        <f aca="false">IF(AND($F481="Analogy",OR($H481="—",$H481="")),1,0)</f>
        <v>0</v>
      </c>
      <c r="X481" s="183" t="n">
        <f aca="false">IF(AND(OR($F481="Analogy",$F481="Assumed"),$G481&lt;&gt;"低",$G481&lt;&gt;"高",NOT(ISNUMBER($K481)),NOT(ISNUMBER($L481)),OR($M481="—",$M481="")),1,0)</f>
        <v>0</v>
      </c>
      <c r="Y481" s="183" t="n">
        <f aca="false">IF(AND(OR($F481="Analogy",$F481="Assumed",$F481="Derived（待改公式）",$F481="Derived（公式）"),OR($N481="—",$N481="",$N481=0)),1,0)</f>
        <v>0</v>
      </c>
      <c r="Z481" s="183" t="n">
        <f aca="false">IF(AND($F481="Decision",OR($J481="—",$J481="")),1,0)</f>
        <v>0</v>
      </c>
      <c r="AA481" s="180" t="n">
        <f aca="false">IF(OR($J481="—",$J481=""),0,IF(COUNTIF(Decisions!$A$5:$A$300,$J481)=0,1,0))</f>
        <v>0</v>
      </c>
      <c r="AB481" s="183" t="n">
        <f aca="false">IF(AND($F481="原始數據",$S481&lt;&gt;"Active"),1,0)</f>
        <v>0</v>
      </c>
      <c r="AC481" s="183" t="n">
        <f aca="false">IF(AND(ISNUMBER($K481),ISNUMBER($L481),ISNUMBER($Q481)),IF(OR($Q481&lt;MIN($K481,$L481),$Q481&gt;MAX($K481,$L481)),1,0),0)</f>
        <v>0</v>
      </c>
      <c r="AD481" s="183" t="n">
        <f aca="false">IF(AND(ISNUMBER($T481),$P481="高"),IF($T481=3,1,0),0)</f>
        <v>0</v>
      </c>
      <c r="AE481" s="183" t="n">
        <f aca="false">IF($S481="不存在",1,0)</f>
        <v>0</v>
      </c>
      <c r="AF481" s="34" t="n">
        <f aca="false">IF(OR($H481="—",$H481=""),"—",MATCH($H481,IDX_SrcID,0))</f>
        <v>483</v>
      </c>
    </row>
    <row r="482" customFormat="false" ht="57.75" hidden="false" customHeight="true" outlineLevel="0" collapsed="false">
      <c r="A482" s="35" t="s">
        <v>3871</v>
      </c>
      <c r="B482" s="209" t="s">
        <v>3733</v>
      </c>
      <c r="C482" s="35" t="s">
        <v>3734</v>
      </c>
      <c r="D482" s="35" t="s">
        <v>3872</v>
      </c>
      <c r="E482" s="6" t="s">
        <v>1195</v>
      </c>
      <c r="F482" s="35" t="s">
        <v>76</v>
      </c>
      <c r="G482" s="209" t="s">
        <v>2679</v>
      </c>
      <c r="H482" s="35" t="s">
        <v>3873</v>
      </c>
      <c r="I482" s="18" t="s">
        <v>3874</v>
      </c>
      <c r="J482" s="35" t="s">
        <v>571</v>
      </c>
      <c r="K482" s="211" t="n">
        <v>37</v>
      </c>
      <c r="L482" s="211" t="n">
        <v>43</v>
      </c>
      <c r="M482" s="35" t="s">
        <v>3875</v>
      </c>
      <c r="N482" s="18" t="s">
        <v>3876</v>
      </c>
      <c r="O482" s="6" t="s">
        <v>3877</v>
      </c>
      <c r="P482" s="209" t="s">
        <v>2682</v>
      </c>
      <c r="Q482" s="180" t="n">
        <f aca="false">Cap_In!I56</f>
        <v>40</v>
      </c>
      <c r="R482" s="182" t="n">
        <f aca="false">SRC_CAP_006</f>
        <v>40</v>
      </c>
      <c r="S482" s="34" t="str">
        <f aca="false">IF(ISNUMBER($AF482),INDEX(IDX_SrcStat,$AF482),"—")</f>
        <v>Active</v>
      </c>
      <c r="T482" s="34" t="n">
        <f aca="false">IF(ISNUMBER($AF482),INDEX(IDX_SrcGrade,$AF482),"—")</f>
        <v>2</v>
      </c>
      <c r="U482" s="34" t="s">
        <v>2683</v>
      </c>
      <c r="V482" s="183" t="n">
        <f aca="false">IF(AND($F482="原始數據",$U482&lt;&gt;"連結 SRC"),1,0)</f>
        <v>0</v>
      </c>
      <c r="W482" s="183" t="n">
        <f aca="false">IF(AND($F482="Analogy",OR($H482="—",$H482="")),1,0)</f>
        <v>0</v>
      </c>
      <c r="X482" s="183" t="n">
        <f aca="false">IF(AND(OR($F482="Analogy",$F482="Assumed"),$G482&lt;&gt;"低",$G482&lt;&gt;"高",NOT(ISNUMBER($K482)),NOT(ISNUMBER($L482)),OR($M482="—",$M482="")),1,0)</f>
        <v>0</v>
      </c>
      <c r="Y482" s="183" t="n">
        <f aca="false">IF(AND(OR($F482="Analogy",$F482="Assumed",$F482="Derived（待改公式）",$F482="Derived（公式）"),OR($N482="—",$N482="",$N482=0)),1,0)</f>
        <v>0</v>
      </c>
      <c r="Z482" s="183" t="n">
        <f aca="false">IF(AND($F482="Decision",OR($J482="—",$J482="")),1,0)</f>
        <v>0</v>
      </c>
      <c r="AA482" s="180" t="n">
        <f aca="false">IF(OR($J482="—",$J482=""),0,IF(COUNTIF(Decisions!$A$5:$A$300,$J482)=0,1,0))</f>
        <v>0</v>
      </c>
      <c r="AB482" s="183" t="n">
        <f aca="false">IF(AND($F482="原始數據",$S482&lt;&gt;"Active"),1,0)</f>
        <v>0</v>
      </c>
      <c r="AC482" s="183" t="n">
        <f aca="false">IF(AND(ISNUMBER($K482),ISNUMBER($L482),ISNUMBER($Q482)),IF(OR($Q482&lt;MIN($K482,$L482),$Q482&gt;MAX($K482,$L482)),1,0),0)</f>
        <v>0</v>
      </c>
      <c r="AD482" s="183" t="n">
        <f aca="false">IF(AND(ISNUMBER($T482),$P482="高"),IF($T482=3,1,0),0)</f>
        <v>0</v>
      </c>
      <c r="AE482" s="183" t="n">
        <f aca="false">IF($S482="不存在",1,0)</f>
        <v>0</v>
      </c>
      <c r="AF482" s="34" t="n">
        <f aca="false">IF(OR($H482="—",$H482=""),"—",MATCH($H482,IDX_SrcID,0))</f>
        <v>482</v>
      </c>
    </row>
    <row r="483" customFormat="false" ht="43.5" hidden="false" customHeight="true" outlineLevel="0" collapsed="false">
      <c r="A483" s="35" t="s">
        <v>3878</v>
      </c>
      <c r="B483" s="209" t="s">
        <v>3733</v>
      </c>
      <c r="C483" s="35" t="s">
        <v>3879</v>
      </c>
      <c r="D483" s="35" t="s">
        <v>3326</v>
      </c>
      <c r="E483" s="18" t="s">
        <v>3880</v>
      </c>
      <c r="F483" s="35" t="s">
        <v>64</v>
      </c>
      <c r="G483" s="209" t="s">
        <v>2679</v>
      </c>
      <c r="H483" s="35" t="s">
        <v>571</v>
      </c>
      <c r="I483" s="6" t="s">
        <v>571</v>
      </c>
      <c r="J483" s="35" t="s">
        <v>3392</v>
      </c>
      <c r="K483" s="209"/>
      <c r="L483" s="209"/>
      <c r="M483" s="209" t="s">
        <v>2624</v>
      </c>
      <c r="N483" s="6" t="s">
        <v>3881</v>
      </c>
      <c r="O483" s="6" t="s">
        <v>571</v>
      </c>
      <c r="P483" s="209" t="s">
        <v>2682</v>
      </c>
      <c r="Q483" s="180" t="n">
        <f aca="false">Har_In!C5</f>
        <v>2</v>
      </c>
      <c r="R483" s="35" t="s">
        <v>571</v>
      </c>
      <c r="S483" s="34" t="str">
        <f aca="false">IF(ISNUMBER($AF483),INDEX(IDX_SrcStat,$AF483),"—")</f>
        <v>—</v>
      </c>
      <c r="T483" s="34" t="str">
        <f aca="false">IF(ISNUMBER($AF483),INDEX(IDX_SrcGrade,$AF483),"—")</f>
        <v>—</v>
      </c>
      <c r="U483" s="34" t="s">
        <v>2683</v>
      </c>
      <c r="V483" s="183" t="n">
        <f aca="false">IF(AND($F483="原始數據",$U483&lt;&gt;"連結 SRC"),1,0)</f>
        <v>0</v>
      </c>
      <c r="W483" s="183" t="n">
        <f aca="false">IF(AND($F483="Analogy",OR($H483="—",$H483="")),1,0)</f>
        <v>0</v>
      </c>
      <c r="X483" s="183" t="n">
        <f aca="false">IF(AND(OR($F483="Analogy",$F483="Assumed"),$G483&lt;&gt;"低",$G483&lt;&gt;"高",NOT(ISNUMBER($K483)),NOT(ISNUMBER($L483)),OR($M483="—",$M483="")),1,0)</f>
        <v>0</v>
      </c>
      <c r="Y483" s="183" t="n">
        <f aca="false">IF(AND(OR($F483="Analogy",$F483="Assumed",$F483="Derived（待改公式）",$F483="Derived（公式）"),OR($N483="—",$N483="",$N483=0)),1,0)</f>
        <v>0</v>
      </c>
      <c r="Z483" s="183" t="n">
        <f aca="false">IF(AND($F483="Decision",OR($J483="—",$J483="")),1,0)</f>
        <v>0</v>
      </c>
      <c r="AA483" s="180" t="n">
        <f aca="false">IF(OR($J483="—",$J483=""),0,IF(COUNTIF(Decisions!$A$5:$A$300,$J483)=0,1,0))</f>
        <v>0</v>
      </c>
      <c r="AB483" s="183" t="n">
        <f aca="false">IF(AND($F483="原始數據",$S483&lt;&gt;"Active"),1,0)</f>
        <v>0</v>
      </c>
      <c r="AC483" s="183" t="n">
        <f aca="false">IF(AND(ISNUMBER($K483),ISNUMBER($L483),ISNUMBER($Q483)),IF(OR($Q483&lt;MIN($K483,$L483),$Q483&gt;MAX($K483,$L483)),1,0),0)</f>
        <v>0</v>
      </c>
      <c r="AD483" s="183" t="n">
        <f aca="false">IF(AND(ISNUMBER($T483),$P483="高"),IF($T483=3,1,0),0)</f>
        <v>0</v>
      </c>
      <c r="AE483" s="183" t="n">
        <f aca="false">IF($S483="不存在",1,0)</f>
        <v>0</v>
      </c>
      <c r="AF483" s="34" t="str">
        <f aca="false">IF(OR($H483="—",$H483=""),"—",MATCH($H483,IDX_SrcID,0))</f>
        <v>—</v>
      </c>
    </row>
    <row r="484" customFormat="false" ht="29.25" hidden="false" customHeight="true" outlineLevel="0" collapsed="false">
      <c r="A484" s="35" t="s">
        <v>3882</v>
      </c>
      <c r="B484" s="209" t="s">
        <v>3733</v>
      </c>
      <c r="C484" s="35" t="s">
        <v>3879</v>
      </c>
      <c r="D484" s="35" t="s">
        <v>2849</v>
      </c>
      <c r="E484" s="18" t="s">
        <v>3883</v>
      </c>
      <c r="F484" s="35" t="s">
        <v>64</v>
      </c>
      <c r="G484" s="209" t="s">
        <v>2679</v>
      </c>
      <c r="H484" s="35" t="s">
        <v>571</v>
      </c>
      <c r="I484" s="6" t="s">
        <v>571</v>
      </c>
      <c r="J484" s="35" t="s">
        <v>3884</v>
      </c>
      <c r="K484" s="211" t="n">
        <v>0</v>
      </c>
      <c r="L484" s="211" t="n">
        <v>0.8</v>
      </c>
      <c r="M484" s="35" t="s">
        <v>3885</v>
      </c>
      <c r="N484" s="6" t="s">
        <v>3886</v>
      </c>
      <c r="O484" s="6" t="s">
        <v>571</v>
      </c>
      <c r="P484" s="209" t="s">
        <v>2682</v>
      </c>
      <c r="Q484" s="174" t="n">
        <f aca="false">Har_In!C8</f>
        <v>0.5</v>
      </c>
      <c r="R484" s="35" t="s">
        <v>571</v>
      </c>
      <c r="S484" s="34" t="str">
        <f aca="false">IF(ISNUMBER($AF484),INDEX(IDX_SrcStat,$AF484),"—")</f>
        <v>—</v>
      </c>
      <c r="T484" s="34" t="str">
        <f aca="false">IF(ISNUMBER($AF484),INDEX(IDX_SrcGrade,$AF484),"—")</f>
        <v>—</v>
      </c>
      <c r="U484" s="34" t="s">
        <v>2683</v>
      </c>
      <c r="V484" s="183" t="n">
        <f aca="false">IF(AND($F484="原始數據",$U484&lt;&gt;"連結 SRC"),1,0)</f>
        <v>0</v>
      </c>
      <c r="W484" s="183" t="n">
        <f aca="false">IF(AND($F484="Analogy",OR($H484="—",$H484="")),1,0)</f>
        <v>0</v>
      </c>
      <c r="X484" s="183" t="n">
        <f aca="false">IF(AND(OR($F484="Analogy",$F484="Assumed"),$G484&lt;&gt;"低",$G484&lt;&gt;"高",NOT(ISNUMBER($K484)),NOT(ISNUMBER($L484)),OR($M484="—",$M484="")),1,0)</f>
        <v>0</v>
      </c>
      <c r="Y484" s="183" t="n">
        <f aca="false">IF(AND(OR($F484="Analogy",$F484="Assumed",$F484="Derived（待改公式）",$F484="Derived（公式）"),OR($N484="—",$N484="",$N484=0)),1,0)</f>
        <v>0</v>
      </c>
      <c r="Z484" s="183" t="n">
        <f aca="false">IF(AND($F484="Decision",OR($J484="—",$J484="")),1,0)</f>
        <v>0</v>
      </c>
      <c r="AA484" s="180" t="n">
        <f aca="false">IF(OR($J484="—",$J484=""),0,IF(COUNTIF(Decisions!$A$5:$A$300,$J484)=0,1,0))</f>
        <v>0</v>
      </c>
      <c r="AB484" s="183" t="n">
        <f aca="false">IF(AND($F484="原始數據",$S484&lt;&gt;"Active"),1,0)</f>
        <v>0</v>
      </c>
      <c r="AC484" s="183" t="n">
        <f aca="false">IF(AND(ISNUMBER($K484),ISNUMBER($L484),ISNUMBER($Q484)),IF(OR($Q484&lt;MIN($K484,$L484),$Q484&gt;MAX($K484,$L484)),1,0),0)</f>
        <v>0</v>
      </c>
      <c r="AD484" s="183" t="n">
        <f aca="false">IF(AND(ISNUMBER($T484),$P484="高"),IF($T484=3,1,0),0)</f>
        <v>0</v>
      </c>
      <c r="AE484" s="183" t="n">
        <f aca="false">IF($S484="不存在",1,0)</f>
        <v>0</v>
      </c>
      <c r="AF484" s="34" t="str">
        <f aca="false">IF(OR($H484="—",$H484=""),"—",MATCH($H484,IDX_SrcID,0))</f>
        <v>—</v>
      </c>
    </row>
    <row r="485" customFormat="false" ht="57.75" hidden="false" customHeight="true" outlineLevel="0" collapsed="false">
      <c r="A485" s="35" t="s">
        <v>3887</v>
      </c>
      <c r="B485" s="209" t="s">
        <v>3733</v>
      </c>
      <c r="C485" s="35" t="s">
        <v>3879</v>
      </c>
      <c r="D485" s="35" t="s">
        <v>3888</v>
      </c>
      <c r="E485" s="18" t="s">
        <v>1441</v>
      </c>
      <c r="F485" s="35" t="s">
        <v>72</v>
      </c>
      <c r="G485" s="209" t="s">
        <v>3420</v>
      </c>
      <c r="H485" s="35" t="s">
        <v>571</v>
      </c>
      <c r="I485" s="6" t="s">
        <v>571</v>
      </c>
      <c r="J485" s="35" t="s">
        <v>571</v>
      </c>
      <c r="K485" s="209"/>
      <c r="L485" s="209"/>
      <c r="M485" s="35" t="s">
        <v>3889</v>
      </c>
      <c r="N485" s="18" t="s">
        <v>3890</v>
      </c>
      <c r="O485" s="6" t="s">
        <v>571</v>
      </c>
      <c r="P485" s="209" t="s">
        <v>2682</v>
      </c>
      <c r="Q485" s="182" t="s">
        <v>571</v>
      </c>
      <c r="R485" s="35" t="s">
        <v>571</v>
      </c>
      <c r="S485" s="34" t="str">
        <f aca="false">IF(ISNUMBER($AF485),INDEX(IDX_SrcStat,$AF485),"—")</f>
        <v>—</v>
      </c>
      <c r="T485" s="34" t="str">
        <f aca="false">IF(ISNUMBER($AF485),INDEX(IDX_SrcGrade,$AF485),"—")</f>
        <v>—</v>
      </c>
      <c r="U485" s="35" t="s">
        <v>571</v>
      </c>
      <c r="V485" s="183" t="n">
        <f aca="false">IF(AND($F485="原始數據",$U485&lt;&gt;"連結 SRC"),1,0)</f>
        <v>0</v>
      </c>
      <c r="W485" s="183" t="n">
        <f aca="false">IF(AND($F485="Analogy",OR($H485="—",$H485="")),1,0)</f>
        <v>0</v>
      </c>
      <c r="X485" s="183" t="n">
        <f aca="false">IF(AND(OR($F485="Analogy",$F485="Assumed"),$G485&lt;&gt;"低",$G485&lt;&gt;"高",NOT(ISNUMBER($K485)),NOT(ISNUMBER($L485)),OR($M485="—",$M485="")),1,0)</f>
        <v>0</v>
      </c>
      <c r="Y485" s="183" t="n">
        <f aca="false">IF(AND(OR($F485="Analogy",$F485="Assumed",$F485="Derived（待改公式）",$F485="Derived（公式）"),OR($N485="—",$N485="",$N485=0)),1,0)</f>
        <v>0</v>
      </c>
      <c r="Z485" s="183" t="n">
        <f aca="false">IF(AND($F485="Decision",OR($J485="—",$J485="")),1,0)</f>
        <v>0</v>
      </c>
      <c r="AA485" s="180" t="n">
        <f aca="false">IF(OR($J485="—",$J485=""),0,IF(COUNTIF(Decisions!$A$5:$A$300,$J485)=0,1,0))</f>
        <v>0</v>
      </c>
      <c r="AB485" s="183" t="n">
        <f aca="false">IF(AND($F485="原始數據",$S485&lt;&gt;"Active"),1,0)</f>
        <v>0</v>
      </c>
      <c r="AC485" s="183" t="n">
        <f aca="false">IF(AND(ISNUMBER($K485),ISNUMBER($L485),ISNUMBER($Q485)),IF(OR($Q485&lt;MIN($K485,$L485),$Q485&gt;MAX($K485,$L485)),1,0),0)</f>
        <v>0</v>
      </c>
      <c r="AD485" s="183" t="n">
        <f aca="false">IF(AND(ISNUMBER($T485),$P485="高"),IF($T485=3,1,0),0)</f>
        <v>0</v>
      </c>
      <c r="AE485" s="183" t="n">
        <f aca="false">IF($S485="不存在",1,0)</f>
        <v>0</v>
      </c>
      <c r="AF485" s="34" t="str">
        <f aca="false">IF(OR($H485="—",$H485=""),"—",MATCH($H485,IDX_SrcID,0))</f>
        <v>—</v>
      </c>
    </row>
    <row r="486" customFormat="false" ht="43.5" hidden="false" customHeight="true" outlineLevel="0" collapsed="false">
      <c r="A486" s="35" t="s">
        <v>3891</v>
      </c>
      <c r="B486" s="209" t="s">
        <v>3733</v>
      </c>
      <c r="C486" s="35" t="s">
        <v>3879</v>
      </c>
      <c r="D486" s="35" t="s">
        <v>3892</v>
      </c>
      <c r="E486" s="18" t="s">
        <v>3893</v>
      </c>
      <c r="F486" s="35" t="s">
        <v>72</v>
      </c>
      <c r="G486" s="209" t="s">
        <v>3420</v>
      </c>
      <c r="H486" s="35" t="s">
        <v>571</v>
      </c>
      <c r="I486" s="6" t="s">
        <v>571</v>
      </c>
      <c r="J486" s="35" t="s">
        <v>571</v>
      </c>
      <c r="K486" s="209"/>
      <c r="L486" s="209"/>
      <c r="M486" s="35" t="s">
        <v>3894</v>
      </c>
      <c r="N486" s="18" t="s">
        <v>3895</v>
      </c>
      <c r="O486" s="6" t="s">
        <v>3896</v>
      </c>
      <c r="P486" s="209" t="s">
        <v>2682</v>
      </c>
      <c r="Q486" s="182" t="s">
        <v>571</v>
      </c>
      <c r="R486" s="35" t="s">
        <v>571</v>
      </c>
      <c r="S486" s="34" t="str">
        <f aca="false">IF(ISNUMBER($AF486),INDEX(IDX_SrcStat,$AF486),"—")</f>
        <v>—</v>
      </c>
      <c r="T486" s="34" t="str">
        <f aca="false">IF(ISNUMBER($AF486),INDEX(IDX_SrcGrade,$AF486),"—")</f>
        <v>—</v>
      </c>
      <c r="U486" s="35" t="s">
        <v>571</v>
      </c>
      <c r="V486" s="183" t="n">
        <f aca="false">IF(AND($F486="原始數據",$U486&lt;&gt;"連結 SRC"),1,0)</f>
        <v>0</v>
      </c>
      <c r="W486" s="183" t="n">
        <f aca="false">IF(AND($F486="Analogy",OR($H486="—",$H486="")),1,0)</f>
        <v>0</v>
      </c>
      <c r="X486" s="183" t="n">
        <f aca="false">IF(AND(OR($F486="Analogy",$F486="Assumed"),$G486&lt;&gt;"低",$G486&lt;&gt;"高",NOT(ISNUMBER($K486)),NOT(ISNUMBER($L486)),OR($M486="—",$M486="")),1,0)</f>
        <v>0</v>
      </c>
      <c r="Y486" s="183" t="n">
        <f aca="false">IF(AND(OR($F486="Analogy",$F486="Assumed",$F486="Derived（待改公式）",$F486="Derived（公式）"),OR($N486="—",$N486="",$N486=0)),1,0)</f>
        <v>0</v>
      </c>
      <c r="Z486" s="183" t="n">
        <f aca="false">IF(AND($F486="Decision",OR($J486="—",$J486="")),1,0)</f>
        <v>0</v>
      </c>
      <c r="AA486" s="180" t="n">
        <f aca="false">IF(OR($J486="—",$J486=""),0,IF(COUNTIF(Decisions!$A$5:$A$300,$J486)=0,1,0))</f>
        <v>0</v>
      </c>
      <c r="AB486" s="183" t="n">
        <f aca="false">IF(AND($F486="原始數據",$S486&lt;&gt;"Active"),1,0)</f>
        <v>0</v>
      </c>
      <c r="AC486" s="183" t="n">
        <f aca="false">IF(AND(ISNUMBER($K486),ISNUMBER($L486),ISNUMBER($Q486)),IF(OR($Q486&lt;MIN($K486,$L486),$Q486&gt;MAX($K486,$L486)),1,0),0)</f>
        <v>0</v>
      </c>
      <c r="AD486" s="183" t="n">
        <f aca="false">IF(AND(ISNUMBER($T486),$P486="高"),IF($T486=3,1,0),0)</f>
        <v>0</v>
      </c>
      <c r="AE486" s="183" t="n">
        <f aca="false">IF($S486="不存在",1,0)</f>
        <v>0</v>
      </c>
      <c r="AF486" s="34" t="str">
        <f aca="false">IF(OR($H486="—",$H486=""),"—",MATCH($H486,IDX_SrcID,0))</f>
        <v>—</v>
      </c>
    </row>
    <row r="487" customFormat="false" ht="29.25" hidden="false" customHeight="true" outlineLevel="0" collapsed="false">
      <c r="A487" s="35" t="s">
        <v>3897</v>
      </c>
      <c r="B487" s="209" t="s">
        <v>3733</v>
      </c>
      <c r="C487" s="35" t="s">
        <v>3879</v>
      </c>
      <c r="D487" s="35" t="s">
        <v>3898</v>
      </c>
      <c r="E487" s="18" t="s">
        <v>1446</v>
      </c>
      <c r="F487" s="35" t="s">
        <v>72</v>
      </c>
      <c r="G487" s="209" t="s">
        <v>3420</v>
      </c>
      <c r="H487" s="35" t="s">
        <v>571</v>
      </c>
      <c r="I487" s="6" t="s">
        <v>571</v>
      </c>
      <c r="J487" s="35" t="s">
        <v>571</v>
      </c>
      <c r="K487" s="209"/>
      <c r="L487" s="209"/>
      <c r="M487" s="35" t="s">
        <v>3899</v>
      </c>
      <c r="N487" s="18" t="s">
        <v>3900</v>
      </c>
      <c r="O487" s="6" t="s">
        <v>571</v>
      </c>
      <c r="P487" s="209" t="s">
        <v>2682</v>
      </c>
      <c r="Q487" s="182" t="s">
        <v>571</v>
      </c>
      <c r="R487" s="35" t="s">
        <v>571</v>
      </c>
      <c r="S487" s="34" t="str">
        <f aca="false">IF(ISNUMBER($AF487),INDEX(IDX_SrcStat,$AF487),"—")</f>
        <v>—</v>
      </c>
      <c r="T487" s="34" t="str">
        <f aca="false">IF(ISNUMBER($AF487),INDEX(IDX_SrcGrade,$AF487),"—")</f>
        <v>—</v>
      </c>
      <c r="U487" s="35" t="s">
        <v>571</v>
      </c>
      <c r="V487" s="183" t="n">
        <f aca="false">IF(AND($F487="原始數據",$U487&lt;&gt;"連結 SRC"),1,0)</f>
        <v>0</v>
      </c>
      <c r="W487" s="183" t="n">
        <f aca="false">IF(AND($F487="Analogy",OR($H487="—",$H487="")),1,0)</f>
        <v>0</v>
      </c>
      <c r="X487" s="183" t="n">
        <f aca="false">IF(AND(OR($F487="Analogy",$F487="Assumed"),$G487&lt;&gt;"低",$G487&lt;&gt;"高",NOT(ISNUMBER($K487)),NOT(ISNUMBER($L487)),OR($M487="—",$M487="")),1,0)</f>
        <v>0</v>
      </c>
      <c r="Y487" s="183" t="n">
        <f aca="false">IF(AND(OR($F487="Analogy",$F487="Assumed",$F487="Derived（待改公式）",$F487="Derived（公式）"),OR($N487="—",$N487="",$N487=0)),1,0)</f>
        <v>0</v>
      </c>
      <c r="Z487" s="183" t="n">
        <f aca="false">IF(AND($F487="Decision",OR($J487="—",$J487="")),1,0)</f>
        <v>0</v>
      </c>
      <c r="AA487" s="180" t="n">
        <f aca="false">IF(OR($J487="—",$J487=""),0,IF(COUNTIF(Decisions!$A$5:$A$300,$J487)=0,1,0))</f>
        <v>0</v>
      </c>
      <c r="AB487" s="183" t="n">
        <f aca="false">IF(AND($F487="原始數據",$S487&lt;&gt;"Active"),1,0)</f>
        <v>0</v>
      </c>
      <c r="AC487" s="183" t="n">
        <f aca="false">IF(AND(ISNUMBER($K487),ISNUMBER($L487),ISNUMBER($Q487)),IF(OR($Q487&lt;MIN($K487,$L487),$Q487&gt;MAX($K487,$L487)),1,0),0)</f>
        <v>0</v>
      </c>
      <c r="AD487" s="183" t="n">
        <f aca="false">IF(AND(ISNUMBER($T487),$P487="高"),IF($T487=3,1,0),0)</f>
        <v>0</v>
      </c>
      <c r="AE487" s="183" t="n">
        <f aca="false">IF($S487="不存在",1,0)</f>
        <v>0</v>
      </c>
      <c r="AF487" s="34" t="str">
        <f aca="false">IF(OR($H487="—",$H487=""),"—",MATCH($H487,IDX_SrcID,0))</f>
        <v>—</v>
      </c>
    </row>
    <row r="488" customFormat="false" ht="29.25" hidden="false" customHeight="true" outlineLevel="0" collapsed="false">
      <c r="A488" s="35" t="s">
        <v>3901</v>
      </c>
      <c r="B488" s="209" t="s">
        <v>3733</v>
      </c>
      <c r="C488" s="35" t="s">
        <v>3879</v>
      </c>
      <c r="D488" s="35" t="s">
        <v>3902</v>
      </c>
      <c r="E488" s="18" t="s">
        <v>3903</v>
      </c>
      <c r="F488" s="35" t="s">
        <v>72</v>
      </c>
      <c r="G488" s="209" t="s">
        <v>3420</v>
      </c>
      <c r="H488" s="35" t="s">
        <v>571</v>
      </c>
      <c r="I488" s="6" t="s">
        <v>571</v>
      </c>
      <c r="J488" s="35" t="s">
        <v>571</v>
      </c>
      <c r="K488" s="209"/>
      <c r="L488" s="209"/>
      <c r="M488" s="35" t="s">
        <v>3904</v>
      </c>
      <c r="N488" s="18" t="s">
        <v>3905</v>
      </c>
      <c r="O488" s="6" t="s">
        <v>571</v>
      </c>
      <c r="P488" s="209" t="s">
        <v>2682</v>
      </c>
      <c r="Q488" s="182" t="s">
        <v>571</v>
      </c>
      <c r="R488" s="35" t="s">
        <v>571</v>
      </c>
      <c r="S488" s="34" t="str">
        <f aca="false">IF(ISNUMBER($AF488),INDEX(IDX_SrcStat,$AF488),"—")</f>
        <v>—</v>
      </c>
      <c r="T488" s="34" t="str">
        <f aca="false">IF(ISNUMBER($AF488),INDEX(IDX_SrcGrade,$AF488),"—")</f>
        <v>—</v>
      </c>
      <c r="U488" s="35" t="s">
        <v>571</v>
      </c>
      <c r="V488" s="183" t="n">
        <f aca="false">IF(AND($F488="原始數據",$U488&lt;&gt;"連結 SRC"),1,0)</f>
        <v>0</v>
      </c>
      <c r="W488" s="183" t="n">
        <f aca="false">IF(AND($F488="Analogy",OR($H488="—",$H488="")),1,0)</f>
        <v>0</v>
      </c>
      <c r="X488" s="183" t="n">
        <f aca="false">IF(AND(OR($F488="Analogy",$F488="Assumed"),$G488&lt;&gt;"低",$G488&lt;&gt;"高",NOT(ISNUMBER($K488)),NOT(ISNUMBER($L488)),OR($M488="—",$M488="")),1,0)</f>
        <v>0</v>
      </c>
      <c r="Y488" s="183" t="n">
        <f aca="false">IF(AND(OR($F488="Analogy",$F488="Assumed",$F488="Derived（待改公式）",$F488="Derived（公式）"),OR($N488="—",$N488="",$N488=0)),1,0)</f>
        <v>0</v>
      </c>
      <c r="Z488" s="183" t="n">
        <f aca="false">IF(AND($F488="Decision",OR($J488="—",$J488="")),1,0)</f>
        <v>0</v>
      </c>
      <c r="AA488" s="180" t="n">
        <f aca="false">IF(OR($J488="—",$J488=""),0,IF(COUNTIF(Decisions!$A$5:$A$300,$J488)=0,1,0))</f>
        <v>0</v>
      </c>
      <c r="AB488" s="183" t="n">
        <f aca="false">IF(AND($F488="原始數據",$S488&lt;&gt;"Active"),1,0)</f>
        <v>0</v>
      </c>
      <c r="AC488" s="183" t="n">
        <f aca="false">IF(AND(ISNUMBER($K488),ISNUMBER($L488),ISNUMBER($Q488)),IF(OR($Q488&lt;MIN($K488,$L488),$Q488&gt;MAX($K488,$L488)),1,0),0)</f>
        <v>0</v>
      </c>
      <c r="AD488" s="183" t="n">
        <f aca="false">IF(AND(ISNUMBER($T488),$P488="高"),IF($T488=3,1,0),0)</f>
        <v>0</v>
      </c>
      <c r="AE488" s="183" t="n">
        <f aca="false">IF($S488="不存在",1,0)</f>
        <v>0</v>
      </c>
      <c r="AF488" s="34" t="str">
        <f aca="false">IF(OR($H488="—",$H488=""),"—",MATCH($H488,IDX_SrcID,0))</f>
        <v>—</v>
      </c>
    </row>
    <row r="489" customFormat="false" ht="29.25" hidden="false" customHeight="true" outlineLevel="0" collapsed="false">
      <c r="A489" s="35" t="s">
        <v>3906</v>
      </c>
      <c r="B489" s="209" t="s">
        <v>3733</v>
      </c>
      <c r="C489" s="35" t="s">
        <v>3879</v>
      </c>
      <c r="D489" s="35" t="s">
        <v>3907</v>
      </c>
      <c r="E489" s="18" t="s">
        <v>1450</v>
      </c>
      <c r="F489" s="35" t="s">
        <v>72</v>
      </c>
      <c r="G489" s="209" t="s">
        <v>3420</v>
      </c>
      <c r="H489" s="35" t="s">
        <v>571</v>
      </c>
      <c r="I489" s="6" t="s">
        <v>571</v>
      </c>
      <c r="J489" s="35" t="s">
        <v>571</v>
      </c>
      <c r="K489" s="209"/>
      <c r="L489" s="209"/>
      <c r="M489" s="35" t="s">
        <v>3908</v>
      </c>
      <c r="N489" s="18" t="s">
        <v>3909</v>
      </c>
      <c r="O489" s="6" t="s">
        <v>571</v>
      </c>
      <c r="P489" s="209" t="s">
        <v>2682</v>
      </c>
      <c r="Q489" s="182" t="s">
        <v>571</v>
      </c>
      <c r="R489" s="35" t="s">
        <v>571</v>
      </c>
      <c r="S489" s="34" t="str">
        <f aca="false">IF(ISNUMBER($AF489),INDEX(IDX_SrcStat,$AF489),"—")</f>
        <v>—</v>
      </c>
      <c r="T489" s="34" t="str">
        <f aca="false">IF(ISNUMBER($AF489),INDEX(IDX_SrcGrade,$AF489),"—")</f>
        <v>—</v>
      </c>
      <c r="U489" s="35" t="s">
        <v>571</v>
      </c>
      <c r="V489" s="183" t="n">
        <f aca="false">IF(AND($F489="原始數據",$U489&lt;&gt;"連結 SRC"),1,0)</f>
        <v>0</v>
      </c>
      <c r="W489" s="183" t="n">
        <f aca="false">IF(AND($F489="Analogy",OR($H489="—",$H489="")),1,0)</f>
        <v>0</v>
      </c>
      <c r="X489" s="183" t="n">
        <f aca="false">IF(AND(OR($F489="Analogy",$F489="Assumed"),$G489&lt;&gt;"低",$G489&lt;&gt;"高",NOT(ISNUMBER($K489)),NOT(ISNUMBER($L489)),OR($M489="—",$M489="")),1,0)</f>
        <v>0</v>
      </c>
      <c r="Y489" s="183" t="n">
        <f aca="false">IF(AND(OR($F489="Analogy",$F489="Assumed",$F489="Derived（待改公式）",$F489="Derived（公式）"),OR($N489="—",$N489="",$N489=0)),1,0)</f>
        <v>0</v>
      </c>
      <c r="Z489" s="183" t="n">
        <f aca="false">IF(AND($F489="Decision",OR($J489="—",$J489="")),1,0)</f>
        <v>0</v>
      </c>
      <c r="AA489" s="180" t="n">
        <f aca="false">IF(OR($J489="—",$J489=""),0,IF(COUNTIF(Decisions!$A$5:$A$300,$J489)=0,1,0))</f>
        <v>0</v>
      </c>
      <c r="AB489" s="183" t="n">
        <f aca="false">IF(AND($F489="原始數據",$S489&lt;&gt;"Active"),1,0)</f>
        <v>0</v>
      </c>
      <c r="AC489" s="183" t="n">
        <f aca="false">IF(AND(ISNUMBER($K489),ISNUMBER($L489),ISNUMBER($Q489)),IF(OR($Q489&lt;MIN($K489,$L489),$Q489&gt;MAX($K489,$L489)),1,0),0)</f>
        <v>0</v>
      </c>
      <c r="AD489" s="183" t="n">
        <f aca="false">IF(AND(ISNUMBER($T489),$P489="高"),IF($T489=3,1,0),0)</f>
        <v>0</v>
      </c>
      <c r="AE489" s="183" t="n">
        <f aca="false">IF($S489="不存在",1,0)</f>
        <v>0</v>
      </c>
      <c r="AF489" s="34" t="str">
        <f aca="false">IF(OR($H489="—",$H489=""),"—",MATCH($H489,IDX_SrcID,0))</f>
        <v>—</v>
      </c>
    </row>
    <row r="490" customFormat="false" ht="29.25" hidden="false" customHeight="true" outlineLevel="0" collapsed="false">
      <c r="A490" s="35" t="s">
        <v>3910</v>
      </c>
      <c r="B490" s="209" t="s">
        <v>3733</v>
      </c>
      <c r="C490" s="35" t="s">
        <v>3879</v>
      </c>
      <c r="D490" s="35" t="s">
        <v>3911</v>
      </c>
      <c r="E490" s="18" t="s">
        <v>1453</v>
      </c>
      <c r="F490" s="35" t="s">
        <v>72</v>
      </c>
      <c r="G490" s="209" t="s">
        <v>3420</v>
      </c>
      <c r="H490" s="35" t="s">
        <v>571</v>
      </c>
      <c r="I490" s="6" t="s">
        <v>571</v>
      </c>
      <c r="J490" s="35" t="s">
        <v>571</v>
      </c>
      <c r="K490" s="209"/>
      <c r="L490" s="209"/>
      <c r="M490" s="35" t="s">
        <v>3912</v>
      </c>
      <c r="N490" s="18" t="s">
        <v>3913</v>
      </c>
      <c r="O490" s="6" t="s">
        <v>571</v>
      </c>
      <c r="P490" s="209" t="s">
        <v>2682</v>
      </c>
      <c r="Q490" s="182" t="s">
        <v>571</v>
      </c>
      <c r="R490" s="35" t="s">
        <v>571</v>
      </c>
      <c r="S490" s="34" t="str">
        <f aca="false">IF(ISNUMBER($AF490),INDEX(IDX_SrcStat,$AF490),"—")</f>
        <v>—</v>
      </c>
      <c r="T490" s="34" t="str">
        <f aca="false">IF(ISNUMBER($AF490),INDEX(IDX_SrcGrade,$AF490),"—")</f>
        <v>—</v>
      </c>
      <c r="U490" s="35" t="s">
        <v>571</v>
      </c>
      <c r="V490" s="183" t="n">
        <f aca="false">IF(AND($F490="原始數據",$U490&lt;&gt;"連結 SRC"),1,0)</f>
        <v>0</v>
      </c>
      <c r="W490" s="183" t="n">
        <f aca="false">IF(AND($F490="Analogy",OR($H490="—",$H490="")),1,0)</f>
        <v>0</v>
      </c>
      <c r="X490" s="183" t="n">
        <f aca="false">IF(AND(OR($F490="Analogy",$F490="Assumed"),$G490&lt;&gt;"低",$G490&lt;&gt;"高",NOT(ISNUMBER($K490)),NOT(ISNUMBER($L490)),OR($M490="—",$M490="")),1,0)</f>
        <v>0</v>
      </c>
      <c r="Y490" s="183" t="n">
        <f aca="false">IF(AND(OR($F490="Analogy",$F490="Assumed",$F490="Derived（待改公式）",$F490="Derived（公式）"),OR($N490="—",$N490="",$N490=0)),1,0)</f>
        <v>0</v>
      </c>
      <c r="Z490" s="183" t="n">
        <f aca="false">IF(AND($F490="Decision",OR($J490="—",$J490="")),1,0)</f>
        <v>0</v>
      </c>
      <c r="AA490" s="180" t="n">
        <f aca="false">IF(OR($J490="—",$J490=""),0,IF(COUNTIF(Decisions!$A$5:$A$300,$J490)=0,1,0))</f>
        <v>0</v>
      </c>
      <c r="AB490" s="183" t="n">
        <f aca="false">IF(AND($F490="原始數據",$S490&lt;&gt;"Active"),1,0)</f>
        <v>0</v>
      </c>
      <c r="AC490" s="183" t="n">
        <f aca="false">IF(AND(ISNUMBER($K490),ISNUMBER($L490),ISNUMBER($Q490)),IF(OR($Q490&lt;MIN($K490,$L490),$Q490&gt;MAX($K490,$L490)),1,0),0)</f>
        <v>0</v>
      </c>
      <c r="AD490" s="183" t="n">
        <f aca="false">IF(AND(ISNUMBER($T490),$P490="高"),IF($T490=3,1,0),0)</f>
        <v>0</v>
      </c>
      <c r="AE490" s="183" t="n">
        <f aca="false">IF($S490="不存在",1,0)</f>
        <v>0</v>
      </c>
      <c r="AF490" s="34" t="str">
        <f aca="false">IF(OR($H490="—",$H490=""),"—",MATCH($H490,IDX_SrcID,0))</f>
        <v>—</v>
      </c>
    </row>
    <row r="491" customFormat="false" ht="43.5" hidden="false" customHeight="true" outlineLevel="0" collapsed="false">
      <c r="A491" s="35" t="s">
        <v>3914</v>
      </c>
      <c r="B491" s="209" t="s">
        <v>3733</v>
      </c>
      <c r="C491" s="35" t="s">
        <v>3879</v>
      </c>
      <c r="D491" s="35" t="s">
        <v>3915</v>
      </c>
      <c r="E491" s="18" t="s">
        <v>1457</v>
      </c>
      <c r="F491" s="35" t="s">
        <v>72</v>
      </c>
      <c r="G491" s="209" t="s">
        <v>3420</v>
      </c>
      <c r="H491" s="35" t="s">
        <v>571</v>
      </c>
      <c r="I491" s="6" t="s">
        <v>571</v>
      </c>
      <c r="J491" s="35" t="s">
        <v>571</v>
      </c>
      <c r="K491" s="209"/>
      <c r="L491" s="209"/>
      <c r="M491" s="35" t="s">
        <v>3916</v>
      </c>
      <c r="N491" s="18" t="s">
        <v>3917</v>
      </c>
      <c r="O491" s="6" t="s">
        <v>571</v>
      </c>
      <c r="P491" s="209" t="s">
        <v>2682</v>
      </c>
      <c r="Q491" s="182" t="s">
        <v>571</v>
      </c>
      <c r="R491" s="35" t="s">
        <v>571</v>
      </c>
      <c r="S491" s="34" t="str">
        <f aca="false">IF(ISNUMBER($AF491),INDEX(IDX_SrcStat,$AF491),"—")</f>
        <v>—</v>
      </c>
      <c r="T491" s="34" t="str">
        <f aca="false">IF(ISNUMBER($AF491),INDEX(IDX_SrcGrade,$AF491),"—")</f>
        <v>—</v>
      </c>
      <c r="U491" s="35" t="s">
        <v>571</v>
      </c>
      <c r="V491" s="183" t="n">
        <f aca="false">IF(AND($F491="原始數據",$U491&lt;&gt;"連結 SRC"),1,0)</f>
        <v>0</v>
      </c>
      <c r="W491" s="183" t="n">
        <f aca="false">IF(AND($F491="Analogy",OR($H491="—",$H491="")),1,0)</f>
        <v>0</v>
      </c>
      <c r="X491" s="183" t="n">
        <f aca="false">IF(AND(OR($F491="Analogy",$F491="Assumed"),$G491&lt;&gt;"低",$G491&lt;&gt;"高",NOT(ISNUMBER($K491)),NOT(ISNUMBER($L491)),OR($M491="—",$M491="")),1,0)</f>
        <v>0</v>
      </c>
      <c r="Y491" s="183" t="n">
        <f aca="false">IF(AND(OR($F491="Analogy",$F491="Assumed",$F491="Derived（待改公式）",$F491="Derived（公式）"),OR($N491="—",$N491="",$N491=0)),1,0)</f>
        <v>0</v>
      </c>
      <c r="Z491" s="183" t="n">
        <f aca="false">IF(AND($F491="Decision",OR($J491="—",$J491="")),1,0)</f>
        <v>0</v>
      </c>
      <c r="AA491" s="180" t="n">
        <f aca="false">IF(OR($J491="—",$J491=""),0,IF(COUNTIF(Decisions!$A$5:$A$300,$J491)=0,1,0))</f>
        <v>0</v>
      </c>
      <c r="AB491" s="183" t="n">
        <f aca="false">IF(AND($F491="原始數據",$S491&lt;&gt;"Active"),1,0)</f>
        <v>0</v>
      </c>
      <c r="AC491" s="183" t="n">
        <f aca="false">IF(AND(ISNUMBER($K491),ISNUMBER($L491),ISNUMBER($Q491)),IF(OR($Q491&lt;MIN($K491,$L491),$Q491&gt;MAX($K491,$L491)),1,0),0)</f>
        <v>0</v>
      </c>
      <c r="AD491" s="183" t="n">
        <f aca="false">IF(AND(ISNUMBER($T491),$P491="高"),IF($T491=3,1,0),0)</f>
        <v>0</v>
      </c>
      <c r="AE491" s="183" t="n">
        <f aca="false">IF($S491="不存在",1,0)</f>
        <v>0</v>
      </c>
      <c r="AF491" s="34" t="str">
        <f aca="false">IF(OR($H491="—",$H491=""),"—",MATCH($H491,IDX_SrcID,0))</f>
        <v>—</v>
      </c>
    </row>
    <row r="492" customFormat="false" ht="43.5" hidden="false" customHeight="true" outlineLevel="0" collapsed="false">
      <c r="A492" s="35" t="s">
        <v>3918</v>
      </c>
      <c r="B492" s="209" t="s">
        <v>3733</v>
      </c>
      <c r="C492" s="35" t="s">
        <v>3879</v>
      </c>
      <c r="D492" s="35" t="s">
        <v>3919</v>
      </c>
      <c r="E492" s="18" t="s">
        <v>1455</v>
      </c>
      <c r="F492" s="35" t="s">
        <v>76</v>
      </c>
      <c r="G492" s="209" t="s">
        <v>3420</v>
      </c>
      <c r="H492" s="35" t="s">
        <v>3920</v>
      </c>
      <c r="I492" s="18" t="s">
        <v>3921</v>
      </c>
      <c r="J492" s="35" t="s">
        <v>571</v>
      </c>
      <c r="K492" s="209"/>
      <c r="L492" s="209"/>
      <c r="M492" s="35" t="s">
        <v>3922</v>
      </c>
      <c r="N492" s="18" t="s">
        <v>3923</v>
      </c>
      <c r="O492" s="6" t="s">
        <v>571</v>
      </c>
      <c r="P492" s="209" t="s">
        <v>2682</v>
      </c>
      <c r="Q492" s="182" t="s">
        <v>571</v>
      </c>
      <c r="R492" s="182" t="n">
        <f aca="false">SRC_HAR_003</f>
        <v>0.627</v>
      </c>
      <c r="S492" s="34" t="str">
        <f aca="false">IF(ISNUMBER($AF492),INDEX(IDX_SrcStat,$AF492),"—")</f>
        <v>Active</v>
      </c>
      <c r="T492" s="34" t="n">
        <f aca="false">IF(ISNUMBER($AF492),INDEX(IDX_SrcGrade,$AF492),"—")</f>
        <v>2</v>
      </c>
      <c r="U492" s="35" t="s">
        <v>571</v>
      </c>
      <c r="V492" s="183" t="n">
        <f aca="false">IF(AND($F492="原始數據",$U492&lt;&gt;"連結 SRC"),1,0)</f>
        <v>0</v>
      </c>
      <c r="W492" s="183" t="n">
        <f aca="false">IF(AND($F492="Analogy",OR($H492="—",$H492="")),1,0)</f>
        <v>0</v>
      </c>
      <c r="X492" s="183" t="n">
        <f aca="false">IF(AND(OR($F492="Analogy",$F492="Assumed"),$G492&lt;&gt;"低",$G492&lt;&gt;"高",NOT(ISNUMBER($K492)),NOT(ISNUMBER($L492)),OR($M492="—",$M492="")),1,0)</f>
        <v>0</v>
      </c>
      <c r="Y492" s="183" t="n">
        <f aca="false">IF(AND(OR($F492="Analogy",$F492="Assumed",$F492="Derived（待改公式）",$F492="Derived（公式）"),OR($N492="—",$N492="",$N492=0)),1,0)</f>
        <v>0</v>
      </c>
      <c r="Z492" s="183" t="n">
        <f aca="false">IF(AND($F492="Decision",OR($J492="—",$J492="")),1,0)</f>
        <v>0</v>
      </c>
      <c r="AA492" s="180" t="n">
        <f aca="false">IF(OR($J492="—",$J492=""),0,IF(COUNTIF(Decisions!$A$5:$A$300,$J492)=0,1,0))</f>
        <v>0</v>
      </c>
      <c r="AB492" s="183" t="n">
        <f aca="false">IF(AND($F492="原始數據",$S492&lt;&gt;"Active"),1,0)</f>
        <v>0</v>
      </c>
      <c r="AC492" s="183" t="n">
        <f aca="false">IF(AND(ISNUMBER($K492),ISNUMBER($L492),ISNUMBER($Q492)),IF(OR($Q492&lt;MIN($K492,$L492),$Q492&gt;MAX($K492,$L492)),1,0),0)</f>
        <v>0</v>
      </c>
      <c r="AD492" s="183" t="n">
        <f aca="false">IF(AND(ISNUMBER($T492),$P492="高"),IF($T492=3,1,0),0)</f>
        <v>0</v>
      </c>
      <c r="AE492" s="183" t="n">
        <f aca="false">IF($S492="不存在",1,0)</f>
        <v>0</v>
      </c>
      <c r="AF492" s="34" t="n">
        <f aca="false">IF(OR($H492="—",$H492=""),"—",MATCH($H492,IDX_SrcID,0))</f>
        <v>550</v>
      </c>
    </row>
    <row r="493" customFormat="false" ht="43.5" hidden="false" customHeight="true" outlineLevel="0" collapsed="false">
      <c r="A493" s="35" t="s">
        <v>3924</v>
      </c>
      <c r="B493" s="209" t="s">
        <v>3733</v>
      </c>
      <c r="C493" s="35" t="s">
        <v>3879</v>
      </c>
      <c r="D493" s="35" t="s">
        <v>3925</v>
      </c>
      <c r="E493" s="18" t="s">
        <v>3926</v>
      </c>
      <c r="F493" s="35" t="s">
        <v>72</v>
      </c>
      <c r="G493" s="209" t="s">
        <v>3420</v>
      </c>
      <c r="H493" s="35" t="s">
        <v>571</v>
      </c>
      <c r="I493" s="6" t="s">
        <v>571</v>
      </c>
      <c r="J493" s="35" t="s">
        <v>571</v>
      </c>
      <c r="K493" s="209"/>
      <c r="L493" s="209"/>
      <c r="M493" s="209" t="s">
        <v>2624</v>
      </c>
      <c r="N493" s="18" t="s">
        <v>3927</v>
      </c>
      <c r="O493" s="6" t="s">
        <v>3928</v>
      </c>
      <c r="P493" s="209" t="s">
        <v>2682</v>
      </c>
      <c r="Q493" s="182" t="s">
        <v>571</v>
      </c>
      <c r="R493" s="35" t="s">
        <v>571</v>
      </c>
      <c r="S493" s="34" t="str">
        <f aca="false">IF(ISNUMBER($AF493),INDEX(IDX_SrcStat,$AF493),"—")</f>
        <v>—</v>
      </c>
      <c r="T493" s="34" t="str">
        <f aca="false">IF(ISNUMBER($AF493),INDEX(IDX_SrcGrade,$AF493),"—")</f>
        <v>—</v>
      </c>
      <c r="U493" s="35" t="s">
        <v>571</v>
      </c>
      <c r="V493" s="183" t="n">
        <f aca="false">IF(AND($F493="原始數據",$U493&lt;&gt;"連結 SRC"),1,0)</f>
        <v>0</v>
      </c>
      <c r="W493" s="183" t="n">
        <f aca="false">IF(AND($F493="Analogy",OR($H493="—",$H493="")),1,0)</f>
        <v>0</v>
      </c>
      <c r="X493" s="183" t="n">
        <f aca="false">IF(AND(OR($F493="Analogy",$F493="Assumed"),$G493&lt;&gt;"低",$G493&lt;&gt;"高",NOT(ISNUMBER($K493)),NOT(ISNUMBER($L493)),OR($M493="—",$M493="")),1,0)</f>
        <v>0</v>
      </c>
      <c r="Y493" s="183" t="n">
        <f aca="false">IF(AND(OR($F493="Analogy",$F493="Assumed",$F493="Derived（待改公式）",$F493="Derived（公式）"),OR($N493="—",$N493="",$N493=0)),1,0)</f>
        <v>0</v>
      </c>
      <c r="Z493" s="183" t="n">
        <f aca="false">IF(AND($F493="Decision",OR($J493="—",$J493="")),1,0)</f>
        <v>0</v>
      </c>
      <c r="AA493" s="180" t="n">
        <f aca="false">IF(OR($J493="—",$J493=""),0,IF(COUNTIF(Decisions!$A$5:$A$300,$J493)=0,1,0))</f>
        <v>0</v>
      </c>
      <c r="AB493" s="183" t="n">
        <f aca="false">IF(AND($F493="原始數據",$S493&lt;&gt;"Active"),1,0)</f>
        <v>0</v>
      </c>
      <c r="AC493" s="183" t="n">
        <f aca="false">IF(AND(ISNUMBER($K493),ISNUMBER($L493),ISNUMBER($Q493)),IF(OR($Q493&lt;MIN($K493,$L493),$Q493&gt;MAX($K493,$L493)),1,0),0)</f>
        <v>0</v>
      </c>
      <c r="AD493" s="183" t="n">
        <f aca="false">IF(AND(ISNUMBER($T493),$P493="高"),IF($T493=3,1,0),0)</f>
        <v>0</v>
      </c>
      <c r="AE493" s="183" t="n">
        <f aca="false">IF($S493="不存在",1,0)</f>
        <v>0</v>
      </c>
      <c r="AF493" s="34" t="str">
        <f aca="false">IF(OR($H493="—",$H493=""),"—",MATCH($H493,IDX_SrcID,0))</f>
        <v>—</v>
      </c>
    </row>
    <row r="494" customFormat="false" ht="29.25" hidden="false" customHeight="true" outlineLevel="0" collapsed="false">
      <c r="A494" s="35" t="s">
        <v>3929</v>
      </c>
      <c r="B494" s="209" t="s">
        <v>3733</v>
      </c>
      <c r="C494" s="35" t="s">
        <v>3879</v>
      </c>
      <c r="D494" s="35" t="s">
        <v>3930</v>
      </c>
      <c r="E494" s="18" t="s">
        <v>1441</v>
      </c>
      <c r="F494" s="35" t="s">
        <v>72</v>
      </c>
      <c r="G494" s="209" t="s">
        <v>3420</v>
      </c>
      <c r="H494" s="35" t="s">
        <v>571</v>
      </c>
      <c r="I494" s="6" t="s">
        <v>571</v>
      </c>
      <c r="J494" s="35" t="s">
        <v>571</v>
      </c>
      <c r="K494" s="209"/>
      <c r="L494" s="209"/>
      <c r="M494" s="35" t="s">
        <v>3931</v>
      </c>
      <c r="N494" s="18" t="s">
        <v>3932</v>
      </c>
      <c r="O494" s="6" t="s">
        <v>571</v>
      </c>
      <c r="P494" s="209" t="s">
        <v>2682</v>
      </c>
      <c r="Q494" s="182" t="s">
        <v>571</v>
      </c>
      <c r="R494" s="35" t="s">
        <v>571</v>
      </c>
      <c r="S494" s="34" t="str">
        <f aca="false">IF(ISNUMBER($AF494),INDEX(IDX_SrcStat,$AF494),"—")</f>
        <v>—</v>
      </c>
      <c r="T494" s="34" t="str">
        <f aca="false">IF(ISNUMBER($AF494),INDEX(IDX_SrcGrade,$AF494),"—")</f>
        <v>—</v>
      </c>
      <c r="U494" s="35" t="s">
        <v>571</v>
      </c>
      <c r="V494" s="183" t="n">
        <f aca="false">IF(AND($F494="原始數據",$U494&lt;&gt;"連結 SRC"),1,0)</f>
        <v>0</v>
      </c>
      <c r="W494" s="183" t="n">
        <f aca="false">IF(AND($F494="Analogy",OR($H494="—",$H494="")),1,0)</f>
        <v>0</v>
      </c>
      <c r="X494" s="183" t="n">
        <f aca="false">IF(AND(OR($F494="Analogy",$F494="Assumed"),$G494&lt;&gt;"低",$G494&lt;&gt;"高",NOT(ISNUMBER($K494)),NOT(ISNUMBER($L494)),OR($M494="—",$M494="")),1,0)</f>
        <v>0</v>
      </c>
      <c r="Y494" s="183" t="n">
        <f aca="false">IF(AND(OR($F494="Analogy",$F494="Assumed",$F494="Derived（待改公式）",$F494="Derived（公式）"),OR($N494="—",$N494="",$N494=0)),1,0)</f>
        <v>0</v>
      </c>
      <c r="Z494" s="183" t="n">
        <f aca="false">IF(AND($F494="Decision",OR($J494="—",$J494="")),1,0)</f>
        <v>0</v>
      </c>
      <c r="AA494" s="180" t="n">
        <f aca="false">IF(OR($J494="—",$J494=""),0,IF(COUNTIF(Decisions!$A$5:$A$300,$J494)=0,1,0))</f>
        <v>0</v>
      </c>
      <c r="AB494" s="183" t="n">
        <f aca="false">IF(AND($F494="原始數據",$S494&lt;&gt;"Active"),1,0)</f>
        <v>0</v>
      </c>
      <c r="AC494" s="183" t="n">
        <f aca="false">IF(AND(ISNUMBER($K494),ISNUMBER($L494),ISNUMBER($Q494)),IF(OR($Q494&lt;MIN($K494,$L494),$Q494&gt;MAX($K494,$L494)),1,0),0)</f>
        <v>0</v>
      </c>
      <c r="AD494" s="183" t="n">
        <f aca="false">IF(AND(ISNUMBER($T494),$P494="高"),IF($T494=3,1,0),0)</f>
        <v>0</v>
      </c>
      <c r="AE494" s="183" t="n">
        <f aca="false">IF($S494="不存在",1,0)</f>
        <v>0</v>
      </c>
      <c r="AF494" s="34" t="str">
        <f aca="false">IF(OR($H494="—",$H494=""),"—",MATCH($H494,IDX_SrcID,0))</f>
        <v>—</v>
      </c>
    </row>
    <row r="495" customFormat="false" ht="15" hidden="false" customHeight="true" outlineLevel="0" collapsed="false">
      <c r="A495" s="35" t="s">
        <v>3933</v>
      </c>
      <c r="B495" s="209" t="s">
        <v>3733</v>
      </c>
      <c r="C495" s="35" t="s">
        <v>3879</v>
      </c>
      <c r="D495" s="35" t="s">
        <v>3934</v>
      </c>
      <c r="E495" s="18" t="s">
        <v>3893</v>
      </c>
      <c r="F495" s="35" t="s">
        <v>72</v>
      </c>
      <c r="G495" s="209" t="s">
        <v>3420</v>
      </c>
      <c r="H495" s="35" t="s">
        <v>571</v>
      </c>
      <c r="I495" s="6" t="s">
        <v>571</v>
      </c>
      <c r="J495" s="35" t="s">
        <v>571</v>
      </c>
      <c r="K495" s="209"/>
      <c r="L495" s="209"/>
      <c r="M495" s="35" t="s">
        <v>3894</v>
      </c>
      <c r="N495" s="18" t="s">
        <v>3935</v>
      </c>
      <c r="O495" s="6" t="s">
        <v>571</v>
      </c>
      <c r="P495" s="209" t="s">
        <v>2682</v>
      </c>
      <c r="Q495" s="182" t="s">
        <v>571</v>
      </c>
      <c r="R495" s="35" t="s">
        <v>571</v>
      </c>
      <c r="S495" s="34" t="str">
        <f aca="false">IF(ISNUMBER($AF495),INDEX(IDX_SrcStat,$AF495),"—")</f>
        <v>—</v>
      </c>
      <c r="T495" s="34" t="str">
        <f aca="false">IF(ISNUMBER($AF495),INDEX(IDX_SrcGrade,$AF495),"—")</f>
        <v>—</v>
      </c>
      <c r="U495" s="35" t="s">
        <v>571</v>
      </c>
      <c r="V495" s="183" t="n">
        <f aca="false">IF(AND($F495="原始數據",$U495&lt;&gt;"連結 SRC"),1,0)</f>
        <v>0</v>
      </c>
      <c r="W495" s="183" t="n">
        <f aca="false">IF(AND($F495="Analogy",OR($H495="—",$H495="")),1,0)</f>
        <v>0</v>
      </c>
      <c r="X495" s="183" t="n">
        <f aca="false">IF(AND(OR($F495="Analogy",$F495="Assumed"),$G495&lt;&gt;"低",$G495&lt;&gt;"高",NOT(ISNUMBER($K495)),NOT(ISNUMBER($L495)),OR($M495="—",$M495="")),1,0)</f>
        <v>0</v>
      </c>
      <c r="Y495" s="183" t="n">
        <f aca="false">IF(AND(OR($F495="Analogy",$F495="Assumed",$F495="Derived（待改公式）",$F495="Derived（公式）"),OR($N495="—",$N495="",$N495=0)),1,0)</f>
        <v>0</v>
      </c>
      <c r="Z495" s="183" t="n">
        <f aca="false">IF(AND($F495="Decision",OR($J495="—",$J495="")),1,0)</f>
        <v>0</v>
      </c>
      <c r="AA495" s="180" t="n">
        <f aca="false">IF(OR($J495="—",$J495=""),0,IF(COUNTIF(Decisions!$A$5:$A$300,$J495)=0,1,0))</f>
        <v>0</v>
      </c>
      <c r="AB495" s="183" t="n">
        <f aca="false">IF(AND($F495="原始數據",$S495&lt;&gt;"Active"),1,0)</f>
        <v>0</v>
      </c>
      <c r="AC495" s="183" t="n">
        <f aca="false">IF(AND(ISNUMBER($K495),ISNUMBER($L495),ISNUMBER($Q495)),IF(OR($Q495&lt;MIN($K495,$L495),$Q495&gt;MAX($K495,$L495)),1,0),0)</f>
        <v>0</v>
      </c>
      <c r="AD495" s="183" t="n">
        <f aca="false">IF(AND(ISNUMBER($T495),$P495="高"),IF($T495=3,1,0),0)</f>
        <v>0</v>
      </c>
      <c r="AE495" s="183" t="n">
        <f aca="false">IF($S495="不存在",1,0)</f>
        <v>0</v>
      </c>
      <c r="AF495" s="34" t="str">
        <f aca="false">IF(OR($H495="—",$H495=""),"—",MATCH($H495,IDX_SrcID,0))</f>
        <v>—</v>
      </c>
    </row>
    <row r="496" customFormat="false" ht="15" hidden="false" customHeight="true" outlineLevel="0" collapsed="false">
      <c r="A496" s="35" t="s">
        <v>3936</v>
      </c>
      <c r="B496" s="209" t="s">
        <v>3733</v>
      </c>
      <c r="C496" s="35" t="s">
        <v>3879</v>
      </c>
      <c r="D496" s="35" t="s">
        <v>3937</v>
      </c>
      <c r="E496" s="18" t="s">
        <v>1446</v>
      </c>
      <c r="F496" s="35" t="s">
        <v>72</v>
      </c>
      <c r="G496" s="209" t="s">
        <v>3420</v>
      </c>
      <c r="H496" s="35" t="s">
        <v>571</v>
      </c>
      <c r="I496" s="6" t="s">
        <v>571</v>
      </c>
      <c r="J496" s="35" t="s">
        <v>571</v>
      </c>
      <c r="K496" s="209"/>
      <c r="L496" s="209"/>
      <c r="M496" s="35" t="s">
        <v>3938</v>
      </c>
      <c r="N496" s="18" t="s">
        <v>3939</v>
      </c>
      <c r="O496" s="6" t="s">
        <v>571</v>
      </c>
      <c r="P496" s="209" t="s">
        <v>2682</v>
      </c>
      <c r="Q496" s="182" t="s">
        <v>571</v>
      </c>
      <c r="R496" s="35" t="s">
        <v>571</v>
      </c>
      <c r="S496" s="34" t="str">
        <f aca="false">IF(ISNUMBER($AF496),INDEX(IDX_SrcStat,$AF496),"—")</f>
        <v>—</v>
      </c>
      <c r="T496" s="34" t="str">
        <f aca="false">IF(ISNUMBER($AF496),INDEX(IDX_SrcGrade,$AF496),"—")</f>
        <v>—</v>
      </c>
      <c r="U496" s="35" t="s">
        <v>571</v>
      </c>
      <c r="V496" s="183" t="n">
        <f aca="false">IF(AND($F496="原始數據",$U496&lt;&gt;"連結 SRC"),1,0)</f>
        <v>0</v>
      </c>
      <c r="W496" s="183" t="n">
        <f aca="false">IF(AND($F496="Analogy",OR($H496="—",$H496="")),1,0)</f>
        <v>0</v>
      </c>
      <c r="X496" s="183" t="n">
        <f aca="false">IF(AND(OR($F496="Analogy",$F496="Assumed"),$G496&lt;&gt;"低",$G496&lt;&gt;"高",NOT(ISNUMBER($K496)),NOT(ISNUMBER($L496)),OR($M496="—",$M496="")),1,0)</f>
        <v>0</v>
      </c>
      <c r="Y496" s="183" t="n">
        <f aca="false">IF(AND(OR($F496="Analogy",$F496="Assumed",$F496="Derived（待改公式）",$F496="Derived（公式）"),OR($N496="—",$N496="",$N496=0)),1,0)</f>
        <v>0</v>
      </c>
      <c r="Z496" s="183" t="n">
        <f aca="false">IF(AND($F496="Decision",OR($J496="—",$J496="")),1,0)</f>
        <v>0</v>
      </c>
      <c r="AA496" s="180" t="n">
        <f aca="false">IF(OR($J496="—",$J496=""),0,IF(COUNTIF(Decisions!$A$5:$A$300,$J496)=0,1,0))</f>
        <v>0</v>
      </c>
      <c r="AB496" s="183" t="n">
        <f aca="false">IF(AND($F496="原始數據",$S496&lt;&gt;"Active"),1,0)</f>
        <v>0</v>
      </c>
      <c r="AC496" s="183" t="n">
        <f aca="false">IF(AND(ISNUMBER($K496),ISNUMBER($L496),ISNUMBER($Q496)),IF(OR($Q496&lt;MIN($K496,$L496),$Q496&gt;MAX($K496,$L496)),1,0),0)</f>
        <v>0</v>
      </c>
      <c r="AD496" s="183" t="n">
        <f aca="false">IF(AND(ISNUMBER($T496),$P496="高"),IF($T496=3,1,0),0)</f>
        <v>0</v>
      </c>
      <c r="AE496" s="183" t="n">
        <f aca="false">IF($S496="不存在",1,0)</f>
        <v>0</v>
      </c>
      <c r="AF496" s="34" t="str">
        <f aca="false">IF(OR($H496="—",$H496=""),"—",MATCH($H496,IDX_SrcID,0))</f>
        <v>—</v>
      </c>
    </row>
    <row r="497" customFormat="false" ht="15" hidden="false" customHeight="true" outlineLevel="0" collapsed="false">
      <c r="A497" s="35" t="s">
        <v>3940</v>
      </c>
      <c r="B497" s="209" t="s">
        <v>3733</v>
      </c>
      <c r="C497" s="35" t="s">
        <v>3879</v>
      </c>
      <c r="D497" s="35" t="s">
        <v>3941</v>
      </c>
      <c r="E497" s="18" t="s">
        <v>3903</v>
      </c>
      <c r="F497" s="35" t="s">
        <v>72</v>
      </c>
      <c r="G497" s="209" t="s">
        <v>3420</v>
      </c>
      <c r="H497" s="35" t="s">
        <v>571</v>
      </c>
      <c r="I497" s="6" t="s">
        <v>571</v>
      </c>
      <c r="J497" s="35" t="s">
        <v>571</v>
      </c>
      <c r="K497" s="209"/>
      <c r="L497" s="209"/>
      <c r="M497" s="35" t="s">
        <v>3942</v>
      </c>
      <c r="N497" s="18" t="s">
        <v>3943</v>
      </c>
      <c r="O497" s="6" t="s">
        <v>571</v>
      </c>
      <c r="P497" s="209" t="s">
        <v>2682</v>
      </c>
      <c r="Q497" s="182" t="s">
        <v>571</v>
      </c>
      <c r="R497" s="35" t="s">
        <v>571</v>
      </c>
      <c r="S497" s="34" t="str">
        <f aca="false">IF(ISNUMBER($AF497),INDEX(IDX_SrcStat,$AF497),"—")</f>
        <v>—</v>
      </c>
      <c r="T497" s="34" t="str">
        <f aca="false">IF(ISNUMBER($AF497),INDEX(IDX_SrcGrade,$AF497),"—")</f>
        <v>—</v>
      </c>
      <c r="U497" s="35" t="s">
        <v>571</v>
      </c>
      <c r="V497" s="183" t="n">
        <f aca="false">IF(AND($F497="原始數據",$U497&lt;&gt;"連結 SRC"),1,0)</f>
        <v>0</v>
      </c>
      <c r="W497" s="183" t="n">
        <f aca="false">IF(AND($F497="Analogy",OR($H497="—",$H497="")),1,0)</f>
        <v>0</v>
      </c>
      <c r="X497" s="183" t="n">
        <f aca="false">IF(AND(OR($F497="Analogy",$F497="Assumed"),$G497&lt;&gt;"低",$G497&lt;&gt;"高",NOT(ISNUMBER($K497)),NOT(ISNUMBER($L497)),OR($M497="—",$M497="")),1,0)</f>
        <v>0</v>
      </c>
      <c r="Y497" s="183" t="n">
        <f aca="false">IF(AND(OR($F497="Analogy",$F497="Assumed",$F497="Derived（待改公式）",$F497="Derived（公式）"),OR($N497="—",$N497="",$N497=0)),1,0)</f>
        <v>0</v>
      </c>
      <c r="Z497" s="183" t="n">
        <f aca="false">IF(AND($F497="Decision",OR($J497="—",$J497="")),1,0)</f>
        <v>0</v>
      </c>
      <c r="AA497" s="180" t="n">
        <f aca="false">IF(OR($J497="—",$J497=""),0,IF(COUNTIF(Decisions!$A$5:$A$300,$J497)=0,1,0))</f>
        <v>0</v>
      </c>
      <c r="AB497" s="183" t="n">
        <f aca="false">IF(AND($F497="原始數據",$S497&lt;&gt;"Active"),1,0)</f>
        <v>0</v>
      </c>
      <c r="AC497" s="183" t="n">
        <f aca="false">IF(AND(ISNUMBER($K497),ISNUMBER($L497),ISNUMBER($Q497)),IF(OR($Q497&lt;MIN($K497,$L497),$Q497&gt;MAX($K497,$L497)),1,0),0)</f>
        <v>0</v>
      </c>
      <c r="AD497" s="183" t="n">
        <f aca="false">IF(AND(ISNUMBER($T497),$P497="高"),IF($T497=3,1,0),0)</f>
        <v>0</v>
      </c>
      <c r="AE497" s="183" t="n">
        <f aca="false">IF($S497="不存在",1,0)</f>
        <v>0</v>
      </c>
      <c r="AF497" s="34" t="str">
        <f aca="false">IF(OR($H497="—",$H497=""),"—",MATCH($H497,IDX_SrcID,0))</f>
        <v>—</v>
      </c>
    </row>
    <row r="498" customFormat="false" ht="29.25" hidden="false" customHeight="true" outlineLevel="0" collapsed="false">
      <c r="A498" s="35" t="s">
        <v>3944</v>
      </c>
      <c r="B498" s="209" t="s">
        <v>3733</v>
      </c>
      <c r="C498" s="35" t="s">
        <v>3879</v>
      </c>
      <c r="D498" s="35" t="s">
        <v>3945</v>
      </c>
      <c r="E498" s="18" t="s">
        <v>1450</v>
      </c>
      <c r="F498" s="35" t="s">
        <v>72</v>
      </c>
      <c r="G498" s="209" t="s">
        <v>3420</v>
      </c>
      <c r="H498" s="35" t="s">
        <v>571</v>
      </c>
      <c r="I498" s="6" t="s">
        <v>571</v>
      </c>
      <c r="J498" s="35" t="s">
        <v>571</v>
      </c>
      <c r="K498" s="209"/>
      <c r="L498" s="209"/>
      <c r="M498" s="35" t="s">
        <v>3908</v>
      </c>
      <c r="N498" s="18" t="s">
        <v>3946</v>
      </c>
      <c r="O498" s="6" t="s">
        <v>571</v>
      </c>
      <c r="P498" s="209" t="s">
        <v>2682</v>
      </c>
      <c r="Q498" s="182" t="s">
        <v>571</v>
      </c>
      <c r="R498" s="35" t="s">
        <v>571</v>
      </c>
      <c r="S498" s="34" t="str">
        <f aca="false">IF(ISNUMBER($AF498),INDEX(IDX_SrcStat,$AF498),"—")</f>
        <v>—</v>
      </c>
      <c r="T498" s="34" t="str">
        <f aca="false">IF(ISNUMBER($AF498),INDEX(IDX_SrcGrade,$AF498),"—")</f>
        <v>—</v>
      </c>
      <c r="U498" s="35" t="s">
        <v>571</v>
      </c>
      <c r="V498" s="183" t="n">
        <f aca="false">IF(AND($F498="原始數據",$U498&lt;&gt;"連結 SRC"),1,0)</f>
        <v>0</v>
      </c>
      <c r="W498" s="183" t="n">
        <f aca="false">IF(AND($F498="Analogy",OR($H498="—",$H498="")),1,0)</f>
        <v>0</v>
      </c>
      <c r="X498" s="183" t="n">
        <f aca="false">IF(AND(OR($F498="Analogy",$F498="Assumed"),$G498&lt;&gt;"低",$G498&lt;&gt;"高",NOT(ISNUMBER($K498)),NOT(ISNUMBER($L498)),OR($M498="—",$M498="")),1,0)</f>
        <v>0</v>
      </c>
      <c r="Y498" s="183" t="n">
        <f aca="false">IF(AND(OR($F498="Analogy",$F498="Assumed",$F498="Derived（待改公式）",$F498="Derived（公式）"),OR($N498="—",$N498="",$N498=0)),1,0)</f>
        <v>0</v>
      </c>
      <c r="Z498" s="183" t="n">
        <f aca="false">IF(AND($F498="Decision",OR($J498="—",$J498="")),1,0)</f>
        <v>0</v>
      </c>
      <c r="AA498" s="180" t="n">
        <f aca="false">IF(OR($J498="—",$J498=""),0,IF(COUNTIF(Decisions!$A$5:$A$300,$J498)=0,1,0))</f>
        <v>0</v>
      </c>
      <c r="AB498" s="183" t="n">
        <f aca="false">IF(AND($F498="原始數據",$S498&lt;&gt;"Active"),1,0)</f>
        <v>0</v>
      </c>
      <c r="AC498" s="183" t="n">
        <f aca="false">IF(AND(ISNUMBER($K498),ISNUMBER($L498),ISNUMBER($Q498)),IF(OR($Q498&lt;MIN($K498,$L498),$Q498&gt;MAX($K498,$L498)),1,0),0)</f>
        <v>0</v>
      </c>
      <c r="AD498" s="183" t="n">
        <f aca="false">IF(AND(ISNUMBER($T498),$P498="高"),IF($T498=3,1,0),0)</f>
        <v>0</v>
      </c>
      <c r="AE498" s="183" t="n">
        <f aca="false">IF($S498="不存在",1,0)</f>
        <v>0</v>
      </c>
      <c r="AF498" s="34" t="str">
        <f aca="false">IF(OR($H498="—",$H498=""),"—",MATCH($H498,IDX_SrcID,0))</f>
        <v>—</v>
      </c>
    </row>
    <row r="499" customFormat="false" ht="15" hidden="false" customHeight="true" outlineLevel="0" collapsed="false">
      <c r="A499" s="35" t="s">
        <v>3947</v>
      </c>
      <c r="B499" s="209" t="s">
        <v>3733</v>
      </c>
      <c r="C499" s="35" t="s">
        <v>3879</v>
      </c>
      <c r="D499" s="35" t="s">
        <v>3948</v>
      </c>
      <c r="E499" s="18" t="s">
        <v>1455</v>
      </c>
      <c r="F499" s="35" t="s">
        <v>72</v>
      </c>
      <c r="G499" s="209" t="s">
        <v>3420</v>
      </c>
      <c r="H499" s="35" t="s">
        <v>571</v>
      </c>
      <c r="I499" s="6" t="s">
        <v>571</v>
      </c>
      <c r="J499" s="35" t="s">
        <v>571</v>
      </c>
      <c r="K499" s="209"/>
      <c r="L499" s="209"/>
      <c r="M499" s="35" t="s">
        <v>3949</v>
      </c>
      <c r="N499" s="18" t="s">
        <v>3950</v>
      </c>
      <c r="O499" s="6" t="s">
        <v>571</v>
      </c>
      <c r="P499" s="209" t="s">
        <v>2682</v>
      </c>
      <c r="Q499" s="182" t="s">
        <v>571</v>
      </c>
      <c r="R499" s="35" t="s">
        <v>571</v>
      </c>
      <c r="S499" s="34" t="str">
        <f aca="false">IF(ISNUMBER($AF499),INDEX(IDX_SrcStat,$AF499),"—")</f>
        <v>—</v>
      </c>
      <c r="T499" s="34" t="str">
        <f aca="false">IF(ISNUMBER($AF499),INDEX(IDX_SrcGrade,$AF499),"—")</f>
        <v>—</v>
      </c>
      <c r="U499" s="35" t="s">
        <v>571</v>
      </c>
      <c r="V499" s="183" t="n">
        <f aca="false">IF(AND($F499="原始數據",$U499&lt;&gt;"連結 SRC"),1,0)</f>
        <v>0</v>
      </c>
      <c r="W499" s="183" t="n">
        <f aca="false">IF(AND($F499="Analogy",OR($H499="—",$H499="")),1,0)</f>
        <v>0</v>
      </c>
      <c r="X499" s="183" t="n">
        <f aca="false">IF(AND(OR($F499="Analogy",$F499="Assumed"),$G499&lt;&gt;"低",$G499&lt;&gt;"高",NOT(ISNUMBER($K499)),NOT(ISNUMBER($L499)),OR($M499="—",$M499="")),1,0)</f>
        <v>0</v>
      </c>
      <c r="Y499" s="183" t="n">
        <f aca="false">IF(AND(OR($F499="Analogy",$F499="Assumed",$F499="Derived（待改公式）",$F499="Derived（公式）"),OR($N499="—",$N499="",$N499=0)),1,0)</f>
        <v>0</v>
      </c>
      <c r="Z499" s="183" t="n">
        <f aca="false">IF(AND($F499="Decision",OR($J499="—",$J499="")),1,0)</f>
        <v>0</v>
      </c>
      <c r="AA499" s="180" t="n">
        <f aca="false">IF(OR($J499="—",$J499=""),0,IF(COUNTIF(Decisions!$A$5:$A$300,$J499)=0,1,0))</f>
        <v>0</v>
      </c>
      <c r="AB499" s="183" t="n">
        <f aca="false">IF(AND($F499="原始數據",$S499&lt;&gt;"Active"),1,0)</f>
        <v>0</v>
      </c>
      <c r="AC499" s="183" t="n">
        <f aca="false">IF(AND(ISNUMBER($K499),ISNUMBER($L499),ISNUMBER($Q499)),IF(OR($Q499&lt;MIN($K499,$L499),$Q499&gt;MAX($K499,$L499)),1,0),0)</f>
        <v>0</v>
      </c>
      <c r="AD499" s="183" t="n">
        <f aca="false">IF(AND(ISNUMBER($T499),$P499="高"),IF($T499=3,1,0),0)</f>
        <v>0</v>
      </c>
      <c r="AE499" s="183" t="n">
        <f aca="false">IF($S499="不存在",1,0)</f>
        <v>0</v>
      </c>
      <c r="AF499" s="34" t="str">
        <f aca="false">IF(OR($H499="—",$H499=""),"—",MATCH($H499,IDX_SrcID,0))</f>
        <v>—</v>
      </c>
    </row>
    <row r="500" customFormat="false" ht="29.25" hidden="false" customHeight="true" outlineLevel="0" collapsed="false">
      <c r="A500" s="35" t="s">
        <v>3951</v>
      </c>
      <c r="B500" s="209" t="s">
        <v>3733</v>
      </c>
      <c r="C500" s="35" t="s">
        <v>3879</v>
      </c>
      <c r="D500" s="35" t="s">
        <v>3952</v>
      </c>
      <c r="E500" s="18" t="s">
        <v>1457</v>
      </c>
      <c r="F500" s="35" t="s">
        <v>72</v>
      </c>
      <c r="G500" s="209" t="s">
        <v>3420</v>
      </c>
      <c r="H500" s="35" t="s">
        <v>571</v>
      </c>
      <c r="I500" s="6" t="s">
        <v>571</v>
      </c>
      <c r="J500" s="35" t="s">
        <v>571</v>
      </c>
      <c r="K500" s="209"/>
      <c r="L500" s="209"/>
      <c r="M500" s="35" t="s">
        <v>3953</v>
      </c>
      <c r="N500" s="18" t="s">
        <v>3954</v>
      </c>
      <c r="O500" s="6" t="s">
        <v>571</v>
      </c>
      <c r="P500" s="209" t="s">
        <v>2682</v>
      </c>
      <c r="Q500" s="182" t="s">
        <v>571</v>
      </c>
      <c r="R500" s="35" t="s">
        <v>571</v>
      </c>
      <c r="S500" s="34" t="str">
        <f aca="false">IF(ISNUMBER($AF500),INDEX(IDX_SrcStat,$AF500),"—")</f>
        <v>—</v>
      </c>
      <c r="T500" s="34" t="str">
        <f aca="false">IF(ISNUMBER($AF500),INDEX(IDX_SrcGrade,$AF500),"—")</f>
        <v>—</v>
      </c>
      <c r="U500" s="35" t="s">
        <v>571</v>
      </c>
      <c r="V500" s="183" t="n">
        <f aca="false">IF(AND($F500="原始數據",$U500&lt;&gt;"連結 SRC"),1,0)</f>
        <v>0</v>
      </c>
      <c r="W500" s="183" t="n">
        <f aca="false">IF(AND($F500="Analogy",OR($H500="—",$H500="")),1,0)</f>
        <v>0</v>
      </c>
      <c r="X500" s="183" t="n">
        <f aca="false">IF(AND(OR($F500="Analogy",$F500="Assumed"),$G500&lt;&gt;"低",$G500&lt;&gt;"高",NOT(ISNUMBER($K500)),NOT(ISNUMBER($L500)),OR($M500="—",$M500="")),1,0)</f>
        <v>0</v>
      </c>
      <c r="Y500" s="183" t="n">
        <f aca="false">IF(AND(OR($F500="Analogy",$F500="Assumed",$F500="Derived（待改公式）",$F500="Derived（公式）"),OR($N500="—",$N500="",$N500=0)),1,0)</f>
        <v>0</v>
      </c>
      <c r="Z500" s="183" t="n">
        <f aca="false">IF(AND($F500="Decision",OR($J500="—",$J500="")),1,0)</f>
        <v>0</v>
      </c>
      <c r="AA500" s="180" t="n">
        <f aca="false">IF(OR($J500="—",$J500=""),0,IF(COUNTIF(Decisions!$A$5:$A$300,$J500)=0,1,0))</f>
        <v>0</v>
      </c>
      <c r="AB500" s="183" t="n">
        <f aca="false">IF(AND($F500="原始數據",$S500&lt;&gt;"Active"),1,0)</f>
        <v>0</v>
      </c>
      <c r="AC500" s="183" t="n">
        <f aca="false">IF(AND(ISNUMBER($K500),ISNUMBER($L500),ISNUMBER($Q500)),IF(OR($Q500&lt;MIN($K500,$L500),$Q500&gt;MAX($K500,$L500)),1,0),0)</f>
        <v>0</v>
      </c>
      <c r="AD500" s="183" t="n">
        <f aca="false">IF(AND(ISNUMBER($T500),$P500="高"),IF($T500=3,1,0),0)</f>
        <v>0</v>
      </c>
      <c r="AE500" s="183" t="n">
        <f aca="false">IF($S500="不存在",1,0)</f>
        <v>0</v>
      </c>
      <c r="AF500" s="34" t="str">
        <f aca="false">IF(OR($H500="—",$H500=""),"—",MATCH($H500,IDX_SrcID,0))</f>
        <v>—</v>
      </c>
    </row>
    <row r="501" customFormat="false" ht="29.25" hidden="false" customHeight="true" outlineLevel="0" collapsed="false">
      <c r="A501" s="35" t="s">
        <v>3955</v>
      </c>
      <c r="B501" s="209" t="s">
        <v>3733</v>
      </c>
      <c r="C501" s="35" t="s">
        <v>3879</v>
      </c>
      <c r="D501" s="35" t="s">
        <v>3956</v>
      </c>
      <c r="E501" s="18" t="s">
        <v>3926</v>
      </c>
      <c r="F501" s="35" t="s">
        <v>72</v>
      </c>
      <c r="G501" s="209" t="s">
        <v>3420</v>
      </c>
      <c r="H501" s="35" t="s">
        <v>571</v>
      </c>
      <c r="I501" s="6" t="s">
        <v>571</v>
      </c>
      <c r="J501" s="35" t="s">
        <v>571</v>
      </c>
      <c r="K501" s="209"/>
      <c r="L501" s="209"/>
      <c r="M501" s="209" t="s">
        <v>2624</v>
      </c>
      <c r="N501" s="18" t="s">
        <v>3957</v>
      </c>
      <c r="O501" s="6" t="s">
        <v>571</v>
      </c>
      <c r="P501" s="209" t="s">
        <v>2682</v>
      </c>
      <c r="Q501" s="182" t="s">
        <v>571</v>
      </c>
      <c r="R501" s="35" t="s">
        <v>571</v>
      </c>
      <c r="S501" s="34" t="str">
        <f aca="false">IF(ISNUMBER($AF501),INDEX(IDX_SrcStat,$AF501),"—")</f>
        <v>—</v>
      </c>
      <c r="T501" s="34" t="str">
        <f aca="false">IF(ISNUMBER($AF501),INDEX(IDX_SrcGrade,$AF501),"—")</f>
        <v>—</v>
      </c>
      <c r="U501" s="35" t="s">
        <v>571</v>
      </c>
      <c r="V501" s="183" t="n">
        <f aca="false">IF(AND($F501="原始數據",$U501&lt;&gt;"連結 SRC"),1,0)</f>
        <v>0</v>
      </c>
      <c r="W501" s="183" t="n">
        <f aca="false">IF(AND($F501="Analogy",OR($H501="—",$H501="")),1,0)</f>
        <v>0</v>
      </c>
      <c r="X501" s="183" t="n">
        <f aca="false">IF(AND(OR($F501="Analogy",$F501="Assumed"),$G501&lt;&gt;"低",$G501&lt;&gt;"高",NOT(ISNUMBER($K501)),NOT(ISNUMBER($L501)),OR($M501="—",$M501="")),1,0)</f>
        <v>0</v>
      </c>
      <c r="Y501" s="183" t="n">
        <f aca="false">IF(AND(OR($F501="Analogy",$F501="Assumed",$F501="Derived（待改公式）",$F501="Derived（公式）"),OR($N501="—",$N501="",$N501=0)),1,0)</f>
        <v>0</v>
      </c>
      <c r="Z501" s="183" t="n">
        <f aca="false">IF(AND($F501="Decision",OR($J501="—",$J501="")),1,0)</f>
        <v>0</v>
      </c>
      <c r="AA501" s="180" t="n">
        <f aca="false">IF(OR($J501="—",$J501=""),0,IF(COUNTIF(Decisions!$A$5:$A$300,$J501)=0,1,0))</f>
        <v>0</v>
      </c>
      <c r="AB501" s="183" t="n">
        <f aca="false">IF(AND($F501="原始數據",$S501&lt;&gt;"Active"),1,0)</f>
        <v>0</v>
      </c>
      <c r="AC501" s="183" t="n">
        <f aca="false">IF(AND(ISNUMBER($K501),ISNUMBER($L501),ISNUMBER($Q501)),IF(OR($Q501&lt;MIN($K501,$L501),$Q501&gt;MAX($K501,$L501)),1,0),0)</f>
        <v>0</v>
      </c>
      <c r="AD501" s="183" t="n">
        <f aca="false">IF(AND(ISNUMBER($T501),$P501="高"),IF($T501=3,1,0),0)</f>
        <v>0</v>
      </c>
      <c r="AE501" s="183" t="n">
        <f aca="false">IF($S501="不存在",1,0)</f>
        <v>0</v>
      </c>
      <c r="AF501" s="34" t="str">
        <f aca="false">IF(OR($H501="—",$H501=""),"—",MATCH($H501,IDX_SrcID,0))</f>
        <v>—</v>
      </c>
    </row>
    <row r="502" customFormat="false" ht="43.5" hidden="false" customHeight="true" outlineLevel="0" collapsed="false">
      <c r="A502" s="35" t="s">
        <v>3958</v>
      </c>
      <c r="B502" s="209" t="s">
        <v>3733</v>
      </c>
      <c r="C502" s="35" t="s">
        <v>3879</v>
      </c>
      <c r="D502" s="35" t="s">
        <v>3959</v>
      </c>
      <c r="E502" s="18" t="s">
        <v>1453</v>
      </c>
      <c r="F502" s="35" t="s">
        <v>76</v>
      </c>
      <c r="G502" s="209" t="s">
        <v>3420</v>
      </c>
      <c r="H502" s="35" t="s">
        <v>3411</v>
      </c>
      <c r="I502" s="18" t="s">
        <v>3960</v>
      </c>
      <c r="J502" s="35" t="s">
        <v>571</v>
      </c>
      <c r="K502" s="209"/>
      <c r="L502" s="209"/>
      <c r="M502" s="35" t="s">
        <v>3961</v>
      </c>
      <c r="N502" s="18" t="s">
        <v>3962</v>
      </c>
      <c r="O502" s="6" t="s">
        <v>571</v>
      </c>
      <c r="P502" s="209" t="s">
        <v>2682</v>
      </c>
      <c r="Q502" s="182" t="s">
        <v>571</v>
      </c>
      <c r="R502" s="182" t="n">
        <f aca="false">SRC_HAR_002</f>
        <v>15</v>
      </c>
      <c r="S502" s="34" t="str">
        <f aca="false">IF(ISNUMBER($AF502),INDEX(IDX_SrcStat,$AF502),"—")</f>
        <v>Active</v>
      </c>
      <c r="T502" s="34" t="n">
        <f aca="false">IF(ISNUMBER($AF502),INDEX(IDX_SrcGrade,$AF502),"—")</f>
        <v>2</v>
      </c>
      <c r="U502" s="35" t="s">
        <v>571</v>
      </c>
      <c r="V502" s="183" t="n">
        <f aca="false">IF(AND($F502="原始數據",$U502&lt;&gt;"連結 SRC"),1,0)</f>
        <v>0</v>
      </c>
      <c r="W502" s="183" t="n">
        <f aca="false">IF(AND($F502="Analogy",OR($H502="—",$H502="")),1,0)</f>
        <v>0</v>
      </c>
      <c r="X502" s="183" t="n">
        <f aca="false">IF(AND(OR($F502="Analogy",$F502="Assumed"),$G502&lt;&gt;"低",$G502&lt;&gt;"高",NOT(ISNUMBER($K502)),NOT(ISNUMBER($L502)),OR($M502="—",$M502="")),1,0)</f>
        <v>0</v>
      </c>
      <c r="Y502" s="183" t="n">
        <f aca="false">IF(AND(OR($F502="Analogy",$F502="Assumed",$F502="Derived（待改公式）",$F502="Derived（公式）"),OR($N502="—",$N502="",$N502=0)),1,0)</f>
        <v>0</v>
      </c>
      <c r="Z502" s="183" t="n">
        <f aca="false">IF(AND($F502="Decision",OR($J502="—",$J502="")),1,0)</f>
        <v>0</v>
      </c>
      <c r="AA502" s="180" t="n">
        <f aca="false">IF(OR($J502="—",$J502=""),0,IF(COUNTIF(Decisions!$A$5:$A$300,$J502)=0,1,0))</f>
        <v>0</v>
      </c>
      <c r="AB502" s="183" t="n">
        <f aca="false">IF(AND($F502="原始數據",$S502&lt;&gt;"Active"),1,0)</f>
        <v>0</v>
      </c>
      <c r="AC502" s="183" t="n">
        <f aca="false">IF(AND(ISNUMBER($K502),ISNUMBER($L502),ISNUMBER($Q502)),IF(OR($Q502&lt;MIN($K502,$L502),$Q502&gt;MAX($K502,$L502)),1,0),0)</f>
        <v>0</v>
      </c>
      <c r="AD502" s="183" t="n">
        <f aca="false">IF(AND(ISNUMBER($T502),$P502="高"),IF($T502=3,1,0),0)</f>
        <v>0</v>
      </c>
      <c r="AE502" s="183" t="n">
        <f aca="false">IF($S502="不存在",1,0)</f>
        <v>0</v>
      </c>
      <c r="AF502" s="34" t="n">
        <f aca="false">IF(OR($H502="—",$H502=""),"—",MATCH($H502,IDX_SrcID,0))</f>
        <v>549</v>
      </c>
    </row>
    <row r="503" customFormat="false" ht="57.75" hidden="false" customHeight="true" outlineLevel="0" collapsed="false">
      <c r="A503" s="35" t="s">
        <v>3963</v>
      </c>
      <c r="B503" s="209" t="s">
        <v>3733</v>
      </c>
      <c r="C503" s="35" t="s">
        <v>3879</v>
      </c>
      <c r="D503" s="35" t="s">
        <v>3964</v>
      </c>
      <c r="E503" s="6" t="s">
        <v>1467</v>
      </c>
      <c r="F503" s="35" t="s">
        <v>76</v>
      </c>
      <c r="G503" s="209" t="s">
        <v>3420</v>
      </c>
      <c r="H503" s="35" t="s">
        <v>3965</v>
      </c>
      <c r="I503" s="18" t="s">
        <v>3966</v>
      </c>
      <c r="J503" s="35" t="s">
        <v>571</v>
      </c>
      <c r="K503" s="209"/>
      <c r="L503" s="209"/>
      <c r="M503" s="209" t="s">
        <v>3967</v>
      </c>
      <c r="N503" s="18" t="s">
        <v>3968</v>
      </c>
      <c r="O503" s="6" t="s">
        <v>571</v>
      </c>
      <c r="P503" s="209" t="s">
        <v>2738</v>
      </c>
      <c r="Q503" s="182" t="s">
        <v>571</v>
      </c>
      <c r="R503" s="182" t="n">
        <f aca="false">SRC_CAP_020</f>
        <v>11.3</v>
      </c>
      <c r="S503" s="34" t="str">
        <f aca="false">IF(ISNUMBER($AF503),INDEX(IDX_SrcStat,$AF503),"—")</f>
        <v>Active</v>
      </c>
      <c r="T503" s="34" t="n">
        <f aca="false">IF(ISNUMBER($AF503),INDEX(IDX_SrcGrade,$AF503),"—")</f>
        <v>2</v>
      </c>
      <c r="U503" s="35" t="s">
        <v>571</v>
      </c>
      <c r="V503" s="183" t="n">
        <f aca="false">IF(AND($F503="原始數據",$U503&lt;&gt;"連結 SRC"),1,0)</f>
        <v>0</v>
      </c>
      <c r="W503" s="183" t="n">
        <f aca="false">IF(AND($F503="Analogy",OR($H503="—",$H503="")),1,0)</f>
        <v>0</v>
      </c>
      <c r="X503" s="183" t="n">
        <f aca="false">IF(AND(OR($F503="Analogy",$F503="Assumed"),$G503&lt;&gt;"低",$G503&lt;&gt;"高",NOT(ISNUMBER($K503)),NOT(ISNUMBER($L503)),OR($M503="—",$M503="")),1,0)</f>
        <v>0</v>
      </c>
      <c r="Y503" s="183" t="n">
        <f aca="false">IF(AND(OR($F503="Analogy",$F503="Assumed",$F503="Derived（待改公式）",$F503="Derived（公式）"),OR($N503="—",$N503="",$N503=0)),1,0)</f>
        <v>0</v>
      </c>
      <c r="Z503" s="183" t="n">
        <f aca="false">IF(AND($F503="Decision",OR($J503="—",$J503="")),1,0)</f>
        <v>0</v>
      </c>
      <c r="AA503" s="180" t="n">
        <f aca="false">IF(OR($J503="—",$J503=""),0,IF(COUNTIF(Decisions!$A$5:$A$300,$J503)=0,1,0))</f>
        <v>0</v>
      </c>
      <c r="AB503" s="183" t="n">
        <f aca="false">IF(AND($F503="原始數據",$S503&lt;&gt;"Active"),1,0)</f>
        <v>0</v>
      </c>
      <c r="AC503" s="183" t="n">
        <f aca="false">IF(AND(ISNUMBER($K503),ISNUMBER($L503),ISNUMBER($Q503)),IF(OR($Q503&lt;MIN($K503,$L503),$Q503&gt;MAX($K503,$L503)),1,0),0)</f>
        <v>0</v>
      </c>
      <c r="AD503" s="183" t="n">
        <f aca="false">IF(AND(ISNUMBER($T503),$P503="高"),IF($T503=3,1,0),0)</f>
        <v>0</v>
      </c>
      <c r="AE503" s="183" t="n">
        <f aca="false">IF($S503="不存在",1,0)</f>
        <v>0</v>
      </c>
      <c r="AF503" s="34" t="n">
        <f aca="false">IF(OR($H503="—",$H503=""),"—",MATCH($H503,IDX_SrcID,0))</f>
        <v>496</v>
      </c>
    </row>
    <row r="504" customFormat="false" ht="15" hidden="false" customHeight="true" outlineLevel="0" collapsed="false">
      <c r="A504" s="35" t="s">
        <v>3969</v>
      </c>
      <c r="B504" s="209" t="s">
        <v>3733</v>
      </c>
      <c r="C504" s="35" t="s">
        <v>3879</v>
      </c>
      <c r="D504" s="35" t="s">
        <v>3970</v>
      </c>
      <c r="E504" s="6" t="s">
        <v>1469</v>
      </c>
      <c r="F504" s="35" t="s">
        <v>76</v>
      </c>
      <c r="G504" s="209" t="s">
        <v>1099</v>
      </c>
      <c r="H504" s="35" t="s">
        <v>3965</v>
      </c>
      <c r="I504" s="18" t="s">
        <v>2702</v>
      </c>
      <c r="J504" s="35" t="s">
        <v>571</v>
      </c>
      <c r="K504" s="209"/>
      <c r="L504" s="209"/>
      <c r="M504" s="35" t="s">
        <v>571</v>
      </c>
      <c r="N504" s="18" t="s">
        <v>3971</v>
      </c>
      <c r="O504" s="6" t="s">
        <v>571</v>
      </c>
      <c r="P504" s="209" t="s">
        <v>2682</v>
      </c>
      <c r="Q504" s="182" t="s">
        <v>571</v>
      </c>
      <c r="R504" s="182" t="n">
        <f aca="false">SRC_CAP_020</f>
        <v>11.3</v>
      </c>
      <c r="S504" s="34" t="str">
        <f aca="false">IF(ISNUMBER($AF504),INDEX(IDX_SrcStat,$AF504),"—")</f>
        <v>Active</v>
      </c>
      <c r="T504" s="34" t="n">
        <f aca="false">IF(ISNUMBER($AF504),INDEX(IDX_SrcGrade,$AF504),"—")</f>
        <v>2</v>
      </c>
      <c r="U504" s="35" t="s">
        <v>571</v>
      </c>
      <c r="V504" s="183" t="n">
        <f aca="false">IF(AND($F504="原始數據",$U504&lt;&gt;"連結 SRC"),1,0)</f>
        <v>0</v>
      </c>
      <c r="W504" s="183" t="n">
        <f aca="false">IF(AND($F504="Analogy",OR($H504="—",$H504="")),1,0)</f>
        <v>0</v>
      </c>
      <c r="X504" s="183" t="n">
        <f aca="false">IF(AND(OR($F504="Analogy",$F504="Assumed"),$G504&lt;&gt;"低",$G504&lt;&gt;"高",NOT(ISNUMBER($K504)),NOT(ISNUMBER($L504)),OR($M504="—",$M504="")),1,0)</f>
        <v>0</v>
      </c>
      <c r="Y504" s="183" t="n">
        <f aca="false">IF(AND(OR($F504="Analogy",$F504="Assumed",$F504="Derived（待改公式）",$F504="Derived（公式）"),OR($N504="—",$N504="",$N504=0)),1,0)</f>
        <v>0</v>
      </c>
      <c r="Z504" s="183" t="n">
        <f aca="false">IF(AND($F504="Decision",OR($J504="—",$J504="")),1,0)</f>
        <v>0</v>
      </c>
      <c r="AA504" s="180" t="n">
        <f aca="false">IF(OR($J504="—",$J504=""),0,IF(COUNTIF(Decisions!$A$5:$A$300,$J504)=0,1,0))</f>
        <v>0</v>
      </c>
      <c r="AB504" s="183" t="n">
        <f aca="false">IF(AND($F504="原始數據",$S504&lt;&gt;"Active"),1,0)</f>
        <v>0</v>
      </c>
      <c r="AC504" s="183" t="n">
        <f aca="false">IF(AND(ISNUMBER($K504),ISNUMBER($L504),ISNUMBER($Q504)),IF(OR($Q504&lt;MIN($K504,$L504),$Q504&gt;MAX($K504,$L504)),1,0),0)</f>
        <v>0</v>
      </c>
      <c r="AD504" s="183" t="n">
        <f aca="false">IF(AND(ISNUMBER($T504),$P504="高"),IF($T504=3,1,0),0)</f>
        <v>0</v>
      </c>
      <c r="AE504" s="183" t="n">
        <f aca="false">IF($S504="不存在",1,0)</f>
        <v>0</v>
      </c>
      <c r="AF504" s="34" t="n">
        <f aca="false">IF(OR($H504="—",$H504=""),"—",MATCH($H504,IDX_SrcID,0))</f>
        <v>496</v>
      </c>
    </row>
    <row r="505" customFormat="false" ht="43.5" hidden="false" customHeight="true" outlineLevel="0" collapsed="false">
      <c r="A505" s="35" t="s">
        <v>3972</v>
      </c>
      <c r="B505" s="209" t="s">
        <v>3733</v>
      </c>
      <c r="C505" s="35" t="s">
        <v>3879</v>
      </c>
      <c r="D505" s="35" t="s">
        <v>3973</v>
      </c>
      <c r="E505" s="6" t="s">
        <v>1470</v>
      </c>
      <c r="F505" s="35" t="s">
        <v>76</v>
      </c>
      <c r="G505" s="209" t="s">
        <v>1100</v>
      </c>
      <c r="H505" s="35" t="s">
        <v>3974</v>
      </c>
      <c r="I505" s="18" t="s">
        <v>3975</v>
      </c>
      <c r="J505" s="35" t="s">
        <v>571</v>
      </c>
      <c r="K505" s="209"/>
      <c r="L505" s="209"/>
      <c r="M505" s="35" t="s">
        <v>571</v>
      </c>
      <c r="N505" s="18" t="s">
        <v>3976</v>
      </c>
      <c r="O505" s="6" t="s">
        <v>571</v>
      </c>
      <c r="P505" s="209" t="s">
        <v>2682</v>
      </c>
      <c r="Q505" s="182" t="s">
        <v>571</v>
      </c>
      <c r="R505" s="182" t="n">
        <f aca="false">SRC_CAP_021</f>
        <v>17.4</v>
      </c>
      <c r="S505" s="34" t="str">
        <f aca="false">IF(ISNUMBER($AF505),INDEX(IDX_SrcStat,$AF505),"—")</f>
        <v>Active</v>
      </c>
      <c r="T505" s="34" t="n">
        <f aca="false">IF(ISNUMBER($AF505),INDEX(IDX_SrcGrade,$AF505),"—")</f>
        <v>2</v>
      </c>
      <c r="U505" s="35" t="s">
        <v>571</v>
      </c>
      <c r="V505" s="183" t="n">
        <f aca="false">IF(AND($F505="原始數據",$U505&lt;&gt;"連結 SRC"),1,0)</f>
        <v>0</v>
      </c>
      <c r="W505" s="183" t="n">
        <f aca="false">IF(AND($F505="Analogy",OR($H505="—",$H505="")),1,0)</f>
        <v>0</v>
      </c>
      <c r="X505" s="183" t="n">
        <f aca="false">IF(AND(OR($F505="Analogy",$F505="Assumed"),$G505&lt;&gt;"低",$G505&lt;&gt;"高",NOT(ISNUMBER($K505)),NOT(ISNUMBER($L505)),OR($M505="—",$M505="")),1,0)</f>
        <v>0</v>
      </c>
      <c r="Y505" s="183" t="n">
        <f aca="false">IF(AND(OR($F505="Analogy",$F505="Assumed",$F505="Derived（待改公式）",$F505="Derived（公式）"),OR($N505="—",$N505="",$N505=0)),1,0)</f>
        <v>0</v>
      </c>
      <c r="Z505" s="183" t="n">
        <f aca="false">IF(AND($F505="Decision",OR($J505="—",$J505="")),1,0)</f>
        <v>0</v>
      </c>
      <c r="AA505" s="180" t="n">
        <f aca="false">IF(OR($J505="—",$J505=""),0,IF(COUNTIF(Decisions!$A$5:$A$300,$J505)=0,1,0))</f>
        <v>0</v>
      </c>
      <c r="AB505" s="183" t="n">
        <f aca="false">IF(AND($F505="原始數據",$S505&lt;&gt;"Active"),1,0)</f>
        <v>0</v>
      </c>
      <c r="AC505" s="183" t="n">
        <f aca="false">IF(AND(ISNUMBER($K505),ISNUMBER($L505),ISNUMBER($Q505)),IF(OR($Q505&lt;MIN($K505,$L505),$Q505&gt;MAX($K505,$L505)),1,0),0)</f>
        <v>0</v>
      </c>
      <c r="AD505" s="183" t="n">
        <f aca="false">IF(AND(ISNUMBER($T505),$P505="高"),IF($T505=3,1,0),0)</f>
        <v>0</v>
      </c>
      <c r="AE505" s="183" t="n">
        <f aca="false">IF($S505="不存在",1,0)</f>
        <v>0</v>
      </c>
      <c r="AF505" s="34" t="n">
        <f aca="false">IF(OR($H505="—",$H505=""),"—",MATCH($H505,IDX_SrcID,0))</f>
        <v>497</v>
      </c>
    </row>
    <row r="506" customFormat="false" ht="43.5" hidden="false" customHeight="true" outlineLevel="0" collapsed="false">
      <c r="A506" s="35" t="s">
        <v>3977</v>
      </c>
      <c r="B506" s="209" t="s">
        <v>3733</v>
      </c>
      <c r="C506" s="35" t="s">
        <v>3879</v>
      </c>
      <c r="D506" s="35" t="s">
        <v>3978</v>
      </c>
      <c r="E506" s="18" t="s">
        <v>3979</v>
      </c>
      <c r="F506" s="35" t="s">
        <v>76</v>
      </c>
      <c r="G506" s="209" t="s">
        <v>57</v>
      </c>
      <c r="H506" s="35" t="s">
        <v>3980</v>
      </c>
      <c r="I506" s="18" t="s">
        <v>3981</v>
      </c>
      <c r="J506" s="35" t="s">
        <v>571</v>
      </c>
      <c r="K506" s="172" t="n">
        <f aca="false">Har_In!D51</f>
        <v>0.65</v>
      </c>
      <c r="L506" s="172" t="n">
        <f aca="false">Har_In!E51</f>
        <v>1</v>
      </c>
      <c r="M506" s="35" t="s">
        <v>571</v>
      </c>
      <c r="N506" s="6" t="s">
        <v>3982</v>
      </c>
      <c r="O506" s="6" t="s">
        <v>3983</v>
      </c>
      <c r="P506" s="209" t="s">
        <v>2738</v>
      </c>
      <c r="Q506" s="172" t="n">
        <f aca="false">Har_In!C51</f>
        <v>0.75</v>
      </c>
      <c r="R506" s="182" t="n">
        <f aca="false">SRC_CAP_012</f>
        <v>3.5667</v>
      </c>
      <c r="S506" s="34" t="str">
        <f aca="false">IF(ISNUMBER($AF506),INDEX(IDX_SrcStat,$AF506),"—")</f>
        <v>Active</v>
      </c>
      <c r="T506" s="34" t="n">
        <f aca="false">IF(ISNUMBER($AF506),INDEX(IDX_SrcGrade,$AF506),"—")</f>
        <v>2</v>
      </c>
      <c r="U506" s="34" t="s">
        <v>2683</v>
      </c>
      <c r="V506" s="183" t="n">
        <f aca="false">IF(AND($F506="原始數據",$U506&lt;&gt;"連結 SRC"),1,0)</f>
        <v>0</v>
      </c>
      <c r="W506" s="183" t="n">
        <f aca="false">IF(AND($F506="Analogy",OR($H506="—",$H506="")),1,0)</f>
        <v>0</v>
      </c>
      <c r="X506" s="183" t="n">
        <f aca="false">IF(AND(OR($F506="Analogy",$F506="Assumed"),$G506&lt;&gt;"低",$G506&lt;&gt;"高",NOT(ISNUMBER($K506)),NOT(ISNUMBER($L506)),OR($M506="—",$M506="")),1,0)</f>
        <v>0</v>
      </c>
      <c r="Y506" s="183" t="n">
        <f aca="false">IF(AND(OR($F506="Analogy",$F506="Assumed",$F506="Derived（待改公式）",$F506="Derived（公式）"),OR($N506="—",$N506="",$N506=0)),1,0)</f>
        <v>0</v>
      </c>
      <c r="Z506" s="183" t="n">
        <f aca="false">IF(AND($F506="Decision",OR($J506="—",$J506="")),1,0)</f>
        <v>0</v>
      </c>
      <c r="AA506" s="180" t="n">
        <f aca="false">IF(OR($J506="—",$J506=""),0,IF(COUNTIF(Decisions!$A$5:$A$300,$J506)=0,1,0))</f>
        <v>0</v>
      </c>
      <c r="AB506" s="183" t="n">
        <f aca="false">IF(AND($F506="原始數據",$S506&lt;&gt;"Active"),1,0)</f>
        <v>0</v>
      </c>
      <c r="AC506" s="183" t="n">
        <f aca="false">IF(AND(ISNUMBER($K506),ISNUMBER($L506),ISNUMBER($Q506)),IF(OR($Q506&lt;MIN($K506,$L506),$Q506&gt;MAX($K506,$L506)),1,0),0)</f>
        <v>0</v>
      </c>
      <c r="AD506" s="183" t="n">
        <f aca="false">IF(AND(ISNUMBER($T506),$P506="高"),IF($T506=3,1,0),0)</f>
        <v>0</v>
      </c>
      <c r="AE506" s="183" t="n">
        <f aca="false">IF($S506="不存在",1,0)</f>
        <v>0</v>
      </c>
      <c r="AF506" s="34" t="n">
        <f aca="false">IF(OR($H506="—",$H506=""),"—",MATCH($H506,IDX_SrcID,0))</f>
        <v>488</v>
      </c>
    </row>
    <row r="507" customFormat="false" ht="43.5" hidden="false" customHeight="true" outlineLevel="0" collapsed="false">
      <c r="A507" s="35" t="s">
        <v>3984</v>
      </c>
      <c r="B507" s="209" t="s">
        <v>3733</v>
      </c>
      <c r="C507" s="35" t="s">
        <v>3879</v>
      </c>
      <c r="D507" s="35" t="s">
        <v>3985</v>
      </c>
      <c r="E507" s="18" t="s">
        <v>3979</v>
      </c>
      <c r="F507" s="35" t="s">
        <v>76</v>
      </c>
      <c r="G507" s="209" t="s">
        <v>3739</v>
      </c>
      <c r="H507" s="35" t="s">
        <v>3980</v>
      </c>
      <c r="I507" s="18" t="s">
        <v>3981</v>
      </c>
      <c r="J507" s="35" t="s">
        <v>571</v>
      </c>
      <c r="K507" s="209"/>
      <c r="L507" s="209"/>
      <c r="M507" s="35" t="s">
        <v>3986</v>
      </c>
      <c r="N507" s="6" t="s">
        <v>3987</v>
      </c>
      <c r="O507" s="6" t="s">
        <v>571</v>
      </c>
      <c r="P507" s="209" t="s">
        <v>2682</v>
      </c>
      <c r="Q507" s="182" t="s">
        <v>571</v>
      </c>
      <c r="R507" s="182" t="n">
        <f aca="false">SRC_CAP_012</f>
        <v>3.5667</v>
      </c>
      <c r="S507" s="34" t="str">
        <f aca="false">IF(ISNUMBER($AF507),INDEX(IDX_SrcStat,$AF507),"—")</f>
        <v>Active</v>
      </c>
      <c r="T507" s="34" t="n">
        <f aca="false">IF(ISNUMBER($AF507),INDEX(IDX_SrcGrade,$AF507),"—")</f>
        <v>2</v>
      </c>
      <c r="U507" s="35" t="s">
        <v>571</v>
      </c>
      <c r="V507" s="183" t="n">
        <f aca="false">IF(AND($F507="原始數據",$U507&lt;&gt;"連結 SRC"),1,0)</f>
        <v>0</v>
      </c>
      <c r="W507" s="183" t="n">
        <f aca="false">IF(AND($F507="Analogy",OR($H507="—",$H507="")),1,0)</f>
        <v>0</v>
      </c>
      <c r="X507" s="183" t="n">
        <f aca="false">IF(AND(OR($F507="Analogy",$F507="Assumed"),$G507&lt;&gt;"低",$G507&lt;&gt;"高",NOT(ISNUMBER($K507)),NOT(ISNUMBER($L507)),OR($M507="—",$M507="")),1,0)</f>
        <v>0</v>
      </c>
      <c r="Y507" s="183" t="n">
        <f aca="false">IF(AND(OR($F507="Analogy",$F507="Assumed",$F507="Derived（待改公式）",$F507="Derived（公式）"),OR($N507="—",$N507="",$N507=0)),1,0)</f>
        <v>0</v>
      </c>
      <c r="Z507" s="183" t="n">
        <f aca="false">IF(AND($F507="Decision",OR($J507="—",$J507="")),1,0)</f>
        <v>0</v>
      </c>
      <c r="AA507" s="180" t="n">
        <f aca="false">IF(OR($J507="—",$J507=""),0,IF(COUNTIF(Decisions!$A$5:$A$300,$J507)=0,1,0))</f>
        <v>0</v>
      </c>
      <c r="AB507" s="183" t="n">
        <f aca="false">IF(AND($F507="原始數據",$S507&lt;&gt;"Active"),1,0)</f>
        <v>0</v>
      </c>
      <c r="AC507" s="183" t="n">
        <f aca="false">IF(AND(ISNUMBER($K507),ISNUMBER($L507),ISNUMBER($Q507)),IF(OR($Q507&lt;MIN($K507,$L507),$Q507&gt;MAX($K507,$L507)),1,0),0)</f>
        <v>0</v>
      </c>
      <c r="AD507" s="183" t="n">
        <f aca="false">IF(AND(ISNUMBER($T507),$P507="高"),IF($T507=3,1,0),0)</f>
        <v>0</v>
      </c>
      <c r="AE507" s="183" t="n">
        <f aca="false">IF($S507="不存在",1,0)</f>
        <v>0</v>
      </c>
      <c r="AF507" s="34" t="n">
        <f aca="false">IF(OR($H507="—",$H507=""),"—",MATCH($H507,IDX_SrcID,0))</f>
        <v>488</v>
      </c>
    </row>
    <row r="508" customFormat="false" ht="29.25" hidden="false" customHeight="true" outlineLevel="0" collapsed="false">
      <c r="A508" s="35" t="s">
        <v>3988</v>
      </c>
      <c r="B508" s="209" t="s">
        <v>3733</v>
      </c>
      <c r="C508" s="35" t="s">
        <v>3879</v>
      </c>
      <c r="D508" s="35" t="s">
        <v>3989</v>
      </c>
      <c r="E508" s="18" t="s">
        <v>1475</v>
      </c>
      <c r="F508" s="35" t="s">
        <v>72</v>
      </c>
      <c r="G508" s="209" t="s">
        <v>3420</v>
      </c>
      <c r="H508" s="35" t="s">
        <v>571</v>
      </c>
      <c r="I508" s="6" t="s">
        <v>571</v>
      </c>
      <c r="J508" s="35" t="s">
        <v>571</v>
      </c>
      <c r="K508" s="209"/>
      <c r="L508" s="209"/>
      <c r="M508" s="209" t="s">
        <v>3990</v>
      </c>
      <c r="N508" s="6" t="s">
        <v>3991</v>
      </c>
      <c r="O508" s="6" t="s">
        <v>571</v>
      </c>
      <c r="P508" s="209" t="s">
        <v>2738</v>
      </c>
      <c r="Q508" s="182" t="s">
        <v>571</v>
      </c>
      <c r="R508" s="35" t="s">
        <v>571</v>
      </c>
      <c r="S508" s="34" t="str">
        <f aca="false">IF(ISNUMBER($AF508),INDEX(IDX_SrcStat,$AF508),"—")</f>
        <v>—</v>
      </c>
      <c r="T508" s="34" t="str">
        <f aca="false">IF(ISNUMBER($AF508),INDEX(IDX_SrcGrade,$AF508),"—")</f>
        <v>—</v>
      </c>
      <c r="U508" s="35" t="s">
        <v>571</v>
      </c>
      <c r="V508" s="183" t="n">
        <f aca="false">IF(AND($F508="原始數據",$U508&lt;&gt;"連結 SRC"),1,0)</f>
        <v>0</v>
      </c>
      <c r="W508" s="183" t="n">
        <f aca="false">IF(AND($F508="Analogy",OR($H508="—",$H508="")),1,0)</f>
        <v>0</v>
      </c>
      <c r="X508" s="183" t="n">
        <f aca="false">IF(AND(OR($F508="Analogy",$F508="Assumed"),$G508&lt;&gt;"低",$G508&lt;&gt;"高",NOT(ISNUMBER($K508)),NOT(ISNUMBER($L508)),OR($M508="—",$M508="")),1,0)</f>
        <v>0</v>
      </c>
      <c r="Y508" s="183" t="n">
        <f aca="false">IF(AND(OR($F508="Analogy",$F508="Assumed",$F508="Derived（待改公式）",$F508="Derived（公式）"),OR($N508="—",$N508="",$N508=0)),1,0)</f>
        <v>0</v>
      </c>
      <c r="Z508" s="183" t="n">
        <f aca="false">IF(AND($F508="Decision",OR($J508="—",$J508="")),1,0)</f>
        <v>0</v>
      </c>
      <c r="AA508" s="180" t="n">
        <f aca="false">IF(OR($J508="—",$J508=""),0,IF(COUNTIF(Decisions!$A$5:$A$300,$J508)=0,1,0))</f>
        <v>0</v>
      </c>
      <c r="AB508" s="183" t="n">
        <f aca="false">IF(AND($F508="原始數據",$S508&lt;&gt;"Active"),1,0)</f>
        <v>0</v>
      </c>
      <c r="AC508" s="183" t="n">
        <f aca="false">IF(AND(ISNUMBER($K508),ISNUMBER($L508),ISNUMBER($Q508)),IF(OR($Q508&lt;MIN($K508,$L508),$Q508&gt;MAX($K508,$L508)),1,0),0)</f>
        <v>0</v>
      </c>
      <c r="AD508" s="183" t="n">
        <f aca="false">IF(AND(ISNUMBER($T508),$P508="高"),IF($T508=3,1,0),0)</f>
        <v>0</v>
      </c>
      <c r="AE508" s="183" t="n">
        <f aca="false">IF($S508="不存在",1,0)</f>
        <v>0</v>
      </c>
      <c r="AF508" s="34" t="str">
        <f aca="false">IF(OR($H508="—",$H508=""),"—",MATCH($H508,IDX_SrcID,0))</f>
        <v>—</v>
      </c>
    </row>
    <row r="509" customFormat="false" ht="29.25" hidden="false" customHeight="true" outlineLevel="0" collapsed="false">
      <c r="A509" s="35" t="s">
        <v>3992</v>
      </c>
      <c r="B509" s="209" t="s">
        <v>3733</v>
      </c>
      <c r="C509" s="35" t="s">
        <v>3879</v>
      </c>
      <c r="D509" s="35" t="s">
        <v>3993</v>
      </c>
      <c r="E509" s="18" t="s">
        <v>1441</v>
      </c>
      <c r="F509" s="209" t="s">
        <v>3529</v>
      </c>
      <c r="G509" s="209" t="s">
        <v>3420</v>
      </c>
      <c r="H509" s="35" t="s">
        <v>571</v>
      </c>
      <c r="I509" s="6" t="s">
        <v>571</v>
      </c>
      <c r="J509" s="35" t="s">
        <v>571</v>
      </c>
      <c r="K509" s="209"/>
      <c r="L509" s="209"/>
      <c r="M509" s="209" t="s">
        <v>2624</v>
      </c>
      <c r="N509" s="6" t="s">
        <v>3994</v>
      </c>
      <c r="O509" s="6" t="s">
        <v>571</v>
      </c>
      <c r="P509" s="209" t="s">
        <v>2682</v>
      </c>
      <c r="Q509" s="182" t="s">
        <v>571</v>
      </c>
      <c r="R509" s="35" t="s">
        <v>571</v>
      </c>
      <c r="S509" s="34" t="str">
        <f aca="false">IF(ISNUMBER($AF509),INDEX(IDX_SrcStat,$AF509),"—")</f>
        <v>—</v>
      </c>
      <c r="T509" s="34" t="str">
        <f aca="false">IF(ISNUMBER($AF509),INDEX(IDX_SrcGrade,$AF509),"—")</f>
        <v>—</v>
      </c>
      <c r="U509" s="35" t="s">
        <v>571</v>
      </c>
      <c r="V509" s="183" t="n">
        <f aca="false">IF(AND($F509="原始數據",$U509&lt;&gt;"連結 SRC"),1,0)</f>
        <v>0</v>
      </c>
      <c r="W509" s="183" t="n">
        <f aca="false">IF(AND($F509="Analogy",OR($H509="—",$H509="")),1,0)</f>
        <v>0</v>
      </c>
      <c r="X509" s="183" t="n">
        <f aca="false">IF(AND(OR($F509="Analogy",$F509="Assumed"),$G509&lt;&gt;"低",$G509&lt;&gt;"高",NOT(ISNUMBER($K509)),NOT(ISNUMBER($L509)),OR($M509="—",$M509="")),1,0)</f>
        <v>0</v>
      </c>
      <c r="Y509" s="183" t="n">
        <f aca="false">IF(AND(OR($F509="Analogy",$F509="Assumed",$F509="Derived（待改公式）",$F509="Derived（公式）"),OR($N509="—",$N509="",$N509=0)),1,0)</f>
        <v>0</v>
      </c>
      <c r="Z509" s="183" t="n">
        <f aca="false">IF(AND($F509="Decision",OR($J509="—",$J509="")),1,0)</f>
        <v>0</v>
      </c>
      <c r="AA509" s="180" t="n">
        <f aca="false">IF(OR($J509="—",$J509=""),0,IF(COUNTIF(Decisions!$A$5:$A$300,$J509)=0,1,0))</f>
        <v>0</v>
      </c>
      <c r="AB509" s="183" t="n">
        <f aca="false">IF(AND($F509="原始數據",$S509&lt;&gt;"Active"),1,0)</f>
        <v>0</v>
      </c>
      <c r="AC509" s="183" t="n">
        <f aca="false">IF(AND(ISNUMBER($K509),ISNUMBER($L509),ISNUMBER($Q509)),IF(OR($Q509&lt;MIN($K509,$L509),$Q509&gt;MAX($K509,$L509)),1,0),0)</f>
        <v>0</v>
      </c>
      <c r="AD509" s="183" t="n">
        <f aca="false">IF(AND(ISNUMBER($T509),$P509="高"),IF($T509=3,1,0),0)</f>
        <v>0</v>
      </c>
      <c r="AE509" s="183" t="n">
        <f aca="false">IF($S509="不存在",1,0)</f>
        <v>0</v>
      </c>
      <c r="AF509" s="34" t="str">
        <f aca="false">IF(OR($H509="—",$H509=""),"—",MATCH($H509,IDX_SrcID,0))</f>
        <v>—</v>
      </c>
    </row>
    <row r="510" customFormat="false" ht="29.25" hidden="false" customHeight="true" outlineLevel="0" collapsed="false">
      <c r="A510" s="35" t="s">
        <v>3995</v>
      </c>
      <c r="B510" s="209" t="s">
        <v>3733</v>
      </c>
      <c r="C510" s="35" t="s">
        <v>24</v>
      </c>
      <c r="D510" s="35" t="s">
        <v>3996</v>
      </c>
      <c r="E510" s="6" t="s">
        <v>569</v>
      </c>
      <c r="F510" s="35" t="s">
        <v>72</v>
      </c>
      <c r="G510" s="209" t="s">
        <v>3420</v>
      </c>
      <c r="H510" s="35" t="s">
        <v>571</v>
      </c>
      <c r="I510" s="6" t="s">
        <v>571</v>
      </c>
      <c r="J510" s="35" t="s">
        <v>571</v>
      </c>
      <c r="K510" s="209"/>
      <c r="L510" s="209"/>
      <c r="M510" s="209" t="s">
        <v>2624</v>
      </c>
      <c r="N510" s="6" t="s">
        <v>3997</v>
      </c>
      <c r="O510" s="6" t="s">
        <v>571</v>
      </c>
      <c r="P510" s="209" t="s">
        <v>2682</v>
      </c>
      <c r="Q510" s="182" t="s">
        <v>571</v>
      </c>
      <c r="R510" s="35" t="s">
        <v>571</v>
      </c>
      <c r="S510" s="34" t="str">
        <f aca="false">IF(ISNUMBER($AF510),INDEX(IDX_SrcStat,$AF510),"—")</f>
        <v>—</v>
      </c>
      <c r="T510" s="34" t="str">
        <f aca="false">IF(ISNUMBER($AF510),INDEX(IDX_SrcGrade,$AF510),"—")</f>
        <v>—</v>
      </c>
      <c r="U510" s="35" t="s">
        <v>571</v>
      </c>
      <c r="V510" s="183" t="n">
        <f aca="false">IF(AND($F510="原始數據",$U510&lt;&gt;"連結 SRC"),1,0)</f>
        <v>0</v>
      </c>
      <c r="W510" s="183" t="n">
        <f aca="false">IF(AND($F510="Analogy",OR($H510="—",$H510="")),1,0)</f>
        <v>0</v>
      </c>
      <c r="X510" s="183" t="n">
        <f aca="false">IF(AND(OR($F510="Analogy",$F510="Assumed"),$G510&lt;&gt;"低",$G510&lt;&gt;"高",NOT(ISNUMBER($K510)),NOT(ISNUMBER($L510)),OR($M510="—",$M510="")),1,0)</f>
        <v>0</v>
      </c>
      <c r="Y510" s="183" t="n">
        <f aca="false">IF(AND(OR($F510="Analogy",$F510="Assumed",$F510="Derived（待改公式）",$F510="Derived（公式）"),OR($N510="—",$N510="",$N510=0)),1,0)</f>
        <v>0</v>
      </c>
      <c r="Z510" s="183" t="n">
        <f aca="false">IF(AND($F510="Decision",OR($J510="—",$J510="")),1,0)</f>
        <v>0</v>
      </c>
      <c r="AA510" s="180" t="n">
        <f aca="false">IF(OR($J510="—",$J510=""),0,IF(COUNTIF(Decisions!$A$5:$A$300,$J510)=0,1,0))</f>
        <v>0</v>
      </c>
      <c r="AB510" s="183" t="n">
        <f aca="false">IF(AND($F510="原始數據",$S510&lt;&gt;"Active"),1,0)</f>
        <v>0</v>
      </c>
      <c r="AC510" s="183" t="n">
        <f aca="false">IF(AND(ISNUMBER($K510),ISNUMBER($L510),ISNUMBER($Q510)),IF(OR($Q510&lt;MIN($K510,$L510),$Q510&gt;MAX($K510,$L510)),1,0),0)</f>
        <v>0</v>
      </c>
      <c r="AD510" s="183" t="n">
        <f aca="false">IF(AND(ISNUMBER($T510),$P510="高"),IF($T510=3,1,0),0)</f>
        <v>0</v>
      </c>
      <c r="AE510" s="183" t="n">
        <f aca="false">IF($S510="不存在",1,0)</f>
        <v>0</v>
      </c>
      <c r="AF510" s="34" t="str">
        <f aca="false">IF(OR($H510="—",$H510=""),"—",MATCH($H510,IDX_SrcID,0))</f>
        <v>—</v>
      </c>
    </row>
    <row r="511" customFormat="false" ht="29.25" hidden="false" customHeight="true" outlineLevel="0" collapsed="false">
      <c r="A511" s="35" t="s">
        <v>3998</v>
      </c>
      <c r="B511" s="209" t="s">
        <v>3733</v>
      </c>
      <c r="C511" s="35" t="s">
        <v>24</v>
      </c>
      <c r="D511" s="35" t="s">
        <v>3999</v>
      </c>
      <c r="E511" s="6" t="s">
        <v>591</v>
      </c>
      <c r="F511" s="35" t="s">
        <v>72</v>
      </c>
      <c r="G511" s="209" t="s">
        <v>3420</v>
      </c>
      <c r="H511" s="35" t="s">
        <v>571</v>
      </c>
      <c r="I511" s="6" t="s">
        <v>571</v>
      </c>
      <c r="J511" s="35" t="s">
        <v>571</v>
      </c>
      <c r="K511" s="209"/>
      <c r="L511" s="209"/>
      <c r="M511" s="35" t="s">
        <v>4000</v>
      </c>
      <c r="N511" s="6" t="s">
        <v>4001</v>
      </c>
      <c r="O511" s="6" t="s">
        <v>571</v>
      </c>
      <c r="P511" s="209" t="s">
        <v>2682</v>
      </c>
      <c r="Q511" s="182" t="s">
        <v>571</v>
      </c>
      <c r="R511" s="35" t="s">
        <v>571</v>
      </c>
      <c r="S511" s="34" t="str">
        <f aca="false">IF(ISNUMBER($AF511),INDEX(IDX_SrcStat,$AF511),"—")</f>
        <v>—</v>
      </c>
      <c r="T511" s="34" t="str">
        <f aca="false">IF(ISNUMBER($AF511),INDEX(IDX_SrcGrade,$AF511),"—")</f>
        <v>—</v>
      </c>
      <c r="U511" s="35" t="s">
        <v>571</v>
      </c>
      <c r="V511" s="183" t="n">
        <f aca="false">IF(AND($F511="原始數據",$U511&lt;&gt;"連結 SRC"),1,0)</f>
        <v>0</v>
      </c>
      <c r="W511" s="183" t="n">
        <f aca="false">IF(AND($F511="Analogy",OR($H511="—",$H511="")),1,0)</f>
        <v>0</v>
      </c>
      <c r="X511" s="183" t="n">
        <f aca="false">IF(AND(OR($F511="Analogy",$F511="Assumed"),$G511&lt;&gt;"低",$G511&lt;&gt;"高",NOT(ISNUMBER($K511)),NOT(ISNUMBER($L511)),OR($M511="—",$M511="")),1,0)</f>
        <v>0</v>
      </c>
      <c r="Y511" s="183" t="n">
        <f aca="false">IF(AND(OR($F511="Analogy",$F511="Assumed",$F511="Derived（待改公式）",$F511="Derived（公式）"),OR($N511="—",$N511="",$N511=0)),1,0)</f>
        <v>0</v>
      </c>
      <c r="Z511" s="183" t="n">
        <f aca="false">IF(AND($F511="Decision",OR($J511="—",$J511="")),1,0)</f>
        <v>0</v>
      </c>
      <c r="AA511" s="180" t="n">
        <f aca="false">IF(OR($J511="—",$J511=""),0,IF(COUNTIF(Decisions!$A$5:$A$300,$J511)=0,1,0))</f>
        <v>0</v>
      </c>
      <c r="AB511" s="183" t="n">
        <f aca="false">IF(AND($F511="原始數據",$S511&lt;&gt;"Active"),1,0)</f>
        <v>0</v>
      </c>
      <c r="AC511" s="183" t="n">
        <f aca="false">IF(AND(ISNUMBER($K511),ISNUMBER($L511),ISNUMBER($Q511)),IF(OR($Q511&lt;MIN($K511,$L511),$Q511&gt;MAX($K511,$L511)),1,0),0)</f>
        <v>0</v>
      </c>
      <c r="AD511" s="183" t="n">
        <f aca="false">IF(AND(ISNUMBER($T511),$P511="高"),IF($T511=3,1,0),0)</f>
        <v>0</v>
      </c>
      <c r="AE511" s="183" t="n">
        <f aca="false">IF($S511="不存在",1,0)</f>
        <v>0</v>
      </c>
      <c r="AF511" s="34" t="str">
        <f aca="false">IF(OR($H511="—",$H511=""),"—",MATCH($H511,IDX_SrcID,0))</f>
        <v>—</v>
      </c>
    </row>
    <row r="512" customFormat="false" ht="54.75" hidden="false" customHeight="true" outlineLevel="0" collapsed="false">
      <c r="A512" s="35" t="s">
        <v>4002</v>
      </c>
      <c r="B512" s="209" t="s">
        <v>3733</v>
      </c>
      <c r="C512" s="35" t="s">
        <v>24</v>
      </c>
      <c r="D512" s="35" t="s">
        <v>4003</v>
      </c>
      <c r="E512" s="6" t="s">
        <v>598</v>
      </c>
      <c r="F512" s="35" t="s">
        <v>76</v>
      </c>
      <c r="G512" s="209" t="s">
        <v>3420</v>
      </c>
      <c r="H512" s="35" t="s">
        <v>3144</v>
      </c>
      <c r="I512" s="18" t="s">
        <v>4004</v>
      </c>
      <c r="J512" s="35" t="s">
        <v>571</v>
      </c>
      <c r="K512" s="209"/>
      <c r="L512" s="209"/>
      <c r="M512" s="35" t="s">
        <v>4000</v>
      </c>
      <c r="N512" s="6" t="s">
        <v>4005</v>
      </c>
      <c r="O512" s="6" t="s">
        <v>4006</v>
      </c>
      <c r="P512" s="209" t="s">
        <v>2682</v>
      </c>
      <c r="Q512" s="182" t="s">
        <v>571</v>
      </c>
      <c r="R512" s="182" t="n">
        <f aca="false">SRC_HW_037</f>
        <v>2520</v>
      </c>
      <c r="S512" s="34" t="str">
        <f aca="false">IF(ISNUMBER($AF512),INDEX(IDX_SrcStat,$AF512),"—")</f>
        <v>Active</v>
      </c>
      <c r="T512" s="34" t="n">
        <f aca="false">IF(ISNUMBER($AF512),INDEX(IDX_SrcGrade,$AF512),"—")</f>
        <v>2</v>
      </c>
      <c r="U512" s="35" t="s">
        <v>571</v>
      </c>
      <c r="V512" s="183" t="n">
        <f aca="false">IF(AND($F512="原始數據",$U512&lt;&gt;"連結 SRC"),1,0)</f>
        <v>0</v>
      </c>
      <c r="W512" s="183" t="n">
        <f aca="false">IF(AND($F512="Analogy",OR($H512="—",$H512="")),1,0)</f>
        <v>0</v>
      </c>
      <c r="X512" s="183" t="n">
        <f aca="false">IF(AND(OR($F512="Analogy",$F512="Assumed"),$G512&lt;&gt;"低",$G512&lt;&gt;"高",NOT(ISNUMBER($K512)),NOT(ISNUMBER($L512)),OR($M512="—",$M512="")),1,0)</f>
        <v>0</v>
      </c>
      <c r="Y512" s="183" t="n">
        <f aca="false">IF(AND(OR($F512="Analogy",$F512="Assumed",$F512="Derived（待改公式）",$F512="Derived（公式）"),OR($N512="—",$N512="",$N512=0)),1,0)</f>
        <v>0</v>
      </c>
      <c r="Z512" s="183" t="n">
        <f aca="false">IF(AND($F512="Decision",OR($J512="—",$J512="")),1,0)</f>
        <v>0</v>
      </c>
      <c r="AA512" s="180" t="n">
        <f aca="false">IF(OR($J512="—",$J512=""),0,IF(COUNTIF(Decisions!$A$5:$A$300,$J512)=0,1,0))</f>
        <v>0</v>
      </c>
      <c r="AB512" s="183" t="n">
        <f aca="false">IF(AND($F512="原始數據",$S512&lt;&gt;"Active"),1,0)</f>
        <v>0</v>
      </c>
      <c r="AC512" s="183" t="n">
        <f aca="false">IF(AND(ISNUMBER($K512),ISNUMBER($L512),ISNUMBER($Q512)),IF(OR($Q512&lt;MIN($K512,$L512),$Q512&gt;MAX($K512,$L512)),1,0),0)</f>
        <v>0</v>
      </c>
      <c r="AD512" s="183" t="n">
        <f aca="false">IF(AND(ISNUMBER($T512),$P512="高"),IF($T512=3,1,0),0)</f>
        <v>0</v>
      </c>
      <c r="AE512" s="183" t="n">
        <f aca="false">IF($S512="不存在",1,0)</f>
        <v>0</v>
      </c>
      <c r="AF512" s="34" t="n">
        <f aca="false">IF(OR($H512="—",$H512=""),"—",MATCH($H512,IDX_SrcID,0))</f>
        <v>37</v>
      </c>
    </row>
    <row r="513" customFormat="false" ht="29.25" hidden="false" customHeight="true" outlineLevel="0" collapsed="false">
      <c r="A513" s="35" t="s">
        <v>4007</v>
      </c>
      <c r="B513" s="209" t="s">
        <v>3733</v>
      </c>
      <c r="C513" s="35" t="s">
        <v>24</v>
      </c>
      <c r="D513" s="35" t="s">
        <v>4008</v>
      </c>
      <c r="E513" s="6" t="s">
        <v>605</v>
      </c>
      <c r="F513" s="35" t="s">
        <v>72</v>
      </c>
      <c r="G513" s="209" t="s">
        <v>3420</v>
      </c>
      <c r="H513" s="35" t="s">
        <v>571</v>
      </c>
      <c r="I513" s="6" t="s">
        <v>571</v>
      </c>
      <c r="J513" s="35" t="s">
        <v>571</v>
      </c>
      <c r="K513" s="209"/>
      <c r="L513" s="209"/>
      <c r="M513" s="35" t="s">
        <v>4000</v>
      </c>
      <c r="N513" s="6" t="s">
        <v>4009</v>
      </c>
      <c r="O513" s="6" t="s">
        <v>571</v>
      </c>
      <c r="P513" s="209" t="s">
        <v>2682</v>
      </c>
      <c r="Q513" s="182" t="s">
        <v>571</v>
      </c>
      <c r="R513" s="35" t="s">
        <v>571</v>
      </c>
      <c r="S513" s="34" t="str">
        <f aca="false">IF(ISNUMBER($AF513),INDEX(IDX_SrcStat,$AF513),"—")</f>
        <v>—</v>
      </c>
      <c r="T513" s="34" t="str">
        <f aca="false">IF(ISNUMBER($AF513),INDEX(IDX_SrcGrade,$AF513),"—")</f>
        <v>—</v>
      </c>
      <c r="U513" s="35" t="s">
        <v>571</v>
      </c>
      <c r="V513" s="183" t="n">
        <f aca="false">IF(AND($F513="原始數據",$U513&lt;&gt;"連結 SRC"),1,0)</f>
        <v>0</v>
      </c>
      <c r="W513" s="183" t="n">
        <f aca="false">IF(AND($F513="Analogy",OR($H513="—",$H513="")),1,0)</f>
        <v>0</v>
      </c>
      <c r="X513" s="183" t="n">
        <f aca="false">IF(AND(OR($F513="Analogy",$F513="Assumed"),$G513&lt;&gt;"低",$G513&lt;&gt;"高",NOT(ISNUMBER($K513)),NOT(ISNUMBER($L513)),OR($M513="—",$M513="")),1,0)</f>
        <v>0</v>
      </c>
      <c r="Y513" s="183" t="n">
        <f aca="false">IF(AND(OR($F513="Analogy",$F513="Assumed",$F513="Derived（待改公式）",$F513="Derived（公式）"),OR($N513="—",$N513="",$N513=0)),1,0)</f>
        <v>0</v>
      </c>
      <c r="Z513" s="183" t="n">
        <f aca="false">IF(AND($F513="Decision",OR($J513="—",$J513="")),1,0)</f>
        <v>0</v>
      </c>
      <c r="AA513" s="180" t="n">
        <f aca="false">IF(OR($J513="—",$J513=""),0,IF(COUNTIF(Decisions!$A$5:$A$300,$J513)=0,1,0))</f>
        <v>0</v>
      </c>
      <c r="AB513" s="183" t="n">
        <f aca="false">IF(AND($F513="原始數據",$S513&lt;&gt;"Active"),1,0)</f>
        <v>0</v>
      </c>
      <c r="AC513" s="183" t="n">
        <f aca="false">IF(AND(ISNUMBER($K513),ISNUMBER($L513),ISNUMBER($Q513)),IF(OR($Q513&lt;MIN($K513,$L513),$Q513&gt;MAX($K513,$L513)),1,0),0)</f>
        <v>0</v>
      </c>
      <c r="AD513" s="183" t="n">
        <f aca="false">IF(AND(ISNUMBER($T513),$P513="高"),IF($T513=3,1,0),0)</f>
        <v>0</v>
      </c>
      <c r="AE513" s="183" t="n">
        <f aca="false">IF($S513="不存在",1,0)</f>
        <v>0</v>
      </c>
      <c r="AF513" s="34" t="str">
        <f aca="false">IF(OR($H513="—",$H513=""),"—",MATCH($H513,IDX_SrcID,0))</f>
        <v>—</v>
      </c>
    </row>
    <row r="514" customFormat="false" ht="29.25" hidden="false" customHeight="true" outlineLevel="0" collapsed="false">
      <c r="A514" s="35" t="s">
        <v>4010</v>
      </c>
      <c r="B514" s="209" t="s">
        <v>3733</v>
      </c>
      <c r="C514" s="35" t="s">
        <v>24</v>
      </c>
      <c r="D514" s="35" t="s">
        <v>4011</v>
      </c>
      <c r="E514" s="6" t="s">
        <v>612</v>
      </c>
      <c r="F514" s="35" t="s">
        <v>72</v>
      </c>
      <c r="G514" s="209" t="s">
        <v>3420</v>
      </c>
      <c r="H514" s="35" t="s">
        <v>571</v>
      </c>
      <c r="I514" s="6" t="s">
        <v>571</v>
      </c>
      <c r="J514" s="35" t="s">
        <v>571</v>
      </c>
      <c r="K514" s="209"/>
      <c r="L514" s="209"/>
      <c r="M514" s="35" t="s">
        <v>4000</v>
      </c>
      <c r="N514" s="6" t="s">
        <v>4012</v>
      </c>
      <c r="O514" s="6" t="s">
        <v>571</v>
      </c>
      <c r="P514" s="209" t="s">
        <v>2682</v>
      </c>
      <c r="Q514" s="182" t="s">
        <v>571</v>
      </c>
      <c r="R514" s="35" t="s">
        <v>571</v>
      </c>
      <c r="S514" s="34" t="str">
        <f aca="false">IF(ISNUMBER($AF514),INDEX(IDX_SrcStat,$AF514),"—")</f>
        <v>—</v>
      </c>
      <c r="T514" s="34" t="str">
        <f aca="false">IF(ISNUMBER($AF514),INDEX(IDX_SrcGrade,$AF514),"—")</f>
        <v>—</v>
      </c>
      <c r="U514" s="35" t="s">
        <v>571</v>
      </c>
      <c r="V514" s="183" t="n">
        <f aca="false">IF(AND($F514="原始數據",$U514&lt;&gt;"連結 SRC"),1,0)</f>
        <v>0</v>
      </c>
      <c r="W514" s="183" t="n">
        <f aca="false">IF(AND($F514="Analogy",OR($H514="—",$H514="")),1,0)</f>
        <v>0</v>
      </c>
      <c r="X514" s="183" t="n">
        <f aca="false">IF(AND(OR($F514="Analogy",$F514="Assumed"),$G514&lt;&gt;"低",$G514&lt;&gt;"高",NOT(ISNUMBER($K514)),NOT(ISNUMBER($L514)),OR($M514="—",$M514="")),1,0)</f>
        <v>0</v>
      </c>
      <c r="Y514" s="183" t="n">
        <f aca="false">IF(AND(OR($F514="Analogy",$F514="Assumed",$F514="Derived（待改公式）",$F514="Derived（公式）"),OR($N514="—",$N514="",$N514=0)),1,0)</f>
        <v>0</v>
      </c>
      <c r="Z514" s="183" t="n">
        <f aca="false">IF(AND($F514="Decision",OR($J514="—",$J514="")),1,0)</f>
        <v>0</v>
      </c>
      <c r="AA514" s="180" t="n">
        <f aca="false">IF(OR($J514="—",$J514=""),0,IF(COUNTIF(Decisions!$A$5:$A$300,$J514)=0,1,0))</f>
        <v>0</v>
      </c>
      <c r="AB514" s="183" t="n">
        <f aca="false">IF(AND($F514="原始數據",$S514&lt;&gt;"Active"),1,0)</f>
        <v>0</v>
      </c>
      <c r="AC514" s="183" t="n">
        <f aca="false">IF(AND(ISNUMBER($K514),ISNUMBER($L514),ISNUMBER($Q514)),IF(OR($Q514&lt;MIN($K514,$L514),$Q514&gt;MAX($K514,$L514)),1,0),0)</f>
        <v>0</v>
      </c>
      <c r="AD514" s="183" t="n">
        <f aca="false">IF(AND(ISNUMBER($T514),$P514="高"),IF($T514=3,1,0),0)</f>
        <v>0</v>
      </c>
      <c r="AE514" s="183" t="n">
        <f aca="false">IF($S514="不存在",1,0)</f>
        <v>0</v>
      </c>
      <c r="AF514" s="34" t="str">
        <f aca="false">IF(OR($H514="—",$H514=""),"—",MATCH($H514,IDX_SrcID,0))</f>
        <v>—</v>
      </c>
    </row>
    <row r="515" customFormat="false" ht="72" hidden="false" customHeight="true" outlineLevel="0" collapsed="false">
      <c r="A515" s="35" t="s">
        <v>4013</v>
      </c>
      <c r="B515" s="209" t="s">
        <v>3733</v>
      </c>
      <c r="C515" s="35" t="s">
        <v>24</v>
      </c>
      <c r="D515" s="35" t="s">
        <v>4014</v>
      </c>
      <c r="E515" s="6" t="s">
        <v>618</v>
      </c>
      <c r="F515" s="35" t="s">
        <v>76</v>
      </c>
      <c r="G515" s="209" t="s">
        <v>3420</v>
      </c>
      <c r="H515" s="35" t="s">
        <v>4015</v>
      </c>
      <c r="I515" s="18" t="s">
        <v>4016</v>
      </c>
      <c r="J515" s="35" t="s">
        <v>571</v>
      </c>
      <c r="K515" s="209"/>
      <c r="L515" s="209"/>
      <c r="M515" s="35" t="s">
        <v>4000</v>
      </c>
      <c r="N515" s="6" t="s">
        <v>4017</v>
      </c>
      <c r="O515" s="6" t="s">
        <v>4018</v>
      </c>
      <c r="P515" s="209" t="s">
        <v>2682</v>
      </c>
      <c r="Q515" s="182" t="s">
        <v>571</v>
      </c>
      <c r="R515" s="182" t="n">
        <f aca="false">SRC_MOD_046</f>
        <v>1.5</v>
      </c>
      <c r="S515" s="34" t="str">
        <f aca="false">IF(ISNUMBER($AF515),INDEX(IDX_SrcStat,$AF515),"—")</f>
        <v>Active</v>
      </c>
      <c r="T515" s="34" t="n">
        <f aca="false">IF(ISNUMBER($AF515),INDEX(IDX_SrcGrade,$AF515),"—")</f>
        <v>2</v>
      </c>
      <c r="U515" s="35" t="s">
        <v>571</v>
      </c>
      <c r="V515" s="183" t="n">
        <f aca="false">IF(AND($F515="原始數據",$U515&lt;&gt;"連結 SRC"),1,0)</f>
        <v>0</v>
      </c>
      <c r="W515" s="183" t="n">
        <f aca="false">IF(AND($F515="Analogy",OR($H515="—",$H515="")),1,0)</f>
        <v>0</v>
      </c>
      <c r="X515" s="183" t="n">
        <f aca="false">IF(AND(OR($F515="Analogy",$F515="Assumed"),$G515&lt;&gt;"低",$G515&lt;&gt;"高",NOT(ISNUMBER($K515)),NOT(ISNUMBER($L515)),OR($M515="—",$M515="")),1,0)</f>
        <v>0</v>
      </c>
      <c r="Y515" s="183" t="n">
        <f aca="false">IF(AND(OR($F515="Analogy",$F515="Assumed",$F515="Derived（待改公式）",$F515="Derived（公式）"),OR($N515="—",$N515="",$N515=0)),1,0)</f>
        <v>0</v>
      </c>
      <c r="Z515" s="183" t="n">
        <f aca="false">IF(AND($F515="Decision",OR($J515="—",$J515="")),1,0)</f>
        <v>0</v>
      </c>
      <c r="AA515" s="180" t="n">
        <f aca="false">IF(OR($J515="—",$J515=""),0,IF(COUNTIF(Decisions!$A$5:$A$300,$J515)=0,1,0))</f>
        <v>0</v>
      </c>
      <c r="AB515" s="183" t="n">
        <f aca="false">IF(AND($F515="原始數據",$S515&lt;&gt;"Active"),1,0)</f>
        <v>0</v>
      </c>
      <c r="AC515" s="183" t="n">
        <f aca="false">IF(AND(ISNUMBER($K515),ISNUMBER($L515),ISNUMBER($Q515)),IF(OR($Q515&lt;MIN($K515,$L515),$Q515&gt;MAX($K515,$L515)),1,0),0)</f>
        <v>0</v>
      </c>
      <c r="AD515" s="183" t="n">
        <f aca="false">IF(AND(ISNUMBER($T515),$P515="高"),IF($T515=3,1,0),0)</f>
        <v>0</v>
      </c>
      <c r="AE515" s="183" t="n">
        <f aca="false">IF($S515="不存在",1,0)</f>
        <v>0</v>
      </c>
      <c r="AF515" s="34" t="n">
        <f aca="false">IF(OR($H515="—",$H515=""),"—",MATCH($H515,IDX_SrcID,0))</f>
        <v>223</v>
      </c>
    </row>
    <row r="516" customFormat="false" ht="29.25" hidden="false" customHeight="true" outlineLevel="0" collapsed="false">
      <c r="A516" s="35" t="s">
        <v>4019</v>
      </c>
      <c r="B516" s="209" t="s">
        <v>3733</v>
      </c>
      <c r="C516" s="35" t="s">
        <v>24</v>
      </c>
      <c r="D516" s="35" t="s">
        <v>4020</v>
      </c>
      <c r="E516" s="6" t="s">
        <v>624</v>
      </c>
      <c r="F516" s="35" t="s">
        <v>72</v>
      </c>
      <c r="G516" s="209" t="s">
        <v>3420</v>
      </c>
      <c r="H516" s="35" t="s">
        <v>571</v>
      </c>
      <c r="I516" s="6" t="s">
        <v>571</v>
      </c>
      <c r="J516" s="35" t="s">
        <v>571</v>
      </c>
      <c r="K516" s="209"/>
      <c r="L516" s="209"/>
      <c r="M516" s="35" t="s">
        <v>4000</v>
      </c>
      <c r="N516" s="6" t="s">
        <v>4021</v>
      </c>
      <c r="O516" s="6" t="s">
        <v>571</v>
      </c>
      <c r="P516" s="209" t="s">
        <v>2682</v>
      </c>
      <c r="Q516" s="182" t="s">
        <v>571</v>
      </c>
      <c r="R516" s="35" t="s">
        <v>571</v>
      </c>
      <c r="S516" s="34" t="str">
        <f aca="false">IF(ISNUMBER($AF516),INDEX(IDX_SrcStat,$AF516),"—")</f>
        <v>—</v>
      </c>
      <c r="T516" s="34" t="str">
        <f aca="false">IF(ISNUMBER($AF516),INDEX(IDX_SrcGrade,$AF516),"—")</f>
        <v>—</v>
      </c>
      <c r="U516" s="35" t="s">
        <v>571</v>
      </c>
      <c r="V516" s="183" t="n">
        <f aca="false">IF(AND($F516="原始數據",$U516&lt;&gt;"連結 SRC"),1,0)</f>
        <v>0</v>
      </c>
      <c r="W516" s="183" t="n">
        <f aca="false">IF(AND($F516="Analogy",OR($H516="—",$H516="")),1,0)</f>
        <v>0</v>
      </c>
      <c r="X516" s="183" t="n">
        <f aca="false">IF(AND(OR($F516="Analogy",$F516="Assumed"),$G516&lt;&gt;"低",$G516&lt;&gt;"高",NOT(ISNUMBER($K516)),NOT(ISNUMBER($L516)),OR($M516="—",$M516="")),1,0)</f>
        <v>0</v>
      </c>
      <c r="Y516" s="183" t="n">
        <f aca="false">IF(AND(OR($F516="Analogy",$F516="Assumed",$F516="Derived（待改公式）",$F516="Derived（公式）"),OR($N516="—",$N516="",$N516=0)),1,0)</f>
        <v>0</v>
      </c>
      <c r="Z516" s="183" t="n">
        <f aca="false">IF(AND($F516="Decision",OR($J516="—",$J516="")),1,0)</f>
        <v>0</v>
      </c>
      <c r="AA516" s="180" t="n">
        <f aca="false">IF(OR($J516="—",$J516=""),0,IF(COUNTIF(Decisions!$A$5:$A$300,$J516)=0,1,0))</f>
        <v>0</v>
      </c>
      <c r="AB516" s="183" t="n">
        <f aca="false">IF(AND($F516="原始數據",$S516&lt;&gt;"Active"),1,0)</f>
        <v>0</v>
      </c>
      <c r="AC516" s="183" t="n">
        <f aca="false">IF(AND(ISNUMBER($K516),ISNUMBER($L516),ISNUMBER($Q516)),IF(OR($Q516&lt;MIN($K516,$L516),$Q516&gt;MAX($K516,$L516)),1,0),0)</f>
        <v>0</v>
      </c>
      <c r="AD516" s="183" t="n">
        <f aca="false">IF(AND(ISNUMBER($T516),$P516="高"),IF($T516=3,1,0),0)</f>
        <v>0</v>
      </c>
      <c r="AE516" s="183" t="n">
        <f aca="false">IF($S516="不存在",1,0)</f>
        <v>0</v>
      </c>
      <c r="AF516" s="34" t="str">
        <f aca="false">IF(OR($H516="—",$H516=""),"—",MATCH($H516,IDX_SrcID,0))</f>
        <v>—</v>
      </c>
    </row>
    <row r="517" customFormat="false" ht="29.25" hidden="false" customHeight="true" outlineLevel="0" collapsed="false">
      <c r="A517" s="35" t="s">
        <v>4022</v>
      </c>
      <c r="B517" s="209" t="s">
        <v>3733</v>
      </c>
      <c r="C517" s="35" t="s">
        <v>24</v>
      </c>
      <c r="D517" s="35" t="s">
        <v>4023</v>
      </c>
      <c r="E517" s="6" t="s">
        <v>629</v>
      </c>
      <c r="F517" s="35" t="s">
        <v>72</v>
      </c>
      <c r="G517" s="209" t="s">
        <v>3420</v>
      </c>
      <c r="H517" s="35" t="s">
        <v>571</v>
      </c>
      <c r="I517" s="6" t="s">
        <v>571</v>
      </c>
      <c r="J517" s="35" t="s">
        <v>571</v>
      </c>
      <c r="K517" s="209"/>
      <c r="L517" s="209"/>
      <c r="M517" s="209" t="s">
        <v>2624</v>
      </c>
      <c r="N517" s="6" t="s">
        <v>4024</v>
      </c>
      <c r="O517" s="6" t="s">
        <v>571</v>
      </c>
      <c r="P517" s="209" t="s">
        <v>2682</v>
      </c>
      <c r="Q517" s="182" t="s">
        <v>571</v>
      </c>
      <c r="R517" s="35" t="s">
        <v>571</v>
      </c>
      <c r="S517" s="34" t="str">
        <f aca="false">IF(ISNUMBER($AF517),INDEX(IDX_SrcStat,$AF517),"—")</f>
        <v>—</v>
      </c>
      <c r="T517" s="34" t="str">
        <f aca="false">IF(ISNUMBER($AF517),INDEX(IDX_SrcGrade,$AF517),"—")</f>
        <v>—</v>
      </c>
      <c r="U517" s="35" t="s">
        <v>571</v>
      </c>
      <c r="V517" s="183" t="n">
        <f aca="false">IF(AND($F517="原始數據",$U517&lt;&gt;"連結 SRC"),1,0)</f>
        <v>0</v>
      </c>
      <c r="W517" s="183" t="n">
        <f aca="false">IF(AND($F517="Analogy",OR($H517="—",$H517="")),1,0)</f>
        <v>0</v>
      </c>
      <c r="X517" s="183" t="n">
        <f aca="false">IF(AND(OR($F517="Analogy",$F517="Assumed"),$G517&lt;&gt;"低",$G517&lt;&gt;"高",NOT(ISNUMBER($K517)),NOT(ISNUMBER($L517)),OR($M517="—",$M517="")),1,0)</f>
        <v>0</v>
      </c>
      <c r="Y517" s="183" t="n">
        <f aca="false">IF(AND(OR($F517="Analogy",$F517="Assumed",$F517="Derived（待改公式）",$F517="Derived（公式）"),OR($N517="—",$N517="",$N517=0)),1,0)</f>
        <v>0</v>
      </c>
      <c r="Z517" s="183" t="n">
        <f aca="false">IF(AND($F517="Decision",OR($J517="—",$J517="")),1,0)</f>
        <v>0</v>
      </c>
      <c r="AA517" s="180" t="n">
        <f aca="false">IF(OR($J517="—",$J517=""),0,IF(COUNTIF(Decisions!$A$5:$A$300,$J517)=0,1,0))</f>
        <v>0</v>
      </c>
      <c r="AB517" s="183" t="n">
        <f aca="false">IF(AND($F517="原始數據",$S517&lt;&gt;"Active"),1,0)</f>
        <v>0</v>
      </c>
      <c r="AC517" s="183" t="n">
        <f aca="false">IF(AND(ISNUMBER($K517),ISNUMBER($L517),ISNUMBER($Q517)),IF(OR($Q517&lt;MIN($K517,$L517),$Q517&gt;MAX($K517,$L517)),1,0),0)</f>
        <v>0</v>
      </c>
      <c r="AD517" s="183" t="n">
        <f aca="false">IF(AND(ISNUMBER($T517),$P517="高"),IF($T517=3,1,0),0)</f>
        <v>0</v>
      </c>
      <c r="AE517" s="183" t="n">
        <f aca="false">IF($S517="不存在",1,0)</f>
        <v>0</v>
      </c>
      <c r="AF517" s="34" t="str">
        <f aca="false">IF(OR($H517="—",$H517=""),"—",MATCH($H517,IDX_SrcID,0))</f>
        <v>—</v>
      </c>
    </row>
    <row r="518" customFormat="false" ht="29.25" hidden="false" customHeight="true" outlineLevel="0" collapsed="false">
      <c r="A518" s="35" t="s">
        <v>4025</v>
      </c>
      <c r="B518" s="209" t="s">
        <v>3733</v>
      </c>
      <c r="C518" s="35" t="s">
        <v>24</v>
      </c>
      <c r="D518" s="35" t="s">
        <v>4026</v>
      </c>
      <c r="E518" s="6" t="s">
        <v>569</v>
      </c>
      <c r="F518" s="209" t="s">
        <v>3419</v>
      </c>
      <c r="G518" s="209" t="s">
        <v>3420</v>
      </c>
      <c r="H518" s="35" t="s">
        <v>571</v>
      </c>
      <c r="I518" s="6" t="s">
        <v>571</v>
      </c>
      <c r="J518" s="35" t="s">
        <v>571</v>
      </c>
      <c r="K518" s="209"/>
      <c r="L518" s="209"/>
      <c r="M518" s="35" t="s">
        <v>571</v>
      </c>
      <c r="N518" s="18" t="s">
        <v>4027</v>
      </c>
      <c r="O518" s="6" t="s">
        <v>571</v>
      </c>
      <c r="P518" s="209" t="s">
        <v>2682</v>
      </c>
      <c r="Q518" s="182" t="s">
        <v>571</v>
      </c>
      <c r="R518" s="35" t="s">
        <v>571</v>
      </c>
      <c r="S518" s="34" t="str">
        <f aca="false">IF(ISNUMBER($AF518),INDEX(IDX_SrcStat,$AF518),"—")</f>
        <v>—</v>
      </c>
      <c r="T518" s="34" t="str">
        <f aca="false">IF(ISNUMBER($AF518),INDEX(IDX_SrcGrade,$AF518),"—")</f>
        <v>—</v>
      </c>
      <c r="U518" s="35" t="s">
        <v>571</v>
      </c>
      <c r="V518" s="183" t="n">
        <f aca="false">IF(AND($F518="原始數據",$U518&lt;&gt;"連結 SRC"),1,0)</f>
        <v>0</v>
      </c>
      <c r="W518" s="183" t="n">
        <f aca="false">IF(AND($F518="Analogy",OR($H518="—",$H518="")),1,0)</f>
        <v>0</v>
      </c>
      <c r="X518" s="183" t="n">
        <f aca="false">IF(AND(OR($F518="Analogy",$F518="Assumed"),$G518&lt;&gt;"低",$G518&lt;&gt;"高",NOT(ISNUMBER($K518)),NOT(ISNUMBER($L518)),OR($M518="—",$M518="")),1,0)</f>
        <v>0</v>
      </c>
      <c r="Y518" s="183" t="n">
        <f aca="false">IF(AND(OR($F518="Analogy",$F518="Assumed",$F518="Derived（待改公式）",$F518="Derived（公式）"),OR($N518="—",$N518="",$N518=0)),1,0)</f>
        <v>0</v>
      </c>
      <c r="Z518" s="183" t="n">
        <f aca="false">IF(AND($F518="Decision",OR($J518="—",$J518="")),1,0)</f>
        <v>0</v>
      </c>
      <c r="AA518" s="180" t="n">
        <f aca="false">IF(OR($J518="—",$J518=""),0,IF(COUNTIF(Decisions!$A$5:$A$300,$J518)=0,1,0))</f>
        <v>0</v>
      </c>
      <c r="AB518" s="183" t="n">
        <f aca="false">IF(AND($F518="原始數據",$S518&lt;&gt;"Active"),1,0)</f>
        <v>0</v>
      </c>
      <c r="AC518" s="183" t="n">
        <f aca="false">IF(AND(ISNUMBER($K518),ISNUMBER($L518),ISNUMBER($Q518)),IF(OR($Q518&lt;MIN($K518,$L518),$Q518&gt;MAX($K518,$L518)),1,0),0)</f>
        <v>0</v>
      </c>
      <c r="AD518" s="183" t="n">
        <f aca="false">IF(AND(ISNUMBER($T518),$P518="高"),IF($T518=3,1,0),0)</f>
        <v>0</v>
      </c>
      <c r="AE518" s="183" t="n">
        <f aca="false">IF($S518="不存在",1,0)</f>
        <v>0</v>
      </c>
      <c r="AF518" s="34" t="str">
        <f aca="false">IF(OR($H518="—",$H518=""),"—",MATCH($H518,IDX_SrcID,0))</f>
        <v>—</v>
      </c>
    </row>
    <row r="519" customFormat="false" ht="43.5" hidden="false" customHeight="true" outlineLevel="0" collapsed="false">
      <c r="A519" s="35" t="s">
        <v>4028</v>
      </c>
      <c r="B519" s="209" t="s">
        <v>3733</v>
      </c>
      <c r="C519" s="35" t="s">
        <v>24</v>
      </c>
      <c r="D519" s="35" t="s">
        <v>4029</v>
      </c>
      <c r="E519" s="6" t="s">
        <v>569</v>
      </c>
      <c r="F519" s="209" t="s">
        <v>3847</v>
      </c>
      <c r="G519" s="209" t="s">
        <v>3420</v>
      </c>
      <c r="H519" s="35" t="s">
        <v>571</v>
      </c>
      <c r="I519" s="18" t="s">
        <v>4030</v>
      </c>
      <c r="J519" s="35" t="s">
        <v>4031</v>
      </c>
      <c r="K519" s="209"/>
      <c r="L519" s="209"/>
      <c r="M519" s="209" t="s">
        <v>2624</v>
      </c>
      <c r="N519" s="18" t="s">
        <v>4032</v>
      </c>
      <c r="O519" s="6" t="s">
        <v>571</v>
      </c>
      <c r="P519" s="209" t="s">
        <v>2682</v>
      </c>
      <c r="Q519" s="182" t="s">
        <v>571</v>
      </c>
      <c r="R519" s="35" t="s">
        <v>571</v>
      </c>
      <c r="S519" s="34" t="str">
        <f aca="false">IF(ISNUMBER($AF519),INDEX(IDX_SrcStat,$AF519),"—")</f>
        <v>—</v>
      </c>
      <c r="T519" s="34" t="str">
        <f aca="false">IF(ISNUMBER($AF519),INDEX(IDX_SrcGrade,$AF519),"—")</f>
        <v>—</v>
      </c>
      <c r="U519" s="35" t="s">
        <v>571</v>
      </c>
      <c r="V519" s="183" t="n">
        <f aca="false">IF(AND($F519="原始數據",$U519&lt;&gt;"連結 SRC"),1,0)</f>
        <v>0</v>
      </c>
      <c r="W519" s="183" t="n">
        <f aca="false">IF(AND($F519="Analogy",OR($H519="—",$H519="")),1,0)</f>
        <v>0</v>
      </c>
      <c r="X519" s="183" t="n">
        <f aca="false">IF(AND(OR($F519="Analogy",$F519="Assumed"),$G519&lt;&gt;"低",$G519&lt;&gt;"高",NOT(ISNUMBER($K519)),NOT(ISNUMBER($L519)),OR($M519="—",$M519="")),1,0)</f>
        <v>0</v>
      </c>
      <c r="Y519" s="183" t="n">
        <f aca="false">IF(AND(OR($F519="Analogy",$F519="Assumed",$F519="Derived（待改公式）",$F519="Derived（公式）"),OR($N519="—",$N519="",$N519=0)),1,0)</f>
        <v>0</v>
      </c>
      <c r="Z519" s="183" t="n">
        <f aca="false">IF(AND($F519="Decision",OR($J519="—",$J519="")),1,0)</f>
        <v>0</v>
      </c>
      <c r="AA519" s="180" t="n">
        <f aca="false">IF(OR($J519="—",$J519=""),0,IF(COUNTIF(Decisions!$A$5:$A$300,$J519)=0,1,0))</f>
        <v>0</v>
      </c>
      <c r="AB519" s="183" t="n">
        <f aca="false">IF(AND($F519="原始數據",$S519&lt;&gt;"Active"),1,0)</f>
        <v>0</v>
      </c>
      <c r="AC519" s="183" t="n">
        <f aca="false">IF(AND(ISNUMBER($K519),ISNUMBER($L519),ISNUMBER($Q519)),IF(OR($Q519&lt;MIN($K519,$L519),$Q519&gt;MAX($K519,$L519)),1,0),0)</f>
        <v>0</v>
      </c>
      <c r="AD519" s="183" t="n">
        <f aca="false">IF(AND(ISNUMBER($T519),$P519="高"),IF($T519=3,1,0),0)</f>
        <v>0</v>
      </c>
      <c r="AE519" s="183" t="n">
        <f aca="false">IF($S519="不存在",1,0)</f>
        <v>0</v>
      </c>
      <c r="AF519" s="34" t="str">
        <f aca="false">IF(OR($H519="—",$H519=""),"—",MATCH($H519,IDX_SrcID,0))</f>
        <v>—</v>
      </c>
    </row>
    <row r="520" customFormat="false" ht="29.25" hidden="false" customHeight="true" outlineLevel="0" collapsed="false">
      <c r="A520" s="35" t="s">
        <v>4033</v>
      </c>
      <c r="B520" s="209" t="s">
        <v>3733</v>
      </c>
      <c r="C520" s="35" t="s">
        <v>24</v>
      </c>
      <c r="D520" s="35" t="s">
        <v>4034</v>
      </c>
      <c r="E520" s="6" t="s">
        <v>624</v>
      </c>
      <c r="F520" s="209" t="s">
        <v>3847</v>
      </c>
      <c r="G520" s="209" t="s">
        <v>3420</v>
      </c>
      <c r="H520" s="35" t="s">
        <v>571</v>
      </c>
      <c r="I520" s="18" t="s">
        <v>4030</v>
      </c>
      <c r="J520" s="35" t="s">
        <v>4031</v>
      </c>
      <c r="K520" s="209"/>
      <c r="L520" s="209"/>
      <c r="M520" s="209" t="s">
        <v>2624</v>
      </c>
      <c r="N520" s="18" t="s">
        <v>4035</v>
      </c>
      <c r="O520" s="6" t="s">
        <v>571</v>
      </c>
      <c r="P520" s="209" t="s">
        <v>2682</v>
      </c>
      <c r="Q520" s="182" t="s">
        <v>571</v>
      </c>
      <c r="R520" s="35" t="s">
        <v>571</v>
      </c>
      <c r="S520" s="34" t="str">
        <f aca="false">IF(ISNUMBER($AF520),INDEX(IDX_SrcStat,$AF520),"—")</f>
        <v>—</v>
      </c>
      <c r="T520" s="34" t="str">
        <f aca="false">IF(ISNUMBER($AF520),INDEX(IDX_SrcGrade,$AF520),"—")</f>
        <v>—</v>
      </c>
      <c r="U520" s="35" t="s">
        <v>571</v>
      </c>
      <c r="V520" s="183" t="n">
        <f aca="false">IF(AND($F520="原始數據",$U520&lt;&gt;"連結 SRC"),1,0)</f>
        <v>0</v>
      </c>
      <c r="W520" s="183" t="n">
        <f aca="false">IF(AND($F520="Analogy",OR($H520="—",$H520="")),1,0)</f>
        <v>0</v>
      </c>
      <c r="X520" s="183" t="n">
        <f aca="false">IF(AND(OR($F520="Analogy",$F520="Assumed"),$G520&lt;&gt;"低",$G520&lt;&gt;"高",NOT(ISNUMBER($K520)),NOT(ISNUMBER($L520)),OR($M520="—",$M520="")),1,0)</f>
        <v>0</v>
      </c>
      <c r="Y520" s="183" t="n">
        <f aca="false">IF(AND(OR($F520="Analogy",$F520="Assumed",$F520="Derived（待改公式）",$F520="Derived（公式）"),OR($N520="—",$N520="",$N520=0)),1,0)</f>
        <v>0</v>
      </c>
      <c r="Z520" s="183" t="n">
        <f aca="false">IF(AND($F520="Decision",OR($J520="—",$J520="")),1,0)</f>
        <v>0</v>
      </c>
      <c r="AA520" s="180" t="n">
        <f aca="false">IF(OR($J520="—",$J520=""),0,IF(COUNTIF(Decisions!$A$5:$A$300,$J520)=0,1,0))</f>
        <v>0</v>
      </c>
      <c r="AB520" s="183" t="n">
        <f aca="false">IF(AND($F520="原始數據",$S520&lt;&gt;"Active"),1,0)</f>
        <v>0</v>
      </c>
      <c r="AC520" s="183" t="n">
        <f aca="false">IF(AND(ISNUMBER($K520),ISNUMBER($L520),ISNUMBER($Q520)),IF(OR($Q520&lt;MIN($K520,$L520),$Q520&gt;MAX($K520,$L520)),1,0),0)</f>
        <v>0</v>
      </c>
      <c r="AD520" s="183" t="n">
        <f aca="false">IF(AND(ISNUMBER($T520),$P520="高"),IF($T520=3,1,0),0)</f>
        <v>0</v>
      </c>
      <c r="AE520" s="183" t="n">
        <f aca="false">IF($S520="不存在",1,0)</f>
        <v>0</v>
      </c>
      <c r="AF520" s="34" t="str">
        <f aca="false">IF(OR($H520="—",$H520=""),"—",MATCH($H520,IDX_SrcID,0))</f>
        <v>—</v>
      </c>
    </row>
    <row r="521" customFormat="false" ht="15" hidden="false" customHeight="true" outlineLevel="0" collapsed="false">
      <c r="A521" s="35" t="s">
        <v>4036</v>
      </c>
      <c r="B521" s="209" t="s">
        <v>3733</v>
      </c>
      <c r="C521" s="35" t="s">
        <v>24</v>
      </c>
      <c r="D521" s="35" t="s">
        <v>4037</v>
      </c>
      <c r="E521" s="6" t="s">
        <v>569</v>
      </c>
      <c r="F521" s="35" t="s">
        <v>72</v>
      </c>
      <c r="G521" s="209" t="s">
        <v>3420</v>
      </c>
      <c r="H521" s="35" t="s">
        <v>571</v>
      </c>
      <c r="I521" s="6" t="s">
        <v>571</v>
      </c>
      <c r="J521" s="35" t="s">
        <v>571</v>
      </c>
      <c r="K521" s="209"/>
      <c r="L521" s="209"/>
      <c r="M521" s="35" t="s">
        <v>4038</v>
      </c>
      <c r="N521" s="18" t="s">
        <v>4039</v>
      </c>
      <c r="O521" s="6" t="s">
        <v>571</v>
      </c>
      <c r="P521" s="209" t="s">
        <v>2682</v>
      </c>
      <c r="Q521" s="182" t="s">
        <v>571</v>
      </c>
      <c r="R521" s="35" t="s">
        <v>571</v>
      </c>
      <c r="S521" s="34" t="str">
        <f aca="false">IF(ISNUMBER($AF521),INDEX(IDX_SrcStat,$AF521),"—")</f>
        <v>—</v>
      </c>
      <c r="T521" s="34" t="str">
        <f aca="false">IF(ISNUMBER($AF521),INDEX(IDX_SrcGrade,$AF521),"—")</f>
        <v>—</v>
      </c>
      <c r="U521" s="35" t="s">
        <v>571</v>
      </c>
      <c r="V521" s="183" t="n">
        <f aca="false">IF(AND($F521="原始數據",$U521&lt;&gt;"連結 SRC"),1,0)</f>
        <v>0</v>
      </c>
      <c r="W521" s="183" t="n">
        <f aca="false">IF(AND($F521="Analogy",OR($H521="—",$H521="")),1,0)</f>
        <v>0</v>
      </c>
      <c r="X521" s="183" t="n">
        <f aca="false">IF(AND(OR($F521="Analogy",$F521="Assumed"),$G521&lt;&gt;"低",$G521&lt;&gt;"高",NOT(ISNUMBER($K521)),NOT(ISNUMBER($L521)),OR($M521="—",$M521="")),1,0)</f>
        <v>0</v>
      </c>
      <c r="Y521" s="183" t="n">
        <f aca="false">IF(AND(OR($F521="Analogy",$F521="Assumed",$F521="Derived（待改公式）",$F521="Derived（公式）"),OR($N521="—",$N521="",$N521=0)),1,0)</f>
        <v>0</v>
      </c>
      <c r="Z521" s="183" t="n">
        <f aca="false">IF(AND($F521="Decision",OR($J521="—",$J521="")),1,0)</f>
        <v>0</v>
      </c>
      <c r="AA521" s="180" t="n">
        <f aca="false">IF(OR($J521="—",$J521=""),0,IF(COUNTIF(Decisions!$A$5:$A$300,$J521)=0,1,0))</f>
        <v>0</v>
      </c>
      <c r="AB521" s="183" t="n">
        <f aca="false">IF(AND($F521="原始數據",$S521&lt;&gt;"Active"),1,0)</f>
        <v>0</v>
      </c>
      <c r="AC521" s="183" t="n">
        <f aca="false">IF(AND(ISNUMBER($K521),ISNUMBER($L521),ISNUMBER($Q521)),IF(OR($Q521&lt;MIN($K521,$L521),$Q521&gt;MAX($K521,$L521)),1,0),0)</f>
        <v>0</v>
      </c>
      <c r="AD521" s="183" t="n">
        <f aca="false">IF(AND(ISNUMBER($T521),$P521="高"),IF($T521=3,1,0),0)</f>
        <v>0</v>
      </c>
      <c r="AE521" s="183" t="n">
        <f aca="false">IF($S521="不存在",1,0)</f>
        <v>0</v>
      </c>
      <c r="AF521" s="34" t="str">
        <f aca="false">IF(OR($H521="—",$H521=""),"—",MATCH($H521,IDX_SrcID,0))</f>
        <v>—</v>
      </c>
    </row>
    <row r="522" customFormat="false" ht="43.5" hidden="false" customHeight="true" outlineLevel="0" collapsed="false">
      <c r="A522" s="35" t="s">
        <v>4040</v>
      </c>
      <c r="B522" s="209" t="s">
        <v>3733</v>
      </c>
      <c r="C522" s="35" t="s">
        <v>24</v>
      </c>
      <c r="D522" s="35" t="s">
        <v>4041</v>
      </c>
      <c r="E522" s="6" t="s">
        <v>569</v>
      </c>
      <c r="F522" s="35" t="s">
        <v>64</v>
      </c>
      <c r="G522" s="209" t="s">
        <v>3420</v>
      </c>
      <c r="H522" s="35" t="s">
        <v>571</v>
      </c>
      <c r="I522" s="6" t="s">
        <v>571</v>
      </c>
      <c r="J522" s="35" t="s">
        <v>3706</v>
      </c>
      <c r="K522" s="209"/>
      <c r="L522" s="209"/>
      <c r="M522" s="209" t="s">
        <v>2624</v>
      </c>
      <c r="N522" s="18" t="s">
        <v>4042</v>
      </c>
      <c r="O522" s="6" t="s">
        <v>571</v>
      </c>
      <c r="P522" s="209" t="s">
        <v>2682</v>
      </c>
      <c r="Q522" s="182" t="s">
        <v>571</v>
      </c>
      <c r="R522" s="35" t="s">
        <v>571</v>
      </c>
      <c r="S522" s="34" t="str">
        <f aca="false">IF(ISNUMBER($AF522),INDEX(IDX_SrcStat,$AF522),"—")</f>
        <v>—</v>
      </c>
      <c r="T522" s="34" t="str">
        <f aca="false">IF(ISNUMBER($AF522),INDEX(IDX_SrcGrade,$AF522),"—")</f>
        <v>—</v>
      </c>
      <c r="U522" s="35" t="s">
        <v>571</v>
      </c>
      <c r="V522" s="183" t="n">
        <f aca="false">IF(AND($F522="原始數據",$U522&lt;&gt;"連結 SRC"),1,0)</f>
        <v>0</v>
      </c>
      <c r="W522" s="183" t="n">
        <f aca="false">IF(AND($F522="Analogy",OR($H522="—",$H522="")),1,0)</f>
        <v>0</v>
      </c>
      <c r="X522" s="183" t="n">
        <f aca="false">IF(AND(OR($F522="Analogy",$F522="Assumed"),$G522&lt;&gt;"低",$G522&lt;&gt;"高",NOT(ISNUMBER($K522)),NOT(ISNUMBER($L522)),OR($M522="—",$M522="")),1,0)</f>
        <v>0</v>
      </c>
      <c r="Y522" s="183" t="n">
        <f aca="false">IF(AND(OR($F522="Analogy",$F522="Assumed",$F522="Derived（待改公式）",$F522="Derived（公式）"),OR($N522="—",$N522="",$N522=0)),1,0)</f>
        <v>0</v>
      </c>
      <c r="Z522" s="183" t="n">
        <f aca="false">IF(AND($F522="Decision",OR($J522="—",$J522="")),1,0)</f>
        <v>0</v>
      </c>
      <c r="AA522" s="180" t="n">
        <f aca="false">IF(OR($J522="—",$J522=""),0,IF(COUNTIF(Decisions!$A$5:$A$300,$J522)=0,1,0))</f>
        <v>0</v>
      </c>
      <c r="AB522" s="183" t="n">
        <f aca="false">IF(AND($F522="原始數據",$S522&lt;&gt;"Active"),1,0)</f>
        <v>0</v>
      </c>
      <c r="AC522" s="183" t="n">
        <f aca="false">IF(AND(ISNUMBER($K522),ISNUMBER($L522),ISNUMBER($Q522)),IF(OR($Q522&lt;MIN($K522,$L522),$Q522&gt;MAX($K522,$L522)),1,0),0)</f>
        <v>0</v>
      </c>
      <c r="AD522" s="183" t="n">
        <f aca="false">IF(AND(ISNUMBER($T522),$P522="高"),IF($T522=3,1,0),0)</f>
        <v>0</v>
      </c>
      <c r="AE522" s="183" t="n">
        <f aca="false">IF($S522="不存在",1,0)</f>
        <v>0</v>
      </c>
      <c r="AF522" s="34" t="str">
        <f aca="false">IF(OR($H522="—",$H522=""),"—",MATCH($H522,IDX_SrcID,0))</f>
        <v>—</v>
      </c>
    </row>
    <row r="523" customFormat="false" ht="57.75" hidden="false" customHeight="true" outlineLevel="0" collapsed="false">
      <c r="A523" s="35" t="s">
        <v>4043</v>
      </c>
      <c r="B523" s="209" t="s">
        <v>3733</v>
      </c>
      <c r="C523" s="35" t="s">
        <v>3686</v>
      </c>
      <c r="D523" s="35" t="s">
        <v>2836</v>
      </c>
      <c r="E523" s="18" t="s">
        <v>4044</v>
      </c>
      <c r="F523" s="35" t="s">
        <v>76</v>
      </c>
      <c r="G523" s="209" t="s">
        <v>2679</v>
      </c>
      <c r="H523" s="35" t="s">
        <v>4045</v>
      </c>
      <c r="I523" s="18" t="s">
        <v>4046</v>
      </c>
      <c r="J523" s="35" t="s">
        <v>571</v>
      </c>
      <c r="K523" s="211" t="n">
        <v>0.18</v>
      </c>
      <c r="L523" s="211" t="n">
        <v>0.35</v>
      </c>
      <c r="M523" s="35" t="s">
        <v>4047</v>
      </c>
      <c r="N523" s="18" t="s">
        <v>4048</v>
      </c>
      <c r="O523" s="6" t="s">
        <v>571</v>
      </c>
      <c r="P523" s="209" t="s">
        <v>1100</v>
      </c>
      <c r="Q523" s="174" t="n">
        <f aca="false">Train_In!C6</f>
        <v>0.25</v>
      </c>
      <c r="R523" s="182" t="n">
        <f aca="false">SRC_PERF_036_Lo</f>
        <v>0.38</v>
      </c>
      <c r="S523" s="34" t="str">
        <f aca="false">IF(ISNUMBER($AF523),INDEX(IDX_SrcStat,$AF523),"—")</f>
        <v>Active</v>
      </c>
      <c r="T523" s="34" t="n">
        <f aca="false">IF(ISNUMBER($AF523),INDEX(IDX_SrcGrade,$AF523),"—")</f>
        <v>1</v>
      </c>
      <c r="U523" s="34" t="s">
        <v>2683</v>
      </c>
      <c r="V523" s="183" t="n">
        <f aca="false">IF(AND($F523="原始數據",$U523&lt;&gt;"連結 SRC"),1,0)</f>
        <v>0</v>
      </c>
      <c r="W523" s="183" t="n">
        <f aca="false">IF(AND($F523="Analogy",OR($H523="—",$H523="")),1,0)</f>
        <v>0</v>
      </c>
      <c r="X523" s="183" t="n">
        <f aca="false">IF(AND(OR($F523="Analogy",$F523="Assumed"),$G523&lt;&gt;"低",$G523&lt;&gt;"高",NOT(ISNUMBER($K523)),NOT(ISNUMBER($L523)),OR($M523="—",$M523="")),1,0)</f>
        <v>0</v>
      </c>
      <c r="Y523" s="183" t="n">
        <f aca="false">IF(AND(OR($F523="Analogy",$F523="Assumed",$F523="Derived（待改公式）",$F523="Derived（公式）"),OR($N523="—",$N523="",$N523=0)),1,0)</f>
        <v>0</v>
      </c>
      <c r="Z523" s="183" t="n">
        <f aca="false">IF(AND($F523="Decision",OR($J523="—",$J523="")),1,0)</f>
        <v>0</v>
      </c>
      <c r="AA523" s="180" t="n">
        <f aca="false">IF(OR($J523="—",$J523=""),0,IF(COUNTIF(Decisions!$A$5:$A$300,$J523)=0,1,0))</f>
        <v>0</v>
      </c>
      <c r="AB523" s="183" t="n">
        <f aca="false">IF(AND($F523="原始數據",$S523&lt;&gt;"Active"),1,0)</f>
        <v>0</v>
      </c>
      <c r="AC523" s="183" t="n">
        <f aca="false">IF(AND(ISNUMBER($K523),ISNUMBER($L523),ISNUMBER($Q523)),IF(OR($Q523&lt;MIN($K523,$L523),$Q523&gt;MAX($K523,$L523)),1,0),0)</f>
        <v>0</v>
      </c>
      <c r="AD523" s="183" t="n">
        <f aca="false">IF(AND(ISNUMBER($T523),$P523="高"),IF($T523=3,1,0),0)</f>
        <v>0</v>
      </c>
      <c r="AE523" s="183" t="n">
        <f aca="false">IF($S523="不存在",1,0)</f>
        <v>0</v>
      </c>
      <c r="AF523" s="34" t="n">
        <f aca="false">IF(OR($H523="—",$H523=""),"—",MATCH($H523,IDX_SrcID,0))</f>
        <v>317</v>
      </c>
    </row>
    <row r="524" customFormat="false" ht="57.75" hidden="false" customHeight="true" outlineLevel="0" collapsed="false">
      <c r="A524" s="35" t="s">
        <v>4049</v>
      </c>
      <c r="B524" s="209" t="s">
        <v>3733</v>
      </c>
      <c r="C524" s="35" t="s">
        <v>3686</v>
      </c>
      <c r="D524" s="35" t="s">
        <v>3160</v>
      </c>
      <c r="E524" s="6" t="s">
        <v>875</v>
      </c>
      <c r="F524" s="35" t="s">
        <v>76</v>
      </c>
      <c r="G524" s="209" t="s">
        <v>2679</v>
      </c>
      <c r="H524" s="35" t="s">
        <v>4050</v>
      </c>
      <c r="I524" s="18" t="s">
        <v>4051</v>
      </c>
      <c r="J524" s="35" t="s">
        <v>571</v>
      </c>
      <c r="K524" s="211" t="n">
        <v>0.8</v>
      </c>
      <c r="L524" s="211" t="n">
        <v>0.95</v>
      </c>
      <c r="M524" s="35" t="s">
        <v>4052</v>
      </c>
      <c r="N524" s="6" t="s">
        <v>4053</v>
      </c>
      <c r="O524" s="6" t="s">
        <v>571</v>
      </c>
      <c r="P524" s="209" t="s">
        <v>1100</v>
      </c>
      <c r="Q524" s="174" t="n">
        <f aca="false">Train_In!C7</f>
        <v>0.9</v>
      </c>
      <c r="R524" s="182" t="n">
        <f aca="false">SRC_PERF_037</f>
        <v>0.9</v>
      </c>
      <c r="S524" s="34" t="str">
        <f aca="false">IF(ISNUMBER($AF524),INDEX(IDX_SrcStat,$AF524),"—")</f>
        <v>Active</v>
      </c>
      <c r="T524" s="34" t="n">
        <f aca="false">IF(ISNUMBER($AF524),INDEX(IDX_SrcGrade,$AF524),"—")</f>
        <v>1</v>
      </c>
      <c r="U524" s="34" t="s">
        <v>2683</v>
      </c>
      <c r="V524" s="183" t="n">
        <f aca="false">IF(AND($F524="原始數據",$U524&lt;&gt;"連結 SRC"),1,0)</f>
        <v>0</v>
      </c>
      <c r="W524" s="183" t="n">
        <f aca="false">IF(AND($F524="Analogy",OR($H524="—",$H524="")),1,0)</f>
        <v>0</v>
      </c>
      <c r="X524" s="183" t="n">
        <f aca="false">IF(AND(OR($F524="Analogy",$F524="Assumed"),$G524&lt;&gt;"低",$G524&lt;&gt;"高",NOT(ISNUMBER($K524)),NOT(ISNUMBER($L524)),OR($M524="—",$M524="")),1,0)</f>
        <v>0</v>
      </c>
      <c r="Y524" s="183" t="n">
        <f aca="false">IF(AND(OR($F524="Analogy",$F524="Assumed",$F524="Derived（待改公式）",$F524="Derived（公式）"),OR($N524="—",$N524="",$N524=0)),1,0)</f>
        <v>0</v>
      </c>
      <c r="Z524" s="183" t="n">
        <f aca="false">IF(AND($F524="Decision",OR($J524="—",$J524="")),1,0)</f>
        <v>0</v>
      </c>
      <c r="AA524" s="180" t="n">
        <f aca="false">IF(OR($J524="—",$J524=""),0,IF(COUNTIF(Decisions!$A$5:$A$300,$J524)=0,1,0))</f>
        <v>0</v>
      </c>
      <c r="AB524" s="183" t="n">
        <f aca="false">IF(AND($F524="原始數據",$S524&lt;&gt;"Active"),1,0)</f>
        <v>0</v>
      </c>
      <c r="AC524" s="183" t="n">
        <f aca="false">IF(AND(ISNUMBER($K524),ISNUMBER($L524),ISNUMBER($Q524)),IF(OR($Q524&lt;MIN($K524,$L524),$Q524&gt;MAX($K524,$L524)),1,0),0)</f>
        <v>0</v>
      </c>
      <c r="AD524" s="183" t="n">
        <f aca="false">IF(AND(ISNUMBER($T524),$P524="高"),IF($T524=3,1,0),0)</f>
        <v>0</v>
      </c>
      <c r="AE524" s="183" t="n">
        <f aca="false">IF($S524="不存在",1,0)</f>
        <v>0</v>
      </c>
      <c r="AF524" s="34" t="n">
        <f aca="false">IF(OR($H524="—",$H524=""),"—",MATCH($H524,IDX_SrcID,0))</f>
        <v>318</v>
      </c>
    </row>
    <row r="525" customFormat="false" ht="29.25" hidden="false" customHeight="true" outlineLevel="0" collapsed="false">
      <c r="A525" s="35" t="s">
        <v>4054</v>
      </c>
      <c r="B525" s="209" t="s">
        <v>3733</v>
      </c>
      <c r="C525" s="35" t="s">
        <v>3686</v>
      </c>
      <c r="D525" s="35" t="s">
        <v>2849</v>
      </c>
      <c r="E525" s="6" t="s">
        <v>877</v>
      </c>
      <c r="F525" s="35" t="s">
        <v>72</v>
      </c>
      <c r="G525" s="209" t="s">
        <v>2679</v>
      </c>
      <c r="H525" s="35" t="s">
        <v>571</v>
      </c>
      <c r="I525" s="6" t="s">
        <v>571</v>
      </c>
      <c r="J525" s="35" t="s">
        <v>571</v>
      </c>
      <c r="K525" s="211" t="n">
        <v>0.6</v>
      </c>
      <c r="L525" s="211" t="n">
        <v>1</v>
      </c>
      <c r="M525" s="35" t="s">
        <v>4055</v>
      </c>
      <c r="N525" s="6" t="s">
        <v>4056</v>
      </c>
      <c r="O525" s="6" t="s">
        <v>571</v>
      </c>
      <c r="P525" s="209" t="s">
        <v>1099</v>
      </c>
      <c r="Q525" s="172" t="n">
        <f aca="false">Train_In!C8</f>
        <v>0.8</v>
      </c>
      <c r="R525" s="35" t="s">
        <v>571</v>
      </c>
      <c r="S525" s="34" t="str">
        <f aca="false">IF(ISNUMBER($AF525),INDEX(IDX_SrcStat,$AF525),"—")</f>
        <v>—</v>
      </c>
      <c r="T525" s="34" t="str">
        <f aca="false">IF(ISNUMBER($AF525),INDEX(IDX_SrcGrade,$AF525),"—")</f>
        <v>—</v>
      </c>
      <c r="U525" s="34" t="s">
        <v>2683</v>
      </c>
      <c r="V525" s="183" t="n">
        <f aca="false">IF(AND($F525="原始數據",$U525&lt;&gt;"連結 SRC"),1,0)</f>
        <v>0</v>
      </c>
      <c r="W525" s="183" t="n">
        <f aca="false">IF(AND($F525="Analogy",OR($H525="—",$H525="")),1,0)</f>
        <v>0</v>
      </c>
      <c r="X525" s="183" t="n">
        <f aca="false">IF(AND(OR($F525="Analogy",$F525="Assumed"),$G525&lt;&gt;"低",$G525&lt;&gt;"高",NOT(ISNUMBER($K525)),NOT(ISNUMBER($L525)),OR($M525="—",$M525="")),1,0)</f>
        <v>0</v>
      </c>
      <c r="Y525" s="183" t="n">
        <f aca="false">IF(AND(OR($F525="Analogy",$F525="Assumed",$F525="Derived（待改公式）",$F525="Derived（公式）"),OR($N525="—",$N525="",$N525=0)),1,0)</f>
        <v>0</v>
      </c>
      <c r="Z525" s="183" t="n">
        <f aca="false">IF(AND($F525="Decision",OR($J525="—",$J525="")),1,0)</f>
        <v>0</v>
      </c>
      <c r="AA525" s="180" t="n">
        <f aca="false">IF(OR($J525="—",$J525=""),0,IF(COUNTIF(Decisions!$A$5:$A$300,$J525)=0,1,0))</f>
        <v>0</v>
      </c>
      <c r="AB525" s="183" t="n">
        <f aca="false">IF(AND($F525="原始數據",$S525&lt;&gt;"Active"),1,0)</f>
        <v>0</v>
      </c>
      <c r="AC525" s="183" t="n">
        <f aca="false">IF(AND(ISNUMBER($K525),ISNUMBER($L525),ISNUMBER($Q525)),IF(OR($Q525&lt;MIN($K525,$L525),$Q525&gt;MAX($K525,$L525)),1,0),0)</f>
        <v>0</v>
      </c>
      <c r="AD525" s="183" t="n">
        <f aca="false">IF(AND(ISNUMBER($T525),$P525="高"),IF($T525=3,1,0),0)</f>
        <v>0</v>
      </c>
      <c r="AE525" s="183" t="n">
        <f aca="false">IF($S525="不存在",1,0)</f>
        <v>0</v>
      </c>
      <c r="AF525" s="34" t="str">
        <f aca="false">IF(OR($H525="—",$H525=""),"—",MATCH($H525,IDX_SrcID,0))</f>
        <v>—</v>
      </c>
    </row>
    <row r="526" customFormat="false" ht="29.25" hidden="false" customHeight="true" outlineLevel="0" collapsed="false">
      <c r="A526" s="35" t="s">
        <v>4057</v>
      </c>
      <c r="B526" s="209" t="s">
        <v>3733</v>
      </c>
      <c r="C526" s="35" t="s">
        <v>3686</v>
      </c>
      <c r="D526" s="35" t="s">
        <v>2863</v>
      </c>
      <c r="E526" s="6" t="s">
        <v>879</v>
      </c>
      <c r="F526" s="35" t="s">
        <v>72</v>
      </c>
      <c r="G526" s="209" t="s">
        <v>2679</v>
      </c>
      <c r="H526" s="35" t="s">
        <v>571</v>
      </c>
      <c r="I526" s="6" t="s">
        <v>571</v>
      </c>
      <c r="J526" s="35" t="s">
        <v>571</v>
      </c>
      <c r="K526" s="211" t="n">
        <v>0.4</v>
      </c>
      <c r="L526" s="211" t="n">
        <v>0.9</v>
      </c>
      <c r="M526" s="35" t="s">
        <v>4058</v>
      </c>
      <c r="N526" s="6" t="s">
        <v>4059</v>
      </c>
      <c r="O526" s="6" t="s">
        <v>571</v>
      </c>
      <c r="P526" s="209" t="s">
        <v>2738</v>
      </c>
      <c r="Q526" s="172" t="n">
        <f aca="false">Train_In!C9</f>
        <v>0.6</v>
      </c>
      <c r="R526" s="35" t="s">
        <v>571</v>
      </c>
      <c r="S526" s="34" t="str">
        <f aca="false">IF(ISNUMBER($AF526),INDEX(IDX_SrcStat,$AF526),"—")</f>
        <v>—</v>
      </c>
      <c r="T526" s="34" t="str">
        <f aca="false">IF(ISNUMBER($AF526),INDEX(IDX_SrcGrade,$AF526),"—")</f>
        <v>—</v>
      </c>
      <c r="U526" s="34" t="s">
        <v>2683</v>
      </c>
      <c r="V526" s="183" t="n">
        <f aca="false">IF(AND($F526="原始數據",$U526&lt;&gt;"連結 SRC"),1,0)</f>
        <v>0</v>
      </c>
      <c r="W526" s="183" t="n">
        <f aca="false">IF(AND($F526="Analogy",OR($H526="—",$H526="")),1,0)</f>
        <v>0</v>
      </c>
      <c r="X526" s="183" t="n">
        <f aca="false">IF(AND(OR($F526="Analogy",$F526="Assumed"),$G526&lt;&gt;"低",$G526&lt;&gt;"高",NOT(ISNUMBER($K526)),NOT(ISNUMBER($L526)),OR($M526="—",$M526="")),1,0)</f>
        <v>0</v>
      </c>
      <c r="Y526" s="183" t="n">
        <f aca="false">IF(AND(OR($F526="Analogy",$F526="Assumed",$F526="Derived（待改公式）",$F526="Derived（公式）"),OR($N526="—",$N526="",$N526=0)),1,0)</f>
        <v>0</v>
      </c>
      <c r="Z526" s="183" t="n">
        <f aca="false">IF(AND($F526="Decision",OR($J526="—",$J526="")),1,0)</f>
        <v>0</v>
      </c>
      <c r="AA526" s="180" t="n">
        <f aca="false">IF(OR($J526="—",$J526=""),0,IF(COUNTIF(Decisions!$A$5:$A$300,$J526)=0,1,0))</f>
        <v>0</v>
      </c>
      <c r="AB526" s="183" t="n">
        <f aca="false">IF(AND($F526="原始數據",$S526&lt;&gt;"Active"),1,0)</f>
        <v>0</v>
      </c>
      <c r="AC526" s="183" t="n">
        <f aca="false">IF(AND(ISNUMBER($K526),ISNUMBER($L526),ISNUMBER($Q526)),IF(OR($Q526&lt;MIN($K526,$L526),$Q526&gt;MAX($K526,$L526)),1,0),0)</f>
        <v>0</v>
      </c>
      <c r="AD526" s="183" t="n">
        <f aca="false">IF(AND(ISNUMBER($T526),$P526="高"),IF($T526=3,1,0),0)</f>
        <v>0</v>
      </c>
      <c r="AE526" s="183" t="n">
        <f aca="false">IF($S526="不存在",1,0)</f>
        <v>0</v>
      </c>
      <c r="AF526" s="34" t="str">
        <f aca="false">IF(OR($H526="—",$H526=""),"—",MATCH($H526,IDX_SrcID,0))</f>
        <v>—</v>
      </c>
    </row>
    <row r="527" customFormat="false" ht="29.25" hidden="false" customHeight="true" outlineLevel="0" collapsed="false">
      <c r="A527" s="35" t="s">
        <v>4060</v>
      </c>
      <c r="B527" s="209" t="s">
        <v>3733</v>
      </c>
      <c r="C527" s="35" t="s">
        <v>3686</v>
      </c>
      <c r="D527" s="35" t="s">
        <v>2883</v>
      </c>
      <c r="E527" s="18" t="s">
        <v>4061</v>
      </c>
      <c r="F527" s="35" t="s">
        <v>72</v>
      </c>
      <c r="G527" s="209" t="s">
        <v>2679</v>
      </c>
      <c r="H527" s="35" t="s">
        <v>571</v>
      </c>
      <c r="I527" s="6" t="s">
        <v>571</v>
      </c>
      <c r="J527" s="35" t="s">
        <v>571</v>
      </c>
      <c r="K527" s="211" t="n">
        <v>0</v>
      </c>
      <c r="L527" s="211" t="n">
        <v>1</v>
      </c>
      <c r="M527" s="35" t="s">
        <v>4062</v>
      </c>
      <c r="N527" s="6" t="s">
        <v>4063</v>
      </c>
      <c r="O527" s="6" t="s">
        <v>571</v>
      </c>
      <c r="P527" s="209" t="s">
        <v>2682</v>
      </c>
      <c r="Q527" s="180" t="n">
        <f aca="false">Train_In!C10</f>
        <v>0</v>
      </c>
      <c r="R527" s="35" t="s">
        <v>571</v>
      </c>
      <c r="S527" s="34" t="str">
        <f aca="false">IF(ISNUMBER($AF527),INDEX(IDX_SrcStat,$AF527),"—")</f>
        <v>—</v>
      </c>
      <c r="T527" s="34" t="str">
        <f aca="false">IF(ISNUMBER($AF527),INDEX(IDX_SrcGrade,$AF527),"—")</f>
        <v>—</v>
      </c>
      <c r="U527" s="34" t="s">
        <v>2683</v>
      </c>
      <c r="V527" s="183" t="n">
        <f aca="false">IF(AND($F527="原始數據",$U527&lt;&gt;"連結 SRC"),1,0)</f>
        <v>0</v>
      </c>
      <c r="W527" s="183" t="n">
        <f aca="false">IF(AND($F527="Analogy",OR($H527="—",$H527="")),1,0)</f>
        <v>0</v>
      </c>
      <c r="X527" s="183" t="n">
        <f aca="false">IF(AND(OR($F527="Analogy",$F527="Assumed"),$G527&lt;&gt;"低",$G527&lt;&gt;"高",NOT(ISNUMBER($K527)),NOT(ISNUMBER($L527)),OR($M527="—",$M527="")),1,0)</f>
        <v>0</v>
      </c>
      <c r="Y527" s="183" t="n">
        <f aca="false">IF(AND(OR($F527="Analogy",$F527="Assumed",$F527="Derived（待改公式）",$F527="Derived（公式）"),OR($N527="—",$N527="",$N527=0)),1,0)</f>
        <v>0</v>
      </c>
      <c r="Z527" s="183" t="n">
        <f aca="false">IF(AND($F527="Decision",OR($J527="—",$J527="")),1,0)</f>
        <v>0</v>
      </c>
      <c r="AA527" s="180" t="n">
        <f aca="false">IF(OR($J527="—",$J527=""),0,IF(COUNTIF(Decisions!$A$5:$A$300,$J527)=0,1,0))</f>
        <v>0</v>
      </c>
      <c r="AB527" s="183" t="n">
        <f aca="false">IF(AND($F527="原始數據",$S527&lt;&gt;"Active"),1,0)</f>
        <v>0</v>
      </c>
      <c r="AC527" s="183" t="n">
        <f aca="false">IF(AND(ISNUMBER($K527),ISNUMBER($L527),ISNUMBER($Q527)),IF(OR($Q527&lt;MIN($K527,$L527),$Q527&gt;MAX($K527,$L527)),1,0),0)</f>
        <v>0</v>
      </c>
      <c r="AD527" s="183" t="n">
        <f aca="false">IF(AND(ISNUMBER($T527),$P527="高"),IF($T527=3,1,0),0)</f>
        <v>0</v>
      </c>
      <c r="AE527" s="183" t="n">
        <f aca="false">IF($S527="不存在",1,0)</f>
        <v>0</v>
      </c>
      <c r="AF527" s="34" t="str">
        <f aca="false">IF(OR($H527="—",$H527=""),"—",MATCH($H527,IDX_SrcID,0))</f>
        <v>—</v>
      </c>
    </row>
    <row r="528" customFormat="false" ht="43.5" hidden="false" customHeight="true" outlineLevel="0" collapsed="false">
      <c r="A528" s="35" t="s">
        <v>4064</v>
      </c>
      <c r="B528" s="209" t="s">
        <v>3733</v>
      </c>
      <c r="C528" s="35" t="s">
        <v>3686</v>
      </c>
      <c r="D528" s="35" t="s">
        <v>2894</v>
      </c>
      <c r="E528" s="6" t="s">
        <v>883</v>
      </c>
      <c r="F528" s="35" t="s">
        <v>76</v>
      </c>
      <c r="G528" s="209" t="s">
        <v>2679</v>
      </c>
      <c r="H528" s="35" t="s">
        <v>4015</v>
      </c>
      <c r="I528" s="18" t="s">
        <v>4065</v>
      </c>
      <c r="J528" s="35" t="s">
        <v>571</v>
      </c>
      <c r="K528" s="174" t="n">
        <f aca="false">Sens_Train!S64</f>
        <v>0.6</v>
      </c>
      <c r="L528" s="174" t="n">
        <f aca="false">Sens_Train!U64</f>
        <v>0.95</v>
      </c>
      <c r="M528" s="35" t="s">
        <v>571</v>
      </c>
      <c r="N528" s="6" t="s">
        <v>4066</v>
      </c>
      <c r="O528" s="6" t="s">
        <v>571</v>
      </c>
      <c r="P528" s="209" t="s">
        <v>2738</v>
      </c>
      <c r="Q528" s="174" t="n">
        <f aca="false">Train_In!C11</f>
        <v>0.85</v>
      </c>
      <c r="R528" s="182" t="n">
        <f aca="false">SRC_MOD_046</f>
        <v>1.5</v>
      </c>
      <c r="S528" s="34" t="str">
        <f aca="false">IF(ISNUMBER($AF528),INDEX(IDX_SrcStat,$AF528),"—")</f>
        <v>Active</v>
      </c>
      <c r="T528" s="34" t="n">
        <f aca="false">IF(ISNUMBER($AF528),INDEX(IDX_SrcGrade,$AF528),"—")</f>
        <v>2</v>
      </c>
      <c r="U528" s="34" t="s">
        <v>2683</v>
      </c>
      <c r="V528" s="183" t="n">
        <f aca="false">IF(AND($F528="原始數據",$U528&lt;&gt;"連結 SRC"),1,0)</f>
        <v>0</v>
      </c>
      <c r="W528" s="183" t="n">
        <f aca="false">IF(AND($F528="Analogy",OR($H528="—",$H528="")),1,0)</f>
        <v>0</v>
      </c>
      <c r="X528" s="183" t="n">
        <f aca="false">IF(AND(OR($F528="Analogy",$F528="Assumed"),$G528&lt;&gt;"低",$G528&lt;&gt;"高",NOT(ISNUMBER($K528)),NOT(ISNUMBER($L528)),OR($M528="—",$M528="")),1,0)</f>
        <v>0</v>
      </c>
      <c r="Y528" s="183" t="n">
        <f aca="false">IF(AND(OR($F528="Analogy",$F528="Assumed",$F528="Derived（待改公式）",$F528="Derived（公式）"),OR($N528="—",$N528="",$N528=0)),1,0)</f>
        <v>0</v>
      </c>
      <c r="Z528" s="183" t="n">
        <f aca="false">IF(AND($F528="Decision",OR($J528="—",$J528="")),1,0)</f>
        <v>0</v>
      </c>
      <c r="AA528" s="180" t="n">
        <f aca="false">IF(OR($J528="—",$J528=""),0,IF(COUNTIF(Decisions!$A$5:$A$300,$J528)=0,1,0))</f>
        <v>0</v>
      </c>
      <c r="AB528" s="183" t="n">
        <f aca="false">IF(AND($F528="原始數據",$S528&lt;&gt;"Active"),1,0)</f>
        <v>0</v>
      </c>
      <c r="AC528" s="183" t="n">
        <f aca="false">IF(AND(ISNUMBER($K528),ISNUMBER($L528),ISNUMBER($Q528)),IF(OR($Q528&lt;MIN($K528,$L528),$Q528&gt;MAX($K528,$L528)),1,0),0)</f>
        <v>0</v>
      </c>
      <c r="AD528" s="183" t="n">
        <f aca="false">IF(AND(ISNUMBER($T528),$P528="高"),IF($T528=3,1,0),0)</f>
        <v>0</v>
      </c>
      <c r="AE528" s="183" t="n">
        <f aca="false">IF($S528="不存在",1,0)</f>
        <v>0</v>
      </c>
      <c r="AF528" s="34" t="n">
        <f aca="false">IF(OR($H528="—",$H528=""),"—",MATCH($H528,IDX_SrcID,0))</f>
        <v>223</v>
      </c>
    </row>
    <row r="529" customFormat="false" ht="29.25" hidden="false" customHeight="true" outlineLevel="0" collapsed="false">
      <c r="A529" s="35" t="s">
        <v>4067</v>
      </c>
      <c r="B529" s="209" t="s">
        <v>3733</v>
      </c>
      <c r="C529" s="35" t="s">
        <v>3686</v>
      </c>
      <c r="D529" s="35" t="s">
        <v>2914</v>
      </c>
      <c r="E529" s="6" t="s">
        <v>885</v>
      </c>
      <c r="F529" s="35" t="s">
        <v>72</v>
      </c>
      <c r="G529" s="209" t="s">
        <v>2679</v>
      </c>
      <c r="H529" s="35" t="s">
        <v>571</v>
      </c>
      <c r="I529" s="6" t="s">
        <v>571</v>
      </c>
      <c r="J529" s="35" t="s">
        <v>571</v>
      </c>
      <c r="K529" s="211" t="n">
        <v>8</v>
      </c>
      <c r="L529" s="211" t="n">
        <v>64</v>
      </c>
      <c r="M529" s="35" t="s">
        <v>4068</v>
      </c>
      <c r="N529" s="6" t="s">
        <v>4069</v>
      </c>
      <c r="O529" s="6" t="s">
        <v>3813</v>
      </c>
      <c r="P529" s="209" t="s">
        <v>1099</v>
      </c>
      <c r="Q529" s="180" t="n">
        <f aca="false">Train_In!C12</f>
        <v>16</v>
      </c>
      <c r="R529" s="35" t="s">
        <v>571</v>
      </c>
      <c r="S529" s="34" t="str">
        <f aca="false">IF(ISNUMBER($AF529),INDEX(IDX_SrcStat,$AF529),"—")</f>
        <v>—</v>
      </c>
      <c r="T529" s="34" t="str">
        <f aca="false">IF(ISNUMBER($AF529),INDEX(IDX_SrcGrade,$AF529),"—")</f>
        <v>—</v>
      </c>
      <c r="U529" s="34" t="s">
        <v>2683</v>
      </c>
      <c r="V529" s="183" t="n">
        <f aca="false">IF(AND($F529="原始數據",$U529&lt;&gt;"連結 SRC"),1,0)</f>
        <v>0</v>
      </c>
      <c r="W529" s="183" t="n">
        <f aca="false">IF(AND($F529="Analogy",OR($H529="—",$H529="")),1,0)</f>
        <v>0</v>
      </c>
      <c r="X529" s="183" t="n">
        <f aca="false">IF(AND(OR($F529="Analogy",$F529="Assumed"),$G529&lt;&gt;"低",$G529&lt;&gt;"高",NOT(ISNUMBER($K529)),NOT(ISNUMBER($L529)),OR($M529="—",$M529="")),1,0)</f>
        <v>0</v>
      </c>
      <c r="Y529" s="183" t="n">
        <f aca="false">IF(AND(OR($F529="Analogy",$F529="Assumed",$F529="Derived（待改公式）",$F529="Derived（公式）"),OR($N529="—",$N529="",$N529=0)),1,0)</f>
        <v>0</v>
      </c>
      <c r="Z529" s="183" t="n">
        <f aca="false">IF(AND($F529="Decision",OR($J529="—",$J529="")),1,0)</f>
        <v>0</v>
      </c>
      <c r="AA529" s="180" t="n">
        <f aca="false">IF(OR($J529="—",$J529=""),0,IF(COUNTIF(Decisions!$A$5:$A$300,$J529)=0,1,0))</f>
        <v>0</v>
      </c>
      <c r="AB529" s="183" t="n">
        <f aca="false">IF(AND($F529="原始數據",$S529&lt;&gt;"Active"),1,0)</f>
        <v>0</v>
      </c>
      <c r="AC529" s="183" t="n">
        <f aca="false">IF(AND(ISNUMBER($K529),ISNUMBER($L529),ISNUMBER($Q529)),IF(OR($Q529&lt;MIN($K529,$L529),$Q529&gt;MAX($K529,$L529)),1,0),0)</f>
        <v>0</v>
      </c>
      <c r="AD529" s="183" t="n">
        <f aca="false">IF(AND(ISNUMBER($T529),$P529="高"),IF($T529=3,1,0),0)</f>
        <v>0</v>
      </c>
      <c r="AE529" s="183" t="n">
        <f aca="false">IF($S529="不存在",1,0)</f>
        <v>0</v>
      </c>
      <c r="AF529" s="34" t="str">
        <f aca="false">IF(OR($H529="—",$H529=""),"—",MATCH($H529,IDX_SrcID,0))</f>
        <v>—</v>
      </c>
    </row>
    <row r="530" customFormat="false" ht="57.75" hidden="false" customHeight="true" outlineLevel="0" collapsed="false">
      <c r="A530" s="35" t="s">
        <v>4070</v>
      </c>
      <c r="B530" s="209" t="s">
        <v>3733</v>
      </c>
      <c r="C530" s="35" t="s">
        <v>3686</v>
      </c>
      <c r="D530" s="35" t="s">
        <v>2932</v>
      </c>
      <c r="E530" s="18" t="s">
        <v>4071</v>
      </c>
      <c r="F530" s="35" t="s">
        <v>76</v>
      </c>
      <c r="G530" s="209" t="s">
        <v>2679</v>
      </c>
      <c r="H530" s="35" t="s">
        <v>2177</v>
      </c>
      <c r="I530" s="18" t="s">
        <v>4072</v>
      </c>
      <c r="J530" s="35" t="s">
        <v>4073</v>
      </c>
      <c r="K530" s="179" t="n">
        <f aca="false">Sens_Train!AC119</f>
        <v>4.4</v>
      </c>
      <c r="L530" s="179" t="n">
        <f aca="false">Sens_Train!AE119</f>
        <v>10.4</v>
      </c>
      <c r="M530" s="35" t="s">
        <v>571</v>
      </c>
      <c r="N530" s="6" t="s">
        <v>4074</v>
      </c>
      <c r="O530" s="6" t="s">
        <v>571</v>
      </c>
      <c r="P530" s="209" t="s">
        <v>1100</v>
      </c>
      <c r="Q530" s="179" t="n">
        <f aca="false">Train_In!C13</f>
        <v>8</v>
      </c>
      <c r="R530" s="182" t="n">
        <f aca="false">SRC_DEM_001</f>
        <v>0.096</v>
      </c>
      <c r="S530" s="34" t="str">
        <f aca="false">IF(ISNUMBER($AF530),INDEX(IDX_SrcStat,$AF530),"—")</f>
        <v>Active</v>
      </c>
      <c r="T530" s="34" t="n">
        <f aca="false">IF(ISNUMBER($AF530),INDEX(IDX_SrcGrade,$AF530),"—")</f>
        <v>1</v>
      </c>
      <c r="U530" s="34" t="s">
        <v>2683</v>
      </c>
      <c r="V530" s="183" t="n">
        <f aca="false">IF(AND($F530="原始數據",$U530&lt;&gt;"連結 SRC"),1,0)</f>
        <v>0</v>
      </c>
      <c r="W530" s="183" t="n">
        <f aca="false">IF(AND($F530="Analogy",OR($H530="—",$H530="")),1,0)</f>
        <v>0</v>
      </c>
      <c r="X530" s="183" t="n">
        <f aca="false">IF(AND(OR($F530="Analogy",$F530="Assumed"),$G530&lt;&gt;"低",$G530&lt;&gt;"高",NOT(ISNUMBER($K530)),NOT(ISNUMBER($L530)),OR($M530="—",$M530="")),1,0)</f>
        <v>0</v>
      </c>
      <c r="Y530" s="183" t="n">
        <f aca="false">IF(AND(OR($F530="Analogy",$F530="Assumed",$F530="Derived（待改公式）",$F530="Derived（公式）"),OR($N530="—",$N530="",$N530=0)),1,0)</f>
        <v>0</v>
      </c>
      <c r="Z530" s="183" t="n">
        <f aca="false">IF(AND($F530="Decision",OR($J530="—",$J530="")),1,0)</f>
        <v>0</v>
      </c>
      <c r="AA530" s="180" t="n">
        <f aca="false">IF(OR($J530="—",$J530=""),0,IF(COUNTIF(Decisions!$A$5:$A$300,$J530)=0,1,0))</f>
        <v>0</v>
      </c>
      <c r="AB530" s="183" t="n">
        <f aca="false">IF(AND($F530="原始數據",$S530&lt;&gt;"Active"),1,0)</f>
        <v>0</v>
      </c>
      <c r="AC530" s="183" t="n">
        <f aca="false">IF(AND(ISNUMBER($K530),ISNUMBER($L530),ISNUMBER($Q530)),IF(OR($Q530&lt;MIN($K530,$L530),$Q530&gt;MAX($K530,$L530)),1,0),0)</f>
        <v>0</v>
      </c>
      <c r="AD530" s="183" t="n">
        <f aca="false">IF(AND(ISNUMBER($T530),$P530="高"),IF($T530=3,1,0),0)</f>
        <v>0</v>
      </c>
      <c r="AE530" s="183" t="n">
        <f aca="false">IF($S530="不存在",1,0)</f>
        <v>0</v>
      </c>
      <c r="AF530" s="34" t="n">
        <f aca="false">IF(OR($H530="—",$H530=""),"—",MATCH($H530,IDX_SrcID,0))</f>
        <v>613</v>
      </c>
    </row>
    <row r="531" customFormat="false" ht="29.25" hidden="false" customHeight="true" outlineLevel="0" collapsed="false">
      <c r="A531" s="35" t="s">
        <v>4075</v>
      </c>
      <c r="B531" s="209" t="s">
        <v>3733</v>
      </c>
      <c r="C531" s="35" t="s">
        <v>3686</v>
      </c>
      <c r="D531" s="35" t="s">
        <v>3185</v>
      </c>
      <c r="E531" s="18" t="s">
        <v>4076</v>
      </c>
      <c r="F531" s="35" t="s">
        <v>72</v>
      </c>
      <c r="G531" s="209" t="s">
        <v>2679</v>
      </c>
      <c r="H531" s="35" t="s">
        <v>571</v>
      </c>
      <c r="I531" s="6" t="s">
        <v>571</v>
      </c>
      <c r="J531" s="35" t="s">
        <v>571</v>
      </c>
      <c r="K531" s="211" t="n">
        <v>2</v>
      </c>
      <c r="L531" s="211" t="n">
        <v>3</v>
      </c>
      <c r="M531" s="35" t="s">
        <v>4077</v>
      </c>
      <c r="N531" s="18" t="s">
        <v>4078</v>
      </c>
      <c r="O531" s="6" t="s">
        <v>571</v>
      </c>
      <c r="P531" s="209" t="s">
        <v>2682</v>
      </c>
      <c r="Q531" s="180" t="n">
        <f aca="false">Train_In!C15</f>
        <v>3</v>
      </c>
      <c r="R531" s="35" t="s">
        <v>571</v>
      </c>
      <c r="S531" s="34" t="str">
        <f aca="false">IF(ISNUMBER($AF531),INDEX(IDX_SrcStat,$AF531),"—")</f>
        <v>—</v>
      </c>
      <c r="T531" s="34" t="str">
        <f aca="false">IF(ISNUMBER($AF531),INDEX(IDX_SrcGrade,$AF531),"—")</f>
        <v>—</v>
      </c>
      <c r="U531" s="34" t="s">
        <v>2683</v>
      </c>
      <c r="V531" s="183" t="n">
        <f aca="false">IF(AND($F531="原始數據",$U531&lt;&gt;"連結 SRC"),1,0)</f>
        <v>0</v>
      </c>
      <c r="W531" s="183" t="n">
        <f aca="false">IF(AND($F531="Analogy",OR($H531="—",$H531="")),1,0)</f>
        <v>0</v>
      </c>
      <c r="X531" s="183" t="n">
        <f aca="false">IF(AND(OR($F531="Analogy",$F531="Assumed"),$G531&lt;&gt;"低",$G531&lt;&gt;"高",NOT(ISNUMBER($K531)),NOT(ISNUMBER($L531)),OR($M531="—",$M531="")),1,0)</f>
        <v>0</v>
      </c>
      <c r="Y531" s="183" t="n">
        <f aca="false">IF(AND(OR($F531="Analogy",$F531="Assumed",$F531="Derived（待改公式）",$F531="Derived（公式）"),OR($N531="—",$N531="",$N531=0)),1,0)</f>
        <v>0</v>
      </c>
      <c r="Z531" s="183" t="n">
        <f aca="false">IF(AND($F531="Decision",OR($J531="—",$J531="")),1,0)</f>
        <v>0</v>
      </c>
      <c r="AA531" s="180" t="n">
        <f aca="false">IF(OR($J531="—",$J531=""),0,IF(COUNTIF(Decisions!$A$5:$A$300,$J531)=0,1,0))</f>
        <v>0</v>
      </c>
      <c r="AB531" s="183" t="n">
        <f aca="false">IF(AND($F531="原始數據",$S531&lt;&gt;"Active"),1,0)</f>
        <v>0</v>
      </c>
      <c r="AC531" s="183" t="n">
        <f aca="false">IF(AND(ISNUMBER($K531),ISNUMBER($L531),ISNUMBER($Q531)),IF(OR($Q531&lt;MIN($K531,$L531),$Q531&gt;MAX($K531,$L531)),1,0),0)</f>
        <v>0</v>
      </c>
      <c r="AD531" s="183" t="n">
        <f aca="false">IF(AND(ISNUMBER($T531),$P531="高"),IF($T531=3,1,0),0)</f>
        <v>0</v>
      </c>
      <c r="AE531" s="183" t="n">
        <f aca="false">IF($S531="不存在",1,0)</f>
        <v>0</v>
      </c>
      <c r="AF531" s="34" t="str">
        <f aca="false">IF(OR($H531="—",$H531=""),"—",MATCH($H531,IDX_SrcID,0))</f>
        <v>—</v>
      </c>
    </row>
    <row r="532" customFormat="false" ht="15" hidden="false" customHeight="true" outlineLevel="0" collapsed="false">
      <c r="A532" s="35" t="s">
        <v>4079</v>
      </c>
      <c r="B532" s="209" t="s">
        <v>3733</v>
      </c>
      <c r="C532" s="35" t="s">
        <v>3686</v>
      </c>
      <c r="D532" s="35" t="s">
        <v>3190</v>
      </c>
      <c r="E532" s="18" t="s">
        <v>894</v>
      </c>
      <c r="F532" s="35" t="s">
        <v>64</v>
      </c>
      <c r="G532" s="209" t="s">
        <v>2679</v>
      </c>
      <c r="H532" s="35" t="s">
        <v>571</v>
      </c>
      <c r="I532" s="6" t="s">
        <v>571</v>
      </c>
      <c r="J532" s="35" t="s">
        <v>4080</v>
      </c>
      <c r="K532" s="209"/>
      <c r="L532" s="209"/>
      <c r="M532" s="209" t="s">
        <v>2624</v>
      </c>
      <c r="N532" s="6" t="s">
        <v>4081</v>
      </c>
      <c r="O532" s="6" t="s">
        <v>571</v>
      </c>
      <c r="P532" s="209" t="s">
        <v>2682</v>
      </c>
      <c r="Q532" s="180" t="n">
        <f aca="false">Train_In!C16</f>
        <v>4</v>
      </c>
      <c r="R532" s="35" t="s">
        <v>571</v>
      </c>
      <c r="S532" s="34" t="str">
        <f aca="false">IF(ISNUMBER($AF532),INDEX(IDX_SrcStat,$AF532),"—")</f>
        <v>—</v>
      </c>
      <c r="T532" s="34" t="str">
        <f aca="false">IF(ISNUMBER($AF532),INDEX(IDX_SrcGrade,$AF532),"—")</f>
        <v>—</v>
      </c>
      <c r="U532" s="34" t="s">
        <v>2683</v>
      </c>
      <c r="V532" s="183" t="n">
        <f aca="false">IF(AND($F532="原始數據",$U532&lt;&gt;"連結 SRC"),1,0)</f>
        <v>0</v>
      </c>
      <c r="W532" s="183" t="n">
        <f aca="false">IF(AND($F532="Analogy",OR($H532="—",$H532="")),1,0)</f>
        <v>0</v>
      </c>
      <c r="X532" s="183" t="n">
        <f aca="false">IF(AND(OR($F532="Analogy",$F532="Assumed"),$G532&lt;&gt;"低",$G532&lt;&gt;"高",NOT(ISNUMBER($K532)),NOT(ISNUMBER($L532)),OR($M532="—",$M532="")),1,0)</f>
        <v>0</v>
      </c>
      <c r="Y532" s="183" t="n">
        <f aca="false">IF(AND(OR($F532="Analogy",$F532="Assumed",$F532="Derived（待改公式）",$F532="Derived（公式）"),OR($N532="—",$N532="",$N532=0)),1,0)</f>
        <v>0</v>
      </c>
      <c r="Z532" s="183" t="n">
        <f aca="false">IF(AND($F532="Decision",OR($J532="—",$J532="")),1,0)</f>
        <v>0</v>
      </c>
      <c r="AA532" s="180" t="n">
        <f aca="false">IF(OR($J532="—",$J532=""),0,IF(COUNTIF(Decisions!$A$5:$A$300,$J532)=0,1,0))</f>
        <v>0</v>
      </c>
      <c r="AB532" s="183" t="n">
        <f aca="false">IF(AND($F532="原始數據",$S532&lt;&gt;"Active"),1,0)</f>
        <v>0</v>
      </c>
      <c r="AC532" s="183" t="n">
        <f aca="false">IF(AND(ISNUMBER($K532),ISNUMBER($L532),ISNUMBER($Q532)),IF(OR($Q532&lt;MIN($K532,$L532),$Q532&gt;MAX($K532,$L532)),1,0),0)</f>
        <v>0</v>
      </c>
      <c r="AD532" s="183" t="n">
        <f aca="false">IF(AND(ISNUMBER($T532),$P532="高"),IF($T532=3,1,0),0)</f>
        <v>0</v>
      </c>
      <c r="AE532" s="183" t="n">
        <f aca="false">IF($S532="不存在",1,0)</f>
        <v>0</v>
      </c>
      <c r="AF532" s="34" t="str">
        <f aca="false">IF(OR($H532="—",$H532=""),"—",MATCH($H532,IDX_SrcID,0))</f>
        <v>—</v>
      </c>
    </row>
    <row r="533" customFormat="false" ht="15" hidden="false" customHeight="true" outlineLevel="0" collapsed="false">
      <c r="A533" s="35" t="s">
        <v>4082</v>
      </c>
      <c r="B533" s="209" t="s">
        <v>3733</v>
      </c>
      <c r="C533" s="35" t="s">
        <v>3686</v>
      </c>
      <c r="D533" s="35" t="s">
        <v>3212</v>
      </c>
      <c r="E533" s="18" t="s">
        <v>897</v>
      </c>
      <c r="F533" s="35" t="s">
        <v>64</v>
      </c>
      <c r="G533" s="209" t="s">
        <v>2679</v>
      </c>
      <c r="H533" s="35" t="s">
        <v>571</v>
      </c>
      <c r="I533" s="6" t="s">
        <v>571</v>
      </c>
      <c r="J533" s="35" t="s">
        <v>4080</v>
      </c>
      <c r="K533" s="209"/>
      <c r="L533" s="209"/>
      <c r="M533" s="209" t="s">
        <v>2624</v>
      </c>
      <c r="N533" s="6" t="s">
        <v>4083</v>
      </c>
      <c r="O533" s="6" t="s">
        <v>571</v>
      </c>
      <c r="P533" s="209" t="s">
        <v>2682</v>
      </c>
      <c r="Q533" s="180" t="n">
        <f aca="false">Train_In!C17</f>
        <v>3</v>
      </c>
      <c r="R533" s="35" t="s">
        <v>571</v>
      </c>
      <c r="S533" s="34" t="str">
        <f aca="false">IF(ISNUMBER($AF533),INDEX(IDX_SrcStat,$AF533),"—")</f>
        <v>—</v>
      </c>
      <c r="T533" s="34" t="str">
        <f aca="false">IF(ISNUMBER($AF533),INDEX(IDX_SrcGrade,$AF533),"—")</f>
        <v>—</v>
      </c>
      <c r="U533" s="34" t="s">
        <v>2683</v>
      </c>
      <c r="V533" s="183" t="n">
        <f aca="false">IF(AND($F533="原始數據",$U533&lt;&gt;"連結 SRC"),1,0)</f>
        <v>0</v>
      </c>
      <c r="W533" s="183" t="n">
        <f aca="false">IF(AND($F533="Analogy",OR($H533="—",$H533="")),1,0)</f>
        <v>0</v>
      </c>
      <c r="X533" s="183" t="n">
        <f aca="false">IF(AND(OR($F533="Analogy",$F533="Assumed"),$G533&lt;&gt;"低",$G533&lt;&gt;"高",NOT(ISNUMBER($K533)),NOT(ISNUMBER($L533)),OR($M533="—",$M533="")),1,0)</f>
        <v>0</v>
      </c>
      <c r="Y533" s="183" t="n">
        <f aca="false">IF(AND(OR($F533="Analogy",$F533="Assumed",$F533="Derived（待改公式）",$F533="Derived（公式）"),OR($N533="—",$N533="",$N533=0)),1,0)</f>
        <v>0</v>
      </c>
      <c r="Z533" s="183" t="n">
        <f aca="false">IF(AND($F533="Decision",OR($J533="—",$J533="")),1,0)</f>
        <v>0</v>
      </c>
      <c r="AA533" s="180" t="n">
        <f aca="false">IF(OR($J533="—",$J533=""),0,IF(COUNTIF(Decisions!$A$5:$A$300,$J533)=0,1,0))</f>
        <v>0</v>
      </c>
      <c r="AB533" s="183" t="n">
        <f aca="false">IF(AND($F533="原始數據",$S533&lt;&gt;"Active"),1,0)</f>
        <v>0</v>
      </c>
      <c r="AC533" s="183" t="n">
        <f aca="false">IF(AND(ISNUMBER($K533),ISNUMBER($L533),ISNUMBER($Q533)),IF(OR($Q533&lt;MIN($K533,$L533),$Q533&gt;MAX($K533,$L533)),1,0),0)</f>
        <v>0</v>
      </c>
      <c r="AD533" s="183" t="n">
        <f aca="false">IF(AND(ISNUMBER($T533),$P533="高"),IF($T533=3,1,0),0)</f>
        <v>0</v>
      </c>
      <c r="AE533" s="183" t="n">
        <f aca="false">IF($S533="不存在",1,0)</f>
        <v>0</v>
      </c>
      <c r="AF533" s="34" t="str">
        <f aca="false">IF(OR($H533="—",$H533=""),"—",MATCH($H533,IDX_SrcID,0))</f>
        <v>—</v>
      </c>
    </row>
    <row r="534" customFormat="false" ht="57.75" hidden="false" customHeight="true" outlineLevel="0" collapsed="false">
      <c r="A534" s="35" t="s">
        <v>4084</v>
      </c>
      <c r="B534" s="209" t="s">
        <v>3733</v>
      </c>
      <c r="C534" s="35" t="s">
        <v>3686</v>
      </c>
      <c r="D534" s="35" t="s">
        <v>4085</v>
      </c>
      <c r="E534" s="18" t="s">
        <v>4086</v>
      </c>
      <c r="F534" s="35" t="s">
        <v>72</v>
      </c>
      <c r="G534" s="209" t="s">
        <v>3420</v>
      </c>
      <c r="H534" s="35" t="s">
        <v>571</v>
      </c>
      <c r="I534" s="6" t="s">
        <v>571</v>
      </c>
      <c r="J534" s="35" t="s">
        <v>571</v>
      </c>
      <c r="K534" s="209"/>
      <c r="L534" s="209"/>
      <c r="M534" s="209" t="s">
        <v>4087</v>
      </c>
      <c r="N534" s="18" t="s">
        <v>4088</v>
      </c>
      <c r="O534" s="6" t="s">
        <v>571</v>
      </c>
      <c r="P534" s="209" t="s">
        <v>1100</v>
      </c>
      <c r="Q534" s="182" t="s">
        <v>571</v>
      </c>
      <c r="R534" s="35" t="s">
        <v>571</v>
      </c>
      <c r="S534" s="34" t="str">
        <f aca="false">IF(ISNUMBER($AF534),INDEX(IDX_SrcStat,$AF534),"—")</f>
        <v>—</v>
      </c>
      <c r="T534" s="34" t="str">
        <f aca="false">IF(ISNUMBER($AF534),INDEX(IDX_SrcGrade,$AF534),"—")</f>
        <v>—</v>
      </c>
      <c r="U534" s="35" t="s">
        <v>571</v>
      </c>
      <c r="V534" s="183" t="n">
        <f aca="false">IF(AND($F534="原始數據",$U534&lt;&gt;"連結 SRC"),1,0)</f>
        <v>0</v>
      </c>
      <c r="W534" s="183" t="n">
        <f aca="false">IF(AND($F534="Analogy",OR($H534="—",$H534="")),1,0)</f>
        <v>0</v>
      </c>
      <c r="X534" s="183" t="n">
        <f aca="false">IF(AND(OR($F534="Analogy",$F534="Assumed"),$G534&lt;&gt;"低",$G534&lt;&gt;"高",NOT(ISNUMBER($K534)),NOT(ISNUMBER($L534)),OR($M534="—",$M534="")),1,0)</f>
        <v>0</v>
      </c>
      <c r="Y534" s="183" t="n">
        <f aca="false">IF(AND(OR($F534="Analogy",$F534="Assumed",$F534="Derived（待改公式）",$F534="Derived（公式）"),OR($N534="—",$N534="",$N534=0)),1,0)</f>
        <v>0</v>
      </c>
      <c r="Z534" s="183" t="n">
        <f aca="false">IF(AND($F534="Decision",OR($J534="—",$J534="")),1,0)</f>
        <v>0</v>
      </c>
      <c r="AA534" s="180" t="n">
        <f aca="false">IF(OR($J534="—",$J534=""),0,IF(COUNTIF(Decisions!$A$5:$A$300,$J534)=0,1,0))</f>
        <v>0</v>
      </c>
      <c r="AB534" s="183" t="n">
        <f aca="false">IF(AND($F534="原始數據",$S534&lt;&gt;"Active"),1,0)</f>
        <v>0</v>
      </c>
      <c r="AC534" s="183" t="n">
        <f aca="false">IF(AND(ISNUMBER($K534),ISNUMBER($L534),ISNUMBER($Q534)),IF(OR($Q534&lt;MIN($K534,$L534),$Q534&gt;MAX($K534,$L534)),1,0),0)</f>
        <v>0</v>
      </c>
      <c r="AD534" s="183" t="n">
        <f aca="false">IF(AND(ISNUMBER($T534),$P534="高"),IF($T534=3,1,0),0)</f>
        <v>0</v>
      </c>
      <c r="AE534" s="183" t="n">
        <f aca="false">IF($S534="不存在",1,0)</f>
        <v>0</v>
      </c>
      <c r="AF534" s="34" t="str">
        <f aca="false">IF(OR($H534="—",$H534=""),"—",MATCH($H534,IDX_SrcID,0))</f>
        <v>—</v>
      </c>
    </row>
    <row r="535" customFormat="false" ht="29.25" hidden="false" customHeight="true" outlineLevel="0" collapsed="false">
      <c r="A535" s="35" t="s">
        <v>4089</v>
      </c>
      <c r="B535" s="209" t="s">
        <v>3733</v>
      </c>
      <c r="C535" s="35" t="s">
        <v>3686</v>
      </c>
      <c r="D535" s="35" t="s">
        <v>2823</v>
      </c>
      <c r="E535" s="18" t="s">
        <v>3687</v>
      </c>
      <c r="F535" s="35" t="s">
        <v>72</v>
      </c>
      <c r="G535" s="209" t="s">
        <v>2679</v>
      </c>
      <c r="H535" s="35" t="s">
        <v>571</v>
      </c>
      <c r="I535" s="6" t="s">
        <v>571</v>
      </c>
      <c r="J535" s="35" t="s">
        <v>4090</v>
      </c>
      <c r="K535" s="211" t="n">
        <v>30</v>
      </c>
      <c r="L535" s="211" t="n">
        <v>100</v>
      </c>
      <c r="M535" s="35" t="s">
        <v>4091</v>
      </c>
      <c r="N535" s="6" t="s">
        <v>4092</v>
      </c>
      <c r="O535" s="6" t="s">
        <v>571</v>
      </c>
      <c r="P535" s="209" t="s">
        <v>1100</v>
      </c>
      <c r="Q535" s="175" t="n">
        <f aca="false">Train_In!E25</f>
        <v>60</v>
      </c>
      <c r="R535" s="35" t="s">
        <v>571</v>
      </c>
      <c r="S535" s="34" t="str">
        <f aca="false">IF(ISNUMBER($AF535),INDEX(IDX_SrcStat,$AF535),"—")</f>
        <v>—</v>
      </c>
      <c r="T535" s="34" t="str">
        <f aca="false">IF(ISNUMBER($AF535),INDEX(IDX_SrcGrade,$AF535),"—")</f>
        <v>—</v>
      </c>
      <c r="U535" s="34" t="s">
        <v>2683</v>
      </c>
      <c r="V535" s="183" t="n">
        <f aca="false">IF(AND($F535="原始數據",$U535&lt;&gt;"連結 SRC"),1,0)</f>
        <v>0</v>
      </c>
      <c r="W535" s="183" t="n">
        <f aca="false">IF(AND($F535="Analogy",OR($H535="—",$H535="")),1,0)</f>
        <v>0</v>
      </c>
      <c r="X535" s="183" t="n">
        <f aca="false">IF(AND(OR($F535="Analogy",$F535="Assumed"),$G535&lt;&gt;"低",$G535&lt;&gt;"高",NOT(ISNUMBER($K535)),NOT(ISNUMBER($L535)),OR($M535="—",$M535="")),1,0)</f>
        <v>0</v>
      </c>
      <c r="Y535" s="183" t="n">
        <f aca="false">IF(AND(OR($F535="Analogy",$F535="Assumed",$F535="Derived（待改公式）",$F535="Derived（公式）"),OR($N535="—",$N535="",$N535=0)),1,0)</f>
        <v>0</v>
      </c>
      <c r="Z535" s="183" t="n">
        <f aca="false">IF(AND($F535="Decision",OR($J535="—",$J535="")),1,0)</f>
        <v>0</v>
      </c>
      <c r="AA535" s="180" t="n">
        <f aca="false">IF(OR($J535="—",$J535=""),0,IF(COUNTIF(Decisions!$A$5:$A$300,$J535)=0,1,0))</f>
        <v>0</v>
      </c>
      <c r="AB535" s="183" t="n">
        <f aca="false">IF(AND($F535="原始數據",$S535&lt;&gt;"Active"),1,0)</f>
        <v>0</v>
      </c>
      <c r="AC535" s="183" t="n">
        <f aca="false">IF(AND(ISNUMBER($K535),ISNUMBER($L535),ISNUMBER($Q535)),IF(OR($Q535&lt;MIN($K535,$L535),$Q535&gt;MAX($K535,$L535)),1,0),0)</f>
        <v>0</v>
      </c>
      <c r="AD535" s="183" t="n">
        <f aca="false">IF(AND(ISNUMBER($T535),$P535="高"),IF($T535=3,1,0),0)</f>
        <v>0</v>
      </c>
      <c r="AE535" s="183" t="n">
        <f aca="false">IF($S535="不存在",1,0)</f>
        <v>0</v>
      </c>
      <c r="AF535" s="34" t="str">
        <f aca="false">IF(OR($H535="—",$H535=""),"—",MATCH($H535,IDX_SrcID,0))</f>
        <v>—</v>
      </c>
    </row>
    <row r="536" customFormat="false" ht="15" hidden="false" customHeight="true" outlineLevel="0" collapsed="false">
      <c r="A536" s="35" t="s">
        <v>4093</v>
      </c>
      <c r="B536" s="209" t="s">
        <v>3733</v>
      </c>
      <c r="C536" s="35" t="s">
        <v>3686</v>
      </c>
      <c r="D536" s="35" t="s">
        <v>2827</v>
      </c>
      <c r="E536" s="18" t="s">
        <v>3692</v>
      </c>
      <c r="F536" s="35" t="s">
        <v>72</v>
      </c>
      <c r="G536" s="209" t="s">
        <v>2679</v>
      </c>
      <c r="H536" s="35" t="s">
        <v>3693</v>
      </c>
      <c r="I536" s="6" t="s">
        <v>571</v>
      </c>
      <c r="J536" s="35" t="s">
        <v>571</v>
      </c>
      <c r="K536" s="211" t="n">
        <v>4096</v>
      </c>
      <c r="L536" s="211" t="n">
        <v>16384</v>
      </c>
      <c r="M536" s="35" t="s">
        <v>4094</v>
      </c>
      <c r="N536" s="6" t="s">
        <v>4095</v>
      </c>
      <c r="O536" s="6" t="s">
        <v>571</v>
      </c>
      <c r="P536" s="209" t="s">
        <v>2738</v>
      </c>
      <c r="Q536" s="40" t="n">
        <f aca="false">Train_In!E26</f>
        <v>8192</v>
      </c>
      <c r="R536" s="182" t="n">
        <f aca="false">SRC_MOD_031</f>
        <v>4096</v>
      </c>
      <c r="S536" s="34" t="str">
        <f aca="false">IF(ISNUMBER($AF536),INDEX(IDX_SrcStat,$AF536),"—")</f>
        <v>Active</v>
      </c>
      <c r="T536" s="34" t="n">
        <f aca="false">IF(ISNUMBER($AF536),INDEX(IDX_SrcGrade,$AF536),"—")</f>
        <v>1</v>
      </c>
      <c r="U536" s="34" t="s">
        <v>2683</v>
      </c>
      <c r="V536" s="183" t="n">
        <f aca="false">IF(AND($F536="原始數據",$U536&lt;&gt;"連結 SRC"),1,0)</f>
        <v>0</v>
      </c>
      <c r="W536" s="183" t="n">
        <f aca="false">IF(AND($F536="Analogy",OR($H536="—",$H536="")),1,0)</f>
        <v>0</v>
      </c>
      <c r="X536" s="183" t="n">
        <f aca="false">IF(AND(OR($F536="Analogy",$F536="Assumed"),$G536&lt;&gt;"低",$G536&lt;&gt;"高",NOT(ISNUMBER($K536)),NOT(ISNUMBER($L536)),OR($M536="—",$M536="")),1,0)</f>
        <v>0</v>
      </c>
      <c r="Y536" s="183" t="n">
        <f aca="false">IF(AND(OR($F536="Analogy",$F536="Assumed",$F536="Derived（待改公式）",$F536="Derived（公式）"),OR($N536="—",$N536="",$N536=0)),1,0)</f>
        <v>0</v>
      </c>
      <c r="Z536" s="183" t="n">
        <f aca="false">IF(AND($F536="Decision",OR($J536="—",$J536="")),1,0)</f>
        <v>0</v>
      </c>
      <c r="AA536" s="180" t="n">
        <f aca="false">IF(OR($J536="—",$J536=""),0,IF(COUNTIF(Decisions!$A$5:$A$300,$J536)=0,1,0))</f>
        <v>0</v>
      </c>
      <c r="AB536" s="183" t="n">
        <f aca="false">IF(AND($F536="原始數據",$S536&lt;&gt;"Active"),1,0)</f>
        <v>0</v>
      </c>
      <c r="AC536" s="183" t="n">
        <f aca="false">IF(AND(ISNUMBER($K536),ISNUMBER($L536),ISNUMBER($Q536)),IF(OR($Q536&lt;MIN($K536,$L536),$Q536&gt;MAX($K536,$L536)),1,0),0)</f>
        <v>0</v>
      </c>
      <c r="AD536" s="183" t="n">
        <f aca="false">IF(AND(ISNUMBER($T536),$P536="高"),IF($T536=3,1,0),0)</f>
        <v>0</v>
      </c>
      <c r="AE536" s="183" t="n">
        <f aca="false">IF($S536="不存在",1,0)</f>
        <v>0</v>
      </c>
      <c r="AF536" s="34" t="n">
        <f aca="false">IF(OR($H536="—",$H536=""),"—",MATCH($H536,IDX_SrcID,0))</f>
        <v>208</v>
      </c>
    </row>
    <row r="537" customFormat="false" ht="15" hidden="false" customHeight="true" outlineLevel="0" collapsed="false">
      <c r="A537" s="35" t="s">
        <v>4096</v>
      </c>
      <c r="B537" s="209" t="s">
        <v>3733</v>
      </c>
      <c r="C537" s="35" t="s">
        <v>3686</v>
      </c>
      <c r="D537" s="35" t="s">
        <v>4097</v>
      </c>
      <c r="E537" s="18" t="s">
        <v>4098</v>
      </c>
      <c r="F537" s="35" t="s">
        <v>72</v>
      </c>
      <c r="G537" s="209" t="s">
        <v>3420</v>
      </c>
      <c r="H537" s="35" t="s">
        <v>571</v>
      </c>
      <c r="I537" s="6" t="s">
        <v>571</v>
      </c>
      <c r="J537" s="35" t="s">
        <v>571</v>
      </c>
      <c r="K537" s="209"/>
      <c r="L537" s="209"/>
      <c r="M537" s="35" t="s">
        <v>4099</v>
      </c>
      <c r="N537" s="18" t="s">
        <v>4100</v>
      </c>
      <c r="O537" s="6" t="s">
        <v>571</v>
      </c>
      <c r="P537" s="209" t="s">
        <v>1099</v>
      </c>
      <c r="Q537" s="182" t="s">
        <v>571</v>
      </c>
      <c r="R537" s="35" t="s">
        <v>571</v>
      </c>
      <c r="S537" s="34" t="str">
        <f aca="false">IF(ISNUMBER($AF537),INDEX(IDX_SrcStat,$AF537),"—")</f>
        <v>—</v>
      </c>
      <c r="T537" s="34" t="str">
        <f aca="false">IF(ISNUMBER($AF537),INDEX(IDX_SrcGrade,$AF537),"—")</f>
        <v>—</v>
      </c>
      <c r="U537" s="35" t="s">
        <v>571</v>
      </c>
      <c r="V537" s="183" t="n">
        <f aca="false">IF(AND($F537="原始數據",$U537&lt;&gt;"連結 SRC"),1,0)</f>
        <v>0</v>
      </c>
      <c r="W537" s="183" t="n">
        <f aca="false">IF(AND($F537="Analogy",OR($H537="—",$H537="")),1,0)</f>
        <v>0</v>
      </c>
      <c r="X537" s="183" t="n">
        <f aca="false">IF(AND(OR($F537="Analogy",$F537="Assumed"),$G537&lt;&gt;"低",$G537&lt;&gt;"高",NOT(ISNUMBER($K537)),NOT(ISNUMBER($L537)),OR($M537="—",$M537="")),1,0)</f>
        <v>0</v>
      </c>
      <c r="Y537" s="183" t="n">
        <f aca="false">IF(AND(OR($F537="Analogy",$F537="Assumed",$F537="Derived（待改公式）",$F537="Derived（公式）"),OR($N537="—",$N537="",$N537=0)),1,0)</f>
        <v>0</v>
      </c>
      <c r="Z537" s="183" t="n">
        <f aca="false">IF(AND($F537="Decision",OR($J537="—",$J537="")),1,0)</f>
        <v>0</v>
      </c>
      <c r="AA537" s="180" t="n">
        <f aca="false">IF(OR($J537="—",$J537=""),0,IF(COUNTIF(Decisions!$A$5:$A$300,$J537)=0,1,0))</f>
        <v>0</v>
      </c>
      <c r="AB537" s="183" t="n">
        <f aca="false">IF(AND($F537="原始數據",$S537&lt;&gt;"Active"),1,0)</f>
        <v>0</v>
      </c>
      <c r="AC537" s="183" t="n">
        <f aca="false">IF(AND(ISNUMBER($K537),ISNUMBER($L537),ISNUMBER($Q537)),IF(OR($Q537&lt;MIN($K537,$L537),$Q537&gt;MAX($K537,$L537)),1,0),0)</f>
        <v>0</v>
      </c>
      <c r="AD537" s="183" t="n">
        <f aca="false">IF(AND(ISNUMBER($T537),$P537="高"),IF($T537=3,1,0),0)</f>
        <v>0</v>
      </c>
      <c r="AE537" s="183" t="n">
        <f aca="false">IF($S537="不存在",1,0)</f>
        <v>0</v>
      </c>
      <c r="AF537" s="34" t="str">
        <f aca="false">IF(OR($H537="—",$H537=""),"—",MATCH($H537,IDX_SrcID,0))</f>
        <v>—</v>
      </c>
    </row>
    <row r="538" customFormat="false" ht="29.25" hidden="false" customHeight="true" outlineLevel="0" collapsed="false">
      <c r="A538" s="35" t="s">
        <v>4101</v>
      </c>
      <c r="B538" s="209" t="s">
        <v>3733</v>
      </c>
      <c r="C538" s="35" t="s">
        <v>3686</v>
      </c>
      <c r="D538" s="35" t="s">
        <v>4102</v>
      </c>
      <c r="E538" s="18" t="s">
        <v>910</v>
      </c>
      <c r="F538" s="35" t="s">
        <v>72</v>
      </c>
      <c r="G538" s="209" t="s">
        <v>3420</v>
      </c>
      <c r="H538" s="35" t="s">
        <v>571</v>
      </c>
      <c r="I538" s="6" t="s">
        <v>571</v>
      </c>
      <c r="J538" s="35" t="s">
        <v>571</v>
      </c>
      <c r="K538" s="209"/>
      <c r="L538" s="209"/>
      <c r="M538" s="209" t="s">
        <v>2624</v>
      </c>
      <c r="N538" s="18" t="s">
        <v>4103</v>
      </c>
      <c r="O538" s="6" t="s">
        <v>571</v>
      </c>
      <c r="P538" s="209" t="s">
        <v>1099</v>
      </c>
      <c r="Q538" s="182" t="s">
        <v>571</v>
      </c>
      <c r="R538" s="35" t="s">
        <v>571</v>
      </c>
      <c r="S538" s="34" t="str">
        <f aca="false">IF(ISNUMBER($AF538),INDEX(IDX_SrcStat,$AF538),"—")</f>
        <v>—</v>
      </c>
      <c r="T538" s="34" t="str">
        <f aca="false">IF(ISNUMBER($AF538),INDEX(IDX_SrcGrade,$AF538),"—")</f>
        <v>—</v>
      </c>
      <c r="U538" s="35" t="s">
        <v>571</v>
      </c>
      <c r="V538" s="183" t="n">
        <f aca="false">IF(AND($F538="原始數據",$U538&lt;&gt;"連結 SRC"),1,0)</f>
        <v>0</v>
      </c>
      <c r="W538" s="183" t="n">
        <f aca="false">IF(AND($F538="Analogy",OR($H538="—",$H538="")),1,0)</f>
        <v>0</v>
      </c>
      <c r="X538" s="183" t="n">
        <f aca="false">IF(AND(OR($F538="Analogy",$F538="Assumed"),$G538&lt;&gt;"低",$G538&lt;&gt;"高",NOT(ISNUMBER($K538)),NOT(ISNUMBER($L538)),OR($M538="—",$M538="")),1,0)</f>
        <v>0</v>
      </c>
      <c r="Y538" s="183" t="n">
        <f aca="false">IF(AND(OR($F538="Analogy",$F538="Assumed",$F538="Derived（待改公式）",$F538="Derived（公式）"),OR($N538="—",$N538="",$N538=0)),1,0)</f>
        <v>0</v>
      </c>
      <c r="Z538" s="183" t="n">
        <f aca="false">IF(AND($F538="Decision",OR($J538="—",$J538="")),1,0)</f>
        <v>0</v>
      </c>
      <c r="AA538" s="180" t="n">
        <f aca="false">IF(OR($J538="—",$J538=""),0,IF(COUNTIF(Decisions!$A$5:$A$300,$J538)=0,1,0))</f>
        <v>0</v>
      </c>
      <c r="AB538" s="183" t="n">
        <f aca="false">IF(AND($F538="原始數據",$S538&lt;&gt;"Active"),1,0)</f>
        <v>0</v>
      </c>
      <c r="AC538" s="183" t="n">
        <f aca="false">IF(AND(ISNUMBER($K538),ISNUMBER($L538),ISNUMBER($Q538)),IF(OR($Q538&lt;MIN($K538,$L538),$Q538&gt;MAX($K538,$L538)),1,0),0)</f>
        <v>0</v>
      </c>
      <c r="AD538" s="183" t="n">
        <f aca="false">IF(AND(ISNUMBER($T538),$P538="高"),IF($T538=3,1,0),0)</f>
        <v>0</v>
      </c>
      <c r="AE538" s="183" t="n">
        <f aca="false">IF($S538="不存在",1,0)</f>
        <v>0</v>
      </c>
      <c r="AF538" s="34" t="str">
        <f aca="false">IF(OR($H538="—",$H538=""),"—",MATCH($H538,IDX_SrcID,0))</f>
        <v>—</v>
      </c>
    </row>
    <row r="539" customFormat="false" ht="15" hidden="false" customHeight="true" outlineLevel="0" collapsed="false">
      <c r="A539" s="35" t="s">
        <v>4104</v>
      </c>
      <c r="B539" s="209" t="s">
        <v>3733</v>
      </c>
      <c r="C539" s="35" t="s">
        <v>3686</v>
      </c>
      <c r="D539" s="35" t="s">
        <v>4105</v>
      </c>
      <c r="E539" s="6" t="s">
        <v>911</v>
      </c>
      <c r="F539" s="35" t="s">
        <v>72</v>
      </c>
      <c r="G539" s="209" t="s">
        <v>3420</v>
      </c>
      <c r="H539" s="35" t="s">
        <v>571</v>
      </c>
      <c r="I539" s="6" t="s">
        <v>571</v>
      </c>
      <c r="J539" s="35" t="s">
        <v>571</v>
      </c>
      <c r="K539" s="209"/>
      <c r="L539" s="209"/>
      <c r="M539" s="35" t="s">
        <v>4106</v>
      </c>
      <c r="N539" s="6" t="s">
        <v>911</v>
      </c>
      <c r="O539" s="6" t="s">
        <v>571</v>
      </c>
      <c r="P539" s="209" t="s">
        <v>1099</v>
      </c>
      <c r="Q539" s="182" t="s">
        <v>571</v>
      </c>
      <c r="R539" s="35" t="s">
        <v>571</v>
      </c>
      <c r="S539" s="34" t="str">
        <f aca="false">IF(ISNUMBER($AF539),INDEX(IDX_SrcStat,$AF539),"—")</f>
        <v>—</v>
      </c>
      <c r="T539" s="34" t="str">
        <f aca="false">IF(ISNUMBER($AF539),INDEX(IDX_SrcGrade,$AF539),"—")</f>
        <v>—</v>
      </c>
      <c r="U539" s="35" t="s">
        <v>571</v>
      </c>
      <c r="V539" s="183" t="n">
        <f aca="false">IF(AND($F539="原始數據",$U539&lt;&gt;"連結 SRC"),1,0)</f>
        <v>0</v>
      </c>
      <c r="W539" s="183" t="n">
        <f aca="false">IF(AND($F539="Analogy",OR($H539="—",$H539="")),1,0)</f>
        <v>0</v>
      </c>
      <c r="X539" s="183" t="n">
        <f aca="false">IF(AND(OR($F539="Analogy",$F539="Assumed"),$G539&lt;&gt;"低",$G539&lt;&gt;"高",NOT(ISNUMBER($K539)),NOT(ISNUMBER($L539)),OR($M539="—",$M539="")),1,0)</f>
        <v>0</v>
      </c>
      <c r="Y539" s="183" t="n">
        <f aca="false">IF(AND(OR($F539="Analogy",$F539="Assumed",$F539="Derived（待改公式）",$F539="Derived（公式）"),OR($N539="—",$N539="",$N539=0)),1,0)</f>
        <v>0</v>
      </c>
      <c r="Z539" s="183" t="n">
        <f aca="false">IF(AND($F539="Decision",OR($J539="—",$J539="")),1,0)</f>
        <v>0</v>
      </c>
      <c r="AA539" s="180" t="n">
        <f aca="false">IF(OR($J539="—",$J539=""),0,IF(COUNTIF(Decisions!$A$5:$A$300,$J539)=0,1,0))</f>
        <v>0</v>
      </c>
      <c r="AB539" s="183" t="n">
        <f aca="false">IF(AND($F539="原始數據",$S539&lt;&gt;"Active"),1,0)</f>
        <v>0</v>
      </c>
      <c r="AC539" s="183" t="n">
        <f aca="false">IF(AND(ISNUMBER($K539),ISNUMBER($L539),ISNUMBER($Q539)),IF(OR($Q539&lt;MIN($K539,$L539),$Q539&gt;MAX($K539,$L539)),1,0),0)</f>
        <v>0</v>
      </c>
      <c r="AD539" s="183" t="n">
        <f aca="false">IF(AND(ISNUMBER($T539),$P539="高"),IF($T539=3,1,0),0)</f>
        <v>0</v>
      </c>
      <c r="AE539" s="183" t="n">
        <f aca="false">IF($S539="不存在",1,0)</f>
        <v>0</v>
      </c>
      <c r="AF539" s="34" t="str">
        <f aca="false">IF(OR($H539="—",$H539=""),"—",MATCH($H539,IDX_SrcID,0))</f>
        <v>—</v>
      </c>
    </row>
    <row r="540" customFormat="false" ht="15" hidden="false" customHeight="true" outlineLevel="0" collapsed="false">
      <c r="A540" s="35" t="s">
        <v>4107</v>
      </c>
      <c r="B540" s="209" t="s">
        <v>3733</v>
      </c>
      <c r="C540" s="35" t="s">
        <v>3686</v>
      </c>
      <c r="D540" s="35" t="s">
        <v>4108</v>
      </c>
      <c r="E540" s="6" t="s">
        <v>913</v>
      </c>
      <c r="F540" s="35" t="s">
        <v>72</v>
      </c>
      <c r="G540" s="209" t="s">
        <v>3420</v>
      </c>
      <c r="H540" s="35" t="s">
        <v>571</v>
      </c>
      <c r="I540" s="6" t="s">
        <v>571</v>
      </c>
      <c r="J540" s="35" t="s">
        <v>571</v>
      </c>
      <c r="K540" s="209"/>
      <c r="L540" s="209"/>
      <c r="M540" s="209" t="s">
        <v>2624</v>
      </c>
      <c r="N540" s="6" t="s">
        <v>4109</v>
      </c>
      <c r="O540" s="6" t="s">
        <v>571</v>
      </c>
      <c r="P540" s="209" t="s">
        <v>1099</v>
      </c>
      <c r="Q540" s="182" t="s">
        <v>571</v>
      </c>
      <c r="R540" s="35" t="s">
        <v>571</v>
      </c>
      <c r="S540" s="34" t="str">
        <f aca="false">IF(ISNUMBER($AF540),INDEX(IDX_SrcStat,$AF540),"—")</f>
        <v>—</v>
      </c>
      <c r="T540" s="34" t="str">
        <f aca="false">IF(ISNUMBER($AF540),INDEX(IDX_SrcGrade,$AF540),"—")</f>
        <v>—</v>
      </c>
      <c r="U540" s="35" t="s">
        <v>571</v>
      </c>
      <c r="V540" s="183" t="n">
        <f aca="false">IF(AND($F540="原始數據",$U540&lt;&gt;"連結 SRC"),1,0)</f>
        <v>0</v>
      </c>
      <c r="W540" s="183" t="n">
        <f aca="false">IF(AND($F540="Analogy",OR($H540="—",$H540="")),1,0)</f>
        <v>0</v>
      </c>
      <c r="X540" s="183" t="n">
        <f aca="false">IF(AND(OR($F540="Analogy",$F540="Assumed"),$G540&lt;&gt;"低",$G540&lt;&gt;"高",NOT(ISNUMBER($K540)),NOT(ISNUMBER($L540)),OR($M540="—",$M540="")),1,0)</f>
        <v>0</v>
      </c>
      <c r="Y540" s="183" t="n">
        <f aca="false">IF(AND(OR($F540="Analogy",$F540="Assumed",$F540="Derived（待改公式）",$F540="Derived（公式）"),OR($N540="—",$N540="",$N540=0)),1,0)</f>
        <v>0</v>
      </c>
      <c r="Z540" s="183" t="n">
        <f aca="false">IF(AND($F540="Decision",OR($J540="—",$J540="")),1,0)</f>
        <v>0</v>
      </c>
      <c r="AA540" s="180" t="n">
        <f aca="false">IF(OR($J540="—",$J540=""),0,IF(COUNTIF(Decisions!$A$5:$A$300,$J540)=0,1,0))</f>
        <v>0</v>
      </c>
      <c r="AB540" s="183" t="n">
        <f aca="false">IF(AND($F540="原始數據",$S540&lt;&gt;"Active"),1,0)</f>
        <v>0</v>
      </c>
      <c r="AC540" s="183" t="n">
        <f aca="false">IF(AND(ISNUMBER($K540),ISNUMBER($L540),ISNUMBER($Q540)),IF(OR($Q540&lt;MIN($K540,$L540),$Q540&gt;MAX($K540,$L540)),1,0),0)</f>
        <v>0</v>
      </c>
      <c r="AD540" s="183" t="n">
        <f aca="false">IF(AND(ISNUMBER($T540),$P540="高"),IF($T540=3,1,0),0)</f>
        <v>0</v>
      </c>
      <c r="AE540" s="183" t="n">
        <f aca="false">IF($S540="不存在",1,0)</f>
        <v>0</v>
      </c>
      <c r="AF540" s="34" t="str">
        <f aca="false">IF(OR($H540="—",$H540=""),"—",MATCH($H540,IDX_SrcID,0))</f>
        <v>—</v>
      </c>
    </row>
    <row r="541" customFormat="false" ht="29.25" hidden="false" customHeight="true" outlineLevel="0" collapsed="false">
      <c r="A541" s="35" t="s">
        <v>4110</v>
      </c>
      <c r="B541" s="209" t="s">
        <v>3733</v>
      </c>
      <c r="C541" s="35" t="s">
        <v>3686</v>
      </c>
      <c r="D541" s="35" t="s">
        <v>3792</v>
      </c>
      <c r="E541" s="18" t="s">
        <v>4111</v>
      </c>
      <c r="F541" s="35" t="s">
        <v>72</v>
      </c>
      <c r="G541" s="209" t="s">
        <v>3420</v>
      </c>
      <c r="H541" s="35" t="s">
        <v>571</v>
      </c>
      <c r="I541" s="6" t="s">
        <v>571</v>
      </c>
      <c r="J541" s="35" t="s">
        <v>571</v>
      </c>
      <c r="K541" s="209"/>
      <c r="L541" s="209"/>
      <c r="M541" s="35" t="s">
        <v>4112</v>
      </c>
      <c r="N541" s="18" t="s">
        <v>4113</v>
      </c>
      <c r="O541" s="6" t="s">
        <v>571</v>
      </c>
      <c r="P541" s="209" t="s">
        <v>1099</v>
      </c>
      <c r="Q541" s="182" t="s">
        <v>571</v>
      </c>
      <c r="R541" s="35" t="s">
        <v>571</v>
      </c>
      <c r="S541" s="34" t="str">
        <f aca="false">IF(ISNUMBER($AF541),INDEX(IDX_SrcStat,$AF541),"—")</f>
        <v>—</v>
      </c>
      <c r="T541" s="34" t="str">
        <f aca="false">IF(ISNUMBER($AF541),INDEX(IDX_SrcGrade,$AF541),"—")</f>
        <v>—</v>
      </c>
      <c r="U541" s="35" t="s">
        <v>571</v>
      </c>
      <c r="V541" s="183" t="n">
        <f aca="false">IF(AND($F541="原始數據",$U541&lt;&gt;"連結 SRC"),1,0)</f>
        <v>0</v>
      </c>
      <c r="W541" s="183" t="n">
        <f aca="false">IF(AND($F541="Analogy",OR($H541="—",$H541="")),1,0)</f>
        <v>0</v>
      </c>
      <c r="X541" s="183" t="n">
        <f aca="false">IF(AND(OR($F541="Analogy",$F541="Assumed"),$G541&lt;&gt;"低",$G541&lt;&gt;"高",NOT(ISNUMBER($K541)),NOT(ISNUMBER($L541)),OR($M541="—",$M541="")),1,0)</f>
        <v>0</v>
      </c>
      <c r="Y541" s="183" t="n">
        <f aca="false">IF(AND(OR($F541="Analogy",$F541="Assumed",$F541="Derived（待改公式）",$F541="Derived（公式）"),OR($N541="—",$N541="",$N541=0)),1,0)</f>
        <v>0</v>
      </c>
      <c r="Z541" s="183" t="n">
        <f aca="false">IF(AND($F541="Decision",OR($J541="—",$J541="")),1,0)</f>
        <v>0</v>
      </c>
      <c r="AA541" s="180" t="n">
        <f aca="false">IF(OR($J541="—",$J541=""),0,IF(COUNTIF(Decisions!$A$5:$A$300,$J541)=0,1,0))</f>
        <v>0</v>
      </c>
      <c r="AB541" s="183" t="n">
        <f aca="false">IF(AND($F541="原始數據",$S541&lt;&gt;"Active"),1,0)</f>
        <v>0</v>
      </c>
      <c r="AC541" s="183" t="n">
        <f aca="false">IF(AND(ISNUMBER($K541),ISNUMBER($L541),ISNUMBER($Q541)),IF(OR($Q541&lt;MIN($K541,$L541),$Q541&gt;MAX($K541,$L541)),1,0),0)</f>
        <v>0</v>
      </c>
      <c r="AD541" s="183" t="n">
        <f aca="false">IF(AND(ISNUMBER($T541),$P541="高"),IF($T541=3,1,0),0)</f>
        <v>0</v>
      </c>
      <c r="AE541" s="183" t="n">
        <f aca="false">IF($S541="不存在",1,0)</f>
        <v>0</v>
      </c>
      <c r="AF541" s="34" t="str">
        <f aca="false">IF(OR($H541="—",$H541=""),"—",MATCH($H541,IDX_SrcID,0))</f>
        <v>—</v>
      </c>
    </row>
    <row r="542" customFormat="false" ht="29.25" hidden="false" customHeight="true" outlineLevel="0" collapsed="false">
      <c r="A542" s="35" t="s">
        <v>4114</v>
      </c>
      <c r="B542" s="209" t="s">
        <v>3733</v>
      </c>
      <c r="C542" s="35" t="s">
        <v>3686</v>
      </c>
      <c r="D542" s="35" t="s">
        <v>3797</v>
      </c>
      <c r="E542" s="6" t="s">
        <v>916</v>
      </c>
      <c r="F542" s="35" t="s">
        <v>72</v>
      </c>
      <c r="G542" s="209" t="s">
        <v>3420</v>
      </c>
      <c r="H542" s="35" t="s">
        <v>571</v>
      </c>
      <c r="I542" s="6" t="s">
        <v>571</v>
      </c>
      <c r="J542" s="35" t="s">
        <v>571</v>
      </c>
      <c r="K542" s="209"/>
      <c r="L542" s="209"/>
      <c r="M542" s="209" t="s">
        <v>4115</v>
      </c>
      <c r="N542" s="6" t="s">
        <v>916</v>
      </c>
      <c r="O542" s="6" t="s">
        <v>571</v>
      </c>
      <c r="P542" s="209" t="s">
        <v>2738</v>
      </c>
      <c r="Q542" s="182" t="s">
        <v>571</v>
      </c>
      <c r="R542" s="35" t="s">
        <v>571</v>
      </c>
      <c r="S542" s="34" t="str">
        <f aca="false">IF(ISNUMBER($AF542),INDEX(IDX_SrcStat,$AF542),"—")</f>
        <v>—</v>
      </c>
      <c r="T542" s="34" t="str">
        <f aca="false">IF(ISNUMBER($AF542),INDEX(IDX_SrcGrade,$AF542),"—")</f>
        <v>—</v>
      </c>
      <c r="U542" s="35" t="s">
        <v>571</v>
      </c>
      <c r="V542" s="183" t="n">
        <f aca="false">IF(AND($F542="原始數據",$U542&lt;&gt;"連結 SRC"),1,0)</f>
        <v>0</v>
      </c>
      <c r="W542" s="183" t="n">
        <f aca="false">IF(AND($F542="Analogy",OR($H542="—",$H542="")),1,0)</f>
        <v>0</v>
      </c>
      <c r="X542" s="183" t="n">
        <f aca="false">IF(AND(OR($F542="Analogy",$F542="Assumed"),$G542&lt;&gt;"低",$G542&lt;&gt;"高",NOT(ISNUMBER($K542)),NOT(ISNUMBER($L542)),OR($M542="—",$M542="")),1,0)</f>
        <v>0</v>
      </c>
      <c r="Y542" s="183" t="n">
        <f aca="false">IF(AND(OR($F542="Analogy",$F542="Assumed",$F542="Derived（待改公式）",$F542="Derived（公式）"),OR($N542="—",$N542="",$N542=0)),1,0)</f>
        <v>0</v>
      </c>
      <c r="Z542" s="183" t="n">
        <f aca="false">IF(AND($F542="Decision",OR($J542="—",$J542="")),1,0)</f>
        <v>0</v>
      </c>
      <c r="AA542" s="180" t="n">
        <f aca="false">IF(OR($J542="—",$J542=""),0,IF(COUNTIF(Decisions!$A$5:$A$300,$J542)=0,1,0))</f>
        <v>0</v>
      </c>
      <c r="AB542" s="183" t="n">
        <f aca="false">IF(AND($F542="原始數據",$S542&lt;&gt;"Active"),1,0)</f>
        <v>0</v>
      </c>
      <c r="AC542" s="183" t="n">
        <f aca="false">IF(AND(ISNUMBER($K542),ISNUMBER($L542),ISNUMBER($Q542)),IF(OR($Q542&lt;MIN($K542,$L542),$Q542&gt;MAX($K542,$L542)),1,0),0)</f>
        <v>0</v>
      </c>
      <c r="AD542" s="183" t="n">
        <f aca="false">IF(AND(ISNUMBER($T542),$P542="高"),IF($T542=3,1,0),0)</f>
        <v>0</v>
      </c>
      <c r="AE542" s="183" t="n">
        <f aca="false">IF($S542="不存在",1,0)</f>
        <v>0</v>
      </c>
      <c r="AF542" s="34" t="str">
        <f aca="false">IF(OR($H542="—",$H542=""),"—",MATCH($H542,IDX_SrcID,0))</f>
        <v>—</v>
      </c>
    </row>
    <row r="543" customFormat="false" ht="15" hidden="false" customHeight="true" outlineLevel="0" collapsed="false">
      <c r="A543" s="35" t="s">
        <v>4116</v>
      </c>
      <c r="B543" s="209" t="s">
        <v>3733</v>
      </c>
      <c r="C543" s="35" t="s">
        <v>3686</v>
      </c>
      <c r="D543" s="35" t="s">
        <v>4117</v>
      </c>
      <c r="E543" s="6" t="s">
        <v>917</v>
      </c>
      <c r="F543" s="35" t="s">
        <v>72</v>
      </c>
      <c r="G543" s="209" t="s">
        <v>3420</v>
      </c>
      <c r="H543" s="35" t="s">
        <v>571</v>
      </c>
      <c r="I543" s="6" t="s">
        <v>571</v>
      </c>
      <c r="J543" s="35" t="s">
        <v>571</v>
      </c>
      <c r="K543" s="209"/>
      <c r="L543" s="209"/>
      <c r="M543" s="209" t="s">
        <v>4115</v>
      </c>
      <c r="N543" s="6" t="s">
        <v>917</v>
      </c>
      <c r="O543" s="6" t="s">
        <v>571</v>
      </c>
      <c r="P543" s="209" t="s">
        <v>2738</v>
      </c>
      <c r="Q543" s="182" t="s">
        <v>571</v>
      </c>
      <c r="R543" s="35" t="s">
        <v>571</v>
      </c>
      <c r="S543" s="34" t="str">
        <f aca="false">IF(ISNUMBER($AF543),INDEX(IDX_SrcStat,$AF543),"—")</f>
        <v>—</v>
      </c>
      <c r="T543" s="34" t="str">
        <f aca="false">IF(ISNUMBER($AF543),INDEX(IDX_SrcGrade,$AF543),"—")</f>
        <v>—</v>
      </c>
      <c r="U543" s="35" t="s">
        <v>571</v>
      </c>
      <c r="V543" s="183" t="n">
        <f aca="false">IF(AND($F543="原始數據",$U543&lt;&gt;"連結 SRC"),1,0)</f>
        <v>0</v>
      </c>
      <c r="W543" s="183" t="n">
        <f aca="false">IF(AND($F543="Analogy",OR($H543="—",$H543="")),1,0)</f>
        <v>0</v>
      </c>
      <c r="X543" s="183" t="n">
        <f aca="false">IF(AND(OR($F543="Analogy",$F543="Assumed"),$G543&lt;&gt;"低",$G543&lt;&gt;"高",NOT(ISNUMBER($K543)),NOT(ISNUMBER($L543)),OR($M543="—",$M543="")),1,0)</f>
        <v>0</v>
      </c>
      <c r="Y543" s="183" t="n">
        <f aca="false">IF(AND(OR($F543="Analogy",$F543="Assumed",$F543="Derived（待改公式）",$F543="Derived（公式）"),OR($N543="—",$N543="",$N543=0)),1,0)</f>
        <v>0</v>
      </c>
      <c r="Z543" s="183" t="n">
        <f aca="false">IF(AND($F543="Decision",OR($J543="—",$J543="")),1,0)</f>
        <v>0</v>
      </c>
      <c r="AA543" s="180" t="n">
        <f aca="false">IF(OR($J543="—",$J543=""),0,IF(COUNTIF(Decisions!$A$5:$A$300,$J543)=0,1,0))</f>
        <v>0</v>
      </c>
      <c r="AB543" s="183" t="n">
        <f aca="false">IF(AND($F543="原始數據",$S543&lt;&gt;"Active"),1,0)</f>
        <v>0</v>
      </c>
      <c r="AC543" s="183" t="n">
        <f aca="false">IF(AND(ISNUMBER($K543),ISNUMBER($L543),ISNUMBER($Q543)),IF(OR($Q543&lt;MIN($K543,$L543),$Q543&gt;MAX($K543,$L543)),1,0),0)</f>
        <v>0</v>
      </c>
      <c r="AD543" s="183" t="n">
        <f aca="false">IF(AND(ISNUMBER($T543),$P543="高"),IF($T543=3,1,0),0)</f>
        <v>0</v>
      </c>
      <c r="AE543" s="183" t="n">
        <f aca="false">IF($S543="不存在",1,0)</f>
        <v>0</v>
      </c>
      <c r="AF543" s="34" t="str">
        <f aca="false">IF(OR($H543="—",$H543=""),"—",MATCH($H543,IDX_SrcID,0))</f>
        <v>—</v>
      </c>
    </row>
    <row r="544" customFormat="false" ht="43.5" hidden="false" customHeight="true" outlineLevel="0" collapsed="false">
      <c r="A544" s="35" t="s">
        <v>4118</v>
      </c>
      <c r="B544" s="209" t="s">
        <v>3733</v>
      </c>
      <c r="C544" s="35" t="s">
        <v>3686</v>
      </c>
      <c r="D544" s="35" t="s">
        <v>4119</v>
      </c>
      <c r="E544" s="6" t="s">
        <v>919</v>
      </c>
      <c r="F544" s="35" t="s">
        <v>72</v>
      </c>
      <c r="G544" s="209" t="s">
        <v>3420</v>
      </c>
      <c r="H544" s="35" t="s">
        <v>571</v>
      </c>
      <c r="I544" s="6" t="s">
        <v>571</v>
      </c>
      <c r="J544" s="35" t="s">
        <v>4120</v>
      </c>
      <c r="K544" s="209"/>
      <c r="L544" s="209"/>
      <c r="M544" s="35" t="s">
        <v>4121</v>
      </c>
      <c r="N544" s="6" t="s">
        <v>4122</v>
      </c>
      <c r="O544" s="6" t="s">
        <v>571</v>
      </c>
      <c r="P544" s="209" t="s">
        <v>1100</v>
      </c>
      <c r="Q544" s="182" t="s">
        <v>571</v>
      </c>
      <c r="R544" s="35" t="s">
        <v>571</v>
      </c>
      <c r="S544" s="34" t="str">
        <f aca="false">IF(ISNUMBER($AF544),INDEX(IDX_SrcStat,$AF544),"—")</f>
        <v>—</v>
      </c>
      <c r="T544" s="34" t="str">
        <f aca="false">IF(ISNUMBER($AF544),INDEX(IDX_SrcGrade,$AF544),"—")</f>
        <v>—</v>
      </c>
      <c r="U544" s="35" t="s">
        <v>571</v>
      </c>
      <c r="V544" s="183" t="n">
        <f aca="false">IF(AND($F544="原始數據",$U544&lt;&gt;"連結 SRC"),1,0)</f>
        <v>0</v>
      </c>
      <c r="W544" s="183" t="n">
        <f aca="false">IF(AND($F544="Analogy",OR($H544="—",$H544="")),1,0)</f>
        <v>0</v>
      </c>
      <c r="X544" s="183" t="n">
        <f aca="false">IF(AND(OR($F544="Analogy",$F544="Assumed"),$G544&lt;&gt;"低",$G544&lt;&gt;"高",NOT(ISNUMBER($K544)),NOT(ISNUMBER($L544)),OR($M544="—",$M544="")),1,0)</f>
        <v>0</v>
      </c>
      <c r="Y544" s="183" t="n">
        <f aca="false">IF(AND(OR($F544="Analogy",$F544="Assumed",$F544="Derived（待改公式）",$F544="Derived（公式）"),OR($N544="—",$N544="",$N544=0)),1,0)</f>
        <v>0</v>
      </c>
      <c r="Z544" s="183" t="n">
        <f aca="false">IF(AND($F544="Decision",OR($J544="—",$J544="")),1,0)</f>
        <v>0</v>
      </c>
      <c r="AA544" s="180" t="n">
        <f aca="false">IF(OR($J544="—",$J544=""),0,IF(COUNTIF(Decisions!$A$5:$A$300,$J544)=0,1,0))</f>
        <v>0</v>
      </c>
      <c r="AB544" s="183" t="n">
        <f aca="false">IF(AND($F544="原始數據",$S544&lt;&gt;"Active"),1,0)</f>
        <v>0</v>
      </c>
      <c r="AC544" s="183" t="n">
        <f aca="false">IF(AND(ISNUMBER($K544),ISNUMBER($L544),ISNUMBER($Q544)),IF(OR($Q544&lt;MIN($K544,$L544),$Q544&gt;MAX($K544,$L544)),1,0),0)</f>
        <v>0</v>
      </c>
      <c r="AD544" s="183" t="n">
        <f aca="false">IF(AND(ISNUMBER($T544),$P544="高"),IF($T544=3,1,0),0)</f>
        <v>0</v>
      </c>
      <c r="AE544" s="183" t="n">
        <f aca="false">IF($S544="不存在",1,0)</f>
        <v>0</v>
      </c>
      <c r="AF544" s="34" t="str">
        <f aca="false">IF(OR($H544="—",$H544=""),"—",MATCH($H544,IDX_SrcID,0))</f>
        <v>—</v>
      </c>
    </row>
    <row r="545" customFormat="false" ht="29.25" hidden="false" customHeight="true" outlineLevel="0" collapsed="false">
      <c r="A545" s="35" t="s">
        <v>4123</v>
      </c>
      <c r="B545" s="209" t="s">
        <v>3733</v>
      </c>
      <c r="C545" s="35" t="s">
        <v>3686</v>
      </c>
      <c r="D545" s="35" t="s">
        <v>4124</v>
      </c>
      <c r="E545" s="6" t="s">
        <v>921</v>
      </c>
      <c r="F545" s="35" t="s">
        <v>72</v>
      </c>
      <c r="G545" s="209" t="s">
        <v>3420</v>
      </c>
      <c r="H545" s="35" t="s">
        <v>571</v>
      </c>
      <c r="I545" s="6" t="s">
        <v>571</v>
      </c>
      <c r="J545" s="35" t="s">
        <v>571</v>
      </c>
      <c r="K545" s="209"/>
      <c r="L545" s="209"/>
      <c r="M545" s="35" t="s">
        <v>4125</v>
      </c>
      <c r="N545" s="6" t="s">
        <v>4126</v>
      </c>
      <c r="O545" s="6" t="s">
        <v>571</v>
      </c>
      <c r="P545" s="209" t="s">
        <v>1099</v>
      </c>
      <c r="Q545" s="182" t="s">
        <v>571</v>
      </c>
      <c r="R545" s="35" t="s">
        <v>571</v>
      </c>
      <c r="S545" s="34" t="str">
        <f aca="false">IF(ISNUMBER($AF545),INDEX(IDX_SrcStat,$AF545),"—")</f>
        <v>—</v>
      </c>
      <c r="T545" s="34" t="str">
        <f aca="false">IF(ISNUMBER($AF545),INDEX(IDX_SrcGrade,$AF545),"—")</f>
        <v>—</v>
      </c>
      <c r="U545" s="35" t="s">
        <v>571</v>
      </c>
      <c r="V545" s="183" t="n">
        <f aca="false">IF(AND($F545="原始數據",$U545&lt;&gt;"連結 SRC"),1,0)</f>
        <v>0</v>
      </c>
      <c r="W545" s="183" t="n">
        <f aca="false">IF(AND($F545="Analogy",OR($H545="—",$H545="")),1,0)</f>
        <v>0</v>
      </c>
      <c r="X545" s="183" t="n">
        <f aca="false">IF(AND(OR($F545="Analogy",$F545="Assumed"),$G545&lt;&gt;"低",$G545&lt;&gt;"高",NOT(ISNUMBER($K545)),NOT(ISNUMBER($L545)),OR($M545="—",$M545="")),1,0)</f>
        <v>0</v>
      </c>
      <c r="Y545" s="183" t="n">
        <f aca="false">IF(AND(OR($F545="Analogy",$F545="Assumed",$F545="Derived（待改公式）",$F545="Derived（公式）"),OR($N545="—",$N545="",$N545=0)),1,0)</f>
        <v>0</v>
      </c>
      <c r="Z545" s="183" t="n">
        <f aca="false">IF(AND($F545="Decision",OR($J545="—",$J545="")),1,0)</f>
        <v>0</v>
      </c>
      <c r="AA545" s="180" t="n">
        <f aca="false">IF(OR($J545="—",$J545=""),0,IF(COUNTIF(Decisions!$A$5:$A$300,$J545)=0,1,0))</f>
        <v>0</v>
      </c>
      <c r="AB545" s="183" t="n">
        <f aca="false">IF(AND($F545="原始數據",$S545&lt;&gt;"Active"),1,0)</f>
        <v>0</v>
      </c>
      <c r="AC545" s="183" t="n">
        <f aca="false">IF(AND(ISNUMBER($K545),ISNUMBER($L545),ISNUMBER($Q545)),IF(OR($Q545&lt;MIN($K545,$L545),$Q545&gt;MAX($K545,$L545)),1,0),0)</f>
        <v>0</v>
      </c>
      <c r="AD545" s="183" t="n">
        <f aca="false">IF(AND(ISNUMBER($T545),$P545="高"),IF($T545=3,1,0),0)</f>
        <v>0</v>
      </c>
      <c r="AE545" s="183" t="n">
        <f aca="false">IF($S545="不存在",1,0)</f>
        <v>0</v>
      </c>
      <c r="AF545" s="34" t="str">
        <f aca="false">IF(OR($H545="—",$H545=""),"—",MATCH($H545,IDX_SrcID,0))</f>
        <v>—</v>
      </c>
    </row>
    <row r="546" customFormat="false" ht="40.5" hidden="false" customHeight="true" outlineLevel="0" collapsed="false">
      <c r="A546" s="35" t="s">
        <v>4127</v>
      </c>
      <c r="B546" s="209" t="s">
        <v>3733</v>
      </c>
      <c r="C546" s="35" t="s">
        <v>3686</v>
      </c>
      <c r="D546" s="35" t="s">
        <v>4128</v>
      </c>
      <c r="E546" s="18" t="s">
        <v>4129</v>
      </c>
      <c r="F546" s="35" t="s">
        <v>72</v>
      </c>
      <c r="G546" s="209" t="s">
        <v>3420</v>
      </c>
      <c r="H546" s="35" t="s">
        <v>571</v>
      </c>
      <c r="I546" s="6" t="s">
        <v>571</v>
      </c>
      <c r="J546" s="35" t="s">
        <v>571</v>
      </c>
      <c r="K546" s="209"/>
      <c r="L546" s="209"/>
      <c r="M546" s="209" t="s">
        <v>2624</v>
      </c>
      <c r="N546" s="18" t="s">
        <v>4130</v>
      </c>
      <c r="O546" s="6" t="s">
        <v>4131</v>
      </c>
      <c r="P546" s="209" t="s">
        <v>2682</v>
      </c>
      <c r="Q546" s="182" t="s">
        <v>571</v>
      </c>
      <c r="R546" s="35" t="s">
        <v>571</v>
      </c>
      <c r="S546" s="34" t="str">
        <f aca="false">IF(ISNUMBER($AF546),INDEX(IDX_SrcStat,$AF546),"—")</f>
        <v>—</v>
      </c>
      <c r="T546" s="34" t="str">
        <f aca="false">IF(ISNUMBER($AF546),INDEX(IDX_SrcGrade,$AF546),"—")</f>
        <v>—</v>
      </c>
      <c r="U546" s="35" t="s">
        <v>571</v>
      </c>
      <c r="V546" s="183" t="n">
        <f aca="false">IF(AND($F546="原始數據",$U546&lt;&gt;"連結 SRC"),1,0)</f>
        <v>0</v>
      </c>
      <c r="W546" s="183" t="n">
        <f aca="false">IF(AND($F546="Analogy",OR($H546="—",$H546="")),1,0)</f>
        <v>0</v>
      </c>
      <c r="X546" s="183" t="n">
        <f aca="false">IF(AND(OR($F546="Analogy",$F546="Assumed"),$G546&lt;&gt;"低",$G546&lt;&gt;"高",NOT(ISNUMBER($K546)),NOT(ISNUMBER($L546)),OR($M546="—",$M546="")),1,0)</f>
        <v>0</v>
      </c>
      <c r="Y546" s="183" t="n">
        <f aca="false">IF(AND(OR($F546="Analogy",$F546="Assumed",$F546="Derived（待改公式）",$F546="Derived（公式）"),OR($N546="—",$N546="",$N546=0)),1,0)</f>
        <v>0</v>
      </c>
      <c r="Z546" s="183" t="n">
        <f aca="false">IF(AND($F546="Decision",OR($J546="—",$J546="")),1,0)</f>
        <v>0</v>
      </c>
      <c r="AA546" s="180" t="n">
        <f aca="false">IF(OR($J546="—",$J546=""),0,IF(COUNTIF(Decisions!$A$5:$A$300,$J546)=0,1,0))</f>
        <v>0</v>
      </c>
      <c r="AB546" s="183" t="n">
        <f aca="false">IF(AND($F546="原始數據",$S546&lt;&gt;"Active"),1,0)</f>
        <v>0</v>
      </c>
      <c r="AC546" s="183" t="n">
        <f aca="false">IF(AND(ISNUMBER($K546),ISNUMBER($L546),ISNUMBER($Q546)),IF(OR($Q546&lt;MIN($K546,$L546),$Q546&gt;MAX($K546,$L546)),1,0),0)</f>
        <v>0</v>
      </c>
      <c r="AD546" s="183" t="n">
        <f aca="false">IF(AND(ISNUMBER($T546),$P546="高"),IF($T546=3,1,0),0)</f>
        <v>0</v>
      </c>
      <c r="AE546" s="183" t="n">
        <f aca="false">IF($S546="不存在",1,0)</f>
        <v>0</v>
      </c>
      <c r="AF546" s="34" t="str">
        <f aca="false">IF(OR($H546="—",$H546=""),"—",MATCH($H546,IDX_SrcID,0))</f>
        <v>—</v>
      </c>
    </row>
    <row r="547" customFormat="false" ht="15" hidden="false" customHeight="true" outlineLevel="0" collapsed="false">
      <c r="A547" s="35" t="s">
        <v>4132</v>
      </c>
      <c r="B547" s="209" t="s">
        <v>3733</v>
      </c>
      <c r="C547" s="35" t="s">
        <v>3686</v>
      </c>
      <c r="D547" s="35" t="s">
        <v>4133</v>
      </c>
      <c r="E547" s="18" t="s">
        <v>4134</v>
      </c>
      <c r="F547" s="35" t="s">
        <v>72</v>
      </c>
      <c r="G547" s="209" t="s">
        <v>3420</v>
      </c>
      <c r="H547" s="35" t="s">
        <v>571</v>
      </c>
      <c r="I547" s="6" t="s">
        <v>571</v>
      </c>
      <c r="J547" s="35" t="s">
        <v>571</v>
      </c>
      <c r="K547" s="209"/>
      <c r="L547" s="209"/>
      <c r="M547" s="35" t="s">
        <v>4135</v>
      </c>
      <c r="N547" s="18" t="s">
        <v>4134</v>
      </c>
      <c r="O547" s="6" t="s">
        <v>571</v>
      </c>
      <c r="P547" s="209" t="s">
        <v>1099</v>
      </c>
      <c r="Q547" s="182" t="s">
        <v>571</v>
      </c>
      <c r="R547" s="35" t="s">
        <v>571</v>
      </c>
      <c r="S547" s="34" t="str">
        <f aca="false">IF(ISNUMBER($AF547),INDEX(IDX_SrcStat,$AF547),"—")</f>
        <v>—</v>
      </c>
      <c r="T547" s="34" t="str">
        <f aca="false">IF(ISNUMBER($AF547),INDEX(IDX_SrcGrade,$AF547),"—")</f>
        <v>—</v>
      </c>
      <c r="U547" s="35" t="s">
        <v>571</v>
      </c>
      <c r="V547" s="183" t="n">
        <f aca="false">IF(AND($F547="原始數據",$U547&lt;&gt;"連結 SRC"),1,0)</f>
        <v>0</v>
      </c>
      <c r="W547" s="183" t="n">
        <f aca="false">IF(AND($F547="Analogy",OR($H547="—",$H547="")),1,0)</f>
        <v>0</v>
      </c>
      <c r="X547" s="183" t="n">
        <f aca="false">IF(AND(OR($F547="Analogy",$F547="Assumed"),$G547&lt;&gt;"低",$G547&lt;&gt;"高",NOT(ISNUMBER($K547)),NOT(ISNUMBER($L547)),OR($M547="—",$M547="")),1,0)</f>
        <v>0</v>
      </c>
      <c r="Y547" s="183" t="n">
        <f aca="false">IF(AND(OR($F547="Analogy",$F547="Assumed",$F547="Derived（待改公式）",$F547="Derived（公式）"),OR($N547="—",$N547="",$N547=0)),1,0)</f>
        <v>0</v>
      </c>
      <c r="Z547" s="183" t="n">
        <f aca="false">IF(AND($F547="Decision",OR($J547="—",$J547="")),1,0)</f>
        <v>0</v>
      </c>
      <c r="AA547" s="180" t="n">
        <f aca="false">IF(OR($J547="—",$J547=""),0,IF(COUNTIF(Decisions!$A$5:$A$300,$J547)=0,1,0))</f>
        <v>0</v>
      </c>
      <c r="AB547" s="183" t="n">
        <f aca="false">IF(AND($F547="原始數據",$S547&lt;&gt;"Active"),1,0)</f>
        <v>0</v>
      </c>
      <c r="AC547" s="183" t="n">
        <f aca="false">IF(AND(ISNUMBER($K547),ISNUMBER($L547),ISNUMBER($Q547)),IF(OR($Q547&lt;MIN($K547,$L547),$Q547&gt;MAX($K547,$L547)),1,0),0)</f>
        <v>0</v>
      </c>
      <c r="AD547" s="183" t="n">
        <f aca="false">IF(AND(ISNUMBER($T547),$P547="高"),IF($T547=3,1,0),0)</f>
        <v>0</v>
      </c>
      <c r="AE547" s="183" t="n">
        <f aca="false">IF($S547="不存在",1,0)</f>
        <v>0</v>
      </c>
      <c r="AF547" s="34" t="str">
        <f aca="false">IF(OR($H547="—",$H547=""),"—",MATCH($H547,IDX_SrcID,0))</f>
        <v>—</v>
      </c>
    </row>
    <row r="548" customFormat="false" ht="15" hidden="false" customHeight="true" outlineLevel="0" collapsed="false">
      <c r="A548" s="35" t="s">
        <v>4136</v>
      </c>
      <c r="B548" s="209" t="s">
        <v>3733</v>
      </c>
      <c r="C548" s="35" t="s">
        <v>3686</v>
      </c>
      <c r="D548" s="35" t="s">
        <v>4137</v>
      </c>
      <c r="E548" s="18" t="s">
        <v>4138</v>
      </c>
      <c r="F548" s="35" t="s">
        <v>72</v>
      </c>
      <c r="G548" s="209" t="s">
        <v>3420</v>
      </c>
      <c r="H548" s="35" t="s">
        <v>571</v>
      </c>
      <c r="I548" s="6" t="s">
        <v>571</v>
      </c>
      <c r="J548" s="35" t="s">
        <v>571</v>
      </c>
      <c r="K548" s="209"/>
      <c r="L548" s="209"/>
      <c r="M548" s="209" t="s">
        <v>4115</v>
      </c>
      <c r="N548" s="18" t="s">
        <v>4138</v>
      </c>
      <c r="O548" s="6" t="s">
        <v>571</v>
      </c>
      <c r="P548" s="209" t="s">
        <v>1099</v>
      </c>
      <c r="Q548" s="182" t="s">
        <v>571</v>
      </c>
      <c r="R548" s="35" t="s">
        <v>571</v>
      </c>
      <c r="S548" s="34" t="str">
        <f aca="false">IF(ISNUMBER($AF548),INDEX(IDX_SrcStat,$AF548),"—")</f>
        <v>—</v>
      </c>
      <c r="T548" s="34" t="str">
        <f aca="false">IF(ISNUMBER($AF548),INDEX(IDX_SrcGrade,$AF548),"—")</f>
        <v>—</v>
      </c>
      <c r="U548" s="35" t="s">
        <v>571</v>
      </c>
      <c r="V548" s="183" t="n">
        <f aca="false">IF(AND($F548="原始數據",$U548&lt;&gt;"連結 SRC"),1,0)</f>
        <v>0</v>
      </c>
      <c r="W548" s="183" t="n">
        <f aca="false">IF(AND($F548="Analogy",OR($H548="—",$H548="")),1,0)</f>
        <v>0</v>
      </c>
      <c r="X548" s="183" t="n">
        <f aca="false">IF(AND(OR($F548="Analogy",$F548="Assumed"),$G548&lt;&gt;"低",$G548&lt;&gt;"高",NOT(ISNUMBER($K548)),NOT(ISNUMBER($L548)),OR($M548="—",$M548="")),1,0)</f>
        <v>0</v>
      </c>
      <c r="Y548" s="183" t="n">
        <f aca="false">IF(AND(OR($F548="Analogy",$F548="Assumed",$F548="Derived（待改公式）",$F548="Derived（公式）"),OR($N548="—",$N548="",$N548=0)),1,0)</f>
        <v>0</v>
      </c>
      <c r="Z548" s="183" t="n">
        <f aca="false">IF(AND($F548="Decision",OR($J548="—",$J548="")),1,0)</f>
        <v>0</v>
      </c>
      <c r="AA548" s="180" t="n">
        <f aca="false">IF(OR($J548="—",$J548=""),0,IF(COUNTIF(Decisions!$A$5:$A$300,$J548)=0,1,0))</f>
        <v>0</v>
      </c>
      <c r="AB548" s="183" t="n">
        <f aca="false">IF(AND($F548="原始數據",$S548&lt;&gt;"Active"),1,0)</f>
        <v>0</v>
      </c>
      <c r="AC548" s="183" t="n">
        <f aca="false">IF(AND(ISNUMBER($K548),ISNUMBER($L548),ISNUMBER($Q548)),IF(OR($Q548&lt;MIN($K548,$L548),$Q548&gt;MAX($K548,$L548)),1,0),0)</f>
        <v>0</v>
      </c>
      <c r="AD548" s="183" t="n">
        <f aca="false">IF(AND(ISNUMBER($T548),$P548="高"),IF($T548=3,1,0),0)</f>
        <v>0</v>
      </c>
      <c r="AE548" s="183" t="n">
        <f aca="false">IF($S548="不存在",1,0)</f>
        <v>0</v>
      </c>
      <c r="AF548" s="34" t="str">
        <f aca="false">IF(OR($H548="—",$H548=""),"—",MATCH($H548,IDX_SrcID,0))</f>
        <v>—</v>
      </c>
    </row>
    <row r="549" customFormat="false" ht="43.5" hidden="false" customHeight="true" outlineLevel="0" collapsed="false">
      <c r="A549" s="35" t="s">
        <v>4139</v>
      </c>
      <c r="B549" s="209" t="s">
        <v>3733</v>
      </c>
      <c r="C549" s="35" t="s">
        <v>3686</v>
      </c>
      <c r="D549" s="35" t="s">
        <v>4140</v>
      </c>
      <c r="E549" s="6" t="s">
        <v>936</v>
      </c>
      <c r="F549" s="35" t="s">
        <v>2965</v>
      </c>
      <c r="G549" s="209" t="s">
        <v>2679</v>
      </c>
      <c r="H549" s="35" t="s">
        <v>2161</v>
      </c>
      <c r="I549" s="18" t="s">
        <v>4141</v>
      </c>
      <c r="J549" s="35" t="s">
        <v>571</v>
      </c>
      <c r="K549" s="209"/>
      <c r="L549" s="209"/>
      <c r="M549" s="35" t="s">
        <v>571</v>
      </c>
      <c r="N549" s="18" t="s">
        <v>4142</v>
      </c>
      <c r="O549" s="6" t="s">
        <v>571</v>
      </c>
      <c r="P549" s="209" t="s">
        <v>2682</v>
      </c>
      <c r="Q549" s="176" t="n">
        <f aca="false">Train_In!C44</f>
        <v>0.0551801801801802</v>
      </c>
      <c r="R549" s="182" t="n">
        <f aca="false">SRC_MOD_034</f>
        <v>0.147</v>
      </c>
      <c r="S549" s="34" t="str">
        <f aca="false">IF(ISNUMBER($AF549),INDEX(IDX_SrcStat,$AF549),"—")</f>
        <v>Active</v>
      </c>
      <c r="T549" s="34" t="n">
        <f aca="false">IF(ISNUMBER($AF549),INDEX(IDX_SrcGrade,$AF549),"—")</f>
        <v>2</v>
      </c>
      <c r="U549" s="34" t="s">
        <v>2716</v>
      </c>
      <c r="V549" s="183" t="n">
        <f aca="false">IF(AND($F549="原始數據",$U549&lt;&gt;"連結 SRC"),1,0)</f>
        <v>0</v>
      </c>
      <c r="W549" s="183" t="n">
        <f aca="false">IF(AND($F549="Analogy",OR($H549="—",$H549="")),1,0)</f>
        <v>0</v>
      </c>
      <c r="X549" s="183" t="n">
        <f aca="false">IF(AND(OR($F549="Analogy",$F549="Assumed"),$G549&lt;&gt;"低",$G549&lt;&gt;"高",NOT(ISNUMBER($K549)),NOT(ISNUMBER($L549)),OR($M549="—",$M549="")),1,0)</f>
        <v>0</v>
      </c>
      <c r="Y549" s="183" t="n">
        <f aca="false">IF(AND(OR($F549="Analogy",$F549="Assumed",$F549="Derived（待改公式）",$F549="Derived（公式）"),OR($N549="—",$N549="",$N549=0)),1,0)</f>
        <v>0</v>
      </c>
      <c r="Z549" s="183" t="n">
        <f aca="false">IF(AND($F549="Decision",OR($J549="—",$J549="")),1,0)</f>
        <v>0</v>
      </c>
      <c r="AA549" s="180" t="n">
        <f aca="false">IF(OR($J549="—",$J549=""),0,IF(COUNTIF(Decisions!$A$5:$A$300,$J549)=0,1,0))</f>
        <v>0</v>
      </c>
      <c r="AB549" s="183" t="n">
        <f aca="false">IF(AND($F549="原始數據",$S549&lt;&gt;"Active"),1,0)</f>
        <v>0</v>
      </c>
      <c r="AC549" s="183" t="n">
        <f aca="false">IF(AND(ISNUMBER($K549),ISNUMBER($L549),ISNUMBER($Q549)),IF(OR($Q549&lt;MIN($K549,$L549),$Q549&gt;MAX($K549,$L549)),1,0),0)</f>
        <v>0</v>
      </c>
      <c r="AD549" s="183" t="n">
        <f aca="false">IF(AND(ISNUMBER($T549),$P549="高"),IF($T549=3,1,0),0)</f>
        <v>0</v>
      </c>
      <c r="AE549" s="183" t="n">
        <f aca="false">IF($S549="不存在",1,0)</f>
        <v>0</v>
      </c>
      <c r="AF549" s="34" t="n">
        <f aca="false">IF(OR($H549="—",$H549=""),"—",MATCH($H549,IDX_SrcID,0))</f>
        <v>211</v>
      </c>
    </row>
    <row r="550" customFormat="false" ht="29.25" hidden="false" customHeight="true" outlineLevel="0" collapsed="false">
      <c r="A550" s="35" t="s">
        <v>4143</v>
      </c>
      <c r="B550" s="209" t="s">
        <v>3733</v>
      </c>
      <c r="C550" s="35" t="s">
        <v>3686</v>
      </c>
      <c r="D550" s="35" t="s">
        <v>4144</v>
      </c>
      <c r="E550" s="18" t="s">
        <v>942</v>
      </c>
      <c r="F550" s="35" t="s">
        <v>76</v>
      </c>
      <c r="G550" s="209" t="s">
        <v>57</v>
      </c>
      <c r="H550" s="35" t="s">
        <v>2197</v>
      </c>
      <c r="I550" s="18" t="s">
        <v>4145</v>
      </c>
      <c r="J550" s="35" t="s">
        <v>4090</v>
      </c>
      <c r="K550" s="217" t="n">
        <f aca="false">Train_In!C46</f>
        <v>2E+026</v>
      </c>
      <c r="L550" s="217" t="n">
        <f aca="false">Train_In!C48</f>
        <v>2E+027</v>
      </c>
      <c r="M550" s="35" t="s">
        <v>571</v>
      </c>
      <c r="N550" s="6" t="s">
        <v>4146</v>
      </c>
      <c r="O550" s="6" t="s">
        <v>571</v>
      </c>
      <c r="P550" s="209" t="s">
        <v>2682</v>
      </c>
      <c r="Q550" s="217" t="n">
        <f aca="false">Train_In!C47</f>
        <v>5E+026</v>
      </c>
      <c r="R550" s="182" t="n">
        <f aca="false">SRC_MOD_033</f>
        <v>4.6E+026</v>
      </c>
      <c r="S550" s="34" t="str">
        <f aca="false">IF(ISNUMBER($AF550),INDEX(IDX_SrcStat,$AF550),"—")</f>
        <v>Active</v>
      </c>
      <c r="T550" s="34" t="n">
        <f aca="false">IF(ISNUMBER($AF550),INDEX(IDX_SrcGrade,$AF550),"—")</f>
        <v>1</v>
      </c>
      <c r="U550" s="34" t="s">
        <v>2683</v>
      </c>
      <c r="V550" s="183" t="n">
        <f aca="false">IF(AND($F550="原始數據",$U550&lt;&gt;"連結 SRC"),1,0)</f>
        <v>0</v>
      </c>
      <c r="W550" s="183" t="n">
        <f aca="false">IF(AND($F550="Analogy",OR($H550="—",$H550="")),1,0)</f>
        <v>0</v>
      </c>
      <c r="X550" s="183" t="n">
        <f aca="false">IF(AND(OR($F550="Analogy",$F550="Assumed"),$G550&lt;&gt;"低",$G550&lt;&gt;"高",NOT(ISNUMBER($K550)),NOT(ISNUMBER($L550)),OR($M550="—",$M550="")),1,0)</f>
        <v>0</v>
      </c>
      <c r="Y550" s="183" t="n">
        <f aca="false">IF(AND(OR($F550="Analogy",$F550="Assumed",$F550="Derived（待改公式）",$F550="Derived（公式）"),OR($N550="—",$N550="",$N550=0)),1,0)</f>
        <v>0</v>
      </c>
      <c r="Z550" s="183" t="n">
        <f aca="false">IF(AND($F550="Decision",OR($J550="—",$J550="")),1,0)</f>
        <v>0</v>
      </c>
      <c r="AA550" s="180" t="n">
        <f aca="false">IF(OR($J550="—",$J550=""),0,IF(COUNTIF(Decisions!$A$5:$A$300,$J550)=0,1,0))</f>
        <v>0</v>
      </c>
      <c r="AB550" s="183" t="n">
        <f aca="false">IF(AND($F550="原始數據",$S550&lt;&gt;"Active"),1,0)</f>
        <v>0</v>
      </c>
      <c r="AC550" s="183" t="n">
        <f aca="false">IF(AND(ISNUMBER($K550),ISNUMBER($L550),ISNUMBER($Q550)),IF(OR($Q550&lt;MIN($K550,$L550),$Q550&gt;MAX($K550,$L550)),1,0),0)</f>
        <v>0</v>
      </c>
      <c r="AD550" s="183" t="n">
        <f aca="false">IF(AND(ISNUMBER($T550),$P550="高"),IF($T550=3,1,0),0)</f>
        <v>0</v>
      </c>
      <c r="AE550" s="183" t="n">
        <f aca="false">IF($S550="不存在",1,0)</f>
        <v>0</v>
      </c>
      <c r="AF550" s="34" t="n">
        <f aca="false">IF(OR($H550="—",$H550=""),"—",MATCH($H550,IDX_SrcID,0))</f>
        <v>210</v>
      </c>
    </row>
    <row r="551" customFormat="false" ht="15" hidden="false" customHeight="true" outlineLevel="0" collapsed="false">
      <c r="A551" s="35" t="s">
        <v>4147</v>
      </c>
      <c r="B551" s="209" t="s">
        <v>3733</v>
      </c>
      <c r="C551" s="35" t="s">
        <v>3686</v>
      </c>
      <c r="D551" s="35" t="s">
        <v>4148</v>
      </c>
      <c r="E551" s="18" t="s">
        <v>940</v>
      </c>
      <c r="F551" s="35" t="s">
        <v>76</v>
      </c>
      <c r="G551" s="209" t="s">
        <v>1099</v>
      </c>
      <c r="H551" s="35" t="s">
        <v>2197</v>
      </c>
      <c r="I551" s="18" t="s">
        <v>2702</v>
      </c>
      <c r="J551" s="35" t="s">
        <v>4090</v>
      </c>
      <c r="K551" s="209"/>
      <c r="L551" s="209"/>
      <c r="M551" s="35" t="s">
        <v>571</v>
      </c>
      <c r="N551" s="18" t="s">
        <v>4149</v>
      </c>
      <c r="O551" s="6" t="s">
        <v>571</v>
      </c>
      <c r="P551" s="209" t="s">
        <v>2682</v>
      </c>
      <c r="Q551" s="217" t="n">
        <f aca="false">Train_In!C46</f>
        <v>2E+026</v>
      </c>
      <c r="R551" s="182" t="n">
        <f aca="false">SRC_MOD_033</f>
        <v>4.6E+026</v>
      </c>
      <c r="S551" s="34" t="str">
        <f aca="false">IF(ISNUMBER($AF551),INDEX(IDX_SrcStat,$AF551),"—")</f>
        <v>Active</v>
      </c>
      <c r="T551" s="34" t="n">
        <f aca="false">IF(ISNUMBER($AF551),INDEX(IDX_SrcGrade,$AF551),"—")</f>
        <v>1</v>
      </c>
      <c r="U551" s="34" t="s">
        <v>2683</v>
      </c>
      <c r="V551" s="183" t="n">
        <f aca="false">IF(AND($F551="原始數據",$U551&lt;&gt;"連結 SRC"),1,0)</f>
        <v>0</v>
      </c>
      <c r="W551" s="183" t="n">
        <f aca="false">IF(AND($F551="Analogy",OR($H551="—",$H551="")),1,0)</f>
        <v>0</v>
      </c>
      <c r="X551" s="183" t="n">
        <f aca="false">IF(AND(OR($F551="Analogy",$F551="Assumed"),$G551&lt;&gt;"低",$G551&lt;&gt;"高",NOT(ISNUMBER($K551)),NOT(ISNUMBER($L551)),OR($M551="—",$M551="")),1,0)</f>
        <v>0</v>
      </c>
      <c r="Y551" s="183" t="n">
        <f aca="false">IF(AND(OR($F551="Analogy",$F551="Assumed",$F551="Derived（待改公式）",$F551="Derived（公式）"),OR($N551="—",$N551="",$N551=0)),1,0)</f>
        <v>0</v>
      </c>
      <c r="Z551" s="183" t="n">
        <f aca="false">IF(AND($F551="Decision",OR($J551="—",$J551="")),1,0)</f>
        <v>0</v>
      </c>
      <c r="AA551" s="180" t="n">
        <f aca="false">IF(OR($J551="—",$J551=""),0,IF(COUNTIF(Decisions!$A$5:$A$300,$J551)=0,1,0))</f>
        <v>0</v>
      </c>
      <c r="AB551" s="183" t="n">
        <f aca="false">IF(AND($F551="原始數據",$S551&lt;&gt;"Active"),1,0)</f>
        <v>0</v>
      </c>
      <c r="AC551" s="183" t="n">
        <f aca="false">IF(AND(ISNUMBER($K551),ISNUMBER($L551),ISNUMBER($Q551)),IF(OR($Q551&lt;MIN($K551,$L551),$Q551&gt;MAX($K551,$L551)),1,0),0)</f>
        <v>0</v>
      </c>
      <c r="AD551" s="183" t="n">
        <f aca="false">IF(AND(ISNUMBER($T551),$P551="高"),IF($T551=3,1,0),0)</f>
        <v>0</v>
      </c>
      <c r="AE551" s="183" t="n">
        <f aca="false">IF($S551="不存在",1,0)</f>
        <v>0</v>
      </c>
      <c r="AF551" s="34" t="n">
        <f aca="false">IF(OR($H551="—",$H551=""),"—",MATCH($H551,IDX_SrcID,0))</f>
        <v>210</v>
      </c>
    </row>
    <row r="552" customFormat="false" ht="15" hidden="false" customHeight="true" outlineLevel="0" collapsed="false">
      <c r="A552" s="35" t="s">
        <v>4150</v>
      </c>
      <c r="B552" s="209" t="s">
        <v>3733</v>
      </c>
      <c r="C552" s="35" t="s">
        <v>3686</v>
      </c>
      <c r="D552" s="35" t="s">
        <v>4151</v>
      </c>
      <c r="E552" s="18" t="s">
        <v>943</v>
      </c>
      <c r="F552" s="35" t="s">
        <v>76</v>
      </c>
      <c r="G552" s="209" t="s">
        <v>1100</v>
      </c>
      <c r="H552" s="35" t="s">
        <v>2197</v>
      </c>
      <c r="I552" s="18" t="s">
        <v>2702</v>
      </c>
      <c r="J552" s="35" t="s">
        <v>4090</v>
      </c>
      <c r="K552" s="209"/>
      <c r="L552" s="209"/>
      <c r="M552" s="35" t="s">
        <v>571</v>
      </c>
      <c r="N552" s="18" t="s">
        <v>4152</v>
      </c>
      <c r="O552" s="6" t="s">
        <v>571</v>
      </c>
      <c r="P552" s="209" t="s">
        <v>2682</v>
      </c>
      <c r="Q552" s="217" t="n">
        <f aca="false">Train_In!C48</f>
        <v>2E+027</v>
      </c>
      <c r="R552" s="182" t="n">
        <f aca="false">SRC_MOD_033</f>
        <v>4.6E+026</v>
      </c>
      <c r="S552" s="34" t="str">
        <f aca="false">IF(ISNUMBER($AF552),INDEX(IDX_SrcStat,$AF552),"—")</f>
        <v>Active</v>
      </c>
      <c r="T552" s="34" t="n">
        <f aca="false">IF(ISNUMBER($AF552),INDEX(IDX_SrcGrade,$AF552),"—")</f>
        <v>1</v>
      </c>
      <c r="U552" s="34" t="s">
        <v>2683</v>
      </c>
      <c r="V552" s="183" t="n">
        <f aca="false">IF(AND($F552="原始數據",$U552&lt;&gt;"連結 SRC"),1,0)</f>
        <v>0</v>
      </c>
      <c r="W552" s="183" t="n">
        <f aca="false">IF(AND($F552="Analogy",OR($H552="—",$H552="")),1,0)</f>
        <v>0</v>
      </c>
      <c r="X552" s="183" t="n">
        <f aca="false">IF(AND(OR($F552="Analogy",$F552="Assumed"),$G552&lt;&gt;"低",$G552&lt;&gt;"高",NOT(ISNUMBER($K552)),NOT(ISNUMBER($L552)),OR($M552="—",$M552="")),1,0)</f>
        <v>0</v>
      </c>
      <c r="Y552" s="183" t="n">
        <f aca="false">IF(AND(OR($F552="Analogy",$F552="Assumed",$F552="Derived（待改公式）",$F552="Derived（公式）"),OR($N552="—",$N552="",$N552=0)),1,0)</f>
        <v>0</v>
      </c>
      <c r="Z552" s="183" t="n">
        <f aca="false">IF(AND($F552="Decision",OR($J552="—",$J552="")),1,0)</f>
        <v>0</v>
      </c>
      <c r="AA552" s="180" t="n">
        <f aca="false">IF(OR($J552="—",$J552=""),0,IF(COUNTIF(Decisions!$A$5:$A$300,$J552)=0,1,0))</f>
        <v>0</v>
      </c>
      <c r="AB552" s="183" t="n">
        <f aca="false">IF(AND($F552="原始數據",$S552&lt;&gt;"Active"),1,0)</f>
        <v>0</v>
      </c>
      <c r="AC552" s="183" t="n">
        <f aca="false">IF(AND(ISNUMBER($K552),ISNUMBER($L552),ISNUMBER($Q552)),IF(OR($Q552&lt;MIN($K552,$L552),$Q552&gt;MAX($K552,$L552)),1,0),0)</f>
        <v>0</v>
      </c>
      <c r="AD552" s="183" t="n">
        <f aca="false">IF(AND(ISNUMBER($T552),$P552="高"),IF($T552=3,1,0),0)</f>
        <v>0</v>
      </c>
      <c r="AE552" s="183" t="n">
        <f aca="false">IF($S552="不存在",1,0)</f>
        <v>0</v>
      </c>
      <c r="AF552" s="34" t="n">
        <f aca="false">IF(OR($H552="—",$H552=""),"—",MATCH($H552,IDX_SrcID,0))</f>
        <v>210</v>
      </c>
    </row>
    <row r="553" customFormat="false" ht="15" hidden="false" customHeight="true" outlineLevel="0" collapsed="false">
      <c r="A553" s="35" t="s">
        <v>4153</v>
      </c>
      <c r="B553" s="209" t="s">
        <v>3733</v>
      </c>
      <c r="C553" s="35" t="s">
        <v>3715</v>
      </c>
      <c r="D553" s="35" t="s">
        <v>3662</v>
      </c>
      <c r="E553" s="18" t="s">
        <v>407</v>
      </c>
      <c r="F553" s="209" t="s">
        <v>3419</v>
      </c>
      <c r="G553" s="209" t="s">
        <v>3420</v>
      </c>
      <c r="H553" s="35" t="s">
        <v>571</v>
      </c>
      <c r="I553" s="6" t="s">
        <v>571</v>
      </c>
      <c r="J553" s="35" t="s">
        <v>571</v>
      </c>
      <c r="K553" s="209"/>
      <c r="L553" s="209"/>
      <c r="M553" s="35" t="s">
        <v>571</v>
      </c>
      <c r="N553" s="18" t="s">
        <v>407</v>
      </c>
      <c r="O553" s="6" t="s">
        <v>571</v>
      </c>
      <c r="P553" s="209" t="s">
        <v>2682</v>
      </c>
      <c r="Q553" s="182" t="s">
        <v>571</v>
      </c>
      <c r="R553" s="35" t="s">
        <v>571</v>
      </c>
      <c r="S553" s="34" t="str">
        <f aca="false">IF(ISNUMBER($AF553),INDEX(IDX_SrcStat,$AF553),"—")</f>
        <v>—</v>
      </c>
      <c r="T553" s="34" t="str">
        <f aca="false">IF(ISNUMBER($AF553),INDEX(IDX_SrcGrade,$AF553),"—")</f>
        <v>—</v>
      </c>
      <c r="U553" s="35" t="s">
        <v>571</v>
      </c>
      <c r="V553" s="183" t="n">
        <f aca="false">IF(AND($F553="原始數據",$U553&lt;&gt;"連結 SRC"),1,0)</f>
        <v>0</v>
      </c>
      <c r="W553" s="183" t="n">
        <f aca="false">IF(AND($F553="Analogy",OR($H553="—",$H553="")),1,0)</f>
        <v>0</v>
      </c>
      <c r="X553" s="183" t="n">
        <f aca="false">IF(AND(OR($F553="Analogy",$F553="Assumed"),$G553&lt;&gt;"低",$G553&lt;&gt;"高",NOT(ISNUMBER($K553)),NOT(ISNUMBER($L553)),OR($M553="—",$M553="")),1,0)</f>
        <v>0</v>
      </c>
      <c r="Y553" s="183" t="n">
        <f aca="false">IF(AND(OR($F553="Analogy",$F553="Assumed",$F553="Derived（待改公式）",$F553="Derived（公式）"),OR($N553="—",$N553="",$N553=0)),1,0)</f>
        <v>0</v>
      </c>
      <c r="Z553" s="183" t="n">
        <f aca="false">IF(AND($F553="Decision",OR($J553="—",$J553="")),1,0)</f>
        <v>0</v>
      </c>
      <c r="AA553" s="180" t="n">
        <f aca="false">IF(OR($J553="—",$J553=""),0,IF(COUNTIF(Decisions!$A$5:$A$300,$J553)=0,1,0))</f>
        <v>0</v>
      </c>
      <c r="AB553" s="183" t="n">
        <f aca="false">IF(AND($F553="原始數據",$S553&lt;&gt;"Active"),1,0)</f>
        <v>0</v>
      </c>
      <c r="AC553" s="183" t="n">
        <f aca="false">IF(AND(ISNUMBER($K553),ISNUMBER($L553),ISNUMBER($Q553)),IF(OR($Q553&lt;MIN($K553,$L553),$Q553&gt;MAX($K553,$L553)),1,0),0)</f>
        <v>0</v>
      </c>
      <c r="AD553" s="183" t="n">
        <f aca="false">IF(AND(ISNUMBER($T553),$P553="高"),IF($T553=3,1,0),0)</f>
        <v>0</v>
      </c>
      <c r="AE553" s="183" t="n">
        <f aca="false">IF($S553="不存在",1,0)</f>
        <v>0</v>
      </c>
      <c r="AF553" s="34" t="str">
        <f aca="false">IF(OR($H553="—",$H553=""),"—",MATCH($H553,IDX_SrcID,0))</f>
        <v>—</v>
      </c>
    </row>
    <row r="554" customFormat="false" ht="15" hidden="false" customHeight="true" outlineLevel="0" collapsed="false">
      <c r="A554" s="35" t="s">
        <v>4154</v>
      </c>
      <c r="B554" s="209" t="s">
        <v>3733</v>
      </c>
      <c r="C554" s="35" t="s">
        <v>3715</v>
      </c>
      <c r="D554" s="35" t="s">
        <v>3664</v>
      </c>
      <c r="E554" s="18" t="s">
        <v>674</v>
      </c>
      <c r="F554" s="209" t="s">
        <v>3419</v>
      </c>
      <c r="G554" s="209" t="s">
        <v>3420</v>
      </c>
      <c r="H554" s="35" t="s">
        <v>571</v>
      </c>
      <c r="I554" s="6" t="s">
        <v>571</v>
      </c>
      <c r="J554" s="35" t="s">
        <v>571</v>
      </c>
      <c r="K554" s="209"/>
      <c r="L554" s="209"/>
      <c r="M554" s="35" t="s">
        <v>571</v>
      </c>
      <c r="N554" s="18" t="s">
        <v>674</v>
      </c>
      <c r="O554" s="6" t="s">
        <v>571</v>
      </c>
      <c r="P554" s="209" t="s">
        <v>2682</v>
      </c>
      <c r="Q554" s="182" t="s">
        <v>571</v>
      </c>
      <c r="R554" s="35" t="s">
        <v>571</v>
      </c>
      <c r="S554" s="34" t="str">
        <f aca="false">IF(ISNUMBER($AF554),INDEX(IDX_SrcStat,$AF554),"—")</f>
        <v>—</v>
      </c>
      <c r="T554" s="34" t="str">
        <f aca="false">IF(ISNUMBER($AF554),INDEX(IDX_SrcGrade,$AF554),"—")</f>
        <v>—</v>
      </c>
      <c r="U554" s="35" t="s">
        <v>571</v>
      </c>
      <c r="V554" s="183" t="n">
        <f aca="false">IF(AND($F554="原始數據",$U554&lt;&gt;"連結 SRC"),1,0)</f>
        <v>0</v>
      </c>
      <c r="W554" s="183" t="n">
        <f aca="false">IF(AND($F554="Analogy",OR($H554="—",$H554="")),1,0)</f>
        <v>0</v>
      </c>
      <c r="X554" s="183" t="n">
        <f aca="false">IF(AND(OR($F554="Analogy",$F554="Assumed"),$G554&lt;&gt;"低",$G554&lt;&gt;"高",NOT(ISNUMBER($K554)),NOT(ISNUMBER($L554)),OR($M554="—",$M554="")),1,0)</f>
        <v>0</v>
      </c>
      <c r="Y554" s="183" t="n">
        <f aca="false">IF(AND(OR($F554="Analogy",$F554="Assumed",$F554="Derived（待改公式）",$F554="Derived（公式）"),OR($N554="—",$N554="",$N554=0)),1,0)</f>
        <v>0</v>
      </c>
      <c r="Z554" s="183" t="n">
        <f aca="false">IF(AND($F554="Decision",OR($J554="—",$J554="")),1,0)</f>
        <v>0</v>
      </c>
      <c r="AA554" s="180" t="n">
        <f aca="false">IF(OR($J554="—",$J554=""),0,IF(COUNTIF(Decisions!$A$5:$A$300,$J554)=0,1,0))</f>
        <v>0</v>
      </c>
      <c r="AB554" s="183" t="n">
        <f aca="false">IF(AND($F554="原始數據",$S554&lt;&gt;"Active"),1,0)</f>
        <v>0</v>
      </c>
      <c r="AC554" s="183" t="n">
        <f aca="false">IF(AND(ISNUMBER($K554),ISNUMBER($L554),ISNUMBER($Q554)),IF(OR($Q554&lt;MIN($K554,$L554),$Q554&gt;MAX($K554,$L554)),1,0),0)</f>
        <v>0</v>
      </c>
      <c r="AD554" s="183" t="n">
        <f aca="false">IF(AND(ISNUMBER($T554),$P554="高"),IF($T554=3,1,0),0)</f>
        <v>0</v>
      </c>
      <c r="AE554" s="183" t="n">
        <f aca="false">IF($S554="不存在",1,0)</f>
        <v>0</v>
      </c>
      <c r="AF554" s="34" t="str">
        <f aca="false">IF(OR($H554="—",$H554=""),"—",MATCH($H554,IDX_SrcID,0))</f>
        <v>—</v>
      </c>
    </row>
    <row r="555" customFormat="false" ht="15" hidden="false" customHeight="true" outlineLevel="0" collapsed="false">
      <c r="A555" s="35" t="s">
        <v>4155</v>
      </c>
      <c r="B555" s="209" t="s">
        <v>3733</v>
      </c>
      <c r="C555" s="35" t="s">
        <v>3715</v>
      </c>
      <c r="D555" s="35" t="s">
        <v>4156</v>
      </c>
      <c r="E555" s="18" t="s">
        <v>4157</v>
      </c>
      <c r="F555" s="209" t="s">
        <v>3529</v>
      </c>
      <c r="G555" s="209" t="s">
        <v>3420</v>
      </c>
      <c r="H555" s="35" t="s">
        <v>571</v>
      </c>
      <c r="I555" s="6" t="s">
        <v>571</v>
      </c>
      <c r="J555" s="35" t="s">
        <v>571</v>
      </c>
      <c r="K555" s="209"/>
      <c r="L555" s="209"/>
      <c r="M555" s="35" t="s">
        <v>571</v>
      </c>
      <c r="N555" s="6" t="s">
        <v>4158</v>
      </c>
      <c r="O555" s="6" t="s">
        <v>571</v>
      </c>
      <c r="P555" s="209" t="s">
        <v>2682</v>
      </c>
      <c r="Q555" s="182" t="s">
        <v>571</v>
      </c>
      <c r="R555" s="35" t="s">
        <v>571</v>
      </c>
      <c r="S555" s="34" t="str">
        <f aca="false">IF(ISNUMBER($AF555),INDEX(IDX_SrcStat,$AF555),"—")</f>
        <v>—</v>
      </c>
      <c r="T555" s="34" t="str">
        <f aca="false">IF(ISNUMBER($AF555),INDEX(IDX_SrcGrade,$AF555),"—")</f>
        <v>—</v>
      </c>
      <c r="U555" s="35" t="s">
        <v>571</v>
      </c>
      <c r="V555" s="183" t="n">
        <f aca="false">IF(AND($F555="原始數據",$U555&lt;&gt;"連結 SRC"),1,0)</f>
        <v>0</v>
      </c>
      <c r="W555" s="183" t="n">
        <f aca="false">IF(AND($F555="Analogy",OR($H555="—",$H555="")),1,0)</f>
        <v>0</v>
      </c>
      <c r="X555" s="183" t="n">
        <f aca="false">IF(AND(OR($F555="Analogy",$F555="Assumed"),$G555&lt;&gt;"低",$G555&lt;&gt;"高",NOT(ISNUMBER($K555)),NOT(ISNUMBER($L555)),OR($M555="—",$M555="")),1,0)</f>
        <v>0</v>
      </c>
      <c r="Y555" s="183" t="n">
        <f aca="false">IF(AND(OR($F555="Analogy",$F555="Assumed",$F555="Derived（待改公式）",$F555="Derived（公式）"),OR($N555="—",$N555="",$N555=0)),1,0)</f>
        <v>0</v>
      </c>
      <c r="Z555" s="183" t="n">
        <f aca="false">IF(AND($F555="Decision",OR($J555="—",$J555="")),1,0)</f>
        <v>0</v>
      </c>
      <c r="AA555" s="180" t="n">
        <f aca="false">IF(OR($J555="—",$J555=""),0,IF(COUNTIF(Decisions!$A$5:$A$300,$J555)=0,1,0))</f>
        <v>0</v>
      </c>
      <c r="AB555" s="183" t="n">
        <f aca="false">IF(AND($F555="原始數據",$S555&lt;&gt;"Active"),1,0)</f>
        <v>0</v>
      </c>
      <c r="AC555" s="183" t="n">
        <f aca="false">IF(AND(ISNUMBER($K555),ISNUMBER($L555),ISNUMBER($Q555)),IF(OR($Q555&lt;MIN($K555,$L555),$Q555&gt;MAX($K555,$L555)),1,0),0)</f>
        <v>0</v>
      </c>
      <c r="AD555" s="183" t="n">
        <f aca="false">IF(AND(ISNUMBER($T555),$P555="高"),IF($T555=3,1,0),0)</f>
        <v>0</v>
      </c>
      <c r="AE555" s="183" t="n">
        <f aca="false">IF($S555="不存在",1,0)</f>
        <v>0</v>
      </c>
      <c r="AF555" s="34" t="str">
        <f aca="false">IF(OR($H555="—",$H555=""),"—",MATCH($H555,IDX_SrcID,0))</f>
        <v>—</v>
      </c>
    </row>
    <row r="556" customFormat="false" ht="15" hidden="false" customHeight="true" outlineLevel="0" collapsed="false">
      <c r="A556" s="35" t="s">
        <v>4159</v>
      </c>
      <c r="B556" s="209" t="s">
        <v>3733</v>
      </c>
      <c r="C556" s="35" t="s">
        <v>3715</v>
      </c>
      <c r="D556" s="35" t="s">
        <v>4160</v>
      </c>
      <c r="E556" s="6" t="s">
        <v>961</v>
      </c>
      <c r="F556" s="209" t="s">
        <v>3529</v>
      </c>
      <c r="G556" s="209" t="s">
        <v>3420</v>
      </c>
      <c r="H556" s="35" t="s">
        <v>571</v>
      </c>
      <c r="I556" s="6" t="s">
        <v>571</v>
      </c>
      <c r="J556" s="35" t="s">
        <v>571</v>
      </c>
      <c r="K556" s="209"/>
      <c r="L556" s="209"/>
      <c r="M556" s="35" t="s">
        <v>571</v>
      </c>
      <c r="N556" s="6" t="s">
        <v>4161</v>
      </c>
      <c r="O556" s="6" t="s">
        <v>571</v>
      </c>
      <c r="P556" s="209" t="s">
        <v>2682</v>
      </c>
      <c r="Q556" s="182" t="s">
        <v>571</v>
      </c>
      <c r="R556" s="35" t="s">
        <v>571</v>
      </c>
      <c r="S556" s="34" t="str">
        <f aca="false">IF(ISNUMBER($AF556),INDEX(IDX_SrcStat,$AF556),"—")</f>
        <v>—</v>
      </c>
      <c r="T556" s="34" t="str">
        <f aca="false">IF(ISNUMBER($AF556),INDEX(IDX_SrcGrade,$AF556),"—")</f>
        <v>—</v>
      </c>
      <c r="U556" s="35" t="s">
        <v>571</v>
      </c>
      <c r="V556" s="183" t="n">
        <f aca="false">IF(AND($F556="原始數據",$U556&lt;&gt;"連結 SRC"),1,0)</f>
        <v>0</v>
      </c>
      <c r="W556" s="183" t="n">
        <f aca="false">IF(AND($F556="Analogy",OR($H556="—",$H556="")),1,0)</f>
        <v>0</v>
      </c>
      <c r="X556" s="183" t="n">
        <f aca="false">IF(AND(OR($F556="Analogy",$F556="Assumed"),$G556&lt;&gt;"低",$G556&lt;&gt;"高",NOT(ISNUMBER($K556)),NOT(ISNUMBER($L556)),OR($M556="—",$M556="")),1,0)</f>
        <v>0</v>
      </c>
      <c r="Y556" s="183" t="n">
        <f aca="false">IF(AND(OR($F556="Analogy",$F556="Assumed",$F556="Derived（待改公式）",$F556="Derived（公式）"),OR($N556="—",$N556="",$N556=0)),1,0)</f>
        <v>0</v>
      </c>
      <c r="Z556" s="183" t="n">
        <f aca="false">IF(AND($F556="Decision",OR($J556="—",$J556="")),1,0)</f>
        <v>0</v>
      </c>
      <c r="AA556" s="180" t="n">
        <f aca="false">IF(OR($J556="—",$J556=""),0,IF(COUNTIF(Decisions!$A$5:$A$300,$J556)=0,1,0))</f>
        <v>0</v>
      </c>
      <c r="AB556" s="183" t="n">
        <f aca="false">IF(AND($F556="原始數據",$S556&lt;&gt;"Active"),1,0)</f>
        <v>0</v>
      </c>
      <c r="AC556" s="183" t="n">
        <f aca="false">IF(AND(ISNUMBER($K556),ISNUMBER($L556),ISNUMBER($Q556)),IF(OR($Q556&lt;MIN($K556,$L556),$Q556&gt;MAX($K556,$L556)),1,0),0)</f>
        <v>0</v>
      </c>
      <c r="AD556" s="183" t="n">
        <f aca="false">IF(AND(ISNUMBER($T556),$P556="高"),IF($T556=3,1,0),0)</f>
        <v>0</v>
      </c>
      <c r="AE556" s="183" t="n">
        <f aca="false">IF($S556="不存在",1,0)</f>
        <v>0</v>
      </c>
      <c r="AF556" s="34" t="str">
        <f aca="false">IF(OR($H556="—",$H556=""),"—",MATCH($H556,IDX_SrcID,0))</f>
        <v>—</v>
      </c>
    </row>
    <row r="557" customFormat="false" ht="29.25" hidden="false" customHeight="true" outlineLevel="0" collapsed="false">
      <c r="A557" s="35" t="s">
        <v>4162</v>
      </c>
      <c r="B557" s="209" t="s">
        <v>3733</v>
      </c>
      <c r="C557" s="35" t="s">
        <v>3715</v>
      </c>
      <c r="D557" s="35" t="s">
        <v>4163</v>
      </c>
      <c r="E557" s="18" t="s">
        <v>4164</v>
      </c>
      <c r="F557" s="209" t="s">
        <v>3529</v>
      </c>
      <c r="G557" s="209" t="s">
        <v>3420</v>
      </c>
      <c r="H557" s="35" t="s">
        <v>571</v>
      </c>
      <c r="I557" s="6" t="s">
        <v>571</v>
      </c>
      <c r="J557" s="35" t="s">
        <v>571</v>
      </c>
      <c r="K557" s="209"/>
      <c r="L557" s="209"/>
      <c r="M557" s="35" t="s">
        <v>571</v>
      </c>
      <c r="N557" s="6" t="s">
        <v>4165</v>
      </c>
      <c r="O557" s="6" t="s">
        <v>571</v>
      </c>
      <c r="P557" s="209" t="s">
        <v>2682</v>
      </c>
      <c r="Q557" s="182" t="s">
        <v>571</v>
      </c>
      <c r="R557" s="35" t="s">
        <v>571</v>
      </c>
      <c r="S557" s="34" t="str">
        <f aca="false">IF(ISNUMBER($AF557),INDEX(IDX_SrcStat,$AF557),"—")</f>
        <v>—</v>
      </c>
      <c r="T557" s="34" t="str">
        <f aca="false">IF(ISNUMBER($AF557),INDEX(IDX_SrcGrade,$AF557),"—")</f>
        <v>—</v>
      </c>
      <c r="U557" s="35" t="s">
        <v>571</v>
      </c>
      <c r="V557" s="183" t="n">
        <f aca="false">IF(AND($F557="原始數據",$U557&lt;&gt;"連結 SRC"),1,0)</f>
        <v>0</v>
      </c>
      <c r="W557" s="183" t="n">
        <f aca="false">IF(AND($F557="Analogy",OR($H557="—",$H557="")),1,0)</f>
        <v>0</v>
      </c>
      <c r="X557" s="183" t="n">
        <f aca="false">IF(AND(OR($F557="Analogy",$F557="Assumed"),$G557&lt;&gt;"低",$G557&lt;&gt;"高",NOT(ISNUMBER($K557)),NOT(ISNUMBER($L557)),OR($M557="—",$M557="")),1,0)</f>
        <v>0</v>
      </c>
      <c r="Y557" s="183" t="n">
        <f aca="false">IF(AND(OR($F557="Analogy",$F557="Assumed",$F557="Derived（待改公式）",$F557="Derived（公式）"),OR($N557="—",$N557="",$N557=0)),1,0)</f>
        <v>0</v>
      </c>
      <c r="Z557" s="183" t="n">
        <f aca="false">IF(AND($F557="Decision",OR($J557="—",$J557="")),1,0)</f>
        <v>0</v>
      </c>
      <c r="AA557" s="180" t="n">
        <f aca="false">IF(OR($J557="—",$J557=""),0,IF(COUNTIF(Decisions!$A$5:$A$300,$J557)=0,1,0))</f>
        <v>0</v>
      </c>
      <c r="AB557" s="183" t="n">
        <f aca="false">IF(AND($F557="原始數據",$S557&lt;&gt;"Active"),1,0)</f>
        <v>0</v>
      </c>
      <c r="AC557" s="183" t="n">
        <f aca="false">IF(AND(ISNUMBER($K557),ISNUMBER($L557),ISNUMBER($Q557)),IF(OR($Q557&lt;MIN($K557,$L557),$Q557&gt;MAX($K557,$L557)),1,0),0)</f>
        <v>0</v>
      </c>
      <c r="AD557" s="183" t="n">
        <f aca="false">IF(AND(ISNUMBER($T557),$P557="高"),IF($T557=3,1,0),0)</f>
        <v>0</v>
      </c>
      <c r="AE557" s="183" t="n">
        <f aca="false">IF($S557="不存在",1,0)</f>
        <v>0</v>
      </c>
      <c r="AF557" s="34" t="str">
        <f aca="false">IF(OR($H557="—",$H557=""),"—",MATCH($H557,IDX_SrcID,0))</f>
        <v>—</v>
      </c>
    </row>
    <row r="558" customFormat="false" ht="15" hidden="false" customHeight="true" outlineLevel="0" collapsed="false">
      <c r="A558" s="35" t="s">
        <v>4166</v>
      </c>
      <c r="B558" s="209" t="s">
        <v>3733</v>
      </c>
      <c r="C558" s="35" t="s">
        <v>3715</v>
      </c>
      <c r="D558" s="35" t="s">
        <v>4167</v>
      </c>
      <c r="E558" s="6" t="s">
        <v>994</v>
      </c>
      <c r="F558" s="209" t="s">
        <v>3529</v>
      </c>
      <c r="G558" s="209" t="s">
        <v>3420</v>
      </c>
      <c r="H558" s="35" t="s">
        <v>571</v>
      </c>
      <c r="I558" s="6" t="s">
        <v>571</v>
      </c>
      <c r="J558" s="35" t="s">
        <v>571</v>
      </c>
      <c r="K558" s="209"/>
      <c r="L558" s="209"/>
      <c r="M558" s="35" t="s">
        <v>571</v>
      </c>
      <c r="N558" s="6" t="s">
        <v>4168</v>
      </c>
      <c r="O558" s="6" t="s">
        <v>571</v>
      </c>
      <c r="P558" s="209" t="s">
        <v>2682</v>
      </c>
      <c r="Q558" s="182" t="s">
        <v>571</v>
      </c>
      <c r="R558" s="35" t="s">
        <v>571</v>
      </c>
      <c r="S558" s="34" t="str">
        <f aca="false">IF(ISNUMBER($AF558),INDEX(IDX_SrcStat,$AF558),"—")</f>
        <v>—</v>
      </c>
      <c r="T558" s="34" t="str">
        <f aca="false">IF(ISNUMBER($AF558),INDEX(IDX_SrcGrade,$AF558),"—")</f>
        <v>—</v>
      </c>
      <c r="U558" s="35" t="s">
        <v>571</v>
      </c>
      <c r="V558" s="183" t="n">
        <f aca="false">IF(AND($F558="原始數據",$U558&lt;&gt;"連結 SRC"),1,0)</f>
        <v>0</v>
      </c>
      <c r="W558" s="183" t="n">
        <f aca="false">IF(AND($F558="Analogy",OR($H558="—",$H558="")),1,0)</f>
        <v>0</v>
      </c>
      <c r="X558" s="183" t="n">
        <f aca="false">IF(AND(OR($F558="Analogy",$F558="Assumed"),$G558&lt;&gt;"低",$G558&lt;&gt;"高",NOT(ISNUMBER($K558)),NOT(ISNUMBER($L558)),OR($M558="—",$M558="")),1,0)</f>
        <v>0</v>
      </c>
      <c r="Y558" s="183" t="n">
        <f aca="false">IF(AND(OR($F558="Analogy",$F558="Assumed",$F558="Derived（待改公式）",$F558="Derived（公式）"),OR($N558="—",$N558="",$N558=0)),1,0)</f>
        <v>0</v>
      </c>
      <c r="Z558" s="183" t="n">
        <f aca="false">IF(AND($F558="Decision",OR($J558="—",$J558="")),1,0)</f>
        <v>0</v>
      </c>
      <c r="AA558" s="180" t="n">
        <f aca="false">IF(OR($J558="—",$J558=""),0,IF(COUNTIF(Decisions!$A$5:$A$300,$J558)=0,1,0))</f>
        <v>0</v>
      </c>
      <c r="AB558" s="183" t="n">
        <f aca="false">IF(AND($F558="原始數據",$S558&lt;&gt;"Active"),1,0)</f>
        <v>0</v>
      </c>
      <c r="AC558" s="183" t="n">
        <f aca="false">IF(AND(ISNUMBER($K558),ISNUMBER($L558),ISNUMBER($Q558)),IF(OR($Q558&lt;MIN($K558,$L558),$Q558&gt;MAX($K558,$L558)),1,0),0)</f>
        <v>0</v>
      </c>
      <c r="AD558" s="183" t="n">
        <f aca="false">IF(AND(ISNUMBER($T558),$P558="高"),IF($T558=3,1,0),0)</f>
        <v>0</v>
      </c>
      <c r="AE558" s="183" t="n">
        <f aca="false">IF($S558="不存在",1,0)</f>
        <v>0</v>
      </c>
      <c r="AF558" s="34" t="str">
        <f aca="false">IF(OR($H558="—",$H558=""),"—",MATCH($H558,IDX_SrcID,0))</f>
        <v>—</v>
      </c>
    </row>
    <row r="559" customFormat="false" ht="29.25" hidden="false" customHeight="true" outlineLevel="0" collapsed="false">
      <c r="A559" s="35" t="s">
        <v>4169</v>
      </c>
      <c r="B559" s="209" t="s">
        <v>3733</v>
      </c>
      <c r="C559" s="35" t="s">
        <v>3715</v>
      </c>
      <c r="D559" s="35" t="s">
        <v>4170</v>
      </c>
      <c r="E559" s="18" t="s">
        <v>1048</v>
      </c>
      <c r="F559" s="209" t="s">
        <v>3529</v>
      </c>
      <c r="G559" s="209" t="s">
        <v>3420</v>
      </c>
      <c r="H559" s="35" t="s">
        <v>571</v>
      </c>
      <c r="I559" s="6" t="s">
        <v>571</v>
      </c>
      <c r="J559" s="35" t="s">
        <v>571</v>
      </c>
      <c r="K559" s="209"/>
      <c r="L559" s="209"/>
      <c r="M559" s="35" t="s">
        <v>571</v>
      </c>
      <c r="N559" s="6" t="s">
        <v>4171</v>
      </c>
      <c r="O559" s="6" t="s">
        <v>571</v>
      </c>
      <c r="P559" s="209" t="s">
        <v>2682</v>
      </c>
      <c r="Q559" s="182" t="s">
        <v>571</v>
      </c>
      <c r="R559" s="35" t="s">
        <v>571</v>
      </c>
      <c r="S559" s="34" t="str">
        <f aca="false">IF(ISNUMBER($AF559),INDEX(IDX_SrcStat,$AF559),"—")</f>
        <v>—</v>
      </c>
      <c r="T559" s="34" t="str">
        <f aca="false">IF(ISNUMBER($AF559),INDEX(IDX_SrcGrade,$AF559),"—")</f>
        <v>—</v>
      </c>
      <c r="U559" s="35" t="s">
        <v>571</v>
      </c>
      <c r="V559" s="183" t="n">
        <f aca="false">IF(AND($F559="原始數據",$U559&lt;&gt;"連結 SRC"),1,0)</f>
        <v>0</v>
      </c>
      <c r="W559" s="183" t="n">
        <f aca="false">IF(AND($F559="Analogy",OR($H559="—",$H559="")),1,0)</f>
        <v>0</v>
      </c>
      <c r="X559" s="183" t="n">
        <f aca="false">IF(AND(OR($F559="Analogy",$F559="Assumed"),$G559&lt;&gt;"低",$G559&lt;&gt;"高",NOT(ISNUMBER($K559)),NOT(ISNUMBER($L559)),OR($M559="—",$M559="")),1,0)</f>
        <v>0</v>
      </c>
      <c r="Y559" s="183" t="n">
        <f aca="false">IF(AND(OR($F559="Analogy",$F559="Assumed",$F559="Derived（待改公式）",$F559="Derived（公式）"),OR($N559="—",$N559="",$N559=0)),1,0)</f>
        <v>0</v>
      </c>
      <c r="Z559" s="183" t="n">
        <f aca="false">IF(AND($F559="Decision",OR($J559="—",$J559="")),1,0)</f>
        <v>0</v>
      </c>
      <c r="AA559" s="180" t="n">
        <f aca="false">IF(OR($J559="—",$J559=""),0,IF(COUNTIF(Decisions!$A$5:$A$300,$J559)=0,1,0))</f>
        <v>0</v>
      </c>
      <c r="AB559" s="183" t="n">
        <f aca="false">IF(AND($F559="原始數據",$S559&lt;&gt;"Active"),1,0)</f>
        <v>0</v>
      </c>
      <c r="AC559" s="183" t="n">
        <f aca="false">IF(AND(ISNUMBER($K559),ISNUMBER($L559),ISNUMBER($Q559)),IF(OR($Q559&lt;MIN($K559,$L559),$Q559&gt;MAX($K559,$L559)),1,0),0)</f>
        <v>0</v>
      </c>
      <c r="AD559" s="183" t="n">
        <f aca="false">IF(AND(ISNUMBER($T559),$P559="高"),IF($T559=3,1,0),0)</f>
        <v>0</v>
      </c>
      <c r="AE559" s="183" t="n">
        <f aca="false">IF($S559="不存在",1,0)</f>
        <v>0</v>
      </c>
      <c r="AF559" s="34" t="str">
        <f aca="false">IF(OR($H559="—",$H559=""),"—",MATCH($H559,IDX_SrcID,0))</f>
        <v>—</v>
      </c>
    </row>
    <row r="560" customFormat="false" ht="15" hidden="false" customHeight="true" outlineLevel="0" collapsed="false">
      <c r="A560" s="35" t="s">
        <v>4172</v>
      </c>
      <c r="B560" s="209" t="s">
        <v>3733</v>
      </c>
      <c r="C560" s="35" t="s">
        <v>4173</v>
      </c>
      <c r="D560" s="35" t="s">
        <v>4174</v>
      </c>
      <c r="E560" s="18" t="s">
        <v>407</v>
      </c>
      <c r="F560" s="209" t="s">
        <v>3419</v>
      </c>
      <c r="G560" s="209" t="s">
        <v>3420</v>
      </c>
      <c r="H560" s="35" t="s">
        <v>571</v>
      </c>
      <c r="I560" s="6" t="s">
        <v>571</v>
      </c>
      <c r="J560" s="35" t="s">
        <v>571</v>
      </c>
      <c r="K560" s="209"/>
      <c r="L560" s="209"/>
      <c r="M560" s="35" t="s">
        <v>571</v>
      </c>
      <c r="N560" s="18" t="s">
        <v>407</v>
      </c>
      <c r="O560" s="6" t="s">
        <v>571</v>
      </c>
      <c r="P560" s="209" t="s">
        <v>2682</v>
      </c>
      <c r="Q560" s="182" t="s">
        <v>571</v>
      </c>
      <c r="R560" s="35" t="s">
        <v>571</v>
      </c>
      <c r="S560" s="34" t="str">
        <f aca="false">IF(ISNUMBER($AF560),INDEX(IDX_SrcStat,$AF560),"—")</f>
        <v>—</v>
      </c>
      <c r="T560" s="34" t="str">
        <f aca="false">IF(ISNUMBER($AF560),INDEX(IDX_SrcGrade,$AF560),"—")</f>
        <v>—</v>
      </c>
      <c r="U560" s="35" t="s">
        <v>571</v>
      </c>
      <c r="V560" s="183" t="n">
        <f aca="false">IF(AND($F560="原始數據",$U560&lt;&gt;"連結 SRC"),1,0)</f>
        <v>0</v>
      </c>
      <c r="W560" s="183" t="n">
        <f aca="false">IF(AND($F560="Analogy",OR($H560="—",$H560="")),1,0)</f>
        <v>0</v>
      </c>
      <c r="X560" s="183" t="n">
        <f aca="false">IF(AND(OR($F560="Analogy",$F560="Assumed"),$G560&lt;&gt;"低",$G560&lt;&gt;"高",NOT(ISNUMBER($K560)),NOT(ISNUMBER($L560)),OR($M560="—",$M560="")),1,0)</f>
        <v>0</v>
      </c>
      <c r="Y560" s="183" t="n">
        <f aca="false">IF(AND(OR($F560="Analogy",$F560="Assumed",$F560="Derived（待改公式）",$F560="Derived（公式）"),OR($N560="—",$N560="",$N560=0)),1,0)</f>
        <v>0</v>
      </c>
      <c r="Z560" s="183" t="n">
        <f aca="false">IF(AND($F560="Decision",OR($J560="—",$J560="")),1,0)</f>
        <v>0</v>
      </c>
      <c r="AA560" s="180" t="n">
        <f aca="false">IF(OR($J560="—",$J560=""),0,IF(COUNTIF(Decisions!$A$5:$A$300,$J560)=0,1,0))</f>
        <v>0</v>
      </c>
      <c r="AB560" s="183" t="n">
        <f aca="false">IF(AND($F560="原始數據",$S560&lt;&gt;"Active"),1,0)</f>
        <v>0</v>
      </c>
      <c r="AC560" s="183" t="n">
        <f aca="false">IF(AND(ISNUMBER($K560),ISNUMBER($L560),ISNUMBER($Q560)),IF(OR($Q560&lt;MIN($K560,$L560),$Q560&gt;MAX($K560,$L560)),1,0),0)</f>
        <v>0</v>
      </c>
      <c r="AD560" s="183" t="n">
        <f aca="false">IF(AND(ISNUMBER($T560),$P560="高"),IF($T560=3,1,0),0)</f>
        <v>0</v>
      </c>
      <c r="AE560" s="183" t="n">
        <f aca="false">IF($S560="不存在",1,0)</f>
        <v>0</v>
      </c>
      <c r="AF560" s="34" t="str">
        <f aca="false">IF(OR($H560="—",$H560=""),"—",MATCH($H560,IDX_SrcID,0))</f>
        <v>—</v>
      </c>
    </row>
    <row r="561" customFormat="false" ht="15" hidden="false" customHeight="true" outlineLevel="0" collapsed="false">
      <c r="A561" s="35" t="s">
        <v>4175</v>
      </c>
      <c r="B561" s="209" t="s">
        <v>3733</v>
      </c>
      <c r="C561" s="35" t="s">
        <v>4173</v>
      </c>
      <c r="D561" s="35" t="s">
        <v>4176</v>
      </c>
      <c r="E561" s="18" t="s">
        <v>674</v>
      </c>
      <c r="F561" s="209" t="s">
        <v>3419</v>
      </c>
      <c r="G561" s="209" t="s">
        <v>3420</v>
      </c>
      <c r="H561" s="35" t="s">
        <v>571</v>
      </c>
      <c r="I561" s="6" t="s">
        <v>571</v>
      </c>
      <c r="J561" s="35" t="s">
        <v>571</v>
      </c>
      <c r="K561" s="209"/>
      <c r="L561" s="209"/>
      <c r="M561" s="35" t="s">
        <v>571</v>
      </c>
      <c r="N561" s="18" t="s">
        <v>674</v>
      </c>
      <c r="O561" s="6" t="s">
        <v>571</v>
      </c>
      <c r="P561" s="209" t="s">
        <v>2682</v>
      </c>
      <c r="Q561" s="182" t="s">
        <v>571</v>
      </c>
      <c r="R561" s="35" t="s">
        <v>571</v>
      </c>
      <c r="S561" s="34" t="str">
        <f aca="false">IF(ISNUMBER($AF561),INDEX(IDX_SrcStat,$AF561),"—")</f>
        <v>—</v>
      </c>
      <c r="T561" s="34" t="str">
        <f aca="false">IF(ISNUMBER($AF561),INDEX(IDX_SrcGrade,$AF561),"—")</f>
        <v>—</v>
      </c>
      <c r="U561" s="35" t="s">
        <v>571</v>
      </c>
      <c r="V561" s="183" t="n">
        <f aca="false">IF(AND($F561="原始數據",$U561&lt;&gt;"連結 SRC"),1,0)</f>
        <v>0</v>
      </c>
      <c r="W561" s="183" t="n">
        <f aca="false">IF(AND($F561="Analogy",OR($H561="—",$H561="")),1,0)</f>
        <v>0</v>
      </c>
      <c r="X561" s="183" t="n">
        <f aca="false">IF(AND(OR($F561="Analogy",$F561="Assumed"),$G561&lt;&gt;"低",$G561&lt;&gt;"高",NOT(ISNUMBER($K561)),NOT(ISNUMBER($L561)),OR($M561="—",$M561="")),1,0)</f>
        <v>0</v>
      </c>
      <c r="Y561" s="183" t="n">
        <f aca="false">IF(AND(OR($F561="Analogy",$F561="Assumed",$F561="Derived（待改公式）",$F561="Derived（公式）"),OR($N561="—",$N561="",$N561=0)),1,0)</f>
        <v>0</v>
      </c>
      <c r="Z561" s="183" t="n">
        <f aca="false">IF(AND($F561="Decision",OR($J561="—",$J561="")),1,0)</f>
        <v>0</v>
      </c>
      <c r="AA561" s="180" t="n">
        <f aca="false">IF(OR($J561="—",$J561=""),0,IF(COUNTIF(Decisions!$A$5:$A$300,$J561)=0,1,0))</f>
        <v>0</v>
      </c>
      <c r="AB561" s="183" t="n">
        <f aca="false">IF(AND($F561="原始數據",$S561&lt;&gt;"Active"),1,0)</f>
        <v>0</v>
      </c>
      <c r="AC561" s="183" t="n">
        <f aca="false">IF(AND(ISNUMBER($K561),ISNUMBER($L561),ISNUMBER($Q561)),IF(OR($Q561&lt;MIN($K561,$L561),$Q561&gt;MAX($K561,$L561)),1,0),0)</f>
        <v>0</v>
      </c>
      <c r="AD561" s="183" t="n">
        <f aca="false">IF(AND(ISNUMBER($T561),$P561="高"),IF($T561=3,1,0),0)</f>
        <v>0</v>
      </c>
      <c r="AE561" s="183" t="n">
        <f aca="false">IF($S561="不存在",1,0)</f>
        <v>0</v>
      </c>
      <c r="AF561" s="34" t="str">
        <f aca="false">IF(OR($H561="—",$H561=""),"—",MATCH($H561,IDX_SrcID,0))</f>
        <v>—</v>
      </c>
    </row>
    <row r="562" customFormat="false" ht="29.25" hidden="false" customHeight="true" outlineLevel="0" collapsed="false">
      <c r="A562" s="35" t="s">
        <v>4177</v>
      </c>
      <c r="B562" s="209" t="s">
        <v>3733</v>
      </c>
      <c r="C562" s="35" t="s">
        <v>4173</v>
      </c>
      <c r="D562" s="35" t="s">
        <v>4178</v>
      </c>
      <c r="E562" s="18" t="s">
        <v>4179</v>
      </c>
      <c r="F562" s="209" t="s">
        <v>3529</v>
      </c>
      <c r="G562" s="209" t="s">
        <v>3420</v>
      </c>
      <c r="H562" s="35" t="s">
        <v>571</v>
      </c>
      <c r="I562" s="6" t="s">
        <v>571</v>
      </c>
      <c r="J562" s="35" t="s">
        <v>4180</v>
      </c>
      <c r="K562" s="209"/>
      <c r="L562" s="209"/>
      <c r="M562" s="35" t="s">
        <v>571</v>
      </c>
      <c r="N562" s="6" t="s">
        <v>4181</v>
      </c>
      <c r="O562" s="6" t="s">
        <v>571</v>
      </c>
      <c r="P562" s="209" t="s">
        <v>2682</v>
      </c>
      <c r="Q562" s="182" t="s">
        <v>571</v>
      </c>
      <c r="R562" s="35" t="s">
        <v>571</v>
      </c>
      <c r="S562" s="34" t="str">
        <f aca="false">IF(ISNUMBER($AF562),INDEX(IDX_SrcStat,$AF562),"—")</f>
        <v>—</v>
      </c>
      <c r="T562" s="34" t="str">
        <f aca="false">IF(ISNUMBER($AF562),INDEX(IDX_SrcGrade,$AF562),"—")</f>
        <v>—</v>
      </c>
      <c r="U562" s="35" t="s">
        <v>571</v>
      </c>
      <c r="V562" s="183" t="n">
        <f aca="false">IF(AND($F562="原始數據",$U562&lt;&gt;"連結 SRC"),1,0)</f>
        <v>0</v>
      </c>
      <c r="W562" s="183" t="n">
        <f aca="false">IF(AND($F562="Analogy",OR($H562="—",$H562="")),1,0)</f>
        <v>0</v>
      </c>
      <c r="X562" s="183" t="n">
        <f aca="false">IF(AND(OR($F562="Analogy",$F562="Assumed"),$G562&lt;&gt;"低",$G562&lt;&gt;"高",NOT(ISNUMBER($K562)),NOT(ISNUMBER($L562)),OR($M562="—",$M562="")),1,0)</f>
        <v>0</v>
      </c>
      <c r="Y562" s="183" t="n">
        <f aca="false">IF(AND(OR($F562="Analogy",$F562="Assumed",$F562="Derived（待改公式）",$F562="Derived（公式）"),OR($N562="—",$N562="",$N562=0)),1,0)</f>
        <v>0</v>
      </c>
      <c r="Z562" s="183" t="n">
        <f aca="false">IF(AND($F562="Decision",OR($J562="—",$J562="")),1,0)</f>
        <v>0</v>
      </c>
      <c r="AA562" s="180" t="n">
        <f aca="false">IF(OR($J562="—",$J562=""),0,IF(COUNTIF(Decisions!$A$5:$A$300,$J562)=0,1,0))</f>
        <v>0</v>
      </c>
      <c r="AB562" s="183" t="n">
        <f aca="false">IF(AND($F562="原始數據",$S562&lt;&gt;"Active"),1,0)</f>
        <v>0</v>
      </c>
      <c r="AC562" s="183" t="n">
        <f aca="false">IF(AND(ISNUMBER($K562),ISNUMBER($L562),ISNUMBER($Q562)),IF(OR($Q562&lt;MIN($K562,$L562),$Q562&gt;MAX($K562,$L562)),1,0),0)</f>
        <v>0</v>
      </c>
      <c r="AD562" s="183" t="n">
        <f aca="false">IF(AND(ISNUMBER($T562),$P562="高"),IF($T562=3,1,0),0)</f>
        <v>0</v>
      </c>
      <c r="AE562" s="183" t="n">
        <f aca="false">IF($S562="不存在",1,0)</f>
        <v>0</v>
      </c>
      <c r="AF562" s="34" t="str">
        <f aca="false">IF(OR($H562="—",$H562=""),"—",MATCH($H562,IDX_SrcID,0))</f>
        <v>—</v>
      </c>
    </row>
    <row r="563" customFormat="false" ht="15" hidden="false" customHeight="true" outlineLevel="0" collapsed="false">
      <c r="A563" s="35" t="s">
        <v>4182</v>
      </c>
      <c r="B563" s="209" t="s">
        <v>3733</v>
      </c>
      <c r="C563" s="35" t="s">
        <v>2480</v>
      </c>
      <c r="D563" s="35" t="s">
        <v>3657</v>
      </c>
      <c r="E563" s="18" t="s">
        <v>407</v>
      </c>
      <c r="F563" s="209" t="s">
        <v>3419</v>
      </c>
      <c r="G563" s="209" t="s">
        <v>3420</v>
      </c>
      <c r="H563" s="35" t="s">
        <v>571</v>
      </c>
      <c r="I563" s="6" t="s">
        <v>571</v>
      </c>
      <c r="J563" s="35" t="s">
        <v>571</v>
      </c>
      <c r="K563" s="209"/>
      <c r="L563" s="209"/>
      <c r="M563" s="35" t="s">
        <v>571</v>
      </c>
      <c r="N563" s="18" t="s">
        <v>407</v>
      </c>
      <c r="O563" s="6" t="s">
        <v>571</v>
      </c>
      <c r="P563" s="209" t="s">
        <v>2682</v>
      </c>
      <c r="Q563" s="182" t="s">
        <v>571</v>
      </c>
      <c r="R563" s="35" t="s">
        <v>571</v>
      </c>
      <c r="S563" s="34" t="str">
        <f aca="false">IF(ISNUMBER($AF563),INDEX(IDX_SrcStat,$AF563),"—")</f>
        <v>—</v>
      </c>
      <c r="T563" s="34" t="str">
        <f aca="false">IF(ISNUMBER($AF563),INDEX(IDX_SrcGrade,$AF563),"—")</f>
        <v>—</v>
      </c>
      <c r="U563" s="35" t="s">
        <v>571</v>
      </c>
      <c r="V563" s="183" t="n">
        <f aca="false">IF(AND($F563="原始數據",$U563&lt;&gt;"連結 SRC"),1,0)</f>
        <v>0</v>
      </c>
      <c r="W563" s="183" t="n">
        <f aca="false">IF(AND($F563="Analogy",OR($H563="—",$H563="")),1,0)</f>
        <v>0</v>
      </c>
      <c r="X563" s="183" t="n">
        <f aca="false">IF(AND(OR($F563="Analogy",$F563="Assumed"),$G563&lt;&gt;"低",$G563&lt;&gt;"高",NOT(ISNUMBER($K563)),NOT(ISNUMBER($L563)),OR($M563="—",$M563="")),1,0)</f>
        <v>0</v>
      </c>
      <c r="Y563" s="183" t="n">
        <f aca="false">IF(AND(OR($F563="Analogy",$F563="Assumed",$F563="Derived（待改公式）",$F563="Derived（公式）"),OR($N563="—",$N563="",$N563=0)),1,0)</f>
        <v>0</v>
      </c>
      <c r="Z563" s="183" t="n">
        <f aca="false">IF(AND($F563="Decision",OR($J563="—",$J563="")),1,0)</f>
        <v>0</v>
      </c>
      <c r="AA563" s="180" t="n">
        <f aca="false">IF(OR($J563="—",$J563=""),0,IF(COUNTIF(Decisions!$A$5:$A$300,$J563)=0,1,0))</f>
        <v>0</v>
      </c>
      <c r="AB563" s="183" t="n">
        <f aca="false">IF(AND($F563="原始數據",$S563&lt;&gt;"Active"),1,0)</f>
        <v>0</v>
      </c>
      <c r="AC563" s="183" t="n">
        <f aca="false">IF(AND(ISNUMBER($K563),ISNUMBER($L563),ISNUMBER($Q563)),IF(OR($Q563&lt;MIN($K563,$L563),$Q563&gt;MAX($K563,$L563)),1,0),0)</f>
        <v>0</v>
      </c>
      <c r="AD563" s="183" t="n">
        <f aca="false">IF(AND(ISNUMBER($T563),$P563="高"),IF($T563=3,1,0),0)</f>
        <v>0</v>
      </c>
      <c r="AE563" s="183" t="n">
        <f aca="false">IF($S563="不存在",1,0)</f>
        <v>0</v>
      </c>
      <c r="AF563" s="34" t="str">
        <f aca="false">IF(OR($H563="—",$H563=""),"—",MATCH($H563,IDX_SrcID,0))</f>
        <v>—</v>
      </c>
    </row>
    <row r="564" customFormat="false" ht="15" hidden="false" customHeight="true" outlineLevel="0" collapsed="false">
      <c r="A564" s="35" t="s">
        <v>4183</v>
      </c>
      <c r="B564" s="209" t="s">
        <v>3733</v>
      </c>
      <c r="C564" s="35" t="s">
        <v>2480</v>
      </c>
      <c r="D564" s="35" t="s">
        <v>3660</v>
      </c>
      <c r="E564" s="18" t="s">
        <v>674</v>
      </c>
      <c r="F564" s="209" t="s">
        <v>3419</v>
      </c>
      <c r="G564" s="209" t="s">
        <v>3420</v>
      </c>
      <c r="H564" s="35" t="s">
        <v>571</v>
      </c>
      <c r="I564" s="6" t="s">
        <v>571</v>
      </c>
      <c r="J564" s="35" t="s">
        <v>571</v>
      </c>
      <c r="K564" s="209"/>
      <c r="L564" s="209"/>
      <c r="M564" s="35" t="s">
        <v>571</v>
      </c>
      <c r="N564" s="18" t="s">
        <v>674</v>
      </c>
      <c r="O564" s="6" t="s">
        <v>571</v>
      </c>
      <c r="P564" s="209" t="s">
        <v>2682</v>
      </c>
      <c r="Q564" s="182" t="s">
        <v>571</v>
      </c>
      <c r="R564" s="35" t="s">
        <v>571</v>
      </c>
      <c r="S564" s="34" t="str">
        <f aca="false">IF(ISNUMBER($AF564),INDEX(IDX_SrcStat,$AF564),"—")</f>
        <v>—</v>
      </c>
      <c r="T564" s="34" t="str">
        <f aca="false">IF(ISNUMBER($AF564),INDEX(IDX_SrcGrade,$AF564),"—")</f>
        <v>—</v>
      </c>
      <c r="U564" s="35" t="s">
        <v>571</v>
      </c>
      <c r="V564" s="183" t="n">
        <f aca="false">IF(AND($F564="原始數據",$U564&lt;&gt;"連結 SRC"),1,0)</f>
        <v>0</v>
      </c>
      <c r="W564" s="183" t="n">
        <f aca="false">IF(AND($F564="Analogy",OR($H564="—",$H564="")),1,0)</f>
        <v>0</v>
      </c>
      <c r="X564" s="183" t="n">
        <f aca="false">IF(AND(OR($F564="Analogy",$F564="Assumed"),$G564&lt;&gt;"低",$G564&lt;&gt;"高",NOT(ISNUMBER($K564)),NOT(ISNUMBER($L564)),OR($M564="—",$M564="")),1,0)</f>
        <v>0</v>
      </c>
      <c r="Y564" s="183" t="n">
        <f aca="false">IF(AND(OR($F564="Analogy",$F564="Assumed",$F564="Derived（待改公式）",$F564="Derived（公式）"),OR($N564="—",$N564="",$N564=0)),1,0)</f>
        <v>0</v>
      </c>
      <c r="Z564" s="183" t="n">
        <f aca="false">IF(AND($F564="Decision",OR($J564="—",$J564="")),1,0)</f>
        <v>0</v>
      </c>
      <c r="AA564" s="180" t="n">
        <f aca="false">IF(OR($J564="—",$J564=""),0,IF(COUNTIF(Decisions!$A$5:$A$300,$J564)=0,1,0))</f>
        <v>0</v>
      </c>
      <c r="AB564" s="183" t="n">
        <f aca="false">IF(AND($F564="原始數據",$S564&lt;&gt;"Active"),1,0)</f>
        <v>0</v>
      </c>
      <c r="AC564" s="183" t="n">
        <f aca="false">IF(AND(ISNUMBER($K564),ISNUMBER($L564),ISNUMBER($Q564)),IF(OR($Q564&lt;MIN($K564,$L564),$Q564&gt;MAX($K564,$L564)),1,0),0)</f>
        <v>0</v>
      </c>
      <c r="AD564" s="183" t="n">
        <f aca="false">IF(AND(ISNUMBER($T564),$P564="高"),IF($T564=3,1,0),0)</f>
        <v>0</v>
      </c>
      <c r="AE564" s="183" t="n">
        <f aca="false">IF($S564="不存在",1,0)</f>
        <v>0</v>
      </c>
      <c r="AF564" s="34" t="str">
        <f aca="false">IF(OR($H564="—",$H564=""),"—",MATCH($H564,IDX_SrcID,0))</f>
        <v>—</v>
      </c>
    </row>
    <row r="565" customFormat="false" ht="29.25" hidden="false" customHeight="true" outlineLevel="0" collapsed="false">
      <c r="A565" s="35" t="s">
        <v>4184</v>
      </c>
      <c r="B565" s="209" t="s">
        <v>3733</v>
      </c>
      <c r="C565" s="35" t="s">
        <v>3724</v>
      </c>
      <c r="D565" s="35" t="s">
        <v>4185</v>
      </c>
      <c r="E565" s="18" t="s">
        <v>4186</v>
      </c>
      <c r="F565" s="209" t="s">
        <v>3529</v>
      </c>
      <c r="G565" s="209" t="s">
        <v>3420</v>
      </c>
      <c r="H565" s="35" t="s">
        <v>571</v>
      </c>
      <c r="I565" s="6" t="s">
        <v>571</v>
      </c>
      <c r="J565" s="35" t="s">
        <v>571</v>
      </c>
      <c r="K565" s="209"/>
      <c r="L565" s="209"/>
      <c r="M565" s="35" t="s">
        <v>571</v>
      </c>
      <c r="N565" s="6" t="s">
        <v>4187</v>
      </c>
      <c r="O565" s="6" t="s">
        <v>571</v>
      </c>
      <c r="P565" s="209" t="s">
        <v>2682</v>
      </c>
      <c r="Q565" s="182" t="s">
        <v>571</v>
      </c>
      <c r="R565" s="35" t="s">
        <v>571</v>
      </c>
      <c r="S565" s="34" t="str">
        <f aca="false">IF(ISNUMBER($AF565),INDEX(IDX_SrcStat,$AF565),"—")</f>
        <v>—</v>
      </c>
      <c r="T565" s="34" t="str">
        <f aca="false">IF(ISNUMBER($AF565),INDEX(IDX_SrcGrade,$AF565),"—")</f>
        <v>—</v>
      </c>
      <c r="U565" s="35" t="s">
        <v>571</v>
      </c>
      <c r="V565" s="183" t="n">
        <f aca="false">IF(AND($F565="原始數據",$U565&lt;&gt;"連結 SRC"),1,0)</f>
        <v>0</v>
      </c>
      <c r="W565" s="183" t="n">
        <f aca="false">IF(AND($F565="Analogy",OR($H565="—",$H565="")),1,0)</f>
        <v>0</v>
      </c>
      <c r="X565" s="183" t="n">
        <f aca="false">IF(AND(OR($F565="Analogy",$F565="Assumed"),$G565&lt;&gt;"低",$G565&lt;&gt;"高",NOT(ISNUMBER($K565)),NOT(ISNUMBER($L565)),OR($M565="—",$M565="")),1,0)</f>
        <v>0</v>
      </c>
      <c r="Y565" s="183" t="n">
        <f aca="false">IF(AND(OR($F565="Analogy",$F565="Assumed",$F565="Derived（待改公式）",$F565="Derived（公式）"),OR($N565="—",$N565="",$N565=0)),1,0)</f>
        <v>0</v>
      </c>
      <c r="Z565" s="183" t="n">
        <f aca="false">IF(AND($F565="Decision",OR($J565="—",$J565="")),1,0)</f>
        <v>0</v>
      </c>
      <c r="AA565" s="180" t="n">
        <f aca="false">IF(OR($J565="—",$J565=""),0,IF(COUNTIF(Decisions!$A$5:$A$300,$J565)=0,1,0))</f>
        <v>0</v>
      </c>
      <c r="AB565" s="183" t="n">
        <f aca="false">IF(AND($F565="原始數據",$S565&lt;&gt;"Active"),1,0)</f>
        <v>0</v>
      </c>
      <c r="AC565" s="183" t="n">
        <f aca="false">IF(AND(ISNUMBER($K565),ISNUMBER($L565),ISNUMBER($Q565)),IF(OR($Q565&lt;MIN($K565,$L565),$Q565&gt;MAX($K565,$L565)),1,0),0)</f>
        <v>0</v>
      </c>
      <c r="AD565" s="183" t="n">
        <f aca="false">IF(AND(ISNUMBER($T565),$P565="高"),IF($T565=3,1,0),0)</f>
        <v>0</v>
      </c>
      <c r="AE565" s="183" t="n">
        <f aca="false">IF($S565="不存在",1,0)</f>
        <v>0</v>
      </c>
      <c r="AF565" s="34" t="str">
        <f aca="false">IF(OR($H565="—",$H565=""),"—",MATCH($H565,IDX_SrcID,0))</f>
        <v>—</v>
      </c>
    </row>
    <row r="566" customFormat="false" ht="15" hidden="false" customHeight="true" outlineLevel="0" collapsed="false">
      <c r="A566" s="35" t="s">
        <v>4188</v>
      </c>
      <c r="B566" s="209" t="s">
        <v>3733</v>
      </c>
      <c r="C566" s="35" t="s">
        <v>3724</v>
      </c>
      <c r="D566" s="35" t="s">
        <v>4189</v>
      </c>
      <c r="E566" s="18" t="s">
        <v>4190</v>
      </c>
      <c r="F566" s="209" t="s">
        <v>3529</v>
      </c>
      <c r="G566" s="209" t="s">
        <v>3420</v>
      </c>
      <c r="H566" s="35" t="s">
        <v>571</v>
      </c>
      <c r="I566" s="6" t="s">
        <v>571</v>
      </c>
      <c r="J566" s="35" t="s">
        <v>571</v>
      </c>
      <c r="K566" s="209"/>
      <c r="L566" s="209"/>
      <c r="M566" s="35" t="s">
        <v>571</v>
      </c>
      <c r="N566" s="6" t="s">
        <v>4191</v>
      </c>
      <c r="O566" s="6" t="s">
        <v>571</v>
      </c>
      <c r="P566" s="209" t="s">
        <v>2682</v>
      </c>
      <c r="Q566" s="182" t="s">
        <v>571</v>
      </c>
      <c r="R566" s="35" t="s">
        <v>571</v>
      </c>
      <c r="S566" s="34" t="str">
        <f aca="false">IF(ISNUMBER($AF566),INDEX(IDX_SrcStat,$AF566),"—")</f>
        <v>—</v>
      </c>
      <c r="T566" s="34" t="str">
        <f aca="false">IF(ISNUMBER($AF566),INDEX(IDX_SrcGrade,$AF566),"—")</f>
        <v>—</v>
      </c>
      <c r="U566" s="35" t="s">
        <v>571</v>
      </c>
      <c r="V566" s="183" t="n">
        <f aca="false">IF(AND($F566="原始數據",$U566&lt;&gt;"連結 SRC"),1,0)</f>
        <v>0</v>
      </c>
      <c r="W566" s="183" t="n">
        <f aca="false">IF(AND($F566="Analogy",OR($H566="—",$H566="")),1,0)</f>
        <v>0</v>
      </c>
      <c r="X566" s="183" t="n">
        <f aca="false">IF(AND(OR($F566="Analogy",$F566="Assumed"),$G566&lt;&gt;"低",$G566&lt;&gt;"高",NOT(ISNUMBER($K566)),NOT(ISNUMBER($L566)),OR($M566="—",$M566="")),1,0)</f>
        <v>0</v>
      </c>
      <c r="Y566" s="183" t="n">
        <f aca="false">IF(AND(OR($F566="Analogy",$F566="Assumed",$F566="Derived（待改公式）",$F566="Derived（公式）"),OR($N566="—",$N566="",$N566=0)),1,0)</f>
        <v>0</v>
      </c>
      <c r="Z566" s="183" t="n">
        <f aca="false">IF(AND($F566="Decision",OR($J566="—",$J566="")),1,0)</f>
        <v>0</v>
      </c>
      <c r="AA566" s="180" t="n">
        <f aca="false">IF(OR($J566="—",$J566=""),0,IF(COUNTIF(Decisions!$A$5:$A$300,$J566)=0,1,0))</f>
        <v>0</v>
      </c>
      <c r="AB566" s="183" t="n">
        <f aca="false">IF(AND($F566="原始數據",$S566&lt;&gt;"Active"),1,0)</f>
        <v>0</v>
      </c>
      <c r="AC566" s="183" t="n">
        <f aca="false">IF(AND(ISNUMBER($K566),ISNUMBER($L566),ISNUMBER($Q566)),IF(OR($Q566&lt;MIN($K566,$L566),$Q566&gt;MAX($K566,$L566)),1,0),0)</f>
        <v>0</v>
      </c>
      <c r="AD566" s="183" t="n">
        <f aca="false">IF(AND(ISNUMBER($T566),$P566="高"),IF($T566=3,1,0),0)</f>
        <v>0</v>
      </c>
      <c r="AE566" s="183" t="n">
        <f aca="false">IF($S566="不存在",1,0)</f>
        <v>0</v>
      </c>
      <c r="AF566" s="34" t="str">
        <f aca="false">IF(OR($H566="—",$H566=""),"—",MATCH($H566,IDX_SrcID,0))</f>
        <v>—</v>
      </c>
    </row>
    <row r="567" customFormat="false" ht="15" hidden="false" customHeight="true" outlineLevel="0" collapsed="false">
      <c r="A567" s="35" t="s">
        <v>4192</v>
      </c>
      <c r="B567" s="209" t="s">
        <v>3733</v>
      </c>
      <c r="C567" s="35" t="s">
        <v>3724</v>
      </c>
      <c r="D567" s="35" t="s">
        <v>4193</v>
      </c>
      <c r="E567" s="18" t="s">
        <v>4194</v>
      </c>
      <c r="F567" s="209" t="s">
        <v>3529</v>
      </c>
      <c r="G567" s="209" t="s">
        <v>3420</v>
      </c>
      <c r="H567" s="35" t="s">
        <v>571</v>
      </c>
      <c r="I567" s="6" t="s">
        <v>571</v>
      </c>
      <c r="J567" s="35" t="s">
        <v>571</v>
      </c>
      <c r="K567" s="209"/>
      <c r="L567" s="209"/>
      <c r="M567" s="35" t="s">
        <v>571</v>
      </c>
      <c r="N567" s="6" t="s">
        <v>4195</v>
      </c>
      <c r="O567" s="6" t="s">
        <v>571</v>
      </c>
      <c r="P567" s="209" t="s">
        <v>2682</v>
      </c>
      <c r="Q567" s="182" t="s">
        <v>571</v>
      </c>
      <c r="R567" s="35" t="s">
        <v>571</v>
      </c>
      <c r="S567" s="34" t="str">
        <f aca="false">IF(ISNUMBER($AF567),INDEX(IDX_SrcStat,$AF567),"—")</f>
        <v>—</v>
      </c>
      <c r="T567" s="34" t="str">
        <f aca="false">IF(ISNUMBER($AF567),INDEX(IDX_SrcGrade,$AF567),"—")</f>
        <v>—</v>
      </c>
      <c r="U567" s="35" t="s">
        <v>571</v>
      </c>
      <c r="V567" s="183" t="n">
        <f aca="false">IF(AND($F567="原始數據",$U567&lt;&gt;"連結 SRC"),1,0)</f>
        <v>0</v>
      </c>
      <c r="W567" s="183" t="n">
        <f aca="false">IF(AND($F567="Analogy",OR($H567="—",$H567="")),1,0)</f>
        <v>0</v>
      </c>
      <c r="X567" s="183" t="n">
        <f aca="false">IF(AND(OR($F567="Analogy",$F567="Assumed"),$G567&lt;&gt;"低",$G567&lt;&gt;"高",NOT(ISNUMBER($K567)),NOT(ISNUMBER($L567)),OR($M567="—",$M567="")),1,0)</f>
        <v>0</v>
      </c>
      <c r="Y567" s="183" t="n">
        <f aca="false">IF(AND(OR($F567="Analogy",$F567="Assumed",$F567="Derived（待改公式）",$F567="Derived（公式）"),OR($N567="—",$N567="",$N567=0)),1,0)</f>
        <v>0</v>
      </c>
      <c r="Z567" s="183" t="n">
        <f aca="false">IF(AND($F567="Decision",OR($J567="—",$J567="")),1,0)</f>
        <v>0</v>
      </c>
      <c r="AA567" s="180" t="n">
        <f aca="false">IF(OR($J567="—",$J567=""),0,IF(COUNTIF(Decisions!$A$5:$A$300,$J567)=0,1,0))</f>
        <v>0</v>
      </c>
      <c r="AB567" s="183" t="n">
        <f aca="false">IF(AND($F567="原始數據",$S567&lt;&gt;"Active"),1,0)</f>
        <v>0</v>
      </c>
      <c r="AC567" s="183" t="n">
        <f aca="false">IF(AND(ISNUMBER($K567),ISNUMBER($L567),ISNUMBER($Q567)),IF(OR($Q567&lt;MIN($K567,$L567),$Q567&gt;MAX($K567,$L567)),1,0),0)</f>
        <v>0</v>
      </c>
      <c r="AD567" s="183" t="n">
        <f aca="false">IF(AND(ISNUMBER($T567),$P567="高"),IF($T567=3,1,0),0)</f>
        <v>0</v>
      </c>
      <c r="AE567" s="183" t="n">
        <f aca="false">IF($S567="不存在",1,0)</f>
        <v>0</v>
      </c>
      <c r="AF567" s="34" t="str">
        <f aca="false">IF(OR($H567="—",$H567=""),"—",MATCH($H567,IDX_SrcID,0))</f>
        <v>—</v>
      </c>
    </row>
    <row r="568" customFormat="false" ht="29.25" hidden="false" customHeight="true" outlineLevel="0" collapsed="false">
      <c r="A568" s="35" t="s">
        <v>4196</v>
      </c>
      <c r="B568" s="209" t="s">
        <v>3733</v>
      </c>
      <c r="C568" s="35" t="s">
        <v>3724</v>
      </c>
      <c r="D568" s="35" t="s">
        <v>4197</v>
      </c>
      <c r="E568" s="18" t="s">
        <v>4198</v>
      </c>
      <c r="F568" s="209" t="s">
        <v>3529</v>
      </c>
      <c r="G568" s="209" t="s">
        <v>3420</v>
      </c>
      <c r="H568" s="35" t="s">
        <v>571</v>
      </c>
      <c r="I568" s="6" t="s">
        <v>571</v>
      </c>
      <c r="J568" s="35" t="s">
        <v>571</v>
      </c>
      <c r="K568" s="209"/>
      <c r="L568" s="209"/>
      <c r="M568" s="35" t="s">
        <v>571</v>
      </c>
      <c r="N568" s="6" t="s">
        <v>4199</v>
      </c>
      <c r="O568" s="6" t="s">
        <v>571</v>
      </c>
      <c r="P568" s="209" t="s">
        <v>2682</v>
      </c>
      <c r="Q568" s="182" t="s">
        <v>571</v>
      </c>
      <c r="R568" s="35" t="s">
        <v>571</v>
      </c>
      <c r="S568" s="34" t="str">
        <f aca="false">IF(ISNUMBER($AF568),INDEX(IDX_SrcStat,$AF568),"—")</f>
        <v>—</v>
      </c>
      <c r="T568" s="34" t="str">
        <f aca="false">IF(ISNUMBER($AF568),INDEX(IDX_SrcGrade,$AF568),"—")</f>
        <v>—</v>
      </c>
      <c r="U568" s="35" t="s">
        <v>571</v>
      </c>
      <c r="V568" s="183" t="n">
        <f aca="false">IF(AND($F568="原始數據",$U568&lt;&gt;"連結 SRC"),1,0)</f>
        <v>0</v>
      </c>
      <c r="W568" s="183" t="n">
        <f aca="false">IF(AND($F568="Analogy",OR($H568="—",$H568="")),1,0)</f>
        <v>0</v>
      </c>
      <c r="X568" s="183" t="n">
        <f aca="false">IF(AND(OR($F568="Analogy",$F568="Assumed"),$G568&lt;&gt;"低",$G568&lt;&gt;"高",NOT(ISNUMBER($K568)),NOT(ISNUMBER($L568)),OR($M568="—",$M568="")),1,0)</f>
        <v>0</v>
      </c>
      <c r="Y568" s="183" t="n">
        <f aca="false">IF(AND(OR($F568="Analogy",$F568="Assumed",$F568="Derived（待改公式）",$F568="Derived（公式）"),OR($N568="—",$N568="",$N568=0)),1,0)</f>
        <v>0</v>
      </c>
      <c r="Z568" s="183" t="n">
        <f aca="false">IF(AND($F568="Decision",OR($J568="—",$J568="")),1,0)</f>
        <v>0</v>
      </c>
      <c r="AA568" s="180" t="n">
        <f aca="false">IF(OR($J568="—",$J568=""),0,IF(COUNTIF(Decisions!$A$5:$A$300,$J568)=0,1,0))</f>
        <v>0</v>
      </c>
      <c r="AB568" s="183" t="n">
        <f aca="false">IF(AND($F568="原始數據",$S568&lt;&gt;"Active"),1,0)</f>
        <v>0</v>
      </c>
      <c r="AC568" s="183" t="n">
        <f aca="false">IF(AND(ISNUMBER($K568),ISNUMBER($L568),ISNUMBER($Q568)),IF(OR($Q568&lt;MIN($K568,$L568),$Q568&gt;MAX($K568,$L568)),1,0),0)</f>
        <v>0</v>
      </c>
      <c r="AD568" s="183" t="n">
        <f aca="false">IF(AND(ISNUMBER($T568),$P568="高"),IF($T568=3,1,0),0)</f>
        <v>0</v>
      </c>
      <c r="AE568" s="183" t="n">
        <f aca="false">IF($S568="不存在",1,0)</f>
        <v>0</v>
      </c>
      <c r="AF568" s="34" t="str">
        <f aca="false">IF(OR($H568="—",$H568=""),"—",MATCH($H568,IDX_SrcID,0))</f>
        <v>—</v>
      </c>
    </row>
    <row r="569" customFormat="false" ht="29.25" hidden="false" customHeight="true" outlineLevel="0" collapsed="false">
      <c r="A569" s="35" t="s">
        <v>4200</v>
      </c>
      <c r="B569" s="209" t="s">
        <v>3733</v>
      </c>
      <c r="C569" s="35" t="s">
        <v>3724</v>
      </c>
      <c r="D569" s="35" t="s">
        <v>4201</v>
      </c>
      <c r="E569" s="18" t="s">
        <v>4202</v>
      </c>
      <c r="F569" s="209" t="s">
        <v>3529</v>
      </c>
      <c r="G569" s="209" t="s">
        <v>3420</v>
      </c>
      <c r="H569" s="35" t="s">
        <v>571</v>
      </c>
      <c r="I569" s="6" t="s">
        <v>571</v>
      </c>
      <c r="J569" s="35" t="s">
        <v>571</v>
      </c>
      <c r="K569" s="209"/>
      <c r="L569" s="209"/>
      <c r="M569" s="35" t="s">
        <v>571</v>
      </c>
      <c r="N569" s="6" t="s">
        <v>4203</v>
      </c>
      <c r="O569" s="6" t="s">
        <v>571</v>
      </c>
      <c r="P569" s="209" t="s">
        <v>2682</v>
      </c>
      <c r="Q569" s="182" t="s">
        <v>571</v>
      </c>
      <c r="R569" s="35" t="s">
        <v>571</v>
      </c>
      <c r="S569" s="34" t="str">
        <f aca="false">IF(ISNUMBER($AF569),INDEX(IDX_SrcStat,$AF569),"—")</f>
        <v>—</v>
      </c>
      <c r="T569" s="34" t="str">
        <f aca="false">IF(ISNUMBER($AF569),INDEX(IDX_SrcGrade,$AF569),"—")</f>
        <v>—</v>
      </c>
      <c r="U569" s="35" t="s">
        <v>571</v>
      </c>
      <c r="V569" s="183" t="n">
        <f aca="false">IF(AND($F569="原始數據",$U569&lt;&gt;"連結 SRC"),1,0)</f>
        <v>0</v>
      </c>
      <c r="W569" s="183" t="n">
        <f aca="false">IF(AND($F569="Analogy",OR($H569="—",$H569="")),1,0)</f>
        <v>0</v>
      </c>
      <c r="X569" s="183" t="n">
        <f aca="false">IF(AND(OR($F569="Analogy",$F569="Assumed"),$G569&lt;&gt;"低",$G569&lt;&gt;"高",NOT(ISNUMBER($K569)),NOT(ISNUMBER($L569)),OR($M569="—",$M569="")),1,0)</f>
        <v>0</v>
      </c>
      <c r="Y569" s="183" t="n">
        <f aca="false">IF(AND(OR($F569="Analogy",$F569="Assumed",$F569="Derived（待改公式）",$F569="Derived（公式）"),OR($N569="—",$N569="",$N569=0)),1,0)</f>
        <v>0</v>
      </c>
      <c r="Z569" s="183" t="n">
        <f aca="false">IF(AND($F569="Decision",OR($J569="—",$J569="")),1,0)</f>
        <v>0</v>
      </c>
      <c r="AA569" s="180" t="n">
        <f aca="false">IF(OR($J569="—",$J569=""),0,IF(COUNTIF(Decisions!$A$5:$A$300,$J569)=0,1,0))</f>
        <v>0</v>
      </c>
      <c r="AB569" s="183" t="n">
        <f aca="false">IF(AND($F569="原始數據",$S569&lt;&gt;"Active"),1,0)</f>
        <v>0</v>
      </c>
      <c r="AC569" s="183" t="n">
        <f aca="false">IF(AND(ISNUMBER($K569),ISNUMBER($L569),ISNUMBER($Q569)),IF(OR($Q569&lt;MIN($K569,$L569),$Q569&gt;MAX($K569,$L569)),1,0),0)</f>
        <v>0</v>
      </c>
      <c r="AD569" s="183" t="n">
        <f aca="false">IF(AND(ISNUMBER($T569),$P569="高"),IF($T569=3,1,0),0)</f>
        <v>0</v>
      </c>
      <c r="AE569" s="183" t="n">
        <f aca="false">IF($S569="不存在",1,0)</f>
        <v>0</v>
      </c>
      <c r="AF569" s="34" t="str">
        <f aca="false">IF(OR($H569="—",$H569=""),"—",MATCH($H569,IDX_SrcID,0))</f>
        <v>—</v>
      </c>
    </row>
    <row r="570" customFormat="false" ht="29.25" hidden="false" customHeight="true" outlineLevel="0" collapsed="false">
      <c r="A570" s="35" t="s">
        <v>4204</v>
      </c>
      <c r="B570" s="209" t="s">
        <v>3733</v>
      </c>
      <c r="C570" s="35" t="s">
        <v>3724</v>
      </c>
      <c r="D570" s="35" t="s">
        <v>4205</v>
      </c>
      <c r="E570" s="6" t="s">
        <v>1420</v>
      </c>
      <c r="F570" s="209" t="s">
        <v>3529</v>
      </c>
      <c r="G570" s="209" t="s">
        <v>3420</v>
      </c>
      <c r="H570" s="35" t="s">
        <v>571</v>
      </c>
      <c r="I570" s="6" t="s">
        <v>571</v>
      </c>
      <c r="J570" s="35" t="s">
        <v>571</v>
      </c>
      <c r="K570" s="209"/>
      <c r="L570" s="209"/>
      <c r="M570" s="35" t="s">
        <v>571</v>
      </c>
      <c r="N570" s="6" t="s">
        <v>4206</v>
      </c>
      <c r="O570" s="6" t="s">
        <v>571</v>
      </c>
      <c r="P570" s="209" t="s">
        <v>2682</v>
      </c>
      <c r="Q570" s="180" t="n">
        <f aca="false">Sens_Rev!B17</f>
        <v>7</v>
      </c>
      <c r="R570" s="35" t="s">
        <v>571</v>
      </c>
      <c r="S570" s="34" t="str">
        <f aca="false">IF(ISNUMBER($AF570),INDEX(IDX_SrcStat,$AF570),"—")</f>
        <v>—</v>
      </c>
      <c r="T570" s="34" t="str">
        <f aca="false">IF(ISNUMBER($AF570),INDEX(IDX_SrcGrade,$AF570),"—")</f>
        <v>—</v>
      </c>
      <c r="U570" s="34" t="s">
        <v>2683</v>
      </c>
      <c r="V570" s="183" t="n">
        <f aca="false">IF(AND($F570="原始數據",$U570&lt;&gt;"連結 SRC"),1,0)</f>
        <v>0</v>
      </c>
      <c r="W570" s="183" t="n">
        <f aca="false">IF(AND($F570="Analogy",OR($H570="—",$H570="")),1,0)</f>
        <v>0</v>
      </c>
      <c r="X570" s="183" t="n">
        <f aca="false">IF(AND(OR($F570="Analogy",$F570="Assumed"),$G570&lt;&gt;"低",$G570&lt;&gt;"高",NOT(ISNUMBER($K570)),NOT(ISNUMBER($L570)),OR($M570="—",$M570="")),1,0)</f>
        <v>0</v>
      </c>
      <c r="Y570" s="183" t="n">
        <f aca="false">IF(AND(OR($F570="Analogy",$F570="Assumed",$F570="Derived（待改公式）",$F570="Derived（公式）"),OR($N570="—",$N570="",$N570=0)),1,0)</f>
        <v>0</v>
      </c>
      <c r="Z570" s="183" t="n">
        <f aca="false">IF(AND($F570="Decision",OR($J570="—",$J570="")),1,0)</f>
        <v>0</v>
      </c>
      <c r="AA570" s="180" t="n">
        <f aca="false">IF(OR($J570="—",$J570=""),0,IF(COUNTIF(Decisions!$A$5:$A$300,$J570)=0,1,0))</f>
        <v>0</v>
      </c>
      <c r="AB570" s="183" t="n">
        <f aca="false">IF(AND($F570="原始數據",$S570&lt;&gt;"Active"),1,0)</f>
        <v>0</v>
      </c>
      <c r="AC570" s="183" t="n">
        <f aca="false">IF(AND(ISNUMBER($K570),ISNUMBER($L570),ISNUMBER($Q570)),IF(OR($Q570&lt;MIN($K570,$L570),$Q570&gt;MAX($K570,$L570)),1,0),0)</f>
        <v>0</v>
      </c>
      <c r="AD570" s="183" t="n">
        <f aca="false">IF(AND(ISNUMBER($T570),$P570="高"),IF($T570=3,1,0),0)</f>
        <v>0</v>
      </c>
      <c r="AE570" s="183" t="n">
        <f aca="false">IF($S570="不存在",1,0)</f>
        <v>0</v>
      </c>
      <c r="AF570" s="34" t="str">
        <f aca="false">IF(OR($H570="—",$H570=""),"—",MATCH($H570,IDX_SrcID,0))</f>
        <v>—</v>
      </c>
    </row>
    <row r="571" customFormat="false" ht="29.25" hidden="false" customHeight="true" outlineLevel="0" collapsed="false">
      <c r="A571" s="35" t="s">
        <v>4207</v>
      </c>
      <c r="B571" s="209" t="s">
        <v>3733</v>
      </c>
      <c r="C571" s="35" t="s">
        <v>3724</v>
      </c>
      <c r="D571" s="35" t="s">
        <v>4208</v>
      </c>
      <c r="E571" s="18" t="s">
        <v>4209</v>
      </c>
      <c r="F571" s="209" t="s">
        <v>3529</v>
      </c>
      <c r="G571" s="209" t="s">
        <v>3420</v>
      </c>
      <c r="H571" s="35" t="s">
        <v>571</v>
      </c>
      <c r="I571" s="6" t="s">
        <v>571</v>
      </c>
      <c r="J571" s="35" t="s">
        <v>571</v>
      </c>
      <c r="K571" s="209"/>
      <c r="L571" s="209"/>
      <c r="M571" s="35" t="s">
        <v>571</v>
      </c>
      <c r="N571" s="6" t="s">
        <v>4210</v>
      </c>
      <c r="O571" s="6" t="s">
        <v>571</v>
      </c>
      <c r="P571" s="209" t="s">
        <v>2682</v>
      </c>
      <c r="Q571" s="182" t="s">
        <v>571</v>
      </c>
      <c r="R571" s="35" t="s">
        <v>571</v>
      </c>
      <c r="S571" s="34" t="str">
        <f aca="false">IF(ISNUMBER($AF571),INDEX(IDX_SrcStat,$AF571),"—")</f>
        <v>—</v>
      </c>
      <c r="T571" s="34" t="str">
        <f aca="false">IF(ISNUMBER($AF571),INDEX(IDX_SrcGrade,$AF571),"—")</f>
        <v>—</v>
      </c>
      <c r="U571" s="35" t="s">
        <v>571</v>
      </c>
      <c r="V571" s="183" t="n">
        <f aca="false">IF(AND($F571="原始數據",$U571&lt;&gt;"連結 SRC"),1,0)</f>
        <v>0</v>
      </c>
      <c r="W571" s="183" t="n">
        <f aca="false">IF(AND($F571="Analogy",OR($H571="—",$H571="")),1,0)</f>
        <v>0</v>
      </c>
      <c r="X571" s="183" t="n">
        <f aca="false">IF(AND(OR($F571="Analogy",$F571="Assumed"),$G571&lt;&gt;"低",$G571&lt;&gt;"高",NOT(ISNUMBER($K571)),NOT(ISNUMBER($L571)),OR($M571="—",$M571="")),1,0)</f>
        <v>0</v>
      </c>
      <c r="Y571" s="183" t="n">
        <f aca="false">IF(AND(OR($F571="Analogy",$F571="Assumed",$F571="Derived（待改公式）",$F571="Derived（公式）"),OR($N571="—",$N571="",$N571=0)),1,0)</f>
        <v>0</v>
      </c>
      <c r="Z571" s="183" t="n">
        <f aca="false">IF(AND($F571="Decision",OR($J571="—",$J571="")),1,0)</f>
        <v>0</v>
      </c>
      <c r="AA571" s="180" t="n">
        <f aca="false">IF(OR($J571="—",$J571=""),0,IF(COUNTIF(Decisions!$A$5:$A$300,$J571)=0,1,0))</f>
        <v>0</v>
      </c>
      <c r="AB571" s="183" t="n">
        <f aca="false">IF(AND($F571="原始數據",$S571&lt;&gt;"Active"),1,0)</f>
        <v>0</v>
      </c>
      <c r="AC571" s="183" t="n">
        <f aca="false">IF(AND(ISNUMBER($K571),ISNUMBER($L571),ISNUMBER($Q571)),IF(OR($Q571&lt;MIN($K571,$L571),$Q571&gt;MAX($K571,$L571)),1,0),0)</f>
        <v>0</v>
      </c>
      <c r="AD571" s="183" t="n">
        <f aca="false">IF(AND(ISNUMBER($T571),$P571="高"),IF($T571=3,1,0),0)</f>
        <v>0</v>
      </c>
      <c r="AE571" s="183" t="n">
        <f aca="false">IF($S571="不存在",1,0)</f>
        <v>0</v>
      </c>
      <c r="AF571" s="34" t="str">
        <f aca="false">IF(OR($H571="—",$H571=""),"—",MATCH($H571,IDX_SrcID,0))</f>
        <v>—</v>
      </c>
    </row>
    <row r="572" customFormat="false" ht="29.25" hidden="false" customHeight="true" outlineLevel="0" collapsed="false">
      <c r="A572" s="35" t="s">
        <v>4211</v>
      </c>
      <c r="B572" s="209" t="s">
        <v>3733</v>
      </c>
      <c r="C572" s="35" t="s">
        <v>4212</v>
      </c>
      <c r="D572" s="35" t="s">
        <v>4213</v>
      </c>
      <c r="E572" s="18" t="s">
        <v>70</v>
      </c>
      <c r="F572" s="209" t="s">
        <v>3529</v>
      </c>
      <c r="G572" s="209" t="s">
        <v>3420</v>
      </c>
      <c r="H572" s="35" t="s">
        <v>571</v>
      </c>
      <c r="I572" s="6" t="s">
        <v>571</v>
      </c>
      <c r="J572" s="35" t="s">
        <v>571</v>
      </c>
      <c r="K572" s="209"/>
      <c r="L572" s="209"/>
      <c r="M572" s="35" t="s">
        <v>571</v>
      </c>
      <c r="N572" s="18" t="s">
        <v>4214</v>
      </c>
      <c r="O572" s="6" t="s">
        <v>571</v>
      </c>
      <c r="P572" s="35" t="s">
        <v>571</v>
      </c>
      <c r="Q572" s="182" t="s">
        <v>571</v>
      </c>
      <c r="R572" s="35" t="s">
        <v>571</v>
      </c>
      <c r="S572" s="34" t="str">
        <f aca="false">IF(ISNUMBER($AF572),INDEX(IDX_SrcStat,$AF572),"—")</f>
        <v>—</v>
      </c>
      <c r="T572" s="34" t="str">
        <f aca="false">IF(ISNUMBER($AF572),INDEX(IDX_SrcGrade,$AF572),"—")</f>
        <v>—</v>
      </c>
      <c r="U572" s="35" t="s">
        <v>571</v>
      </c>
      <c r="V572" s="183" t="n">
        <f aca="false">IF(AND($F572="原始數據",$U572&lt;&gt;"連結 SRC"),1,0)</f>
        <v>0</v>
      </c>
      <c r="W572" s="183" t="n">
        <f aca="false">IF(AND($F572="Analogy",OR($H572="—",$H572="")),1,0)</f>
        <v>0</v>
      </c>
      <c r="X572" s="183" t="n">
        <f aca="false">IF(AND(OR($F572="Analogy",$F572="Assumed"),$G572&lt;&gt;"低",$G572&lt;&gt;"高",NOT(ISNUMBER($K572)),NOT(ISNUMBER($L572)),OR($M572="—",$M572="")),1,0)</f>
        <v>0</v>
      </c>
      <c r="Y572" s="183" t="n">
        <f aca="false">IF(AND(OR($F572="Analogy",$F572="Assumed",$F572="Derived（待改公式）",$F572="Derived（公式）"),OR($N572="—",$N572="",$N572=0)),1,0)</f>
        <v>0</v>
      </c>
      <c r="Z572" s="183" t="n">
        <f aca="false">IF(AND($F572="Decision",OR($J572="—",$J572="")),1,0)</f>
        <v>0</v>
      </c>
      <c r="AA572" s="180" t="n">
        <f aca="false">IF(OR($J572="—",$J572=""),0,IF(COUNTIF(Decisions!$A$5:$A$300,$J572)=0,1,0))</f>
        <v>0</v>
      </c>
      <c r="AB572" s="183" t="n">
        <f aca="false">IF(AND($F572="原始數據",$S572&lt;&gt;"Active"),1,0)</f>
        <v>0</v>
      </c>
      <c r="AC572" s="183" t="n">
        <f aca="false">IF(AND(ISNUMBER($K572),ISNUMBER($L572),ISNUMBER($Q572)),IF(OR($Q572&lt;MIN($K572,$L572),$Q572&gt;MAX($K572,$L572)),1,0),0)</f>
        <v>0</v>
      </c>
      <c r="AD572" s="183" t="n">
        <f aca="false">IF(AND(ISNUMBER($T572),$P572="高"),IF($T572=3,1,0),0)</f>
        <v>0</v>
      </c>
      <c r="AE572" s="183" t="n">
        <f aca="false">IF($S572="不存在",1,0)</f>
        <v>0</v>
      </c>
      <c r="AF572" s="34" t="str">
        <f aca="false">IF(OR($H572="—",$H572=""),"—",MATCH($H572,IDX_SrcID,0))</f>
        <v>—</v>
      </c>
    </row>
    <row r="573" customFormat="false" ht="15" hidden="false" customHeight="true" outlineLevel="0" collapsed="false">
      <c r="A573" s="35" t="s">
        <v>4215</v>
      </c>
      <c r="B573" s="209" t="s">
        <v>3733</v>
      </c>
      <c r="C573" s="35" t="s">
        <v>4212</v>
      </c>
      <c r="D573" s="35" t="s">
        <v>4216</v>
      </c>
      <c r="E573" s="6" t="s">
        <v>846</v>
      </c>
      <c r="F573" s="209" t="s">
        <v>3529</v>
      </c>
      <c r="G573" s="209" t="s">
        <v>3420</v>
      </c>
      <c r="H573" s="35" t="s">
        <v>571</v>
      </c>
      <c r="I573" s="6" t="s">
        <v>571</v>
      </c>
      <c r="J573" s="35" t="s">
        <v>571</v>
      </c>
      <c r="K573" s="209"/>
      <c r="L573" s="209"/>
      <c r="M573" s="35" t="s">
        <v>571</v>
      </c>
      <c r="N573" s="6" t="s">
        <v>4217</v>
      </c>
      <c r="O573" s="6" t="s">
        <v>571</v>
      </c>
      <c r="P573" s="34" t="s">
        <v>2682</v>
      </c>
      <c r="Q573" s="180" t="n">
        <f aca="false">Sensitivity!N37</f>
        <v>7</v>
      </c>
      <c r="R573" s="35" t="s">
        <v>571</v>
      </c>
      <c r="S573" s="34" t="str">
        <f aca="false">IF(ISNUMBER($AF573),INDEX(IDX_SrcStat,$AF573),"—")</f>
        <v>—</v>
      </c>
      <c r="T573" s="34" t="str">
        <f aca="false">IF(ISNUMBER($AF573),INDEX(IDX_SrcGrade,$AF573),"—")</f>
        <v>—</v>
      </c>
      <c r="U573" s="34" t="s">
        <v>2683</v>
      </c>
      <c r="V573" s="183" t="n">
        <f aca="false">IF(AND($F573="原始數據",$U573&lt;&gt;"連結 SRC"),1,0)</f>
        <v>0</v>
      </c>
      <c r="W573" s="183" t="n">
        <f aca="false">IF(AND($F573="Analogy",OR($H573="—",$H573="")),1,0)</f>
        <v>0</v>
      </c>
      <c r="X573" s="183" t="n">
        <f aca="false">IF(AND(OR($F573="Analogy",$F573="Assumed"),$G573&lt;&gt;"低",$G573&lt;&gt;"高",NOT(ISNUMBER($K573)),NOT(ISNUMBER($L573)),OR($M573="—",$M573="")),1,0)</f>
        <v>0</v>
      </c>
      <c r="Y573" s="183" t="n">
        <f aca="false">IF(AND(OR($F573="Analogy",$F573="Assumed",$F573="Derived（待改公式）",$F573="Derived（公式）"),OR($N573="—",$N573="",$N573=0)),1,0)</f>
        <v>0</v>
      </c>
      <c r="Z573" s="183" t="n">
        <f aca="false">IF(AND($F573="Decision",OR($J573="—",$J573="")),1,0)</f>
        <v>0</v>
      </c>
      <c r="AA573" s="180" t="n">
        <f aca="false">IF(OR($J573="—",$J573=""),0,IF(COUNTIF(Decisions!$A$5:$A$300,$J573)=0,1,0))</f>
        <v>0</v>
      </c>
      <c r="AB573" s="183" t="n">
        <f aca="false">IF(AND($F573="原始數據",$S573&lt;&gt;"Active"),1,0)</f>
        <v>0</v>
      </c>
      <c r="AC573" s="183" t="n">
        <f aca="false">IF(AND(ISNUMBER($K573),ISNUMBER($L573),ISNUMBER($Q573)),IF(OR($Q573&lt;MIN($K573,$L573),$Q573&gt;MAX($K573,$L573)),1,0),0)</f>
        <v>0</v>
      </c>
      <c r="AD573" s="183" t="n">
        <f aca="false">IF(AND(ISNUMBER($T573),$P573="高"),IF($T573=3,1,0),0)</f>
        <v>0</v>
      </c>
      <c r="AE573" s="183" t="n">
        <f aca="false">IF($S573="不存在",1,0)</f>
        <v>0</v>
      </c>
      <c r="AF573" s="34" t="str">
        <f aca="false">IF(OR($H573="—",$H573=""),"—",MATCH($H573,IDX_SrcID,0))</f>
        <v>—</v>
      </c>
    </row>
    <row r="574" customFormat="false" ht="57.75" hidden="false" customHeight="true" outlineLevel="0" collapsed="false">
      <c r="A574" s="35" t="s">
        <v>4218</v>
      </c>
      <c r="B574" s="209" t="s">
        <v>4219</v>
      </c>
      <c r="C574" s="35" t="s">
        <v>3155</v>
      </c>
      <c r="D574" s="35" t="s">
        <v>4220</v>
      </c>
      <c r="E574" s="18" t="s">
        <v>4221</v>
      </c>
      <c r="F574" s="35" t="s">
        <v>72</v>
      </c>
      <c r="G574" s="209" t="s">
        <v>3420</v>
      </c>
      <c r="H574" s="35" t="s">
        <v>571</v>
      </c>
      <c r="I574" s="6" t="s">
        <v>571</v>
      </c>
      <c r="J574" s="35" t="s">
        <v>571</v>
      </c>
      <c r="K574" s="209" t="n">
        <v>4</v>
      </c>
      <c r="L574" s="209" t="n">
        <v>130</v>
      </c>
      <c r="M574" s="35" t="s">
        <v>4222</v>
      </c>
      <c r="N574" s="6" t="s">
        <v>4223</v>
      </c>
      <c r="O574" s="6" t="s">
        <v>571</v>
      </c>
      <c r="P574" s="35" t="s">
        <v>571</v>
      </c>
      <c r="Q574" s="182" t="s">
        <v>571</v>
      </c>
      <c r="R574" s="35" t="s">
        <v>571</v>
      </c>
      <c r="S574" s="34" t="str">
        <f aca="false">IF(ISNUMBER($AF574),INDEX(IDX_SrcStat,$AF574),"—")</f>
        <v>—</v>
      </c>
      <c r="T574" s="34" t="str">
        <f aca="false">IF(ISNUMBER($AF574),INDEX(IDX_SrcGrade,$AF574),"—")</f>
        <v>—</v>
      </c>
      <c r="U574" s="35" t="s">
        <v>571</v>
      </c>
      <c r="V574" s="183" t="n">
        <f aca="false">IF(AND($F574="原始數據",$U574&lt;&gt;"連結 SRC"),1,0)</f>
        <v>0</v>
      </c>
      <c r="W574" s="183" t="n">
        <f aca="false">IF(AND($F574="Analogy",OR($H574="—",$H574="")),1,0)</f>
        <v>0</v>
      </c>
      <c r="X574" s="183" t="n">
        <f aca="false">IF(AND(OR($F574="Analogy",$F574="Assumed"),$G574&lt;&gt;"低",$G574&lt;&gt;"高",NOT(ISNUMBER($K574)),NOT(ISNUMBER($L574)),OR($M574="—",$M574="")),1,0)</f>
        <v>0</v>
      </c>
      <c r="Y574" s="183" t="n">
        <f aca="false">IF(AND(OR($F574="Analogy",$F574="Assumed",$F574="Derived（待改公式）",$F574="Derived（公式）"),OR($N574="—",$N574="",$N574=0)),1,0)</f>
        <v>0</v>
      </c>
      <c r="Z574" s="183" t="n">
        <f aca="false">IF(AND($F574="Decision",OR($J574="—",$J574="")),1,0)</f>
        <v>0</v>
      </c>
      <c r="AA574" s="180" t="n">
        <f aca="false">IF(OR($J574="—",$J574=""),0,IF(COUNTIF(Decisions!$A$5:$A$300,$J574)=0,1,0))</f>
        <v>0</v>
      </c>
      <c r="AB574" s="183" t="n">
        <f aca="false">IF(AND($F574="原始數據",$S574&lt;&gt;"Active"),1,0)</f>
        <v>0</v>
      </c>
      <c r="AC574" s="183" t="n">
        <f aca="false">IF(AND(ISNUMBER($K574),ISNUMBER($L574),ISNUMBER($Q574)),IF(OR($Q574&lt;MIN($K574,$L574),$Q574&gt;MAX($K574,$L574)),1,0),0)</f>
        <v>0</v>
      </c>
      <c r="AD574" s="183" t="n">
        <f aca="false">IF(AND(ISNUMBER($T574),$P574="高"),IF($T574=3,1,0),0)</f>
        <v>0</v>
      </c>
      <c r="AE574" s="183" t="n">
        <f aca="false">IF($S574="不存在",1,0)</f>
        <v>0</v>
      </c>
      <c r="AF574" s="34" t="str">
        <f aca="false">IF(OR($H574="—",$H574=""),"—",MATCH($H574,IDX_SrcID,0))</f>
        <v>—</v>
      </c>
    </row>
    <row r="575" customFormat="false" ht="43.5" hidden="false" customHeight="true" outlineLevel="0" collapsed="false">
      <c r="A575" s="35" t="s">
        <v>4224</v>
      </c>
      <c r="B575" s="209" t="s">
        <v>4219</v>
      </c>
      <c r="C575" s="35" t="s">
        <v>3155</v>
      </c>
      <c r="D575" s="35" t="s">
        <v>2803</v>
      </c>
      <c r="E575" s="6" t="s">
        <v>281</v>
      </c>
      <c r="F575" s="35" t="s">
        <v>76</v>
      </c>
      <c r="G575" s="209" t="s">
        <v>2679</v>
      </c>
      <c r="H575" s="35" t="s">
        <v>3558</v>
      </c>
      <c r="I575" s="18" t="s">
        <v>4225</v>
      </c>
      <c r="J575" s="35" t="s">
        <v>571</v>
      </c>
      <c r="K575" s="209"/>
      <c r="L575" s="209"/>
      <c r="M575" s="209" t="s">
        <v>2624</v>
      </c>
      <c r="N575" s="6" t="s">
        <v>4226</v>
      </c>
      <c r="O575" s="6" t="s">
        <v>571</v>
      </c>
      <c r="P575" s="34" t="s">
        <v>1099</v>
      </c>
      <c r="Q575" s="40" t="n">
        <f aca="false">Arch!E35</f>
        <v>576</v>
      </c>
      <c r="R575" s="182" t="n">
        <f aca="false">SRC_MOD_028</f>
        <v>576</v>
      </c>
      <c r="S575" s="34" t="str">
        <f aca="false">IF(ISNUMBER($AF575),INDEX(IDX_SrcStat,$AF575),"—")</f>
        <v>Active</v>
      </c>
      <c r="T575" s="34" t="n">
        <f aca="false">IF(ISNUMBER($AF575),INDEX(IDX_SrcGrade,$AF575),"—")</f>
        <v>3</v>
      </c>
      <c r="U575" s="34" t="s">
        <v>2683</v>
      </c>
      <c r="V575" s="183" t="n">
        <f aca="false">IF(AND($F575="原始數據",$U575&lt;&gt;"連結 SRC"),1,0)</f>
        <v>0</v>
      </c>
      <c r="W575" s="183" t="n">
        <f aca="false">IF(AND($F575="Analogy",OR($H575="—",$H575="")),1,0)</f>
        <v>0</v>
      </c>
      <c r="X575" s="183" t="n">
        <f aca="false">IF(AND(OR($F575="Analogy",$F575="Assumed"),$G575&lt;&gt;"低",$G575&lt;&gt;"高",NOT(ISNUMBER($K575)),NOT(ISNUMBER($L575)),OR($M575="—",$M575="")),1,0)</f>
        <v>0</v>
      </c>
      <c r="Y575" s="183" t="n">
        <f aca="false">IF(AND(OR($F575="Analogy",$F575="Assumed",$F575="Derived（待改公式）",$F575="Derived（公式）"),OR($N575="—",$N575="",$N575=0)),1,0)</f>
        <v>0</v>
      </c>
      <c r="Z575" s="183" t="n">
        <f aca="false">IF(AND($F575="Decision",OR($J575="—",$J575="")),1,0)</f>
        <v>0</v>
      </c>
      <c r="AA575" s="180" t="n">
        <f aca="false">IF(OR($J575="—",$J575=""),0,IF(COUNTIF(Decisions!$A$5:$A$300,$J575)=0,1,0))</f>
        <v>0</v>
      </c>
      <c r="AB575" s="183" t="n">
        <f aca="false">IF(AND($F575="原始數據",$S575&lt;&gt;"Active"),1,0)</f>
        <v>0</v>
      </c>
      <c r="AC575" s="183" t="n">
        <f aca="false">IF(AND(ISNUMBER($K575),ISNUMBER($L575),ISNUMBER($Q575)),IF(OR($Q575&lt;MIN($K575,$L575),$Q575&gt;MAX($K575,$L575)),1,0),0)</f>
        <v>0</v>
      </c>
      <c r="AD575" s="183" t="n">
        <f aca="false">IF(AND(ISNUMBER($T575),$P575="高"),IF($T575=3,1,0),0)</f>
        <v>0</v>
      </c>
      <c r="AE575" s="183" t="n">
        <f aca="false">IF($S575="不存在",1,0)</f>
        <v>0</v>
      </c>
      <c r="AF575" s="34" t="n">
        <f aca="false">IF(OR($H575="—",$H575=""),"—",MATCH($H575,IDX_SrcID,0))</f>
        <v>205</v>
      </c>
    </row>
    <row r="576" customFormat="false" ht="29.25" hidden="false" customHeight="true" outlineLevel="0" collapsed="false">
      <c r="A576" s="35" t="s">
        <v>4227</v>
      </c>
      <c r="B576" s="209" t="s">
        <v>4219</v>
      </c>
      <c r="C576" s="35" t="s">
        <v>3155</v>
      </c>
      <c r="D576" s="35" t="s">
        <v>4228</v>
      </c>
      <c r="E576" s="6" t="s">
        <v>284</v>
      </c>
      <c r="F576" s="35" t="s">
        <v>72</v>
      </c>
      <c r="G576" s="209" t="s">
        <v>2679</v>
      </c>
      <c r="H576" s="35" t="s">
        <v>571</v>
      </c>
      <c r="I576" s="6" t="s">
        <v>571</v>
      </c>
      <c r="J576" s="35" t="s">
        <v>571</v>
      </c>
      <c r="K576" s="211" t="n">
        <v>0.15</v>
      </c>
      <c r="L576" s="211" t="n">
        <v>0.5</v>
      </c>
      <c r="M576" s="35" t="s">
        <v>4229</v>
      </c>
      <c r="N576" s="6" t="s">
        <v>4230</v>
      </c>
      <c r="O576" s="6" t="s">
        <v>571</v>
      </c>
      <c r="P576" s="34" t="s">
        <v>2682</v>
      </c>
      <c r="Q576" s="174" t="n">
        <f aca="false">Arch!E36</f>
        <v>0.26</v>
      </c>
      <c r="R576" s="35" t="s">
        <v>571</v>
      </c>
      <c r="S576" s="34" t="str">
        <f aca="false">IF(ISNUMBER($AF576),INDEX(IDX_SrcStat,$AF576),"—")</f>
        <v>—</v>
      </c>
      <c r="T576" s="34" t="str">
        <f aca="false">IF(ISNUMBER($AF576),INDEX(IDX_SrcGrade,$AF576),"—")</f>
        <v>—</v>
      </c>
      <c r="U576" s="34" t="s">
        <v>2683</v>
      </c>
      <c r="V576" s="183" t="n">
        <f aca="false">IF(AND($F576="原始數據",$U576&lt;&gt;"連結 SRC"),1,0)</f>
        <v>0</v>
      </c>
      <c r="W576" s="183" t="n">
        <f aca="false">IF(AND($F576="Analogy",OR($H576="—",$H576="")),1,0)</f>
        <v>0</v>
      </c>
      <c r="X576" s="183" t="n">
        <f aca="false">IF(AND(OR($F576="Analogy",$F576="Assumed"),$G576&lt;&gt;"低",$G576&lt;&gt;"高",NOT(ISNUMBER($K576)),NOT(ISNUMBER($L576)),OR($M576="—",$M576="")),1,0)</f>
        <v>0</v>
      </c>
      <c r="Y576" s="183" t="n">
        <f aca="false">IF(AND(OR($F576="Analogy",$F576="Assumed",$F576="Derived（待改公式）",$F576="Derived（公式）"),OR($N576="—",$N576="",$N576=0)),1,0)</f>
        <v>0</v>
      </c>
      <c r="Z576" s="183" t="n">
        <f aca="false">IF(AND($F576="Decision",OR($J576="—",$J576="")),1,0)</f>
        <v>0</v>
      </c>
      <c r="AA576" s="180" t="n">
        <f aca="false">IF(OR($J576="—",$J576=""),0,IF(COUNTIF(Decisions!$A$5:$A$300,$J576)=0,1,0))</f>
        <v>0</v>
      </c>
      <c r="AB576" s="183" t="n">
        <f aca="false">IF(AND($F576="原始數據",$S576&lt;&gt;"Active"),1,0)</f>
        <v>0</v>
      </c>
      <c r="AC576" s="183" t="n">
        <f aca="false">IF(AND(ISNUMBER($K576),ISNUMBER($L576),ISNUMBER($Q576)),IF(OR($Q576&lt;MIN($K576,$L576),$Q576&gt;MAX($K576,$L576)),1,0),0)</f>
        <v>0</v>
      </c>
      <c r="AD576" s="183" t="n">
        <f aca="false">IF(AND(ISNUMBER($T576),$P576="高"),IF($T576=3,1,0),0)</f>
        <v>0</v>
      </c>
      <c r="AE576" s="183" t="n">
        <f aca="false">IF($S576="不存在",1,0)</f>
        <v>0</v>
      </c>
      <c r="AF576" s="34" t="str">
        <f aca="false">IF(OR($H576="—",$H576=""),"—",MATCH($H576,IDX_SrcID,0))</f>
        <v>—</v>
      </c>
    </row>
    <row r="577" customFormat="false" ht="29.25" hidden="false" customHeight="true" outlineLevel="0" collapsed="false">
      <c r="A577" s="35" t="s">
        <v>4231</v>
      </c>
      <c r="B577" s="209" t="s">
        <v>4219</v>
      </c>
      <c r="C577" s="35" t="s">
        <v>3155</v>
      </c>
      <c r="D577" s="35" t="s">
        <v>4232</v>
      </c>
      <c r="E577" s="6" t="s">
        <v>286</v>
      </c>
      <c r="F577" s="35" t="s">
        <v>72</v>
      </c>
      <c r="G577" s="209" t="s">
        <v>2679</v>
      </c>
      <c r="H577" s="35" t="s">
        <v>571</v>
      </c>
      <c r="I577" s="6" t="s">
        <v>571</v>
      </c>
      <c r="J577" s="35" t="s">
        <v>571</v>
      </c>
      <c r="K577" s="209"/>
      <c r="L577" s="209"/>
      <c r="M577" s="209" t="s">
        <v>2624</v>
      </c>
      <c r="N577" s="6" t="s">
        <v>4233</v>
      </c>
      <c r="O577" s="6" t="s">
        <v>571</v>
      </c>
      <c r="P577" s="34" t="s">
        <v>2682</v>
      </c>
      <c r="Q577" s="40" t="n">
        <f aca="false">Arch!E37</f>
        <v>8</v>
      </c>
      <c r="R577" s="35" t="s">
        <v>571</v>
      </c>
      <c r="S577" s="34" t="str">
        <f aca="false">IF(ISNUMBER($AF577),INDEX(IDX_SrcStat,$AF577),"—")</f>
        <v>—</v>
      </c>
      <c r="T577" s="34" t="str">
        <f aca="false">IF(ISNUMBER($AF577),INDEX(IDX_SrcGrade,$AF577),"—")</f>
        <v>—</v>
      </c>
      <c r="U577" s="34" t="s">
        <v>2683</v>
      </c>
      <c r="V577" s="183" t="n">
        <f aca="false">IF(AND($F577="原始數據",$U577&lt;&gt;"連結 SRC"),1,0)</f>
        <v>0</v>
      </c>
      <c r="W577" s="183" t="n">
        <f aca="false">IF(AND($F577="Analogy",OR($H577="—",$H577="")),1,0)</f>
        <v>0</v>
      </c>
      <c r="X577" s="183" t="n">
        <f aca="false">IF(AND(OR($F577="Analogy",$F577="Assumed"),$G577&lt;&gt;"低",$G577&lt;&gt;"高",NOT(ISNUMBER($K577)),NOT(ISNUMBER($L577)),OR($M577="—",$M577="")),1,0)</f>
        <v>0</v>
      </c>
      <c r="Y577" s="183" t="n">
        <f aca="false">IF(AND(OR($F577="Analogy",$F577="Assumed",$F577="Derived（待改公式）",$F577="Derived（公式）"),OR($N577="—",$N577="",$N577=0)),1,0)</f>
        <v>0</v>
      </c>
      <c r="Z577" s="183" t="n">
        <f aca="false">IF(AND($F577="Decision",OR($J577="—",$J577="")),1,0)</f>
        <v>0</v>
      </c>
      <c r="AA577" s="180" t="n">
        <f aca="false">IF(OR($J577="—",$J577=""),0,IF(COUNTIF(Decisions!$A$5:$A$300,$J577)=0,1,0))</f>
        <v>0</v>
      </c>
      <c r="AB577" s="183" t="n">
        <f aca="false">IF(AND($F577="原始數據",$S577&lt;&gt;"Active"),1,0)</f>
        <v>0</v>
      </c>
      <c r="AC577" s="183" t="n">
        <f aca="false">IF(AND(ISNUMBER($K577),ISNUMBER($L577),ISNUMBER($Q577)),IF(OR($Q577&lt;MIN($K577,$L577),$Q577&gt;MAX($K577,$L577)),1,0),0)</f>
        <v>0</v>
      </c>
      <c r="AD577" s="183" t="n">
        <f aca="false">IF(AND(ISNUMBER($T577),$P577="高"),IF($T577=3,1,0),0)</f>
        <v>0</v>
      </c>
      <c r="AE577" s="183" t="n">
        <f aca="false">IF($S577="不存在",1,0)</f>
        <v>0</v>
      </c>
      <c r="AF577" s="34" t="str">
        <f aca="false">IF(OR($H577="—",$H577=""),"—",MATCH($H577,IDX_SrcID,0))</f>
        <v>—</v>
      </c>
    </row>
    <row r="578" customFormat="false" ht="29.25" hidden="false" customHeight="true" outlineLevel="0" collapsed="false">
      <c r="A578" s="35" t="s">
        <v>4234</v>
      </c>
      <c r="B578" s="209" t="s">
        <v>4219</v>
      </c>
      <c r="C578" s="35" t="s">
        <v>3155</v>
      </c>
      <c r="D578" s="35" t="s">
        <v>3819</v>
      </c>
      <c r="E578" s="6" t="s">
        <v>289</v>
      </c>
      <c r="F578" s="209" t="s">
        <v>290</v>
      </c>
      <c r="G578" s="209" t="s">
        <v>2679</v>
      </c>
      <c r="H578" s="35" t="s">
        <v>3056</v>
      </c>
      <c r="I578" s="18" t="s">
        <v>2714</v>
      </c>
      <c r="J578" s="35" t="s">
        <v>571</v>
      </c>
      <c r="K578" s="209"/>
      <c r="L578" s="209"/>
      <c r="M578" s="35" t="s">
        <v>571</v>
      </c>
      <c r="N578" s="6" t="s">
        <v>4235</v>
      </c>
      <c r="O578" s="6" t="s">
        <v>571</v>
      </c>
      <c r="P578" s="34" t="s">
        <v>1099</v>
      </c>
      <c r="Q578" s="40" t="n">
        <f aca="false">Arch!C38</f>
        <v>1</v>
      </c>
      <c r="R578" s="182" t="n">
        <f aca="false">SRC_HW_055</f>
        <v>1</v>
      </c>
      <c r="S578" s="34" t="str">
        <f aca="false">IF(ISNUMBER($AF578),INDEX(IDX_SrcStat,$AF578),"—")</f>
        <v>Active</v>
      </c>
      <c r="T578" s="34" t="n">
        <f aca="false">IF(ISNUMBER($AF578),INDEX(IDX_SrcGrade,$AF578),"—")</f>
        <v>3</v>
      </c>
      <c r="U578" s="34" t="s">
        <v>2716</v>
      </c>
      <c r="V578" s="183" t="n">
        <f aca="false">IF(AND($F578="原始數據",$U578&lt;&gt;"連結 SRC"),1,0)</f>
        <v>0</v>
      </c>
      <c r="W578" s="183" t="n">
        <f aca="false">IF(AND($F578="Analogy",OR($H578="—",$H578="")),1,0)</f>
        <v>0</v>
      </c>
      <c r="X578" s="183" t="n">
        <f aca="false">IF(AND(OR($F578="Analogy",$F578="Assumed"),$G578&lt;&gt;"低",$G578&lt;&gt;"高",NOT(ISNUMBER($K578)),NOT(ISNUMBER($L578)),OR($M578="—",$M578="")),1,0)</f>
        <v>0</v>
      </c>
      <c r="Y578" s="183" t="n">
        <f aca="false">IF(AND(OR($F578="Analogy",$F578="Assumed",$F578="Derived（待改公式）",$F578="Derived（公式）"),OR($N578="—",$N578="",$N578=0)),1,0)</f>
        <v>0</v>
      </c>
      <c r="Z578" s="183" t="n">
        <f aca="false">IF(AND($F578="Decision",OR($J578="—",$J578="")),1,0)</f>
        <v>0</v>
      </c>
      <c r="AA578" s="180" t="n">
        <f aca="false">IF(OR($J578="—",$J578=""),0,IF(COUNTIF(Decisions!$A$5:$A$300,$J578)=0,1,0))</f>
        <v>0</v>
      </c>
      <c r="AB578" s="183" t="n">
        <f aca="false">IF(AND($F578="原始數據",$S578&lt;&gt;"Active"),1,0)</f>
        <v>0</v>
      </c>
      <c r="AC578" s="183" t="n">
        <f aca="false">IF(AND(ISNUMBER($K578),ISNUMBER($L578),ISNUMBER($Q578)),IF(OR($Q578&lt;MIN($K578,$L578),$Q578&gt;MAX($K578,$L578)),1,0),0)</f>
        <v>0</v>
      </c>
      <c r="AD578" s="183" t="n">
        <f aca="false">IF(AND(ISNUMBER($T578),$P578="高"),IF($T578=3,1,0),0)</f>
        <v>0</v>
      </c>
      <c r="AE578" s="183" t="n">
        <f aca="false">IF($S578="不存在",1,0)</f>
        <v>0</v>
      </c>
      <c r="AF578" s="34" t="n">
        <f aca="false">IF(OR($H578="—",$H578=""),"—",MATCH($H578,IDX_SrcID,0))</f>
        <v>55</v>
      </c>
    </row>
    <row r="579" customFormat="false" ht="26.25" hidden="false" customHeight="true" outlineLevel="0" collapsed="false">
      <c r="A579" s="35" t="s">
        <v>4236</v>
      </c>
      <c r="B579" s="209" t="s">
        <v>4237</v>
      </c>
      <c r="C579" s="35" t="s">
        <v>4238</v>
      </c>
      <c r="D579" s="35" t="s">
        <v>3326</v>
      </c>
      <c r="E579" s="18" t="s">
        <v>1674</v>
      </c>
      <c r="F579" s="35" t="s">
        <v>64</v>
      </c>
      <c r="G579" s="209" t="s">
        <v>2679</v>
      </c>
      <c r="H579" s="35" t="s">
        <v>571</v>
      </c>
      <c r="I579" s="6" t="s">
        <v>571</v>
      </c>
      <c r="J579" s="35" t="s">
        <v>4239</v>
      </c>
      <c r="K579" s="209"/>
      <c r="L579" s="209"/>
      <c r="M579" s="209" t="s">
        <v>2624</v>
      </c>
      <c r="N579" s="6" t="s">
        <v>4240</v>
      </c>
      <c r="O579" s="6" t="s">
        <v>571</v>
      </c>
      <c r="P579" s="34" t="s">
        <v>2682</v>
      </c>
      <c r="Q579" s="182" t="str">
        <f aca="false">Alloc_In!C5</f>
        <v>OpenAI</v>
      </c>
      <c r="R579" s="35" t="s">
        <v>571</v>
      </c>
      <c r="S579" s="34" t="str">
        <f aca="false">IF(ISNUMBER($AF579),INDEX(IDX_SrcStat,$AF579),"—")</f>
        <v>—</v>
      </c>
      <c r="T579" s="34" t="str">
        <f aca="false">IF(ISNUMBER($AF579),INDEX(IDX_SrcGrade,$AF579),"—")</f>
        <v>—</v>
      </c>
      <c r="U579" s="34" t="s">
        <v>2683</v>
      </c>
      <c r="V579" s="183" t="n">
        <f aca="false">IF(AND($F579="原始數據",$U579&lt;&gt;"連結 SRC"),1,0)</f>
        <v>0</v>
      </c>
      <c r="W579" s="183" t="n">
        <f aca="false">IF(AND($F579="Analogy",OR($H579="—",$H579="")),1,0)</f>
        <v>0</v>
      </c>
      <c r="X579" s="183" t="n">
        <f aca="false">IF(AND(OR($F579="Analogy",$F579="Assumed"),$G579&lt;&gt;"低",$G579&lt;&gt;"高",NOT(ISNUMBER($K579)),NOT(ISNUMBER($L579)),OR($M579="—",$M579="")),1,0)</f>
        <v>0</v>
      </c>
      <c r="Y579" s="183" t="n">
        <f aca="false">IF(AND(OR($F579="Analogy",$F579="Assumed",$F579="Derived（待改公式）",$F579="Derived（公式）"),OR($N579="—",$N579="",$N579=0)),1,0)</f>
        <v>0</v>
      </c>
      <c r="Z579" s="183" t="n">
        <f aca="false">IF(AND($F579="Decision",OR($J579="—",$J579="")),1,0)</f>
        <v>0</v>
      </c>
      <c r="AA579" s="180" t="n">
        <f aca="false">IF(OR($J579="—",$J579=""),0,IF(COUNTIF(Decisions!$A$5:$A$300,$J579)=0,1,0))</f>
        <v>0</v>
      </c>
      <c r="AB579" s="183" t="n">
        <f aca="false">IF(AND($F579="原始數據",$S579&lt;&gt;"Active"),1,0)</f>
        <v>0</v>
      </c>
      <c r="AC579" s="183" t="n">
        <f aca="false">IF(AND(ISNUMBER($K579),ISNUMBER($L579),ISNUMBER($Q579)),IF(OR($Q579&lt;MIN($K579,$L579),$Q579&gt;MAX($K579,$L579)),1,0),0)</f>
        <v>0</v>
      </c>
      <c r="AD579" s="183" t="n">
        <f aca="false">IF(AND(ISNUMBER($T579),$P579="高"),IF($T579=3,1,0),0)</f>
        <v>0</v>
      </c>
      <c r="AE579" s="183" t="n">
        <f aca="false">IF($S579="不存在",1,0)</f>
        <v>0</v>
      </c>
      <c r="AF579" s="34" t="str">
        <f aca="false">IF(OR($H579="—",$H579=""),"—",MATCH($H579,IDX_SrcID,0))</f>
        <v>—</v>
      </c>
    </row>
    <row r="580" customFormat="false" ht="26.25" hidden="false" customHeight="true" outlineLevel="0" collapsed="false">
      <c r="A580" s="35" t="s">
        <v>4241</v>
      </c>
      <c r="B580" s="209" t="s">
        <v>4237</v>
      </c>
      <c r="C580" s="35" t="s">
        <v>4238</v>
      </c>
      <c r="D580" s="35" t="s">
        <v>2836</v>
      </c>
      <c r="E580" s="18" t="s">
        <v>4242</v>
      </c>
      <c r="F580" s="35" t="s">
        <v>72</v>
      </c>
      <c r="G580" s="209" t="s">
        <v>57</v>
      </c>
      <c r="H580" s="35" t="s">
        <v>571</v>
      </c>
      <c r="I580" s="6" t="s">
        <v>571</v>
      </c>
      <c r="J580" s="35" t="s">
        <v>571</v>
      </c>
      <c r="K580" s="179" t="n">
        <f aca="false">Alloc_In!D6</f>
        <v>1</v>
      </c>
      <c r="L580" s="179" t="n">
        <f aca="false">Alloc_In!E6</f>
        <v>2</v>
      </c>
      <c r="M580" s="35" t="s">
        <v>571</v>
      </c>
      <c r="N580" s="6" t="s">
        <v>4243</v>
      </c>
      <c r="O580" s="6" t="s">
        <v>571</v>
      </c>
      <c r="P580" s="34" t="s">
        <v>1100</v>
      </c>
      <c r="Q580" s="179" t="n">
        <f aca="false">Alloc_In!C6</f>
        <v>1</v>
      </c>
      <c r="R580" s="35" t="s">
        <v>571</v>
      </c>
      <c r="S580" s="34" t="str">
        <f aca="false">IF(ISNUMBER($AF580),INDEX(IDX_SrcStat,$AF580),"—")</f>
        <v>—</v>
      </c>
      <c r="T580" s="34" t="str">
        <f aca="false">IF(ISNUMBER($AF580),INDEX(IDX_SrcGrade,$AF580),"—")</f>
        <v>—</v>
      </c>
      <c r="U580" s="34" t="s">
        <v>2683</v>
      </c>
      <c r="V580" s="183" t="n">
        <f aca="false">IF(AND($F580="原始數據",$U580&lt;&gt;"連結 SRC"),1,0)</f>
        <v>0</v>
      </c>
      <c r="W580" s="183" t="n">
        <f aca="false">IF(AND($F580="Analogy",OR($H580="—",$H580="")),1,0)</f>
        <v>0</v>
      </c>
      <c r="X580" s="183" t="n">
        <f aca="false">IF(AND(OR($F580="Analogy",$F580="Assumed"),$G580&lt;&gt;"低",$G580&lt;&gt;"高",NOT(ISNUMBER($K580)),NOT(ISNUMBER($L580)),OR($M580="—",$M580="")),1,0)</f>
        <v>0</v>
      </c>
      <c r="Y580" s="183" t="n">
        <f aca="false">IF(AND(OR($F580="Analogy",$F580="Assumed",$F580="Derived（待改公式）",$F580="Derived（公式）"),OR($N580="—",$N580="",$N580=0)),1,0)</f>
        <v>0</v>
      </c>
      <c r="Z580" s="183" t="n">
        <f aca="false">IF(AND($F580="Decision",OR($J580="—",$J580="")),1,0)</f>
        <v>0</v>
      </c>
      <c r="AA580" s="180" t="n">
        <f aca="false">IF(OR($J580="—",$J580=""),0,IF(COUNTIF(Decisions!$A$5:$A$300,$J580)=0,1,0))</f>
        <v>0</v>
      </c>
      <c r="AB580" s="183" t="n">
        <f aca="false">IF(AND($F580="原始數據",$S580&lt;&gt;"Active"),1,0)</f>
        <v>0</v>
      </c>
      <c r="AC580" s="183" t="n">
        <f aca="false">IF(AND(ISNUMBER($K580),ISNUMBER($L580),ISNUMBER($Q580)),IF(OR($Q580&lt;MIN($K580,$L580),$Q580&gt;MAX($K580,$L580)),1,0),0)</f>
        <v>0</v>
      </c>
      <c r="AD580" s="183" t="n">
        <f aca="false">IF(AND(ISNUMBER($T580),$P580="高"),IF($T580=3,1,0),0)</f>
        <v>0</v>
      </c>
      <c r="AE580" s="183" t="n">
        <f aca="false">IF($S580="不存在",1,0)</f>
        <v>0</v>
      </c>
      <c r="AF580" s="34" t="str">
        <f aca="false">IF(OR($H580="—",$H580=""),"—",MATCH($H580,IDX_SrcID,0))</f>
        <v>—</v>
      </c>
    </row>
    <row r="581" customFormat="false" ht="26.25" hidden="false" customHeight="true" outlineLevel="0" collapsed="false">
      <c r="A581" s="35" t="s">
        <v>4244</v>
      </c>
      <c r="B581" s="209" t="s">
        <v>4237</v>
      </c>
      <c r="C581" s="35" t="s">
        <v>4238</v>
      </c>
      <c r="D581" s="35" t="s">
        <v>4245</v>
      </c>
      <c r="E581" s="18" t="s">
        <v>4242</v>
      </c>
      <c r="F581" s="35" t="s">
        <v>72</v>
      </c>
      <c r="G581" s="209" t="s">
        <v>3739</v>
      </c>
      <c r="H581" s="35" t="s">
        <v>571</v>
      </c>
      <c r="I581" s="6" t="s">
        <v>571</v>
      </c>
      <c r="J581" s="35" t="s">
        <v>571</v>
      </c>
      <c r="K581" s="209"/>
      <c r="L581" s="209"/>
      <c r="M581" s="35" t="s">
        <v>4246</v>
      </c>
      <c r="N581" s="6" t="s">
        <v>4243</v>
      </c>
      <c r="O581" s="6" t="s">
        <v>571</v>
      </c>
      <c r="P581" s="35" t="s">
        <v>571</v>
      </c>
      <c r="Q581" s="182" t="s">
        <v>571</v>
      </c>
      <c r="R581" s="35" t="s">
        <v>571</v>
      </c>
      <c r="S581" s="34" t="str">
        <f aca="false">IF(ISNUMBER($AF581),INDEX(IDX_SrcStat,$AF581),"—")</f>
        <v>—</v>
      </c>
      <c r="T581" s="34" t="str">
        <f aca="false">IF(ISNUMBER($AF581),INDEX(IDX_SrcGrade,$AF581),"—")</f>
        <v>—</v>
      </c>
      <c r="U581" s="35" t="s">
        <v>571</v>
      </c>
      <c r="V581" s="183" t="n">
        <f aca="false">IF(AND($F581="原始數據",$U581&lt;&gt;"連結 SRC"),1,0)</f>
        <v>0</v>
      </c>
      <c r="W581" s="183" t="n">
        <f aca="false">IF(AND($F581="Analogy",OR($H581="—",$H581="")),1,0)</f>
        <v>0</v>
      </c>
      <c r="X581" s="183" t="n">
        <f aca="false">IF(AND(OR($F581="Analogy",$F581="Assumed"),$G581&lt;&gt;"低",$G581&lt;&gt;"高",NOT(ISNUMBER($K581)),NOT(ISNUMBER($L581)),OR($M581="—",$M581="")),1,0)</f>
        <v>0</v>
      </c>
      <c r="Y581" s="183" t="n">
        <f aca="false">IF(AND(OR($F581="Analogy",$F581="Assumed",$F581="Derived（待改公式）",$F581="Derived（公式）"),OR($N581="—",$N581="",$N581=0)),1,0)</f>
        <v>0</v>
      </c>
      <c r="Z581" s="183" t="n">
        <f aca="false">IF(AND($F581="Decision",OR($J581="—",$J581="")),1,0)</f>
        <v>0</v>
      </c>
      <c r="AA581" s="180" t="n">
        <f aca="false">IF(OR($J581="—",$J581=""),0,IF(COUNTIF(Decisions!$A$5:$A$300,$J581)=0,1,0))</f>
        <v>0</v>
      </c>
      <c r="AB581" s="183" t="n">
        <f aca="false">IF(AND($F581="原始數據",$S581&lt;&gt;"Active"),1,0)</f>
        <v>0</v>
      </c>
      <c r="AC581" s="183" t="n">
        <f aca="false">IF(AND(ISNUMBER($K581),ISNUMBER($L581),ISNUMBER($Q581)),IF(OR($Q581&lt;MIN($K581,$L581),$Q581&gt;MAX($K581,$L581)),1,0),0)</f>
        <v>0</v>
      </c>
      <c r="AD581" s="183" t="n">
        <f aca="false">IF(AND(ISNUMBER($T581),$P581="高"),IF($T581=3,1,0),0)</f>
        <v>0</v>
      </c>
      <c r="AE581" s="183" t="n">
        <f aca="false">IF($S581="不存在",1,0)</f>
        <v>0</v>
      </c>
      <c r="AF581" s="34" t="str">
        <f aca="false">IF(OR($H581="—",$H581=""),"—",MATCH($H581,IDX_SrcID,0))</f>
        <v>—</v>
      </c>
    </row>
    <row r="582" customFormat="false" ht="15" hidden="false" customHeight="true" outlineLevel="0" collapsed="false">
      <c r="A582" s="35" t="s">
        <v>4247</v>
      </c>
      <c r="B582" s="209" t="s">
        <v>4237</v>
      </c>
      <c r="C582" s="35" t="s">
        <v>4238</v>
      </c>
      <c r="D582" s="35" t="s">
        <v>3160</v>
      </c>
      <c r="E582" s="18" t="s">
        <v>4248</v>
      </c>
      <c r="F582" s="35" t="s">
        <v>72</v>
      </c>
      <c r="G582" s="209" t="s">
        <v>57</v>
      </c>
      <c r="H582" s="35" t="s">
        <v>571</v>
      </c>
      <c r="I582" s="6" t="s">
        <v>571</v>
      </c>
      <c r="J582" s="35" t="s">
        <v>571</v>
      </c>
      <c r="K582" s="179" t="n">
        <f aca="false">Alloc_In!D7</f>
        <v>0</v>
      </c>
      <c r="L582" s="179" t="n">
        <f aca="false">Alloc_In!E7</f>
        <v>4</v>
      </c>
      <c r="M582" s="35" t="s">
        <v>571</v>
      </c>
      <c r="N582" s="6" t="s">
        <v>4249</v>
      </c>
      <c r="O582" s="6" t="s">
        <v>571</v>
      </c>
      <c r="P582" s="34" t="s">
        <v>2738</v>
      </c>
      <c r="Q582" s="179" t="n">
        <f aca="false">Alloc_In!C7</f>
        <v>2</v>
      </c>
      <c r="R582" s="35" t="s">
        <v>571</v>
      </c>
      <c r="S582" s="34" t="str">
        <f aca="false">IF(ISNUMBER($AF582),INDEX(IDX_SrcStat,$AF582),"—")</f>
        <v>—</v>
      </c>
      <c r="T582" s="34" t="str">
        <f aca="false">IF(ISNUMBER($AF582),INDEX(IDX_SrcGrade,$AF582),"—")</f>
        <v>—</v>
      </c>
      <c r="U582" s="34" t="s">
        <v>2683</v>
      </c>
      <c r="V582" s="183" t="n">
        <f aca="false">IF(AND($F582="原始數據",$U582&lt;&gt;"連結 SRC"),1,0)</f>
        <v>0</v>
      </c>
      <c r="W582" s="183" t="n">
        <f aca="false">IF(AND($F582="Analogy",OR($H582="—",$H582="")),1,0)</f>
        <v>0</v>
      </c>
      <c r="X582" s="183" t="n">
        <f aca="false">IF(AND(OR($F582="Analogy",$F582="Assumed"),$G582&lt;&gt;"低",$G582&lt;&gt;"高",NOT(ISNUMBER($K582)),NOT(ISNUMBER($L582)),OR($M582="—",$M582="")),1,0)</f>
        <v>0</v>
      </c>
      <c r="Y582" s="183" t="n">
        <f aca="false">IF(AND(OR($F582="Analogy",$F582="Assumed",$F582="Derived（待改公式）",$F582="Derived（公式）"),OR($N582="—",$N582="",$N582=0)),1,0)</f>
        <v>0</v>
      </c>
      <c r="Z582" s="183" t="n">
        <f aca="false">IF(AND($F582="Decision",OR($J582="—",$J582="")),1,0)</f>
        <v>0</v>
      </c>
      <c r="AA582" s="180" t="n">
        <f aca="false">IF(OR($J582="—",$J582=""),0,IF(COUNTIF(Decisions!$A$5:$A$300,$J582)=0,1,0))</f>
        <v>0</v>
      </c>
      <c r="AB582" s="183" t="n">
        <f aca="false">IF(AND($F582="原始數據",$S582&lt;&gt;"Active"),1,0)</f>
        <v>0</v>
      </c>
      <c r="AC582" s="183" t="n">
        <f aca="false">IF(AND(ISNUMBER($K582),ISNUMBER($L582),ISNUMBER($Q582)),IF(OR($Q582&lt;MIN($K582,$L582),$Q582&gt;MAX($K582,$L582)),1,0),0)</f>
        <v>0</v>
      </c>
      <c r="AD582" s="183" t="n">
        <f aca="false">IF(AND(ISNUMBER($T582),$P582="高"),IF($T582=3,1,0),0)</f>
        <v>0</v>
      </c>
      <c r="AE582" s="183" t="n">
        <f aca="false">IF($S582="不存在",1,0)</f>
        <v>0</v>
      </c>
      <c r="AF582" s="34" t="str">
        <f aca="false">IF(OR($H582="—",$H582=""),"—",MATCH($H582,IDX_SrcID,0))</f>
        <v>—</v>
      </c>
    </row>
    <row r="583" customFormat="false" ht="15" hidden="false" customHeight="true" outlineLevel="0" collapsed="false">
      <c r="A583" s="35" t="s">
        <v>4250</v>
      </c>
      <c r="B583" s="209" t="s">
        <v>4237</v>
      </c>
      <c r="C583" s="35" t="s">
        <v>4238</v>
      </c>
      <c r="D583" s="35" t="s">
        <v>4251</v>
      </c>
      <c r="E583" s="18" t="s">
        <v>4248</v>
      </c>
      <c r="F583" s="35" t="s">
        <v>72</v>
      </c>
      <c r="G583" s="209" t="s">
        <v>3739</v>
      </c>
      <c r="H583" s="35" t="s">
        <v>571</v>
      </c>
      <c r="I583" s="6" t="s">
        <v>571</v>
      </c>
      <c r="J583" s="35" t="s">
        <v>571</v>
      </c>
      <c r="K583" s="209"/>
      <c r="L583" s="209"/>
      <c r="M583" s="35" t="s">
        <v>4252</v>
      </c>
      <c r="N583" s="6" t="s">
        <v>4249</v>
      </c>
      <c r="O583" s="6" t="s">
        <v>571</v>
      </c>
      <c r="P583" s="35" t="s">
        <v>571</v>
      </c>
      <c r="Q583" s="182" t="s">
        <v>571</v>
      </c>
      <c r="R583" s="35" t="s">
        <v>571</v>
      </c>
      <c r="S583" s="34" t="str">
        <f aca="false">IF(ISNUMBER($AF583),INDEX(IDX_SrcStat,$AF583),"—")</f>
        <v>—</v>
      </c>
      <c r="T583" s="34" t="str">
        <f aca="false">IF(ISNUMBER($AF583),INDEX(IDX_SrcGrade,$AF583),"—")</f>
        <v>—</v>
      </c>
      <c r="U583" s="35" t="s">
        <v>571</v>
      </c>
      <c r="V583" s="183" t="n">
        <f aca="false">IF(AND($F583="原始數據",$U583&lt;&gt;"連結 SRC"),1,0)</f>
        <v>0</v>
      </c>
      <c r="W583" s="183" t="n">
        <f aca="false">IF(AND($F583="Analogy",OR($H583="—",$H583="")),1,0)</f>
        <v>0</v>
      </c>
      <c r="X583" s="183" t="n">
        <f aca="false">IF(AND(OR($F583="Analogy",$F583="Assumed"),$G583&lt;&gt;"低",$G583&lt;&gt;"高",NOT(ISNUMBER($K583)),NOT(ISNUMBER($L583)),OR($M583="—",$M583="")),1,0)</f>
        <v>0</v>
      </c>
      <c r="Y583" s="183" t="n">
        <f aca="false">IF(AND(OR($F583="Analogy",$F583="Assumed",$F583="Derived（待改公式）",$F583="Derived（公式）"),OR($N583="—",$N583="",$N583=0)),1,0)</f>
        <v>0</v>
      </c>
      <c r="Z583" s="183" t="n">
        <f aca="false">IF(AND($F583="Decision",OR($J583="—",$J583="")),1,0)</f>
        <v>0</v>
      </c>
      <c r="AA583" s="180" t="n">
        <f aca="false">IF(OR($J583="—",$J583=""),0,IF(COUNTIF(Decisions!$A$5:$A$300,$J583)=0,1,0))</f>
        <v>0</v>
      </c>
      <c r="AB583" s="183" t="n">
        <f aca="false">IF(AND($F583="原始數據",$S583&lt;&gt;"Active"),1,0)</f>
        <v>0</v>
      </c>
      <c r="AC583" s="183" t="n">
        <f aca="false">IF(AND(ISNUMBER($K583),ISNUMBER($L583),ISNUMBER($Q583)),IF(OR($Q583&lt;MIN($K583,$L583),$Q583&gt;MAX($K583,$L583)),1,0),0)</f>
        <v>0</v>
      </c>
      <c r="AD583" s="183" t="n">
        <f aca="false">IF(AND(ISNUMBER($T583),$P583="高"),IF($T583=3,1,0),0)</f>
        <v>0</v>
      </c>
      <c r="AE583" s="183" t="n">
        <f aca="false">IF($S583="不存在",1,0)</f>
        <v>0</v>
      </c>
      <c r="AF583" s="34" t="str">
        <f aca="false">IF(OR($H583="—",$H583=""),"—",MATCH($H583,IDX_SrcID,0))</f>
        <v>—</v>
      </c>
    </row>
    <row r="584" customFormat="false" ht="26.25" hidden="false" customHeight="true" outlineLevel="0" collapsed="false">
      <c r="A584" s="35" t="s">
        <v>4253</v>
      </c>
      <c r="B584" s="209" t="s">
        <v>4237</v>
      </c>
      <c r="C584" s="35" t="s">
        <v>4238</v>
      </c>
      <c r="D584" s="35" t="s">
        <v>2849</v>
      </c>
      <c r="E584" s="18" t="s">
        <v>4254</v>
      </c>
      <c r="F584" s="35" t="s">
        <v>72</v>
      </c>
      <c r="G584" s="209" t="s">
        <v>57</v>
      </c>
      <c r="H584" s="35" t="s">
        <v>571</v>
      </c>
      <c r="I584" s="6" t="s">
        <v>571</v>
      </c>
      <c r="J584" s="35" t="s">
        <v>571</v>
      </c>
      <c r="K584" s="179" t="n">
        <f aca="false">Alloc_In!D8</f>
        <v>0.5</v>
      </c>
      <c r="L584" s="179" t="n">
        <f aca="false">Alloc_In!E8</f>
        <v>7</v>
      </c>
      <c r="M584" s="35" t="s">
        <v>571</v>
      </c>
      <c r="N584" s="6" t="s">
        <v>4255</v>
      </c>
      <c r="O584" s="6" t="s">
        <v>571</v>
      </c>
      <c r="P584" s="34" t="s">
        <v>1100</v>
      </c>
      <c r="Q584" s="179" t="n">
        <f aca="false">Alloc_In!C8</f>
        <v>1</v>
      </c>
      <c r="R584" s="35" t="s">
        <v>571</v>
      </c>
      <c r="S584" s="34" t="str">
        <f aca="false">IF(ISNUMBER($AF584),INDEX(IDX_SrcStat,$AF584),"—")</f>
        <v>—</v>
      </c>
      <c r="T584" s="34" t="str">
        <f aca="false">IF(ISNUMBER($AF584),INDEX(IDX_SrcGrade,$AF584),"—")</f>
        <v>—</v>
      </c>
      <c r="U584" s="34" t="s">
        <v>2683</v>
      </c>
      <c r="V584" s="183" t="n">
        <f aca="false">IF(AND($F584="原始數據",$U584&lt;&gt;"連結 SRC"),1,0)</f>
        <v>0</v>
      </c>
      <c r="W584" s="183" t="n">
        <f aca="false">IF(AND($F584="Analogy",OR($H584="—",$H584="")),1,0)</f>
        <v>0</v>
      </c>
      <c r="X584" s="183" t="n">
        <f aca="false">IF(AND(OR($F584="Analogy",$F584="Assumed"),$G584&lt;&gt;"低",$G584&lt;&gt;"高",NOT(ISNUMBER($K584)),NOT(ISNUMBER($L584)),OR($M584="—",$M584="")),1,0)</f>
        <v>0</v>
      </c>
      <c r="Y584" s="183" t="n">
        <f aca="false">IF(AND(OR($F584="Analogy",$F584="Assumed",$F584="Derived（待改公式）",$F584="Derived（公式）"),OR($N584="—",$N584="",$N584=0)),1,0)</f>
        <v>0</v>
      </c>
      <c r="Z584" s="183" t="n">
        <f aca="false">IF(AND($F584="Decision",OR($J584="—",$J584="")),1,0)</f>
        <v>0</v>
      </c>
      <c r="AA584" s="180" t="n">
        <f aca="false">IF(OR($J584="—",$J584=""),0,IF(COUNTIF(Decisions!$A$5:$A$300,$J584)=0,1,0))</f>
        <v>0</v>
      </c>
      <c r="AB584" s="183" t="n">
        <f aca="false">IF(AND($F584="原始數據",$S584&lt;&gt;"Active"),1,0)</f>
        <v>0</v>
      </c>
      <c r="AC584" s="183" t="n">
        <f aca="false">IF(AND(ISNUMBER($K584),ISNUMBER($L584),ISNUMBER($Q584)),IF(OR($Q584&lt;MIN($K584,$L584),$Q584&gt;MAX($K584,$L584)),1,0),0)</f>
        <v>0</v>
      </c>
      <c r="AD584" s="183" t="n">
        <f aca="false">IF(AND(ISNUMBER($T584),$P584="高"),IF($T584=3,1,0),0)</f>
        <v>0</v>
      </c>
      <c r="AE584" s="183" t="n">
        <f aca="false">IF($S584="不存在",1,0)</f>
        <v>0</v>
      </c>
      <c r="AF584" s="34" t="str">
        <f aca="false">IF(OR($H584="—",$H584=""),"—",MATCH($H584,IDX_SrcID,0))</f>
        <v>—</v>
      </c>
    </row>
    <row r="585" customFormat="false" ht="26.25" hidden="false" customHeight="true" outlineLevel="0" collapsed="false">
      <c r="A585" s="35" t="s">
        <v>4256</v>
      </c>
      <c r="B585" s="209" t="s">
        <v>4237</v>
      </c>
      <c r="C585" s="35" t="s">
        <v>4238</v>
      </c>
      <c r="D585" s="35" t="s">
        <v>4257</v>
      </c>
      <c r="E585" s="18" t="s">
        <v>4254</v>
      </c>
      <c r="F585" s="35" t="s">
        <v>72</v>
      </c>
      <c r="G585" s="209" t="s">
        <v>3739</v>
      </c>
      <c r="H585" s="35" t="s">
        <v>571</v>
      </c>
      <c r="I585" s="6" t="s">
        <v>571</v>
      </c>
      <c r="J585" s="35" t="s">
        <v>571</v>
      </c>
      <c r="K585" s="209"/>
      <c r="L585" s="209"/>
      <c r="M585" s="35" t="s">
        <v>4258</v>
      </c>
      <c r="N585" s="6" t="s">
        <v>4255</v>
      </c>
      <c r="O585" s="6" t="s">
        <v>571</v>
      </c>
      <c r="P585" s="35" t="s">
        <v>571</v>
      </c>
      <c r="Q585" s="182" t="s">
        <v>571</v>
      </c>
      <c r="R585" s="35" t="s">
        <v>571</v>
      </c>
      <c r="S585" s="34" t="str">
        <f aca="false">IF(ISNUMBER($AF585),INDEX(IDX_SrcStat,$AF585),"—")</f>
        <v>—</v>
      </c>
      <c r="T585" s="34" t="str">
        <f aca="false">IF(ISNUMBER($AF585),INDEX(IDX_SrcGrade,$AF585),"—")</f>
        <v>—</v>
      </c>
      <c r="U585" s="35" t="s">
        <v>571</v>
      </c>
      <c r="V585" s="183" t="n">
        <f aca="false">IF(AND($F585="原始數據",$U585&lt;&gt;"連結 SRC"),1,0)</f>
        <v>0</v>
      </c>
      <c r="W585" s="183" t="n">
        <f aca="false">IF(AND($F585="Analogy",OR($H585="—",$H585="")),1,0)</f>
        <v>0</v>
      </c>
      <c r="X585" s="183" t="n">
        <f aca="false">IF(AND(OR($F585="Analogy",$F585="Assumed"),$G585&lt;&gt;"低",$G585&lt;&gt;"高",NOT(ISNUMBER($K585)),NOT(ISNUMBER($L585)),OR($M585="—",$M585="")),1,0)</f>
        <v>0</v>
      </c>
      <c r="Y585" s="183" t="n">
        <f aca="false">IF(AND(OR($F585="Analogy",$F585="Assumed",$F585="Derived（待改公式）",$F585="Derived（公式）"),OR($N585="—",$N585="",$N585=0)),1,0)</f>
        <v>0</v>
      </c>
      <c r="Z585" s="183" t="n">
        <f aca="false">IF(AND($F585="Decision",OR($J585="—",$J585="")),1,0)</f>
        <v>0</v>
      </c>
      <c r="AA585" s="180" t="n">
        <f aca="false">IF(OR($J585="—",$J585=""),0,IF(COUNTIF(Decisions!$A$5:$A$300,$J585)=0,1,0))</f>
        <v>0</v>
      </c>
      <c r="AB585" s="183" t="n">
        <f aca="false">IF(AND($F585="原始數據",$S585&lt;&gt;"Active"),1,0)</f>
        <v>0</v>
      </c>
      <c r="AC585" s="183" t="n">
        <f aca="false">IF(AND(ISNUMBER($K585),ISNUMBER($L585),ISNUMBER($Q585)),IF(OR($Q585&lt;MIN($K585,$L585),$Q585&gt;MAX($K585,$L585)),1,0),0)</f>
        <v>0</v>
      </c>
      <c r="AD585" s="183" t="n">
        <f aca="false">IF(AND(ISNUMBER($T585),$P585="高"),IF($T585=3,1,0),0)</f>
        <v>0</v>
      </c>
      <c r="AE585" s="183" t="n">
        <f aca="false">IF($S585="不存在",1,0)</f>
        <v>0</v>
      </c>
      <c r="AF585" s="34" t="str">
        <f aca="false">IF(OR($H585="—",$H585=""),"—",MATCH($H585,IDX_SrcID,0))</f>
        <v>—</v>
      </c>
    </row>
    <row r="586" customFormat="false" ht="26.25" hidden="false" customHeight="true" outlineLevel="0" collapsed="false">
      <c r="A586" s="35" t="s">
        <v>4259</v>
      </c>
      <c r="B586" s="209" t="s">
        <v>4237</v>
      </c>
      <c r="C586" s="35" t="s">
        <v>4238</v>
      </c>
      <c r="D586" s="35" t="s">
        <v>2932</v>
      </c>
      <c r="E586" s="18" t="s">
        <v>4260</v>
      </c>
      <c r="F586" s="35" t="s">
        <v>72</v>
      </c>
      <c r="G586" s="209" t="s">
        <v>57</v>
      </c>
      <c r="H586" s="35" t="s">
        <v>571</v>
      </c>
      <c r="I586" s="6" t="s">
        <v>571</v>
      </c>
      <c r="J586" s="35" t="s">
        <v>571</v>
      </c>
      <c r="K586" s="174" t="n">
        <f aca="false">Alloc_In!D13</f>
        <v>0</v>
      </c>
      <c r="L586" s="174" t="n">
        <f aca="false">Alloc_In!E13</f>
        <v>1</v>
      </c>
      <c r="M586" s="35" t="s">
        <v>571</v>
      </c>
      <c r="N586" s="6" t="s">
        <v>4261</v>
      </c>
      <c r="O586" s="6" t="s">
        <v>571</v>
      </c>
      <c r="P586" s="34" t="s">
        <v>2682</v>
      </c>
      <c r="Q586" s="174" t="n">
        <f aca="false">Alloc_In!C13</f>
        <v>0</v>
      </c>
      <c r="R586" s="35" t="s">
        <v>571</v>
      </c>
      <c r="S586" s="34" t="str">
        <f aca="false">IF(ISNUMBER($AF586),INDEX(IDX_SrcStat,$AF586),"—")</f>
        <v>—</v>
      </c>
      <c r="T586" s="34" t="str">
        <f aca="false">IF(ISNUMBER($AF586),INDEX(IDX_SrcGrade,$AF586),"—")</f>
        <v>—</v>
      </c>
      <c r="U586" s="34" t="s">
        <v>2683</v>
      </c>
      <c r="V586" s="183" t="n">
        <f aca="false">IF(AND($F586="原始數據",$U586&lt;&gt;"連結 SRC"),1,0)</f>
        <v>0</v>
      </c>
      <c r="W586" s="183" t="n">
        <f aca="false">IF(AND($F586="Analogy",OR($H586="—",$H586="")),1,0)</f>
        <v>0</v>
      </c>
      <c r="X586" s="183" t="n">
        <f aca="false">IF(AND(OR($F586="Analogy",$F586="Assumed"),$G586&lt;&gt;"低",$G586&lt;&gt;"高",NOT(ISNUMBER($K586)),NOT(ISNUMBER($L586)),OR($M586="—",$M586="")),1,0)</f>
        <v>0</v>
      </c>
      <c r="Y586" s="183" t="n">
        <f aca="false">IF(AND(OR($F586="Analogy",$F586="Assumed",$F586="Derived（待改公式）",$F586="Derived（公式）"),OR($N586="—",$N586="",$N586=0)),1,0)</f>
        <v>0</v>
      </c>
      <c r="Z586" s="183" t="n">
        <f aca="false">IF(AND($F586="Decision",OR($J586="—",$J586="")),1,0)</f>
        <v>0</v>
      </c>
      <c r="AA586" s="180" t="n">
        <f aca="false">IF(OR($J586="—",$J586=""),0,IF(COUNTIF(Decisions!$A$5:$A$300,$J586)=0,1,0))</f>
        <v>0</v>
      </c>
      <c r="AB586" s="183" t="n">
        <f aca="false">IF(AND($F586="原始數據",$S586&lt;&gt;"Active"),1,0)</f>
        <v>0</v>
      </c>
      <c r="AC586" s="183" t="n">
        <f aca="false">IF(AND(ISNUMBER($K586),ISNUMBER($L586),ISNUMBER($Q586)),IF(OR($Q586&lt;MIN($K586,$L586),$Q586&gt;MAX($K586,$L586)),1,0),0)</f>
        <v>0</v>
      </c>
      <c r="AD586" s="183" t="n">
        <f aca="false">IF(AND(ISNUMBER($T586),$P586="高"),IF($T586=3,1,0),0)</f>
        <v>0</v>
      </c>
      <c r="AE586" s="183" t="n">
        <f aca="false">IF($S586="不存在",1,0)</f>
        <v>0</v>
      </c>
      <c r="AF586" s="34" t="str">
        <f aca="false">IF(OR($H586="—",$H586=""),"—",MATCH($H586,IDX_SrcID,0))</f>
        <v>—</v>
      </c>
    </row>
    <row r="587" customFormat="false" ht="26.25" hidden="false" customHeight="true" outlineLevel="0" collapsed="false">
      <c r="A587" s="35" t="s">
        <v>4262</v>
      </c>
      <c r="B587" s="209" t="s">
        <v>4237</v>
      </c>
      <c r="C587" s="35" t="s">
        <v>4238</v>
      </c>
      <c r="D587" s="35" t="s">
        <v>3745</v>
      </c>
      <c r="E587" s="18" t="s">
        <v>4260</v>
      </c>
      <c r="F587" s="35" t="s">
        <v>72</v>
      </c>
      <c r="G587" s="209" t="s">
        <v>3739</v>
      </c>
      <c r="H587" s="35" t="s">
        <v>571</v>
      </c>
      <c r="I587" s="6" t="s">
        <v>571</v>
      </c>
      <c r="J587" s="35" t="s">
        <v>571</v>
      </c>
      <c r="K587" s="209"/>
      <c r="L587" s="209"/>
      <c r="M587" s="35" t="s">
        <v>3746</v>
      </c>
      <c r="N587" s="6" t="s">
        <v>4261</v>
      </c>
      <c r="O587" s="6" t="s">
        <v>571</v>
      </c>
      <c r="P587" s="35" t="s">
        <v>571</v>
      </c>
      <c r="Q587" s="182" t="s">
        <v>571</v>
      </c>
      <c r="R587" s="35" t="s">
        <v>571</v>
      </c>
      <c r="S587" s="34" t="str">
        <f aca="false">IF(ISNUMBER($AF587),INDEX(IDX_SrcStat,$AF587),"—")</f>
        <v>—</v>
      </c>
      <c r="T587" s="34" t="str">
        <f aca="false">IF(ISNUMBER($AF587),INDEX(IDX_SrcGrade,$AF587),"—")</f>
        <v>—</v>
      </c>
      <c r="U587" s="35" t="s">
        <v>571</v>
      </c>
      <c r="V587" s="183" t="n">
        <f aca="false">IF(AND($F587="原始數據",$U587&lt;&gt;"連結 SRC"),1,0)</f>
        <v>0</v>
      </c>
      <c r="W587" s="183" t="n">
        <f aca="false">IF(AND($F587="Analogy",OR($H587="—",$H587="")),1,0)</f>
        <v>0</v>
      </c>
      <c r="X587" s="183" t="n">
        <f aca="false">IF(AND(OR($F587="Analogy",$F587="Assumed"),$G587&lt;&gt;"低",$G587&lt;&gt;"高",NOT(ISNUMBER($K587)),NOT(ISNUMBER($L587)),OR($M587="—",$M587="")),1,0)</f>
        <v>0</v>
      </c>
      <c r="Y587" s="183" t="n">
        <f aca="false">IF(AND(OR($F587="Analogy",$F587="Assumed",$F587="Derived（待改公式）",$F587="Derived（公式）"),OR($N587="—",$N587="",$N587=0)),1,0)</f>
        <v>0</v>
      </c>
      <c r="Z587" s="183" t="n">
        <f aca="false">IF(AND($F587="Decision",OR($J587="—",$J587="")),1,0)</f>
        <v>0</v>
      </c>
      <c r="AA587" s="180" t="n">
        <f aca="false">IF(OR($J587="—",$J587=""),0,IF(COUNTIF(Decisions!$A$5:$A$300,$J587)=0,1,0))</f>
        <v>0</v>
      </c>
      <c r="AB587" s="183" t="n">
        <f aca="false">IF(AND($F587="原始數據",$S587&lt;&gt;"Active"),1,0)</f>
        <v>0</v>
      </c>
      <c r="AC587" s="183" t="n">
        <f aca="false">IF(AND(ISNUMBER($K587),ISNUMBER($L587),ISNUMBER($Q587)),IF(OR($Q587&lt;MIN($K587,$L587),$Q587&gt;MAX($K587,$L587)),1,0),0)</f>
        <v>0</v>
      </c>
      <c r="AD587" s="183" t="n">
        <f aca="false">IF(AND(ISNUMBER($T587),$P587="高"),IF($T587=3,1,0),0)</f>
        <v>0</v>
      </c>
      <c r="AE587" s="183" t="n">
        <f aca="false">IF($S587="不存在",1,0)</f>
        <v>0</v>
      </c>
      <c r="AF587" s="34" t="str">
        <f aca="false">IF(OR($H587="—",$H587=""),"—",MATCH($H587,IDX_SrcID,0))</f>
        <v>—</v>
      </c>
    </row>
    <row r="588" customFormat="false" ht="26.25" hidden="false" customHeight="true" outlineLevel="0" collapsed="false">
      <c r="A588" s="35" t="s">
        <v>4263</v>
      </c>
      <c r="B588" s="209" t="s">
        <v>4237</v>
      </c>
      <c r="C588" s="35" t="s">
        <v>4238</v>
      </c>
      <c r="D588" s="35" t="s">
        <v>3181</v>
      </c>
      <c r="E588" s="6" t="s">
        <v>1692</v>
      </c>
      <c r="F588" s="35" t="s">
        <v>72</v>
      </c>
      <c r="G588" s="209" t="s">
        <v>57</v>
      </c>
      <c r="H588" s="35" t="s">
        <v>4264</v>
      </c>
      <c r="I588" s="18" t="s">
        <v>4265</v>
      </c>
      <c r="J588" s="35" t="s">
        <v>571</v>
      </c>
      <c r="K588" s="179" t="n">
        <f aca="false">Alloc_In!D14</f>
        <v>0.6</v>
      </c>
      <c r="L588" s="179" t="n">
        <f aca="false">Alloc_In!E14</f>
        <v>0.9</v>
      </c>
      <c r="M588" s="35" t="s">
        <v>571</v>
      </c>
      <c r="N588" s="6" t="s">
        <v>4266</v>
      </c>
      <c r="O588" s="6" t="s">
        <v>571</v>
      </c>
      <c r="P588" s="34" t="s">
        <v>2738</v>
      </c>
      <c r="Q588" s="179" t="n">
        <f aca="false">Alloc_In!C14</f>
        <v>0.75</v>
      </c>
      <c r="R588" s="182" t="n">
        <f aca="false">SRC_DEM_010</f>
        <v>6</v>
      </c>
      <c r="S588" s="34" t="str">
        <f aca="false">IF(ISNUMBER($AF588),INDEX(IDX_SrcStat,$AF588),"—")</f>
        <v>Active</v>
      </c>
      <c r="T588" s="34" t="n">
        <f aca="false">IF(ISNUMBER($AF588),INDEX(IDX_SrcGrade,$AF588),"—")</f>
        <v>2</v>
      </c>
      <c r="U588" s="34" t="s">
        <v>2683</v>
      </c>
      <c r="V588" s="183" t="n">
        <f aca="false">IF(AND($F588="原始數據",$U588&lt;&gt;"連結 SRC"),1,0)</f>
        <v>0</v>
      </c>
      <c r="W588" s="183" t="n">
        <f aca="false">IF(AND($F588="Analogy",OR($H588="—",$H588="")),1,0)</f>
        <v>0</v>
      </c>
      <c r="X588" s="183" t="n">
        <f aca="false">IF(AND(OR($F588="Analogy",$F588="Assumed"),$G588&lt;&gt;"低",$G588&lt;&gt;"高",NOT(ISNUMBER($K588)),NOT(ISNUMBER($L588)),OR($M588="—",$M588="")),1,0)</f>
        <v>0</v>
      </c>
      <c r="Y588" s="183" t="n">
        <f aca="false">IF(AND(OR($F588="Analogy",$F588="Assumed",$F588="Derived（待改公式）",$F588="Derived（公式）"),OR($N588="—",$N588="",$N588=0)),1,0)</f>
        <v>0</v>
      </c>
      <c r="Z588" s="183" t="n">
        <f aca="false">IF(AND($F588="Decision",OR($J588="—",$J588="")),1,0)</f>
        <v>0</v>
      </c>
      <c r="AA588" s="180" t="n">
        <f aca="false">IF(OR($J588="—",$J588=""),0,IF(COUNTIF(Decisions!$A$5:$A$300,$J588)=0,1,0))</f>
        <v>0</v>
      </c>
      <c r="AB588" s="183" t="n">
        <f aca="false">IF(AND($F588="原始數據",$S588&lt;&gt;"Active"),1,0)</f>
        <v>0</v>
      </c>
      <c r="AC588" s="183" t="n">
        <f aca="false">IF(AND(ISNUMBER($K588),ISNUMBER($L588),ISNUMBER($Q588)),IF(OR($Q588&lt;MIN($K588,$L588),$Q588&gt;MAX($K588,$L588)),1,0),0)</f>
        <v>0</v>
      </c>
      <c r="AD588" s="183" t="n">
        <f aca="false">IF(AND(ISNUMBER($T588),$P588="高"),IF($T588=3,1,0),0)</f>
        <v>0</v>
      </c>
      <c r="AE588" s="183" t="n">
        <f aca="false">IF($S588="不存在",1,0)</f>
        <v>0</v>
      </c>
      <c r="AF588" s="34" t="n">
        <f aca="false">IF(OR($H588="—",$H588=""),"—",MATCH($H588,IDX_SrcID,0))</f>
        <v>622</v>
      </c>
    </row>
    <row r="589" customFormat="false" ht="26.25" hidden="false" customHeight="true" outlineLevel="0" collapsed="false">
      <c r="A589" s="35" t="s">
        <v>4267</v>
      </c>
      <c r="B589" s="209" t="s">
        <v>4237</v>
      </c>
      <c r="C589" s="35" t="s">
        <v>4238</v>
      </c>
      <c r="D589" s="35" t="s">
        <v>3752</v>
      </c>
      <c r="E589" s="6" t="s">
        <v>1692</v>
      </c>
      <c r="F589" s="35" t="s">
        <v>72</v>
      </c>
      <c r="G589" s="209" t="s">
        <v>3739</v>
      </c>
      <c r="H589" s="35" t="s">
        <v>571</v>
      </c>
      <c r="I589" s="6" t="s">
        <v>571</v>
      </c>
      <c r="J589" s="35" t="s">
        <v>571</v>
      </c>
      <c r="K589" s="209"/>
      <c r="L589" s="209"/>
      <c r="M589" s="35" t="s">
        <v>3753</v>
      </c>
      <c r="N589" s="6" t="s">
        <v>4268</v>
      </c>
      <c r="O589" s="6" t="s">
        <v>571</v>
      </c>
      <c r="P589" s="35" t="s">
        <v>571</v>
      </c>
      <c r="Q589" s="182" t="s">
        <v>571</v>
      </c>
      <c r="R589" s="35" t="s">
        <v>571</v>
      </c>
      <c r="S589" s="34" t="str">
        <f aca="false">IF(ISNUMBER($AF589),INDEX(IDX_SrcStat,$AF589),"—")</f>
        <v>—</v>
      </c>
      <c r="T589" s="34" t="str">
        <f aca="false">IF(ISNUMBER($AF589),INDEX(IDX_SrcGrade,$AF589),"—")</f>
        <v>—</v>
      </c>
      <c r="U589" s="35" t="s">
        <v>571</v>
      </c>
      <c r="V589" s="183" t="n">
        <f aca="false">IF(AND($F589="原始數據",$U589&lt;&gt;"連結 SRC"),1,0)</f>
        <v>0</v>
      </c>
      <c r="W589" s="183" t="n">
        <f aca="false">IF(AND($F589="Analogy",OR($H589="—",$H589="")),1,0)</f>
        <v>0</v>
      </c>
      <c r="X589" s="183" t="n">
        <f aca="false">IF(AND(OR($F589="Analogy",$F589="Assumed"),$G589&lt;&gt;"低",$G589&lt;&gt;"高",NOT(ISNUMBER($K589)),NOT(ISNUMBER($L589)),OR($M589="—",$M589="")),1,0)</f>
        <v>0</v>
      </c>
      <c r="Y589" s="183" t="n">
        <f aca="false">IF(AND(OR($F589="Analogy",$F589="Assumed",$F589="Derived（待改公式）",$F589="Derived（公式）"),OR($N589="—",$N589="",$N589=0)),1,0)</f>
        <v>0</v>
      </c>
      <c r="Z589" s="183" t="n">
        <f aca="false">IF(AND($F589="Decision",OR($J589="—",$J589="")),1,0)</f>
        <v>0</v>
      </c>
      <c r="AA589" s="180" t="n">
        <f aca="false">IF(OR($J589="—",$J589=""),0,IF(COUNTIF(Decisions!$A$5:$A$300,$J589)=0,1,0))</f>
        <v>0</v>
      </c>
      <c r="AB589" s="183" t="n">
        <f aca="false">IF(AND($F589="原始數據",$S589&lt;&gt;"Active"),1,0)</f>
        <v>0</v>
      </c>
      <c r="AC589" s="183" t="n">
        <f aca="false">IF(AND(ISNUMBER($K589),ISNUMBER($L589),ISNUMBER($Q589)),IF(OR($Q589&lt;MIN($K589,$L589),$Q589&gt;MAX($K589,$L589)),1,0),0)</f>
        <v>0</v>
      </c>
      <c r="AD589" s="183" t="n">
        <f aca="false">IF(AND(ISNUMBER($T589),$P589="高"),IF($T589=3,1,0),0)</f>
        <v>0</v>
      </c>
      <c r="AE589" s="183" t="n">
        <f aca="false">IF($S589="不存在",1,0)</f>
        <v>0</v>
      </c>
      <c r="AF589" s="34" t="str">
        <f aca="false">IF(OR($H589="—",$H589=""),"—",MATCH($H589,IDX_SrcID,0))</f>
        <v>—</v>
      </c>
    </row>
    <row r="590" customFormat="false" ht="77.25" hidden="false" customHeight="true" outlineLevel="0" collapsed="false">
      <c r="A590" s="35" t="s">
        <v>4269</v>
      </c>
      <c r="B590" s="209" t="s">
        <v>4237</v>
      </c>
      <c r="C590" s="35" t="s">
        <v>4238</v>
      </c>
      <c r="D590" s="35" t="s">
        <v>3185</v>
      </c>
      <c r="E590" s="18" t="s">
        <v>4270</v>
      </c>
      <c r="F590" s="35" t="s">
        <v>72</v>
      </c>
      <c r="G590" s="209" t="s">
        <v>57</v>
      </c>
      <c r="H590" s="35" t="s">
        <v>4271</v>
      </c>
      <c r="I590" s="18" t="s">
        <v>4272</v>
      </c>
      <c r="J590" s="35" t="s">
        <v>571</v>
      </c>
      <c r="K590" s="40" t="n">
        <f aca="false">Alloc_In!D15</f>
        <v>1000</v>
      </c>
      <c r="L590" s="40" t="n">
        <f aca="false">Alloc_In!E15</f>
        <v>6000</v>
      </c>
      <c r="M590" s="35" t="s">
        <v>571</v>
      </c>
      <c r="N590" s="6" t="s">
        <v>4273</v>
      </c>
      <c r="O590" s="6" t="s">
        <v>571</v>
      </c>
      <c r="P590" s="34" t="s">
        <v>2738</v>
      </c>
      <c r="Q590" s="40" t="n">
        <f aca="false">Alloc_In!C15</f>
        <v>2000</v>
      </c>
      <c r="R590" s="182" t="n">
        <f aca="false">SRC_DEM_012</f>
        <v>2.5</v>
      </c>
      <c r="S590" s="34" t="str">
        <f aca="false">IF(ISNUMBER($AF590),INDEX(IDX_SrcStat,$AF590),"—")</f>
        <v>Active</v>
      </c>
      <c r="T590" s="34" t="n">
        <f aca="false">IF(ISNUMBER($AF590),INDEX(IDX_SrcGrade,$AF590),"—")</f>
        <v>2</v>
      </c>
      <c r="U590" s="34" t="s">
        <v>2683</v>
      </c>
      <c r="V590" s="183" t="n">
        <f aca="false">IF(AND($F590="原始數據",$U590&lt;&gt;"連結 SRC"),1,0)</f>
        <v>0</v>
      </c>
      <c r="W590" s="183" t="n">
        <f aca="false">IF(AND($F590="Analogy",OR($H590="—",$H590="")),1,0)</f>
        <v>0</v>
      </c>
      <c r="X590" s="183" t="n">
        <f aca="false">IF(AND(OR($F590="Analogy",$F590="Assumed"),$G590&lt;&gt;"低",$G590&lt;&gt;"高",NOT(ISNUMBER($K590)),NOT(ISNUMBER($L590)),OR($M590="—",$M590="")),1,0)</f>
        <v>0</v>
      </c>
      <c r="Y590" s="183" t="n">
        <f aca="false">IF(AND(OR($F590="Analogy",$F590="Assumed",$F590="Derived（待改公式）",$F590="Derived（公式）"),OR($N590="—",$N590="",$N590=0)),1,0)</f>
        <v>0</v>
      </c>
      <c r="Z590" s="183" t="n">
        <f aca="false">IF(AND($F590="Decision",OR($J590="—",$J590="")),1,0)</f>
        <v>0</v>
      </c>
      <c r="AA590" s="180" t="n">
        <f aca="false">IF(OR($J590="—",$J590=""),0,IF(COUNTIF(Decisions!$A$5:$A$300,$J590)=0,1,0))</f>
        <v>0</v>
      </c>
      <c r="AB590" s="183" t="n">
        <f aca="false">IF(AND($F590="原始數據",$S590&lt;&gt;"Active"),1,0)</f>
        <v>0</v>
      </c>
      <c r="AC590" s="183" t="n">
        <f aca="false">IF(AND(ISNUMBER($K590),ISNUMBER($L590),ISNUMBER($Q590)),IF(OR($Q590&lt;MIN($K590,$L590),$Q590&gt;MAX($K590,$L590)),1,0),0)</f>
        <v>0</v>
      </c>
      <c r="AD590" s="183" t="n">
        <f aca="false">IF(AND(ISNUMBER($T590),$P590="高"),IF($T590=3,1,0),0)</f>
        <v>0</v>
      </c>
      <c r="AE590" s="183" t="n">
        <f aca="false">IF($S590="不存在",1,0)</f>
        <v>0</v>
      </c>
      <c r="AF590" s="34" t="n">
        <f aca="false">IF(OR($H590="—",$H590=""),"—",MATCH($H590,IDX_SrcID,0))</f>
        <v>624</v>
      </c>
    </row>
    <row r="591" customFormat="false" ht="77.25" hidden="false" customHeight="true" outlineLevel="0" collapsed="false">
      <c r="A591" s="35" t="s">
        <v>4274</v>
      </c>
      <c r="B591" s="209" t="s">
        <v>4237</v>
      </c>
      <c r="C591" s="35" t="s">
        <v>4238</v>
      </c>
      <c r="D591" s="35" t="s">
        <v>3758</v>
      </c>
      <c r="E591" s="18" t="s">
        <v>4270</v>
      </c>
      <c r="F591" s="35" t="s">
        <v>72</v>
      </c>
      <c r="G591" s="209" t="s">
        <v>3739</v>
      </c>
      <c r="H591" s="35" t="s">
        <v>571</v>
      </c>
      <c r="I591" s="6" t="s">
        <v>571</v>
      </c>
      <c r="J591" s="35" t="s">
        <v>571</v>
      </c>
      <c r="K591" s="209"/>
      <c r="L591" s="209"/>
      <c r="M591" s="35" t="s">
        <v>3759</v>
      </c>
      <c r="N591" s="6" t="s">
        <v>4273</v>
      </c>
      <c r="O591" s="6" t="s">
        <v>571</v>
      </c>
      <c r="P591" s="35" t="s">
        <v>571</v>
      </c>
      <c r="Q591" s="182" t="s">
        <v>571</v>
      </c>
      <c r="R591" s="35" t="s">
        <v>571</v>
      </c>
      <c r="S591" s="34" t="str">
        <f aca="false">IF(ISNUMBER($AF591),INDEX(IDX_SrcStat,$AF591),"—")</f>
        <v>—</v>
      </c>
      <c r="T591" s="34" t="str">
        <f aca="false">IF(ISNUMBER($AF591),INDEX(IDX_SrcGrade,$AF591),"—")</f>
        <v>—</v>
      </c>
      <c r="U591" s="35" t="s">
        <v>571</v>
      </c>
      <c r="V591" s="183" t="n">
        <f aca="false">IF(AND($F591="原始數據",$U591&lt;&gt;"連結 SRC"),1,0)</f>
        <v>0</v>
      </c>
      <c r="W591" s="183" t="n">
        <f aca="false">IF(AND($F591="Analogy",OR($H591="—",$H591="")),1,0)</f>
        <v>0</v>
      </c>
      <c r="X591" s="183" t="n">
        <f aca="false">IF(AND(OR($F591="Analogy",$F591="Assumed"),$G591&lt;&gt;"低",$G591&lt;&gt;"高",NOT(ISNUMBER($K591)),NOT(ISNUMBER($L591)),OR($M591="—",$M591="")),1,0)</f>
        <v>0</v>
      </c>
      <c r="Y591" s="183" t="n">
        <f aca="false">IF(AND(OR($F591="Analogy",$F591="Assumed",$F591="Derived（待改公式）",$F591="Derived（公式）"),OR($N591="—",$N591="",$N591=0)),1,0)</f>
        <v>0</v>
      </c>
      <c r="Z591" s="183" t="n">
        <f aca="false">IF(AND($F591="Decision",OR($J591="—",$J591="")),1,0)</f>
        <v>0</v>
      </c>
      <c r="AA591" s="180" t="n">
        <f aca="false">IF(OR($J591="—",$J591=""),0,IF(COUNTIF(Decisions!$A$5:$A$300,$J591)=0,1,0))</f>
        <v>0</v>
      </c>
      <c r="AB591" s="183" t="n">
        <f aca="false">IF(AND($F591="原始數據",$S591&lt;&gt;"Active"),1,0)</f>
        <v>0</v>
      </c>
      <c r="AC591" s="183" t="n">
        <f aca="false">IF(AND(ISNUMBER($K591),ISNUMBER($L591),ISNUMBER($Q591)),IF(OR($Q591&lt;MIN($K591,$L591),$Q591&gt;MAX($K591,$L591)),1,0),0)</f>
        <v>0</v>
      </c>
      <c r="AD591" s="183" t="n">
        <f aca="false">IF(AND(ISNUMBER($T591),$P591="高"),IF($T591=3,1,0),0)</f>
        <v>0</v>
      </c>
      <c r="AE591" s="183" t="n">
        <f aca="false">IF($S591="不存在",1,0)</f>
        <v>0</v>
      </c>
      <c r="AF591" s="34" t="str">
        <f aca="false">IF(OR($H591="—",$H591=""),"—",MATCH($H591,IDX_SrcID,0))</f>
        <v>—</v>
      </c>
    </row>
    <row r="592" customFormat="false" ht="26.25" hidden="false" customHeight="true" outlineLevel="0" collapsed="false">
      <c r="A592" s="35" t="s">
        <v>4275</v>
      </c>
      <c r="B592" s="209" t="s">
        <v>4237</v>
      </c>
      <c r="C592" s="35" t="s">
        <v>4238</v>
      </c>
      <c r="D592" s="35" t="s">
        <v>3190</v>
      </c>
      <c r="E592" s="6" t="s">
        <v>1696</v>
      </c>
      <c r="F592" s="35" t="s">
        <v>72</v>
      </c>
      <c r="G592" s="209" t="s">
        <v>57</v>
      </c>
      <c r="H592" s="35" t="s">
        <v>2282</v>
      </c>
      <c r="I592" s="18" t="s">
        <v>4276</v>
      </c>
      <c r="J592" s="35" t="s">
        <v>571</v>
      </c>
      <c r="K592" s="174" t="n">
        <f aca="false">Alloc_In!D16</f>
        <v>0.4</v>
      </c>
      <c r="L592" s="174" t="n">
        <f aca="false">Alloc_In!E16</f>
        <v>0.8</v>
      </c>
      <c r="M592" s="35" t="s">
        <v>571</v>
      </c>
      <c r="N592" s="18" t="s">
        <v>4277</v>
      </c>
      <c r="O592" s="6" t="s">
        <v>571</v>
      </c>
      <c r="P592" s="34" t="s">
        <v>1099</v>
      </c>
      <c r="Q592" s="174" t="n">
        <f aca="false">Alloc_In!C16</f>
        <v>0.6</v>
      </c>
      <c r="R592" s="182" t="n">
        <f aca="false">SRC_DEM_005</f>
        <v>3.9</v>
      </c>
      <c r="S592" s="34" t="str">
        <f aca="false">IF(ISNUMBER($AF592),INDEX(IDX_SrcStat,$AF592),"—")</f>
        <v>Active</v>
      </c>
      <c r="T592" s="34" t="n">
        <f aca="false">IF(ISNUMBER($AF592),INDEX(IDX_SrcGrade,$AF592),"—")</f>
        <v>2</v>
      </c>
      <c r="U592" s="34" t="s">
        <v>2683</v>
      </c>
      <c r="V592" s="183" t="n">
        <f aca="false">IF(AND($F592="原始數據",$U592&lt;&gt;"連結 SRC"),1,0)</f>
        <v>0</v>
      </c>
      <c r="W592" s="183" t="n">
        <f aca="false">IF(AND($F592="Analogy",OR($H592="—",$H592="")),1,0)</f>
        <v>0</v>
      </c>
      <c r="X592" s="183" t="n">
        <f aca="false">IF(AND(OR($F592="Analogy",$F592="Assumed"),$G592&lt;&gt;"低",$G592&lt;&gt;"高",NOT(ISNUMBER($K592)),NOT(ISNUMBER($L592)),OR($M592="—",$M592="")),1,0)</f>
        <v>0</v>
      </c>
      <c r="Y592" s="183" t="n">
        <f aca="false">IF(AND(OR($F592="Analogy",$F592="Assumed",$F592="Derived（待改公式）",$F592="Derived（公式）"),OR($N592="—",$N592="",$N592=0)),1,0)</f>
        <v>0</v>
      </c>
      <c r="Z592" s="183" t="n">
        <f aca="false">IF(AND($F592="Decision",OR($J592="—",$J592="")),1,0)</f>
        <v>0</v>
      </c>
      <c r="AA592" s="180" t="n">
        <f aca="false">IF(OR($J592="—",$J592=""),0,IF(COUNTIF(Decisions!$A$5:$A$300,$J592)=0,1,0))</f>
        <v>0</v>
      </c>
      <c r="AB592" s="183" t="n">
        <f aca="false">IF(AND($F592="原始數據",$S592&lt;&gt;"Active"),1,0)</f>
        <v>0</v>
      </c>
      <c r="AC592" s="183" t="n">
        <f aca="false">IF(AND(ISNUMBER($K592),ISNUMBER($L592),ISNUMBER($Q592)),IF(OR($Q592&lt;MIN($K592,$L592),$Q592&gt;MAX($K592,$L592)),1,0),0)</f>
        <v>0</v>
      </c>
      <c r="AD592" s="183" t="n">
        <f aca="false">IF(AND(ISNUMBER($T592),$P592="高"),IF($T592=3,1,0),0)</f>
        <v>0</v>
      </c>
      <c r="AE592" s="183" t="n">
        <f aca="false">IF($S592="不存在",1,0)</f>
        <v>0</v>
      </c>
      <c r="AF592" s="34" t="n">
        <f aca="false">IF(OR($H592="—",$H592=""),"—",MATCH($H592,IDX_SrcID,0))</f>
        <v>617</v>
      </c>
    </row>
    <row r="593" customFormat="false" ht="26.25" hidden="false" customHeight="true" outlineLevel="0" collapsed="false">
      <c r="A593" s="35" t="s">
        <v>4278</v>
      </c>
      <c r="B593" s="209" t="s">
        <v>4237</v>
      </c>
      <c r="C593" s="35" t="s">
        <v>4238</v>
      </c>
      <c r="D593" s="35" t="s">
        <v>4279</v>
      </c>
      <c r="E593" s="6" t="s">
        <v>1696</v>
      </c>
      <c r="F593" s="35" t="s">
        <v>72</v>
      </c>
      <c r="G593" s="209" t="s">
        <v>3739</v>
      </c>
      <c r="H593" s="35" t="s">
        <v>571</v>
      </c>
      <c r="I593" s="6" t="s">
        <v>571</v>
      </c>
      <c r="J593" s="35" t="s">
        <v>571</v>
      </c>
      <c r="K593" s="209"/>
      <c r="L593" s="209"/>
      <c r="M593" s="35" t="s">
        <v>4280</v>
      </c>
      <c r="N593" s="18" t="s">
        <v>4281</v>
      </c>
      <c r="O593" s="6" t="s">
        <v>571</v>
      </c>
      <c r="P593" s="35" t="s">
        <v>571</v>
      </c>
      <c r="Q593" s="182" t="s">
        <v>571</v>
      </c>
      <c r="R593" s="35" t="s">
        <v>571</v>
      </c>
      <c r="S593" s="34" t="str">
        <f aca="false">IF(ISNUMBER($AF593),INDEX(IDX_SrcStat,$AF593),"—")</f>
        <v>—</v>
      </c>
      <c r="T593" s="34" t="str">
        <f aca="false">IF(ISNUMBER($AF593),INDEX(IDX_SrcGrade,$AF593),"—")</f>
        <v>—</v>
      </c>
      <c r="U593" s="35" t="s">
        <v>571</v>
      </c>
      <c r="V593" s="183" t="n">
        <f aca="false">IF(AND($F593="原始數據",$U593&lt;&gt;"連結 SRC"),1,0)</f>
        <v>0</v>
      </c>
      <c r="W593" s="183" t="n">
        <f aca="false">IF(AND($F593="Analogy",OR($H593="—",$H593="")),1,0)</f>
        <v>0</v>
      </c>
      <c r="X593" s="183" t="n">
        <f aca="false">IF(AND(OR($F593="Analogy",$F593="Assumed"),$G593&lt;&gt;"低",$G593&lt;&gt;"高",NOT(ISNUMBER($K593)),NOT(ISNUMBER($L593)),OR($M593="—",$M593="")),1,0)</f>
        <v>0</v>
      </c>
      <c r="Y593" s="183" t="n">
        <f aca="false">IF(AND(OR($F593="Analogy",$F593="Assumed",$F593="Derived（待改公式）",$F593="Derived（公式）"),OR($N593="—",$N593="",$N593=0)),1,0)</f>
        <v>0</v>
      </c>
      <c r="Z593" s="183" t="n">
        <f aca="false">IF(AND($F593="Decision",OR($J593="—",$J593="")),1,0)</f>
        <v>0</v>
      </c>
      <c r="AA593" s="180" t="n">
        <f aca="false">IF(OR($J593="—",$J593=""),0,IF(COUNTIF(Decisions!$A$5:$A$300,$J593)=0,1,0))</f>
        <v>0</v>
      </c>
      <c r="AB593" s="183" t="n">
        <f aca="false">IF(AND($F593="原始數據",$S593&lt;&gt;"Active"),1,0)</f>
        <v>0</v>
      </c>
      <c r="AC593" s="183" t="n">
        <f aca="false">IF(AND(ISNUMBER($K593),ISNUMBER($L593),ISNUMBER($Q593)),IF(OR($Q593&lt;MIN($K593,$L593),$Q593&gt;MAX($K593,$L593)),1,0),0)</f>
        <v>0</v>
      </c>
      <c r="AD593" s="183" t="n">
        <f aca="false">IF(AND(ISNUMBER($T593),$P593="高"),IF($T593=3,1,0),0)</f>
        <v>0</v>
      </c>
      <c r="AE593" s="183" t="n">
        <f aca="false">IF($S593="不存在",1,0)</f>
        <v>0</v>
      </c>
      <c r="AF593" s="34" t="str">
        <f aca="false">IF(OR($H593="—",$H593=""),"—",MATCH($H593,IDX_SrcID,0))</f>
        <v>—</v>
      </c>
    </row>
    <row r="594" customFormat="false" ht="51.75" hidden="false" customHeight="true" outlineLevel="0" collapsed="false">
      <c r="A594" s="35" t="s">
        <v>4282</v>
      </c>
      <c r="B594" s="209" t="s">
        <v>4237</v>
      </c>
      <c r="C594" s="35" t="s">
        <v>4238</v>
      </c>
      <c r="D594" s="35" t="s">
        <v>4283</v>
      </c>
      <c r="E594" s="18" t="s">
        <v>4284</v>
      </c>
      <c r="F594" s="35" t="s">
        <v>72</v>
      </c>
      <c r="G594" s="209" t="s">
        <v>3420</v>
      </c>
      <c r="H594" s="35" t="s">
        <v>571</v>
      </c>
      <c r="I594" s="6" t="s">
        <v>571</v>
      </c>
      <c r="J594" s="35" t="s">
        <v>571</v>
      </c>
      <c r="K594" s="209"/>
      <c r="L594" s="209"/>
      <c r="M594" s="209" t="s">
        <v>4285</v>
      </c>
      <c r="N594" s="6" t="s">
        <v>4286</v>
      </c>
      <c r="O594" s="6" t="s">
        <v>571</v>
      </c>
      <c r="P594" s="35" t="s">
        <v>571</v>
      </c>
      <c r="Q594" s="182" t="s">
        <v>571</v>
      </c>
      <c r="R594" s="35" t="s">
        <v>571</v>
      </c>
      <c r="S594" s="34" t="str">
        <f aca="false">IF(ISNUMBER($AF594),INDEX(IDX_SrcStat,$AF594),"—")</f>
        <v>—</v>
      </c>
      <c r="T594" s="34" t="str">
        <f aca="false">IF(ISNUMBER($AF594),INDEX(IDX_SrcGrade,$AF594),"—")</f>
        <v>—</v>
      </c>
      <c r="U594" s="35" t="s">
        <v>571</v>
      </c>
      <c r="V594" s="183" t="n">
        <f aca="false">IF(AND($F594="原始數據",$U594&lt;&gt;"連結 SRC"),1,0)</f>
        <v>0</v>
      </c>
      <c r="W594" s="183" t="n">
        <f aca="false">IF(AND($F594="Analogy",OR($H594="—",$H594="")),1,0)</f>
        <v>0</v>
      </c>
      <c r="X594" s="183" t="n">
        <f aca="false">IF(AND(OR($F594="Analogy",$F594="Assumed"),$G594&lt;&gt;"低",$G594&lt;&gt;"高",NOT(ISNUMBER($K594)),NOT(ISNUMBER($L594)),OR($M594="—",$M594="")),1,0)</f>
        <v>0</v>
      </c>
      <c r="Y594" s="183" t="n">
        <f aca="false">IF(AND(OR($F594="Analogy",$F594="Assumed",$F594="Derived（待改公式）",$F594="Derived（公式）"),OR($N594="—",$N594="",$N594=0)),1,0)</f>
        <v>0</v>
      </c>
      <c r="Z594" s="183" t="n">
        <f aca="false">IF(AND($F594="Decision",OR($J594="—",$J594="")),1,0)</f>
        <v>0</v>
      </c>
      <c r="AA594" s="180" t="n">
        <f aca="false">IF(OR($J594="—",$J594=""),0,IF(COUNTIF(Decisions!$A$5:$A$300,$J594)=0,1,0))</f>
        <v>0</v>
      </c>
      <c r="AB594" s="183" t="n">
        <f aca="false">IF(AND($F594="原始數據",$S594&lt;&gt;"Active"),1,0)</f>
        <v>0</v>
      </c>
      <c r="AC594" s="183" t="n">
        <f aca="false">IF(AND(ISNUMBER($K594),ISNUMBER($L594),ISNUMBER($Q594)),IF(OR($Q594&lt;MIN($K594,$L594),$Q594&gt;MAX($K594,$L594)),1,0),0)</f>
        <v>0</v>
      </c>
      <c r="AD594" s="183" t="n">
        <f aca="false">IF(AND(ISNUMBER($T594),$P594="高"),IF($T594=3,1,0),0)</f>
        <v>0</v>
      </c>
      <c r="AE594" s="183" t="n">
        <f aca="false">IF($S594="不存在",1,0)</f>
        <v>0</v>
      </c>
      <c r="AF594" s="34" t="str">
        <f aca="false">IF(OR($H594="—",$H594=""),"—",MATCH($H594,IDX_SrcID,0))</f>
        <v>—</v>
      </c>
    </row>
    <row r="595" customFormat="false" ht="26.25" hidden="false" customHeight="true" outlineLevel="0" collapsed="false">
      <c r="A595" s="35" t="s">
        <v>4287</v>
      </c>
      <c r="B595" s="209" t="s">
        <v>4237</v>
      </c>
      <c r="C595" s="35" t="s">
        <v>4238</v>
      </c>
      <c r="D595" s="35" t="s">
        <v>4288</v>
      </c>
      <c r="E595" s="18" t="s">
        <v>4284</v>
      </c>
      <c r="F595" s="35" t="s">
        <v>72</v>
      </c>
      <c r="G595" s="209" t="s">
        <v>3739</v>
      </c>
      <c r="H595" s="35" t="s">
        <v>571</v>
      </c>
      <c r="I595" s="6" t="s">
        <v>571</v>
      </c>
      <c r="J595" s="35" t="s">
        <v>571</v>
      </c>
      <c r="K595" s="209"/>
      <c r="L595" s="209"/>
      <c r="M595" s="35" t="s">
        <v>4289</v>
      </c>
      <c r="N595" s="6" t="s">
        <v>4290</v>
      </c>
      <c r="O595" s="6" t="s">
        <v>571</v>
      </c>
      <c r="P595" s="35" t="s">
        <v>571</v>
      </c>
      <c r="Q595" s="182" t="s">
        <v>571</v>
      </c>
      <c r="R595" s="35" t="s">
        <v>571</v>
      </c>
      <c r="S595" s="34" t="str">
        <f aca="false">IF(ISNUMBER($AF595),INDEX(IDX_SrcStat,$AF595),"—")</f>
        <v>—</v>
      </c>
      <c r="T595" s="34" t="str">
        <f aca="false">IF(ISNUMBER($AF595),INDEX(IDX_SrcGrade,$AF595),"—")</f>
        <v>—</v>
      </c>
      <c r="U595" s="35" t="s">
        <v>571</v>
      </c>
      <c r="V595" s="183" t="n">
        <f aca="false">IF(AND($F595="原始數據",$U595&lt;&gt;"連結 SRC"),1,0)</f>
        <v>0</v>
      </c>
      <c r="W595" s="183" t="n">
        <f aca="false">IF(AND($F595="Analogy",OR($H595="—",$H595="")),1,0)</f>
        <v>0</v>
      </c>
      <c r="X595" s="183" t="n">
        <f aca="false">IF(AND(OR($F595="Analogy",$F595="Assumed"),$G595&lt;&gt;"低",$G595&lt;&gt;"高",NOT(ISNUMBER($K595)),NOT(ISNUMBER($L595)),OR($M595="—",$M595="")),1,0)</f>
        <v>0</v>
      </c>
      <c r="Y595" s="183" t="n">
        <f aca="false">IF(AND(OR($F595="Analogy",$F595="Assumed",$F595="Derived（待改公式）",$F595="Derived（公式）"),OR($N595="—",$N595="",$N595=0)),1,0)</f>
        <v>0</v>
      </c>
      <c r="Z595" s="183" t="n">
        <f aca="false">IF(AND($F595="Decision",OR($J595="—",$J595="")),1,0)</f>
        <v>0</v>
      </c>
      <c r="AA595" s="180" t="n">
        <f aca="false">IF(OR($J595="—",$J595=""),0,IF(COUNTIF(Decisions!$A$5:$A$300,$J595)=0,1,0))</f>
        <v>0</v>
      </c>
      <c r="AB595" s="183" t="n">
        <f aca="false">IF(AND($F595="原始數據",$S595&lt;&gt;"Active"),1,0)</f>
        <v>0</v>
      </c>
      <c r="AC595" s="183" t="n">
        <f aca="false">IF(AND(ISNUMBER($K595),ISNUMBER($L595),ISNUMBER($Q595)),IF(OR($Q595&lt;MIN($K595,$L595),$Q595&gt;MAX($K595,$L595)),1,0),0)</f>
        <v>0</v>
      </c>
      <c r="AD595" s="183" t="n">
        <f aca="false">IF(AND(ISNUMBER($T595),$P595="高"),IF($T595=3,1,0),0)</f>
        <v>0</v>
      </c>
      <c r="AE595" s="183" t="n">
        <f aca="false">IF($S595="不存在",1,0)</f>
        <v>0</v>
      </c>
      <c r="AF595" s="34" t="str">
        <f aca="false">IF(OR($H595="—",$H595=""),"—",MATCH($H595,IDX_SrcID,0))</f>
        <v>—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07" t="s">
        <v>4291</v>
      </c>
    </row>
    <row r="2" customFormat="false" ht="15" hidden="false" customHeight="true" outlineLevel="0" collapsed="false">
      <c r="A2" s="36" t="s">
        <v>4292</v>
      </c>
    </row>
    <row r="4" customFormat="false" ht="29.25" hidden="false" customHeight="true" outlineLevel="0" collapsed="false">
      <c r="A4" s="208" t="s">
        <v>2655</v>
      </c>
      <c r="B4" s="208" t="s">
        <v>2651</v>
      </c>
      <c r="C4" s="208" t="s">
        <v>328</v>
      </c>
      <c r="D4" s="208" t="s">
        <v>4293</v>
      </c>
      <c r="E4" s="208" t="s">
        <v>4294</v>
      </c>
      <c r="F4" s="77" t="s">
        <v>4295</v>
      </c>
      <c r="G4" s="208" t="s">
        <v>558</v>
      </c>
      <c r="H4" s="208" t="s">
        <v>4296</v>
      </c>
      <c r="I4" s="208" t="s">
        <v>4297</v>
      </c>
      <c r="J4" s="208" t="s">
        <v>4298</v>
      </c>
    </row>
    <row r="5" customFormat="false" ht="29.25" hidden="false" customHeight="true" outlineLevel="0" collapsed="false">
      <c r="A5" s="35" t="s">
        <v>2680</v>
      </c>
      <c r="B5" s="35" t="s">
        <v>4299</v>
      </c>
      <c r="C5" s="18" t="s">
        <v>6</v>
      </c>
      <c r="D5" s="6" t="s">
        <v>4300</v>
      </c>
      <c r="E5" s="35" t="s">
        <v>4301</v>
      </c>
      <c r="F5" s="6" t="s">
        <v>571</v>
      </c>
      <c r="G5" s="209" t="s">
        <v>4302</v>
      </c>
      <c r="H5" s="6" t="s">
        <v>4303</v>
      </c>
      <c r="I5" s="209" t="s">
        <v>4304</v>
      </c>
      <c r="J5" s="209" t="s">
        <v>602</v>
      </c>
    </row>
    <row r="6" customFormat="false" ht="29.25" hidden="false" customHeight="true" outlineLevel="0" collapsed="false">
      <c r="A6" s="35" t="s">
        <v>4305</v>
      </c>
      <c r="B6" s="35" t="s">
        <v>4299</v>
      </c>
      <c r="C6" s="18" t="s">
        <v>136</v>
      </c>
      <c r="D6" s="6" t="s">
        <v>4306</v>
      </c>
      <c r="E6" s="35" t="s">
        <v>4301</v>
      </c>
      <c r="F6" s="6" t="s">
        <v>571</v>
      </c>
      <c r="G6" s="209" t="s">
        <v>4302</v>
      </c>
      <c r="H6" s="6" t="s">
        <v>571</v>
      </c>
      <c r="I6" s="209" t="s">
        <v>4304</v>
      </c>
      <c r="J6" s="209" t="s">
        <v>602</v>
      </c>
    </row>
    <row r="7" customFormat="false" ht="29.25" hidden="false" customHeight="true" outlineLevel="0" collapsed="false">
      <c r="A7" s="35" t="s">
        <v>2685</v>
      </c>
      <c r="B7" s="35" t="s">
        <v>4299</v>
      </c>
      <c r="C7" s="6" t="s">
        <v>4307</v>
      </c>
      <c r="D7" s="18" t="s">
        <v>4308</v>
      </c>
      <c r="E7" s="35" t="s">
        <v>4301</v>
      </c>
      <c r="F7" s="6" t="s">
        <v>571</v>
      </c>
      <c r="G7" s="209" t="s">
        <v>4302</v>
      </c>
      <c r="H7" s="6" t="s">
        <v>4309</v>
      </c>
      <c r="I7" s="209" t="s">
        <v>4304</v>
      </c>
      <c r="J7" s="209" t="s">
        <v>602</v>
      </c>
    </row>
    <row r="8" customFormat="false" ht="29.25" hidden="false" customHeight="true" outlineLevel="0" collapsed="false">
      <c r="A8" s="35" t="s">
        <v>2811</v>
      </c>
      <c r="B8" s="35" t="s">
        <v>4299</v>
      </c>
      <c r="C8" s="18" t="s">
        <v>4310</v>
      </c>
      <c r="D8" s="18" t="s">
        <v>4311</v>
      </c>
      <c r="E8" s="35" t="s">
        <v>4301</v>
      </c>
      <c r="F8" s="6" t="s">
        <v>571</v>
      </c>
      <c r="G8" s="209" t="s">
        <v>4302</v>
      </c>
      <c r="H8" s="6" t="s">
        <v>4312</v>
      </c>
      <c r="I8" s="209" t="s">
        <v>4304</v>
      </c>
      <c r="J8" s="209" t="s">
        <v>602</v>
      </c>
    </row>
    <row r="9" customFormat="false" ht="15" hidden="false" customHeight="true" outlineLevel="0" collapsed="false">
      <c r="A9" s="35" t="s">
        <v>3331</v>
      </c>
      <c r="B9" s="35" t="s">
        <v>4299</v>
      </c>
      <c r="C9" s="18" t="s">
        <v>222</v>
      </c>
      <c r="D9" s="18" t="s">
        <v>4313</v>
      </c>
      <c r="E9" s="35" t="s">
        <v>4301</v>
      </c>
      <c r="F9" s="6" t="s">
        <v>571</v>
      </c>
      <c r="G9" s="209" t="s">
        <v>4302</v>
      </c>
      <c r="H9" s="6" t="s">
        <v>571</v>
      </c>
      <c r="I9" s="209" t="s">
        <v>4304</v>
      </c>
      <c r="J9" s="209" t="s">
        <v>602</v>
      </c>
    </row>
    <row r="10" customFormat="false" ht="15" hidden="false" customHeight="true" outlineLevel="0" collapsed="false">
      <c r="A10" s="35" t="s">
        <v>2840</v>
      </c>
      <c r="B10" s="35" t="s">
        <v>4299</v>
      </c>
      <c r="C10" s="18" t="s">
        <v>4314</v>
      </c>
      <c r="D10" s="6" t="s">
        <v>4315</v>
      </c>
      <c r="E10" s="35" t="s">
        <v>4301</v>
      </c>
      <c r="F10" s="6" t="s">
        <v>571</v>
      </c>
      <c r="G10" s="209" t="s">
        <v>4302</v>
      </c>
      <c r="H10" s="6" t="s">
        <v>571</v>
      </c>
      <c r="I10" s="209" t="s">
        <v>4304</v>
      </c>
      <c r="J10" s="209" t="s">
        <v>602</v>
      </c>
    </row>
    <row r="11" customFormat="false" ht="15" hidden="false" customHeight="true" outlineLevel="0" collapsed="false">
      <c r="A11" s="35" t="s">
        <v>3163</v>
      </c>
      <c r="B11" s="35" t="s">
        <v>4299</v>
      </c>
      <c r="C11" s="18" t="s">
        <v>4316</v>
      </c>
      <c r="D11" s="6" t="s">
        <v>4317</v>
      </c>
      <c r="E11" s="35" t="s">
        <v>4301</v>
      </c>
      <c r="F11" s="6" t="s">
        <v>571</v>
      </c>
      <c r="G11" s="209" t="s">
        <v>4302</v>
      </c>
      <c r="H11" s="6" t="s">
        <v>571</v>
      </c>
      <c r="I11" s="209" t="s">
        <v>4304</v>
      </c>
      <c r="J11" s="209" t="s">
        <v>602</v>
      </c>
    </row>
    <row r="12" customFormat="false" ht="26.25" hidden="false" customHeight="true" outlineLevel="0" collapsed="false">
      <c r="A12" s="35" t="s">
        <v>2852</v>
      </c>
      <c r="B12" s="35" t="s">
        <v>4299</v>
      </c>
      <c r="C12" s="18" t="s">
        <v>4318</v>
      </c>
      <c r="D12" s="6" t="s">
        <v>4319</v>
      </c>
      <c r="E12" s="35" t="s">
        <v>4301</v>
      </c>
      <c r="F12" s="6" t="s">
        <v>571</v>
      </c>
      <c r="G12" s="209" t="s">
        <v>4302</v>
      </c>
      <c r="H12" s="6" t="s">
        <v>571</v>
      </c>
      <c r="I12" s="209" t="s">
        <v>4304</v>
      </c>
      <c r="J12" s="209" t="s">
        <v>602</v>
      </c>
    </row>
    <row r="13" customFormat="false" ht="15" hidden="false" customHeight="true" outlineLevel="0" collapsed="false">
      <c r="A13" s="35" t="s">
        <v>2692</v>
      </c>
      <c r="B13" s="35" t="s">
        <v>4299</v>
      </c>
      <c r="C13" s="18" t="s">
        <v>4320</v>
      </c>
      <c r="D13" s="18" t="s">
        <v>4321</v>
      </c>
      <c r="E13" s="35" t="s">
        <v>4301</v>
      </c>
      <c r="F13" s="6" t="s">
        <v>571</v>
      </c>
      <c r="G13" s="209" t="s">
        <v>4302</v>
      </c>
      <c r="H13" s="6" t="s">
        <v>571</v>
      </c>
      <c r="I13" s="209" t="s">
        <v>4304</v>
      </c>
      <c r="J13" s="209" t="s">
        <v>602</v>
      </c>
    </row>
    <row r="14" customFormat="false" ht="15" hidden="false" customHeight="true" outlineLevel="0" collapsed="false">
      <c r="A14" s="35" t="s">
        <v>2697</v>
      </c>
      <c r="B14" s="35" t="s">
        <v>4299</v>
      </c>
      <c r="C14" s="6" t="s">
        <v>854</v>
      </c>
      <c r="D14" s="18" t="s">
        <v>4322</v>
      </c>
      <c r="E14" s="35" t="s">
        <v>4301</v>
      </c>
      <c r="F14" s="6" t="s">
        <v>571</v>
      </c>
      <c r="G14" s="209" t="s">
        <v>4302</v>
      </c>
      <c r="H14" s="6" t="s">
        <v>4323</v>
      </c>
      <c r="I14" s="209" t="s">
        <v>4304</v>
      </c>
      <c r="J14" s="209" t="s">
        <v>602</v>
      </c>
    </row>
    <row r="15" customFormat="false" ht="29.25" hidden="false" customHeight="true" outlineLevel="0" collapsed="false">
      <c r="A15" s="35" t="s">
        <v>2704</v>
      </c>
      <c r="B15" s="35" t="s">
        <v>4299</v>
      </c>
      <c r="C15" s="18" t="s">
        <v>4324</v>
      </c>
      <c r="D15" s="6" t="s">
        <v>4325</v>
      </c>
      <c r="E15" s="35" t="s">
        <v>4301</v>
      </c>
      <c r="F15" s="6" t="s">
        <v>571</v>
      </c>
      <c r="G15" s="209" t="s">
        <v>4302</v>
      </c>
      <c r="H15" s="6" t="s">
        <v>571</v>
      </c>
      <c r="I15" s="209" t="s">
        <v>4304</v>
      </c>
      <c r="J15" s="209" t="s">
        <v>602</v>
      </c>
    </row>
    <row r="16" customFormat="false" ht="15" hidden="false" customHeight="true" outlineLevel="0" collapsed="false">
      <c r="A16" s="35" t="s">
        <v>3248</v>
      </c>
      <c r="B16" s="35" t="s">
        <v>4326</v>
      </c>
      <c r="C16" s="6" t="s">
        <v>4327</v>
      </c>
      <c r="D16" s="18" t="s">
        <v>4328</v>
      </c>
      <c r="E16" s="35" t="s">
        <v>4301</v>
      </c>
      <c r="F16" s="6" t="s">
        <v>571</v>
      </c>
      <c r="G16" s="209" t="s">
        <v>4302</v>
      </c>
      <c r="H16" s="6" t="s">
        <v>4329</v>
      </c>
      <c r="I16" s="209" t="s">
        <v>4304</v>
      </c>
      <c r="J16" s="209" t="s">
        <v>602</v>
      </c>
    </row>
    <row r="17" customFormat="false" ht="15" hidden="false" customHeight="true" outlineLevel="0" collapsed="false">
      <c r="A17" s="35" t="s">
        <v>3296</v>
      </c>
      <c r="B17" s="35" t="s">
        <v>4326</v>
      </c>
      <c r="C17" s="6" t="s">
        <v>4330</v>
      </c>
      <c r="D17" s="18" t="s">
        <v>4331</v>
      </c>
      <c r="E17" s="35" t="s">
        <v>4301</v>
      </c>
      <c r="F17" s="6" t="s">
        <v>571</v>
      </c>
      <c r="G17" s="209" t="s">
        <v>4302</v>
      </c>
      <c r="H17" s="6" t="s">
        <v>4332</v>
      </c>
      <c r="I17" s="209" t="s">
        <v>4304</v>
      </c>
      <c r="J17" s="209" t="s">
        <v>602</v>
      </c>
    </row>
    <row r="18" customFormat="false" ht="29.25" hidden="false" customHeight="true" outlineLevel="0" collapsed="false">
      <c r="A18" s="35" t="s">
        <v>3300</v>
      </c>
      <c r="B18" s="35" t="s">
        <v>4326</v>
      </c>
      <c r="C18" s="6" t="s">
        <v>4333</v>
      </c>
      <c r="D18" s="18" t="s">
        <v>4334</v>
      </c>
      <c r="E18" s="35" t="s">
        <v>4301</v>
      </c>
      <c r="F18" s="6" t="s">
        <v>571</v>
      </c>
      <c r="G18" s="209" t="s">
        <v>4302</v>
      </c>
      <c r="H18" s="6" t="s">
        <v>4335</v>
      </c>
      <c r="I18" s="209" t="s">
        <v>4304</v>
      </c>
      <c r="J18" s="209" t="s">
        <v>602</v>
      </c>
    </row>
    <row r="19" customFormat="false" ht="15" hidden="false" customHeight="true" outlineLevel="0" collapsed="false">
      <c r="A19" s="35" t="s">
        <v>4336</v>
      </c>
      <c r="B19" s="35" t="s">
        <v>4326</v>
      </c>
      <c r="C19" s="6" t="s">
        <v>4337</v>
      </c>
      <c r="D19" s="18" t="s">
        <v>4338</v>
      </c>
      <c r="E19" s="35" t="s">
        <v>4301</v>
      </c>
      <c r="F19" s="6" t="s">
        <v>571</v>
      </c>
      <c r="G19" s="209" t="s">
        <v>4302</v>
      </c>
      <c r="H19" s="6" t="s">
        <v>571</v>
      </c>
      <c r="I19" s="209" t="s">
        <v>4304</v>
      </c>
      <c r="J19" s="209" t="s">
        <v>602</v>
      </c>
    </row>
    <row r="20" customFormat="false" ht="15" hidden="false" customHeight="true" outlineLevel="0" collapsed="false">
      <c r="A20" s="35" t="s">
        <v>4339</v>
      </c>
      <c r="B20" s="35" t="s">
        <v>4326</v>
      </c>
      <c r="C20" s="18" t="s">
        <v>4340</v>
      </c>
      <c r="D20" s="18" t="s">
        <v>4341</v>
      </c>
      <c r="E20" s="35" t="s">
        <v>4301</v>
      </c>
      <c r="F20" s="6" t="s">
        <v>571</v>
      </c>
      <c r="G20" s="209" t="s">
        <v>4302</v>
      </c>
      <c r="H20" s="6" t="s">
        <v>571</v>
      </c>
      <c r="I20" s="209" t="s">
        <v>4304</v>
      </c>
      <c r="J20" s="209" t="s">
        <v>602</v>
      </c>
    </row>
    <row r="21" customFormat="false" ht="15" hidden="false" customHeight="true" outlineLevel="0" collapsed="false">
      <c r="A21" s="35" t="s">
        <v>4342</v>
      </c>
      <c r="B21" s="35" t="s">
        <v>4326</v>
      </c>
      <c r="C21" s="18" t="s">
        <v>4343</v>
      </c>
      <c r="D21" s="6" t="s">
        <v>4344</v>
      </c>
      <c r="E21" s="35" t="s">
        <v>4301</v>
      </c>
      <c r="F21" s="6" t="s">
        <v>571</v>
      </c>
      <c r="G21" s="209" t="s">
        <v>4345</v>
      </c>
      <c r="H21" s="6" t="s">
        <v>4346</v>
      </c>
      <c r="I21" s="209" t="s">
        <v>4304</v>
      </c>
      <c r="J21" s="209" t="s">
        <v>602</v>
      </c>
    </row>
    <row r="22" customFormat="false" ht="29.25" hidden="false" customHeight="true" outlineLevel="0" collapsed="false">
      <c r="A22" s="35" t="s">
        <v>4347</v>
      </c>
      <c r="B22" s="35" t="s">
        <v>4326</v>
      </c>
      <c r="C22" s="18" t="s">
        <v>4348</v>
      </c>
      <c r="D22" s="6" t="s">
        <v>4349</v>
      </c>
      <c r="E22" s="35" t="s">
        <v>4301</v>
      </c>
      <c r="F22" s="18" t="s">
        <v>4350</v>
      </c>
      <c r="G22" s="209" t="s">
        <v>4345</v>
      </c>
      <c r="H22" s="6" t="s">
        <v>4351</v>
      </c>
      <c r="I22" s="209" t="s">
        <v>4304</v>
      </c>
      <c r="J22" s="209" t="s">
        <v>602</v>
      </c>
    </row>
    <row r="23" customFormat="false" ht="29.25" hidden="false" customHeight="true" outlineLevel="0" collapsed="false">
      <c r="A23" s="35" t="s">
        <v>4352</v>
      </c>
      <c r="B23" s="209" t="s">
        <v>4353</v>
      </c>
      <c r="C23" s="18" t="s">
        <v>48</v>
      </c>
      <c r="D23" s="6" t="s">
        <v>4354</v>
      </c>
      <c r="E23" s="35" t="s">
        <v>4355</v>
      </c>
      <c r="F23" s="6" t="s">
        <v>571</v>
      </c>
      <c r="G23" s="209" t="s">
        <v>4302</v>
      </c>
      <c r="H23" s="6" t="s">
        <v>571</v>
      </c>
      <c r="I23" s="209" t="s">
        <v>4304</v>
      </c>
      <c r="J23" s="209" t="s">
        <v>602</v>
      </c>
    </row>
    <row r="24" customFormat="false" ht="15" hidden="false" customHeight="true" outlineLevel="0" collapsed="false">
      <c r="A24" s="35" t="s">
        <v>4356</v>
      </c>
      <c r="B24" s="35" t="s">
        <v>4326</v>
      </c>
      <c r="C24" s="18" t="s">
        <v>4357</v>
      </c>
      <c r="D24" s="6" t="s">
        <v>4358</v>
      </c>
      <c r="E24" s="35" t="s">
        <v>4301</v>
      </c>
      <c r="F24" s="6" t="s">
        <v>571</v>
      </c>
      <c r="G24" s="209" t="s">
        <v>4302</v>
      </c>
      <c r="H24" s="6" t="s">
        <v>571</v>
      </c>
      <c r="I24" s="209" t="s">
        <v>4304</v>
      </c>
      <c r="J24" s="209" t="s">
        <v>602</v>
      </c>
    </row>
    <row r="25" customFormat="false" ht="29.25" hidden="false" customHeight="true" outlineLevel="0" collapsed="false">
      <c r="A25" s="35" t="s">
        <v>4090</v>
      </c>
      <c r="B25" s="35" t="s">
        <v>4326</v>
      </c>
      <c r="C25" s="6" t="s">
        <v>4359</v>
      </c>
      <c r="D25" s="18" t="s">
        <v>4360</v>
      </c>
      <c r="E25" s="35" t="s">
        <v>4301</v>
      </c>
      <c r="F25" s="6" t="s">
        <v>571</v>
      </c>
      <c r="G25" s="209" t="s">
        <v>4302</v>
      </c>
      <c r="H25" s="6" t="s">
        <v>571</v>
      </c>
      <c r="I25" s="209" t="s">
        <v>4304</v>
      </c>
      <c r="J25" s="209" t="s">
        <v>602</v>
      </c>
    </row>
    <row r="26" customFormat="false" ht="43.5" hidden="false" customHeight="true" outlineLevel="0" collapsed="false">
      <c r="A26" s="35" t="s">
        <v>4120</v>
      </c>
      <c r="B26" s="35" t="s">
        <v>4326</v>
      </c>
      <c r="C26" s="6" t="s">
        <v>4361</v>
      </c>
      <c r="D26" s="18" t="s">
        <v>4362</v>
      </c>
      <c r="E26" s="35" t="s">
        <v>1185</v>
      </c>
      <c r="F26" s="6" t="s">
        <v>571</v>
      </c>
      <c r="G26" s="209" t="s">
        <v>4302</v>
      </c>
      <c r="H26" s="6" t="s">
        <v>571</v>
      </c>
      <c r="I26" s="209" t="s">
        <v>4304</v>
      </c>
      <c r="J26" s="209" t="s">
        <v>602</v>
      </c>
    </row>
    <row r="27" customFormat="false" ht="15" hidden="false" customHeight="true" outlineLevel="0" collapsed="false">
      <c r="A27" s="35" t="s">
        <v>4073</v>
      </c>
      <c r="B27" s="35" t="s">
        <v>4326</v>
      </c>
      <c r="C27" s="18" t="s">
        <v>1048</v>
      </c>
      <c r="D27" s="18" t="s">
        <v>4363</v>
      </c>
      <c r="E27" s="35" t="s">
        <v>4301</v>
      </c>
      <c r="F27" s="6" t="s">
        <v>571</v>
      </c>
      <c r="G27" s="209" t="s">
        <v>4302</v>
      </c>
      <c r="H27" s="6" t="s">
        <v>571</v>
      </c>
      <c r="I27" s="209" t="s">
        <v>4304</v>
      </c>
      <c r="J27" s="209" t="s">
        <v>602</v>
      </c>
    </row>
    <row r="28" customFormat="false" ht="15" hidden="false" customHeight="true" outlineLevel="0" collapsed="false">
      <c r="A28" s="35" t="s">
        <v>4364</v>
      </c>
      <c r="B28" s="35" t="s">
        <v>4326</v>
      </c>
      <c r="C28" s="18" t="s">
        <v>4365</v>
      </c>
      <c r="D28" s="6" t="s">
        <v>4366</v>
      </c>
      <c r="E28" s="35" t="s">
        <v>4301</v>
      </c>
      <c r="F28" s="6" t="s">
        <v>571</v>
      </c>
      <c r="G28" s="209" t="s">
        <v>4302</v>
      </c>
      <c r="H28" s="6" t="s">
        <v>571</v>
      </c>
      <c r="I28" s="209" t="s">
        <v>4304</v>
      </c>
      <c r="J28" s="209" t="s">
        <v>602</v>
      </c>
    </row>
    <row r="29" customFormat="false" ht="15" hidden="false" customHeight="true" outlineLevel="0" collapsed="false">
      <c r="A29" s="35" t="s">
        <v>4180</v>
      </c>
      <c r="B29" s="35" t="s">
        <v>4326</v>
      </c>
      <c r="C29" s="6" t="s">
        <v>4367</v>
      </c>
      <c r="D29" s="6" t="s">
        <v>4368</v>
      </c>
      <c r="E29" s="35" t="s">
        <v>4301</v>
      </c>
      <c r="F29" s="6" t="s">
        <v>571</v>
      </c>
      <c r="G29" s="209" t="s">
        <v>4302</v>
      </c>
      <c r="H29" s="6" t="s">
        <v>571</v>
      </c>
      <c r="I29" s="209" t="s">
        <v>4304</v>
      </c>
      <c r="J29" s="209" t="s">
        <v>602</v>
      </c>
    </row>
    <row r="30" customFormat="false" ht="15" hidden="false" customHeight="true" outlineLevel="0" collapsed="false">
      <c r="A30" s="35" t="s">
        <v>4080</v>
      </c>
      <c r="B30" s="35" t="s">
        <v>4326</v>
      </c>
      <c r="C30" s="18" t="s">
        <v>4369</v>
      </c>
      <c r="D30" s="6" t="s">
        <v>4370</v>
      </c>
      <c r="E30" s="35" t="s">
        <v>4355</v>
      </c>
      <c r="F30" s="6" t="s">
        <v>571</v>
      </c>
      <c r="G30" s="209" t="s">
        <v>4302</v>
      </c>
      <c r="H30" s="6" t="s">
        <v>4371</v>
      </c>
      <c r="I30" s="209" t="s">
        <v>4304</v>
      </c>
      <c r="J30" s="209" t="s">
        <v>602</v>
      </c>
    </row>
    <row r="31" customFormat="false" ht="15" hidden="false" customHeight="true" outlineLevel="0" collapsed="false">
      <c r="A31" s="35" t="s">
        <v>3706</v>
      </c>
      <c r="B31" s="35" t="s">
        <v>4326</v>
      </c>
      <c r="C31" s="18" t="s">
        <v>4372</v>
      </c>
      <c r="D31" s="18" t="s">
        <v>4373</v>
      </c>
      <c r="E31" s="35" t="s">
        <v>4301</v>
      </c>
      <c r="F31" s="6" t="s">
        <v>571</v>
      </c>
      <c r="G31" s="209" t="s">
        <v>4302</v>
      </c>
      <c r="H31" s="6" t="s">
        <v>571</v>
      </c>
      <c r="I31" s="209" t="s">
        <v>4304</v>
      </c>
      <c r="J31" s="209" t="s">
        <v>602</v>
      </c>
    </row>
    <row r="32" customFormat="false" ht="43.5" hidden="false" customHeight="true" outlineLevel="0" collapsed="false">
      <c r="A32" s="35" t="s">
        <v>4374</v>
      </c>
      <c r="B32" s="209" t="s">
        <v>4353</v>
      </c>
      <c r="C32" s="18" t="s">
        <v>4375</v>
      </c>
      <c r="D32" s="6" t="s">
        <v>4376</v>
      </c>
      <c r="E32" s="35" t="s">
        <v>4377</v>
      </c>
      <c r="F32" s="6" t="s">
        <v>571</v>
      </c>
      <c r="G32" s="209" t="s">
        <v>4302</v>
      </c>
      <c r="H32" s="6" t="s">
        <v>571</v>
      </c>
      <c r="I32" s="209" t="s">
        <v>4304</v>
      </c>
      <c r="J32" s="209" t="s">
        <v>602</v>
      </c>
    </row>
    <row r="33" customFormat="false" ht="43.5" hidden="false" customHeight="true" outlineLevel="0" collapsed="false">
      <c r="A33" s="35" t="s">
        <v>4378</v>
      </c>
      <c r="B33" s="209" t="s">
        <v>4353</v>
      </c>
      <c r="C33" s="6" t="s">
        <v>4379</v>
      </c>
      <c r="D33" s="18" t="s">
        <v>4380</v>
      </c>
      <c r="E33" s="35" t="s">
        <v>4301</v>
      </c>
      <c r="F33" s="6" t="s">
        <v>571</v>
      </c>
      <c r="G33" s="209" t="s">
        <v>4302</v>
      </c>
      <c r="H33" s="6" t="s">
        <v>571</v>
      </c>
      <c r="I33" s="209" t="s">
        <v>4304</v>
      </c>
      <c r="J33" s="209" t="s">
        <v>602</v>
      </c>
    </row>
    <row r="34" customFormat="false" ht="43.5" hidden="false" customHeight="true" outlineLevel="0" collapsed="false">
      <c r="A34" s="35" t="s">
        <v>4381</v>
      </c>
      <c r="B34" s="209" t="s">
        <v>4353</v>
      </c>
      <c r="C34" s="6" t="s">
        <v>4382</v>
      </c>
      <c r="D34" s="18" t="s">
        <v>4383</v>
      </c>
      <c r="E34" s="35" t="s">
        <v>1185</v>
      </c>
      <c r="F34" s="6" t="s">
        <v>571</v>
      </c>
      <c r="G34" s="209" t="s">
        <v>4302</v>
      </c>
      <c r="H34" s="6" t="s">
        <v>571</v>
      </c>
      <c r="I34" s="209" t="s">
        <v>4304</v>
      </c>
      <c r="J34" s="209" t="s">
        <v>602</v>
      </c>
    </row>
    <row r="35" customFormat="false" ht="43.5" hidden="false" customHeight="true" outlineLevel="0" collapsed="false">
      <c r="A35" s="35" t="s">
        <v>4384</v>
      </c>
      <c r="B35" s="209" t="s">
        <v>4353</v>
      </c>
      <c r="C35" s="18" t="s">
        <v>4385</v>
      </c>
      <c r="D35" s="6" t="s">
        <v>4386</v>
      </c>
      <c r="E35" s="35" t="s">
        <v>1185</v>
      </c>
      <c r="F35" s="6" t="s">
        <v>571</v>
      </c>
      <c r="G35" s="209" t="s">
        <v>4302</v>
      </c>
      <c r="H35" s="6" t="s">
        <v>571</v>
      </c>
      <c r="I35" s="209" t="s">
        <v>4304</v>
      </c>
      <c r="J35" s="209" t="s">
        <v>602</v>
      </c>
    </row>
    <row r="36" customFormat="false" ht="15" hidden="false" customHeight="true" outlineLevel="0" collapsed="false">
      <c r="A36" s="35" t="s">
        <v>4387</v>
      </c>
      <c r="B36" s="209" t="s">
        <v>4353</v>
      </c>
      <c r="C36" s="18" t="s">
        <v>4388</v>
      </c>
      <c r="D36" s="18" t="s">
        <v>4389</v>
      </c>
      <c r="E36" s="35" t="s">
        <v>4301</v>
      </c>
      <c r="F36" s="6" t="s">
        <v>571</v>
      </c>
      <c r="G36" s="209" t="s">
        <v>4302</v>
      </c>
      <c r="H36" s="6" t="s">
        <v>571</v>
      </c>
      <c r="I36" s="209" t="s">
        <v>4304</v>
      </c>
      <c r="J36" s="209" t="s">
        <v>602</v>
      </c>
    </row>
    <row r="37" customFormat="false" ht="15" hidden="false" customHeight="true" outlineLevel="0" collapsed="false">
      <c r="A37" s="35" t="s">
        <v>4390</v>
      </c>
      <c r="B37" s="35" t="s">
        <v>666</v>
      </c>
      <c r="C37" s="18" t="s">
        <v>4391</v>
      </c>
      <c r="D37" s="6" t="s">
        <v>4392</v>
      </c>
      <c r="E37" s="35" t="s">
        <v>1185</v>
      </c>
      <c r="F37" s="18" t="s">
        <v>4393</v>
      </c>
      <c r="G37" s="209" t="s">
        <v>4302</v>
      </c>
      <c r="H37" s="6" t="s">
        <v>571</v>
      </c>
      <c r="I37" s="209" t="s">
        <v>4304</v>
      </c>
      <c r="J37" s="209" t="s">
        <v>602</v>
      </c>
    </row>
    <row r="38" customFormat="false" ht="29.25" hidden="false" customHeight="true" outlineLevel="0" collapsed="false">
      <c r="A38" s="35" t="s">
        <v>4394</v>
      </c>
      <c r="B38" s="35" t="s">
        <v>666</v>
      </c>
      <c r="C38" s="18" t="s">
        <v>4395</v>
      </c>
      <c r="D38" s="6" t="s">
        <v>4396</v>
      </c>
      <c r="E38" s="35" t="s">
        <v>4301</v>
      </c>
      <c r="F38" s="18" t="s">
        <v>4397</v>
      </c>
      <c r="G38" s="209" t="s">
        <v>4302</v>
      </c>
      <c r="H38" s="6" t="s">
        <v>571</v>
      </c>
      <c r="I38" s="209" t="s">
        <v>4304</v>
      </c>
      <c r="J38" s="209" t="s">
        <v>602</v>
      </c>
    </row>
    <row r="39" customFormat="false" ht="29.25" hidden="false" customHeight="true" outlineLevel="0" collapsed="false">
      <c r="A39" s="35" t="s">
        <v>4398</v>
      </c>
      <c r="B39" s="35" t="s">
        <v>666</v>
      </c>
      <c r="C39" s="18" t="s">
        <v>4399</v>
      </c>
      <c r="D39" s="6" t="s">
        <v>4400</v>
      </c>
      <c r="E39" s="35" t="s">
        <v>4301</v>
      </c>
      <c r="F39" s="6" t="s">
        <v>571</v>
      </c>
      <c r="G39" s="209" t="s">
        <v>4302</v>
      </c>
      <c r="H39" s="6" t="s">
        <v>571</v>
      </c>
      <c r="I39" s="209" t="s">
        <v>4304</v>
      </c>
      <c r="J39" s="209" t="s">
        <v>602</v>
      </c>
    </row>
    <row r="40" customFormat="false" ht="43.5" hidden="false" customHeight="true" outlineLevel="0" collapsed="false">
      <c r="A40" s="35" t="s">
        <v>3749</v>
      </c>
      <c r="B40" s="35" t="s">
        <v>666</v>
      </c>
      <c r="C40" s="18" t="s">
        <v>4401</v>
      </c>
      <c r="D40" s="6" t="s">
        <v>4402</v>
      </c>
      <c r="E40" s="35" t="s">
        <v>4301</v>
      </c>
      <c r="F40" s="18" t="s">
        <v>4403</v>
      </c>
      <c r="G40" s="209" t="s">
        <v>4302</v>
      </c>
      <c r="H40" s="6" t="s">
        <v>571</v>
      </c>
      <c r="I40" s="209" t="s">
        <v>4304</v>
      </c>
      <c r="J40" s="209" t="s">
        <v>602</v>
      </c>
    </row>
    <row r="41" customFormat="false" ht="15" hidden="false" customHeight="true" outlineLevel="0" collapsed="false">
      <c r="A41" s="35" t="s">
        <v>3767</v>
      </c>
      <c r="B41" s="35" t="s">
        <v>666</v>
      </c>
      <c r="C41" s="18" t="s">
        <v>4404</v>
      </c>
      <c r="D41" s="6" t="s">
        <v>4405</v>
      </c>
      <c r="E41" s="35" t="s">
        <v>4301</v>
      </c>
      <c r="F41" s="6" t="s">
        <v>571</v>
      </c>
      <c r="G41" s="209" t="s">
        <v>4302</v>
      </c>
      <c r="H41" s="6" t="s">
        <v>571</v>
      </c>
      <c r="I41" s="209" t="s">
        <v>4304</v>
      </c>
      <c r="J41" s="209" t="s">
        <v>602</v>
      </c>
    </row>
    <row r="42" customFormat="false" ht="43.5" hidden="false" customHeight="true" outlineLevel="0" collapsed="false">
      <c r="A42" s="35" t="s">
        <v>4406</v>
      </c>
      <c r="B42" s="35" t="s">
        <v>666</v>
      </c>
      <c r="C42" s="18" t="s">
        <v>4407</v>
      </c>
      <c r="D42" s="18" t="s">
        <v>4408</v>
      </c>
      <c r="E42" s="35" t="s">
        <v>1185</v>
      </c>
      <c r="F42" s="6" t="s">
        <v>571</v>
      </c>
      <c r="G42" s="209" t="s">
        <v>4302</v>
      </c>
      <c r="H42" s="6" t="s">
        <v>4409</v>
      </c>
      <c r="I42" s="209" t="s">
        <v>4304</v>
      </c>
      <c r="J42" s="209" t="s">
        <v>602</v>
      </c>
    </row>
    <row r="43" customFormat="false" ht="29.25" hidden="false" customHeight="true" outlineLevel="0" collapsed="false">
      <c r="A43" s="35" t="s">
        <v>3776</v>
      </c>
      <c r="B43" s="35" t="s">
        <v>666</v>
      </c>
      <c r="C43" s="6" t="s">
        <v>4410</v>
      </c>
      <c r="D43" s="18" t="s">
        <v>4411</v>
      </c>
      <c r="E43" s="35" t="s">
        <v>4301</v>
      </c>
      <c r="F43" s="6" t="s">
        <v>571</v>
      </c>
      <c r="G43" s="209" t="s">
        <v>4302</v>
      </c>
      <c r="H43" s="6" t="s">
        <v>571</v>
      </c>
      <c r="I43" s="209" t="s">
        <v>4304</v>
      </c>
      <c r="J43" s="209" t="s">
        <v>602</v>
      </c>
    </row>
    <row r="44" customFormat="false" ht="15" hidden="false" customHeight="true" outlineLevel="0" collapsed="false">
      <c r="A44" s="35" t="s">
        <v>4412</v>
      </c>
      <c r="B44" s="35" t="s">
        <v>666</v>
      </c>
      <c r="C44" s="18" t="s">
        <v>4413</v>
      </c>
      <c r="D44" s="18" t="s">
        <v>4414</v>
      </c>
      <c r="E44" s="35" t="s">
        <v>4301</v>
      </c>
      <c r="F44" s="6" t="s">
        <v>571</v>
      </c>
      <c r="G44" s="209" t="s">
        <v>4302</v>
      </c>
      <c r="H44" s="6" t="s">
        <v>571</v>
      </c>
      <c r="I44" s="209" t="s">
        <v>4304</v>
      </c>
      <c r="J44" s="209" t="s">
        <v>602</v>
      </c>
    </row>
    <row r="45" customFormat="false" ht="29.25" hidden="false" customHeight="true" outlineLevel="0" collapsed="false">
      <c r="A45" s="35" t="s">
        <v>4415</v>
      </c>
      <c r="B45" s="35" t="s">
        <v>666</v>
      </c>
      <c r="C45" s="18" t="s">
        <v>4416</v>
      </c>
      <c r="D45" s="18" t="s">
        <v>4417</v>
      </c>
      <c r="E45" s="35" t="s">
        <v>4301</v>
      </c>
      <c r="F45" s="6" t="s">
        <v>571</v>
      </c>
      <c r="G45" s="209" t="s">
        <v>4302</v>
      </c>
      <c r="H45" s="6" t="s">
        <v>571</v>
      </c>
      <c r="I45" s="209" t="s">
        <v>4304</v>
      </c>
      <c r="J45" s="209" t="s">
        <v>602</v>
      </c>
    </row>
    <row r="46" customFormat="false" ht="26.25" hidden="false" customHeight="true" outlineLevel="0" collapsed="false">
      <c r="A46" s="35" t="s">
        <v>3804</v>
      </c>
      <c r="B46" s="35" t="s">
        <v>666</v>
      </c>
      <c r="C46" s="18" t="s">
        <v>4418</v>
      </c>
      <c r="D46" s="18" t="s">
        <v>4419</v>
      </c>
      <c r="E46" s="35" t="s">
        <v>4301</v>
      </c>
      <c r="F46" s="6" t="s">
        <v>571</v>
      </c>
      <c r="G46" s="209" t="s">
        <v>4302</v>
      </c>
      <c r="H46" s="6" t="s">
        <v>571</v>
      </c>
      <c r="I46" s="209" t="s">
        <v>4304</v>
      </c>
      <c r="J46" s="209" t="s">
        <v>602</v>
      </c>
    </row>
    <row r="47" customFormat="false" ht="29.25" hidden="false" customHeight="true" outlineLevel="0" collapsed="false">
      <c r="A47" s="35" t="s">
        <v>3290</v>
      </c>
      <c r="B47" s="35" t="s">
        <v>666</v>
      </c>
      <c r="C47" s="18" t="s">
        <v>4420</v>
      </c>
      <c r="D47" s="18" t="s">
        <v>4421</v>
      </c>
      <c r="E47" s="35" t="s">
        <v>4422</v>
      </c>
      <c r="F47" s="18" t="s">
        <v>4423</v>
      </c>
      <c r="G47" s="209" t="s">
        <v>4345</v>
      </c>
      <c r="H47" s="6" t="s">
        <v>4424</v>
      </c>
      <c r="I47" s="209" t="s">
        <v>4304</v>
      </c>
      <c r="J47" s="209" t="s">
        <v>602</v>
      </c>
    </row>
    <row r="48" customFormat="false" ht="15" hidden="false" customHeight="true" outlineLevel="0" collapsed="false">
      <c r="A48" s="35" t="s">
        <v>3763</v>
      </c>
      <c r="B48" s="35" t="s">
        <v>666</v>
      </c>
      <c r="C48" s="18" t="s">
        <v>4425</v>
      </c>
      <c r="D48" s="18" t="s">
        <v>4426</v>
      </c>
      <c r="E48" s="35" t="s">
        <v>4301</v>
      </c>
      <c r="F48" s="6" t="s">
        <v>571</v>
      </c>
      <c r="G48" s="209" t="s">
        <v>4302</v>
      </c>
      <c r="H48" s="6" t="s">
        <v>571</v>
      </c>
      <c r="I48" s="209" t="s">
        <v>4304</v>
      </c>
      <c r="J48" s="209" t="s">
        <v>602</v>
      </c>
    </row>
    <row r="49" customFormat="false" ht="15" hidden="false" customHeight="true" outlineLevel="0" collapsed="false">
      <c r="A49" s="35" t="s">
        <v>3853</v>
      </c>
      <c r="B49" s="35" t="s">
        <v>666</v>
      </c>
      <c r="C49" s="18" t="s">
        <v>4427</v>
      </c>
      <c r="D49" s="18" t="s">
        <v>4428</v>
      </c>
      <c r="E49" s="35" t="s">
        <v>4301</v>
      </c>
      <c r="F49" s="18" t="s">
        <v>4429</v>
      </c>
      <c r="G49" s="209" t="s">
        <v>4302</v>
      </c>
      <c r="H49" s="6" t="s">
        <v>571</v>
      </c>
      <c r="I49" s="209" t="s">
        <v>4304</v>
      </c>
      <c r="J49" s="209" t="s">
        <v>602</v>
      </c>
    </row>
    <row r="50" customFormat="false" ht="15" hidden="false" customHeight="true" outlineLevel="0" collapsed="false">
      <c r="A50" s="35" t="s">
        <v>4430</v>
      </c>
      <c r="B50" s="35" t="s">
        <v>666</v>
      </c>
      <c r="C50" s="18" t="s">
        <v>4431</v>
      </c>
      <c r="D50" s="18" t="s">
        <v>4432</v>
      </c>
      <c r="E50" s="35" t="s">
        <v>4301</v>
      </c>
      <c r="F50" s="6" t="s">
        <v>571</v>
      </c>
      <c r="G50" s="209" t="s">
        <v>4302</v>
      </c>
      <c r="H50" s="6" t="s">
        <v>571</v>
      </c>
      <c r="I50" s="209" t="s">
        <v>4304</v>
      </c>
      <c r="J50" s="209" t="s">
        <v>602</v>
      </c>
    </row>
    <row r="51" customFormat="false" ht="43.5" hidden="false" customHeight="true" outlineLevel="0" collapsed="false">
      <c r="A51" s="35" t="s">
        <v>3388</v>
      </c>
      <c r="B51" s="35" t="s">
        <v>4433</v>
      </c>
      <c r="C51" s="6" t="s">
        <v>4434</v>
      </c>
      <c r="D51" s="18" t="s">
        <v>4435</v>
      </c>
      <c r="E51" s="35" t="s">
        <v>1185</v>
      </c>
      <c r="F51" s="18" t="s">
        <v>4436</v>
      </c>
      <c r="G51" s="209" t="s">
        <v>4302</v>
      </c>
      <c r="H51" s="6" t="s">
        <v>4437</v>
      </c>
      <c r="I51" s="209" t="s">
        <v>4304</v>
      </c>
      <c r="J51" s="209" t="s">
        <v>602</v>
      </c>
    </row>
    <row r="52" customFormat="false" ht="29.25" hidden="false" customHeight="true" outlineLevel="0" collapsed="false">
      <c r="A52" s="35" t="s">
        <v>4438</v>
      </c>
      <c r="B52" s="35" t="s">
        <v>4433</v>
      </c>
      <c r="C52" s="18" t="s">
        <v>4439</v>
      </c>
      <c r="D52" s="6" t="s">
        <v>4440</v>
      </c>
      <c r="E52" s="35" t="s">
        <v>4301</v>
      </c>
      <c r="F52" s="18" t="s">
        <v>4441</v>
      </c>
      <c r="G52" s="209" t="s">
        <v>4302</v>
      </c>
      <c r="H52" s="6" t="s">
        <v>571</v>
      </c>
      <c r="I52" s="209" t="s">
        <v>4304</v>
      </c>
      <c r="J52" s="209" t="s">
        <v>602</v>
      </c>
    </row>
    <row r="53" customFormat="false" ht="29.25" hidden="false" customHeight="true" outlineLevel="0" collapsed="false">
      <c r="A53" s="35" t="s">
        <v>3392</v>
      </c>
      <c r="B53" s="35" t="s">
        <v>4433</v>
      </c>
      <c r="C53" s="18" t="s">
        <v>4442</v>
      </c>
      <c r="D53" s="18" t="s">
        <v>4443</v>
      </c>
      <c r="E53" s="35" t="s">
        <v>4301</v>
      </c>
      <c r="F53" s="18" t="s">
        <v>4444</v>
      </c>
      <c r="G53" s="209" t="s">
        <v>4302</v>
      </c>
      <c r="H53" s="6" t="s">
        <v>4445</v>
      </c>
      <c r="I53" s="209" t="s">
        <v>4304</v>
      </c>
      <c r="J53" s="209" t="s">
        <v>602</v>
      </c>
    </row>
    <row r="54" customFormat="false" ht="29.25" hidden="false" customHeight="true" outlineLevel="0" collapsed="false">
      <c r="A54" s="35" t="s">
        <v>4446</v>
      </c>
      <c r="B54" s="35" t="s">
        <v>4433</v>
      </c>
      <c r="C54" s="6" t="s">
        <v>4447</v>
      </c>
      <c r="D54" s="18" t="s">
        <v>4448</v>
      </c>
      <c r="E54" s="35" t="s">
        <v>4301</v>
      </c>
      <c r="F54" s="6" t="s">
        <v>571</v>
      </c>
      <c r="G54" s="209" t="s">
        <v>4302</v>
      </c>
      <c r="H54" s="6" t="s">
        <v>571</v>
      </c>
      <c r="I54" s="209" t="s">
        <v>4304</v>
      </c>
      <c r="J54" s="209" t="s">
        <v>602</v>
      </c>
    </row>
    <row r="55" customFormat="false" ht="15" hidden="false" customHeight="true" outlineLevel="0" collapsed="false">
      <c r="A55" s="35" t="s">
        <v>4449</v>
      </c>
      <c r="B55" s="35" t="s">
        <v>4433</v>
      </c>
      <c r="C55" s="18" t="s">
        <v>4450</v>
      </c>
      <c r="D55" s="18" t="s">
        <v>4451</v>
      </c>
      <c r="E55" s="35" t="s">
        <v>4301</v>
      </c>
      <c r="F55" s="6" t="s">
        <v>571</v>
      </c>
      <c r="G55" s="209" t="s">
        <v>4302</v>
      </c>
      <c r="H55" s="6" t="s">
        <v>571</v>
      </c>
      <c r="I55" s="209" t="s">
        <v>4304</v>
      </c>
      <c r="J55" s="209" t="s">
        <v>602</v>
      </c>
    </row>
    <row r="56" customFormat="false" ht="15" hidden="false" customHeight="true" outlineLevel="0" collapsed="false">
      <c r="A56" s="35" t="s">
        <v>4452</v>
      </c>
      <c r="B56" s="35" t="s">
        <v>4433</v>
      </c>
      <c r="C56" s="18" t="s">
        <v>4453</v>
      </c>
      <c r="D56" s="18" t="s">
        <v>4454</v>
      </c>
      <c r="E56" s="35" t="s">
        <v>4301</v>
      </c>
      <c r="F56" s="6" t="s">
        <v>571</v>
      </c>
      <c r="G56" s="209" t="s">
        <v>4302</v>
      </c>
      <c r="H56" s="6" t="s">
        <v>571</v>
      </c>
      <c r="I56" s="209" t="s">
        <v>4304</v>
      </c>
      <c r="J56" s="209" t="s">
        <v>602</v>
      </c>
    </row>
    <row r="57" customFormat="false" ht="29.25" hidden="false" customHeight="true" outlineLevel="0" collapsed="false">
      <c r="A57" s="35" t="s">
        <v>4455</v>
      </c>
      <c r="B57" s="35" t="s">
        <v>4433</v>
      </c>
      <c r="C57" s="6" t="s">
        <v>4456</v>
      </c>
      <c r="D57" s="18" t="s">
        <v>4457</v>
      </c>
      <c r="E57" s="35" t="s">
        <v>4301</v>
      </c>
      <c r="F57" s="6" t="s">
        <v>571</v>
      </c>
      <c r="G57" s="209" t="s">
        <v>4302</v>
      </c>
      <c r="H57" s="6" t="s">
        <v>571</v>
      </c>
      <c r="I57" s="209" t="s">
        <v>4304</v>
      </c>
      <c r="J57" s="209" t="s">
        <v>602</v>
      </c>
    </row>
    <row r="58" customFormat="false" ht="29.25" hidden="false" customHeight="true" outlineLevel="0" collapsed="false">
      <c r="A58" s="35" t="s">
        <v>4458</v>
      </c>
      <c r="B58" s="35" t="s">
        <v>4433</v>
      </c>
      <c r="C58" s="18" t="s">
        <v>4459</v>
      </c>
      <c r="D58" s="6" t="s">
        <v>4460</v>
      </c>
      <c r="E58" s="35" t="s">
        <v>1185</v>
      </c>
      <c r="F58" s="6" t="s">
        <v>571</v>
      </c>
      <c r="G58" s="209" t="s">
        <v>4302</v>
      </c>
      <c r="H58" s="6" t="s">
        <v>4461</v>
      </c>
      <c r="I58" s="209" t="s">
        <v>4304</v>
      </c>
      <c r="J58" s="209" t="s">
        <v>602</v>
      </c>
    </row>
    <row r="59" customFormat="false" ht="43.5" hidden="false" customHeight="true" outlineLevel="0" collapsed="false">
      <c r="A59" s="35" t="s">
        <v>618</v>
      </c>
      <c r="B59" s="35" t="s">
        <v>24</v>
      </c>
      <c r="C59" s="18" t="s">
        <v>4462</v>
      </c>
      <c r="D59" s="18" t="s">
        <v>4463</v>
      </c>
      <c r="E59" s="35" t="s">
        <v>1185</v>
      </c>
      <c r="F59" s="6" t="s">
        <v>571</v>
      </c>
      <c r="G59" s="209" t="s">
        <v>4302</v>
      </c>
      <c r="H59" s="6" t="s">
        <v>571</v>
      </c>
      <c r="I59" s="209" t="s">
        <v>4304</v>
      </c>
      <c r="J59" s="209" t="s">
        <v>602</v>
      </c>
    </row>
    <row r="60" customFormat="false" ht="43.5" hidden="false" customHeight="true" outlineLevel="0" collapsed="false">
      <c r="A60" s="35" t="s">
        <v>4464</v>
      </c>
      <c r="B60" s="209" t="s">
        <v>4465</v>
      </c>
      <c r="C60" s="6" t="s">
        <v>4466</v>
      </c>
      <c r="D60" s="6" t="s">
        <v>4467</v>
      </c>
      <c r="E60" s="35" t="s">
        <v>4422</v>
      </c>
      <c r="F60" s="6" t="s">
        <v>571</v>
      </c>
      <c r="G60" s="209" t="s">
        <v>4302</v>
      </c>
      <c r="H60" s="6" t="s">
        <v>571</v>
      </c>
      <c r="I60" s="209" t="s">
        <v>4304</v>
      </c>
      <c r="J60" s="209" t="s">
        <v>602</v>
      </c>
    </row>
    <row r="61" customFormat="false" ht="57.75" hidden="false" customHeight="true" outlineLevel="0" collapsed="false">
      <c r="A61" s="35" t="s">
        <v>4468</v>
      </c>
      <c r="B61" s="209" t="s">
        <v>4465</v>
      </c>
      <c r="C61" s="18" t="s">
        <v>4469</v>
      </c>
      <c r="D61" s="18" t="s">
        <v>4470</v>
      </c>
      <c r="E61" s="35" t="s">
        <v>4301</v>
      </c>
      <c r="F61" s="6" t="s">
        <v>571</v>
      </c>
      <c r="G61" s="209" t="s">
        <v>4302</v>
      </c>
      <c r="H61" s="6" t="s">
        <v>571</v>
      </c>
      <c r="I61" s="209" t="s">
        <v>4304</v>
      </c>
      <c r="J61" s="209" t="s">
        <v>602</v>
      </c>
    </row>
    <row r="62" customFormat="false" ht="29.25" hidden="false" customHeight="true" outlineLevel="0" collapsed="false">
      <c r="A62" s="35" t="s">
        <v>4471</v>
      </c>
      <c r="B62" s="209" t="s">
        <v>4465</v>
      </c>
      <c r="C62" s="18" t="s">
        <v>4472</v>
      </c>
      <c r="D62" s="6" t="s">
        <v>4473</v>
      </c>
      <c r="E62" s="35" t="s">
        <v>4301</v>
      </c>
      <c r="F62" s="6" t="s">
        <v>571</v>
      </c>
      <c r="G62" s="209" t="s">
        <v>4302</v>
      </c>
      <c r="H62" s="6" t="s">
        <v>571</v>
      </c>
      <c r="I62" s="209" t="s">
        <v>4304</v>
      </c>
      <c r="J62" s="209" t="s">
        <v>602</v>
      </c>
    </row>
    <row r="63" customFormat="false" ht="15" hidden="false" customHeight="true" outlineLevel="0" collapsed="false">
      <c r="A63" s="35" t="s">
        <v>4474</v>
      </c>
      <c r="B63" s="209" t="s">
        <v>4465</v>
      </c>
      <c r="C63" s="18" t="s">
        <v>4475</v>
      </c>
      <c r="D63" s="18" t="s">
        <v>4476</v>
      </c>
      <c r="E63" s="35" t="s">
        <v>4301</v>
      </c>
      <c r="F63" s="6" t="s">
        <v>571</v>
      </c>
      <c r="G63" s="209" t="s">
        <v>4302</v>
      </c>
      <c r="H63" s="6" t="s">
        <v>571</v>
      </c>
      <c r="I63" s="209" t="s">
        <v>4304</v>
      </c>
      <c r="J63" s="209" t="s">
        <v>602</v>
      </c>
    </row>
    <row r="64" customFormat="false" ht="29.25" hidden="false" customHeight="true" outlineLevel="0" collapsed="false">
      <c r="A64" s="35" t="s">
        <v>3336</v>
      </c>
      <c r="B64" s="209" t="s">
        <v>4465</v>
      </c>
      <c r="C64" s="18" t="s">
        <v>4477</v>
      </c>
      <c r="D64" s="18" t="s">
        <v>4478</v>
      </c>
      <c r="E64" s="35" t="s">
        <v>4301</v>
      </c>
      <c r="F64" s="18" t="s">
        <v>4479</v>
      </c>
      <c r="G64" s="209" t="s">
        <v>4302</v>
      </c>
      <c r="H64" s="6" t="s">
        <v>571</v>
      </c>
      <c r="I64" s="209" t="s">
        <v>4304</v>
      </c>
      <c r="J64" s="209" t="s">
        <v>602</v>
      </c>
    </row>
    <row r="65" customFormat="false" ht="29.25" hidden="false" customHeight="true" outlineLevel="0" collapsed="false">
      <c r="A65" s="35" t="s">
        <v>2846</v>
      </c>
      <c r="B65" s="209" t="s">
        <v>4465</v>
      </c>
      <c r="C65" s="6" t="s">
        <v>4480</v>
      </c>
      <c r="D65" s="6" t="s">
        <v>4481</v>
      </c>
      <c r="E65" s="35" t="s">
        <v>4301</v>
      </c>
      <c r="F65" s="6" t="s">
        <v>571</v>
      </c>
      <c r="G65" s="209" t="s">
        <v>4302</v>
      </c>
      <c r="H65" s="6" t="s">
        <v>571</v>
      </c>
      <c r="I65" s="209" t="s">
        <v>4304</v>
      </c>
      <c r="J65" s="209" t="s">
        <v>602</v>
      </c>
    </row>
    <row r="66" customFormat="false" ht="57.75" hidden="false" customHeight="true" outlineLevel="0" collapsed="false">
      <c r="A66" s="35" t="s">
        <v>3352</v>
      </c>
      <c r="B66" s="209" t="s">
        <v>4465</v>
      </c>
      <c r="C66" s="6" t="s">
        <v>4482</v>
      </c>
      <c r="D66" s="18" t="s">
        <v>4483</v>
      </c>
      <c r="E66" s="35" t="s">
        <v>4301</v>
      </c>
      <c r="F66" s="6" t="s">
        <v>571</v>
      </c>
      <c r="G66" s="209" t="s">
        <v>4302</v>
      </c>
      <c r="H66" s="6" t="s">
        <v>571</v>
      </c>
      <c r="I66" s="209" t="s">
        <v>4304</v>
      </c>
      <c r="J66" s="209" t="s">
        <v>602</v>
      </c>
    </row>
    <row r="67" customFormat="false" ht="43.5" hidden="false" customHeight="true" outlineLevel="0" collapsed="false">
      <c r="A67" s="35" t="s">
        <v>2860</v>
      </c>
      <c r="B67" s="209" t="s">
        <v>4465</v>
      </c>
      <c r="C67" s="18" t="s">
        <v>4484</v>
      </c>
      <c r="D67" s="18" t="s">
        <v>4485</v>
      </c>
      <c r="E67" s="35" t="s">
        <v>4301</v>
      </c>
      <c r="F67" s="6" t="s">
        <v>571</v>
      </c>
      <c r="G67" s="209" t="s">
        <v>4302</v>
      </c>
      <c r="H67" s="6" t="s">
        <v>571</v>
      </c>
      <c r="I67" s="209" t="s">
        <v>4304</v>
      </c>
      <c r="J67" s="209" t="s">
        <v>602</v>
      </c>
    </row>
    <row r="68" customFormat="false" ht="57.75" hidden="false" customHeight="true" outlineLevel="0" collapsed="false">
      <c r="A68" s="35" t="s">
        <v>2878</v>
      </c>
      <c r="B68" s="209" t="s">
        <v>4465</v>
      </c>
      <c r="C68" s="18" t="s">
        <v>4486</v>
      </c>
      <c r="D68" s="18" t="s">
        <v>4487</v>
      </c>
      <c r="E68" s="35" t="s">
        <v>4301</v>
      </c>
      <c r="F68" s="18" t="s">
        <v>4488</v>
      </c>
      <c r="G68" s="209" t="s">
        <v>4302</v>
      </c>
      <c r="H68" s="6" t="s">
        <v>571</v>
      </c>
      <c r="I68" s="209" t="s">
        <v>4304</v>
      </c>
      <c r="J68" s="209" t="s">
        <v>602</v>
      </c>
    </row>
    <row r="69" customFormat="false" ht="29.25" hidden="false" customHeight="true" outlineLevel="0" collapsed="false">
      <c r="A69" s="35" t="s">
        <v>2891</v>
      </c>
      <c r="B69" s="209" t="s">
        <v>4465</v>
      </c>
      <c r="C69" s="18" t="s">
        <v>4489</v>
      </c>
      <c r="D69" s="18" t="s">
        <v>4490</v>
      </c>
      <c r="E69" s="35" t="s">
        <v>4301</v>
      </c>
      <c r="F69" s="6" t="s">
        <v>571</v>
      </c>
      <c r="G69" s="209" t="s">
        <v>4302</v>
      </c>
      <c r="H69" s="6" t="s">
        <v>571</v>
      </c>
      <c r="I69" s="209" t="s">
        <v>4304</v>
      </c>
      <c r="J69" s="209" t="s">
        <v>602</v>
      </c>
    </row>
    <row r="70" customFormat="false" ht="15" hidden="false" customHeight="true" outlineLevel="0" collapsed="false">
      <c r="A70" s="35" t="s">
        <v>2909</v>
      </c>
      <c r="B70" s="209" t="s">
        <v>4465</v>
      </c>
      <c r="C70" s="18" t="s">
        <v>4491</v>
      </c>
      <c r="D70" s="18" t="s">
        <v>4492</v>
      </c>
      <c r="E70" s="35" t="s">
        <v>4301</v>
      </c>
      <c r="F70" s="6" t="s">
        <v>571</v>
      </c>
      <c r="G70" s="209" t="s">
        <v>4302</v>
      </c>
      <c r="H70" s="6" t="s">
        <v>571</v>
      </c>
      <c r="I70" s="209" t="s">
        <v>4304</v>
      </c>
      <c r="J70" s="209" t="s">
        <v>602</v>
      </c>
    </row>
    <row r="71" customFormat="false" ht="29.25" hidden="false" customHeight="true" outlineLevel="0" collapsed="false">
      <c r="A71" s="35" t="s">
        <v>2929</v>
      </c>
      <c r="B71" s="209" t="s">
        <v>4465</v>
      </c>
      <c r="C71" s="18" t="s">
        <v>4493</v>
      </c>
      <c r="D71" s="18" t="s">
        <v>4494</v>
      </c>
      <c r="E71" s="35" t="s">
        <v>4422</v>
      </c>
      <c r="F71" s="6" t="s">
        <v>571</v>
      </c>
      <c r="G71" s="209" t="s">
        <v>4302</v>
      </c>
      <c r="H71" s="6" t="s">
        <v>571</v>
      </c>
      <c r="I71" s="209" t="s">
        <v>4304</v>
      </c>
      <c r="J71" s="209" t="s">
        <v>602</v>
      </c>
    </row>
    <row r="72" customFormat="false" ht="129" hidden="false" customHeight="true" outlineLevel="0" collapsed="false">
      <c r="A72" s="35" t="s">
        <v>3402</v>
      </c>
      <c r="B72" s="209" t="s">
        <v>4465</v>
      </c>
      <c r="C72" s="6" t="s">
        <v>4495</v>
      </c>
      <c r="D72" s="6" t="s">
        <v>4496</v>
      </c>
      <c r="E72" s="35" t="s">
        <v>4422</v>
      </c>
      <c r="F72" s="18" t="s">
        <v>4497</v>
      </c>
      <c r="G72" s="209" t="s">
        <v>4302</v>
      </c>
      <c r="H72" s="6" t="s">
        <v>571</v>
      </c>
      <c r="I72" s="209" t="s">
        <v>4304</v>
      </c>
      <c r="J72" s="209" t="s">
        <v>602</v>
      </c>
    </row>
    <row r="73" customFormat="false" ht="57.75" hidden="false" customHeight="true" outlineLevel="0" collapsed="false">
      <c r="A73" s="35" t="s">
        <v>2943</v>
      </c>
      <c r="B73" s="209" t="s">
        <v>4465</v>
      </c>
      <c r="C73" s="18" t="s">
        <v>4498</v>
      </c>
      <c r="D73" s="18" t="s">
        <v>4499</v>
      </c>
      <c r="E73" s="35" t="s">
        <v>4422</v>
      </c>
      <c r="F73" s="18" t="s">
        <v>4500</v>
      </c>
      <c r="G73" s="209" t="s">
        <v>4302</v>
      </c>
      <c r="H73" s="6" t="s">
        <v>571</v>
      </c>
      <c r="I73" s="209" t="s">
        <v>4304</v>
      </c>
      <c r="J73" s="209" t="s">
        <v>602</v>
      </c>
    </row>
    <row r="74" customFormat="false" ht="29.25" hidden="false" customHeight="true" outlineLevel="0" collapsed="false">
      <c r="A74" s="35" t="s">
        <v>3884</v>
      </c>
      <c r="B74" s="35" t="s">
        <v>4433</v>
      </c>
      <c r="C74" s="18" t="s">
        <v>4501</v>
      </c>
      <c r="D74" s="6" t="s">
        <v>4502</v>
      </c>
      <c r="E74" s="35" t="s">
        <v>4422</v>
      </c>
      <c r="F74" s="6" t="s">
        <v>4503</v>
      </c>
      <c r="G74" s="209" t="s">
        <v>4302</v>
      </c>
      <c r="H74" s="6" t="s">
        <v>4504</v>
      </c>
      <c r="I74" s="209" t="s">
        <v>4505</v>
      </c>
      <c r="J74" s="209" t="s">
        <v>602</v>
      </c>
    </row>
    <row r="75" customFormat="false" ht="15" hidden="false" customHeight="true" outlineLevel="0" collapsed="false">
      <c r="A75" s="35" t="s">
        <v>4506</v>
      </c>
      <c r="B75" s="35" t="s">
        <v>4507</v>
      </c>
      <c r="C75" s="18" t="s">
        <v>4508</v>
      </c>
      <c r="D75" s="18" t="s">
        <v>4509</v>
      </c>
      <c r="E75" s="35" t="s">
        <v>4422</v>
      </c>
      <c r="F75" s="18" t="s">
        <v>4510</v>
      </c>
      <c r="G75" s="188" t="s">
        <v>4511</v>
      </c>
      <c r="H75" s="6" t="s">
        <v>4512</v>
      </c>
      <c r="I75" s="209" t="s">
        <v>4513</v>
      </c>
      <c r="J75" s="209" t="s">
        <v>602</v>
      </c>
    </row>
    <row r="76" customFormat="false" ht="15" hidden="false" customHeight="true" outlineLevel="0" collapsed="false">
      <c r="A76" s="35" t="s">
        <v>4514</v>
      </c>
      <c r="B76" s="35" t="s">
        <v>4507</v>
      </c>
      <c r="C76" s="18" t="s">
        <v>4515</v>
      </c>
      <c r="D76" s="18" t="s">
        <v>4516</v>
      </c>
      <c r="E76" s="35" t="s">
        <v>4422</v>
      </c>
      <c r="F76" s="18" t="s">
        <v>4510</v>
      </c>
      <c r="G76" s="188" t="s">
        <v>4511</v>
      </c>
      <c r="H76" s="6" t="s">
        <v>4512</v>
      </c>
      <c r="I76" s="209" t="s">
        <v>4513</v>
      </c>
      <c r="J76" s="209" t="s">
        <v>602</v>
      </c>
    </row>
    <row r="77" customFormat="false" ht="15" hidden="false" customHeight="true" outlineLevel="0" collapsed="false">
      <c r="A77" s="35" t="s">
        <v>4517</v>
      </c>
      <c r="B77" s="35" t="s">
        <v>4507</v>
      </c>
      <c r="C77" s="6" t="s">
        <v>4518</v>
      </c>
      <c r="D77" s="18" t="s">
        <v>4519</v>
      </c>
      <c r="E77" s="35" t="s">
        <v>4422</v>
      </c>
      <c r="F77" s="18" t="s">
        <v>4510</v>
      </c>
      <c r="G77" s="188" t="s">
        <v>4511</v>
      </c>
      <c r="H77" s="6" t="s">
        <v>4512</v>
      </c>
      <c r="I77" s="209" t="s">
        <v>4513</v>
      </c>
      <c r="J77" s="209" t="s">
        <v>602</v>
      </c>
    </row>
    <row r="78" customFormat="false" ht="15" hidden="false" customHeight="true" outlineLevel="0" collapsed="false">
      <c r="A78" s="35" t="s">
        <v>4520</v>
      </c>
      <c r="B78" s="35" t="s">
        <v>4507</v>
      </c>
      <c r="C78" s="18" t="s">
        <v>4521</v>
      </c>
      <c r="D78" s="18" t="s">
        <v>4522</v>
      </c>
      <c r="E78" s="35" t="s">
        <v>4422</v>
      </c>
      <c r="F78" s="18" t="s">
        <v>4510</v>
      </c>
      <c r="G78" s="188" t="s">
        <v>4511</v>
      </c>
      <c r="H78" s="6" t="s">
        <v>4512</v>
      </c>
      <c r="I78" s="209" t="s">
        <v>4513</v>
      </c>
      <c r="J78" s="209" t="s">
        <v>602</v>
      </c>
    </row>
    <row r="79" customFormat="false" ht="29.25" hidden="false" customHeight="true" outlineLevel="0" collapsed="false">
      <c r="A79" s="35" t="s">
        <v>4523</v>
      </c>
      <c r="B79" s="35" t="s">
        <v>4507</v>
      </c>
      <c r="C79" s="6" t="s">
        <v>4524</v>
      </c>
      <c r="D79" s="18" t="s">
        <v>4525</v>
      </c>
      <c r="E79" s="35" t="s">
        <v>4422</v>
      </c>
      <c r="F79" s="18" t="s">
        <v>4510</v>
      </c>
      <c r="G79" s="188" t="s">
        <v>4511</v>
      </c>
      <c r="H79" s="6" t="s">
        <v>4512</v>
      </c>
      <c r="I79" s="209" t="s">
        <v>4513</v>
      </c>
      <c r="J79" s="209" t="s">
        <v>602</v>
      </c>
    </row>
    <row r="80" customFormat="false" ht="15" hidden="false" customHeight="true" outlineLevel="0" collapsed="false">
      <c r="A80" s="35" t="s">
        <v>4526</v>
      </c>
      <c r="B80" s="35" t="s">
        <v>4507</v>
      </c>
      <c r="C80" s="18" t="s">
        <v>4527</v>
      </c>
      <c r="D80" s="18" t="s">
        <v>4528</v>
      </c>
      <c r="E80" s="35" t="s">
        <v>4422</v>
      </c>
      <c r="F80" s="18" t="s">
        <v>4510</v>
      </c>
      <c r="G80" s="188" t="s">
        <v>4511</v>
      </c>
      <c r="H80" s="6" t="s">
        <v>4512</v>
      </c>
      <c r="I80" s="209" t="s">
        <v>4513</v>
      </c>
      <c r="J80" s="209" t="s">
        <v>602</v>
      </c>
    </row>
    <row r="81" customFormat="false" ht="15" hidden="false" customHeight="true" outlineLevel="0" collapsed="false">
      <c r="A81" s="35" t="s">
        <v>4529</v>
      </c>
      <c r="B81" s="35" t="s">
        <v>4507</v>
      </c>
      <c r="C81" s="18" t="s">
        <v>4530</v>
      </c>
      <c r="D81" s="18" t="s">
        <v>4531</v>
      </c>
      <c r="E81" s="35" t="s">
        <v>4422</v>
      </c>
      <c r="F81" s="18" t="s">
        <v>4510</v>
      </c>
      <c r="G81" s="188" t="s">
        <v>4511</v>
      </c>
      <c r="H81" s="6" t="s">
        <v>4512</v>
      </c>
      <c r="I81" s="209" t="s">
        <v>4513</v>
      </c>
      <c r="J81" s="209" t="s">
        <v>602</v>
      </c>
    </row>
    <row r="82" customFormat="false" ht="15" hidden="false" customHeight="true" outlineLevel="0" collapsed="false">
      <c r="A82" s="35" t="s">
        <v>4239</v>
      </c>
      <c r="B82" s="35" t="s">
        <v>4507</v>
      </c>
      <c r="C82" s="18" t="s">
        <v>4532</v>
      </c>
      <c r="D82" s="18" t="s">
        <v>4533</v>
      </c>
      <c r="E82" s="35" t="s">
        <v>4422</v>
      </c>
      <c r="F82" s="18" t="s">
        <v>4510</v>
      </c>
      <c r="G82" s="188" t="s">
        <v>4511</v>
      </c>
      <c r="H82" s="6" t="s">
        <v>4512</v>
      </c>
      <c r="I82" s="209" t="s">
        <v>4513</v>
      </c>
      <c r="J82" s="209" t="s">
        <v>602</v>
      </c>
    </row>
    <row r="83" customFormat="false" ht="15" hidden="false" customHeight="true" outlineLevel="0" collapsed="false">
      <c r="A83" s="35" t="s">
        <v>4534</v>
      </c>
      <c r="B83" s="209" t="s">
        <v>4535</v>
      </c>
      <c r="C83" s="18" t="s">
        <v>4536</v>
      </c>
      <c r="D83" s="18" t="s">
        <v>4537</v>
      </c>
      <c r="E83" s="35" t="s">
        <v>4422</v>
      </c>
      <c r="F83" s="18" t="s">
        <v>4538</v>
      </c>
      <c r="G83" s="209" t="s">
        <v>4302</v>
      </c>
      <c r="H83" s="6" t="s">
        <v>571</v>
      </c>
      <c r="I83" s="209" t="s">
        <v>4539</v>
      </c>
      <c r="J83" s="209" t="s">
        <v>602</v>
      </c>
    </row>
    <row r="84" customFormat="false" ht="43.5" hidden="false" customHeight="true" outlineLevel="0" collapsed="false">
      <c r="A84" s="35" t="s">
        <v>4540</v>
      </c>
      <c r="B84" s="209" t="s">
        <v>4535</v>
      </c>
      <c r="C84" s="6" t="s">
        <v>4541</v>
      </c>
      <c r="D84" s="18" t="s">
        <v>4542</v>
      </c>
      <c r="E84" s="35" t="s">
        <v>4422</v>
      </c>
      <c r="F84" s="18" t="s">
        <v>4543</v>
      </c>
      <c r="G84" s="209" t="s">
        <v>4302</v>
      </c>
      <c r="H84" s="6" t="s">
        <v>4544</v>
      </c>
      <c r="I84" s="209" t="s">
        <v>4539</v>
      </c>
      <c r="J84" s="209" t="s">
        <v>602</v>
      </c>
    </row>
    <row r="85" customFormat="false" ht="26.25" hidden="false" customHeight="true" outlineLevel="0" collapsed="false">
      <c r="A85" s="35" t="s">
        <v>4545</v>
      </c>
      <c r="B85" s="209" t="s">
        <v>4535</v>
      </c>
      <c r="C85" s="6" t="s">
        <v>4546</v>
      </c>
      <c r="D85" s="6" t="s">
        <v>4547</v>
      </c>
      <c r="E85" s="35" t="s">
        <v>4422</v>
      </c>
      <c r="F85" s="18" t="s">
        <v>4543</v>
      </c>
      <c r="G85" s="209" t="s">
        <v>4302</v>
      </c>
      <c r="H85" s="6" t="s">
        <v>4548</v>
      </c>
      <c r="I85" s="209" t="s">
        <v>4539</v>
      </c>
      <c r="J85" s="209" t="s">
        <v>602</v>
      </c>
    </row>
    <row r="86" customFormat="false" ht="29.25" hidden="false" customHeight="true" outlineLevel="0" collapsed="false">
      <c r="A86" s="35" t="s">
        <v>4549</v>
      </c>
      <c r="B86" s="209" t="s">
        <v>4535</v>
      </c>
      <c r="C86" s="18" t="s">
        <v>4550</v>
      </c>
      <c r="D86" s="18" t="s">
        <v>4551</v>
      </c>
      <c r="E86" s="35" t="s">
        <v>4422</v>
      </c>
      <c r="F86" s="18" t="s">
        <v>4543</v>
      </c>
      <c r="G86" s="209" t="s">
        <v>4302</v>
      </c>
      <c r="H86" s="6" t="s">
        <v>571</v>
      </c>
      <c r="I86" s="209" t="s">
        <v>4539</v>
      </c>
      <c r="J86" s="209" t="s">
        <v>602</v>
      </c>
    </row>
    <row r="87" customFormat="false" ht="29.25" hidden="false" customHeight="true" outlineLevel="0" collapsed="false">
      <c r="A87" s="35" t="s">
        <v>4552</v>
      </c>
      <c r="B87" s="209" t="s">
        <v>4535</v>
      </c>
      <c r="C87" s="18" t="s">
        <v>4553</v>
      </c>
      <c r="D87" s="18" t="s">
        <v>4554</v>
      </c>
      <c r="E87" s="35" t="s">
        <v>4422</v>
      </c>
      <c r="F87" s="18" t="s">
        <v>4538</v>
      </c>
      <c r="G87" s="209" t="s">
        <v>4302</v>
      </c>
      <c r="H87" s="6" t="s">
        <v>4555</v>
      </c>
      <c r="I87" s="209" t="s">
        <v>4539</v>
      </c>
      <c r="J87" s="209" t="s">
        <v>602</v>
      </c>
    </row>
    <row r="88" customFormat="false" ht="29.25" hidden="false" customHeight="true" outlineLevel="0" collapsed="false">
      <c r="A88" s="35" t="s">
        <v>4031</v>
      </c>
      <c r="B88" s="209" t="s">
        <v>4535</v>
      </c>
      <c r="C88" s="6" t="s">
        <v>4556</v>
      </c>
      <c r="D88" s="6" t="s">
        <v>4557</v>
      </c>
      <c r="E88" s="35" t="s">
        <v>4422</v>
      </c>
      <c r="F88" s="18" t="s">
        <v>4543</v>
      </c>
      <c r="G88" s="209" t="s">
        <v>4302</v>
      </c>
      <c r="H88" s="6" t="s">
        <v>4558</v>
      </c>
      <c r="I88" s="209" t="s">
        <v>4539</v>
      </c>
      <c r="J88" s="209" t="s">
        <v>602</v>
      </c>
    </row>
    <row r="89" customFormat="false" ht="29.25" hidden="false" customHeight="true" outlineLevel="0" collapsed="false">
      <c r="A89" s="35" t="s">
        <v>4559</v>
      </c>
      <c r="B89" s="209" t="s">
        <v>4535</v>
      </c>
      <c r="C89" s="18" t="s">
        <v>4560</v>
      </c>
      <c r="D89" s="6" t="s">
        <v>4561</v>
      </c>
      <c r="E89" s="35" t="s">
        <v>4422</v>
      </c>
      <c r="F89" s="18" t="s">
        <v>4543</v>
      </c>
      <c r="G89" s="209" t="s">
        <v>4302</v>
      </c>
      <c r="H89" s="6" t="s">
        <v>571</v>
      </c>
      <c r="I89" s="209" t="s">
        <v>4539</v>
      </c>
      <c r="J89" s="209" t="s">
        <v>602</v>
      </c>
    </row>
    <row r="90" customFormat="false" ht="43.5" hidden="false" customHeight="true" outlineLevel="0" collapsed="false">
      <c r="A90" s="35" t="s">
        <v>4562</v>
      </c>
      <c r="B90" s="209" t="s">
        <v>4535</v>
      </c>
      <c r="C90" s="18" t="s">
        <v>4563</v>
      </c>
      <c r="D90" s="18" t="s">
        <v>4564</v>
      </c>
      <c r="E90" s="35" t="s">
        <v>4422</v>
      </c>
      <c r="F90" s="18" t="s">
        <v>4565</v>
      </c>
      <c r="G90" s="209" t="s">
        <v>4302</v>
      </c>
      <c r="H90" s="6" t="s">
        <v>571</v>
      </c>
      <c r="I90" s="209" t="s">
        <v>4539</v>
      </c>
      <c r="J90" s="209" t="s">
        <v>602</v>
      </c>
    </row>
    <row r="91" customFormat="false" ht="29.25" hidden="false" customHeight="true" outlineLevel="0" collapsed="false">
      <c r="A91" s="35" t="s">
        <v>4566</v>
      </c>
      <c r="B91" s="209" t="s">
        <v>4535</v>
      </c>
      <c r="C91" s="18" t="s">
        <v>4567</v>
      </c>
      <c r="D91" s="6" t="s">
        <v>4568</v>
      </c>
      <c r="E91" s="35" t="s">
        <v>4422</v>
      </c>
      <c r="F91" s="6" t="s">
        <v>571</v>
      </c>
      <c r="G91" s="209" t="s">
        <v>4302</v>
      </c>
      <c r="H91" s="6" t="s">
        <v>571</v>
      </c>
      <c r="I91" s="209" t="s">
        <v>4539</v>
      </c>
      <c r="J91" s="209" t="s">
        <v>602</v>
      </c>
    </row>
    <row r="92" customFormat="false" ht="15" hidden="false" customHeight="true" outlineLevel="0" collapsed="false">
      <c r="A92" s="35" t="s">
        <v>4569</v>
      </c>
      <c r="B92" s="209" t="s">
        <v>4535</v>
      </c>
      <c r="C92" s="18" t="s">
        <v>4570</v>
      </c>
      <c r="D92" s="18" t="s">
        <v>4571</v>
      </c>
      <c r="E92" s="35" t="s">
        <v>4422</v>
      </c>
      <c r="F92" s="6" t="s">
        <v>571</v>
      </c>
      <c r="G92" s="209" t="s">
        <v>4302</v>
      </c>
      <c r="H92" s="6" t="s">
        <v>571</v>
      </c>
      <c r="I92" s="209" t="s">
        <v>4539</v>
      </c>
      <c r="J92" s="209" t="s">
        <v>602</v>
      </c>
    </row>
    <row r="93" customFormat="false" ht="29.25" hidden="false" customHeight="true" outlineLevel="0" collapsed="false">
      <c r="A93" s="35" t="s">
        <v>4572</v>
      </c>
      <c r="B93" s="209" t="s">
        <v>4535</v>
      </c>
      <c r="C93" s="6" t="s">
        <v>4573</v>
      </c>
      <c r="D93" s="18" t="s">
        <v>4574</v>
      </c>
      <c r="E93" s="35" t="s">
        <v>4422</v>
      </c>
      <c r="F93" s="18" t="s">
        <v>4575</v>
      </c>
      <c r="G93" s="209" t="s">
        <v>4302</v>
      </c>
      <c r="H93" s="6" t="s">
        <v>4424</v>
      </c>
      <c r="I93" s="209" t="s">
        <v>4539</v>
      </c>
      <c r="J93" s="209" t="s">
        <v>602</v>
      </c>
    </row>
    <row r="94" customFormat="false" ht="29.25" hidden="false" customHeight="true" outlineLevel="0" collapsed="false">
      <c r="A94" s="35" t="s">
        <v>2837</v>
      </c>
      <c r="B94" s="209" t="s">
        <v>4576</v>
      </c>
      <c r="C94" s="6" t="s">
        <v>4577</v>
      </c>
      <c r="D94" s="6" t="s">
        <v>4578</v>
      </c>
      <c r="E94" s="35" t="s">
        <v>4579</v>
      </c>
      <c r="F94" s="214" t="s">
        <v>4580</v>
      </c>
      <c r="G94" s="209" t="s">
        <v>4302</v>
      </c>
      <c r="H94" s="6" t="s">
        <v>4581</v>
      </c>
      <c r="I94" s="35" t="s">
        <v>4582</v>
      </c>
      <c r="J94" s="209" t="s">
        <v>602</v>
      </c>
    </row>
    <row r="95" customFormat="false" ht="51.75" hidden="false" customHeight="true" outlineLevel="0" collapsed="false">
      <c r="A95" s="35" t="s">
        <v>4583</v>
      </c>
      <c r="B95" s="35" t="s">
        <v>4507</v>
      </c>
      <c r="C95" s="18" t="s">
        <v>4584</v>
      </c>
      <c r="D95" s="6" t="s">
        <v>4585</v>
      </c>
      <c r="E95" s="35" t="s">
        <v>4586</v>
      </c>
      <c r="F95" s="18" t="s">
        <v>4587</v>
      </c>
      <c r="G95" s="35" t="s">
        <v>4588</v>
      </c>
      <c r="H95" s="6" t="s">
        <v>4589</v>
      </c>
      <c r="I95" s="209" t="s">
        <v>4590</v>
      </c>
      <c r="J95" s="209" t="s">
        <v>602</v>
      </c>
    </row>
    <row r="96" customFormat="false" ht="26.25" hidden="false" customHeight="true" outlineLevel="0" collapsed="false">
      <c r="A96" s="35" t="s">
        <v>4591</v>
      </c>
      <c r="B96" s="35" t="s">
        <v>4507</v>
      </c>
      <c r="C96" s="18" t="s">
        <v>4270</v>
      </c>
      <c r="D96" s="18" t="s">
        <v>4592</v>
      </c>
      <c r="E96" s="35" t="s">
        <v>4586</v>
      </c>
      <c r="F96" s="18" t="s">
        <v>4593</v>
      </c>
      <c r="G96" s="35" t="s">
        <v>4588</v>
      </c>
      <c r="H96" s="6" t="s">
        <v>4594</v>
      </c>
      <c r="I96" s="209" t="s">
        <v>4590</v>
      </c>
      <c r="J96" s="209" t="s">
        <v>602</v>
      </c>
    </row>
    <row r="97" customFormat="false" ht="26.85" hidden="false" customHeight="false" outlineLevel="0" collapsed="false">
      <c r="A97" s="54" t="s">
        <v>4595</v>
      </c>
      <c r="B97" s="54" t="s">
        <v>4596</v>
      </c>
      <c r="C97" s="5" t="s">
        <v>4597</v>
      </c>
      <c r="D97" s="6" t="s">
        <v>4598</v>
      </c>
      <c r="E97" s="54" t="s">
        <v>4599</v>
      </c>
      <c r="F97" s="5" t="s">
        <v>4600</v>
      </c>
      <c r="G97" s="53" t="s">
        <v>4601</v>
      </c>
      <c r="H97" s="6" t="s">
        <v>4602</v>
      </c>
      <c r="I97" s="53" t="s">
        <v>4603</v>
      </c>
      <c r="J97" s="53" t="s">
        <v>602</v>
      </c>
    </row>
    <row r="98" customFormat="false" ht="26.85" hidden="false" customHeight="false" outlineLevel="0" collapsed="false">
      <c r="A98" s="54" t="s">
        <v>4604</v>
      </c>
      <c r="B98" s="54" t="s">
        <v>4596</v>
      </c>
      <c r="C98" s="6" t="s">
        <v>4605</v>
      </c>
      <c r="D98" s="6" t="s">
        <v>4606</v>
      </c>
      <c r="E98" s="54" t="s">
        <v>4599</v>
      </c>
      <c r="F98" s="5" t="s">
        <v>4600</v>
      </c>
      <c r="G98" s="53" t="s">
        <v>4601</v>
      </c>
      <c r="H98" s="6" t="s">
        <v>4607</v>
      </c>
      <c r="I98" s="53" t="s">
        <v>4603</v>
      </c>
      <c r="J98" s="53" t="s">
        <v>602</v>
      </c>
    </row>
    <row r="99" customFormat="false" ht="52.2" hidden="false" customHeight="false" outlineLevel="0" collapsed="false">
      <c r="A99" s="54" t="s">
        <v>2636</v>
      </c>
      <c r="B99" s="54" t="s">
        <v>4596</v>
      </c>
      <c r="C99" s="5" t="s">
        <v>4608</v>
      </c>
      <c r="D99" s="5" t="s">
        <v>4609</v>
      </c>
      <c r="E99" s="54" t="s">
        <v>4599</v>
      </c>
      <c r="F99" s="5" t="s">
        <v>4610</v>
      </c>
      <c r="G99" s="53" t="s">
        <v>4601</v>
      </c>
      <c r="H99" s="6" t="s">
        <v>4611</v>
      </c>
      <c r="I99" s="53" t="s">
        <v>4612</v>
      </c>
      <c r="J99" s="53" t="s">
        <v>602</v>
      </c>
    </row>
    <row r="100" customFormat="false" ht="39.55" hidden="false" customHeight="false" outlineLevel="0" collapsed="false">
      <c r="A100" s="54" t="s">
        <v>3456</v>
      </c>
      <c r="B100" s="54" t="s">
        <v>4596</v>
      </c>
      <c r="C100" s="5" t="s">
        <v>4613</v>
      </c>
      <c r="D100" s="5" t="s">
        <v>4614</v>
      </c>
      <c r="E100" s="54" t="s">
        <v>4599</v>
      </c>
      <c r="F100" s="5" t="s">
        <v>4615</v>
      </c>
      <c r="G100" s="53" t="s">
        <v>4601</v>
      </c>
      <c r="H100" s="6" t="s">
        <v>4616</v>
      </c>
      <c r="I100" s="53" t="s">
        <v>4612</v>
      </c>
      <c r="J100" s="53" t="s">
        <v>602</v>
      </c>
    </row>
    <row r="101" customFormat="false" ht="39.55" hidden="false" customHeight="false" outlineLevel="0" collapsed="false">
      <c r="A101" s="54" t="s">
        <v>4617</v>
      </c>
      <c r="B101" s="54" t="s">
        <v>4596</v>
      </c>
      <c r="C101" s="5" t="s">
        <v>4618</v>
      </c>
      <c r="D101" s="6" t="s">
        <v>4619</v>
      </c>
      <c r="E101" s="54" t="s">
        <v>4620</v>
      </c>
      <c r="F101" s="6" t="s">
        <v>4621</v>
      </c>
      <c r="G101" s="53" t="s">
        <v>4601</v>
      </c>
      <c r="H101" s="6" t="s">
        <v>4622</v>
      </c>
      <c r="I101" s="53" t="s">
        <v>4623</v>
      </c>
      <c r="J101" s="53" t="s">
        <v>574</v>
      </c>
    </row>
    <row r="102" customFormat="false" ht="39.55" hidden="false" customHeight="false" outlineLevel="0" collapsed="false">
      <c r="A102" s="54" t="s">
        <v>4624</v>
      </c>
      <c r="B102" s="54" t="s">
        <v>4596</v>
      </c>
      <c r="C102" s="6" t="s">
        <v>4625</v>
      </c>
      <c r="D102" s="6" t="s">
        <v>4626</v>
      </c>
      <c r="E102" s="54" t="s">
        <v>4620</v>
      </c>
      <c r="F102" s="6" t="s">
        <v>4627</v>
      </c>
      <c r="G102" s="53" t="s">
        <v>4601</v>
      </c>
      <c r="H102" s="6" t="s">
        <v>4628</v>
      </c>
      <c r="I102" s="53" t="s">
        <v>4629</v>
      </c>
      <c r="J102" s="53" t="s">
        <v>574</v>
      </c>
    </row>
    <row r="103" customFormat="false" ht="26.85" hidden="false" customHeight="false" outlineLevel="0" collapsed="false">
      <c r="A103" s="54" t="s">
        <v>4630</v>
      </c>
      <c r="B103" s="54" t="s">
        <v>4596</v>
      </c>
      <c r="C103" s="6" t="s">
        <v>4631</v>
      </c>
      <c r="D103" s="5" t="s">
        <v>4632</v>
      </c>
      <c r="E103" s="54" t="s">
        <v>4599</v>
      </c>
      <c r="F103" s="5" t="s">
        <v>4633</v>
      </c>
      <c r="G103" s="53" t="s">
        <v>4601</v>
      </c>
      <c r="H103" s="6" t="s">
        <v>4634</v>
      </c>
      <c r="I103" s="53" t="s">
        <v>4635</v>
      </c>
      <c r="J103" s="53" t="s">
        <v>602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7" t="s">
        <v>4636</v>
      </c>
    </row>
    <row r="2" customFormat="false" ht="15" hidden="false" customHeight="true" outlineLevel="0" collapsed="false">
      <c r="A2" s="218" t="s">
        <v>4637</v>
      </c>
    </row>
    <row r="3" customFormat="false" ht="15" hidden="false" customHeight="true" outlineLevel="0" collapsed="false">
      <c r="A3" s="218" t="s">
        <v>4638</v>
      </c>
    </row>
    <row r="4" customFormat="false" ht="43.5" hidden="false" customHeight="true" outlineLevel="0" collapsed="false">
      <c r="A4" s="77" t="s">
        <v>4639</v>
      </c>
      <c r="B4" s="208" t="s">
        <v>1839</v>
      </c>
      <c r="C4" s="208" t="s">
        <v>4640</v>
      </c>
      <c r="D4" s="208" t="s">
        <v>1099</v>
      </c>
      <c r="E4" s="208" t="s">
        <v>1100</v>
      </c>
      <c r="F4" s="208" t="s">
        <v>55</v>
      </c>
      <c r="G4" s="208" t="s">
        <v>427</v>
      </c>
      <c r="H4" s="208" t="s">
        <v>4641</v>
      </c>
      <c r="I4" s="208" t="s">
        <v>4294</v>
      </c>
      <c r="J4" s="208" t="s">
        <v>4297</v>
      </c>
      <c r="K4" s="208" t="s">
        <v>4472</v>
      </c>
      <c r="L4" s="208" t="s">
        <v>4642</v>
      </c>
      <c r="M4" s="208" t="s">
        <v>4643</v>
      </c>
      <c r="N4" s="208" t="s">
        <v>4644</v>
      </c>
      <c r="O4" s="208" t="s">
        <v>558</v>
      </c>
      <c r="P4" s="208" t="s">
        <v>4645</v>
      </c>
      <c r="Q4" s="77" t="s">
        <v>4646</v>
      </c>
      <c r="R4" s="208" t="s">
        <v>4647</v>
      </c>
      <c r="S4" s="208" t="s">
        <v>4648</v>
      </c>
      <c r="T4" s="77" t="s">
        <v>4649</v>
      </c>
      <c r="U4" s="208" t="s">
        <v>4650</v>
      </c>
      <c r="V4" s="208" t="s">
        <v>4651</v>
      </c>
      <c r="W4" s="208" t="s">
        <v>4652</v>
      </c>
      <c r="X4" s="208" t="s">
        <v>4653</v>
      </c>
      <c r="Y4" s="208" t="s">
        <v>4654</v>
      </c>
      <c r="Z4" s="208" t="s">
        <v>4655</v>
      </c>
      <c r="AH4" s="76" t="s">
        <v>4656</v>
      </c>
    </row>
    <row r="5" customFormat="false" ht="29.25" hidden="false" customHeight="true" outlineLevel="0" collapsed="false">
      <c r="A5" s="35" t="s">
        <v>2865</v>
      </c>
      <c r="B5" s="6" t="s">
        <v>4657</v>
      </c>
      <c r="C5" s="211" t="n">
        <v>10.2</v>
      </c>
      <c r="D5" s="209"/>
      <c r="E5" s="209"/>
      <c r="F5" s="35" t="s">
        <v>4658</v>
      </c>
      <c r="G5" s="209" t="s">
        <v>4659</v>
      </c>
      <c r="H5" s="35" t="s">
        <v>4660</v>
      </c>
      <c r="I5" s="35" t="s">
        <v>4661</v>
      </c>
      <c r="J5" s="6" t="s">
        <v>4662</v>
      </c>
      <c r="K5" s="209" t="n">
        <v>1</v>
      </c>
      <c r="L5" s="209" t="s">
        <v>4663</v>
      </c>
      <c r="M5" s="6" t="s">
        <v>4664</v>
      </c>
      <c r="N5" s="209" t="s">
        <v>4665</v>
      </c>
      <c r="O5" s="35" t="s">
        <v>4666</v>
      </c>
      <c r="P5" s="35" t="s">
        <v>571</v>
      </c>
      <c r="Q5" s="35" t="s">
        <v>4667</v>
      </c>
      <c r="R5" s="35" t="s">
        <v>571</v>
      </c>
      <c r="S5" s="35" t="s">
        <v>4599</v>
      </c>
      <c r="T5" s="35" t="s">
        <v>571</v>
      </c>
      <c r="U5" s="35" t="s">
        <v>4595</v>
      </c>
      <c r="V5" s="6" t="s">
        <v>4668</v>
      </c>
      <c r="W5" s="6" t="s">
        <v>4669</v>
      </c>
      <c r="X5" s="183" t="n">
        <f aca="false">IF($O5="Active",SUMPRODUCT(($AH$5:$AH$118=$AH5)*1),0)</f>
        <v>1</v>
      </c>
      <c r="Y5" s="183" t="n">
        <f aca="false">IF(AND($O5="Active",OR($Q5="—",$Q5="")),1,0)</f>
        <v>0</v>
      </c>
      <c r="Z5" s="183" t="n">
        <f aca="false">IF(AND($O5="Active",$L5="利害關係方",OR($R5="—",$R5="")),1,0)</f>
        <v>1</v>
      </c>
      <c r="AH5" s="34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35" t="s">
        <v>4670</v>
      </c>
      <c r="B6" s="6" t="s">
        <v>4671</v>
      </c>
      <c r="C6" s="211" t="n">
        <v>30000</v>
      </c>
      <c r="D6" s="209"/>
      <c r="E6" s="209"/>
      <c r="F6" s="35" t="s">
        <v>88</v>
      </c>
      <c r="G6" s="209" t="s">
        <v>4672</v>
      </c>
      <c r="H6" s="35" t="s">
        <v>137</v>
      </c>
      <c r="I6" s="35" t="s">
        <v>4673</v>
      </c>
      <c r="J6" s="6" t="s">
        <v>4674</v>
      </c>
      <c r="K6" s="209" t="n">
        <v>3</v>
      </c>
      <c r="L6" s="209" t="s">
        <v>4663</v>
      </c>
      <c r="M6" s="6" t="s">
        <v>4675</v>
      </c>
      <c r="N6" s="209" t="s">
        <v>4676</v>
      </c>
      <c r="O6" s="35" t="s">
        <v>4666</v>
      </c>
      <c r="P6" s="35" t="s">
        <v>571</v>
      </c>
      <c r="Q6" s="35" t="s">
        <v>4677</v>
      </c>
      <c r="R6" s="35" t="s">
        <v>571</v>
      </c>
      <c r="S6" s="35" t="s">
        <v>571</v>
      </c>
      <c r="T6" s="35" t="s">
        <v>571</v>
      </c>
      <c r="U6" s="35" t="s">
        <v>4604</v>
      </c>
      <c r="V6" s="6" t="s">
        <v>571</v>
      </c>
      <c r="W6" s="6" t="s">
        <v>571</v>
      </c>
      <c r="X6" s="183" t="n">
        <f aca="false">IF($O6="Active",SUMPRODUCT(($AH$5:$AH$118=$AH6)*1),0)</f>
        <v>1</v>
      </c>
      <c r="Y6" s="183" t="n">
        <f aca="false">IF(AND($O6="Active",OR($Q6="—",$Q6="")),1,0)</f>
        <v>0</v>
      </c>
      <c r="Z6" s="183" t="n">
        <f aca="false">IF(AND($O6="Active",$L6="利害關係方",OR($R6="—",$R6="")),1,0)</f>
        <v>1</v>
      </c>
      <c r="AH6" s="34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35" t="s">
        <v>2895</v>
      </c>
      <c r="B7" s="6" t="s">
        <v>4678</v>
      </c>
      <c r="C7" s="209"/>
      <c r="D7" s="211" t="n">
        <v>220000</v>
      </c>
      <c r="E7" s="211" t="n">
        <v>320000</v>
      </c>
      <c r="F7" s="35" t="s">
        <v>4679</v>
      </c>
      <c r="G7" s="209" t="s">
        <v>4680</v>
      </c>
      <c r="H7" s="35" t="s">
        <v>137</v>
      </c>
      <c r="I7" s="35" t="s">
        <v>4673</v>
      </c>
      <c r="J7" s="6" t="s">
        <v>4674</v>
      </c>
      <c r="K7" s="209" t="n">
        <v>2</v>
      </c>
      <c r="L7" s="209" t="s">
        <v>4663</v>
      </c>
      <c r="M7" s="6" t="s">
        <v>4675</v>
      </c>
      <c r="N7" s="209" t="s">
        <v>4676</v>
      </c>
      <c r="O7" s="35" t="s">
        <v>4666</v>
      </c>
      <c r="P7" s="35" t="s">
        <v>571</v>
      </c>
      <c r="Q7" s="35" t="s">
        <v>4681</v>
      </c>
      <c r="R7" s="35" t="s">
        <v>571</v>
      </c>
      <c r="S7" s="35" t="s">
        <v>4599</v>
      </c>
      <c r="T7" s="35" t="s">
        <v>571</v>
      </c>
      <c r="U7" s="35" t="s">
        <v>4604</v>
      </c>
      <c r="V7" s="6" t="s">
        <v>4682</v>
      </c>
      <c r="W7" s="6" t="s">
        <v>4683</v>
      </c>
      <c r="X7" s="183" t="n">
        <f aca="false">IF($O7="Active",SUMPRODUCT(($AH$5:$AH$118=$AH7)*1),0)</f>
        <v>1</v>
      </c>
      <c r="Y7" s="183" t="n">
        <f aca="false">IF(AND($O7="Active",OR($Q7="—",$Q7="")),1,0)</f>
        <v>0</v>
      </c>
      <c r="Z7" s="183" t="n">
        <f aca="false">IF(AND($O7="Active",$L7="利害關係方",OR($R7="—",$R7="")),1,0)</f>
        <v>1</v>
      </c>
      <c r="AH7" s="34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35" t="s">
        <v>2853</v>
      </c>
      <c r="B8" s="6" t="s">
        <v>4684</v>
      </c>
      <c r="C8" s="209"/>
      <c r="D8" s="211" t="n">
        <v>120</v>
      </c>
      <c r="E8" s="211" t="n">
        <v>132</v>
      </c>
      <c r="F8" s="35" t="s">
        <v>4685</v>
      </c>
      <c r="G8" s="209" t="s">
        <v>4686</v>
      </c>
      <c r="H8" s="35" t="s">
        <v>138</v>
      </c>
      <c r="I8" s="35" t="s">
        <v>4687</v>
      </c>
      <c r="J8" s="6" t="s">
        <v>4688</v>
      </c>
      <c r="K8" s="209" t="n">
        <v>1</v>
      </c>
      <c r="L8" s="209" t="s">
        <v>4663</v>
      </c>
      <c r="M8" s="6" t="s">
        <v>4689</v>
      </c>
      <c r="N8" s="209" t="s">
        <v>4665</v>
      </c>
      <c r="O8" s="35" t="s">
        <v>4666</v>
      </c>
      <c r="P8" s="35" t="s">
        <v>571</v>
      </c>
      <c r="Q8" s="35" t="s">
        <v>4690</v>
      </c>
      <c r="R8" s="35" t="s">
        <v>571</v>
      </c>
      <c r="S8" s="35" t="s">
        <v>4599</v>
      </c>
      <c r="T8" s="35" t="s">
        <v>571</v>
      </c>
      <c r="U8" s="35" t="s">
        <v>4691</v>
      </c>
      <c r="V8" s="6" t="s">
        <v>4692</v>
      </c>
      <c r="W8" s="18" t="s">
        <v>4693</v>
      </c>
      <c r="X8" s="183" t="n">
        <f aca="false">IF($O8="Active",SUMPRODUCT(($AH$5:$AH$118=$AH8)*1),0)</f>
        <v>1</v>
      </c>
      <c r="Y8" s="183" t="n">
        <f aca="false">IF(AND($O8="Active",OR($Q8="—",$Q8="")),1,0)</f>
        <v>0</v>
      </c>
      <c r="Z8" s="183" t="n">
        <f aca="false">IF(AND($O8="Active",$L8="利害關係方",OR($R8="—",$R8="")),1,0)</f>
        <v>1</v>
      </c>
      <c r="AH8" s="34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35" t="s">
        <v>2855</v>
      </c>
      <c r="B9" s="6" t="s">
        <v>4694</v>
      </c>
      <c r="C9" s="209"/>
      <c r="D9" s="211" t="n">
        <v>132</v>
      </c>
      <c r="E9" s="211" t="n">
        <v>140</v>
      </c>
      <c r="F9" s="35" t="s">
        <v>4685</v>
      </c>
      <c r="G9" s="209" t="s">
        <v>4695</v>
      </c>
      <c r="H9" s="35" t="s">
        <v>139</v>
      </c>
      <c r="I9" s="35" t="s">
        <v>4687</v>
      </c>
      <c r="J9" s="6" t="s">
        <v>4696</v>
      </c>
      <c r="K9" s="209" t="n">
        <v>2</v>
      </c>
      <c r="L9" s="209" t="s">
        <v>4663</v>
      </c>
      <c r="M9" s="6" t="s">
        <v>4689</v>
      </c>
      <c r="N9" s="209" t="s">
        <v>4676</v>
      </c>
      <c r="O9" s="35" t="s">
        <v>4666</v>
      </c>
      <c r="P9" s="35" t="s">
        <v>571</v>
      </c>
      <c r="Q9" s="35" t="s">
        <v>4697</v>
      </c>
      <c r="R9" s="35" t="s">
        <v>571</v>
      </c>
      <c r="S9" s="35" t="s">
        <v>4599</v>
      </c>
      <c r="T9" s="35" t="s">
        <v>571</v>
      </c>
      <c r="U9" s="35" t="s">
        <v>4691</v>
      </c>
      <c r="V9" s="6" t="s">
        <v>4698</v>
      </c>
      <c r="W9" s="18" t="s">
        <v>4699</v>
      </c>
      <c r="X9" s="183" t="n">
        <f aca="false">IF($O9="Active",SUMPRODUCT(($AH$5:$AH$118=$AH9)*1),0)</f>
        <v>1</v>
      </c>
      <c r="Y9" s="183" t="n">
        <f aca="false">IF(AND($O9="Active",OR($Q9="—",$Q9="")),1,0)</f>
        <v>0</v>
      </c>
      <c r="Z9" s="183" t="n">
        <f aca="false">IF(AND($O9="Active",$L9="利害關係方",OR($R9="—",$R9="")),1,0)</f>
        <v>1</v>
      </c>
      <c r="AH9" s="34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35" t="s">
        <v>2899</v>
      </c>
      <c r="B10" s="6" t="s">
        <v>4700</v>
      </c>
      <c r="C10" s="209"/>
      <c r="D10" s="211" t="n">
        <v>2.8</v>
      </c>
      <c r="E10" s="211" t="n">
        <v>3.4</v>
      </c>
      <c r="F10" s="35" t="s">
        <v>4701</v>
      </c>
      <c r="G10" s="209" t="s">
        <v>4702</v>
      </c>
      <c r="H10" s="35" t="s">
        <v>138</v>
      </c>
      <c r="I10" s="35" t="s">
        <v>4703</v>
      </c>
      <c r="J10" s="6" t="s">
        <v>4704</v>
      </c>
      <c r="K10" s="209" t="n">
        <v>2</v>
      </c>
      <c r="L10" s="209" t="s">
        <v>4663</v>
      </c>
      <c r="M10" s="18" t="s">
        <v>4705</v>
      </c>
      <c r="N10" s="209" t="s">
        <v>4676</v>
      </c>
      <c r="O10" s="35" t="s">
        <v>4666</v>
      </c>
      <c r="P10" s="35" t="s">
        <v>571</v>
      </c>
      <c r="Q10" s="35" t="s">
        <v>4706</v>
      </c>
      <c r="R10" s="35" t="s">
        <v>571</v>
      </c>
      <c r="S10" s="35" t="s">
        <v>4599</v>
      </c>
      <c r="T10" s="35" t="s">
        <v>571</v>
      </c>
      <c r="U10" s="35" t="s">
        <v>4707</v>
      </c>
      <c r="V10" s="6" t="s">
        <v>4708</v>
      </c>
      <c r="W10" s="18" t="s">
        <v>4709</v>
      </c>
      <c r="X10" s="183" t="n">
        <f aca="false">IF($O10="Active",SUMPRODUCT(($AH$5:$AH$118=$AH10)*1),0)</f>
        <v>1</v>
      </c>
      <c r="Y10" s="183" t="n">
        <f aca="false">IF(AND($O10="Active",OR($Q10="—",$Q10="")),1,0)</f>
        <v>0</v>
      </c>
      <c r="Z10" s="183" t="n">
        <f aca="false">IF(AND($O10="Active",$L10="利害關係方",OR($R10="—",$R10="")),1,0)</f>
        <v>1</v>
      </c>
      <c r="AH10" s="34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35" t="s">
        <v>2937</v>
      </c>
      <c r="B11" s="6" t="s">
        <v>4710</v>
      </c>
      <c r="C11" s="209"/>
      <c r="D11" s="211" t="n">
        <v>6</v>
      </c>
      <c r="E11" s="211" t="n">
        <v>6.5</v>
      </c>
      <c r="F11" s="35" t="s">
        <v>4701</v>
      </c>
      <c r="G11" s="209" t="s">
        <v>4702</v>
      </c>
      <c r="H11" s="35" t="s">
        <v>139</v>
      </c>
      <c r="I11" s="35" t="s">
        <v>4703</v>
      </c>
      <c r="J11" s="6" t="s">
        <v>4704</v>
      </c>
      <c r="K11" s="209" t="n">
        <v>3</v>
      </c>
      <c r="L11" s="209" t="s">
        <v>4663</v>
      </c>
      <c r="M11" s="18" t="s">
        <v>4705</v>
      </c>
      <c r="N11" s="209" t="s">
        <v>4676</v>
      </c>
      <c r="O11" s="35" t="s">
        <v>4666</v>
      </c>
      <c r="P11" s="35" t="s">
        <v>571</v>
      </c>
      <c r="Q11" s="35" t="s">
        <v>4711</v>
      </c>
      <c r="R11" s="35" t="s">
        <v>571</v>
      </c>
      <c r="S11" s="35" t="s">
        <v>571</v>
      </c>
      <c r="T11" s="35" t="s">
        <v>571</v>
      </c>
      <c r="U11" s="35" t="s">
        <v>4707</v>
      </c>
      <c r="V11" s="6" t="s">
        <v>4712</v>
      </c>
      <c r="W11" s="6" t="s">
        <v>571</v>
      </c>
      <c r="X11" s="183" t="n">
        <f aca="false">IF($O11="Active",SUMPRODUCT(($AH$5:$AH$118=$AH11)*1),0)</f>
        <v>1</v>
      </c>
      <c r="Y11" s="183" t="n">
        <f aca="false">IF(AND($O11="Active",OR($Q11="—",$Q11="")),1,0)</f>
        <v>0</v>
      </c>
      <c r="Z11" s="183" t="n">
        <f aca="false">IF(AND($O11="Active",$L11="利害關係方",OR($R11="—",$R11="")),1,0)</f>
        <v>1</v>
      </c>
      <c r="AH11" s="34" t="str">
        <f aca="false">IF($O11="Active",$B11&amp;"¦"&amp;$G11&amp;"¦"&amp;$H11,"")</f>
        <v>GB300 NVL72 機架價格¦媒體報價¦GB300 NVL72</v>
      </c>
    </row>
    <row r="12" customFormat="false" ht="29.25" hidden="false" customHeight="true" outlineLevel="0" collapsed="false">
      <c r="A12" s="35" t="s">
        <v>4713</v>
      </c>
      <c r="B12" s="6" t="s">
        <v>4714</v>
      </c>
      <c r="C12" s="209"/>
      <c r="D12" s="211" t="n">
        <v>5</v>
      </c>
      <c r="E12" s="211" t="n">
        <v>7</v>
      </c>
      <c r="F12" s="35" t="s">
        <v>4701</v>
      </c>
      <c r="G12" s="209" t="s">
        <v>4702</v>
      </c>
      <c r="H12" s="35" t="s">
        <v>140</v>
      </c>
      <c r="I12" s="35" t="s">
        <v>4703</v>
      </c>
      <c r="J12" s="6" t="s">
        <v>4704</v>
      </c>
      <c r="K12" s="209" t="n">
        <v>3</v>
      </c>
      <c r="L12" s="209" t="s">
        <v>4663</v>
      </c>
      <c r="M12" s="18" t="s">
        <v>4705</v>
      </c>
      <c r="N12" s="209" t="s">
        <v>4676</v>
      </c>
      <c r="O12" s="35" t="s">
        <v>4715</v>
      </c>
      <c r="P12" s="35" t="s">
        <v>571</v>
      </c>
      <c r="Q12" s="35" t="s">
        <v>4711</v>
      </c>
      <c r="R12" s="35" t="s">
        <v>571</v>
      </c>
      <c r="S12" s="35" t="s">
        <v>571</v>
      </c>
      <c r="T12" s="35" t="s">
        <v>571</v>
      </c>
      <c r="U12" s="35" t="s">
        <v>4707</v>
      </c>
      <c r="V12" s="6" t="s">
        <v>571</v>
      </c>
      <c r="W12" s="18" t="s">
        <v>4716</v>
      </c>
      <c r="X12" s="183" t="n">
        <f aca="false">IF($O12="Active",SUMPRODUCT(($AH$5:$AH$118=$AH12)*1),0)</f>
        <v>0</v>
      </c>
      <c r="Y12" s="183" t="n">
        <f aca="false">IF(AND($O12="Active",OR($Q12="—",$Q12="")),1,0)</f>
        <v>0</v>
      </c>
      <c r="Z12" s="183" t="n">
        <f aca="false">IF(AND($O12="Active",$L12="利害關係方",OR($R12="—",$R12="")),1,0)</f>
        <v>0</v>
      </c>
      <c r="AH12" s="34" t="str">
        <f aca="false">IF($O12="Active",$B12&amp;"¦"&amp;$G12&amp;"¦"&amp;$H12,"")</f>
        <v/>
      </c>
    </row>
    <row r="13" customFormat="false" ht="15" hidden="false" customHeight="true" outlineLevel="0" collapsed="false">
      <c r="A13" s="35" t="s">
        <v>4717</v>
      </c>
      <c r="B13" s="6" t="s">
        <v>4718</v>
      </c>
      <c r="C13" s="209"/>
      <c r="D13" s="211" t="n">
        <v>132</v>
      </c>
      <c r="E13" s="211" t="n">
        <v>140</v>
      </c>
      <c r="F13" s="35" t="s">
        <v>4685</v>
      </c>
      <c r="G13" s="209" t="s">
        <v>4719</v>
      </c>
      <c r="H13" s="35" t="s">
        <v>139</v>
      </c>
      <c r="I13" s="35" t="s">
        <v>1176</v>
      </c>
      <c r="J13" s="6" t="s">
        <v>4720</v>
      </c>
      <c r="K13" s="209" t="n">
        <v>3</v>
      </c>
      <c r="L13" s="209" t="s">
        <v>4663</v>
      </c>
      <c r="M13" s="6" t="s">
        <v>4721</v>
      </c>
      <c r="N13" s="209" t="s">
        <v>4676</v>
      </c>
      <c r="O13" s="35" t="s">
        <v>4666</v>
      </c>
      <c r="P13" s="35" t="s">
        <v>571</v>
      </c>
      <c r="Q13" s="35" t="s">
        <v>4722</v>
      </c>
      <c r="R13" s="35" t="s">
        <v>571</v>
      </c>
      <c r="S13" s="35" t="s">
        <v>571</v>
      </c>
      <c r="T13" s="35" t="s">
        <v>571</v>
      </c>
      <c r="U13" s="35" t="s">
        <v>4723</v>
      </c>
      <c r="V13" s="6" t="s">
        <v>4724</v>
      </c>
      <c r="W13" s="6" t="s">
        <v>571</v>
      </c>
      <c r="X13" s="183" t="n">
        <f aca="false">IF($O13="Active",SUMPRODUCT(($AH$5:$AH$118=$AH13)*1),0)</f>
        <v>1</v>
      </c>
      <c r="Y13" s="183" t="n">
        <f aca="false">IF(AND($O13="Active",OR($Q13="—",$Q13="")),1,0)</f>
        <v>0</v>
      </c>
      <c r="Z13" s="183" t="n">
        <f aca="false">IF(AND($O13="Active",$L13="利害關係方",OR($R13="—",$R13="")),1,0)</f>
        <v>1</v>
      </c>
      <c r="AH13" s="34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35" t="s">
        <v>2922</v>
      </c>
      <c r="B14" s="6" t="s">
        <v>4725</v>
      </c>
      <c r="C14" s="211" t="n">
        <v>5</v>
      </c>
      <c r="D14" s="209"/>
      <c r="E14" s="209"/>
      <c r="F14" s="35" t="s">
        <v>4701</v>
      </c>
      <c r="G14" s="209" t="s">
        <v>4726</v>
      </c>
      <c r="H14" s="35" t="s">
        <v>139</v>
      </c>
      <c r="I14" s="35" t="s">
        <v>1176</v>
      </c>
      <c r="J14" s="6" t="s">
        <v>4727</v>
      </c>
      <c r="K14" s="209" t="n">
        <v>2</v>
      </c>
      <c r="L14" s="209" t="s">
        <v>4663</v>
      </c>
      <c r="M14" s="18" t="s">
        <v>4728</v>
      </c>
      <c r="N14" s="209" t="s">
        <v>4676</v>
      </c>
      <c r="O14" s="35" t="s">
        <v>4666</v>
      </c>
      <c r="P14" s="35" t="s">
        <v>571</v>
      </c>
      <c r="Q14" s="35" t="s">
        <v>4729</v>
      </c>
      <c r="R14" s="35" t="s">
        <v>571</v>
      </c>
      <c r="S14" s="35" t="s">
        <v>4599</v>
      </c>
      <c r="T14" s="35" t="s">
        <v>571</v>
      </c>
      <c r="U14" s="35" t="s">
        <v>4730</v>
      </c>
      <c r="V14" s="6" t="s">
        <v>4731</v>
      </c>
      <c r="W14" s="6" t="s">
        <v>4732</v>
      </c>
      <c r="X14" s="183" t="n">
        <f aca="false">IF($O14="Active",SUMPRODUCT(($AH$5:$AH$118=$AH14)*1),0)</f>
        <v>1</v>
      </c>
      <c r="Y14" s="183" t="n">
        <f aca="false">IF(AND($O14="Active",OR($Q14="—",$Q14="")),1,0)</f>
        <v>0</v>
      </c>
      <c r="Z14" s="183" t="n">
        <f aca="false">IF(AND($O14="Active",$L14="利害關係方",OR($R14="—",$R14="")),1,0)</f>
        <v>1</v>
      </c>
      <c r="AH14" s="34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35" t="s">
        <v>2858</v>
      </c>
      <c r="B15" s="6" t="s">
        <v>4733</v>
      </c>
      <c r="C15" s="211" t="n">
        <v>188</v>
      </c>
      <c r="D15" s="209"/>
      <c r="E15" s="209"/>
      <c r="F15" s="35" t="s">
        <v>4685</v>
      </c>
      <c r="G15" s="209" t="s">
        <v>4734</v>
      </c>
      <c r="H15" s="35" t="s">
        <v>140</v>
      </c>
      <c r="I15" s="35" t="s">
        <v>4673</v>
      </c>
      <c r="J15" s="6" t="s">
        <v>4735</v>
      </c>
      <c r="K15" s="209" t="n">
        <v>1</v>
      </c>
      <c r="L15" s="209" t="s">
        <v>4663</v>
      </c>
      <c r="M15" s="18" t="s">
        <v>4736</v>
      </c>
      <c r="N15" s="209" t="s">
        <v>4665</v>
      </c>
      <c r="O15" s="35" t="s">
        <v>4666</v>
      </c>
      <c r="P15" s="35" t="s">
        <v>571</v>
      </c>
      <c r="Q15" s="35" t="s">
        <v>4737</v>
      </c>
      <c r="R15" s="35" t="s">
        <v>571</v>
      </c>
      <c r="S15" s="35" t="s">
        <v>4599</v>
      </c>
      <c r="T15" s="35" t="s">
        <v>571</v>
      </c>
      <c r="U15" s="35" t="s">
        <v>4738</v>
      </c>
      <c r="V15" s="6" t="s">
        <v>4739</v>
      </c>
      <c r="W15" s="6" t="s">
        <v>4740</v>
      </c>
      <c r="X15" s="183" t="n">
        <f aca="false">IF($O15="Active",SUMPRODUCT(($AH$5:$AH$118=$AH15)*1),0)</f>
        <v>1</v>
      </c>
      <c r="Y15" s="183" t="n">
        <f aca="false">IF(AND($O15="Active",OR($Q15="—",$Q15="")),1,0)</f>
        <v>0</v>
      </c>
      <c r="Z15" s="183" t="n">
        <f aca="false">IF(AND($O15="Active",$L15="利害關係方",OR($R15="—",$R15="")),1,0)</f>
        <v>1</v>
      </c>
      <c r="AH15" s="34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35" t="s">
        <v>2889</v>
      </c>
      <c r="B16" s="6" t="s">
        <v>4741</v>
      </c>
      <c r="C16" s="211" t="n">
        <v>230</v>
      </c>
      <c r="D16" s="209"/>
      <c r="E16" s="209"/>
      <c r="F16" s="35" t="s">
        <v>4685</v>
      </c>
      <c r="G16" s="209" t="s">
        <v>4742</v>
      </c>
      <c r="H16" s="35" t="s">
        <v>140</v>
      </c>
      <c r="I16" s="35" t="s">
        <v>4673</v>
      </c>
      <c r="J16" s="6" t="s">
        <v>4743</v>
      </c>
      <c r="K16" s="209" t="n">
        <v>3</v>
      </c>
      <c r="L16" s="209" t="s">
        <v>4663</v>
      </c>
      <c r="M16" s="18" t="s">
        <v>4736</v>
      </c>
      <c r="N16" s="209" t="s">
        <v>4676</v>
      </c>
      <c r="O16" s="35" t="s">
        <v>4666</v>
      </c>
      <c r="P16" s="35" t="s">
        <v>571</v>
      </c>
      <c r="Q16" s="35" t="s">
        <v>4744</v>
      </c>
      <c r="R16" s="35" t="s">
        <v>571</v>
      </c>
      <c r="S16" s="35" t="s">
        <v>571</v>
      </c>
      <c r="T16" s="35" t="s">
        <v>571</v>
      </c>
      <c r="U16" s="35" t="s">
        <v>4738</v>
      </c>
      <c r="V16" s="6" t="s">
        <v>4745</v>
      </c>
      <c r="W16" s="6" t="s">
        <v>2685</v>
      </c>
      <c r="X16" s="183" t="n">
        <f aca="false">IF($O16="Active",SUMPRODUCT(($AH$5:$AH$118=$AH16)*1),0)</f>
        <v>1</v>
      </c>
      <c r="Y16" s="183" t="n">
        <f aca="false">IF(AND($O16="Active",OR($Q16="—",$Q16="")),1,0)</f>
        <v>0</v>
      </c>
      <c r="Z16" s="183" t="n">
        <f aca="false">IF(AND($O16="Active",$L16="利害關係方",OR($R16="—",$R16="")),1,0)</f>
        <v>1</v>
      </c>
      <c r="AH16" s="34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35" t="s">
        <v>4746</v>
      </c>
      <c r="B17" s="6" t="s">
        <v>4747</v>
      </c>
      <c r="C17" s="211" t="n">
        <v>600</v>
      </c>
      <c r="D17" s="209"/>
      <c r="E17" s="209"/>
      <c r="F17" s="35" t="s">
        <v>4685</v>
      </c>
      <c r="G17" s="209" t="s">
        <v>4748</v>
      </c>
      <c r="H17" s="35" t="s">
        <v>4749</v>
      </c>
      <c r="I17" s="35" t="s">
        <v>4673</v>
      </c>
      <c r="J17" s="6" t="s">
        <v>4743</v>
      </c>
      <c r="K17" s="209" t="n">
        <v>3</v>
      </c>
      <c r="L17" s="209" t="s">
        <v>4663</v>
      </c>
      <c r="M17" s="18" t="s">
        <v>4736</v>
      </c>
      <c r="N17" s="209" t="s">
        <v>4676</v>
      </c>
      <c r="O17" s="35" t="s">
        <v>4750</v>
      </c>
      <c r="P17" s="35" t="s">
        <v>4751</v>
      </c>
      <c r="Q17" s="35" t="s">
        <v>4744</v>
      </c>
      <c r="R17" s="35" t="s">
        <v>571</v>
      </c>
      <c r="S17" s="35" t="s">
        <v>571</v>
      </c>
      <c r="T17" s="35" t="s">
        <v>571</v>
      </c>
      <c r="U17" s="35" t="s">
        <v>4738</v>
      </c>
      <c r="V17" s="6" t="s">
        <v>4752</v>
      </c>
      <c r="W17" s="18" t="s">
        <v>4753</v>
      </c>
      <c r="X17" s="183" t="n">
        <f aca="false">IF($O17="Active",SUMPRODUCT(($AH$5:$AH$118=$AH17)*1),0)</f>
        <v>0</v>
      </c>
      <c r="Y17" s="183" t="n">
        <f aca="false">IF(AND($O17="Active",OR($Q17="—",$Q17="")),1,0)</f>
        <v>0</v>
      </c>
      <c r="Z17" s="183" t="n">
        <f aca="false">IF(AND($O17="Active",$L17="利害關係方",OR($R17="—",$R17="")),1,0)</f>
        <v>0</v>
      </c>
      <c r="AH17" s="34" t="str">
        <f aca="false">IF($O17="Active",$B17&amp;"¦"&amp;$G17&amp;"¦"&amp;$H17,"")</f>
        <v/>
      </c>
    </row>
    <row r="18" customFormat="false" ht="15" hidden="false" customHeight="true" outlineLevel="0" collapsed="false">
      <c r="A18" s="35" t="s">
        <v>2876</v>
      </c>
      <c r="B18" s="6" t="s">
        <v>4754</v>
      </c>
      <c r="C18" s="211" t="n">
        <v>227</v>
      </c>
      <c r="D18" s="209"/>
      <c r="E18" s="209"/>
      <c r="F18" s="35" t="s">
        <v>4685</v>
      </c>
      <c r="G18" s="35" t="s">
        <v>4755</v>
      </c>
      <c r="H18" s="35" t="s">
        <v>140</v>
      </c>
      <c r="I18" s="35" t="s">
        <v>1173</v>
      </c>
      <c r="J18" s="6" t="s">
        <v>4756</v>
      </c>
      <c r="K18" s="209" t="n">
        <v>1</v>
      </c>
      <c r="L18" s="209" t="s">
        <v>4663</v>
      </c>
      <c r="M18" s="6" t="s">
        <v>4757</v>
      </c>
      <c r="N18" s="209" t="s">
        <v>4665</v>
      </c>
      <c r="O18" s="35" t="s">
        <v>4666</v>
      </c>
      <c r="P18" s="35" t="s">
        <v>571</v>
      </c>
      <c r="Q18" s="35" t="s">
        <v>4758</v>
      </c>
      <c r="R18" s="35" t="s">
        <v>4759</v>
      </c>
      <c r="S18" s="35" t="s">
        <v>4599</v>
      </c>
      <c r="T18" s="35" t="s">
        <v>571</v>
      </c>
      <c r="U18" s="35" t="s">
        <v>4760</v>
      </c>
      <c r="V18" s="6" t="s">
        <v>4761</v>
      </c>
      <c r="W18" s="6" t="s">
        <v>4762</v>
      </c>
      <c r="X18" s="183" t="n">
        <f aca="false">IF($O18="Active",SUMPRODUCT(($AH$5:$AH$118=$AH18)*1),0)</f>
        <v>1</v>
      </c>
      <c r="Y18" s="183" t="n">
        <f aca="false">IF(AND($O18="Active",OR($Q18="—",$Q18="")),1,0)</f>
        <v>0</v>
      </c>
      <c r="Z18" s="183" t="n">
        <f aca="false">IF(AND($O18="Active",$L18="利害關係方",OR($R18="—",$R18="")),1,0)</f>
        <v>0</v>
      </c>
      <c r="AH18" s="34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35" t="s">
        <v>2904</v>
      </c>
      <c r="B19" s="6" t="s">
        <v>4763</v>
      </c>
      <c r="C19" s="211" t="n">
        <v>7.8</v>
      </c>
      <c r="D19" s="209"/>
      <c r="E19" s="209"/>
      <c r="F19" s="35" t="s">
        <v>4701</v>
      </c>
      <c r="G19" s="209" t="s">
        <v>4764</v>
      </c>
      <c r="H19" s="35" t="s">
        <v>140</v>
      </c>
      <c r="I19" s="35" t="s">
        <v>4765</v>
      </c>
      <c r="J19" s="6" t="s">
        <v>4766</v>
      </c>
      <c r="K19" s="209" t="n">
        <v>2</v>
      </c>
      <c r="L19" s="209" t="s">
        <v>4767</v>
      </c>
      <c r="M19" s="6" t="s">
        <v>4768</v>
      </c>
      <c r="N19" s="209" t="s">
        <v>4676</v>
      </c>
      <c r="O19" s="35" t="s">
        <v>4666</v>
      </c>
      <c r="P19" s="35" t="s">
        <v>571</v>
      </c>
      <c r="Q19" s="35" t="s">
        <v>4769</v>
      </c>
      <c r="R19" s="35" t="s">
        <v>571</v>
      </c>
      <c r="S19" s="35" t="s">
        <v>4599</v>
      </c>
      <c r="T19" s="35" t="s">
        <v>571</v>
      </c>
      <c r="U19" s="35" t="s">
        <v>4770</v>
      </c>
      <c r="V19" s="6" t="s">
        <v>4771</v>
      </c>
      <c r="W19" s="6" t="s">
        <v>4772</v>
      </c>
      <c r="X19" s="183" t="n">
        <f aca="false">IF($O19="Active",SUMPRODUCT(($AH$5:$AH$118=$AH19)*1),0)</f>
        <v>1</v>
      </c>
      <c r="Y19" s="183" t="n">
        <f aca="false">IF(AND($O19="Active",OR($Q19="—",$Q19="")),1,0)</f>
        <v>0</v>
      </c>
      <c r="Z19" s="183" t="n">
        <f aca="false">IF(AND($O19="Active",$L19="利害關係方",OR($R19="—",$R19="")),1,0)</f>
        <v>0</v>
      </c>
      <c r="AH19" s="34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35" t="s">
        <v>4773</v>
      </c>
      <c r="B20" s="6" t="s">
        <v>4774</v>
      </c>
      <c r="C20" s="211" t="n">
        <v>6.7</v>
      </c>
      <c r="D20" s="209"/>
      <c r="E20" s="209"/>
      <c r="F20" s="35" t="s">
        <v>4701</v>
      </c>
      <c r="G20" s="209" t="s">
        <v>4775</v>
      </c>
      <c r="H20" s="35" t="s">
        <v>140</v>
      </c>
      <c r="I20" s="35" t="s">
        <v>4765</v>
      </c>
      <c r="J20" s="6" t="s">
        <v>4766</v>
      </c>
      <c r="K20" s="209" t="n">
        <v>3</v>
      </c>
      <c r="L20" s="209" t="s">
        <v>4767</v>
      </c>
      <c r="M20" s="6" t="s">
        <v>4776</v>
      </c>
      <c r="N20" s="209" t="s">
        <v>4676</v>
      </c>
      <c r="O20" s="35" t="s">
        <v>4715</v>
      </c>
      <c r="P20" s="35" t="s">
        <v>571</v>
      </c>
      <c r="Q20" s="35" t="s">
        <v>4777</v>
      </c>
      <c r="R20" s="35" t="s">
        <v>571</v>
      </c>
      <c r="S20" s="35" t="s">
        <v>571</v>
      </c>
      <c r="T20" s="35" t="s">
        <v>571</v>
      </c>
      <c r="U20" s="35" t="s">
        <v>4770</v>
      </c>
      <c r="V20" s="6" t="s">
        <v>4778</v>
      </c>
      <c r="W20" s="18" t="s">
        <v>4779</v>
      </c>
      <c r="X20" s="183" t="n">
        <f aca="false">IF($O20="Active",SUMPRODUCT(($AH$5:$AH$118=$AH20)*1),0)</f>
        <v>0</v>
      </c>
      <c r="Y20" s="183" t="n">
        <f aca="false">IF(AND($O20="Active",OR($Q20="—",$Q20="")),1,0)</f>
        <v>0</v>
      </c>
      <c r="Z20" s="183" t="n">
        <f aca="false">IF(AND($O20="Active",$L20="利害關係方",OR($R20="—",$R20="")),1,0)</f>
        <v>0</v>
      </c>
      <c r="AH20" s="34" t="str">
        <f aca="false">IF($O20="Active",$B20&amp;"¦"&amp;$G20&amp;"¦"&amp;$H20,"")</f>
        <v/>
      </c>
    </row>
    <row r="21" customFormat="false" ht="40.5" hidden="false" customHeight="true" outlineLevel="0" collapsed="false">
      <c r="A21" s="35" t="s">
        <v>2939</v>
      </c>
      <c r="B21" s="6" t="s">
        <v>4780</v>
      </c>
      <c r="C21" s="211" t="n">
        <v>9.09</v>
      </c>
      <c r="D21" s="209"/>
      <c r="E21" s="209"/>
      <c r="F21" s="35" t="s">
        <v>4701</v>
      </c>
      <c r="G21" s="209" t="s">
        <v>4764</v>
      </c>
      <c r="H21" s="35" t="s">
        <v>140</v>
      </c>
      <c r="I21" s="35" t="s">
        <v>4687</v>
      </c>
      <c r="J21" s="6" t="s">
        <v>4766</v>
      </c>
      <c r="K21" s="209" t="n">
        <v>3</v>
      </c>
      <c r="L21" s="209" t="s">
        <v>4767</v>
      </c>
      <c r="M21" s="6" t="s">
        <v>4776</v>
      </c>
      <c r="N21" s="209" t="s">
        <v>4676</v>
      </c>
      <c r="O21" s="35" t="s">
        <v>4715</v>
      </c>
      <c r="P21" s="35" t="s">
        <v>571</v>
      </c>
      <c r="Q21" s="35" t="s">
        <v>4777</v>
      </c>
      <c r="R21" s="35" t="s">
        <v>571</v>
      </c>
      <c r="S21" s="35" t="s">
        <v>571</v>
      </c>
      <c r="T21" s="35" t="s">
        <v>571</v>
      </c>
      <c r="U21" s="35" t="s">
        <v>4770</v>
      </c>
      <c r="V21" s="6" t="s">
        <v>4781</v>
      </c>
      <c r="W21" s="18" t="s">
        <v>4782</v>
      </c>
      <c r="X21" s="183" t="n">
        <f aca="false">IF($O21="Active",SUMPRODUCT(($AH$5:$AH$118=$AH21)*1),0)</f>
        <v>0</v>
      </c>
      <c r="Y21" s="183" t="n">
        <f aca="false">IF(AND($O21="Active",OR($Q21="—",$Q21="")),1,0)</f>
        <v>0</v>
      </c>
      <c r="Z21" s="183" t="n">
        <f aca="false">IF(AND($O21="Active",$L21="利害關係方",OR($R21="—",$R21="")),1,0)</f>
        <v>0</v>
      </c>
      <c r="AH21" s="34" t="str">
        <f aca="false">IF($O21="Active",$B21&amp;"¦"&amp;$G21&amp;"¦"&amp;$H21,"")</f>
        <v/>
      </c>
    </row>
    <row r="22" customFormat="false" ht="29.25" hidden="false" customHeight="true" outlineLevel="0" collapsed="false">
      <c r="A22" s="35" t="s">
        <v>4783</v>
      </c>
      <c r="B22" s="6" t="s">
        <v>4784</v>
      </c>
      <c r="C22" s="211" t="n">
        <v>1</v>
      </c>
      <c r="D22" s="209"/>
      <c r="E22" s="209"/>
      <c r="F22" s="35" t="s">
        <v>4701</v>
      </c>
      <c r="G22" s="209" t="s">
        <v>4748</v>
      </c>
      <c r="H22" s="35" t="s">
        <v>140</v>
      </c>
      <c r="I22" s="35" t="s">
        <v>4673</v>
      </c>
      <c r="J22" s="6" t="s">
        <v>4785</v>
      </c>
      <c r="K22" s="209" t="n">
        <v>3</v>
      </c>
      <c r="L22" s="209" t="s">
        <v>4663</v>
      </c>
      <c r="M22" s="6" t="s">
        <v>4786</v>
      </c>
      <c r="N22" s="209" t="s">
        <v>4676</v>
      </c>
      <c r="O22" s="35" t="s">
        <v>4715</v>
      </c>
      <c r="P22" s="35" t="s">
        <v>571</v>
      </c>
      <c r="Q22" s="35" t="s">
        <v>4787</v>
      </c>
      <c r="R22" s="35" t="s">
        <v>571</v>
      </c>
      <c r="S22" s="35" t="s">
        <v>571</v>
      </c>
      <c r="T22" s="35" t="s">
        <v>571</v>
      </c>
      <c r="U22" s="35" t="s">
        <v>4788</v>
      </c>
      <c r="V22" s="6" t="s">
        <v>571</v>
      </c>
      <c r="W22" s="18" t="s">
        <v>4789</v>
      </c>
      <c r="X22" s="183" t="n">
        <f aca="false">IF($O22="Active",SUMPRODUCT(($AH$5:$AH$118=$AH22)*1),0)</f>
        <v>0</v>
      </c>
      <c r="Y22" s="183" t="n">
        <f aca="false">IF(AND($O22="Active",OR($Q22="—",$Q22="")),1,0)</f>
        <v>0</v>
      </c>
      <c r="Z22" s="183" t="n">
        <f aca="false">IF(AND($O22="Active",$L22="利害關係方",OR($R22="—",$R22="")),1,0)</f>
        <v>0</v>
      </c>
      <c r="AH22" s="34" t="str">
        <f aca="false">IF($O22="Active",$B22&amp;"¦"&amp;$G22&amp;"¦"&amp;$H22,"")</f>
        <v/>
      </c>
    </row>
    <row r="23" customFormat="false" ht="29.25" hidden="false" customHeight="true" outlineLevel="0" collapsed="false">
      <c r="A23" s="35" t="s">
        <v>3114</v>
      </c>
      <c r="B23" s="6" t="s">
        <v>4790</v>
      </c>
      <c r="C23" s="211" t="n">
        <v>0.989</v>
      </c>
      <c r="D23" s="209"/>
      <c r="E23" s="209"/>
      <c r="F23" s="35" t="s">
        <v>431</v>
      </c>
      <c r="G23" s="35" t="s">
        <v>4791</v>
      </c>
      <c r="H23" s="35" t="s">
        <v>137</v>
      </c>
      <c r="I23" s="35" t="s">
        <v>4792</v>
      </c>
      <c r="J23" s="18" t="s">
        <v>4793</v>
      </c>
      <c r="K23" s="209" t="n">
        <v>3</v>
      </c>
      <c r="L23" s="209" t="s">
        <v>4663</v>
      </c>
      <c r="M23" s="6" t="s">
        <v>4794</v>
      </c>
      <c r="N23" s="209" t="s">
        <v>4795</v>
      </c>
      <c r="O23" s="35" t="s">
        <v>4666</v>
      </c>
      <c r="P23" s="35" t="s">
        <v>571</v>
      </c>
      <c r="Q23" s="35" t="s">
        <v>4796</v>
      </c>
      <c r="R23" s="35" t="s">
        <v>571</v>
      </c>
      <c r="S23" s="35" t="s">
        <v>571</v>
      </c>
      <c r="T23" s="35" t="s">
        <v>571</v>
      </c>
      <c r="U23" s="35" t="s">
        <v>4797</v>
      </c>
      <c r="V23" s="6" t="s">
        <v>4798</v>
      </c>
      <c r="W23" s="6" t="s">
        <v>4799</v>
      </c>
      <c r="X23" s="183" t="n">
        <f aca="false">IF($O23="Active",SUMPRODUCT(($AH$5:$AH$118=$AH23)*1),0)</f>
        <v>1</v>
      </c>
      <c r="Y23" s="183" t="n">
        <f aca="false">IF(AND($O23="Active",OR($Q23="—",$Q23="")),1,0)</f>
        <v>0</v>
      </c>
      <c r="Z23" s="183" t="n">
        <f aca="false">IF(AND($O23="Active",$L23="利害關係方",OR($R23="—",$R23="")),1,0)</f>
        <v>1</v>
      </c>
      <c r="AH23" s="34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35" t="s">
        <v>2980</v>
      </c>
      <c r="B24" s="6" t="s">
        <v>4800</v>
      </c>
      <c r="C24" s="211" t="n">
        <v>80</v>
      </c>
      <c r="D24" s="209"/>
      <c r="E24" s="209"/>
      <c r="F24" s="35" t="s">
        <v>680</v>
      </c>
      <c r="G24" s="35" t="s">
        <v>571</v>
      </c>
      <c r="H24" s="35" t="s">
        <v>137</v>
      </c>
      <c r="I24" s="35" t="s">
        <v>4792</v>
      </c>
      <c r="J24" s="18" t="s">
        <v>4793</v>
      </c>
      <c r="K24" s="209" t="n">
        <v>3</v>
      </c>
      <c r="L24" s="209" t="s">
        <v>4663</v>
      </c>
      <c r="M24" s="6" t="s">
        <v>4794</v>
      </c>
      <c r="N24" s="209" t="s">
        <v>4795</v>
      </c>
      <c r="O24" s="35" t="s">
        <v>4666</v>
      </c>
      <c r="P24" s="35" t="s">
        <v>571</v>
      </c>
      <c r="Q24" s="35" t="s">
        <v>4796</v>
      </c>
      <c r="R24" s="35" t="s">
        <v>571</v>
      </c>
      <c r="S24" s="35" t="s">
        <v>571</v>
      </c>
      <c r="T24" s="35" t="s">
        <v>571</v>
      </c>
      <c r="U24" s="35" t="s">
        <v>4797</v>
      </c>
      <c r="V24" s="6" t="s">
        <v>4801</v>
      </c>
      <c r="W24" s="6" t="s">
        <v>571</v>
      </c>
      <c r="X24" s="183" t="n">
        <f aca="false">IF($O24="Active",SUMPRODUCT(($AH$5:$AH$118=$AH24)*1),0)</f>
        <v>1</v>
      </c>
      <c r="Y24" s="183" t="n">
        <f aca="false">IF(AND($O24="Active",OR($Q24="—",$Q24="")),1,0)</f>
        <v>0</v>
      </c>
      <c r="Z24" s="183" t="n">
        <f aca="false">IF(AND($O24="Active",$L24="利害關係方",OR($R24="—",$R24="")),1,0)</f>
        <v>1</v>
      </c>
      <c r="AH24" s="34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35" t="s">
        <v>2996</v>
      </c>
      <c r="B25" s="6" t="s">
        <v>4802</v>
      </c>
      <c r="C25" s="211" t="n">
        <v>3.35</v>
      </c>
      <c r="D25" s="209"/>
      <c r="E25" s="209"/>
      <c r="F25" s="35" t="s">
        <v>319</v>
      </c>
      <c r="G25" s="35" t="s">
        <v>571</v>
      </c>
      <c r="H25" s="35" t="s">
        <v>137</v>
      </c>
      <c r="I25" s="35" t="s">
        <v>4792</v>
      </c>
      <c r="J25" s="18" t="s">
        <v>4793</v>
      </c>
      <c r="K25" s="209" t="n">
        <v>3</v>
      </c>
      <c r="L25" s="209" t="s">
        <v>4663</v>
      </c>
      <c r="M25" s="6" t="s">
        <v>4794</v>
      </c>
      <c r="N25" s="209" t="s">
        <v>4795</v>
      </c>
      <c r="O25" s="35" t="s">
        <v>4666</v>
      </c>
      <c r="P25" s="35" t="s">
        <v>571</v>
      </c>
      <c r="Q25" s="35" t="s">
        <v>4796</v>
      </c>
      <c r="R25" s="35" t="s">
        <v>571</v>
      </c>
      <c r="S25" s="35" t="s">
        <v>571</v>
      </c>
      <c r="T25" s="35" t="s">
        <v>571</v>
      </c>
      <c r="U25" s="35" t="s">
        <v>4797</v>
      </c>
      <c r="V25" s="6" t="s">
        <v>4803</v>
      </c>
      <c r="W25" s="6" t="s">
        <v>571</v>
      </c>
      <c r="X25" s="183" t="n">
        <f aca="false">IF($O25="Active",SUMPRODUCT(($AH$5:$AH$118=$AH25)*1),0)</f>
        <v>1</v>
      </c>
      <c r="Y25" s="183" t="n">
        <f aca="false">IF(AND($O25="Active",OR($Q25="—",$Q25="")),1,0)</f>
        <v>0</v>
      </c>
      <c r="Z25" s="183" t="n">
        <f aca="false">IF(AND($O25="Active",$L25="利害關係方",OR($R25="—",$R25="")),1,0)</f>
        <v>1</v>
      </c>
      <c r="AH25" s="34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35" t="s">
        <v>2950</v>
      </c>
      <c r="B26" s="6" t="s">
        <v>4804</v>
      </c>
      <c r="C26" s="211" t="n">
        <v>10</v>
      </c>
      <c r="D26" s="209"/>
      <c r="E26" s="209"/>
      <c r="F26" s="35" t="s">
        <v>431</v>
      </c>
      <c r="G26" s="35" t="s">
        <v>4791</v>
      </c>
      <c r="H26" s="35" t="s">
        <v>138</v>
      </c>
      <c r="I26" s="35" t="s">
        <v>4792</v>
      </c>
      <c r="J26" s="18" t="s">
        <v>4793</v>
      </c>
      <c r="K26" s="209" t="n">
        <v>1</v>
      </c>
      <c r="L26" s="209" t="s">
        <v>4663</v>
      </c>
      <c r="M26" s="6" t="s">
        <v>4794</v>
      </c>
      <c r="N26" s="209" t="s">
        <v>4665</v>
      </c>
      <c r="O26" s="35" t="s">
        <v>4666</v>
      </c>
      <c r="P26" s="35" t="s">
        <v>571</v>
      </c>
      <c r="Q26" s="35" t="s">
        <v>4805</v>
      </c>
      <c r="R26" s="35" t="s">
        <v>571</v>
      </c>
      <c r="S26" s="35" t="s">
        <v>4599</v>
      </c>
      <c r="T26" s="35" t="s">
        <v>571</v>
      </c>
      <c r="U26" s="35" t="s">
        <v>4797</v>
      </c>
      <c r="V26" s="6" t="s">
        <v>4806</v>
      </c>
      <c r="W26" s="18" t="s">
        <v>4807</v>
      </c>
      <c r="X26" s="183" t="n">
        <f aca="false">IF($O26="Active",SUMPRODUCT(($AH$5:$AH$118=$AH26)*1),0)</f>
        <v>1</v>
      </c>
      <c r="Y26" s="183" t="n">
        <f aca="false">IF(AND($O26="Active",OR($Q26="—",$Q26="")),1,0)</f>
        <v>0</v>
      </c>
      <c r="Z26" s="183" t="n">
        <f aca="false">IF(AND($O26="Active",$L26="利害關係方",OR($R26="—",$R26="")),1,0)</f>
        <v>1</v>
      </c>
      <c r="AH26" s="34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35" t="s">
        <v>2999</v>
      </c>
      <c r="B27" s="6" t="s">
        <v>4808</v>
      </c>
      <c r="C27" s="211" t="n">
        <v>8</v>
      </c>
      <c r="D27" s="209"/>
      <c r="E27" s="209"/>
      <c r="F27" s="35" t="s">
        <v>319</v>
      </c>
      <c r="G27" s="35" t="s">
        <v>571</v>
      </c>
      <c r="H27" s="35" t="s">
        <v>138</v>
      </c>
      <c r="I27" s="35" t="s">
        <v>4792</v>
      </c>
      <c r="J27" s="18" t="s">
        <v>4793</v>
      </c>
      <c r="K27" s="209" t="n">
        <v>3</v>
      </c>
      <c r="L27" s="209" t="s">
        <v>4663</v>
      </c>
      <c r="M27" s="6" t="s">
        <v>4794</v>
      </c>
      <c r="N27" s="209" t="s">
        <v>4795</v>
      </c>
      <c r="O27" s="35" t="s">
        <v>4666</v>
      </c>
      <c r="P27" s="35" t="s">
        <v>571</v>
      </c>
      <c r="Q27" s="35" t="s">
        <v>4796</v>
      </c>
      <c r="R27" s="35" t="s">
        <v>571</v>
      </c>
      <c r="S27" s="35" t="s">
        <v>571</v>
      </c>
      <c r="T27" s="35" t="s">
        <v>571</v>
      </c>
      <c r="U27" s="35" t="s">
        <v>4797</v>
      </c>
      <c r="V27" s="6" t="s">
        <v>4809</v>
      </c>
      <c r="W27" s="6" t="s">
        <v>571</v>
      </c>
      <c r="X27" s="183" t="n">
        <f aca="false">IF($O27="Active",SUMPRODUCT(($AH$5:$AH$118=$AH27)*1),0)</f>
        <v>1</v>
      </c>
      <c r="Y27" s="183" t="n">
        <f aca="false">IF(AND($O27="Active",OR($Q27="—",$Q27="")),1,0)</f>
        <v>0</v>
      </c>
      <c r="Z27" s="183" t="n">
        <f aca="false">IF(AND($O27="Active",$L27="利害關係方",OR($R27="—",$R27="")),1,0)</f>
        <v>1</v>
      </c>
      <c r="AH27" s="34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35" t="s">
        <v>4810</v>
      </c>
      <c r="B28" s="6" t="s">
        <v>4811</v>
      </c>
      <c r="C28" s="211" t="n">
        <v>186</v>
      </c>
      <c r="D28" s="209"/>
      <c r="E28" s="209"/>
      <c r="F28" s="35" t="s">
        <v>680</v>
      </c>
      <c r="G28" s="35" t="s">
        <v>571</v>
      </c>
      <c r="H28" s="35" t="s">
        <v>138</v>
      </c>
      <c r="I28" s="35" t="s">
        <v>4792</v>
      </c>
      <c r="J28" s="18" t="s">
        <v>4793</v>
      </c>
      <c r="K28" s="209" t="n">
        <v>3</v>
      </c>
      <c r="L28" s="209" t="s">
        <v>4663</v>
      </c>
      <c r="M28" s="6" t="s">
        <v>4794</v>
      </c>
      <c r="N28" s="209" t="s">
        <v>4795</v>
      </c>
      <c r="O28" s="35" t="s">
        <v>4715</v>
      </c>
      <c r="P28" s="35" t="s">
        <v>571</v>
      </c>
      <c r="Q28" s="35" t="s">
        <v>4796</v>
      </c>
      <c r="R28" s="35" t="s">
        <v>571</v>
      </c>
      <c r="S28" s="35" t="s">
        <v>571</v>
      </c>
      <c r="T28" s="35" t="s">
        <v>571</v>
      </c>
      <c r="U28" s="35" t="s">
        <v>4797</v>
      </c>
      <c r="V28" s="6" t="s">
        <v>571</v>
      </c>
      <c r="W28" s="18" t="s">
        <v>4812</v>
      </c>
      <c r="X28" s="183" t="n">
        <f aca="false">IF($O28="Active",SUMPRODUCT(($AH$5:$AH$118=$AH28)*1),0)</f>
        <v>0</v>
      </c>
      <c r="Y28" s="183" t="n">
        <f aca="false">IF(AND($O28="Active",OR($Q28="—",$Q28="")),1,0)</f>
        <v>0</v>
      </c>
      <c r="Z28" s="183" t="n">
        <f aca="false">IF(AND($O28="Active",$L28="利害關係方",OR($R28="—",$R28="")),1,0)</f>
        <v>0</v>
      </c>
      <c r="AH28" s="34" t="str">
        <f aca="false">IF($O28="Active",$B28&amp;"¦"&amp;$G28&amp;"¦"&amp;$H28,"")</f>
        <v/>
      </c>
    </row>
    <row r="29" customFormat="false" ht="29.25" hidden="false" customHeight="true" outlineLevel="0" collapsed="false">
      <c r="A29" s="35" t="s">
        <v>2952</v>
      </c>
      <c r="B29" s="6" t="s">
        <v>4813</v>
      </c>
      <c r="C29" s="211" t="n">
        <v>15</v>
      </c>
      <c r="D29" s="209"/>
      <c r="E29" s="209"/>
      <c r="F29" s="35" t="s">
        <v>431</v>
      </c>
      <c r="G29" s="35" t="s">
        <v>4791</v>
      </c>
      <c r="H29" s="35" t="s">
        <v>139</v>
      </c>
      <c r="I29" s="35" t="s">
        <v>4792</v>
      </c>
      <c r="J29" s="18" t="s">
        <v>4793</v>
      </c>
      <c r="K29" s="209" t="n">
        <v>1</v>
      </c>
      <c r="L29" s="209" t="s">
        <v>4663</v>
      </c>
      <c r="M29" s="6" t="s">
        <v>4794</v>
      </c>
      <c r="N29" s="209" t="s">
        <v>4665</v>
      </c>
      <c r="O29" s="35" t="s">
        <v>4666</v>
      </c>
      <c r="P29" s="35" t="s">
        <v>571</v>
      </c>
      <c r="Q29" s="35" t="s">
        <v>4814</v>
      </c>
      <c r="R29" s="35" t="s">
        <v>571</v>
      </c>
      <c r="S29" s="35" t="s">
        <v>4599</v>
      </c>
      <c r="T29" s="35" t="s">
        <v>571</v>
      </c>
      <c r="U29" s="35" t="s">
        <v>4797</v>
      </c>
      <c r="V29" s="6" t="s">
        <v>4815</v>
      </c>
      <c r="W29" s="6" t="s">
        <v>4816</v>
      </c>
      <c r="X29" s="183" t="n">
        <f aca="false">IF($O29="Active",SUMPRODUCT(($AH$5:$AH$118=$AH29)*1),0)</f>
        <v>1</v>
      </c>
      <c r="Y29" s="183" t="n">
        <f aca="false">IF(AND($O29="Active",OR($Q29="—",$Q29="")),1,0)</f>
        <v>0</v>
      </c>
      <c r="Z29" s="183" t="n">
        <f aca="false">IF(AND($O29="Active",$L29="利害關係方",OR($R29="—",$R29="")),1,0)</f>
        <v>1</v>
      </c>
      <c r="AH29" s="34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35" t="s">
        <v>2987</v>
      </c>
      <c r="B30" s="6" t="s">
        <v>4817</v>
      </c>
      <c r="C30" s="211" t="n">
        <v>288</v>
      </c>
      <c r="D30" s="209"/>
      <c r="E30" s="209"/>
      <c r="F30" s="35" t="s">
        <v>680</v>
      </c>
      <c r="G30" s="35" t="s">
        <v>571</v>
      </c>
      <c r="H30" s="35" t="s">
        <v>139</v>
      </c>
      <c r="I30" s="35" t="s">
        <v>4792</v>
      </c>
      <c r="J30" s="18" t="s">
        <v>4793</v>
      </c>
      <c r="K30" s="209" t="n">
        <v>3</v>
      </c>
      <c r="L30" s="209" t="s">
        <v>4663</v>
      </c>
      <c r="M30" s="6" t="s">
        <v>4794</v>
      </c>
      <c r="N30" s="209" t="s">
        <v>4795</v>
      </c>
      <c r="O30" s="35" t="s">
        <v>4666</v>
      </c>
      <c r="P30" s="35" t="s">
        <v>571</v>
      </c>
      <c r="Q30" s="35" t="s">
        <v>4796</v>
      </c>
      <c r="R30" s="35" t="s">
        <v>571</v>
      </c>
      <c r="S30" s="35" t="s">
        <v>571</v>
      </c>
      <c r="T30" s="35" t="s">
        <v>571</v>
      </c>
      <c r="U30" s="35" t="s">
        <v>4797</v>
      </c>
      <c r="V30" s="6" t="s">
        <v>4818</v>
      </c>
      <c r="W30" s="6" t="s">
        <v>571</v>
      </c>
      <c r="X30" s="183" t="n">
        <f aca="false">IF($O30="Active",SUMPRODUCT(($AH$5:$AH$118=$AH30)*1),0)</f>
        <v>1</v>
      </c>
      <c r="Y30" s="183" t="n">
        <f aca="false">IF(AND($O30="Active",OR($Q30="—",$Q30="")),1,0)</f>
        <v>0</v>
      </c>
      <c r="Z30" s="183" t="n">
        <f aca="false">IF(AND($O30="Active",$L30="利害關係方",OR($R30="—",$R30="")),1,0)</f>
        <v>1</v>
      </c>
      <c r="AH30" s="34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35" t="s">
        <v>2972</v>
      </c>
      <c r="B31" s="6" t="s">
        <v>4819</v>
      </c>
      <c r="C31" s="211" t="n">
        <v>50</v>
      </c>
      <c r="D31" s="209"/>
      <c r="E31" s="209"/>
      <c r="F31" s="35" t="s">
        <v>431</v>
      </c>
      <c r="G31" s="209" t="s">
        <v>4820</v>
      </c>
      <c r="H31" s="35" t="s">
        <v>140</v>
      </c>
      <c r="I31" s="35" t="s">
        <v>4792</v>
      </c>
      <c r="J31" s="18" t="s">
        <v>4793</v>
      </c>
      <c r="K31" s="209" t="n">
        <v>1</v>
      </c>
      <c r="L31" s="209" t="s">
        <v>4663</v>
      </c>
      <c r="M31" s="6" t="s">
        <v>4794</v>
      </c>
      <c r="N31" s="209" t="s">
        <v>4665</v>
      </c>
      <c r="O31" s="35" t="s">
        <v>4666</v>
      </c>
      <c r="P31" s="35" t="s">
        <v>571</v>
      </c>
      <c r="Q31" s="35" t="s">
        <v>4821</v>
      </c>
      <c r="R31" s="35" t="s">
        <v>571</v>
      </c>
      <c r="S31" s="35" t="s">
        <v>4599</v>
      </c>
      <c r="T31" s="35" t="s">
        <v>571</v>
      </c>
      <c r="U31" s="35" t="s">
        <v>4797</v>
      </c>
      <c r="V31" s="6" t="s">
        <v>4822</v>
      </c>
      <c r="W31" s="6" t="s">
        <v>4823</v>
      </c>
      <c r="X31" s="183" t="n">
        <f aca="false">IF($O31="Active",SUMPRODUCT(($AH$5:$AH$118=$AH31)*1),0)</f>
        <v>1</v>
      </c>
      <c r="Y31" s="183" t="n">
        <f aca="false">IF(AND($O31="Active",OR($Q31="—",$Q31="")),1,0)</f>
        <v>0</v>
      </c>
      <c r="Z31" s="183" t="n">
        <f aca="false">IF(AND($O31="Active",$L31="利害關係方",OR($R31="—",$R31="")),1,0)</f>
        <v>1</v>
      </c>
      <c r="AH31" s="34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35" t="s">
        <v>2954</v>
      </c>
      <c r="B32" s="6" t="s">
        <v>4824</v>
      </c>
      <c r="C32" s="211" t="n">
        <v>35</v>
      </c>
      <c r="D32" s="209"/>
      <c r="E32" s="209"/>
      <c r="F32" s="35" t="s">
        <v>431</v>
      </c>
      <c r="G32" s="35" t="s">
        <v>4791</v>
      </c>
      <c r="H32" s="35" t="s">
        <v>140</v>
      </c>
      <c r="I32" s="35" t="s">
        <v>4792</v>
      </c>
      <c r="J32" s="18" t="s">
        <v>4793</v>
      </c>
      <c r="K32" s="209" t="n">
        <v>1</v>
      </c>
      <c r="L32" s="209" t="s">
        <v>4663</v>
      </c>
      <c r="M32" s="6" t="s">
        <v>4794</v>
      </c>
      <c r="N32" s="209" t="s">
        <v>4665</v>
      </c>
      <c r="O32" s="35" t="s">
        <v>4666</v>
      </c>
      <c r="P32" s="35" t="s">
        <v>571</v>
      </c>
      <c r="Q32" s="35" t="s">
        <v>4825</v>
      </c>
      <c r="R32" s="35" t="s">
        <v>571</v>
      </c>
      <c r="S32" s="35" t="s">
        <v>4599</v>
      </c>
      <c r="T32" s="35" t="s">
        <v>571</v>
      </c>
      <c r="U32" s="35" t="s">
        <v>4797</v>
      </c>
      <c r="V32" s="6" t="s">
        <v>4826</v>
      </c>
      <c r="W32" s="18" t="s">
        <v>4827</v>
      </c>
      <c r="X32" s="183" t="n">
        <f aca="false">IF($O32="Active",SUMPRODUCT(($AH$5:$AH$118=$AH32)*1),0)</f>
        <v>1</v>
      </c>
      <c r="Y32" s="183" t="n">
        <f aca="false">IF(AND($O32="Active",OR($Q32="—",$Q32="")),1,0)</f>
        <v>0</v>
      </c>
      <c r="Z32" s="183" t="n">
        <f aca="false">IF(AND($O32="Active",$L32="利害關係方",OR($R32="—",$R32="")),1,0)</f>
        <v>1</v>
      </c>
      <c r="AH32" s="34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35" t="s">
        <v>2990</v>
      </c>
      <c r="B33" s="6" t="s">
        <v>4828</v>
      </c>
      <c r="C33" s="211" t="n">
        <v>288</v>
      </c>
      <c r="D33" s="209"/>
      <c r="E33" s="209"/>
      <c r="F33" s="35" t="s">
        <v>680</v>
      </c>
      <c r="G33" s="35" t="s">
        <v>571</v>
      </c>
      <c r="H33" s="35" t="s">
        <v>140</v>
      </c>
      <c r="I33" s="35" t="s">
        <v>4792</v>
      </c>
      <c r="J33" s="18" t="s">
        <v>4793</v>
      </c>
      <c r="K33" s="209" t="n">
        <v>3</v>
      </c>
      <c r="L33" s="209" t="s">
        <v>4663</v>
      </c>
      <c r="M33" s="6" t="s">
        <v>4794</v>
      </c>
      <c r="N33" s="209" t="s">
        <v>4795</v>
      </c>
      <c r="O33" s="35" t="s">
        <v>4666</v>
      </c>
      <c r="P33" s="35" t="s">
        <v>571</v>
      </c>
      <c r="Q33" s="35" t="s">
        <v>4796</v>
      </c>
      <c r="R33" s="35" t="s">
        <v>571</v>
      </c>
      <c r="S33" s="35" t="s">
        <v>571</v>
      </c>
      <c r="T33" s="35" t="s">
        <v>571</v>
      </c>
      <c r="U33" s="35" t="s">
        <v>4797</v>
      </c>
      <c r="V33" s="6" t="s">
        <v>4829</v>
      </c>
      <c r="W33" s="6" t="s">
        <v>571</v>
      </c>
      <c r="X33" s="183" t="n">
        <f aca="false">IF($O33="Active",SUMPRODUCT(($AH$5:$AH$118=$AH33)*1),0)</f>
        <v>1</v>
      </c>
      <c r="Y33" s="183" t="n">
        <f aca="false">IF(AND($O33="Active",OR($Q33="—",$Q33="")),1,0)</f>
        <v>0</v>
      </c>
      <c r="Z33" s="183" t="n">
        <f aca="false">IF(AND($O33="Active",$L33="利害關係方",OR($R33="—",$R33="")),1,0)</f>
        <v>1</v>
      </c>
      <c r="AH33" s="34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35" t="s">
        <v>3004</v>
      </c>
      <c r="B34" s="6" t="s">
        <v>4830</v>
      </c>
      <c r="C34" s="211" t="n">
        <v>22</v>
      </c>
      <c r="D34" s="209"/>
      <c r="E34" s="209"/>
      <c r="F34" s="35" t="s">
        <v>319</v>
      </c>
      <c r="G34" s="35" t="s">
        <v>4831</v>
      </c>
      <c r="H34" s="35" t="s">
        <v>140</v>
      </c>
      <c r="I34" s="35" t="s">
        <v>4792</v>
      </c>
      <c r="J34" s="18" t="s">
        <v>4793</v>
      </c>
      <c r="K34" s="209" t="n">
        <v>3</v>
      </c>
      <c r="L34" s="209" t="s">
        <v>4663</v>
      </c>
      <c r="M34" s="6" t="s">
        <v>4794</v>
      </c>
      <c r="N34" s="209" t="s">
        <v>4795</v>
      </c>
      <c r="O34" s="35" t="s">
        <v>4666</v>
      </c>
      <c r="P34" s="35" t="s">
        <v>571</v>
      </c>
      <c r="Q34" s="35" t="s">
        <v>4796</v>
      </c>
      <c r="R34" s="35" t="s">
        <v>571</v>
      </c>
      <c r="S34" s="35" t="s">
        <v>571</v>
      </c>
      <c r="T34" s="35" t="s">
        <v>571</v>
      </c>
      <c r="U34" s="35" t="s">
        <v>4797</v>
      </c>
      <c r="V34" s="6" t="s">
        <v>4832</v>
      </c>
      <c r="W34" s="6" t="s">
        <v>571</v>
      </c>
      <c r="X34" s="183" t="n">
        <f aca="false">IF($O34="Active",SUMPRODUCT(($AH$5:$AH$118=$AH34)*1),0)</f>
        <v>1</v>
      </c>
      <c r="Y34" s="183" t="n">
        <f aca="false">IF(AND($O34="Active",OR($Q34="—",$Q34="")),1,0)</f>
        <v>0</v>
      </c>
      <c r="Z34" s="183" t="n">
        <f aca="false">IF(AND($O34="Active",$L34="利害關係方",OR($R34="—",$R34="")),1,0)</f>
        <v>1</v>
      </c>
      <c r="AH34" s="34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35" t="s">
        <v>4833</v>
      </c>
      <c r="B35" s="6" t="s">
        <v>4834</v>
      </c>
      <c r="C35" s="211" t="n">
        <v>15000</v>
      </c>
      <c r="D35" s="209"/>
      <c r="E35" s="209"/>
      <c r="F35" s="35" t="s">
        <v>4835</v>
      </c>
      <c r="G35" s="35" t="s">
        <v>4836</v>
      </c>
      <c r="H35" s="35" t="s">
        <v>4749</v>
      </c>
      <c r="I35" s="35" t="s">
        <v>4792</v>
      </c>
      <c r="J35" s="18" t="s">
        <v>4793</v>
      </c>
      <c r="K35" s="209" t="n">
        <v>3</v>
      </c>
      <c r="L35" s="209" t="s">
        <v>4663</v>
      </c>
      <c r="M35" s="6" t="s">
        <v>4794</v>
      </c>
      <c r="N35" s="209" t="s">
        <v>4795</v>
      </c>
      <c r="O35" s="35" t="s">
        <v>4666</v>
      </c>
      <c r="P35" s="35" t="s">
        <v>571</v>
      </c>
      <c r="Q35" s="35" t="s">
        <v>4796</v>
      </c>
      <c r="R35" s="35" t="s">
        <v>571</v>
      </c>
      <c r="S35" s="35" t="s">
        <v>571</v>
      </c>
      <c r="T35" s="35" t="s">
        <v>571</v>
      </c>
      <c r="U35" s="35" t="s">
        <v>4797</v>
      </c>
      <c r="V35" s="6" t="s">
        <v>4837</v>
      </c>
      <c r="W35" s="6" t="s">
        <v>4838</v>
      </c>
      <c r="X35" s="183" t="n">
        <f aca="false">IF($O35="Active",SUMPRODUCT(($AH$5:$AH$118=$AH35)*1),0)</f>
        <v>1</v>
      </c>
      <c r="Y35" s="183" t="n">
        <f aca="false">IF(AND($O35="Active",OR($Q35="—",$Q35="")),1,0)</f>
        <v>0</v>
      </c>
      <c r="Z35" s="183" t="n">
        <f aca="false">IF(AND($O35="Active",$L35="利害關係方",OR($R35="—",$R35="")),1,0)</f>
        <v>1</v>
      </c>
      <c r="AH35" s="34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35" t="s">
        <v>3102</v>
      </c>
      <c r="B36" s="6" t="s">
        <v>4839</v>
      </c>
      <c r="C36" s="211" t="n">
        <v>3.9</v>
      </c>
      <c r="D36" s="209"/>
      <c r="E36" s="209"/>
      <c r="F36" s="35" t="s">
        <v>4840</v>
      </c>
      <c r="G36" s="209" t="s">
        <v>4841</v>
      </c>
      <c r="H36" s="35" t="s">
        <v>4842</v>
      </c>
      <c r="I36" s="35" t="s">
        <v>571</v>
      </c>
      <c r="J36" s="18" t="s">
        <v>4843</v>
      </c>
      <c r="K36" s="209" t="n">
        <v>3</v>
      </c>
      <c r="L36" s="209" t="s">
        <v>4767</v>
      </c>
      <c r="M36" s="18" t="s">
        <v>4844</v>
      </c>
      <c r="N36" s="35" t="s">
        <v>571</v>
      </c>
      <c r="O36" s="35" t="s">
        <v>4666</v>
      </c>
      <c r="P36" s="35" t="s">
        <v>571</v>
      </c>
      <c r="Q36" s="35" t="s">
        <v>4845</v>
      </c>
      <c r="R36" s="35" t="s">
        <v>571</v>
      </c>
      <c r="S36" s="35" t="s">
        <v>571</v>
      </c>
      <c r="T36" s="35" t="s">
        <v>571</v>
      </c>
      <c r="U36" s="35" t="s">
        <v>4846</v>
      </c>
      <c r="V36" s="6" t="s">
        <v>4847</v>
      </c>
      <c r="W36" s="6" t="s">
        <v>4848</v>
      </c>
      <c r="X36" s="183" t="n">
        <f aca="false">IF($O36="Active",SUMPRODUCT(($AH$5:$AH$118=$AH36)*1),0)</f>
        <v>1</v>
      </c>
      <c r="Y36" s="183" t="n">
        <f aca="false">IF(AND($O36="Active",OR($Q36="—",$Q36="")),1,0)</f>
        <v>0</v>
      </c>
      <c r="Z36" s="183" t="n">
        <f aca="false">IF(AND($O36="Active",$L36="利害關係方",OR($R36="—",$R36="")),1,0)</f>
        <v>0</v>
      </c>
      <c r="AH36" s="34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35" t="s">
        <v>3106</v>
      </c>
      <c r="B37" s="6" t="s">
        <v>4849</v>
      </c>
      <c r="C37" s="211" t="n">
        <v>3</v>
      </c>
      <c r="D37" s="209"/>
      <c r="E37" s="209"/>
      <c r="F37" s="35" t="s">
        <v>4840</v>
      </c>
      <c r="G37" s="209" t="s">
        <v>4841</v>
      </c>
      <c r="H37" s="35" t="s">
        <v>4850</v>
      </c>
      <c r="I37" s="35" t="s">
        <v>571</v>
      </c>
      <c r="J37" s="18" t="s">
        <v>4843</v>
      </c>
      <c r="K37" s="209" t="n">
        <v>3</v>
      </c>
      <c r="L37" s="209" t="s">
        <v>4767</v>
      </c>
      <c r="M37" s="18" t="s">
        <v>4844</v>
      </c>
      <c r="N37" s="35" t="s">
        <v>571</v>
      </c>
      <c r="O37" s="35" t="s">
        <v>4666</v>
      </c>
      <c r="P37" s="35" t="s">
        <v>571</v>
      </c>
      <c r="Q37" s="35" t="s">
        <v>4845</v>
      </c>
      <c r="R37" s="35" t="s">
        <v>571</v>
      </c>
      <c r="S37" s="35" t="s">
        <v>571</v>
      </c>
      <c r="T37" s="35" t="s">
        <v>571</v>
      </c>
      <c r="U37" s="35" t="s">
        <v>4846</v>
      </c>
      <c r="V37" s="6" t="s">
        <v>4851</v>
      </c>
      <c r="W37" s="6" t="s">
        <v>4852</v>
      </c>
      <c r="X37" s="183" t="n">
        <f aca="false">IF($O37="Active",SUMPRODUCT(($AH$5:$AH$118=$AH37)*1),0)</f>
        <v>1</v>
      </c>
      <c r="Y37" s="183" t="n">
        <f aca="false">IF(AND($O37="Active",OR($Q37="—",$Q37="")),1,0)</f>
        <v>0</v>
      </c>
      <c r="Z37" s="183" t="n">
        <f aca="false">IF(AND($O37="Active",$L37="利害關係方",OR($R37="—",$R37="")),1,0)</f>
        <v>0</v>
      </c>
      <c r="AH37" s="34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35" t="s">
        <v>3109</v>
      </c>
      <c r="B38" s="6" t="s">
        <v>4853</v>
      </c>
      <c r="C38" s="211" t="n">
        <v>2.5</v>
      </c>
      <c r="D38" s="209"/>
      <c r="E38" s="209"/>
      <c r="F38" s="35" t="s">
        <v>4840</v>
      </c>
      <c r="G38" s="209" t="s">
        <v>4841</v>
      </c>
      <c r="H38" s="35" t="s">
        <v>4854</v>
      </c>
      <c r="I38" s="35" t="s">
        <v>571</v>
      </c>
      <c r="J38" s="18" t="s">
        <v>4843</v>
      </c>
      <c r="K38" s="209" t="n">
        <v>3</v>
      </c>
      <c r="L38" s="209" t="s">
        <v>4767</v>
      </c>
      <c r="M38" s="18" t="s">
        <v>4844</v>
      </c>
      <c r="N38" s="35" t="s">
        <v>571</v>
      </c>
      <c r="O38" s="35" t="s">
        <v>4666</v>
      </c>
      <c r="P38" s="35" t="s">
        <v>571</v>
      </c>
      <c r="Q38" s="35" t="s">
        <v>4845</v>
      </c>
      <c r="R38" s="35" t="s">
        <v>571</v>
      </c>
      <c r="S38" s="35" t="s">
        <v>571</v>
      </c>
      <c r="T38" s="35" t="s">
        <v>571</v>
      </c>
      <c r="U38" s="35" t="s">
        <v>4846</v>
      </c>
      <c r="V38" s="6" t="s">
        <v>4855</v>
      </c>
      <c r="W38" s="6" t="s">
        <v>4856</v>
      </c>
      <c r="X38" s="183" t="n">
        <f aca="false">IF($O38="Active",SUMPRODUCT(($AH$5:$AH$118=$AH38)*1),0)</f>
        <v>1</v>
      </c>
      <c r="Y38" s="183" t="n">
        <f aca="false">IF(AND($O38="Active",OR($Q38="—",$Q38="")),1,0)</f>
        <v>0</v>
      </c>
      <c r="Z38" s="183" t="n">
        <f aca="false">IF(AND($O38="Active",$L38="利害關係方",OR($R38="—",$R38="")),1,0)</f>
        <v>0</v>
      </c>
      <c r="AH38" s="34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35" t="s">
        <v>3614</v>
      </c>
      <c r="B39" s="6" t="s">
        <v>4857</v>
      </c>
      <c r="C39" s="209"/>
      <c r="D39" s="211" t="n">
        <v>1</v>
      </c>
      <c r="E39" s="211" t="n">
        <v>2</v>
      </c>
      <c r="F39" s="35" t="s">
        <v>4840</v>
      </c>
      <c r="G39" s="209" t="s">
        <v>4841</v>
      </c>
      <c r="H39" s="35" t="s">
        <v>571</v>
      </c>
      <c r="I39" s="35" t="s">
        <v>571</v>
      </c>
      <c r="J39" s="18" t="s">
        <v>4843</v>
      </c>
      <c r="K39" s="209" t="n">
        <v>3</v>
      </c>
      <c r="L39" s="209" t="s">
        <v>4767</v>
      </c>
      <c r="M39" s="18" t="s">
        <v>4844</v>
      </c>
      <c r="N39" s="35" t="s">
        <v>571</v>
      </c>
      <c r="O39" s="35" t="s">
        <v>4666</v>
      </c>
      <c r="P39" s="35" t="s">
        <v>571</v>
      </c>
      <c r="Q39" s="35" t="s">
        <v>4845</v>
      </c>
      <c r="R39" s="35" t="s">
        <v>571</v>
      </c>
      <c r="S39" s="35" t="s">
        <v>571</v>
      </c>
      <c r="T39" s="35" t="s">
        <v>571</v>
      </c>
      <c r="U39" s="35" t="s">
        <v>4846</v>
      </c>
      <c r="V39" s="6" t="s">
        <v>571</v>
      </c>
      <c r="W39" s="6" t="s">
        <v>571</v>
      </c>
      <c r="X39" s="183" t="n">
        <f aca="false">IF($O39="Active",SUMPRODUCT(($AH$5:$AH$118=$AH39)*1),0)</f>
        <v>1</v>
      </c>
      <c r="Y39" s="183" t="n">
        <f aca="false">IF(AND($O39="Active",OR($Q39="—",$Q39="")),1,0)</f>
        <v>0</v>
      </c>
      <c r="Z39" s="183" t="n">
        <f aca="false">IF(AND($O39="Active",$L39="利害關係方",OR($R39="—",$R39="")),1,0)</f>
        <v>0</v>
      </c>
      <c r="AH39" s="34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35" t="s">
        <v>4858</v>
      </c>
      <c r="B40" s="6" t="s">
        <v>4859</v>
      </c>
      <c r="C40" s="211" t="n">
        <v>3600</v>
      </c>
      <c r="D40" s="209"/>
      <c r="E40" s="209"/>
      <c r="F40" s="35" t="s">
        <v>4835</v>
      </c>
      <c r="G40" s="35" t="s">
        <v>4860</v>
      </c>
      <c r="H40" s="35" t="s">
        <v>140</v>
      </c>
      <c r="I40" s="35" t="s">
        <v>4673</v>
      </c>
      <c r="J40" s="6" t="s">
        <v>4861</v>
      </c>
      <c r="K40" s="209" t="n">
        <v>2</v>
      </c>
      <c r="L40" s="209" t="s">
        <v>4663</v>
      </c>
      <c r="M40" s="6" t="s">
        <v>4862</v>
      </c>
      <c r="N40" s="209" t="s">
        <v>4863</v>
      </c>
      <c r="O40" s="35" t="s">
        <v>4666</v>
      </c>
      <c r="P40" s="35" t="s">
        <v>571</v>
      </c>
      <c r="Q40" s="35" t="s">
        <v>4864</v>
      </c>
      <c r="R40" s="35" t="s">
        <v>571</v>
      </c>
      <c r="S40" s="35" t="s">
        <v>571</v>
      </c>
      <c r="T40" s="35" t="s">
        <v>571</v>
      </c>
      <c r="U40" s="35" t="s">
        <v>4865</v>
      </c>
      <c r="V40" s="6" t="s">
        <v>4866</v>
      </c>
      <c r="W40" s="6" t="s">
        <v>4867</v>
      </c>
      <c r="X40" s="183" t="n">
        <f aca="false">IF($O40="Active",SUMPRODUCT(($AH$5:$AH$118=$AH40)*1),0)</f>
        <v>1</v>
      </c>
      <c r="Y40" s="183" t="n">
        <f aca="false">IF(AND($O40="Active",OR($Q40="—",$Q40="")),1,0)</f>
        <v>0</v>
      </c>
      <c r="Z40" s="183" t="n">
        <f aca="false">IF(AND($O40="Active",$L40="利害關係方",OR($R40="—",$R40="")),1,0)</f>
        <v>1</v>
      </c>
      <c r="AH40" s="34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35" t="s">
        <v>3144</v>
      </c>
      <c r="B41" s="6" t="s">
        <v>4868</v>
      </c>
      <c r="C41" s="211" t="n">
        <v>2520</v>
      </c>
      <c r="D41" s="209"/>
      <c r="E41" s="209"/>
      <c r="F41" s="35" t="s">
        <v>4835</v>
      </c>
      <c r="G41" s="35" t="s">
        <v>4860</v>
      </c>
      <c r="H41" s="35" t="s">
        <v>140</v>
      </c>
      <c r="I41" s="35" t="s">
        <v>4673</v>
      </c>
      <c r="J41" s="6" t="s">
        <v>4861</v>
      </c>
      <c r="K41" s="209" t="n">
        <v>2</v>
      </c>
      <c r="L41" s="209" t="s">
        <v>4663</v>
      </c>
      <c r="M41" s="6" t="s">
        <v>4862</v>
      </c>
      <c r="N41" s="209" t="s">
        <v>4863</v>
      </c>
      <c r="O41" s="35" t="s">
        <v>4666</v>
      </c>
      <c r="P41" s="35" t="s">
        <v>571</v>
      </c>
      <c r="Q41" s="35" t="s">
        <v>4864</v>
      </c>
      <c r="R41" s="35" t="s">
        <v>571</v>
      </c>
      <c r="S41" s="35" t="s">
        <v>571</v>
      </c>
      <c r="T41" s="35" t="s">
        <v>571</v>
      </c>
      <c r="U41" s="35" t="s">
        <v>4865</v>
      </c>
      <c r="V41" s="6" t="s">
        <v>4869</v>
      </c>
      <c r="W41" s="6" t="s">
        <v>4870</v>
      </c>
      <c r="X41" s="183" t="n">
        <f aca="false">IF($O41="Active",SUMPRODUCT(($AH$5:$AH$118=$AH41)*1),0)</f>
        <v>1</v>
      </c>
      <c r="Y41" s="183" t="n">
        <f aca="false">IF(AND($O41="Active",OR($Q41="—",$Q41="")),1,0)</f>
        <v>0</v>
      </c>
      <c r="Z41" s="183" t="n">
        <f aca="false">IF(AND($O41="Active",$L41="利害關係方",OR($R41="—",$R41="")),1,0)</f>
        <v>1</v>
      </c>
      <c r="AH41" s="34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35" t="s">
        <v>3134</v>
      </c>
      <c r="B42" s="6" t="s">
        <v>4871</v>
      </c>
      <c r="C42" s="211" t="n">
        <v>1260</v>
      </c>
      <c r="D42" s="209"/>
      <c r="E42" s="209"/>
      <c r="F42" s="35" t="s">
        <v>4835</v>
      </c>
      <c r="G42" s="35" t="s">
        <v>4860</v>
      </c>
      <c r="H42" s="35" t="s">
        <v>140</v>
      </c>
      <c r="I42" s="35" t="s">
        <v>4673</v>
      </c>
      <c r="J42" s="6" t="s">
        <v>4861</v>
      </c>
      <c r="K42" s="209" t="n">
        <v>2</v>
      </c>
      <c r="L42" s="209" t="s">
        <v>4663</v>
      </c>
      <c r="M42" s="6" t="s">
        <v>4862</v>
      </c>
      <c r="N42" s="209" t="s">
        <v>4863</v>
      </c>
      <c r="O42" s="35" t="s">
        <v>4666</v>
      </c>
      <c r="P42" s="35" t="s">
        <v>571</v>
      </c>
      <c r="Q42" s="35" t="s">
        <v>4864</v>
      </c>
      <c r="R42" s="35" t="s">
        <v>571</v>
      </c>
      <c r="S42" s="35" t="s">
        <v>571</v>
      </c>
      <c r="T42" s="35" t="s">
        <v>571</v>
      </c>
      <c r="U42" s="35" t="s">
        <v>4865</v>
      </c>
      <c r="V42" s="6" t="s">
        <v>4872</v>
      </c>
      <c r="W42" s="6" t="s">
        <v>4873</v>
      </c>
      <c r="X42" s="183" t="n">
        <f aca="false">IF($O42="Active",SUMPRODUCT(($AH$5:$AH$118=$AH42)*1),0)</f>
        <v>1</v>
      </c>
      <c r="Y42" s="183" t="n">
        <f aca="false">IF(AND($O42="Active",OR($Q42="—",$Q42="")),1,0)</f>
        <v>0</v>
      </c>
      <c r="Z42" s="183" t="n">
        <f aca="false">IF(AND($O42="Active",$L42="利害關係方",OR($R42="—",$R42="")),1,0)</f>
        <v>1</v>
      </c>
      <c r="AH42" s="34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35" t="s">
        <v>3122</v>
      </c>
      <c r="B43" s="6" t="s">
        <v>4874</v>
      </c>
      <c r="C43" s="211" t="n">
        <v>288</v>
      </c>
      <c r="D43" s="209"/>
      <c r="E43" s="209"/>
      <c r="F43" s="35" t="s">
        <v>4835</v>
      </c>
      <c r="G43" s="35" t="s">
        <v>4860</v>
      </c>
      <c r="H43" s="35" t="s">
        <v>140</v>
      </c>
      <c r="I43" s="35" t="s">
        <v>4673</v>
      </c>
      <c r="J43" s="6" t="s">
        <v>4861</v>
      </c>
      <c r="K43" s="209" t="n">
        <v>2</v>
      </c>
      <c r="L43" s="209" t="s">
        <v>4663</v>
      </c>
      <c r="M43" s="6" t="s">
        <v>4862</v>
      </c>
      <c r="N43" s="209" t="s">
        <v>4863</v>
      </c>
      <c r="O43" s="35" t="s">
        <v>4666</v>
      </c>
      <c r="P43" s="35" t="s">
        <v>571</v>
      </c>
      <c r="Q43" s="35" t="s">
        <v>4864</v>
      </c>
      <c r="R43" s="35" t="s">
        <v>571</v>
      </c>
      <c r="S43" s="35" t="s">
        <v>571</v>
      </c>
      <c r="T43" s="35" t="s">
        <v>571</v>
      </c>
      <c r="U43" s="35" t="s">
        <v>4865</v>
      </c>
      <c r="V43" s="6" t="s">
        <v>4875</v>
      </c>
      <c r="W43" s="6" t="s">
        <v>4876</v>
      </c>
      <c r="X43" s="183" t="n">
        <f aca="false">IF($O43="Active",SUMPRODUCT(($AH$5:$AH$118=$AH43)*1),0)</f>
        <v>1</v>
      </c>
      <c r="Y43" s="183" t="n">
        <f aca="false">IF(AND($O43="Active",OR($Q43="—",$Q43="")),1,0)</f>
        <v>0</v>
      </c>
      <c r="Z43" s="183" t="n">
        <f aca="false">IF(AND($O43="Active",$L43="利害關係方",OR($R43="—",$R43="")),1,0)</f>
        <v>1</v>
      </c>
      <c r="AH43" s="34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35" t="s">
        <v>2948</v>
      </c>
      <c r="B44" s="6" t="s">
        <v>4877</v>
      </c>
      <c r="C44" s="211" t="n">
        <v>1.979</v>
      </c>
      <c r="D44" s="209"/>
      <c r="E44" s="209"/>
      <c r="F44" s="35" t="s">
        <v>431</v>
      </c>
      <c r="G44" s="35" t="s">
        <v>4791</v>
      </c>
      <c r="H44" s="35" t="s">
        <v>137</v>
      </c>
      <c r="I44" s="35" t="s">
        <v>4355</v>
      </c>
      <c r="J44" s="6" t="s">
        <v>4878</v>
      </c>
      <c r="K44" s="209" t="n">
        <v>1</v>
      </c>
      <c r="L44" s="209" t="s">
        <v>4663</v>
      </c>
      <c r="M44" s="6" t="s">
        <v>4879</v>
      </c>
      <c r="N44" s="209" t="s">
        <v>4665</v>
      </c>
      <c r="O44" s="35" t="s">
        <v>4666</v>
      </c>
      <c r="P44" s="35" t="s">
        <v>571</v>
      </c>
      <c r="Q44" s="35" t="s">
        <v>4880</v>
      </c>
      <c r="R44" s="35" t="s">
        <v>571</v>
      </c>
      <c r="S44" s="35" t="s">
        <v>4599</v>
      </c>
      <c r="T44" s="35" t="s">
        <v>571</v>
      </c>
      <c r="U44" s="35" t="s">
        <v>4881</v>
      </c>
      <c r="V44" s="6" t="s">
        <v>4882</v>
      </c>
      <c r="W44" s="18" t="s">
        <v>4883</v>
      </c>
      <c r="X44" s="183" t="n">
        <f aca="false">IF($O44="Active",SUMPRODUCT(($AH$5:$AH$118=$AH44)*1),0)</f>
        <v>1</v>
      </c>
      <c r="Y44" s="183" t="n">
        <f aca="false">IF(AND($O44="Active",OR($Q44="—",$Q44="")),1,0)</f>
        <v>0</v>
      </c>
      <c r="Z44" s="183" t="n">
        <f aca="false">IF(AND($O44="Active",$L44="利害關係方",OR($R44="—",$R44="")),1,0)</f>
        <v>1</v>
      </c>
      <c r="AH44" s="34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35" t="s">
        <v>2983</v>
      </c>
      <c r="B45" s="6" t="s">
        <v>4884</v>
      </c>
      <c r="C45" s="211" t="n">
        <v>13.4</v>
      </c>
      <c r="D45" s="209"/>
      <c r="E45" s="209"/>
      <c r="F45" s="35" t="s">
        <v>4885</v>
      </c>
      <c r="G45" s="35" t="s">
        <v>4860</v>
      </c>
      <c r="H45" s="35" t="s">
        <v>138</v>
      </c>
      <c r="I45" s="35" t="s">
        <v>571</v>
      </c>
      <c r="J45" s="6" t="s">
        <v>4886</v>
      </c>
      <c r="K45" s="209" t="n">
        <v>3</v>
      </c>
      <c r="L45" s="209" t="s">
        <v>4663</v>
      </c>
      <c r="M45" s="6" t="s">
        <v>4887</v>
      </c>
      <c r="N45" s="209" t="s">
        <v>4795</v>
      </c>
      <c r="O45" s="35" t="s">
        <v>4666</v>
      </c>
      <c r="P45" s="35" t="s">
        <v>571</v>
      </c>
      <c r="Q45" s="35" t="s">
        <v>4888</v>
      </c>
      <c r="R45" s="35" t="s">
        <v>571</v>
      </c>
      <c r="S45" s="35" t="s">
        <v>571</v>
      </c>
      <c r="T45" s="35" t="s">
        <v>571</v>
      </c>
      <c r="U45" s="35" t="s">
        <v>4889</v>
      </c>
      <c r="V45" s="6" t="s">
        <v>4890</v>
      </c>
      <c r="W45" s="6" t="s">
        <v>4891</v>
      </c>
      <c r="X45" s="183" t="n">
        <f aca="false">IF($O45="Active",SUMPRODUCT(($AH$5:$AH$118=$AH45)*1),0)</f>
        <v>1</v>
      </c>
      <c r="Y45" s="183" t="n">
        <f aca="false">IF(AND($O45="Active",OR($Q45="—",$Q45="")),1,0)</f>
        <v>0</v>
      </c>
      <c r="Z45" s="183" t="n">
        <f aca="false">IF(AND($O45="Active",$L45="利害關係方",OR($R45="—",$R45="")),1,0)</f>
        <v>1</v>
      </c>
      <c r="AH45" s="34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35" t="s">
        <v>3117</v>
      </c>
      <c r="B46" s="6" t="s">
        <v>4892</v>
      </c>
      <c r="C46" s="211" t="n">
        <v>2.5</v>
      </c>
      <c r="D46" s="209"/>
      <c r="E46" s="209"/>
      <c r="F46" s="35" t="s">
        <v>431</v>
      </c>
      <c r="G46" s="35" t="s">
        <v>4791</v>
      </c>
      <c r="H46" s="35" t="s">
        <v>4893</v>
      </c>
      <c r="I46" s="35" t="s">
        <v>571</v>
      </c>
      <c r="J46" s="6" t="s">
        <v>4886</v>
      </c>
      <c r="K46" s="209" t="n">
        <v>3</v>
      </c>
      <c r="L46" s="209" t="s">
        <v>4663</v>
      </c>
      <c r="M46" s="6" t="s">
        <v>4887</v>
      </c>
      <c r="N46" s="209" t="s">
        <v>4795</v>
      </c>
      <c r="O46" s="35" t="s">
        <v>4666</v>
      </c>
      <c r="P46" s="35" t="s">
        <v>571</v>
      </c>
      <c r="Q46" s="35" t="s">
        <v>4888</v>
      </c>
      <c r="R46" s="35" t="s">
        <v>571</v>
      </c>
      <c r="S46" s="35" t="s">
        <v>571</v>
      </c>
      <c r="T46" s="35" t="s">
        <v>571</v>
      </c>
      <c r="U46" s="35" t="s">
        <v>4889</v>
      </c>
      <c r="V46" s="6" t="s">
        <v>4894</v>
      </c>
      <c r="W46" s="6" t="s">
        <v>571</v>
      </c>
      <c r="X46" s="183" t="n">
        <f aca="false">IF($O46="Active",SUMPRODUCT(($AH$5:$AH$118=$AH46)*1),0)</f>
        <v>1</v>
      </c>
      <c r="Y46" s="183" t="n">
        <f aca="false">IF(AND($O46="Active",OR($Q46="—",$Q46="")),1,0)</f>
        <v>0</v>
      </c>
      <c r="Z46" s="183" t="n">
        <f aca="false">IF(AND($O46="Active",$L46="利害關係方",OR($R46="—",$R46="")),1,0)</f>
        <v>1</v>
      </c>
      <c r="AH46" s="34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35" t="s">
        <v>3129</v>
      </c>
      <c r="B47" s="6" t="s">
        <v>4895</v>
      </c>
      <c r="C47" s="211" t="n">
        <v>5</v>
      </c>
      <c r="D47" s="209"/>
      <c r="E47" s="209"/>
      <c r="F47" s="35" t="s">
        <v>431</v>
      </c>
      <c r="G47" s="35" t="s">
        <v>4896</v>
      </c>
      <c r="H47" s="35" t="s">
        <v>4893</v>
      </c>
      <c r="I47" s="35" t="s">
        <v>571</v>
      </c>
      <c r="J47" s="6" t="s">
        <v>4886</v>
      </c>
      <c r="K47" s="209" t="n">
        <v>1</v>
      </c>
      <c r="L47" s="209" t="s">
        <v>4663</v>
      </c>
      <c r="M47" s="6" t="s">
        <v>4887</v>
      </c>
      <c r="N47" s="209" t="s">
        <v>4665</v>
      </c>
      <c r="O47" s="35" t="s">
        <v>4666</v>
      </c>
      <c r="P47" s="35" t="s">
        <v>571</v>
      </c>
      <c r="Q47" s="35" t="s">
        <v>4897</v>
      </c>
      <c r="R47" s="35" t="s">
        <v>571</v>
      </c>
      <c r="S47" s="35" t="s">
        <v>4599</v>
      </c>
      <c r="T47" s="35" t="s">
        <v>571</v>
      </c>
      <c r="U47" s="35" t="s">
        <v>4889</v>
      </c>
      <c r="V47" s="6" t="s">
        <v>4898</v>
      </c>
      <c r="W47" s="6" t="s">
        <v>4899</v>
      </c>
      <c r="X47" s="183" t="n">
        <f aca="false">IF($O47="Active",SUMPRODUCT(($AH$5:$AH$118=$AH47)*1),0)</f>
        <v>1</v>
      </c>
      <c r="Y47" s="183" t="n">
        <f aca="false">IF(AND($O47="Active",OR($Q47="—",$Q47="")),1,0)</f>
        <v>0</v>
      </c>
      <c r="Z47" s="183" t="n">
        <f aca="false">IF(AND($O47="Active",$L47="利害關係方",OR($R47="—",$R47="")),1,0)</f>
        <v>1</v>
      </c>
      <c r="AH47" s="34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35" t="s">
        <v>3007</v>
      </c>
      <c r="B48" s="6" t="s">
        <v>4900</v>
      </c>
      <c r="C48" s="211" t="n">
        <v>4600</v>
      </c>
      <c r="D48" s="209"/>
      <c r="E48" s="209"/>
      <c r="F48" s="35" t="s">
        <v>4901</v>
      </c>
      <c r="G48" s="35" t="s">
        <v>4836</v>
      </c>
      <c r="H48" s="35" t="s">
        <v>4749</v>
      </c>
      <c r="I48" s="35" t="s">
        <v>571</v>
      </c>
      <c r="J48" s="6" t="s">
        <v>4886</v>
      </c>
      <c r="K48" s="209" t="n">
        <v>3</v>
      </c>
      <c r="L48" s="209" t="s">
        <v>4663</v>
      </c>
      <c r="M48" s="6" t="s">
        <v>4887</v>
      </c>
      <c r="N48" s="209" t="s">
        <v>4795</v>
      </c>
      <c r="O48" s="35" t="s">
        <v>4666</v>
      </c>
      <c r="P48" s="35" t="s">
        <v>571</v>
      </c>
      <c r="Q48" s="35" t="s">
        <v>4888</v>
      </c>
      <c r="R48" s="35" t="s">
        <v>571</v>
      </c>
      <c r="S48" s="35" t="s">
        <v>571</v>
      </c>
      <c r="T48" s="35" t="s">
        <v>571</v>
      </c>
      <c r="U48" s="35" t="s">
        <v>4889</v>
      </c>
      <c r="V48" s="6" t="s">
        <v>4902</v>
      </c>
      <c r="W48" s="6" t="s">
        <v>4903</v>
      </c>
      <c r="X48" s="183" t="n">
        <f aca="false">IF($O48="Active",SUMPRODUCT(($AH$5:$AH$118=$AH48)*1),0)</f>
        <v>1</v>
      </c>
      <c r="Y48" s="183" t="n">
        <f aca="false">IF(AND($O48="Active",OR($Q48="—",$Q48="")),1,0)</f>
        <v>0</v>
      </c>
      <c r="Z48" s="183" t="n">
        <f aca="false">IF(AND($O48="Active",$L48="利害關係方",OR($R48="—",$R48="")),1,0)</f>
        <v>1</v>
      </c>
      <c r="AH48" s="34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35" t="s">
        <v>4904</v>
      </c>
      <c r="B49" s="6" t="s">
        <v>4905</v>
      </c>
      <c r="C49" s="211" t="n">
        <v>5000</v>
      </c>
      <c r="D49" s="209"/>
      <c r="E49" s="209"/>
      <c r="F49" s="35" t="s">
        <v>4835</v>
      </c>
      <c r="G49" s="35" t="s">
        <v>4836</v>
      </c>
      <c r="H49" s="35" t="s">
        <v>4749</v>
      </c>
      <c r="I49" s="35" t="s">
        <v>571</v>
      </c>
      <c r="J49" s="6" t="s">
        <v>4886</v>
      </c>
      <c r="K49" s="209" t="n">
        <v>3</v>
      </c>
      <c r="L49" s="209" t="s">
        <v>4663</v>
      </c>
      <c r="M49" s="6" t="s">
        <v>4887</v>
      </c>
      <c r="N49" s="209" t="s">
        <v>4795</v>
      </c>
      <c r="O49" s="35" t="s">
        <v>4750</v>
      </c>
      <c r="P49" s="35" t="s">
        <v>4751</v>
      </c>
      <c r="Q49" s="35" t="s">
        <v>4888</v>
      </c>
      <c r="R49" s="35" t="s">
        <v>571</v>
      </c>
      <c r="S49" s="35" t="s">
        <v>571</v>
      </c>
      <c r="T49" s="35" t="s">
        <v>571</v>
      </c>
      <c r="U49" s="35" t="s">
        <v>4889</v>
      </c>
      <c r="V49" s="6" t="s">
        <v>4906</v>
      </c>
      <c r="W49" s="6" t="s">
        <v>4907</v>
      </c>
      <c r="X49" s="183" t="n">
        <f aca="false">IF($O49="Active",SUMPRODUCT(($AH$5:$AH$118=$AH49)*1),0)</f>
        <v>0</v>
      </c>
      <c r="Y49" s="183" t="n">
        <f aca="false">IF(AND($O49="Active",OR($Q49="—",$Q49="")),1,0)</f>
        <v>0</v>
      </c>
      <c r="Z49" s="183" t="n">
        <f aca="false">IF(AND($O49="Active",$L49="利害關係方",OR($R49="—",$R49="")),1,0)</f>
        <v>0</v>
      </c>
      <c r="AH49" s="34" t="str">
        <f aca="false">IF($O49="Active",$B49&amp;"¦"&amp;$G49&amp;"¦"&amp;$H49,"")</f>
        <v/>
      </c>
    </row>
    <row r="50" customFormat="false" ht="29.25" hidden="false" customHeight="true" outlineLevel="0" collapsed="false">
      <c r="A50" s="35" t="s">
        <v>3097</v>
      </c>
      <c r="B50" s="6" t="s">
        <v>4908</v>
      </c>
      <c r="C50" s="211" t="n">
        <v>1.8</v>
      </c>
      <c r="D50" s="209"/>
      <c r="E50" s="209"/>
      <c r="F50" s="35" t="s">
        <v>4909</v>
      </c>
      <c r="G50" s="209" t="s">
        <v>4748</v>
      </c>
      <c r="H50" s="35" t="s">
        <v>1792</v>
      </c>
      <c r="I50" s="35" t="s">
        <v>571</v>
      </c>
      <c r="J50" s="6" t="s">
        <v>4886</v>
      </c>
      <c r="K50" s="209" t="n">
        <v>3</v>
      </c>
      <c r="L50" s="209" t="s">
        <v>4663</v>
      </c>
      <c r="M50" s="6" t="s">
        <v>4887</v>
      </c>
      <c r="N50" s="209" t="s">
        <v>4795</v>
      </c>
      <c r="O50" s="35" t="s">
        <v>4666</v>
      </c>
      <c r="P50" s="35" t="s">
        <v>571</v>
      </c>
      <c r="Q50" s="35" t="s">
        <v>4888</v>
      </c>
      <c r="R50" s="35" t="s">
        <v>571</v>
      </c>
      <c r="S50" s="35" t="s">
        <v>571</v>
      </c>
      <c r="T50" s="35" t="s">
        <v>571</v>
      </c>
      <c r="U50" s="35" t="s">
        <v>4889</v>
      </c>
      <c r="V50" s="6" t="s">
        <v>4910</v>
      </c>
      <c r="W50" s="18" t="s">
        <v>4911</v>
      </c>
      <c r="X50" s="183" t="n">
        <f aca="false">IF($O50="Active",SUMPRODUCT(($AH$5:$AH$118=$AH50)*1),0)</f>
        <v>1</v>
      </c>
      <c r="Y50" s="183" t="n">
        <f aca="false">IF(AND($O50="Active",OR($Q50="—",$Q50="")),1,0)</f>
        <v>0</v>
      </c>
      <c r="Z50" s="183" t="n">
        <f aca="false">IF(AND($O50="Active",$L50="利害關係方",OR($R50="—",$R50="")),1,0)</f>
        <v>1</v>
      </c>
      <c r="AH50" s="34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35" t="s">
        <v>2841</v>
      </c>
      <c r="B51" s="6" t="s">
        <v>4912</v>
      </c>
      <c r="C51" s="211" t="n">
        <v>72</v>
      </c>
      <c r="D51" s="209"/>
      <c r="E51" s="209"/>
      <c r="F51" s="35" t="s">
        <v>682</v>
      </c>
      <c r="G51" s="35" t="s">
        <v>4913</v>
      </c>
      <c r="H51" s="35" t="s">
        <v>4914</v>
      </c>
      <c r="I51" s="35" t="s">
        <v>571</v>
      </c>
      <c r="J51" s="6" t="s">
        <v>4886</v>
      </c>
      <c r="K51" s="209" t="n">
        <v>1</v>
      </c>
      <c r="L51" s="209" t="s">
        <v>4663</v>
      </c>
      <c r="M51" s="6" t="s">
        <v>4915</v>
      </c>
      <c r="N51" s="209" t="s">
        <v>4665</v>
      </c>
      <c r="O51" s="35" t="s">
        <v>4666</v>
      </c>
      <c r="P51" s="35" t="s">
        <v>571</v>
      </c>
      <c r="Q51" s="35" t="s">
        <v>4916</v>
      </c>
      <c r="R51" s="35" t="s">
        <v>571</v>
      </c>
      <c r="S51" s="35" t="s">
        <v>4599</v>
      </c>
      <c r="T51" s="35" t="s">
        <v>571</v>
      </c>
      <c r="U51" s="35" t="s">
        <v>4889</v>
      </c>
      <c r="V51" s="6" t="s">
        <v>4917</v>
      </c>
      <c r="W51" s="18" t="s">
        <v>4918</v>
      </c>
      <c r="X51" s="183" t="n">
        <f aca="false">IF($O51="Active",SUMPRODUCT(($AH$5:$AH$118=$AH51)*1),0)</f>
        <v>1</v>
      </c>
      <c r="Y51" s="183" t="n">
        <f aca="false">IF(AND($O51="Active",OR($Q51="—",$Q51="")),1,0)</f>
        <v>0</v>
      </c>
      <c r="Z51" s="183" t="n">
        <f aca="false">IF(AND($O51="Active",$L51="利害關係方",OR($R51="—",$R51="")),1,0)</f>
        <v>1</v>
      </c>
      <c r="AH51" s="34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35" t="s">
        <v>3016</v>
      </c>
      <c r="B52" s="6" t="s">
        <v>4919</v>
      </c>
      <c r="C52" s="211" t="n">
        <v>0.9</v>
      </c>
      <c r="D52" s="209"/>
      <c r="E52" s="209"/>
      <c r="F52" s="35" t="s">
        <v>319</v>
      </c>
      <c r="G52" s="209" t="s">
        <v>4920</v>
      </c>
      <c r="H52" s="35" t="s">
        <v>4893</v>
      </c>
      <c r="I52" s="35" t="s">
        <v>571</v>
      </c>
      <c r="J52" s="6" t="s">
        <v>4886</v>
      </c>
      <c r="K52" s="209" t="n">
        <v>3</v>
      </c>
      <c r="L52" s="209" t="s">
        <v>4663</v>
      </c>
      <c r="M52" s="6" t="s">
        <v>4887</v>
      </c>
      <c r="N52" s="209" t="s">
        <v>4795</v>
      </c>
      <c r="O52" s="35" t="s">
        <v>4666</v>
      </c>
      <c r="P52" s="35" t="s">
        <v>571</v>
      </c>
      <c r="Q52" s="35" t="s">
        <v>4888</v>
      </c>
      <c r="R52" s="35" t="s">
        <v>571</v>
      </c>
      <c r="S52" s="35" t="s">
        <v>571</v>
      </c>
      <c r="T52" s="35" t="s">
        <v>571</v>
      </c>
      <c r="U52" s="35" t="s">
        <v>4889</v>
      </c>
      <c r="V52" s="6" t="s">
        <v>4921</v>
      </c>
      <c r="W52" s="18" t="s">
        <v>4922</v>
      </c>
      <c r="X52" s="183" t="n">
        <f aca="false">IF($O52="Active",SUMPRODUCT(($AH$5:$AH$118=$AH52)*1),0)</f>
        <v>1</v>
      </c>
      <c r="Y52" s="183" t="n">
        <f aca="false">IF(AND($O52="Active",OR($Q52="—",$Q52="")),1,0)</f>
        <v>0</v>
      </c>
      <c r="Z52" s="183" t="n">
        <f aca="false">IF(AND($O52="Active",$L52="利害關係方",OR($R52="—",$R52="")),1,0)</f>
        <v>1</v>
      </c>
      <c r="AH52" s="34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35" t="s">
        <v>3020</v>
      </c>
      <c r="B53" s="6" t="s">
        <v>4923</v>
      </c>
      <c r="C53" s="211" t="n">
        <v>1.8</v>
      </c>
      <c r="D53" s="209"/>
      <c r="E53" s="209"/>
      <c r="F53" s="35" t="s">
        <v>319</v>
      </c>
      <c r="G53" s="209" t="s">
        <v>4920</v>
      </c>
      <c r="H53" s="35" t="s">
        <v>1792</v>
      </c>
      <c r="I53" s="35" t="s">
        <v>571</v>
      </c>
      <c r="J53" s="6" t="s">
        <v>4886</v>
      </c>
      <c r="K53" s="209" t="n">
        <v>3</v>
      </c>
      <c r="L53" s="209" t="s">
        <v>4663</v>
      </c>
      <c r="M53" s="6" t="s">
        <v>4887</v>
      </c>
      <c r="N53" s="209" t="s">
        <v>4795</v>
      </c>
      <c r="O53" s="35" t="s">
        <v>4666</v>
      </c>
      <c r="P53" s="35" t="s">
        <v>571</v>
      </c>
      <c r="Q53" s="35" t="s">
        <v>4888</v>
      </c>
      <c r="R53" s="35" t="s">
        <v>571</v>
      </c>
      <c r="S53" s="35" t="s">
        <v>571</v>
      </c>
      <c r="T53" s="35" t="s">
        <v>571</v>
      </c>
      <c r="U53" s="35" t="s">
        <v>4889</v>
      </c>
      <c r="V53" s="6" t="s">
        <v>4924</v>
      </c>
      <c r="W53" s="6" t="s">
        <v>571</v>
      </c>
      <c r="X53" s="183" t="n">
        <f aca="false">IF($O53="Active",SUMPRODUCT(($AH$5:$AH$118=$AH53)*1),0)</f>
        <v>1</v>
      </c>
      <c r="Y53" s="183" t="n">
        <f aca="false">IF(AND($O53="Active",OR($Q53="—",$Q53="")),1,0)</f>
        <v>0</v>
      </c>
      <c r="Z53" s="183" t="n">
        <f aca="false">IF(AND($O53="Active",$L53="利害關係方",OR($R53="—",$R53="")),1,0)</f>
        <v>1</v>
      </c>
      <c r="AH53" s="34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35" t="s">
        <v>3058</v>
      </c>
      <c r="B54" s="6" t="s">
        <v>4925</v>
      </c>
      <c r="C54" s="211" t="n">
        <v>0.5625</v>
      </c>
      <c r="D54" s="209"/>
      <c r="E54" s="209"/>
      <c r="F54" s="35" t="s">
        <v>4926</v>
      </c>
      <c r="G54" s="209" t="s">
        <v>4927</v>
      </c>
      <c r="H54" s="35" t="s">
        <v>183</v>
      </c>
      <c r="I54" s="35" t="s">
        <v>571</v>
      </c>
      <c r="J54" s="6" t="s">
        <v>4886</v>
      </c>
      <c r="K54" s="209" t="n">
        <v>3</v>
      </c>
      <c r="L54" s="209" t="s">
        <v>4663</v>
      </c>
      <c r="M54" s="6" t="s">
        <v>4887</v>
      </c>
      <c r="N54" s="209" t="s">
        <v>4795</v>
      </c>
      <c r="O54" s="35" t="s">
        <v>4666</v>
      </c>
      <c r="P54" s="35" t="s">
        <v>571</v>
      </c>
      <c r="Q54" s="35" t="s">
        <v>4888</v>
      </c>
      <c r="R54" s="35" t="s">
        <v>571</v>
      </c>
      <c r="S54" s="35" t="s">
        <v>571</v>
      </c>
      <c r="T54" s="35" t="s">
        <v>571</v>
      </c>
      <c r="U54" s="35" t="s">
        <v>4889</v>
      </c>
      <c r="V54" s="6" t="s">
        <v>4928</v>
      </c>
      <c r="W54" s="6" t="s">
        <v>571</v>
      </c>
      <c r="X54" s="183" t="n">
        <f aca="false">IF($O54="Active",SUMPRODUCT(($AH$5:$AH$118=$AH54)*1),0)</f>
        <v>1</v>
      </c>
      <c r="Y54" s="183" t="n">
        <f aca="false">IF(AND($O54="Active",OR($Q54="—",$Q54="")),1,0)</f>
        <v>0</v>
      </c>
      <c r="Z54" s="183" t="n">
        <f aca="false">IF(AND($O54="Active",$L54="利害關係方",OR($R54="—",$R54="")),1,0)</f>
        <v>1</v>
      </c>
      <c r="AH54" s="34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35" t="s">
        <v>4929</v>
      </c>
      <c r="B55" s="6" t="s">
        <v>4930</v>
      </c>
      <c r="C55" s="211" t="n">
        <v>3</v>
      </c>
      <c r="D55" s="209"/>
      <c r="E55" s="209"/>
      <c r="F55" s="35" t="s">
        <v>4701</v>
      </c>
      <c r="G55" s="209" t="s">
        <v>4748</v>
      </c>
      <c r="H55" s="35" t="s">
        <v>138</v>
      </c>
      <c r="I55" s="35" t="s">
        <v>571</v>
      </c>
      <c r="J55" s="18" t="s">
        <v>4931</v>
      </c>
      <c r="K55" s="209" t="n">
        <v>3</v>
      </c>
      <c r="L55" s="209" t="s">
        <v>4767</v>
      </c>
      <c r="M55" s="6" t="s">
        <v>4932</v>
      </c>
      <c r="N55" s="209" t="s">
        <v>4676</v>
      </c>
      <c r="O55" s="35" t="s">
        <v>4666</v>
      </c>
      <c r="P55" s="35" t="s">
        <v>571</v>
      </c>
      <c r="Q55" s="35" t="s">
        <v>4933</v>
      </c>
      <c r="R55" s="35" t="s">
        <v>571</v>
      </c>
      <c r="S55" s="35" t="s">
        <v>571</v>
      </c>
      <c r="T55" s="35" t="s">
        <v>571</v>
      </c>
      <c r="U55" s="35" t="s">
        <v>4934</v>
      </c>
      <c r="V55" s="6" t="s">
        <v>571</v>
      </c>
      <c r="W55" s="18" t="s">
        <v>4935</v>
      </c>
      <c r="X55" s="183" t="n">
        <f aca="false">IF($O55="Active",SUMPRODUCT(($AH$5:$AH$118=$AH55)*1),0)</f>
        <v>1</v>
      </c>
      <c r="Y55" s="183" t="n">
        <f aca="false">IF(AND($O55="Active",OR($Q55="—",$Q55="")),1,0)</f>
        <v>0</v>
      </c>
      <c r="Z55" s="183" t="n">
        <f aca="false">IF(AND($O55="Active",$L55="利害關係方",OR($R55="—",$R55="")),1,0)</f>
        <v>0</v>
      </c>
      <c r="AH55" s="34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35" t="s">
        <v>2902</v>
      </c>
      <c r="B56" s="6" t="s">
        <v>4936</v>
      </c>
      <c r="C56" s="211" t="n">
        <v>4</v>
      </c>
      <c r="D56" s="209"/>
      <c r="E56" s="209"/>
      <c r="F56" s="35" t="s">
        <v>4701</v>
      </c>
      <c r="G56" s="209" t="s">
        <v>4764</v>
      </c>
      <c r="H56" s="35" t="s">
        <v>139</v>
      </c>
      <c r="I56" s="35" t="s">
        <v>571</v>
      </c>
      <c r="J56" s="18" t="s">
        <v>4931</v>
      </c>
      <c r="K56" s="209" t="n">
        <v>3</v>
      </c>
      <c r="L56" s="209" t="s">
        <v>4767</v>
      </c>
      <c r="M56" s="6" t="s">
        <v>4932</v>
      </c>
      <c r="N56" s="209" t="s">
        <v>4676</v>
      </c>
      <c r="O56" s="35" t="s">
        <v>4666</v>
      </c>
      <c r="P56" s="35" t="s">
        <v>571</v>
      </c>
      <c r="Q56" s="35" t="s">
        <v>4933</v>
      </c>
      <c r="R56" s="35" t="s">
        <v>571</v>
      </c>
      <c r="S56" s="35" t="s">
        <v>571</v>
      </c>
      <c r="T56" s="35" t="s">
        <v>571</v>
      </c>
      <c r="U56" s="35" t="s">
        <v>4934</v>
      </c>
      <c r="V56" s="6" t="s">
        <v>4937</v>
      </c>
      <c r="W56" s="18" t="s">
        <v>4938</v>
      </c>
      <c r="X56" s="183" t="n">
        <f aca="false">IF($O56="Active",SUMPRODUCT(($AH$5:$AH$118=$AH56)*1),0)</f>
        <v>1</v>
      </c>
      <c r="Y56" s="183" t="n">
        <f aca="false">IF(AND($O56="Active",OR($Q56="—",$Q56="")),1,0)</f>
        <v>0</v>
      </c>
      <c r="Z56" s="183" t="n">
        <f aca="false">IF(AND($O56="Active",$L56="利害關係方",OR($R56="—",$R56="")),1,0)</f>
        <v>0</v>
      </c>
      <c r="AH56" s="34" t="str">
        <f aca="false">IF($O56="Active",$B56&amp;"¦"&amp;$G56&amp;"¦"&amp;$H56,"")</f>
        <v>GB300 NVL72 機架價格（Morgan Stanley）¦分析師估計¦GB300 NVL72</v>
      </c>
    </row>
    <row r="57" customFormat="false" ht="29.25" hidden="false" customHeight="true" outlineLevel="0" collapsed="false">
      <c r="A57" s="35" t="s">
        <v>3027</v>
      </c>
      <c r="B57" s="6" t="s">
        <v>4939</v>
      </c>
      <c r="C57" s="211" t="n">
        <v>8</v>
      </c>
      <c r="D57" s="209"/>
      <c r="E57" s="209"/>
      <c r="F57" s="35" t="s">
        <v>682</v>
      </c>
      <c r="G57" s="35" t="s">
        <v>4940</v>
      </c>
      <c r="H57" s="35" t="s">
        <v>4941</v>
      </c>
      <c r="I57" s="35" t="s">
        <v>571</v>
      </c>
      <c r="J57" s="6" t="s">
        <v>4942</v>
      </c>
      <c r="K57" s="209" t="n">
        <v>1</v>
      </c>
      <c r="L57" s="209" t="s">
        <v>4663</v>
      </c>
      <c r="M57" s="6" t="s">
        <v>4664</v>
      </c>
      <c r="N57" s="209" t="s">
        <v>4665</v>
      </c>
      <c r="O57" s="35" t="s">
        <v>4666</v>
      </c>
      <c r="P57" s="35" t="s">
        <v>571</v>
      </c>
      <c r="Q57" s="35" t="s">
        <v>4943</v>
      </c>
      <c r="R57" s="35" t="s">
        <v>571</v>
      </c>
      <c r="S57" s="35" t="s">
        <v>4599</v>
      </c>
      <c r="T57" s="35" t="s">
        <v>571</v>
      </c>
      <c r="U57" s="35" t="s">
        <v>4944</v>
      </c>
      <c r="V57" s="6" t="s">
        <v>571</v>
      </c>
      <c r="W57" s="6" t="s">
        <v>4945</v>
      </c>
      <c r="X57" s="183" t="n">
        <f aca="false">IF($O57="Active",SUMPRODUCT(($AH$5:$AH$118=$AH57)*1),0)</f>
        <v>1</v>
      </c>
      <c r="Y57" s="183" t="n">
        <f aca="false">IF(AND($O57="Active",OR($Q57="—",$Q57="")),1,0)</f>
        <v>0</v>
      </c>
      <c r="Z57" s="183" t="n">
        <f aca="false">IF(AND($O57="Active",$L57="利害關係方",OR($R57="—",$R57="")),1,0)</f>
        <v>1</v>
      </c>
      <c r="AH57" s="34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35" t="s">
        <v>4946</v>
      </c>
      <c r="B58" s="6" t="s">
        <v>4947</v>
      </c>
      <c r="C58" s="211" t="n">
        <v>144</v>
      </c>
      <c r="D58" s="209"/>
      <c r="E58" s="209"/>
      <c r="F58" s="209" t="s">
        <v>4948</v>
      </c>
      <c r="G58" s="35" t="s">
        <v>4949</v>
      </c>
      <c r="H58" s="35" t="s">
        <v>4749</v>
      </c>
      <c r="I58" s="35" t="s">
        <v>571</v>
      </c>
      <c r="J58" s="6" t="s">
        <v>4942</v>
      </c>
      <c r="K58" s="209" t="n">
        <v>3</v>
      </c>
      <c r="L58" s="209" t="s">
        <v>4663</v>
      </c>
      <c r="M58" s="6" t="s">
        <v>4950</v>
      </c>
      <c r="N58" s="209" t="s">
        <v>4795</v>
      </c>
      <c r="O58" s="35" t="s">
        <v>4750</v>
      </c>
      <c r="P58" s="35" t="s">
        <v>4751</v>
      </c>
      <c r="Q58" s="35" t="s">
        <v>4951</v>
      </c>
      <c r="R58" s="35" t="s">
        <v>571</v>
      </c>
      <c r="S58" s="35" t="s">
        <v>571</v>
      </c>
      <c r="T58" s="35" t="s">
        <v>571</v>
      </c>
      <c r="U58" s="35" t="s">
        <v>4944</v>
      </c>
      <c r="V58" s="6" t="s">
        <v>571</v>
      </c>
      <c r="W58" s="6" t="s">
        <v>4952</v>
      </c>
      <c r="X58" s="183" t="n">
        <f aca="false">IF($O58="Active",SUMPRODUCT(($AH$5:$AH$118=$AH58)*1),0)</f>
        <v>0</v>
      </c>
      <c r="Y58" s="183" t="n">
        <f aca="false">IF(AND($O58="Active",OR($Q58="—",$Q58="")),1,0)</f>
        <v>0</v>
      </c>
      <c r="Z58" s="183" t="n">
        <f aca="false">IF(AND($O58="Active",$L58="利害關係方",OR($R58="—",$R58="")),1,0)</f>
        <v>0</v>
      </c>
      <c r="AH58" s="34" t="str">
        <f aca="false">IF($O58="Active",$B58&amp;"¦"&amp;$G58&amp;"¦"&amp;$H58,"")</f>
        <v/>
      </c>
    </row>
    <row r="59" customFormat="false" ht="29.25" hidden="false" customHeight="true" outlineLevel="0" collapsed="false">
      <c r="A59" s="35" t="s">
        <v>3056</v>
      </c>
      <c r="B59" s="6" t="s">
        <v>4953</v>
      </c>
      <c r="C59" s="211" t="n">
        <v>1</v>
      </c>
      <c r="D59" s="209"/>
      <c r="E59" s="209"/>
      <c r="F59" s="35" t="s">
        <v>4926</v>
      </c>
      <c r="G59" s="209" t="s">
        <v>4927</v>
      </c>
      <c r="H59" s="35" t="s">
        <v>182</v>
      </c>
      <c r="I59" s="35" t="s">
        <v>571</v>
      </c>
      <c r="J59" s="6" t="s">
        <v>4942</v>
      </c>
      <c r="K59" s="209" t="n">
        <v>3</v>
      </c>
      <c r="L59" s="209" t="s">
        <v>4767</v>
      </c>
      <c r="M59" s="18" t="s">
        <v>4954</v>
      </c>
      <c r="N59" s="209" t="s">
        <v>4795</v>
      </c>
      <c r="O59" s="35" t="s">
        <v>4666</v>
      </c>
      <c r="P59" s="35" t="s">
        <v>571</v>
      </c>
      <c r="Q59" s="35" t="s">
        <v>4951</v>
      </c>
      <c r="R59" s="35" t="s">
        <v>571</v>
      </c>
      <c r="S59" s="35" t="s">
        <v>571</v>
      </c>
      <c r="T59" s="35" t="s">
        <v>571</v>
      </c>
      <c r="U59" s="35" t="s">
        <v>4944</v>
      </c>
      <c r="V59" s="6" t="s">
        <v>571</v>
      </c>
      <c r="W59" s="6" t="s">
        <v>4955</v>
      </c>
      <c r="X59" s="183" t="n">
        <f aca="false">IF($O59="Active",SUMPRODUCT(($AH$5:$AH$118=$AH59)*1),0)</f>
        <v>1</v>
      </c>
      <c r="Y59" s="183" t="n">
        <f aca="false">IF(AND($O59="Active",OR($Q59="—",$Q59="")),1,0)</f>
        <v>0</v>
      </c>
      <c r="Z59" s="183" t="n">
        <f aca="false">IF(AND($O59="Active",$L59="利害關係方",OR($R59="—",$R59="")),1,0)</f>
        <v>0</v>
      </c>
      <c r="AH59" s="34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35" t="s">
        <v>3091</v>
      </c>
      <c r="B60" s="6" t="s">
        <v>4956</v>
      </c>
      <c r="C60" s="211" t="n">
        <v>700</v>
      </c>
      <c r="D60" s="209"/>
      <c r="E60" s="209"/>
      <c r="F60" s="35" t="s">
        <v>4957</v>
      </c>
      <c r="G60" s="35" t="s">
        <v>4958</v>
      </c>
      <c r="H60" s="35" t="s">
        <v>137</v>
      </c>
      <c r="I60" s="35" t="s">
        <v>571</v>
      </c>
      <c r="J60" s="6" t="s">
        <v>4942</v>
      </c>
      <c r="K60" s="209" t="n">
        <v>3</v>
      </c>
      <c r="L60" s="209" t="s">
        <v>4663</v>
      </c>
      <c r="M60" s="6" t="s">
        <v>4664</v>
      </c>
      <c r="N60" s="209" t="s">
        <v>4795</v>
      </c>
      <c r="O60" s="35" t="s">
        <v>4666</v>
      </c>
      <c r="P60" s="35" t="s">
        <v>571</v>
      </c>
      <c r="Q60" s="35" t="s">
        <v>4951</v>
      </c>
      <c r="R60" s="35" t="s">
        <v>571</v>
      </c>
      <c r="S60" s="35" t="s">
        <v>571</v>
      </c>
      <c r="T60" s="35" t="s">
        <v>571</v>
      </c>
      <c r="U60" s="35" t="s">
        <v>4944</v>
      </c>
      <c r="V60" s="6" t="s">
        <v>571</v>
      </c>
      <c r="W60" s="6" t="s">
        <v>4955</v>
      </c>
      <c r="X60" s="183" t="n">
        <f aca="false">IF($O60="Active",SUMPRODUCT(($AH$5:$AH$118=$AH60)*1),0)</f>
        <v>1</v>
      </c>
      <c r="Y60" s="183" t="n">
        <f aca="false">IF(AND($O60="Active",OR($Q60="—",$Q60="")),1,0)</f>
        <v>0</v>
      </c>
      <c r="Z60" s="183" t="n">
        <f aca="false">IF(AND($O60="Active",$L60="利害關係方",OR($R60="—",$R60="")),1,0)</f>
        <v>1</v>
      </c>
      <c r="AH60" s="34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35" t="s">
        <v>3093</v>
      </c>
      <c r="B61" s="6" t="s">
        <v>4959</v>
      </c>
      <c r="C61" s="211" t="n">
        <v>1200</v>
      </c>
      <c r="D61" s="209"/>
      <c r="E61" s="209"/>
      <c r="F61" s="35" t="s">
        <v>4957</v>
      </c>
      <c r="G61" s="209" t="s">
        <v>4960</v>
      </c>
      <c r="H61" s="35" t="s">
        <v>138</v>
      </c>
      <c r="I61" s="35" t="s">
        <v>571</v>
      </c>
      <c r="J61" s="6" t="s">
        <v>4942</v>
      </c>
      <c r="K61" s="209" t="n">
        <v>3</v>
      </c>
      <c r="L61" s="209" t="s">
        <v>4663</v>
      </c>
      <c r="M61" s="6" t="s">
        <v>4664</v>
      </c>
      <c r="N61" s="209" t="s">
        <v>4795</v>
      </c>
      <c r="O61" s="35" t="s">
        <v>4666</v>
      </c>
      <c r="P61" s="35" t="s">
        <v>571</v>
      </c>
      <c r="Q61" s="35" t="s">
        <v>4951</v>
      </c>
      <c r="R61" s="35" t="s">
        <v>571</v>
      </c>
      <c r="S61" s="35" t="s">
        <v>571</v>
      </c>
      <c r="T61" s="35" t="s">
        <v>571</v>
      </c>
      <c r="U61" s="35" t="s">
        <v>4944</v>
      </c>
      <c r="V61" s="6" t="s">
        <v>571</v>
      </c>
      <c r="W61" s="6" t="s">
        <v>4955</v>
      </c>
      <c r="X61" s="183" t="n">
        <f aca="false">IF($O61="Active",SUMPRODUCT(($AH$5:$AH$118=$AH61)*1),0)</f>
        <v>1</v>
      </c>
      <c r="Y61" s="183" t="n">
        <f aca="false">IF(AND($O61="Active",OR($Q61="—",$Q61="")),1,0)</f>
        <v>0</v>
      </c>
      <c r="Z61" s="183" t="n">
        <f aca="false">IF(AND($O61="Active",$L61="利害關係方",OR($R61="—",$R61="")),1,0)</f>
        <v>1</v>
      </c>
      <c r="AH61" s="34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35" t="s">
        <v>3095</v>
      </c>
      <c r="B62" s="6" t="s">
        <v>4961</v>
      </c>
      <c r="C62" s="211" t="n">
        <v>1400</v>
      </c>
      <c r="D62" s="209"/>
      <c r="E62" s="209"/>
      <c r="F62" s="35" t="s">
        <v>4957</v>
      </c>
      <c r="G62" s="209" t="s">
        <v>4960</v>
      </c>
      <c r="H62" s="35" t="s">
        <v>139</v>
      </c>
      <c r="I62" s="35" t="s">
        <v>571</v>
      </c>
      <c r="J62" s="6" t="s">
        <v>4942</v>
      </c>
      <c r="K62" s="209" t="n">
        <v>3</v>
      </c>
      <c r="L62" s="209" t="s">
        <v>4663</v>
      </c>
      <c r="M62" s="6" t="s">
        <v>4664</v>
      </c>
      <c r="N62" s="209" t="s">
        <v>4795</v>
      </c>
      <c r="O62" s="35" t="s">
        <v>4666</v>
      </c>
      <c r="P62" s="35" t="s">
        <v>571</v>
      </c>
      <c r="Q62" s="35" t="s">
        <v>4951</v>
      </c>
      <c r="R62" s="35" t="s">
        <v>571</v>
      </c>
      <c r="S62" s="35" t="s">
        <v>571</v>
      </c>
      <c r="T62" s="35" t="s">
        <v>571</v>
      </c>
      <c r="U62" s="35" t="s">
        <v>4944</v>
      </c>
      <c r="V62" s="6" t="s">
        <v>571</v>
      </c>
      <c r="W62" s="6" t="s">
        <v>4955</v>
      </c>
      <c r="X62" s="183" t="n">
        <f aca="false">IF($O62="Active",SUMPRODUCT(($AH$5:$AH$118=$AH62)*1),0)</f>
        <v>1</v>
      </c>
      <c r="Y62" s="183" t="n">
        <f aca="false">IF(AND($O62="Active",OR($Q62="—",$Q62="")),1,0)</f>
        <v>0</v>
      </c>
      <c r="Z62" s="183" t="n">
        <f aca="false">IF(AND($O62="Active",$L62="利害關係方",OR($R62="—",$R62="")),1,0)</f>
        <v>1</v>
      </c>
      <c r="AH62" s="34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35" t="s">
        <v>3001</v>
      </c>
      <c r="B63" s="6" t="s">
        <v>4962</v>
      </c>
      <c r="C63" s="211" t="n">
        <v>8</v>
      </c>
      <c r="D63" s="209"/>
      <c r="E63" s="209"/>
      <c r="F63" s="35" t="s">
        <v>319</v>
      </c>
      <c r="G63" s="35" t="s">
        <v>4850</v>
      </c>
      <c r="H63" s="35" t="s">
        <v>139</v>
      </c>
      <c r="I63" s="35" t="s">
        <v>571</v>
      </c>
      <c r="J63" s="6" t="s">
        <v>4942</v>
      </c>
      <c r="K63" s="209" t="n">
        <v>3</v>
      </c>
      <c r="L63" s="209" t="s">
        <v>4663</v>
      </c>
      <c r="M63" s="6" t="s">
        <v>4664</v>
      </c>
      <c r="N63" s="209" t="s">
        <v>4795</v>
      </c>
      <c r="O63" s="35" t="s">
        <v>4666</v>
      </c>
      <c r="P63" s="35" t="s">
        <v>571</v>
      </c>
      <c r="Q63" s="35" t="s">
        <v>4951</v>
      </c>
      <c r="R63" s="35" t="s">
        <v>571</v>
      </c>
      <c r="S63" s="35" t="s">
        <v>571</v>
      </c>
      <c r="T63" s="35" t="s">
        <v>571</v>
      </c>
      <c r="U63" s="35" t="s">
        <v>4944</v>
      </c>
      <c r="V63" s="6" t="s">
        <v>571</v>
      </c>
      <c r="W63" s="6" t="s">
        <v>4955</v>
      </c>
      <c r="X63" s="183" t="n">
        <f aca="false">IF($O63="Active",SUMPRODUCT(($AH$5:$AH$118=$AH63)*1),0)</f>
        <v>1</v>
      </c>
      <c r="Y63" s="183" t="n">
        <f aca="false">IF(AND($O63="Active",OR($Q63="—",$Q63="")),1,0)</f>
        <v>0</v>
      </c>
      <c r="Z63" s="183" t="n">
        <f aca="false">IF(AND($O63="Active",$L63="利害關係方",OR($R63="—",$R63="")),1,0)</f>
        <v>1</v>
      </c>
      <c r="AH63" s="34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35" t="s">
        <v>3012</v>
      </c>
      <c r="B64" s="6" t="s">
        <v>4963</v>
      </c>
      <c r="C64" s="211" t="n">
        <v>400</v>
      </c>
      <c r="D64" s="209"/>
      <c r="E64" s="209"/>
      <c r="F64" s="35" t="s">
        <v>4964</v>
      </c>
      <c r="G64" s="209" t="s">
        <v>4965</v>
      </c>
      <c r="H64" s="35" t="s">
        <v>137</v>
      </c>
      <c r="I64" s="35" t="s">
        <v>571</v>
      </c>
      <c r="J64" s="6" t="s">
        <v>4942</v>
      </c>
      <c r="K64" s="209" t="n">
        <v>3</v>
      </c>
      <c r="L64" s="209" t="s">
        <v>4663</v>
      </c>
      <c r="M64" s="6" t="s">
        <v>4664</v>
      </c>
      <c r="N64" s="209" t="s">
        <v>4795</v>
      </c>
      <c r="O64" s="35" t="s">
        <v>4666</v>
      </c>
      <c r="P64" s="35" t="s">
        <v>571</v>
      </c>
      <c r="Q64" s="35" t="s">
        <v>4951</v>
      </c>
      <c r="R64" s="35" t="s">
        <v>571</v>
      </c>
      <c r="S64" s="35" t="s">
        <v>571</v>
      </c>
      <c r="T64" s="35" t="s">
        <v>571</v>
      </c>
      <c r="U64" s="35" t="s">
        <v>4944</v>
      </c>
      <c r="V64" s="6" t="s">
        <v>571</v>
      </c>
      <c r="W64" s="6" t="s">
        <v>4955</v>
      </c>
      <c r="X64" s="183" t="n">
        <f aca="false">IF($O64="Active",SUMPRODUCT(($AH$5:$AH$118=$AH64)*1),0)</f>
        <v>1</v>
      </c>
      <c r="Y64" s="183" t="n">
        <f aca="false">IF(AND($O64="Active",OR($Q64="—",$Q64="")),1,0)</f>
        <v>0</v>
      </c>
      <c r="Z64" s="183" t="n">
        <f aca="false">IF(AND($O64="Active",$L64="利害關係方",OR($R64="—",$R64="")),1,0)</f>
        <v>1</v>
      </c>
      <c r="AH64" s="34" t="str">
        <f aca="false">IF($O64="Active",$B64&amp;"¦"&amp;$G64&amp;"¦"&amp;$H64,"")</f>
        <v>InfiniBand NDR 單埠頻寬（ConnectX-7）¦單向；Hopper 跨節點 EP¦Hopper H100</v>
      </c>
    </row>
    <row r="65" customFormat="false" ht="49.25" hidden="false" customHeight="false" outlineLevel="0" collapsed="false">
      <c r="A65" s="54" t="s">
        <v>2847</v>
      </c>
      <c r="B65" s="6" t="s">
        <v>4966</v>
      </c>
      <c r="C65" s="129" t="n">
        <v>72</v>
      </c>
      <c r="D65" s="53"/>
      <c r="E65" s="53"/>
      <c r="F65" s="53" t="s">
        <v>4967</v>
      </c>
      <c r="G65" s="53" t="s">
        <v>4968</v>
      </c>
      <c r="H65" s="54" t="s">
        <v>4969</v>
      </c>
      <c r="I65" s="54" t="s">
        <v>1173</v>
      </c>
      <c r="J65" s="6" t="s">
        <v>4970</v>
      </c>
      <c r="K65" s="53" t="n">
        <v>1</v>
      </c>
      <c r="L65" s="53" t="s">
        <v>4663</v>
      </c>
      <c r="M65" s="6" t="s">
        <v>4971</v>
      </c>
      <c r="N65" s="53" t="s">
        <v>4665</v>
      </c>
      <c r="O65" s="54" t="s">
        <v>4666</v>
      </c>
      <c r="P65" s="54" t="s">
        <v>571</v>
      </c>
      <c r="Q65" s="54" t="s">
        <v>4972</v>
      </c>
      <c r="R65" s="54" t="s">
        <v>571</v>
      </c>
      <c r="S65" s="54" t="s">
        <v>571</v>
      </c>
      <c r="T65" s="54" t="s">
        <v>571</v>
      </c>
      <c r="U65" s="54" t="s">
        <v>4973</v>
      </c>
      <c r="V65" s="6" t="s">
        <v>4974</v>
      </c>
      <c r="W65" s="6" t="s">
        <v>4975</v>
      </c>
      <c r="X65" s="104" t="n">
        <f aca="false">IF($O65="Active",SUMPRODUCT(($AH$5:$AH$118=$AH65)*1),0)</f>
        <v>1</v>
      </c>
      <c r="Y65" s="104" t="n">
        <f aca="false">IF(AND($O65="Active",OR($Q65="—",$Q65="")),1,0)</f>
        <v>0</v>
      </c>
      <c r="Z65" s="104" t="n">
        <f aca="false">IF(AND($O65="Active",$L65="利害關係方",OR($R65="—",$R65="")),1,0)</f>
        <v>1</v>
      </c>
      <c r="AH65" s="53" t="str">
        <f aca="false">IF($O65="Active",$B65&amp;"¦"&amp;$G65&amp;"¦"&amp;$H65,"")</f>
        <v>Rubin Ultra 單架 GPU 封裝數（MGX NVL 單架）¦每架 72 顆 Rubin Ultra GPU（封裝為推斷 Derived）¦Rubin Ultra（MGX NVL 單架）</v>
      </c>
    </row>
    <row r="66" customFormat="false" ht="49.25" hidden="false" customHeight="false" outlineLevel="0" collapsed="false">
      <c r="A66" s="54" t="s">
        <v>3033</v>
      </c>
      <c r="B66" s="6" t="s">
        <v>4976</v>
      </c>
      <c r="C66" s="129" t="n">
        <v>576</v>
      </c>
      <c r="D66" s="53"/>
      <c r="E66" s="53"/>
      <c r="F66" s="54" t="s">
        <v>682</v>
      </c>
      <c r="G66" s="54" t="s">
        <v>4977</v>
      </c>
      <c r="H66" s="54" t="s">
        <v>4749</v>
      </c>
      <c r="I66" s="54" t="s">
        <v>1173</v>
      </c>
      <c r="J66" s="6" t="s">
        <v>4970</v>
      </c>
      <c r="K66" s="53" t="n">
        <v>1</v>
      </c>
      <c r="L66" s="53" t="s">
        <v>4663</v>
      </c>
      <c r="M66" s="6" t="s">
        <v>4978</v>
      </c>
      <c r="N66" s="53" t="s">
        <v>4665</v>
      </c>
      <c r="O66" s="54" t="s">
        <v>4666</v>
      </c>
      <c r="P66" s="54" t="s">
        <v>571</v>
      </c>
      <c r="Q66" s="54" t="s">
        <v>4972</v>
      </c>
      <c r="R66" s="54" t="s">
        <v>571</v>
      </c>
      <c r="S66" s="54" t="s">
        <v>571</v>
      </c>
      <c r="T66" s="54" t="s">
        <v>571</v>
      </c>
      <c r="U66" s="54" t="s">
        <v>4973</v>
      </c>
      <c r="V66" s="6" t="s">
        <v>4979</v>
      </c>
      <c r="W66" s="6" t="s">
        <v>4980</v>
      </c>
      <c r="X66" s="104" t="n">
        <f aca="false">IF($O66="Active",SUMPRODUCT(($AH$5:$AH$118=$AH66)*1),0)</f>
        <v>1</v>
      </c>
      <c r="Y66" s="104" t="n">
        <f aca="false">IF(AND($O66="Active",OR($Q66="—",$Q66="")),1,0)</f>
        <v>0</v>
      </c>
      <c r="Z66" s="104" t="n">
        <f aca="false">IF(AND($O66="Active",$L66="利害關係方",OR($R66="—",$R66="")),1,0)</f>
        <v>1</v>
      </c>
      <c r="AH66" s="53" t="str">
        <f aca="false">IF($O66="Active",$B66&amp;"¦"&amp;$G66&amp;"¦"&amp;$H66,"")</f>
        <v>Rubin Ultra NVL576 NVLink 域 GPU 數¦8 個 MGX NVL 單架互連為單一 NVLink 域（兩層拓撲）¦Rubin Ultra NVL576</v>
      </c>
    </row>
    <row r="67" customFormat="false" ht="39.55" hidden="false" customHeight="false" outlineLevel="0" collapsed="false">
      <c r="A67" s="54" t="s">
        <v>2957</v>
      </c>
      <c r="B67" s="6" t="s">
        <v>4981</v>
      </c>
      <c r="C67" s="129" t="n">
        <v>2520</v>
      </c>
      <c r="D67" s="53"/>
      <c r="E67" s="53"/>
      <c r="F67" s="54" t="s">
        <v>4982</v>
      </c>
      <c r="G67" s="54" t="s">
        <v>4983</v>
      </c>
      <c r="H67" s="54" t="s">
        <v>140</v>
      </c>
      <c r="I67" s="54" t="s">
        <v>4673</v>
      </c>
      <c r="J67" s="6" t="s">
        <v>4984</v>
      </c>
      <c r="K67" s="53" t="n">
        <v>1</v>
      </c>
      <c r="L67" s="53" t="s">
        <v>4663</v>
      </c>
      <c r="M67" s="6" t="s">
        <v>4985</v>
      </c>
      <c r="N67" s="53" t="s">
        <v>4665</v>
      </c>
      <c r="O67" s="54" t="s">
        <v>4666</v>
      </c>
      <c r="P67" s="54" t="s">
        <v>571</v>
      </c>
      <c r="Q67" s="54" t="s">
        <v>4986</v>
      </c>
      <c r="R67" s="54" t="s">
        <v>571</v>
      </c>
      <c r="S67" s="54" t="s">
        <v>571</v>
      </c>
      <c r="T67" s="54" t="s">
        <v>571</v>
      </c>
      <c r="U67" s="54" t="s">
        <v>4973</v>
      </c>
      <c r="V67" s="5" t="s">
        <v>4987</v>
      </c>
      <c r="W67" s="6" t="s">
        <v>4988</v>
      </c>
      <c r="X67" s="104" t="n">
        <f aca="false">IF($O67="Active",SUMPRODUCT(($AH$5:$AH$118=$AH67)*1),0)</f>
        <v>1</v>
      </c>
      <c r="Y67" s="104" t="n">
        <f aca="false">IF(AND($O67="Active",OR($Q67="—",$Q67="")),1,0)</f>
        <v>0</v>
      </c>
      <c r="Z67" s="104" t="n">
        <f aca="false">IF(AND($O67="Active",$L67="利害關係方",OR($R67="—",$R67="")),1,0)</f>
        <v>1</v>
      </c>
      <c r="AH67" s="53" t="str">
        <f aca="false">IF($O67="Active",$B67&amp;"¦"&amp;$G67&amp;"¦"&amp;$H67,"")</f>
        <v>DGX Vera Rubin NVL72 NVFP4 訓練（整架，72 GPU）¦Dense specification；72 GPU（35 PF/GPU）¦VR200 NVL72</v>
      </c>
    </row>
    <row r="68" customFormat="false" ht="36.55" hidden="false" customHeight="false" outlineLevel="0" collapsed="false">
      <c r="A68" s="54" t="s">
        <v>4989</v>
      </c>
      <c r="B68" s="6" t="s">
        <v>4990</v>
      </c>
      <c r="C68" s="129" t="n">
        <v>227</v>
      </c>
      <c r="D68" s="53"/>
      <c r="E68" s="53"/>
      <c r="F68" s="54" t="s">
        <v>4685</v>
      </c>
      <c r="G68" s="53" t="s">
        <v>4991</v>
      </c>
      <c r="H68" s="54" t="s">
        <v>140</v>
      </c>
      <c r="I68" s="54" t="s">
        <v>1173</v>
      </c>
      <c r="J68" s="6" t="s">
        <v>4992</v>
      </c>
      <c r="K68" s="53" t="n">
        <v>1</v>
      </c>
      <c r="L68" s="53" t="s">
        <v>4663</v>
      </c>
      <c r="M68" s="6" t="s">
        <v>4993</v>
      </c>
      <c r="N68" s="53" t="s">
        <v>4665</v>
      </c>
      <c r="O68" s="54" t="s">
        <v>4666</v>
      </c>
      <c r="P68" s="54" t="s">
        <v>571</v>
      </c>
      <c r="Q68" s="54" t="s">
        <v>4994</v>
      </c>
      <c r="R68" s="54" t="s">
        <v>571</v>
      </c>
      <c r="S68" s="54" t="s">
        <v>571</v>
      </c>
      <c r="T68" s="54" t="s">
        <v>571</v>
      </c>
      <c r="U68" s="54" t="s">
        <v>4973</v>
      </c>
      <c r="V68" s="5" t="s">
        <v>4995</v>
      </c>
      <c r="W68" s="6" t="s">
        <v>4996</v>
      </c>
      <c r="X68" s="104" t="n">
        <f aca="false">IF($O68="Active",SUMPRODUCT(($AH$5:$AH$118=$AH68)*1),0)</f>
        <v>1</v>
      </c>
      <c r="Y68" s="104" t="n">
        <f aca="false">IF(AND($O68="Active",OR($Q68="—",$Q68="")),1,0)</f>
        <v>0</v>
      </c>
      <c r="Z68" s="104" t="n">
        <f aca="false">IF(AND($O68="Active",$L68="利害關係方",OR($R68="—",$R68="")),1,0)</f>
        <v>1</v>
      </c>
      <c r="AH68" s="53" t="str">
        <f aca="false">IF($O68="Active",$B68&amp;"¦"&amp;$G68&amp;"¦"&amp;$H68,"")</f>
        <v>Supermicro VR NVL72 DLC-2 液冷設計容量¦冷卻 sized-for 容量（不是機架實測功率）¦VR200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7" t="s">
        <v>4997</v>
      </c>
    </row>
    <row r="2" customFormat="false" ht="15" hidden="false" customHeight="true" outlineLevel="0" collapsed="false">
      <c r="A2" s="218" t="s">
        <v>4637</v>
      </c>
    </row>
    <row r="3" customFormat="false" ht="15" hidden="false" customHeight="true" outlineLevel="0" collapsed="false">
      <c r="A3" s="218" t="s">
        <v>4638</v>
      </c>
    </row>
    <row r="4" customFormat="false" ht="43.5" hidden="false" customHeight="true" outlineLevel="0" collapsed="false">
      <c r="A4" s="77" t="s">
        <v>4639</v>
      </c>
      <c r="B4" s="208" t="s">
        <v>1839</v>
      </c>
      <c r="C4" s="208" t="s">
        <v>4640</v>
      </c>
      <c r="D4" s="208" t="s">
        <v>1099</v>
      </c>
      <c r="E4" s="208" t="s">
        <v>1100</v>
      </c>
      <c r="F4" s="208" t="s">
        <v>55</v>
      </c>
      <c r="G4" s="208" t="s">
        <v>427</v>
      </c>
      <c r="H4" s="208" t="s">
        <v>4641</v>
      </c>
      <c r="I4" s="208" t="s">
        <v>4294</v>
      </c>
      <c r="J4" s="208" t="s">
        <v>4297</v>
      </c>
      <c r="K4" s="208" t="s">
        <v>4472</v>
      </c>
      <c r="L4" s="208" t="s">
        <v>4642</v>
      </c>
      <c r="M4" s="208" t="s">
        <v>4643</v>
      </c>
      <c r="N4" s="208" t="s">
        <v>4644</v>
      </c>
      <c r="O4" s="208" t="s">
        <v>558</v>
      </c>
      <c r="P4" s="208" t="s">
        <v>4645</v>
      </c>
      <c r="Q4" s="77" t="s">
        <v>4646</v>
      </c>
      <c r="R4" s="208" t="s">
        <v>4647</v>
      </c>
      <c r="S4" s="208" t="s">
        <v>4648</v>
      </c>
      <c r="T4" s="77" t="s">
        <v>4649</v>
      </c>
      <c r="U4" s="208" t="s">
        <v>4650</v>
      </c>
      <c r="V4" s="208" t="s">
        <v>4651</v>
      </c>
      <c r="W4" s="208" t="s">
        <v>4652</v>
      </c>
      <c r="X4" s="208" t="s">
        <v>4653</v>
      </c>
      <c r="Y4" s="208" t="s">
        <v>4654</v>
      </c>
      <c r="Z4" s="208" t="s">
        <v>4655</v>
      </c>
      <c r="AH4" s="76" t="s">
        <v>4656</v>
      </c>
    </row>
    <row r="5" customFormat="false" ht="29.25" hidden="false" customHeight="true" outlineLevel="0" collapsed="false">
      <c r="A5" s="35" t="s">
        <v>2708</v>
      </c>
      <c r="B5" s="6" t="s">
        <v>4998</v>
      </c>
      <c r="C5" s="209"/>
      <c r="D5" s="211" t="n">
        <v>0.04</v>
      </c>
      <c r="E5" s="211" t="n">
        <v>0.08</v>
      </c>
      <c r="F5" s="35" t="s">
        <v>71</v>
      </c>
      <c r="G5" s="209" t="s">
        <v>4999</v>
      </c>
      <c r="H5" s="35" t="s">
        <v>571</v>
      </c>
      <c r="I5" s="35" t="s">
        <v>4673</v>
      </c>
      <c r="J5" s="6" t="s">
        <v>5000</v>
      </c>
      <c r="K5" s="209" t="n">
        <v>3</v>
      </c>
      <c r="L5" s="209" t="s">
        <v>4663</v>
      </c>
      <c r="M5" s="6" t="s">
        <v>5001</v>
      </c>
      <c r="N5" s="209" t="s">
        <v>4676</v>
      </c>
      <c r="O5" s="35" t="s">
        <v>4666</v>
      </c>
      <c r="P5" s="35" t="s">
        <v>571</v>
      </c>
      <c r="Q5" s="35" t="s">
        <v>5002</v>
      </c>
      <c r="R5" s="35" t="s">
        <v>571</v>
      </c>
      <c r="S5" s="35" t="s">
        <v>571</v>
      </c>
      <c r="T5" s="35" t="s">
        <v>571</v>
      </c>
      <c r="U5" s="35" t="s">
        <v>5003</v>
      </c>
      <c r="V5" s="6" t="s">
        <v>5004</v>
      </c>
      <c r="W5" s="18" t="s">
        <v>5005</v>
      </c>
      <c r="X5" s="183" t="n">
        <f aca="false">IF($O5="Active",SUMPRODUCT(($AH$5:$AH$67=$AH5)*1),0)</f>
        <v>1</v>
      </c>
      <c r="Y5" s="183" t="n">
        <f aca="false">IF(AND($O5="Active",OR($Q5="—",$Q5="")),1,0)</f>
        <v>0</v>
      </c>
      <c r="Z5" s="183" t="n">
        <f aca="false">IF(AND($O5="Active",$L5="利害關係方",OR($R5="—",$R5="")),1,0)</f>
        <v>1</v>
      </c>
      <c r="AH5" s="34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35" t="s">
        <v>2713</v>
      </c>
      <c r="B6" s="18" t="s">
        <v>5006</v>
      </c>
      <c r="C6" s="211" t="n">
        <v>0.15</v>
      </c>
      <c r="D6" s="209"/>
      <c r="E6" s="209"/>
      <c r="F6" s="35" t="s">
        <v>71</v>
      </c>
      <c r="G6" s="209" t="s">
        <v>5007</v>
      </c>
      <c r="H6" s="35" t="s">
        <v>571</v>
      </c>
      <c r="I6" s="35" t="s">
        <v>4673</v>
      </c>
      <c r="J6" s="6" t="s">
        <v>5000</v>
      </c>
      <c r="K6" s="209" t="n">
        <v>3</v>
      </c>
      <c r="L6" s="209" t="s">
        <v>4663</v>
      </c>
      <c r="M6" s="6" t="s">
        <v>5001</v>
      </c>
      <c r="N6" s="209" t="s">
        <v>4676</v>
      </c>
      <c r="O6" s="35" t="s">
        <v>4666</v>
      </c>
      <c r="P6" s="35" t="s">
        <v>571</v>
      </c>
      <c r="Q6" s="35" t="s">
        <v>5002</v>
      </c>
      <c r="R6" s="35" t="s">
        <v>571</v>
      </c>
      <c r="S6" s="35" t="s">
        <v>571</v>
      </c>
      <c r="T6" s="35" t="s">
        <v>571</v>
      </c>
      <c r="U6" s="35" t="s">
        <v>5003</v>
      </c>
      <c r="V6" s="6" t="s">
        <v>5008</v>
      </c>
      <c r="W6" s="6" t="s">
        <v>5009</v>
      </c>
      <c r="X6" s="183" t="n">
        <f aca="false">IF($O6="Active",SUMPRODUCT(($AH$5:$AH$67=$AH6)*1),0)</f>
        <v>1</v>
      </c>
      <c r="Y6" s="183" t="n">
        <f aca="false">IF(AND($O6="Active",OR($Q6="—",$Q6="")),1,0)</f>
        <v>0</v>
      </c>
      <c r="Z6" s="183" t="n">
        <f aca="false">IF(AND($O6="Active",$L6="利害關係方",OR($R6="—",$R6="")),1,0)</f>
        <v>1</v>
      </c>
      <c r="AH6" s="34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35" t="s">
        <v>2066</v>
      </c>
      <c r="B7" s="18" t="s">
        <v>5010</v>
      </c>
      <c r="C7" s="211" t="n">
        <v>11.3</v>
      </c>
      <c r="D7" s="209"/>
      <c r="E7" s="209"/>
      <c r="F7" s="35" t="s">
        <v>92</v>
      </c>
      <c r="G7" s="209" t="s">
        <v>5011</v>
      </c>
      <c r="H7" s="209" t="s">
        <v>5012</v>
      </c>
      <c r="I7" s="35" t="s">
        <v>4673</v>
      </c>
      <c r="J7" s="6" t="s">
        <v>5013</v>
      </c>
      <c r="K7" s="209" t="n">
        <v>3</v>
      </c>
      <c r="L7" s="209" t="s">
        <v>4767</v>
      </c>
      <c r="M7" s="6" t="s">
        <v>5014</v>
      </c>
      <c r="N7" s="209" t="s">
        <v>4676</v>
      </c>
      <c r="O7" s="35" t="s">
        <v>4666</v>
      </c>
      <c r="P7" s="35" t="s">
        <v>571</v>
      </c>
      <c r="Q7" s="35" t="s">
        <v>3581</v>
      </c>
      <c r="R7" s="35" t="s">
        <v>571</v>
      </c>
      <c r="S7" s="35" t="s">
        <v>571</v>
      </c>
      <c r="T7" s="35" t="s">
        <v>571</v>
      </c>
      <c r="U7" s="35" t="s">
        <v>5015</v>
      </c>
      <c r="V7" s="6" t="s">
        <v>5016</v>
      </c>
      <c r="W7" s="6" t="s">
        <v>5017</v>
      </c>
      <c r="X7" s="183" t="n">
        <f aca="false">IF($O7="Active",SUMPRODUCT(($AH$5:$AH$67=$AH7)*1),0)</f>
        <v>1</v>
      </c>
      <c r="Y7" s="183" t="n">
        <f aca="false">IF(AND($O7="Active",OR($Q7="—",$Q7="")),1,0)</f>
        <v>0</v>
      </c>
      <c r="Z7" s="183" t="n">
        <f aca="false">IF(AND($O7="Active",$L7="利害關係方",OR($R7="—",$R7="")),1,0)</f>
        <v>0</v>
      </c>
      <c r="AH7" s="34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35" t="s">
        <v>5018</v>
      </c>
      <c r="B8" s="18" t="s">
        <v>5019</v>
      </c>
      <c r="C8" s="209"/>
      <c r="D8" s="211" t="n">
        <v>0.07</v>
      </c>
      <c r="E8" s="211" t="n">
        <v>0.1</v>
      </c>
      <c r="F8" s="35" t="s">
        <v>71</v>
      </c>
      <c r="G8" s="209" t="s">
        <v>5020</v>
      </c>
      <c r="H8" s="209" t="s">
        <v>5021</v>
      </c>
      <c r="I8" s="35" t="s">
        <v>4673</v>
      </c>
      <c r="J8" s="6" t="s">
        <v>5013</v>
      </c>
      <c r="K8" s="209" t="n">
        <v>3</v>
      </c>
      <c r="L8" s="209" t="s">
        <v>4767</v>
      </c>
      <c r="M8" s="6" t="s">
        <v>5014</v>
      </c>
      <c r="N8" s="209" t="s">
        <v>4676</v>
      </c>
      <c r="O8" s="35" t="s">
        <v>4666</v>
      </c>
      <c r="P8" s="35" t="s">
        <v>571</v>
      </c>
      <c r="Q8" s="35" t="s">
        <v>3581</v>
      </c>
      <c r="R8" s="35" t="s">
        <v>571</v>
      </c>
      <c r="S8" s="35" t="s">
        <v>571</v>
      </c>
      <c r="T8" s="35" t="s">
        <v>571</v>
      </c>
      <c r="U8" s="35" t="s">
        <v>5015</v>
      </c>
      <c r="V8" s="6" t="s">
        <v>5016</v>
      </c>
      <c r="W8" s="6" t="s">
        <v>571</v>
      </c>
      <c r="X8" s="183" t="n">
        <f aca="false">IF($O8="Active",SUMPRODUCT(($AH$5:$AH$67=$AH8)*1),0)</f>
        <v>1</v>
      </c>
      <c r="Y8" s="183" t="n">
        <f aca="false">IF(AND($O8="Active",OR($Q8="—",$Q8="")),1,0)</f>
        <v>0</v>
      </c>
      <c r="Z8" s="183" t="n">
        <f aca="false">IF(AND($O8="Active",$L8="利害關係方",OR($R8="—",$R8="")),1,0)</f>
        <v>0</v>
      </c>
      <c r="AH8" s="34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35" t="s">
        <v>5022</v>
      </c>
      <c r="B9" s="18" t="s">
        <v>5023</v>
      </c>
      <c r="C9" s="211" t="n">
        <v>0.0858</v>
      </c>
      <c r="D9" s="209"/>
      <c r="E9" s="209"/>
      <c r="F9" s="35" t="s">
        <v>81</v>
      </c>
      <c r="G9" s="209" t="s">
        <v>5024</v>
      </c>
      <c r="H9" s="209" t="s">
        <v>1162</v>
      </c>
      <c r="I9" s="35" t="s">
        <v>4703</v>
      </c>
      <c r="J9" s="6" t="s">
        <v>5025</v>
      </c>
      <c r="K9" s="209" t="n">
        <v>2</v>
      </c>
      <c r="L9" s="209" t="s">
        <v>4767</v>
      </c>
      <c r="M9" s="6" t="s">
        <v>5026</v>
      </c>
      <c r="N9" s="209" t="s">
        <v>5027</v>
      </c>
      <c r="O9" s="35" t="s">
        <v>4666</v>
      </c>
      <c r="P9" s="35" t="s">
        <v>571</v>
      </c>
      <c r="Q9" s="35" t="s">
        <v>3593</v>
      </c>
      <c r="R9" s="35" t="s">
        <v>571</v>
      </c>
      <c r="S9" s="35" t="s">
        <v>571</v>
      </c>
      <c r="T9" s="35" t="s">
        <v>571</v>
      </c>
      <c r="U9" s="35" t="s">
        <v>5028</v>
      </c>
      <c r="V9" s="6" t="s">
        <v>571</v>
      </c>
      <c r="W9" s="6" t="s">
        <v>571</v>
      </c>
      <c r="X9" s="183" t="n">
        <f aca="false">IF($O9="Active",SUMPRODUCT(($AH$5:$AH$67=$AH9)*1),0)</f>
        <v>1</v>
      </c>
      <c r="Y9" s="183" t="n">
        <f aca="false">IF(AND($O9="Active",OR($Q9="—",$Q9="")),1,0)</f>
        <v>0</v>
      </c>
      <c r="Z9" s="183" t="n">
        <f aca="false">IF(AND($O9="Active",$L9="利害關係方",OR($R9="—",$R9="")),1,0)</f>
        <v>0</v>
      </c>
      <c r="AH9" s="34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35" t="s">
        <v>2701</v>
      </c>
      <c r="B10" s="18" t="s">
        <v>5029</v>
      </c>
      <c r="C10" s="211" t="n">
        <v>0.0871</v>
      </c>
      <c r="D10" s="209"/>
      <c r="E10" s="209"/>
      <c r="F10" s="35" t="s">
        <v>81</v>
      </c>
      <c r="G10" s="209" t="s">
        <v>5024</v>
      </c>
      <c r="H10" s="209" t="s">
        <v>1162</v>
      </c>
      <c r="I10" s="35" t="s">
        <v>4765</v>
      </c>
      <c r="J10" s="6" t="s">
        <v>5025</v>
      </c>
      <c r="K10" s="209" t="n">
        <v>2</v>
      </c>
      <c r="L10" s="209" t="s">
        <v>4767</v>
      </c>
      <c r="M10" s="6" t="s">
        <v>5026</v>
      </c>
      <c r="N10" s="209" t="s">
        <v>5027</v>
      </c>
      <c r="O10" s="35" t="s">
        <v>4666</v>
      </c>
      <c r="P10" s="35" t="s">
        <v>571</v>
      </c>
      <c r="Q10" s="35" t="s">
        <v>3593</v>
      </c>
      <c r="R10" s="35" t="s">
        <v>571</v>
      </c>
      <c r="S10" s="35" t="s">
        <v>571</v>
      </c>
      <c r="T10" s="35" t="s">
        <v>571</v>
      </c>
      <c r="U10" s="35" t="s">
        <v>5028</v>
      </c>
      <c r="V10" s="6" t="s">
        <v>5030</v>
      </c>
      <c r="W10" s="18" t="s">
        <v>5031</v>
      </c>
      <c r="X10" s="183" t="n">
        <f aca="false">IF($O10="Active",SUMPRODUCT(($AH$5:$AH$67=$AH10)*1),0)</f>
        <v>1</v>
      </c>
      <c r="Y10" s="183" t="n">
        <f aca="false">IF(AND($O10="Active",OR($Q10="—",$Q10="")),1,0)</f>
        <v>0</v>
      </c>
      <c r="Z10" s="183" t="n">
        <f aca="false">IF(AND($O10="Active",$L10="利害關係方",OR($R10="—",$R10="")),1,0)</f>
        <v>0</v>
      </c>
      <c r="AH10" s="34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35" t="s">
        <v>2810</v>
      </c>
      <c r="B11" s="6" t="s">
        <v>5032</v>
      </c>
      <c r="C11" s="211" t="n">
        <v>6</v>
      </c>
      <c r="D11" s="209"/>
      <c r="E11" s="209"/>
      <c r="F11" s="209" t="s">
        <v>106</v>
      </c>
      <c r="G11" s="209" t="s">
        <v>5033</v>
      </c>
      <c r="H11" s="35" t="s">
        <v>5034</v>
      </c>
      <c r="I11" s="35" t="s">
        <v>4792</v>
      </c>
      <c r="J11" s="6" t="s">
        <v>5035</v>
      </c>
      <c r="K11" s="209" t="n">
        <v>2</v>
      </c>
      <c r="L11" s="209" t="s">
        <v>4663</v>
      </c>
      <c r="M11" s="18" t="s">
        <v>5036</v>
      </c>
      <c r="N11" s="209" t="s">
        <v>4676</v>
      </c>
      <c r="O11" s="35" t="s">
        <v>4666</v>
      </c>
      <c r="P11" s="35" t="s">
        <v>571</v>
      </c>
      <c r="Q11" s="35" t="s">
        <v>3605</v>
      </c>
      <c r="R11" s="35" t="s">
        <v>571</v>
      </c>
      <c r="S11" s="35" t="s">
        <v>571</v>
      </c>
      <c r="T11" s="35" t="s">
        <v>571</v>
      </c>
      <c r="U11" s="35" t="s">
        <v>5037</v>
      </c>
      <c r="V11" s="6" t="s">
        <v>5038</v>
      </c>
      <c r="W11" s="6" t="s">
        <v>5039</v>
      </c>
      <c r="X11" s="183" t="n">
        <f aca="false">IF($O11="Active",SUMPRODUCT(($AH$5:$AH$67=$AH11)*1),0)</f>
        <v>1</v>
      </c>
      <c r="Y11" s="183" t="n">
        <f aca="false">IF(AND($O11="Active",OR($Q11="—",$Q11="")),1,0)</f>
        <v>0</v>
      </c>
      <c r="Z11" s="183" t="n">
        <f aca="false">IF(AND($O11="Active",$L11="利害關係方",OR($R11="—",$R11="")),1,0)</f>
        <v>1</v>
      </c>
      <c r="AH11" s="34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35" t="s">
        <v>2817</v>
      </c>
      <c r="B12" s="6" t="s">
        <v>5040</v>
      </c>
      <c r="C12" s="211" t="n">
        <v>4</v>
      </c>
      <c r="D12" s="209"/>
      <c r="E12" s="209"/>
      <c r="F12" s="209" t="s">
        <v>106</v>
      </c>
      <c r="G12" s="209" t="s">
        <v>5033</v>
      </c>
      <c r="H12" s="35" t="s">
        <v>5041</v>
      </c>
      <c r="I12" s="35" t="s">
        <v>4792</v>
      </c>
      <c r="J12" s="6" t="s">
        <v>5035</v>
      </c>
      <c r="K12" s="209" t="n">
        <v>2</v>
      </c>
      <c r="L12" s="209" t="s">
        <v>4663</v>
      </c>
      <c r="M12" s="18" t="s">
        <v>5036</v>
      </c>
      <c r="N12" s="209" t="s">
        <v>4676</v>
      </c>
      <c r="O12" s="35" t="s">
        <v>4666</v>
      </c>
      <c r="P12" s="35" t="s">
        <v>571</v>
      </c>
      <c r="Q12" s="35" t="s">
        <v>3605</v>
      </c>
      <c r="R12" s="35" t="s">
        <v>571</v>
      </c>
      <c r="S12" s="35" t="s">
        <v>571</v>
      </c>
      <c r="T12" s="35" t="s">
        <v>571</v>
      </c>
      <c r="U12" s="35" t="s">
        <v>5037</v>
      </c>
      <c r="V12" s="6" t="s">
        <v>5042</v>
      </c>
      <c r="W12" s="6" t="s">
        <v>571</v>
      </c>
      <c r="X12" s="183" t="n">
        <f aca="false">IF($O12="Active",SUMPRODUCT(($AH$5:$AH$67=$AH12)*1),0)</f>
        <v>1</v>
      </c>
      <c r="Y12" s="183" t="n">
        <f aca="false">IF(AND($O12="Active",OR($Q12="—",$Q12="")),1,0)</f>
        <v>0</v>
      </c>
      <c r="Z12" s="183" t="n">
        <f aca="false">IF(AND($O12="Active",$L12="利害關係方",OR($R12="—",$R12="")),1,0)</f>
        <v>1</v>
      </c>
      <c r="AH12" s="34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35" t="s">
        <v>5043</v>
      </c>
      <c r="B13" s="6" t="s">
        <v>5044</v>
      </c>
      <c r="C13" s="211" t="n">
        <v>5</v>
      </c>
      <c r="D13" s="209"/>
      <c r="E13" s="209"/>
      <c r="F13" s="209" t="s">
        <v>106</v>
      </c>
      <c r="G13" s="209" t="s">
        <v>5033</v>
      </c>
      <c r="H13" s="35" t="s">
        <v>5045</v>
      </c>
      <c r="I13" s="35" t="s">
        <v>4792</v>
      </c>
      <c r="J13" s="6" t="s">
        <v>5035</v>
      </c>
      <c r="K13" s="209" t="n">
        <v>2</v>
      </c>
      <c r="L13" s="209" t="s">
        <v>4663</v>
      </c>
      <c r="M13" s="18" t="s">
        <v>5036</v>
      </c>
      <c r="N13" s="209" t="s">
        <v>4676</v>
      </c>
      <c r="O13" s="35" t="s">
        <v>4666</v>
      </c>
      <c r="P13" s="35" t="s">
        <v>571</v>
      </c>
      <c r="Q13" s="35" t="s">
        <v>3605</v>
      </c>
      <c r="R13" s="35" t="s">
        <v>571</v>
      </c>
      <c r="S13" s="35" t="s">
        <v>571</v>
      </c>
      <c r="T13" s="35" t="s">
        <v>571</v>
      </c>
      <c r="U13" s="35" t="s">
        <v>5037</v>
      </c>
      <c r="V13" s="6" t="s">
        <v>571</v>
      </c>
      <c r="W13" s="6" t="s">
        <v>571</v>
      </c>
      <c r="X13" s="183" t="n">
        <f aca="false">IF($O13="Active",SUMPRODUCT(($AH$5:$AH$67=$AH13)*1),0)</f>
        <v>1</v>
      </c>
      <c r="Y13" s="183" t="n">
        <f aca="false">IF(AND($O13="Active",OR($Q13="—",$Q13="")),1,0)</f>
        <v>0</v>
      </c>
      <c r="Z13" s="183" t="n">
        <f aca="false">IF(AND($O13="Active",$L13="利害關係方",OR($R13="—",$R13="")),1,0)</f>
        <v>1</v>
      </c>
      <c r="AH13" s="34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35" t="s">
        <v>2050</v>
      </c>
      <c r="B14" s="18" t="s">
        <v>5046</v>
      </c>
      <c r="C14" s="209"/>
      <c r="D14" s="211" t="n">
        <v>50</v>
      </c>
      <c r="E14" s="211" t="n">
        <v>60</v>
      </c>
      <c r="F14" s="35" t="s">
        <v>2038</v>
      </c>
      <c r="G14" s="35" t="s">
        <v>5047</v>
      </c>
      <c r="H14" s="35" t="s">
        <v>571</v>
      </c>
      <c r="I14" s="35" t="s">
        <v>5048</v>
      </c>
      <c r="J14" s="6" t="s">
        <v>5049</v>
      </c>
      <c r="K14" s="209" t="n">
        <v>3</v>
      </c>
      <c r="L14" s="209" t="s">
        <v>4663</v>
      </c>
      <c r="M14" s="6" t="s">
        <v>5050</v>
      </c>
      <c r="N14" s="209" t="s">
        <v>4676</v>
      </c>
      <c r="O14" s="35" t="s">
        <v>4666</v>
      </c>
      <c r="P14" s="35" t="s">
        <v>571</v>
      </c>
      <c r="Q14" s="35" t="s">
        <v>5051</v>
      </c>
      <c r="R14" s="35" t="s">
        <v>571</v>
      </c>
      <c r="S14" s="35" t="s">
        <v>571</v>
      </c>
      <c r="T14" s="35" t="s">
        <v>571</v>
      </c>
      <c r="U14" s="35" t="s">
        <v>5052</v>
      </c>
      <c r="V14" s="6" t="s">
        <v>5053</v>
      </c>
      <c r="W14" s="6" t="s">
        <v>571</v>
      </c>
      <c r="X14" s="183" t="n">
        <f aca="false">IF($O14="Active",SUMPRODUCT(($AH$5:$AH$67=$AH14)*1),0)</f>
        <v>1</v>
      </c>
      <c r="Y14" s="183" t="n">
        <f aca="false">IF(AND($O14="Active",OR($Q14="—",$Q14="")),1,0)</f>
        <v>0</v>
      </c>
      <c r="Z14" s="183" t="n">
        <f aca="false">IF(AND($O14="Active",$L14="利害關係方",OR($R14="—",$R14="")),1,0)</f>
        <v>1</v>
      </c>
      <c r="AH14" s="34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35" t="s">
        <v>2057</v>
      </c>
      <c r="B15" s="18" t="s">
        <v>5054</v>
      </c>
      <c r="C15" s="211" t="n">
        <v>35</v>
      </c>
      <c r="D15" s="209"/>
      <c r="E15" s="209"/>
      <c r="F15" s="35" t="s">
        <v>2038</v>
      </c>
      <c r="G15" s="35" t="s">
        <v>5047</v>
      </c>
      <c r="H15" s="35" t="s">
        <v>571</v>
      </c>
      <c r="I15" s="35" t="s">
        <v>5048</v>
      </c>
      <c r="J15" s="6" t="s">
        <v>5049</v>
      </c>
      <c r="K15" s="209" t="n">
        <v>3</v>
      </c>
      <c r="L15" s="209" t="s">
        <v>4663</v>
      </c>
      <c r="M15" s="6" t="s">
        <v>5050</v>
      </c>
      <c r="N15" s="209" t="s">
        <v>4676</v>
      </c>
      <c r="O15" s="35" t="s">
        <v>4666</v>
      </c>
      <c r="P15" s="35" t="s">
        <v>571</v>
      </c>
      <c r="Q15" s="35" t="s">
        <v>5051</v>
      </c>
      <c r="R15" s="35" t="s">
        <v>571</v>
      </c>
      <c r="S15" s="35" t="s">
        <v>571</v>
      </c>
      <c r="T15" s="35" t="s">
        <v>571</v>
      </c>
      <c r="U15" s="35" t="s">
        <v>5052</v>
      </c>
      <c r="V15" s="6" t="s">
        <v>5055</v>
      </c>
      <c r="W15" s="6" t="s">
        <v>571</v>
      </c>
      <c r="X15" s="183" t="n">
        <f aca="false">IF($O15="Active",SUMPRODUCT(($AH$5:$AH$67=$AH15)*1),0)</f>
        <v>1</v>
      </c>
      <c r="Y15" s="183" t="n">
        <f aca="false">IF(AND($O15="Active",OR($Q15="—",$Q15="")),1,0)</f>
        <v>0</v>
      </c>
      <c r="Z15" s="183" t="n">
        <f aca="false">IF(AND($O15="Active",$L15="利害關係方",OR($R15="—",$R15="")),1,0)</f>
        <v>1</v>
      </c>
      <c r="AH15" s="34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35" t="s">
        <v>2090</v>
      </c>
      <c r="B16" s="6" t="s">
        <v>5056</v>
      </c>
      <c r="C16" s="211" t="n">
        <v>2.21</v>
      </c>
      <c r="D16" s="209"/>
      <c r="E16" s="209"/>
      <c r="F16" s="35" t="s">
        <v>803</v>
      </c>
      <c r="G16" s="209" t="s">
        <v>5057</v>
      </c>
      <c r="H16" s="35" t="s">
        <v>138</v>
      </c>
      <c r="I16" s="35" t="s">
        <v>4765</v>
      </c>
      <c r="J16" s="6" t="s">
        <v>5058</v>
      </c>
      <c r="K16" s="209" t="n">
        <v>2</v>
      </c>
      <c r="L16" s="209" t="s">
        <v>4663</v>
      </c>
      <c r="M16" s="6" t="s">
        <v>5059</v>
      </c>
      <c r="N16" s="209" t="s">
        <v>5060</v>
      </c>
      <c r="O16" s="35" t="s">
        <v>4666</v>
      </c>
      <c r="P16" s="35" t="s">
        <v>571</v>
      </c>
      <c r="Q16" s="35" t="s">
        <v>5061</v>
      </c>
      <c r="R16" s="35" t="s">
        <v>571</v>
      </c>
      <c r="S16" s="35" t="s">
        <v>571</v>
      </c>
      <c r="T16" s="35" t="s">
        <v>571</v>
      </c>
      <c r="U16" s="35" t="s">
        <v>5062</v>
      </c>
      <c r="V16" s="6" t="s">
        <v>5063</v>
      </c>
      <c r="W16" s="18" t="s">
        <v>5064</v>
      </c>
      <c r="X16" s="183" t="n">
        <f aca="false">IF($O16="Active",SUMPRODUCT(($AH$5:$AH$67=$AH16)*1),0)</f>
        <v>1</v>
      </c>
      <c r="Y16" s="183" t="n">
        <f aca="false">IF(AND($O16="Active",OR($Q16="—",$Q16="")),1,0)</f>
        <v>0</v>
      </c>
      <c r="Z16" s="183" t="n">
        <f aca="false">IF(AND($O16="Active",$L16="利害關係方",OR($R16="—",$R16="")),1,0)</f>
        <v>1</v>
      </c>
      <c r="AH16" s="34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35" t="s">
        <v>2094</v>
      </c>
      <c r="B17" s="6" t="s">
        <v>5065</v>
      </c>
      <c r="C17" s="211" t="n">
        <v>2.65</v>
      </c>
      <c r="D17" s="209"/>
      <c r="E17" s="209"/>
      <c r="F17" s="35" t="s">
        <v>803</v>
      </c>
      <c r="G17" s="209" t="s">
        <v>5057</v>
      </c>
      <c r="H17" s="35" t="s">
        <v>139</v>
      </c>
      <c r="I17" s="35" t="s">
        <v>4765</v>
      </c>
      <c r="J17" s="6" t="s">
        <v>5058</v>
      </c>
      <c r="K17" s="209" t="n">
        <v>2</v>
      </c>
      <c r="L17" s="209" t="s">
        <v>4663</v>
      </c>
      <c r="M17" s="6" t="s">
        <v>5059</v>
      </c>
      <c r="N17" s="209" t="s">
        <v>5060</v>
      </c>
      <c r="O17" s="35" t="s">
        <v>4666</v>
      </c>
      <c r="P17" s="35" t="s">
        <v>571</v>
      </c>
      <c r="Q17" s="35" t="s">
        <v>5061</v>
      </c>
      <c r="R17" s="35" t="s">
        <v>571</v>
      </c>
      <c r="S17" s="35" t="s">
        <v>571</v>
      </c>
      <c r="T17" s="35" t="s">
        <v>571</v>
      </c>
      <c r="U17" s="35" t="s">
        <v>5062</v>
      </c>
      <c r="V17" s="6" t="s">
        <v>5066</v>
      </c>
      <c r="W17" s="18" t="s">
        <v>5064</v>
      </c>
      <c r="X17" s="183" t="n">
        <f aca="false">IF($O17="Active",SUMPRODUCT(($AH$5:$AH$67=$AH17)*1),0)</f>
        <v>1</v>
      </c>
      <c r="Y17" s="183" t="n">
        <f aca="false">IF(AND($O17="Active",OR($Q17="—",$Q17="")),1,0)</f>
        <v>0</v>
      </c>
      <c r="Z17" s="183" t="n">
        <f aca="false">IF(AND($O17="Active",$L17="利害關係方",OR($R17="—",$R17="")),1,0)</f>
        <v>1</v>
      </c>
      <c r="AH17" s="34" t="str">
        <f aca="false">IF($O17="Active",$B17&amp;"¦"&amp;$G17&amp;"¦"&amp;$H17,"")</f>
        <v>GB300 NVL72 每 GPU 小時 TCO（SemiAnalysis）¦假設未公開¦GB300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7" t="s">
        <v>5067</v>
      </c>
    </row>
    <row r="2" customFormat="false" ht="15" hidden="false" customHeight="true" outlineLevel="0" collapsed="false">
      <c r="A2" s="218" t="s">
        <v>4637</v>
      </c>
    </row>
    <row r="3" customFormat="false" ht="15" hidden="false" customHeight="true" outlineLevel="0" collapsed="false">
      <c r="A3" s="218" t="s">
        <v>4638</v>
      </c>
    </row>
    <row r="4" customFormat="false" ht="43.5" hidden="false" customHeight="true" outlineLevel="0" collapsed="false">
      <c r="A4" s="77" t="s">
        <v>4639</v>
      </c>
      <c r="B4" s="208" t="s">
        <v>1839</v>
      </c>
      <c r="C4" s="208" t="s">
        <v>4640</v>
      </c>
      <c r="D4" s="208" t="s">
        <v>1099</v>
      </c>
      <c r="E4" s="208" t="s">
        <v>1100</v>
      </c>
      <c r="F4" s="208" t="s">
        <v>55</v>
      </c>
      <c r="G4" s="208" t="s">
        <v>427</v>
      </c>
      <c r="H4" s="208" t="s">
        <v>4641</v>
      </c>
      <c r="I4" s="208" t="s">
        <v>4294</v>
      </c>
      <c r="J4" s="208" t="s">
        <v>4297</v>
      </c>
      <c r="K4" s="208" t="s">
        <v>4472</v>
      </c>
      <c r="L4" s="208" t="s">
        <v>4642</v>
      </c>
      <c r="M4" s="208" t="s">
        <v>4643</v>
      </c>
      <c r="N4" s="208" t="s">
        <v>4644</v>
      </c>
      <c r="O4" s="208" t="s">
        <v>558</v>
      </c>
      <c r="P4" s="208" t="s">
        <v>4645</v>
      </c>
      <c r="Q4" s="77" t="s">
        <v>4646</v>
      </c>
      <c r="R4" s="208" t="s">
        <v>4647</v>
      </c>
      <c r="S4" s="208" t="s">
        <v>4648</v>
      </c>
      <c r="T4" s="77" t="s">
        <v>4649</v>
      </c>
      <c r="U4" s="208" t="s">
        <v>4650</v>
      </c>
      <c r="V4" s="208" t="s">
        <v>4651</v>
      </c>
      <c r="W4" s="208" t="s">
        <v>4652</v>
      </c>
      <c r="X4" s="208" t="s">
        <v>4653</v>
      </c>
      <c r="Y4" s="208" t="s">
        <v>4654</v>
      </c>
      <c r="Z4" s="208" t="s">
        <v>4655</v>
      </c>
      <c r="AH4" s="76" t="s">
        <v>4656</v>
      </c>
    </row>
    <row r="5" customFormat="false" ht="29.25" hidden="false" customHeight="true" outlineLevel="0" collapsed="false">
      <c r="A5" s="35" t="s">
        <v>3158</v>
      </c>
      <c r="B5" s="6" t="s">
        <v>5068</v>
      </c>
      <c r="C5" s="211" t="n">
        <v>1600</v>
      </c>
      <c r="D5" s="209"/>
      <c r="E5" s="209"/>
      <c r="F5" s="35" t="s">
        <v>228</v>
      </c>
      <c r="G5" s="35" t="s">
        <v>571</v>
      </c>
      <c r="H5" s="35" t="s">
        <v>5069</v>
      </c>
      <c r="I5" s="35" t="s">
        <v>4673</v>
      </c>
      <c r="J5" s="6" t="s">
        <v>5070</v>
      </c>
      <c r="K5" s="209" t="n">
        <v>3</v>
      </c>
      <c r="L5" s="209" t="s">
        <v>4663</v>
      </c>
      <c r="M5" s="6" t="s">
        <v>5071</v>
      </c>
      <c r="N5" s="209" t="s">
        <v>4676</v>
      </c>
      <c r="O5" s="35" t="s">
        <v>4666</v>
      </c>
      <c r="P5" s="35" t="s">
        <v>571</v>
      </c>
      <c r="Q5" s="35" t="s">
        <v>5072</v>
      </c>
      <c r="R5" s="35" t="s">
        <v>571</v>
      </c>
      <c r="S5" s="35" t="s">
        <v>571</v>
      </c>
      <c r="T5" s="35" t="s">
        <v>571</v>
      </c>
      <c r="U5" s="35" t="s">
        <v>2454</v>
      </c>
      <c r="V5" s="6" t="s">
        <v>5073</v>
      </c>
      <c r="W5" s="18" t="s">
        <v>5074</v>
      </c>
      <c r="X5" s="183" t="n">
        <f aca="false">IF($O5="Active",SUMPRODUCT(($AH$5:$AH$108=$AH5)*1),0)</f>
        <v>1</v>
      </c>
      <c r="Y5" s="183" t="n">
        <f aca="false">IF(AND($O5="Active",OR($Q5="—",$Q5="")),1,0)</f>
        <v>0</v>
      </c>
      <c r="Z5" s="183" t="n">
        <f aca="false">IF(AND($O5="Active",$L5="利害關係方",OR($R5="—",$R5="")),1,0)</f>
        <v>1</v>
      </c>
      <c r="AH5" s="34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35" t="s">
        <v>3164</v>
      </c>
      <c r="B6" s="6" t="s">
        <v>5075</v>
      </c>
      <c r="C6" s="211" t="n">
        <v>49</v>
      </c>
      <c r="D6" s="209"/>
      <c r="E6" s="209"/>
      <c r="F6" s="35" t="s">
        <v>228</v>
      </c>
      <c r="G6" s="35" t="s">
        <v>571</v>
      </c>
      <c r="H6" s="35" t="s">
        <v>5069</v>
      </c>
      <c r="I6" s="35" t="s">
        <v>4673</v>
      </c>
      <c r="J6" s="6" t="s">
        <v>5070</v>
      </c>
      <c r="K6" s="209" t="n">
        <v>1</v>
      </c>
      <c r="L6" s="209" t="s">
        <v>4663</v>
      </c>
      <c r="M6" s="6" t="s">
        <v>5071</v>
      </c>
      <c r="N6" s="209" t="s">
        <v>4665</v>
      </c>
      <c r="O6" s="35" t="s">
        <v>4666</v>
      </c>
      <c r="P6" s="35" t="s">
        <v>571</v>
      </c>
      <c r="Q6" s="35" t="s">
        <v>5076</v>
      </c>
      <c r="R6" s="35" t="s">
        <v>571</v>
      </c>
      <c r="S6" s="35" t="s">
        <v>4599</v>
      </c>
      <c r="T6" s="35" t="s">
        <v>571</v>
      </c>
      <c r="U6" s="35" t="s">
        <v>2454</v>
      </c>
      <c r="V6" s="6" t="s">
        <v>5077</v>
      </c>
      <c r="W6" s="6" t="s">
        <v>5078</v>
      </c>
      <c r="X6" s="183" t="n">
        <f aca="false">IF($O6="Active",SUMPRODUCT(($AH$5:$AH$108=$AH6)*1),0)</f>
        <v>1</v>
      </c>
      <c r="Y6" s="183" t="n">
        <f aca="false">IF(AND($O6="Active",OR($Q6="—",$Q6="")),1,0)</f>
        <v>0</v>
      </c>
      <c r="Z6" s="183" t="n">
        <f aca="false">IF(AND($O6="Active",$L6="利害關係方",OR($R6="—",$R6="")),1,0)</f>
        <v>1</v>
      </c>
      <c r="AH6" s="34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35" t="s">
        <v>3168</v>
      </c>
      <c r="B7" s="6" t="s">
        <v>5079</v>
      </c>
      <c r="C7" s="211" t="n">
        <v>61</v>
      </c>
      <c r="D7" s="209"/>
      <c r="E7" s="209"/>
      <c r="F7" s="209" t="s">
        <v>234</v>
      </c>
      <c r="G7" s="35" t="s">
        <v>571</v>
      </c>
      <c r="H7" s="35" t="s">
        <v>5069</v>
      </c>
      <c r="I7" s="35" t="s">
        <v>4673</v>
      </c>
      <c r="J7" s="6" t="s">
        <v>5070</v>
      </c>
      <c r="K7" s="209" t="n">
        <v>3</v>
      </c>
      <c r="L7" s="209" t="s">
        <v>4663</v>
      </c>
      <c r="M7" s="6" t="s">
        <v>5071</v>
      </c>
      <c r="N7" s="209" t="s">
        <v>4676</v>
      </c>
      <c r="O7" s="35" t="s">
        <v>4666</v>
      </c>
      <c r="P7" s="35" t="s">
        <v>571</v>
      </c>
      <c r="Q7" s="35" t="s">
        <v>5072</v>
      </c>
      <c r="R7" s="35" t="s">
        <v>571</v>
      </c>
      <c r="S7" s="35" t="s">
        <v>571</v>
      </c>
      <c r="T7" s="35" t="s">
        <v>571</v>
      </c>
      <c r="U7" s="35" t="s">
        <v>2454</v>
      </c>
      <c r="V7" s="6" t="s">
        <v>5080</v>
      </c>
      <c r="W7" s="6" t="s">
        <v>571</v>
      </c>
      <c r="X7" s="183" t="n">
        <f aca="false">IF($O7="Active",SUMPRODUCT(($AH$5:$AH$108=$AH7)*1),0)</f>
        <v>1</v>
      </c>
      <c r="Y7" s="183" t="n">
        <f aca="false">IF(AND($O7="Active",OR($Q7="—",$Q7="")),1,0)</f>
        <v>0</v>
      </c>
      <c r="Z7" s="183" t="n">
        <f aca="false">IF(AND($O7="Active",$L7="利害關係方",OR($R7="—",$R7="")),1,0)</f>
        <v>1</v>
      </c>
      <c r="AH7" s="34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35" t="s">
        <v>3202</v>
      </c>
      <c r="B8" s="6" t="s">
        <v>5081</v>
      </c>
      <c r="C8" s="211" t="n">
        <v>7168</v>
      </c>
      <c r="D8" s="209"/>
      <c r="E8" s="209"/>
      <c r="F8" s="209" t="s">
        <v>5082</v>
      </c>
      <c r="G8" s="35" t="s">
        <v>571</v>
      </c>
      <c r="H8" s="35" t="s">
        <v>5069</v>
      </c>
      <c r="I8" s="35" t="s">
        <v>4673</v>
      </c>
      <c r="J8" s="6" t="s">
        <v>5070</v>
      </c>
      <c r="K8" s="209" t="n">
        <v>3</v>
      </c>
      <c r="L8" s="209" t="s">
        <v>4663</v>
      </c>
      <c r="M8" s="6" t="s">
        <v>5071</v>
      </c>
      <c r="N8" s="209" t="s">
        <v>4676</v>
      </c>
      <c r="O8" s="35" t="s">
        <v>4666</v>
      </c>
      <c r="P8" s="35" t="s">
        <v>571</v>
      </c>
      <c r="Q8" s="35" t="s">
        <v>5072</v>
      </c>
      <c r="R8" s="35" t="s">
        <v>571</v>
      </c>
      <c r="S8" s="35" t="s">
        <v>571</v>
      </c>
      <c r="T8" s="35" t="s">
        <v>571</v>
      </c>
      <c r="U8" s="35" t="s">
        <v>2454</v>
      </c>
      <c r="V8" s="6" t="s">
        <v>5083</v>
      </c>
      <c r="W8" s="6" t="s">
        <v>571</v>
      </c>
      <c r="X8" s="183" t="n">
        <f aca="false">IF($O8="Active",SUMPRODUCT(($AH$5:$AH$108=$AH8)*1),0)</f>
        <v>1</v>
      </c>
      <c r="Y8" s="183" t="n">
        <f aca="false">IF(AND($O8="Active",OR($Q8="—",$Q8="")),1,0)</f>
        <v>0</v>
      </c>
      <c r="Z8" s="183" t="n">
        <f aca="false">IF(AND($O8="Active",$L8="利害關係方",OR($R8="—",$R8="")),1,0)</f>
        <v>1</v>
      </c>
      <c r="AH8" s="34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35" t="s">
        <v>3156</v>
      </c>
      <c r="B9" s="6" t="s">
        <v>5084</v>
      </c>
      <c r="C9" s="211" t="n">
        <v>284</v>
      </c>
      <c r="D9" s="209"/>
      <c r="E9" s="209"/>
      <c r="F9" s="35" t="s">
        <v>228</v>
      </c>
      <c r="G9" s="35" t="s">
        <v>571</v>
      </c>
      <c r="H9" s="35" t="s">
        <v>5085</v>
      </c>
      <c r="I9" s="35" t="s">
        <v>4673</v>
      </c>
      <c r="J9" s="6" t="s">
        <v>5070</v>
      </c>
      <c r="K9" s="209" t="n">
        <v>3</v>
      </c>
      <c r="L9" s="209" t="s">
        <v>4663</v>
      </c>
      <c r="M9" s="6" t="s">
        <v>5071</v>
      </c>
      <c r="N9" s="209" t="s">
        <v>4676</v>
      </c>
      <c r="O9" s="35" t="s">
        <v>4666</v>
      </c>
      <c r="P9" s="35" t="s">
        <v>571</v>
      </c>
      <c r="Q9" s="35" t="s">
        <v>5072</v>
      </c>
      <c r="R9" s="35" t="s">
        <v>571</v>
      </c>
      <c r="S9" s="35" t="s">
        <v>571</v>
      </c>
      <c r="T9" s="35" t="s">
        <v>571</v>
      </c>
      <c r="U9" s="35" t="s">
        <v>2454</v>
      </c>
      <c r="V9" s="6" t="s">
        <v>5086</v>
      </c>
      <c r="W9" s="6" t="s">
        <v>571</v>
      </c>
      <c r="X9" s="183" t="n">
        <f aca="false">IF($O9="Active",SUMPRODUCT(($AH$5:$AH$108=$AH9)*1),0)</f>
        <v>1</v>
      </c>
      <c r="Y9" s="183" t="n">
        <f aca="false">IF(AND($O9="Active",OR($Q9="—",$Q9="")),1,0)</f>
        <v>0</v>
      </c>
      <c r="Z9" s="183" t="n">
        <f aca="false">IF(AND($O9="Active",$L9="利害關係方",OR($R9="—",$R9="")),1,0)</f>
        <v>1</v>
      </c>
      <c r="AH9" s="34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35" t="s">
        <v>3161</v>
      </c>
      <c r="B10" s="6" t="s">
        <v>5087</v>
      </c>
      <c r="C10" s="211" t="n">
        <v>13</v>
      </c>
      <c r="D10" s="209"/>
      <c r="E10" s="209"/>
      <c r="F10" s="35" t="s">
        <v>228</v>
      </c>
      <c r="G10" s="35" t="s">
        <v>571</v>
      </c>
      <c r="H10" s="35" t="s">
        <v>5085</v>
      </c>
      <c r="I10" s="35" t="s">
        <v>4673</v>
      </c>
      <c r="J10" s="6" t="s">
        <v>5070</v>
      </c>
      <c r="K10" s="209" t="n">
        <v>1</v>
      </c>
      <c r="L10" s="209" t="s">
        <v>4663</v>
      </c>
      <c r="M10" s="6" t="s">
        <v>5071</v>
      </c>
      <c r="N10" s="209" t="s">
        <v>4665</v>
      </c>
      <c r="O10" s="35" t="s">
        <v>4666</v>
      </c>
      <c r="P10" s="35" t="s">
        <v>571</v>
      </c>
      <c r="Q10" s="35" t="s">
        <v>5088</v>
      </c>
      <c r="R10" s="35" t="s">
        <v>571</v>
      </c>
      <c r="S10" s="35" t="s">
        <v>4599</v>
      </c>
      <c r="T10" s="35" t="s">
        <v>571</v>
      </c>
      <c r="U10" s="35" t="s">
        <v>2454</v>
      </c>
      <c r="V10" s="6" t="s">
        <v>5089</v>
      </c>
      <c r="W10" s="6" t="s">
        <v>5090</v>
      </c>
      <c r="X10" s="183" t="n">
        <f aca="false">IF($O10="Active",SUMPRODUCT(($AH$5:$AH$108=$AH10)*1),0)</f>
        <v>1</v>
      </c>
      <c r="Y10" s="183" t="n">
        <f aca="false">IF(AND($O10="Active",OR($Q10="—",$Q10="")),1,0)</f>
        <v>0</v>
      </c>
      <c r="Z10" s="183" t="n">
        <f aca="false">IF(AND($O10="Active",$L10="利害關係方",OR($R10="—",$R10="")),1,0)</f>
        <v>1</v>
      </c>
      <c r="AH10" s="34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35" t="s">
        <v>3166</v>
      </c>
      <c r="B11" s="6" t="s">
        <v>5091</v>
      </c>
      <c r="C11" s="211" t="n">
        <v>43</v>
      </c>
      <c r="D11" s="209"/>
      <c r="E11" s="209"/>
      <c r="F11" s="209" t="s">
        <v>234</v>
      </c>
      <c r="G11" s="209" t="s">
        <v>4676</v>
      </c>
      <c r="H11" s="35" t="s">
        <v>5092</v>
      </c>
      <c r="I11" s="35" t="s">
        <v>571</v>
      </c>
      <c r="J11" s="6" t="s">
        <v>5093</v>
      </c>
      <c r="K11" s="209" t="n">
        <v>1</v>
      </c>
      <c r="L11" s="209" t="s">
        <v>4663</v>
      </c>
      <c r="M11" s="6" t="s">
        <v>5094</v>
      </c>
      <c r="N11" s="209" t="s">
        <v>4665</v>
      </c>
      <c r="O11" s="35" t="s">
        <v>4666</v>
      </c>
      <c r="P11" s="35" t="s">
        <v>571</v>
      </c>
      <c r="Q11" s="35" t="s">
        <v>5095</v>
      </c>
      <c r="R11" s="35" t="s">
        <v>571</v>
      </c>
      <c r="S11" s="35" t="s">
        <v>4599</v>
      </c>
      <c r="T11" s="35" t="s">
        <v>571</v>
      </c>
      <c r="U11" s="35" t="s">
        <v>5096</v>
      </c>
      <c r="V11" s="6" t="s">
        <v>5097</v>
      </c>
      <c r="W11" s="6" t="s">
        <v>5098</v>
      </c>
      <c r="X11" s="183" t="n">
        <f aca="false">IF($O11="Active",SUMPRODUCT(($AH$5:$AH$108=$AH11)*1),0)</f>
        <v>1</v>
      </c>
      <c r="Y11" s="183" t="n">
        <f aca="false">IF(AND($O11="Active",OR($Q11="—",$Q11="")),1,0)</f>
        <v>0</v>
      </c>
      <c r="Z11" s="183" t="n">
        <f aca="false">IF(AND($O11="Active",$L11="利害關係方",OR($R11="—",$R11="")),1,0)</f>
        <v>1</v>
      </c>
      <c r="AH11" s="34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35" t="s">
        <v>3204</v>
      </c>
      <c r="B12" s="6" t="s">
        <v>5099</v>
      </c>
      <c r="C12" s="211" t="n">
        <v>128</v>
      </c>
      <c r="D12" s="209"/>
      <c r="E12" s="209"/>
      <c r="F12" s="209" t="s">
        <v>287</v>
      </c>
      <c r="G12" s="35" t="s">
        <v>571</v>
      </c>
      <c r="H12" s="35" t="s">
        <v>5100</v>
      </c>
      <c r="I12" s="35" t="s">
        <v>571</v>
      </c>
      <c r="J12" s="6" t="s">
        <v>5093</v>
      </c>
      <c r="K12" s="209" t="n">
        <v>3</v>
      </c>
      <c r="L12" s="209" t="s">
        <v>4663</v>
      </c>
      <c r="M12" s="6" t="s">
        <v>5094</v>
      </c>
      <c r="N12" s="209" t="s">
        <v>4795</v>
      </c>
      <c r="O12" s="35" t="s">
        <v>4666</v>
      </c>
      <c r="P12" s="35" t="s">
        <v>571</v>
      </c>
      <c r="Q12" s="35" t="s">
        <v>5101</v>
      </c>
      <c r="R12" s="35" t="s">
        <v>571</v>
      </c>
      <c r="S12" s="35" t="s">
        <v>571</v>
      </c>
      <c r="T12" s="35" t="s">
        <v>571</v>
      </c>
      <c r="U12" s="35" t="s">
        <v>5096</v>
      </c>
      <c r="V12" s="6" t="s">
        <v>5102</v>
      </c>
      <c r="W12" s="6" t="s">
        <v>5103</v>
      </c>
      <c r="X12" s="183" t="n">
        <f aca="false">IF($O12="Active",SUMPRODUCT(($AH$5:$AH$108=$AH12)*1),0)</f>
        <v>1</v>
      </c>
      <c r="Y12" s="183" t="n">
        <f aca="false">IF(AND($O12="Active",OR($Q12="—",$Q12="")),1,0)</f>
        <v>0</v>
      </c>
      <c r="Z12" s="183" t="n">
        <f aca="false">IF(AND($O12="Active",$L12="利害關係方",OR($R12="—",$R12="")),1,0)</f>
        <v>1</v>
      </c>
      <c r="AH12" s="34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35" t="s">
        <v>3170</v>
      </c>
      <c r="B13" s="6" t="s">
        <v>5104</v>
      </c>
      <c r="C13" s="211" t="n">
        <v>512</v>
      </c>
      <c r="D13" s="209"/>
      <c r="E13" s="209"/>
      <c r="F13" s="209" t="s">
        <v>5082</v>
      </c>
      <c r="G13" s="209" t="s">
        <v>5105</v>
      </c>
      <c r="H13" s="35" t="s">
        <v>5106</v>
      </c>
      <c r="I13" s="35" t="s">
        <v>571</v>
      </c>
      <c r="J13" s="6" t="s">
        <v>5093</v>
      </c>
      <c r="K13" s="209" t="n">
        <v>1</v>
      </c>
      <c r="L13" s="209" t="s">
        <v>4663</v>
      </c>
      <c r="M13" s="6" t="s">
        <v>5094</v>
      </c>
      <c r="N13" s="209" t="s">
        <v>4665</v>
      </c>
      <c r="O13" s="35" t="s">
        <v>4666</v>
      </c>
      <c r="P13" s="35" t="s">
        <v>571</v>
      </c>
      <c r="Q13" s="35" t="s">
        <v>5107</v>
      </c>
      <c r="R13" s="35" t="s">
        <v>571</v>
      </c>
      <c r="S13" s="35" t="s">
        <v>4599</v>
      </c>
      <c r="T13" s="35" t="s">
        <v>571</v>
      </c>
      <c r="U13" s="35" t="s">
        <v>5096</v>
      </c>
      <c r="V13" s="6" t="s">
        <v>5108</v>
      </c>
      <c r="W13" s="6" t="s">
        <v>5109</v>
      </c>
      <c r="X13" s="183" t="n">
        <f aca="false">IF($O13="Active",SUMPRODUCT(($AH$5:$AH$108=$AH13)*1),0)</f>
        <v>1</v>
      </c>
      <c r="Y13" s="183" t="n">
        <f aca="false">IF(AND($O13="Active",OR($Q13="—",$Q13="")),1,0)</f>
        <v>0</v>
      </c>
      <c r="Z13" s="183" t="n">
        <f aca="false">IF(AND($O13="Active",$L13="利害關係方",OR($R13="—",$R13="")),1,0)</f>
        <v>1</v>
      </c>
      <c r="AH13" s="34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35" t="s">
        <v>3173</v>
      </c>
      <c r="B14" s="6" t="s">
        <v>5110</v>
      </c>
      <c r="C14" s="211" t="n">
        <v>256</v>
      </c>
      <c r="D14" s="209"/>
      <c r="E14" s="209"/>
      <c r="F14" s="209" t="s">
        <v>287</v>
      </c>
      <c r="G14" s="35" t="s">
        <v>571</v>
      </c>
      <c r="H14" s="35" t="s">
        <v>5092</v>
      </c>
      <c r="I14" s="35" t="s">
        <v>571</v>
      </c>
      <c r="J14" s="6" t="s">
        <v>5093</v>
      </c>
      <c r="K14" s="209" t="n">
        <v>1</v>
      </c>
      <c r="L14" s="209" t="s">
        <v>4663</v>
      </c>
      <c r="M14" s="6" t="s">
        <v>5094</v>
      </c>
      <c r="N14" s="209" t="s">
        <v>4665</v>
      </c>
      <c r="O14" s="35" t="s">
        <v>4666</v>
      </c>
      <c r="P14" s="35" t="s">
        <v>571</v>
      </c>
      <c r="Q14" s="35" t="s">
        <v>5111</v>
      </c>
      <c r="R14" s="35" t="s">
        <v>571</v>
      </c>
      <c r="S14" s="35" t="s">
        <v>4599</v>
      </c>
      <c r="T14" s="35" t="s">
        <v>571</v>
      </c>
      <c r="U14" s="35" t="s">
        <v>5096</v>
      </c>
      <c r="V14" s="6" t="s">
        <v>5112</v>
      </c>
      <c r="W14" s="6" t="s">
        <v>5113</v>
      </c>
      <c r="X14" s="183" t="n">
        <f aca="false">IF($O14="Active",SUMPRODUCT(($AH$5:$AH$108=$AH14)*1),0)</f>
        <v>1</v>
      </c>
      <c r="Y14" s="183" t="n">
        <f aca="false">IF(AND($O14="Active",OR($Q14="—",$Q14="")),1,0)</f>
        <v>0</v>
      </c>
      <c r="Z14" s="183" t="n">
        <f aca="false">IF(AND($O14="Active",$L14="利害關係方",OR($R14="—",$R14="")),1,0)</f>
        <v>1</v>
      </c>
      <c r="AH14" s="34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35" t="s">
        <v>3175</v>
      </c>
      <c r="B15" s="6" t="s">
        <v>5114</v>
      </c>
      <c r="C15" s="211" t="n">
        <v>384</v>
      </c>
      <c r="D15" s="209"/>
      <c r="E15" s="209"/>
      <c r="F15" s="209" t="s">
        <v>287</v>
      </c>
      <c r="G15" s="35" t="s">
        <v>571</v>
      </c>
      <c r="H15" s="35" t="s">
        <v>5100</v>
      </c>
      <c r="I15" s="35" t="s">
        <v>571</v>
      </c>
      <c r="J15" s="6" t="s">
        <v>5093</v>
      </c>
      <c r="K15" s="209" t="n">
        <v>1</v>
      </c>
      <c r="L15" s="209" t="s">
        <v>4663</v>
      </c>
      <c r="M15" s="6" t="s">
        <v>5094</v>
      </c>
      <c r="N15" s="209" t="s">
        <v>4665</v>
      </c>
      <c r="O15" s="35" t="s">
        <v>4666</v>
      </c>
      <c r="P15" s="35" t="s">
        <v>571</v>
      </c>
      <c r="Q15" s="35" t="s">
        <v>5115</v>
      </c>
      <c r="R15" s="35" t="s">
        <v>571</v>
      </c>
      <c r="S15" s="35" t="s">
        <v>4599</v>
      </c>
      <c r="T15" s="35" t="s">
        <v>571</v>
      </c>
      <c r="U15" s="35" t="s">
        <v>5096</v>
      </c>
      <c r="V15" s="6" t="s">
        <v>5116</v>
      </c>
      <c r="W15" s="6" t="s">
        <v>5117</v>
      </c>
      <c r="X15" s="183" t="n">
        <f aca="false">IF($O15="Active",SUMPRODUCT(($AH$5:$AH$108=$AH15)*1),0)</f>
        <v>1</v>
      </c>
      <c r="Y15" s="183" t="n">
        <f aca="false">IF(AND($O15="Active",OR($Q15="—",$Q15="")),1,0)</f>
        <v>0</v>
      </c>
      <c r="Z15" s="183" t="n">
        <f aca="false">IF(AND($O15="Active",$L15="利害關係方",OR($R15="—",$R15="")),1,0)</f>
        <v>1</v>
      </c>
      <c r="AH15" s="34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35" t="s">
        <v>3178</v>
      </c>
      <c r="B16" s="6" t="s">
        <v>5118</v>
      </c>
      <c r="C16" s="211" t="n">
        <v>6</v>
      </c>
      <c r="D16" s="209"/>
      <c r="E16" s="209"/>
      <c r="F16" s="209" t="s">
        <v>287</v>
      </c>
      <c r="G16" s="35" t="s">
        <v>571</v>
      </c>
      <c r="H16" s="35" t="s">
        <v>5106</v>
      </c>
      <c r="I16" s="35" t="s">
        <v>571</v>
      </c>
      <c r="J16" s="6" t="s">
        <v>5093</v>
      </c>
      <c r="K16" s="209" t="n">
        <v>1</v>
      </c>
      <c r="L16" s="209" t="s">
        <v>4663</v>
      </c>
      <c r="M16" s="6" t="s">
        <v>5094</v>
      </c>
      <c r="N16" s="209" t="s">
        <v>4665</v>
      </c>
      <c r="O16" s="35" t="s">
        <v>4666</v>
      </c>
      <c r="P16" s="35" t="s">
        <v>571</v>
      </c>
      <c r="Q16" s="35" t="s">
        <v>5119</v>
      </c>
      <c r="R16" s="35" t="s">
        <v>571</v>
      </c>
      <c r="S16" s="35" t="s">
        <v>4599</v>
      </c>
      <c r="T16" s="35" t="s">
        <v>571</v>
      </c>
      <c r="U16" s="35" t="s">
        <v>5096</v>
      </c>
      <c r="V16" s="6" t="s">
        <v>5120</v>
      </c>
      <c r="W16" s="6" t="s">
        <v>5121</v>
      </c>
      <c r="X16" s="183" t="n">
        <f aca="false">IF($O16="Active",SUMPRODUCT(($AH$5:$AH$108=$AH16)*1),0)</f>
        <v>1</v>
      </c>
      <c r="Y16" s="183" t="n">
        <f aca="false">IF(AND($O16="Active",OR($Q16="—",$Q16="")),1,0)</f>
        <v>0</v>
      </c>
      <c r="Z16" s="183" t="n">
        <f aca="false">IF(AND($O16="Active",$L16="利害關係方",OR($R16="—",$R16="")),1,0)</f>
        <v>1</v>
      </c>
      <c r="AH16" s="34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35" t="s">
        <v>3182</v>
      </c>
      <c r="B17" s="6" t="s">
        <v>5122</v>
      </c>
      <c r="C17" s="211" t="n">
        <v>1</v>
      </c>
      <c r="D17" s="209"/>
      <c r="E17" s="209"/>
      <c r="F17" s="209" t="s">
        <v>287</v>
      </c>
      <c r="G17" s="35" t="s">
        <v>571</v>
      </c>
      <c r="H17" s="35" t="s">
        <v>5106</v>
      </c>
      <c r="I17" s="35" t="s">
        <v>571</v>
      </c>
      <c r="J17" s="6" t="s">
        <v>5093</v>
      </c>
      <c r="K17" s="209" t="n">
        <v>1</v>
      </c>
      <c r="L17" s="209" t="s">
        <v>4663</v>
      </c>
      <c r="M17" s="6" t="s">
        <v>5094</v>
      </c>
      <c r="N17" s="209" t="s">
        <v>4665</v>
      </c>
      <c r="O17" s="35" t="s">
        <v>4666</v>
      </c>
      <c r="P17" s="35" t="s">
        <v>571</v>
      </c>
      <c r="Q17" s="35" t="s">
        <v>5123</v>
      </c>
      <c r="R17" s="35" t="s">
        <v>571</v>
      </c>
      <c r="S17" s="35" t="s">
        <v>4599</v>
      </c>
      <c r="T17" s="35" t="s">
        <v>571</v>
      </c>
      <c r="U17" s="35" t="s">
        <v>5096</v>
      </c>
      <c r="V17" s="6" t="s">
        <v>5124</v>
      </c>
      <c r="W17" s="6" t="s">
        <v>5125</v>
      </c>
      <c r="X17" s="183" t="n">
        <f aca="false">IF($O17="Active",SUMPRODUCT(($AH$5:$AH$108=$AH17)*1),0)</f>
        <v>1</v>
      </c>
      <c r="Y17" s="183" t="n">
        <f aca="false">IF(AND($O17="Active",OR($Q17="—",$Q17="")),1,0)</f>
        <v>0</v>
      </c>
      <c r="Z17" s="183" t="n">
        <f aca="false">IF(AND($O17="Active",$L17="利害關係方",OR($R17="—",$R17="")),1,0)</f>
        <v>1</v>
      </c>
      <c r="AH17" s="34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35" t="s">
        <v>3186</v>
      </c>
      <c r="B18" s="6" t="s">
        <v>5126</v>
      </c>
      <c r="C18" s="211" t="n">
        <v>129280</v>
      </c>
      <c r="D18" s="209"/>
      <c r="E18" s="209"/>
      <c r="F18" s="35" t="s">
        <v>5127</v>
      </c>
      <c r="G18" s="35" t="s">
        <v>571</v>
      </c>
      <c r="H18" s="35" t="s">
        <v>5106</v>
      </c>
      <c r="I18" s="35" t="s">
        <v>571</v>
      </c>
      <c r="J18" s="6" t="s">
        <v>5093</v>
      </c>
      <c r="K18" s="209" t="n">
        <v>1</v>
      </c>
      <c r="L18" s="209" t="s">
        <v>4663</v>
      </c>
      <c r="M18" s="6" t="s">
        <v>5094</v>
      </c>
      <c r="N18" s="209" t="s">
        <v>4665</v>
      </c>
      <c r="O18" s="35" t="s">
        <v>4666</v>
      </c>
      <c r="P18" s="35" t="s">
        <v>571</v>
      </c>
      <c r="Q18" s="35" t="s">
        <v>5128</v>
      </c>
      <c r="R18" s="35" t="s">
        <v>571</v>
      </c>
      <c r="S18" s="35" t="s">
        <v>4599</v>
      </c>
      <c r="T18" s="35" t="s">
        <v>571</v>
      </c>
      <c r="U18" s="35" t="s">
        <v>5096</v>
      </c>
      <c r="V18" s="6" t="s">
        <v>5129</v>
      </c>
      <c r="W18" s="6" t="s">
        <v>5130</v>
      </c>
      <c r="X18" s="183" t="n">
        <f aca="false">IF($O18="Active",SUMPRODUCT(($AH$5:$AH$108=$AH18)*1),0)</f>
        <v>1</v>
      </c>
      <c r="Y18" s="183" t="n">
        <f aca="false">IF(AND($O18="Active",OR($Q18="—",$Q18="")),1,0)</f>
        <v>0</v>
      </c>
      <c r="Z18" s="183" t="n">
        <f aca="false">IF(AND($O18="Active",$L18="利害關係方",OR($R18="—",$R18="")),1,0)</f>
        <v>1</v>
      </c>
      <c r="AH18" s="34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35" t="s">
        <v>3191</v>
      </c>
      <c r="B19" s="6" t="s">
        <v>5131</v>
      </c>
      <c r="C19" s="211" t="n">
        <v>0.512</v>
      </c>
      <c r="D19" s="209"/>
      <c r="E19" s="209"/>
      <c r="F19" s="35" t="s">
        <v>71</v>
      </c>
      <c r="G19" s="209" t="s">
        <v>5132</v>
      </c>
      <c r="H19" s="35" t="s">
        <v>5092</v>
      </c>
      <c r="I19" s="35" t="s">
        <v>571</v>
      </c>
      <c r="J19" s="6" t="s">
        <v>5093</v>
      </c>
      <c r="K19" s="209" t="n">
        <v>1</v>
      </c>
      <c r="L19" s="209" t="s">
        <v>4663</v>
      </c>
      <c r="M19" s="6" t="s">
        <v>5094</v>
      </c>
      <c r="N19" s="209" t="s">
        <v>4665</v>
      </c>
      <c r="O19" s="35" t="s">
        <v>4666</v>
      </c>
      <c r="P19" s="35" t="s">
        <v>571</v>
      </c>
      <c r="Q19" s="35" t="s">
        <v>5133</v>
      </c>
      <c r="R19" s="35" t="s">
        <v>571</v>
      </c>
      <c r="S19" s="35" t="s">
        <v>4599</v>
      </c>
      <c r="T19" s="35" t="s">
        <v>571</v>
      </c>
      <c r="U19" s="35" t="s">
        <v>5096</v>
      </c>
      <c r="V19" s="6" t="s">
        <v>5134</v>
      </c>
      <c r="W19" s="6" t="s">
        <v>5135</v>
      </c>
      <c r="X19" s="183" t="n">
        <f aca="false">IF($O19="Active",SUMPRODUCT(($AH$5:$AH$108=$AH19)*1),0)</f>
        <v>1</v>
      </c>
      <c r="Y19" s="183" t="n">
        <f aca="false">IF(AND($O19="Active",OR($Q19="—",$Q19="")),1,0)</f>
        <v>0</v>
      </c>
      <c r="Z19" s="183" t="n">
        <f aca="false">IF(AND($O19="Active",$L19="利害關係方",OR($R19="—",$R19="")),1,0)</f>
        <v>1</v>
      </c>
      <c r="AH19" s="34" t="str">
        <f aca="false">IF($O19="Active",$B19&amp;"¦"&amp;$G19&amp;"¦"&amp;$H19,"")</f>
        <v>DeepSeek V4-Flash 全注意力層比例（壓縮比 4 層／（壓縮比 4＋128 層）＝21/41）¦config.json compress_ratios 前 43 個元素；MTP 層不計¦DeepSeek V4-Flash</v>
      </c>
    </row>
    <row r="20" customFormat="false" ht="43.5" hidden="false" customHeight="true" outlineLevel="0" collapsed="false">
      <c r="A20" s="35" t="s">
        <v>3195</v>
      </c>
      <c r="B20" s="6" t="s">
        <v>5136</v>
      </c>
      <c r="C20" s="211" t="n">
        <v>128</v>
      </c>
      <c r="D20" s="209"/>
      <c r="E20" s="209"/>
      <c r="F20" s="35" t="s">
        <v>75</v>
      </c>
      <c r="G20" s="35" t="s">
        <v>571</v>
      </c>
      <c r="H20" s="35" t="s">
        <v>5106</v>
      </c>
      <c r="I20" s="35" t="s">
        <v>571</v>
      </c>
      <c r="J20" s="6" t="s">
        <v>5093</v>
      </c>
      <c r="K20" s="209" t="n">
        <v>1</v>
      </c>
      <c r="L20" s="209" t="s">
        <v>4663</v>
      </c>
      <c r="M20" s="6" t="s">
        <v>5094</v>
      </c>
      <c r="N20" s="209" t="s">
        <v>4665</v>
      </c>
      <c r="O20" s="35" t="s">
        <v>4666</v>
      </c>
      <c r="P20" s="35" t="s">
        <v>571</v>
      </c>
      <c r="Q20" s="35" t="s">
        <v>5137</v>
      </c>
      <c r="R20" s="35" t="s">
        <v>571</v>
      </c>
      <c r="S20" s="35" t="s">
        <v>4599</v>
      </c>
      <c r="T20" s="35" t="s">
        <v>571</v>
      </c>
      <c r="U20" s="35" t="s">
        <v>5096</v>
      </c>
      <c r="V20" s="6" t="s">
        <v>5138</v>
      </c>
      <c r="W20" s="6" t="s">
        <v>5139</v>
      </c>
      <c r="X20" s="183" t="n">
        <f aca="false">IF($O20="Active",SUMPRODUCT(($AH$5:$AH$108=$AH20)*1),0)</f>
        <v>1</v>
      </c>
      <c r="Y20" s="183" t="n">
        <f aca="false">IF(AND($O20="Active",OR($Q20="—",$Q20="")),1,0)</f>
        <v>0</v>
      </c>
      <c r="Z20" s="183" t="n">
        <f aca="false">IF(AND($O20="Active",$L20="利害關係方",OR($R20="—",$R20="")),1,0)</f>
        <v>1</v>
      </c>
      <c r="AH20" s="34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35" t="s">
        <v>3199</v>
      </c>
      <c r="B21" s="6" t="s">
        <v>5140</v>
      </c>
      <c r="C21" s="211" t="n">
        <v>128</v>
      </c>
      <c r="D21" s="209"/>
      <c r="E21" s="209"/>
      <c r="F21" s="35" t="s">
        <v>249</v>
      </c>
      <c r="G21" s="35" t="s">
        <v>571</v>
      </c>
      <c r="H21" s="35" t="s">
        <v>5106</v>
      </c>
      <c r="I21" s="35" t="s">
        <v>571</v>
      </c>
      <c r="J21" s="6" t="s">
        <v>5093</v>
      </c>
      <c r="K21" s="209" t="n">
        <v>1</v>
      </c>
      <c r="L21" s="209" t="s">
        <v>4663</v>
      </c>
      <c r="M21" s="6" t="s">
        <v>5094</v>
      </c>
      <c r="N21" s="209" t="s">
        <v>4665</v>
      </c>
      <c r="O21" s="35" t="s">
        <v>4666</v>
      </c>
      <c r="P21" s="35" t="s">
        <v>571</v>
      </c>
      <c r="Q21" s="35" t="s">
        <v>5141</v>
      </c>
      <c r="R21" s="35" t="s">
        <v>571</v>
      </c>
      <c r="S21" s="35" t="s">
        <v>4599</v>
      </c>
      <c r="T21" s="35" t="s">
        <v>571</v>
      </c>
      <c r="U21" s="35" t="s">
        <v>5096</v>
      </c>
      <c r="V21" s="6" t="s">
        <v>5142</v>
      </c>
      <c r="W21" s="6" t="s">
        <v>5143</v>
      </c>
      <c r="X21" s="183" t="n">
        <f aca="false">IF($O21="Active",SUMPRODUCT(($AH$5:$AH$108=$AH21)*1),0)</f>
        <v>1</v>
      </c>
      <c r="Y21" s="183" t="n">
        <f aca="false">IF(AND($O21="Active",OR($Q21="—",$Q21="")),1,0)</f>
        <v>0</v>
      </c>
      <c r="Z21" s="183" t="n">
        <f aca="false">IF(AND($O21="Active",$L21="利害關係方",OR($R21="—",$R21="")),1,0)</f>
        <v>1</v>
      </c>
      <c r="AH21" s="34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35" t="s">
        <v>3214</v>
      </c>
      <c r="B22" s="6" t="s">
        <v>5144</v>
      </c>
      <c r="C22" s="211" t="n">
        <v>1024</v>
      </c>
      <c r="D22" s="209"/>
      <c r="E22" s="209"/>
      <c r="F22" s="209" t="s">
        <v>5145</v>
      </c>
      <c r="G22" s="35" t="s">
        <v>571</v>
      </c>
      <c r="H22" s="35" t="s">
        <v>5106</v>
      </c>
      <c r="I22" s="35" t="s">
        <v>571</v>
      </c>
      <c r="J22" s="6" t="s">
        <v>5093</v>
      </c>
      <c r="K22" s="209" t="n">
        <v>3</v>
      </c>
      <c r="L22" s="209" t="s">
        <v>4663</v>
      </c>
      <c r="M22" s="6" t="s">
        <v>5094</v>
      </c>
      <c r="N22" s="209" t="s">
        <v>4795</v>
      </c>
      <c r="O22" s="35" t="s">
        <v>4666</v>
      </c>
      <c r="P22" s="35" t="s">
        <v>571</v>
      </c>
      <c r="Q22" s="35" t="s">
        <v>5101</v>
      </c>
      <c r="R22" s="35" t="s">
        <v>571</v>
      </c>
      <c r="S22" s="35" t="s">
        <v>571</v>
      </c>
      <c r="T22" s="35" t="s">
        <v>571</v>
      </c>
      <c r="U22" s="35" t="s">
        <v>5096</v>
      </c>
      <c r="V22" s="6" t="s">
        <v>5146</v>
      </c>
      <c r="W22" s="6" t="s">
        <v>5147</v>
      </c>
      <c r="X22" s="183" t="n">
        <f aca="false">IF($O22="Active",SUMPRODUCT(($AH$5:$AH$108=$AH22)*1),0)</f>
        <v>1</v>
      </c>
      <c r="Y22" s="183" t="n">
        <f aca="false">IF(AND($O22="Active",OR($Q22="—",$Q22="")),1,0)</f>
        <v>0</v>
      </c>
      <c r="Z22" s="183" t="n">
        <f aca="false">IF(AND($O22="Active",$L22="利害關係方",OR($R22="—",$R22="")),1,0)</f>
        <v>1</v>
      </c>
      <c r="AH22" s="34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35" t="s">
        <v>5148</v>
      </c>
      <c r="B23" s="6" t="s">
        <v>5149</v>
      </c>
      <c r="C23" s="211" t="n">
        <v>4</v>
      </c>
      <c r="D23" s="209"/>
      <c r="E23" s="209"/>
      <c r="F23" s="35" t="s">
        <v>5150</v>
      </c>
      <c r="G23" s="35" t="s">
        <v>571</v>
      </c>
      <c r="H23" s="35" t="s">
        <v>5106</v>
      </c>
      <c r="I23" s="35" t="s">
        <v>571</v>
      </c>
      <c r="J23" s="6" t="s">
        <v>5093</v>
      </c>
      <c r="K23" s="209" t="n">
        <v>3</v>
      </c>
      <c r="L23" s="209" t="s">
        <v>4663</v>
      </c>
      <c r="M23" s="6" t="s">
        <v>5094</v>
      </c>
      <c r="N23" s="209" t="s">
        <v>4795</v>
      </c>
      <c r="O23" s="35" t="s">
        <v>4666</v>
      </c>
      <c r="P23" s="35" t="s">
        <v>571</v>
      </c>
      <c r="Q23" s="35" t="s">
        <v>5101</v>
      </c>
      <c r="R23" s="35" t="s">
        <v>571</v>
      </c>
      <c r="S23" s="35" t="s">
        <v>571</v>
      </c>
      <c r="T23" s="35" t="s">
        <v>571</v>
      </c>
      <c r="U23" s="35" t="s">
        <v>5096</v>
      </c>
      <c r="V23" s="6" t="s">
        <v>5146</v>
      </c>
      <c r="W23" s="6" t="s">
        <v>571</v>
      </c>
      <c r="X23" s="183" t="n">
        <f aca="false">IF($O23="Active",SUMPRODUCT(($AH$5:$AH$108=$AH23)*1),0)</f>
        <v>1</v>
      </c>
      <c r="Y23" s="183" t="n">
        <f aca="false">IF(AND($O23="Active",OR($Q23="—",$Q23="")),1,0)</f>
        <v>0</v>
      </c>
      <c r="Z23" s="183" t="n">
        <f aca="false">IF(AND($O23="Active",$L23="利害關係方",OR($R23="—",$R23="")),1,0)</f>
        <v>1</v>
      </c>
      <c r="AH23" s="34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35" t="s">
        <v>3533</v>
      </c>
      <c r="B24" s="6" t="s">
        <v>5151</v>
      </c>
      <c r="C24" s="211" t="n">
        <v>671</v>
      </c>
      <c r="D24" s="209"/>
      <c r="E24" s="209"/>
      <c r="F24" s="35" t="s">
        <v>228</v>
      </c>
      <c r="G24" s="35" t="s">
        <v>571</v>
      </c>
      <c r="H24" s="35" t="s">
        <v>5152</v>
      </c>
      <c r="I24" s="35" t="s">
        <v>571</v>
      </c>
      <c r="J24" s="6" t="s">
        <v>5093</v>
      </c>
      <c r="K24" s="209" t="n">
        <v>3</v>
      </c>
      <c r="L24" s="209" t="s">
        <v>4663</v>
      </c>
      <c r="M24" s="6" t="s">
        <v>5094</v>
      </c>
      <c r="N24" s="209" t="s">
        <v>4795</v>
      </c>
      <c r="O24" s="35" t="s">
        <v>4666</v>
      </c>
      <c r="P24" s="35" t="s">
        <v>571</v>
      </c>
      <c r="Q24" s="35" t="s">
        <v>5101</v>
      </c>
      <c r="R24" s="35" t="s">
        <v>571</v>
      </c>
      <c r="S24" s="35" t="s">
        <v>571</v>
      </c>
      <c r="T24" s="35" t="s">
        <v>571</v>
      </c>
      <c r="U24" s="35" t="s">
        <v>5096</v>
      </c>
      <c r="V24" s="6" t="s">
        <v>5153</v>
      </c>
      <c r="W24" s="6" t="s">
        <v>571</v>
      </c>
      <c r="X24" s="183" t="n">
        <f aca="false">IF($O24="Active",SUMPRODUCT(($AH$5:$AH$108=$AH24)*1),0)</f>
        <v>1</v>
      </c>
      <c r="Y24" s="183" t="n">
        <f aca="false">IF(AND($O24="Active",OR($Q24="—",$Q24="")),1,0)</f>
        <v>0</v>
      </c>
      <c r="Z24" s="183" t="n">
        <f aca="false">IF(AND($O24="Active",$L24="利害關係方",OR($R24="—",$R24="")),1,0)</f>
        <v>1</v>
      </c>
      <c r="AH24" s="34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35" t="s">
        <v>3536</v>
      </c>
      <c r="B25" s="6" t="s">
        <v>5154</v>
      </c>
      <c r="C25" s="211" t="n">
        <v>37</v>
      </c>
      <c r="D25" s="209"/>
      <c r="E25" s="209"/>
      <c r="F25" s="35" t="s">
        <v>228</v>
      </c>
      <c r="G25" s="35" t="s">
        <v>571</v>
      </c>
      <c r="H25" s="35" t="s">
        <v>5152</v>
      </c>
      <c r="I25" s="35" t="s">
        <v>571</v>
      </c>
      <c r="J25" s="6" t="s">
        <v>5093</v>
      </c>
      <c r="K25" s="209" t="n">
        <v>3</v>
      </c>
      <c r="L25" s="209" t="s">
        <v>4663</v>
      </c>
      <c r="M25" s="6" t="s">
        <v>5094</v>
      </c>
      <c r="N25" s="209" t="s">
        <v>4795</v>
      </c>
      <c r="O25" s="35" t="s">
        <v>4666</v>
      </c>
      <c r="P25" s="35" t="s">
        <v>571</v>
      </c>
      <c r="Q25" s="35" t="s">
        <v>5101</v>
      </c>
      <c r="R25" s="35" t="s">
        <v>571</v>
      </c>
      <c r="S25" s="35" t="s">
        <v>571</v>
      </c>
      <c r="T25" s="35" t="s">
        <v>571</v>
      </c>
      <c r="U25" s="35" t="s">
        <v>5096</v>
      </c>
      <c r="V25" s="6" t="s">
        <v>5155</v>
      </c>
      <c r="W25" s="6" t="s">
        <v>571</v>
      </c>
      <c r="X25" s="183" t="n">
        <f aca="false">IF($O25="Active",SUMPRODUCT(($AH$5:$AH$108=$AH25)*1),0)</f>
        <v>1</v>
      </c>
      <c r="Y25" s="183" t="n">
        <f aca="false">IF(AND($O25="Active",OR($Q25="—",$Q25="")),1,0)</f>
        <v>0</v>
      </c>
      <c r="Z25" s="183" t="n">
        <f aca="false">IF(AND($O25="Active",$L25="利害關係方",OR($R25="—",$R25="")),1,0)</f>
        <v>1</v>
      </c>
      <c r="AH25" s="34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35" t="s">
        <v>3539</v>
      </c>
      <c r="B26" s="6" t="s">
        <v>5156</v>
      </c>
      <c r="C26" s="211" t="n">
        <v>61</v>
      </c>
      <c r="D26" s="209"/>
      <c r="E26" s="209"/>
      <c r="F26" s="209" t="s">
        <v>234</v>
      </c>
      <c r="G26" s="35" t="s">
        <v>571</v>
      </c>
      <c r="H26" s="35" t="s">
        <v>5152</v>
      </c>
      <c r="I26" s="35" t="s">
        <v>571</v>
      </c>
      <c r="J26" s="6" t="s">
        <v>5093</v>
      </c>
      <c r="K26" s="209" t="n">
        <v>3</v>
      </c>
      <c r="L26" s="209" t="s">
        <v>4663</v>
      </c>
      <c r="M26" s="6" t="s">
        <v>5094</v>
      </c>
      <c r="N26" s="209" t="s">
        <v>4795</v>
      </c>
      <c r="O26" s="35" t="s">
        <v>4666</v>
      </c>
      <c r="P26" s="35" t="s">
        <v>571</v>
      </c>
      <c r="Q26" s="35" t="s">
        <v>5101</v>
      </c>
      <c r="R26" s="35" t="s">
        <v>571</v>
      </c>
      <c r="S26" s="35" t="s">
        <v>571</v>
      </c>
      <c r="T26" s="35" t="s">
        <v>571</v>
      </c>
      <c r="U26" s="35" t="s">
        <v>5096</v>
      </c>
      <c r="V26" s="6" t="s">
        <v>5157</v>
      </c>
      <c r="W26" s="6" t="s">
        <v>571</v>
      </c>
      <c r="X26" s="183" t="n">
        <f aca="false">IF($O26="Active",SUMPRODUCT(($AH$5:$AH$108=$AH26)*1),0)</f>
        <v>1</v>
      </c>
      <c r="Y26" s="183" t="n">
        <f aca="false">IF(AND($O26="Active",OR($Q26="—",$Q26="")),1,0)</f>
        <v>0</v>
      </c>
      <c r="Z26" s="183" t="n">
        <f aca="false">IF(AND($O26="Active",$L26="利害關係方",OR($R26="—",$R26="")),1,0)</f>
        <v>1</v>
      </c>
      <c r="AH26" s="34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35" t="s">
        <v>3542</v>
      </c>
      <c r="B27" s="6" t="s">
        <v>5158</v>
      </c>
      <c r="C27" s="211" t="n">
        <v>7168</v>
      </c>
      <c r="D27" s="209"/>
      <c r="E27" s="209"/>
      <c r="F27" s="209" t="s">
        <v>5082</v>
      </c>
      <c r="G27" s="35" t="s">
        <v>571</v>
      </c>
      <c r="H27" s="35" t="s">
        <v>5152</v>
      </c>
      <c r="I27" s="35" t="s">
        <v>571</v>
      </c>
      <c r="J27" s="6" t="s">
        <v>5093</v>
      </c>
      <c r="K27" s="209" t="n">
        <v>3</v>
      </c>
      <c r="L27" s="209" t="s">
        <v>4663</v>
      </c>
      <c r="M27" s="6" t="s">
        <v>5094</v>
      </c>
      <c r="N27" s="209" t="s">
        <v>4795</v>
      </c>
      <c r="O27" s="35" t="s">
        <v>4666</v>
      </c>
      <c r="P27" s="35" t="s">
        <v>571</v>
      </c>
      <c r="Q27" s="35" t="s">
        <v>5101</v>
      </c>
      <c r="R27" s="35" t="s">
        <v>571</v>
      </c>
      <c r="S27" s="35" t="s">
        <v>571</v>
      </c>
      <c r="T27" s="35" t="s">
        <v>571</v>
      </c>
      <c r="U27" s="35" t="s">
        <v>5096</v>
      </c>
      <c r="V27" s="6" t="s">
        <v>5159</v>
      </c>
      <c r="W27" s="6" t="s">
        <v>571</v>
      </c>
      <c r="X27" s="183" t="n">
        <f aca="false">IF($O27="Active",SUMPRODUCT(($AH$5:$AH$108=$AH27)*1),0)</f>
        <v>1</v>
      </c>
      <c r="Y27" s="183" t="n">
        <f aca="false">IF(AND($O27="Active",OR($Q27="—",$Q27="")),1,0)</f>
        <v>0</v>
      </c>
      <c r="Z27" s="183" t="n">
        <f aca="false">IF(AND($O27="Active",$L27="利害關係方",OR($R27="—",$R27="")),1,0)</f>
        <v>1</v>
      </c>
      <c r="AH27" s="34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35" t="s">
        <v>3545</v>
      </c>
      <c r="B28" s="6" t="s">
        <v>5160</v>
      </c>
      <c r="C28" s="211" t="n">
        <v>256</v>
      </c>
      <c r="D28" s="209"/>
      <c r="E28" s="209"/>
      <c r="F28" s="209" t="s">
        <v>287</v>
      </c>
      <c r="G28" s="35" t="s">
        <v>571</v>
      </c>
      <c r="H28" s="35" t="s">
        <v>5152</v>
      </c>
      <c r="I28" s="35" t="s">
        <v>571</v>
      </c>
      <c r="J28" s="6" t="s">
        <v>5093</v>
      </c>
      <c r="K28" s="209" t="n">
        <v>3</v>
      </c>
      <c r="L28" s="209" t="s">
        <v>4663</v>
      </c>
      <c r="M28" s="6" t="s">
        <v>5094</v>
      </c>
      <c r="N28" s="209" t="s">
        <v>4795</v>
      </c>
      <c r="O28" s="35" t="s">
        <v>4666</v>
      </c>
      <c r="P28" s="35" t="s">
        <v>571</v>
      </c>
      <c r="Q28" s="35" t="s">
        <v>5101</v>
      </c>
      <c r="R28" s="35" t="s">
        <v>571</v>
      </c>
      <c r="S28" s="35" t="s">
        <v>571</v>
      </c>
      <c r="T28" s="35" t="s">
        <v>571</v>
      </c>
      <c r="U28" s="35" t="s">
        <v>5096</v>
      </c>
      <c r="V28" s="6" t="s">
        <v>5161</v>
      </c>
      <c r="W28" s="6" t="s">
        <v>571</v>
      </c>
      <c r="X28" s="183" t="n">
        <f aca="false">IF($O28="Active",SUMPRODUCT(($AH$5:$AH$108=$AH28)*1),0)</f>
        <v>1</v>
      </c>
      <c r="Y28" s="183" t="n">
        <f aca="false">IF(AND($O28="Active",OR($Q28="—",$Q28="")),1,0)</f>
        <v>0</v>
      </c>
      <c r="Z28" s="183" t="n">
        <f aca="false">IF(AND($O28="Active",$L28="利害關係方",OR($R28="—",$R28="")),1,0)</f>
        <v>1</v>
      </c>
      <c r="AH28" s="34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35" t="s">
        <v>3549</v>
      </c>
      <c r="B29" s="6" t="s">
        <v>5162</v>
      </c>
      <c r="C29" s="211" t="n">
        <v>8</v>
      </c>
      <c r="D29" s="209"/>
      <c r="E29" s="209"/>
      <c r="F29" s="209" t="s">
        <v>287</v>
      </c>
      <c r="G29" s="35" t="s">
        <v>571</v>
      </c>
      <c r="H29" s="35" t="s">
        <v>5152</v>
      </c>
      <c r="I29" s="35" t="s">
        <v>571</v>
      </c>
      <c r="J29" s="6" t="s">
        <v>5093</v>
      </c>
      <c r="K29" s="209" t="n">
        <v>3</v>
      </c>
      <c r="L29" s="209" t="s">
        <v>4663</v>
      </c>
      <c r="M29" s="6" t="s">
        <v>5094</v>
      </c>
      <c r="N29" s="209" t="s">
        <v>4795</v>
      </c>
      <c r="O29" s="35" t="s">
        <v>4666</v>
      </c>
      <c r="P29" s="35" t="s">
        <v>571</v>
      </c>
      <c r="Q29" s="35" t="s">
        <v>5101</v>
      </c>
      <c r="R29" s="35" t="s">
        <v>571</v>
      </c>
      <c r="S29" s="35" t="s">
        <v>571</v>
      </c>
      <c r="T29" s="35" t="s">
        <v>571</v>
      </c>
      <c r="U29" s="35" t="s">
        <v>5096</v>
      </c>
      <c r="V29" s="6" t="s">
        <v>5163</v>
      </c>
      <c r="W29" s="6" t="s">
        <v>571</v>
      </c>
      <c r="X29" s="183" t="n">
        <f aca="false">IF($O29="Active",SUMPRODUCT(($AH$5:$AH$108=$AH29)*1),0)</f>
        <v>1</v>
      </c>
      <c r="Y29" s="183" t="n">
        <f aca="false">IF(AND($O29="Active",OR($Q29="—",$Q29="")),1,0)</f>
        <v>0</v>
      </c>
      <c r="Z29" s="183" t="n">
        <f aca="false">IF(AND($O29="Active",$L29="利害關係方",OR($R29="—",$R29="")),1,0)</f>
        <v>1</v>
      </c>
      <c r="AH29" s="34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35" t="s">
        <v>3552</v>
      </c>
      <c r="B30" s="6" t="s">
        <v>5164</v>
      </c>
      <c r="C30" s="211" t="n">
        <v>1</v>
      </c>
      <c r="D30" s="209"/>
      <c r="E30" s="209"/>
      <c r="F30" s="209" t="s">
        <v>287</v>
      </c>
      <c r="G30" s="35" t="s">
        <v>571</v>
      </c>
      <c r="H30" s="35" t="s">
        <v>5152</v>
      </c>
      <c r="I30" s="35" t="s">
        <v>571</v>
      </c>
      <c r="J30" s="6" t="s">
        <v>5093</v>
      </c>
      <c r="K30" s="209" t="n">
        <v>3</v>
      </c>
      <c r="L30" s="209" t="s">
        <v>4663</v>
      </c>
      <c r="M30" s="6" t="s">
        <v>5094</v>
      </c>
      <c r="N30" s="209" t="s">
        <v>4795</v>
      </c>
      <c r="O30" s="35" t="s">
        <v>4666</v>
      </c>
      <c r="P30" s="35" t="s">
        <v>571</v>
      </c>
      <c r="Q30" s="35" t="s">
        <v>5101</v>
      </c>
      <c r="R30" s="35" t="s">
        <v>571</v>
      </c>
      <c r="S30" s="35" t="s">
        <v>571</v>
      </c>
      <c r="T30" s="35" t="s">
        <v>571</v>
      </c>
      <c r="U30" s="35" t="s">
        <v>5096</v>
      </c>
      <c r="V30" s="6" t="s">
        <v>5165</v>
      </c>
      <c r="W30" s="6" t="s">
        <v>571</v>
      </c>
      <c r="X30" s="183" t="n">
        <f aca="false">IF($O30="Active",SUMPRODUCT(($AH$5:$AH$108=$AH30)*1),0)</f>
        <v>1</v>
      </c>
      <c r="Y30" s="183" t="n">
        <f aca="false">IF(AND($O30="Active",OR($Q30="—",$Q30="")),1,0)</f>
        <v>0</v>
      </c>
      <c r="Z30" s="183" t="n">
        <f aca="false">IF(AND($O30="Active",$L30="利害關係方",OR($R30="—",$R30="")),1,0)</f>
        <v>1</v>
      </c>
      <c r="AH30" s="34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35" t="s">
        <v>3555</v>
      </c>
      <c r="B31" s="6" t="s">
        <v>5166</v>
      </c>
      <c r="C31" s="211" t="n">
        <v>129280</v>
      </c>
      <c r="D31" s="209"/>
      <c r="E31" s="209"/>
      <c r="F31" s="35" t="s">
        <v>5127</v>
      </c>
      <c r="G31" s="35" t="s">
        <v>571</v>
      </c>
      <c r="H31" s="35" t="s">
        <v>5152</v>
      </c>
      <c r="I31" s="35" t="s">
        <v>571</v>
      </c>
      <c r="J31" s="6" t="s">
        <v>5093</v>
      </c>
      <c r="K31" s="209" t="n">
        <v>3</v>
      </c>
      <c r="L31" s="209" t="s">
        <v>4663</v>
      </c>
      <c r="M31" s="6" t="s">
        <v>5094</v>
      </c>
      <c r="N31" s="209" t="s">
        <v>4795</v>
      </c>
      <c r="O31" s="35" t="s">
        <v>4666</v>
      </c>
      <c r="P31" s="35" t="s">
        <v>571</v>
      </c>
      <c r="Q31" s="35" t="s">
        <v>5101</v>
      </c>
      <c r="R31" s="35" t="s">
        <v>571</v>
      </c>
      <c r="S31" s="35" t="s">
        <v>571</v>
      </c>
      <c r="T31" s="35" t="s">
        <v>571</v>
      </c>
      <c r="U31" s="35" t="s">
        <v>5096</v>
      </c>
      <c r="V31" s="6" t="s">
        <v>5167</v>
      </c>
      <c r="W31" s="6" t="s">
        <v>571</v>
      </c>
      <c r="X31" s="183" t="n">
        <f aca="false">IF($O31="Active",SUMPRODUCT(($AH$5:$AH$108=$AH31)*1),0)</f>
        <v>1</v>
      </c>
      <c r="Y31" s="183" t="n">
        <f aca="false">IF(AND($O31="Active",OR($Q31="—",$Q31="")),1,0)</f>
        <v>0</v>
      </c>
      <c r="Z31" s="183" t="n">
        <f aca="false">IF(AND($O31="Active",$L31="利害關係方",OR($R31="—",$R31="")),1,0)</f>
        <v>1</v>
      </c>
      <c r="AH31" s="34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35" t="s">
        <v>3558</v>
      </c>
      <c r="B32" s="6" t="s">
        <v>5168</v>
      </c>
      <c r="C32" s="211" t="n">
        <v>576</v>
      </c>
      <c r="D32" s="209"/>
      <c r="E32" s="209"/>
      <c r="F32" s="209" t="s">
        <v>5082</v>
      </c>
      <c r="G32" s="35" t="s">
        <v>5169</v>
      </c>
      <c r="H32" s="35" t="s">
        <v>5152</v>
      </c>
      <c r="I32" s="35" t="s">
        <v>571</v>
      </c>
      <c r="J32" s="6" t="s">
        <v>5093</v>
      </c>
      <c r="K32" s="209" t="n">
        <v>3</v>
      </c>
      <c r="L32" s="209" t="s">
        <v>4663</v>
      </c>
      <c r="M32" s="6" t="s">
        <v>5094</v>
      </c>
      <c r="N32" s="209" t="s">
        <v>4795</v>
      </c>
      <c r="O32" s="35" t="s">
        <v>4666</v>
      </c>
      <c r="P32" s="35" t="s">
        <v>571</v>
      </c>
      <c r="Q32" s="35" t="s">
        <v>5101</v>
      </c>
      <c r="R32" s="35" t="s">
        <v>571</v>
      </c>
      <c r="S32" s="35" t="s">
        <v>571</v>
      </c>
      <c r="T32" s="35" t="s">
        <v>571</v>
      </c>
      <c r="U32" s="35" t="s">
        <v>5096</v>
      </c>
      <c r="V32" s="6" t="s">
        <v>5170</v>
      </c>
      <c r="W32" s="6" t="s">
        <v>5171</v>
      </c>
      <c r="X32" s="183" t="n">
        <f aca="false">IF($O32="Active",SUMPRODUCT(($AH$5:$AH$108=$AH32)*1),0)</f>
        <v>1</v>
      </c>
      <c r="Y32" s="183" t="n">
        <f aca="false">IF(AND($O32="Active",OR($Q32="—",$Q32="")),1,0)</f>
        <v>0</v>
      </c>
      <c r="Z32" s="183" t="n">
        <f aca="false">IF(AND($O32="Active",$L32="利害關係方",OR($R32="—",$R32="")),1,0)</f>
        <v>1</v>
      </c>
      <c r="AH32" s="34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35" t="s">
        <v>3688</v>
      </c>
      <c r="B33" s="6" t="s">
        <v>5172</v>
      </c>
      <c r="C33" s="211" t="n">
        <v>32</v>
      </c>
      <c r="D33" s="209"/>
      <c r="E33" s="209"/>
      <c r="F33" s="35" t="s">
        <v>904</v>
      </c>
      <c r="G33" s="35" t="s">
        <v>571</v>
      </c>
      <c r="H33" s="35" t="s">
        <v>5085</v>
      </c>
      <c r="I33" s="35" t="s">
        <v>4687</v>
      </c>
      <c r="J33" s="6" t="s">
        <v>5173</v>
      </c>
      <c r="K33" s="209" t="n">
        <v>1</v>
      </c>
      <c r="L33" s="209" t="s">
        <v>4663</v>
      </c>
      <c r="M33" s="6" t="s">
        <v>5174</v>
      </c>
      <c r="N33" s="209" t="s">
        <v>5175</v>
      </c>
      <c r="O33" s="35" t="s">
        <v>4666</v>
      </c>
      <c r="P33" s="35" t="s">
        <v>571</v>
      </c>
      <c r="Q33" s="35" t="s">
        <v>5176</v>
      </c>
      <c r="R33" s="35" t="s">
        <v>571</v>
      </c>
      <c r="S33" s="35" t="s">
        <v>571</v>
      </c>
      <c r="T33" s="35" t="s">
        <v>571</v>
      </c>
      <c r="U33" s="35" t="s">
        <v>5177</v>
      </c>
      <c r="V33" s="6" t="s">
        <v>5178</v>
      </c>
      <c r="W33" s="6" t="s">
        <v>571</v>
      </c>
      <c r="X33" s="183" t="n">
        <f aca="false">IF($O33="Active",SUMPRODUCT(($AH$5:$AH$108=$AH33)*1),0)</f>
        <v>1</v>
      </c>
      <c r="Y33" s="183" t="n">
        <f aca="false">IF(AND($O33="Active",OR($Q33="—",$Q33="")),1,0)</f>
        <v>0</v>
      </c>
      <c r="Z33" s="183" t="n">
        <f aca="false">IF(AND($O33="Active",$L33="利害關係方",OR($R33="—",$R33="")),1,0)</f>
        <v>1</v>
      </c>
      <c r="AH33" s="34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35" t="s">
        <v>3690</v>
      </c>
      <c r="B34" s="6" t="s">
        <v>5179</v>
      </c>
      <c r="C34" s="211" t="n">
        <v>33</v>
      </c>
      <c r="D34" s="209"/>
      <c r="E34" s="209"/>
      <c r="F34" s="35" t="s">
        <v>904</v>
      </c>
      <c r="G34" s="35" t="s">
        <v>571</v>
      </c>
      <c r="H34" s="35" t="s">
        <v>5069</v>
      </c>
      <c r="I34" s="35" t="s">
        <v>4687</v>
      </c>
      <c r="J34" s="6" t="s">
        <v>5173</v>
      </c>
      <c r="K34" s="209" t="n">
        <v>1</v>
      </c>
      <c r="L34" s="209" t="s">
        <v>4663</v>
      </c>
      <c r="M34" s="6" t="s">
        <v>5174</v>
      </c>
      <c r="N34" s="209" t="s">
        <v>5175</v>
      </c>
      <c r="O34" s="35" t="s">
        <v>4666</v>
      </c>
      <c r="P34" s="35" t="s">
        <v>571</v>
      </c>
      <c r="Q34" s="35" t="s">
        <v>5176</v>
      </c>
      <c r="R34" s="35" t="s">
        <v>571</v>
      </c>
      <c r="S34" s="35" t="s">
        <v>571</v>
      </c>
      <c r="T34" s="35" t="s">
        <v>571</v>
      </c>
      <c r="U34" s="35" t="s">
        <v>5177</v>
      </c>
      <c r="V34" s="6" t="s">
        <v>5180</v>
      </c>
      <c r="W34" s="6" t="s">
        <v>571</v>
      </c>
      <c r="X34" s="183" t="n">
        <f aca="false">IF($O34="Active",SUMPRODUCT(($AH$5:$AH$108=$AH34)*1),0)</f>
        <v>1</v>
      </c>
      <c r="Y34" s="183" t="n">
        <f aca="false">IF(AND($O34="Active",OR($Q34="—",$Q34="")),1,0)</f>
        <v>0</v>
      </c>
      <c r="Z34" s="183" t="n">
        <f aca="false">IF(AND($O34="Active",$L34="利害關係方",OR($R34="—",$R34="")),1,0)</f>
        <v>1</v>
      </c>
      <c r="AH34" s="34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35" t="s">
        <v>3693</v>
      </c>
      <c r="B35" s="6" t="s">
        <v>5181</v>
      </c>
      <c r="C35" s="211" t="n">
        <v>4096</v>
      </c>
      <c r="D35" s="209"/>
      <c r="E35" s="209"/>
      <c r="F35" s="35" t="s">
        <v>249</v>
      </c>
      <c r="G35" s="35" t="s">
        <v>5182</v>
      </c>
      <c r="H35" s="35" t="s">
        <v>5106</v>
      </c>
      <c r="I35" s="35" t="s">
        <v>4687</v>
      </c>
      <c r="J35" s="6" t="s">
        <v>5173</v>
      </c>
      <c r="K35" s="209" t="n">
        <v>1</v>
      </c>
      <c r="L35" s="209" t="s">
        <v>4663</v>
      </c>
      <c r="M35" s="6" t="s">
        <v>5174</v>
      </c>
      <c r="N35" s="209" t="s">
        <v>5175</v>
      </c>
      <c r="O35" s="35" t="s">
        <v>4666</v>
      </c>
      <c r="P35" s="35" t="s">
        <v>571</v>
      </c>
      <c r="Q35" s="35" t="s">
        <v>5176</v>
      </c>
      <c r="R35" s="35" t="s">
        <v>571</v>
      </c>
      <c r="S35" s="35" t="s">
        <v>571</v>
      </c>
      <c r="T35" s="35" t="s">
        <v>571</v>
      </c>
      <c r="U35" s="35" t="s">
        <v>5177</v>
      </c>
      <c r="V35" s="6" t="s">
        <v>5183</v>
      </c>
      <c r="W35" s="6" t="s">
        <v>571</v>
      </c>
      <c r="X35" s="183" t="n">
        <f aca="false">IF($O35="Active",SUMPRODUCT(($AH$5:$AH$108=$AH35)*1),0)</f>
        <v>1</v>
      </c>
      <c r="Y35" s="183" t="n">
        <f aca="false">IF(AND($O35="Active",OR($Q35="—",$Q35="")),1,0)</f>
        <v>0</v>
      </c>
      <c r="Z35" s="183" t="n">
        <f aca="false">IF(AND($O35="Active",$L35="利害關係方",OR($R35="—",$R35="")),1,0)</f>
        <v>1</v>
      </c>
      <c r="AH35" s="34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35" t="s">
        <v>5184</v>
      </c>
      <c r="B36" s="6" t="s">
        <v>5185</v>
      </c>
      <c r="C36" s="211" t="n">
        <v>16384</v>
      </c>
      <c r="D36" s="209"/>
      <c r="E36" s="209"/>
      <c r="F36" s="35" t="s">
        <v>249</v>
      </c>
      <c r="G36" s="209" t="s">
        <v>5186</v>
      </c>
      <c r="H36" s="35" t="s">
        <v>5106</v>
      </c>
      <c r="I36" s="35" t="s">
        <v>4687</v>
      </c>
      <c r="J36" s="6" t="s">
        <v>5173</v>
      </c>
      <c r="K36" s="209" t="n">
        <v>1</v>
      </c>
      <c r="L36" s="209" t="s">
        <v>4663</v>
      </c>
      <c r="M36" s="6" t="s">
        <v>5174</v>
      </c>
      <c r="N36" s="209" t="s">
        <v>5175</v>
      </c>
      <c r="O36" s="35" t="s">
        <v>4666</v>
      </c>
      <c r="P36" s="35" t="s">
        <v>571</v>
      </c>
      <c r="Q36" s="35" t="s">
        <v>5176</v>
      </c>
      <c r="R36" s="35" t="s">
        <v>571</v>
      </c>
      <c r="S36" s="35" t="s">
        <v>571</v>
      </c>
      <c r="T36" s="35" t="s">
        <v>571</v>
      </c>
      <c r="U36" s="35" t="s">
        <v>5177</v>
      </c>
      <c r="V36" s="6" t="s">
        <v>571</v>
      </c>
      <c r="W36" s="6" t="s">
        <v>571</v>
      </c>
      <c r="X36" s="183" t="n">
        <f aca="false">IF($O36="Active",SUMPRODUCT(($AH$5:$AH$108=$AH36)*1),0)</f>
        <v>1</v>
      </c>
      <c r="Y36" s="183" t="n">
        <f aca="false">IF(AND($O36="Active",OR($Q36="—",$Q36="")),1,0)</f>
        <v>0</v>
      </c>
      <c r="Z36" s="183" t="n">
        <f aca="false">IF(AND($O36="Active",$L36="利害關係方",OR($R36="—",$R36="")),1,0)</f>
        <v>1</v>
      </c>
      <c r="AH36" s="34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35" t="s">
        <v>2197</v>
      </c>
      <c r="B37" s="6" t="s">
        <v>5187</v>
      </c>
      <c r="C37" s="211" t="n">
        <v>4.6E+026</v>
      </c>
      <c r="D37" s="209"/>
      <c r="E37" s="209"/>
      <c r="F37" s="35" t="s">
        <v>272</v>
      </c>
      <c r="G37" s="209" t="s">
        <v>5188</v>
      </c>
      <c r="H37" s="35" t="s">
        <v>5189</v>
      </c>
      <c r="I37" s="35" t="s">
        <v>5190</v>
      </c>
      <c r="J37" s="6" t="s">
        <v>5191</v>
      </c>
      <c r="K37" s="209" t="n">
        <v>1</v>
      </c>
      <c r="L37" s="209" t="s">
        <v>4767</v>
      </c>
      <c r="M37" s="6" t="s">
        <v>5192</v>
      </c>
      <c r="N37" s="209" t="s">
        <v>5193</v>
      </c>
      <c r="O37" s="35" t="s">
        <v>4666</v>
      </c>
      <c r="P37" s="35" t="s">
        <v>571</v>
      </c>
      <c r="Q37" s="35" t="s">
        <v>5194</v>
      </c>
      <c r="R37" s="35" t="s">
        <v>571</v>
      </c>
      <c r="S37" s="35" t="s">
        <v>571</v>
      </c>
      <c r="T37" s="35" t="s">
        <v>571</v>
      </c>
      <c r="U37" s="35" t="s">
        <v>5195</v>
      </c>
      <c r="V37" s="6" t="s">
        <v>5196</v>
      </c>
      <c r="W37" s="18" t="s">
        <v>5197</v>
      </c>
      <c r="X37" s="183" t="n">
        <f aca="false">IF($O37="Active",SUMPRODUCT(($AH$5:$AH$108=$AH37)*1),0)</f>
        <v>1</v>
      </c>
      <c r="Y37" s="183" t="n">
        <f aca="false">IF(AND($O37="Active",OR($Q37="—",$Q37="")),1,0)</f>
        <v>0</v>
      </c>
      <c r="Z37" s="183" t="n">
        <f aca="false">IF(AND($O37="Active",$L37="利害關係方",OR($R37="—",$R37="")),1,0)</f>
        <v>0</v>
      </c>
      <c r="AH37" s="34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35" t="s">
        <v>2161</v>
      </c>
      <c r="B38" s="6" t="s">
        <v>5198</v>
      </c>
      <c r="C38" s="211" t="n">
        <v>0.147</v>
      </c>
      <c r="D38" s="209"/>
      <c r="E38" s="209"/>
      <c r="F38" s="35" t="s">
        <v>5199</v>
      </c>
      <c r="G38" s="35" t="s">
        <v>5200</v>
      </c>
      <c r="H38" s="35" t="s">
        <v>5201</v>
      </c>
      <c r="I38" s="35" t="s">
        <v>5202</v>
      </c>
      <c r="J38" s="6" t="s">
        <v>5203</v>
      </c>
      <c r="K38" s="209" t="n">
        <v>2</v>
      </c>
      <c r="L38" s="209" t="s">
        <v>4663</v>
      </c>
      <c r="M38" s="6" t="s">
        <v>5204</v>
      </c>
      <c r="N38" s="209" t="s">
        <v>4676</v>
      </c>
      <c r="O38" s="35" t="s">
        <v>4666</v>
      </c>
      <c r="P38" s="35" t="s">
        <v>571</v>
      </c>
      <c r="Q38" s="35" t="s">
        <v>5205</v>
      </c>
      <c r="R38" s="35" t="s">
        <v>571</v>
      </c>
      <c r="S38" s="35" t="s">
        <v>571</v>
      </c>
      <c r="T38" s="35" t="s">
        <v>571</v>
      </c>
      <c r="U38" s="35" t="s">
        <v>5206</v>
      </c>
      <c r="V38" s="6" t="s">
        <v>5207</v>
      </c>
      <c r="W38" s="6" t="s">
        <v>5208</v>
      </c>
      <c r="X38" s="183" t="n">
        <f aca="false">IF($O38="Active",SUMPRODUCT(($AH$5:$AH$108=$AH38)*1),0)</f>
        <v>1</v>
      </c>
      <c r="Y38" s="183" t="n">
        <f aca="false">IF(AND($O38="Active",OR($Q38="—",$Q38="")),1,0)</f>
        <v>0</v>
      </c>
      <c r="Z38" s="183" t="n">
        <f aca="false">IF(AND($O38="Active",$L38="利害關係方",OR($R38="—",$R38="")),1,0)</f>
        <v>1</v>
      </c>
      <c r="AH38" s="34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35" t="s">
        <v>5209</v>
      </c>
      <c r="B39" s="6" t="s">
        <v>5210</v>
      </c>
      <c r="C39" s="211" t="n">
        <v>0.14</v>
      </c>
      <c r="D39" s="209"/>
      <c r="E39" s="209"/>
      <c r="F39" s="35" t="s">
        <v>5211</v>
      </c>
      <c r="G39" s="209" t="s">
        <v>5212</v>
      </c>
      <c r="H39" s="35" t="s">
        <v>5213</v>
      </c>
      <c r="I39" s="35" t="s">
        <v>5214</v>
      </c>
      <c r="J39" s="6" t="s">
        <v>5215</v>
      </c>
      <c r="K39" s="209" t="n">
        <v>2</v>
      </c>
      <c r="L39" s="209" t="s">
        <v>4663</v>
      </c>
      <c r="M39" s="6" t="s">
        <v>5216</v>
      </c>
      <c r="N39" s="209" t="s">
        <v>4676</v>
      </c>
      <c r="O39" s="35" t="s">
        <v>4666</v>
      </c>
      <c r="P39" s="35" t="s">
        <v>571</v>
      </c>
      <c r="Q39" s="35" t="s">
        <v>5217</v>
      </c>
      <c r="R39" s="35" t="s">
        <v>571</v>
      </c>
      <c r="S39" s="35" t="s">
        <v>571</v>
      </c>
      <c r="T39" s="35" t="s">
        <v>571</v>
      </c>
      <c r="U39" s="35" t="s">
        <v>5218</v>
      </c>
      <c r="V39" s="6" t="s">
        <v>571</v>
      </c>
      <c r="W39" s="6" t="s">
        <v>571</v>
      </c>
      <c r="X39" s="183" t="n">
        <f aca="false">IF($O39="Active",SUMPRODUCT(($AH$5:$AH$108=$AH39)*1),0)</f>
        <v>1</v>
      </c>
      <c r="Y39" s="183" t="n">
        <f aca="false">IF(AND($O39="Active",OR($Q39="—",$Q39="")),1,0)</f>
        <v>0</v>
      </c>
      <c r="Z39" s="183" t="n">
        <f aca="false">IF(AND($O39="Active",$L39="利害關係方",OR($R39="—",$R39="")),1,0)</f>
        <v>1</v>
      </c>
      <c r="AH39" s="34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35" t="s">
        <v>2167</v>
      </c>
      <c r="B40" s="6" t="s">
        <v>5219</v>
      </c>
      <c r="C40" s="211" t="n">
        <v>1</v>
      </c>
      <c r="D40" s="209"/>
      <c r="E40" s="209"/>
      <c r="F40" s="35" t="s">
        <v>75</v>
      </c>
      <c r="G40" s="209" t="s">
        <v>5220</v>
      </c>
      <c r="H40" s="35" t="s">
        <v>5221</v>
      </c>
      <c r="I40" s="35" t="s">
        <v>5222</v>
      </c>
      <c r="J40" s="6" t="s">
        <v>5223</v>
      </c>
      <c r="K40" s="209" t="n">
        <v>1</v>
      </c>
      <c r="L40" s="209" t="s">
        <v>4663</v>
      </c>
      <c r="M40" s="6" t="s">
        <v>5224</v>
      </c>
      <c r="N40" s="209" t="s">
        <v>5175</v>
      </c>
      <c r="O40" s="35" t="s">
        <v>4666</v>
      </c>
      <c r="P40" s="35" t="s">
        <v>571</v>
      </c>
      <c r="Q40" s="35" t="s">
        <v>5225</v>
      </c>
      <c r="R40" s="35" t="s">
        <v>571</v>
      </c>
      <c r="S40" s="35" t="s">
        <v>571</v>
      </c>
      <c r="T40" s="35" t="s">
        <v>571</v>
      </c>
      <c r="U40" s="35" t="s">
        <v>5226</v>
      </c>
      <c r="V40" s="6" t="s">
        <v>5227</v>
      </c>
      <c r="W40" s="18" t="s">
        <v>5228</v>
      </c>
      <c r="X40" s="183" t="n">
        <f aca="false">IF($O40="Active",SUMPRODUCT(($AH$5:$AH$108=$AH40)*1),0)</f>
        <v>1</v>
      </c>
      <c r="Y40" s="183" t="n">
        <f aca="false">IF(AND($O40="Active",OR($Q40="—",$Q40="")),1,0)</f>
        <v>0</v>
      </c>
      <c r="Z40" s="183" t="n">
        <f aca="false">IF(AND($O40="Active",$L40="利害關係方",OR($R40="—",$R40="")),1,0)</f>
        <v>1</v>
      </c>
      <c r="AH40" s="34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35" t="s">
        <v>5229</v>
      </c>
      <c r="B41" s="6" t="s">
        <v>5230</v>
      </c>
      <c r="C41" s="211" t="n">
        <v>200000</v>
      </c>
      <c r="D41" s="209"/>
      <c r="E41" s="209"/>
      <c r="F41" s="35" t="s">
        <v>682</v>
      </c>
      <c r="G41" s="35" t="s">
        <v>571</v>
      </c>
      <c r="H41" s="35" t="s">
        <v>5221</v>
      </c>
      <c r="I41" s="35" t="s">
        <v>5222</v>
      </c>
      <c r="J41" s="6" t="s">
        <v>5223</v>
      </c>
      <c r="K41" s="209" t="n">
        <v>1</v>
      </c>
      <c r="L41" s="209" t="s">
        <v>4663</v>
      </c>
      <c r="M41" s="6" t="s">
        <v>5224</v>
      </c>
      <c r="N41" s="209" t="s">
        <v>5175</v>
      </c>
      <c r="O41" s="35" t="s">
        <v>4666</v>
      </c>
      <c r="P41" s="35" t="s">
        <v>571</v>
      </c>
      <c r="Q41" s="35" t="s">
        <v>5225</v>
      </c>
      <c r="R41" s="35" t="s">
        <v>571</v>
      </c>
      <c r="S41" s="35" t="s">
        <v>571</v>
      </c>
      <c r="T41" s="35" t="s">
        <v>571</v>
      </c>
      <c r="U41" s="35" t="s">
        <v>5226</v>
      </c>
      <c r="V41" s="6" t="s">
        <v>571</v>
      </c>
      <c r="W41" s="6" t="s">
        <v>571</v>
      </c>
      <c r="X41" s="183" t="n">
        <f aca="false">IF($O41="Active",SUMPRODUCT(($AH$5:$AH$108=$AH41)*1),0)</f>
        <v>1</v>
      </c>
      <c r="Y41" s="183" t="n">
        <f aca="false">IF(AND($O41="Active",OR($Q41="—",$Q41="")),1,0)</f>
        <v>0</v>
      </c>
      <c r="Z41" s="183" t="n">
        <f aca="false">IF(AND($O41="Active",$L41="利害關係方",OR($R41="—",$R41="")),1,0)</f>
        <v>1</v>
      </c>
      <c r="AH41" s="34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35" t="s">
        <v>5231</v>
      </c>
      <c r="B42" s="6" t="s">
        <v>5232</v>
      </c>
      <c r="C42" s="211" t="n">
        <v>10</v>
      </c>
      <c r="D42" s="209"/>
      <c r="E42" s="209"/>
      <c r="F42" s="35" t="s">
        <v>75</v>
      </c>
      <c r="G42" s="209" t="s">
        <v>5233</v>
      </c>
      <c r="H42" s="35" t="s">
        <v>5221</v>
      </c>
      <c r="I42" s="35" t="s">
        <v>5222</v>
      </c>
      <c r="J42" s="6" t="s">
        <v>5223</v>
      </c>
      <c r="K42" s="209" t="n">
        <v>1</v>
      </c>
      <c r="L42" s="209" t="s">
        <v>4663</v>
      </c>
      <c r="M42" s="6" t="s">
        <v>5224</v>
      </c>
      <c r="N42" s="209" t="s">
        <v>5175</v>
      </c>
      <c r="O42" s="35" t="s">
        <v>4666</v>
      </c>
      <c r="P42" s="35" t="s">
        <v>571</v>
      </c>
      <c r="Q42" s="35" t="s">
        <v>5225</v>
      </c>
      <c r="R42" s="35" t="s">
        <v>571</v>
      </c>
      <c r="S42" s="35" t="s">
        <v>571</v>
      </c>
      <c r="T42" s="35" t="s">
        <v>571</v>
      </c>
      <c r="U42" s="35" t="s">
        <v>5226</v>
      </c>
      <c r="V42" s="6" t="s">
        <v>571</v>
      </c>
      <c r="W42" s="6" t="s">
        <v>571</v>
      </c>
      <c r="X42" s="183" t="n">
        <f aca="false">IF($O42="Active",SUMPRODUCT(($AH$5:$AH$108=$AH42)*1),0)</f>
        <v>1</v>
      </c>
      <c r="Y42" s="183" t="n">
        <f aca="false">IF(AND($O42="Active",OR($Q42="—",$Q42="")),1,0)</f>
        <v>0</v>
      </c>
      <c r="Z42" s="183" t="n">
        <f aca="false">IF(AND($O42="Active",$L42="利害關係方",OR($R42="—",$R42="")),1,0)</f>
        <v>1</v>
      </c>
      <c r="AH42" s="34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35" t="s">
        <v>3696</v>
      </c>
      <c r="B43" s="6" t="s">
        <v>5234</v>
      </c>
      <c r="C43" s="211" t="n">
        <v>14.8</v>
      </c>
      <c r="D43" s="209"/>
      <c r="E43" s="209"/>
      <c r="F43" s="35" t="s">
        <v>904</v>
      </c>
      <c r="G43" s="35" t="s">
        <v>571</v>
      </c>
      <c r="H43" s="35" t="s">
        <v>5235</v>
      </c>
      <c r="I43" s="35" t="s">
        <v>5236</v>
      </c>
      <c r="J43" s="6" t="s">
        <v>5237</v>
      </c>
      <c r="K43" s="209" t="n">
        <v>3</v>
      </c>
      <c r="L43" s="209" t="s">
        <v>4663</v>
      </c>
      <c r="M43" s="6" t="s">
        <v>5238</v>
      </c>
      <c r="N43" s="209" t="s">
        <v>4795</v>
      </c>
      <c r="O43" s="35" t="s">
        <v>4666</v>
      </c>
      <c r="P43" s="35" t="s">
        <v>571</v>
      </c>
      <c r="Q43" s="35" t="s">
        <v>5239</v>
      </c>
      <c r="R43" s="35" t="s">
        <v>571</v>
      </c>
      <c r="S43" s="35" t="s">
        <v>571</v>
      </c>
      <c r="T43" s="35" t="s">
        <v>571</v>
      </c>
      <c r="U43" s="35" t="s">
        <v>935</v>
      </c>
      <c r="V43" s="6" t="s">
        <v>5240</v>
      </c>
      <c r="W43" s="6" t="s">
        <v>571</v>
      </c>
      <c r="X43" s="183" t="n">
        <f aca="false">IF($O43="Active",SUMPRODUCT(($AH$5:$AH$108=$AH43)*1),0)</f>
        <v>1</v>
      </c>
      <c r="Y43" s="183" t="n">
        <f aca="false">IF(AND($O43="Active",OR($Q43="—",$Q43="")),1,0)</f>
        <v>0</v>
      </c>
      <c r="Z43" s="183" t="n">
        <f aca="false">IF(AND($O43="Active",$L43="利害關係方",OR($R43="—",$R43="")),1,0)</f>
        <v>1</v>
      </c>
      <c r="AH43" s="34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35" t="s">
        <v>3699</v>
      </c>
      <c r="B44" s="6" t="s">
        <v>5241</v>
      </c>
      <c r="C44" s="211" t="n">
        <v>2.664</v>
      </c>
      <c r="D44" s="209"/>
      <c r="E44" s="209"/>
      <c r="F44" s="35" t="s">
        <v>5242</v>
      </c>
      <c r="G44" s="209" t="s">
        <v>5243</v>
      </c>
      <c r="H44" s="35" t="s">
        <v>5235</v>
      </c>
      <c r="I44" s="35" t="s">
        <v>5236</v>
      </c>
      <c r="J44" s="6" t="s">
        <v>5237</v>
      </c>
      <c r="K44" s="209" t="n">
        <v>3</v>
      </c>
      <c r="L44" s="209" t="s">
        <v>4663</v>
      </c>
      <c r="M44" s="6" t="s">
        <v>5238</v>
      </c>
      <c r="N44" s="209" t="s">
        <v>4795</v>
      </c>
      <c r="O44" s="35" t="s">
        <v>4666</v>
      </c>
      <c r="P44" s="35" t="s">
        <v>571</v>
      </c>
      <c r="Q44" s="35" t="s">
        <v>5239</v>
      </c>
      <c r="R44" s="35" t="s">
        <v>571</v>
      </c>
      <c r="S44" s="35" t="s">
        <v>571</v>
      </c>
      <c r="T44" s="35" t="s">
        <v>571</v>
      </c>
      <c r="U44" s="35" t="s">
        <v>935</v>
      </c>
      <c r="V44" s="6" t="s">
        <v>5244</v>
      </c>
      <c r="W44" s="6" t="s">
        <v>571</v>
      </c>
      <c r="X44" s="183" t="n">
        <f aca="false">IF($O44="Active",SUMPRODUCT(($AH$5:$AH$108=$AH44)*1),0)</f>
        <v>1</v>
      </c>
      <c r="Y44" s="183" t="n">
        <f aca="false">IF(AND($O44="Active",OR($Q44="—",$Q44="")),1,0)</f>
        <v>0</v>
      </c>
      <c r="Z44" s="183" t="n">
        <f aca="false">IF(AND($O44="Active",$L44="利害關係方",OR($R44="—",$R44="")),1,0)</f>
        <v>1</v>
      </c>
      <c r="AH44" s="34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35" t="s">
        <v>5245</v>
      </c>
      <c r="B45" s="6" t="s">
        <v>5246</v>
      </c>
      <c r="C45" s="211" t="n">
        <v>2.788</v>
      </c>
      <c r="D45" s="209"/>
      <c r="E45" s="209"/>
      <c r="F45" s="35" t="s">
        <v>5242</v>
      </c>
      <c r="G45" s="209" t="s">
        <v>5247</v>
      </c>
      <c r="H45" s="35" t="s">
        <v>5235</v>
      </c>
      <c r="I45" s="35" t="s">
        <v>5236</v>
      </c>
      <c r="J45" s="6" t="s">
        <v>5237</v>
      </c>
      <c r="K45" s="209" t="n">
        <v>3</v>
      </c>
      <c r="L45" s="209" t="s">
        <v>4663</v>
      </c>
      <c r="M45" s="6" t="s">
        <v>5238</v>
      </c>
      <c r="N45" s="209" t="s">
        <v>4795</v>
      </c>
      <c r="O45" s="35" t="s">
        <v>4666</v>
      </c>
      <c r="P45" s="35" t="s">
        <v>571</v>
      </c>
      <c r="Q45" s="35" t="s">
        <v>5239</v>
      </c>
      <c r="R45" s="35" t="s">
        <v>571</v>
      </c>
      <c r="S45" s="35" t="s">
        <v>571</v>
      </c>
      <c r="T45" s="35" t="s">
        <v>571</v>
      </c>
      <c r="U45" s="35" t="s">
        <v>935</v>
      </c>
      <c r="V45" s="6" t="s">
        <v>571</v>
      </c>
      <c r="W45" s="6" t="s">
        <v>571</v>
      </c>
      <c r="X45" s="183" t="n">
        <f aca="false">IF($O45="Active",SUMPRODUCT(($AH$5:$AH$108=$AH45)*1),0)</f>
        <v>1</v>
      </c>
      <c r="Y45" s="183" t="n">
        <f aca="false">IF(AND($O45="Active",OR($Q45="—",$Q45="")),1,0)</f>
        <v>0</v>
      </c>
      <c r="Z45" s="183" t="n">
        <f aca="false">IF(AND($O45="Active",$L45="利害關係方",OR($R45="—",$R45="")),1,0)</f>
        <v>1</v>
      </c>
      <c r="AH45" s="34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35" t="s">
        <v>3702</v>
      </c>
      <c r="B46" s="6" t="s">
        <v>5248</v>
      </c>
      <c r="C46" s="211" t="n">
        <v>4096</v>
      </c>
      <c r="D46" s="209"/>
      <c r="E46" s="209"/>
      <c r="F46" s="35" t="s">
        <v>249</v>
      </c>
      <c r="G46" s="35" t="s">
        <v>571</v>
      </c>
      <c r="H46" s="35" t="s">
        <v>5235</v>
      </c>
      <c r="I46" s="35" t="s">
        <v>5236</v>
      </c>
      <c r="J46" s="6" t="s">
        <v>5237</v>
      </c>
      <c r="K46" s="209" t="n">
        <v>3</v>
      </c>
      <c r="L46" s="209" t="s">
        <v>4663</v>
      </c>
      <c r="M46" s="6" t="s">
        <v>5238</v>
      </c>
      <c r="N46" s="209" t="s">
        <v>4795</v>
      </c>
      <c r="O46" s="35" t="s">
        <v>4666</v>
      </c>
      <c r="P46" s="35" t="s">
        <v>571</v>
      </c>
      <c r="Q46" s="35" t="s">
        <v>5239</v>
      </c>
      <c r="R46" s="35" t="s">
        <v>571</v>
      </c>
      <c r="S46" s="35" t="s">
        <v>571</v>
      </c>
      <c r="T46" s="35" t="s">
        <v>571</v>
      </c>
      <c r="U46" s="35" t="s">
        <v>935</v>
      </c>
      <c r="V46" s="6" t="s">
        <v>5249</v>
      </c>
      <c r="W46" s="6" t="s">
        <v>571</v>
      </c>
      <c r="X46" s="183" t="n">
        <f aca="false">IF($O46="Active",SUMPRODUCT(($AH$5:$AH$108=$AH46)*1),0)</f>
        <v>1</v>
      </c>
      <c r="Y46" s="183" t="n">
        <f aca="false">IF(AND($O46="Active",OR($Q46="—",$Q46="")),1,0)</f>
        <v>0</v>
      </c>
      <c r="Z46" s="183" t="n">
        <f aca="false">IF(AND($O46="Active",$L46="利害關係方",OR($R46="—",$R46="")),1,0)</f>
        <v>1</v>
      </c>
      <c r="AH46" s="34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35" t="s">
        <v>3707</v>
      </c>
      <c r="B47" s="18" t="s">
        <v>5250</v>
      </c>
      <c r="C47" s="211" t="n">
        <v>1</v>
      </c>
      <c r="D47" s="209"/>
      <c r="E47" s="209"/>
      <c r="F47" s="35" t="s">
        <v>5251</v>
      </c>
      <c r="G47" s="209" t="s">
        <v>5252</v>
      </c>
      <c r="H47" s="35" t="s">
        <v>1183</v>
      </c>
      <c r="I47" s="35" t="s">
        <v>1173</v>
      </c>
      <c r="J47" s="6" t="s">
        <v>5253</v>
      </c>
      <c r="K47" s="209" t="n">
        <v>1</v>
      </c>
      <c r="L47" s="209" t="s">
        <v>4663</v>
      </c>
      <c r="M47" s="6" t="s">
        <v>5174</v>
      </c>
      <c r="N47" s="209" t="s">
        <v>5175</v>
      </c>
      <c r="O47" s="35" t="s">
        <v>4666</v>
      </c>
      <c r="P47" s="35" t="s">
        <v>571</v>
      </c>
      <c r="Q47" s="35" t="s">
        <v>5254</v>
      </c>
      <c r="R47" s="35" t="s">
        <v>571</v>
      </c>
      <c r="S47" s="35" t="s">
        <v>571</v>
      </c>
      <c r="T47" s="35" t="s">
        <v>571</v>
      </c>
      <c r="U47" s="35" t="s">
        <v>5255</v>
      </c>
      <c r="V47" s="6" t="s">
        <v>5256</v>
      </c>
      <c r="W47" s="6" t="s">
        <v>5257</v>
      </c>
      <c r="X47" s="183" t="n">
        <f aca="false">IF($O47="Active",SUMPRODUCT(($AH$5:$AH$108=$AH47)*1),0)</f>
        <v>1</v>
      </c>
      <c r="Y47" s="183" t="n">
        <f aca="false">IF(AND($O47="Active",OR($Q47="—",$Q47="")),1,0)</f>
        <v>0</v>
      </c>
      <c r="Z47" s="183" t="n">
        <f aca="false">IF(AND($O47="Active",$L47="利害關係方",OR($R47="—",$R47="")),1,0)</f>
        <v>1</v>
      </c>
      <c r="AH47" s="34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35" t="s">
        <v>5258</v>
      </c>
      <c r="B48" s="18" t="s">
        <v>5259</v>
      </c>
      <c r="C48" s="211" t="n">
        <v>1</v>
      </c>
      <c r="D48" s="209"/>
      <c r="E48" s="209"/>
      <c r="F48" s="35" t="s">
        <v>5251</v>
      </c>
      <c r="G48" s="209" t="s">
        <v>5252</v>
      </c>
      <c r="H48" s="35" t="s">
        <v>5260</v>
      </c>
      <c r="I48" s="35" t="s">
        <v>5261</v>
      </c>
      <c r="J48" s="6" t="s">
        <v>5262</v>
      </c>
      <c r="K48" s="209" t="n">
        <v>1</v>
      </c>
      <c r="L48" s="209" t="s">
        <v>4663</v>
      </c>
      <c r="M48" s="6" t="s">
        <v>5263</v>
      </c>
      <c r="N48" s="209" t="s">
        <v>5175</v>
      </c>
      <c r="O48" s="35" t="s">
        <v>4666</v>
      </c>
      <c r="P48" s="35" t="s">
        <v>571</v>
      </c>
      <c r="Q48" s="35" t="s">
        <v>5264</v>
      </c>
      <c r="R48" s="35" t="s">
        <v>571</v>
      </c>
      <c r="S48" s="35" t="s">
        <v>571</v>
      </c>
      <c r="T48" s="35" t="s">
        <v>571</v>
      </c>
      <c r="U48" s="35" t="s">
        <v>5265</v>
      </c>
      <c r="V48" s="6" t="s">
        <v>5256</v>
      </c>
      <c r="W48" s="6" t="s">
        <v>571</v>
      </c>
      <c r="X48" s="183" t="n">
        <f aca="false">IF($O48="Active",SUMPRODUCT(($AH$5:$AH$108=$AH48)*1),0)</f>
        <v>1</v>
      </c>
      <c r="Y48" s="183" t="n">
        <f aca="false">IF(AND($O48="Active",OR($Q48="—",$Q48="")),1,0)</f>
        <v>0</v>
      </c>
      <c r="Z48" s="183" t="n">
        <f aca="false">IF(AND($O48="Active",$L48="利害關係方",OR($R48="—",$R48="")),1,0)</f>
        <v>1</v>
      </c>
      <c r="AH48" s="34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35" t="s">
        <v>5266</v>
      </c>
      <c r="B49" s="18" t="s">
        <v>5267</v>
      </c>
      <c r="C49" s="211" t="n">
        <v>1</v>
      </c>
      <c r="D49" s="209"/>
      <c r="E49" s="209"/>
      <c r="F49" s="35" t="s">
        <v>5251</v>
      </c>
      <c r="G49" s="209" t="s">
        <v>5252</v>
      </c>
      <c r="H49" s="35" t="s">
        <v>1200</v>
      </c>
      <c r="I49" s="35" t="s">
        <v>5202</v>
      </c>
      <c r="J49" s="6" t="s">
        <v>5268</v>
      </c>
      <c r="K49" s="209" t="n">
        <v>2</v>
      </c>
      <c r="L49" s="209" t="s">
        <v>4663</v>
      </c>
      <c r="M49" s="6" t="s">
        <v>5268</v>
      </c>
      <c r="N49" s="209" t="s">
        <v>4676</v>
      </c>
      <c r="O49" s="35" t="s">
        <v>4666</v>
      </c>
      <c r="P49" s="35" t="s">
        <v>571</v>
      </c>
      <c r="Q49" s="35" t="s">
        <v>5269</v>
      </c>
      <c r="R49" s="35" t="s">
        <v>571</v>
      </c>
      <c r="S49" s="35" t="s">
        <v>571</v>
      </c>
      <c r="T49" s="35" t="s">
        <v>571</v>
      </c>
      <c r="U49" s="35" t="s">
        <v>5270</v>
      </c>
      <c r="V49" s="6" t="s">
        <v>5256</v>
      </c>
      <c r="W49" s="6" t="s">
        <v>571</v>
      </c>
      <c r="X49" s="183" t="n">
        <f aca="false">IF($O49="Active",SUMPRODUCT(($AH$5:$AH$108=$AH49)*1),0)</f>
        <v>1</v>
      </c>
      <c r="Y49" s="183" t="n">
        <f aca="false">IF(AND($O49="Active",OR($Q49="—",$Q49="")),1,0)</f>
        <v>0</v>
      </c>
      <c r="Z49" s="183" t="n">
        <f aca="false">IF(AND($O49="Active",$L49="利害關係方",OR($R49="—",$R49="")),1,0)</f>
        <v>1</v>
      </c>
      <c r="AH49" s="34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35" t="s">
        <v>4015</v>
      </c>
      <c r="B50" s="6" t="s">
        <v>5271</v>
      </c>
      <c r="C50" s="211" t="n">
        <v>1.5</v>
      </c>
      <c r="D50" s="209"/>
      <c r="E50" s="209"/>
      <c r="F50" s="35" t="s">
        <v>75</v>
      </c>
      <c r="G50" s="209" t="s">
        <v>5272</v>
      </c>
      <c r="H50" s="35" t="s">
        <v>1200</v>
      </c>
      <c r="I50" s="35" t="s">
        <v>5202</v>
      </c>
      <c r="J50" s="6" t="s">
        <v>5268</v>
      </c>
      <c r="K50" s="209" t="n">
        <v>2</v>
      </c>
      <c r="L50" s="209" t="s">
        <v>4663</v>
      </c>
      <c r="M50" s="6" t="s">
        <v>5268</v>
      </c>
      <c r="N50" s="209" t="s">
        <v>4676</v>
      </c>
      <c r="O50" s="35" t="s">
        <v>4666</v>
      </c>
      <c r="P50" s="35" t="s">
        <v>571</v>
      </c>
      <c r="Q50" s="35" t="s">
        <v>5269</v>
      </c>
      <c r="R50" s="35" t="s">
        <v>571</v>
      </c>
      <c r="S50" s="35" t="s">
        <v>571</v>
      </c>
      <c r="T50" s="35" t="s">
        <v>571</v>
      </c>
      <c r="U50" s="35" t="s">
        <v>5270</v>
      </c>
      <c r="V50" s="6" t="s">
        <v>571</v>
      </c>
      <c r="W50" s="6" t="s">
        <v>571</v>
      </c>
      <c r="X50" s="183" t="n">
        <f aca="false">IF($O50="Active",SUMPRODUCT(($AH$5:$AH$108=$AH50)*1),0)</f>
        <v>1</v>
      </c>
      <c r="Y50" s="183" t="n">
        <f aca="false">IF(AND($O50="Active",OR($Q50="—",$Q50="")),1,0)</f>
        <v>0</v>
      </c>
      <c r="Z50" s="183" t="n">
        <f aca="false">IF(AND($O50="Active",$L50="利害關係方",OR($R50="—",$R50="")),1,0)</f>
        <v>1</v>
      </c>
      <c r="AH50" s="34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35" t="s">
        <v>5273</v>
      </c>
      <c r="B51" s="18" t="s">
        <v>5274</v>
      </c>
      <c r="C51" s="211" t="n">
        <v>1</v>
      </c>
      <c r="D51" s="209"/>
      <c r="E51" s="209"/>
      <c r="F51" s="35" t="s">
        <v>5251</v>
      </c>
      <c r="G51" s="209" t="s">
        <v>5252</v>
      </c>
      <c r="H51" s="35" t="s">
        <v>5275</v>
      </c>
      <c r="I51" s="35" t="s">
        <v>5222</v>
      </c>
      <c r="J51" s="6" t="s">
        <v>5276</v>
      </c>
      <c r="K51" s="209" t="n">
        <v>1</v>
      </c>
      <c r="L51" s="209" t="s">
        <v>4663</v>
      </c>
      <c r="M51" s="6" t="s">
        <v>5277</v>
      </c>
      <c r="N51" s="209" t="s">
        <v>5175</v>
      </c>
      <c r="O51" s="35" t="s">
        <v>4666</v>
      </c>
      <c r="P51" s="35" t="s">
        <v>571</v>
      </c>
      <c r="Q51" s="35" t="s">
        <v>5278</v>
      </c>
      <c r="R51" s="35" t="s">
        <v>571</v>
      </c>
      <c r="S51" s="35" t="s">
        <v>571</v>
      </c>
      <c r="T51" s="35" t="s">
        <v>571</v>
      </c>
      <c r="U51" s="35" t="s">
        <v>5279</v>
      </c>
      <c r="V51" s="6" t="s">
        <v>5256</v>
      </c>
      <c r="W51" s="6" t="s">
        <v>571</v>
      </c>
      <c r="X51" s="183" t="n">
        <f aca="false">IF($O51="Active",SUMPRODUCT(($AH$5:$AH$108=$AH51)*1),0)</f>
        <v>1</v>
      </c>
      <c r="Y51" s="183" t="n">
        <f aca="false">IF(AND($O51="Active",OR($Q51="—",$Q51="")),1,0)</f>
        <v>0</v>
      </c>
      <c r="Z51" s="183" t="n">
        <f aca="false">IF(AND($O51="Active",$L51="利害關係方",OR($R51="—",$R51="")),1,0)</f>
        <v>1</v>
      </c>
      <c r="AH51" s="34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35" t="s">
        <v>5280</v>
      </c>
      <c r="B52" s="6" t="s">
        <v>5281</v>
      </c>
      <c r="C52" s="211" t="n">
        <v>10.7</v>
      </c>
      <c r="D52" s="209"/>
      <c r="E52" s="209"/>
      <c r="F52" s="35" t="s">
        <v>75</v>
      </c>
      <c r="G52" s="209" t="s">
        <v>5282</v>
      </c>
      <c r="H52" s="35" t="s">
        <v>5275</v>
      </c>
      <c r="I52" s="35" t="s">
        <v>5222</v>
      </c>
      <c r="J52" s="6" t="s">
        <v>5276</v>
      </c>
      <c r="K52" s="209" t="n">
        <v>1</v>
      </c>
      <c r="L52" s="209" t="s">
        <v>4663</v>
      </c>
      <c r="M52" s="6" t="s">
        <v>5277</v>
      </c>
      <c r="N52" s="209" t="s">
        <v>5175</v>
      </c>
      <c r="O52" s="35" t="s">
        <v>4666</v>
      </c>
      <c r="P52" s="35" t="s">
        <v>571</v>
      </c>
      <c r="Q52" s="35" t="s">
        <v>5278</v>
      </c>
      <c r="R52" s="35" t="s">
        <v>571</v>
      </c>
      <c r="S52" s="35" t="s">
        <v>571</v>
      </c>
      <c r="T52" s="35" t="s">
        <v>571</v>
      </c>
      <c r="U52" s="35" t="s">
        <v>5279</v>
      </c>
      <c r="V52" s="6" t="s">
        <v>571</v>
      </c>
      <c r="W52" s="6" t="s">
        <v>571</v>
      </c>
      <c r="X52" s="183" t="n">
        <f aca="false">IF($O52="Active",SUMPRODUCT(($AH$5:$AH$108=$AH52)*1),0)</f>
        <v>1</v>
      </c>
      <c r="Y52" s="183" t="n">
        <f aca="false">IF(AND($O52="Active",OR($Q52="—",$Q52="")),1,0)</f>
        <v>0</v>
      </c>
      <c r="Z52" s="183" t="n">
        <f aca="false">IF(AND($O52="Active",$L52="利害關係方",OR($R52="—",$R52="")),1,0)</f>
        <v>1</v>
      </c>
      <c r="AH52" s="34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35" t="s">
        <v>3562</v>
      </c>
      <c r="B53" s="6" t="s">
        <v>5283</v>
      </c>
      <c r="C53" s="211" t="n">
        <v>128</v>
      </c>
      <c r="D53" s="209"/>
      <c r="E53" s="209"/>
      <c r="F53" s="209" t="s">
        <v>287</v>
      </c>
      <c r="G53" s="35" t="s">
        <v>5284</v>
      </c>
      <c r="H53" s="35" t="s">
        <v>5152</v>
      </c>
      <c r="I53" s="35" t="s">
        <v>571</v>
      </c>
      <c r="J53" s="6" t="s">
        <v>4942</v>
      </c>
      <c r="K53" s="209" t="n">
        <v>3</v>
      </c>
      <c r="L53" s="209" t="s">
        <v>4663</v>
      </c>
      <c r="M53" s="6" t="s">
        <v>5285</v>
      </c>
      <c r="N53" s="209" t="s">
        <v>4795</v>
      </c>
      <c r="O53" s="35" t="s">
        <v>4666</v>
      </c>
      <c r="P53" s="35" t="s">
        <v>571</v>
      </c>
      <c r="Q53" s="35" t="s">
        <v>4951</v>
      </c>
      <c r="R53" s="35" t="s">
        <v>571</v>
      </c>
      <c r="S53" s="35" t="s">
        <v>571</v>
      </c>
      <c r="T53" s="35" t="s">
        <v>571</v>
      </c>
      <c r="U53" s="35" t="s">
        <v>4944</v>
      </c>
      <c r="V53" s="6" t="s">
        <v>571</v>
      </c>
      <c r="W53" s="6" t="s">
        <v>4955</v>
      </c>
      <c r="X53" s="183" t="n">
        <f aca="false">IF($O53="Active",SUMPRODUCT(($AH$5:$AH$108=$AH53)*1),0)</f>
        <v>1</v>
      </c>
      <c r="Y53" s="183" t="n">
        <f aca="false">IF(AND($O53="Active",OR($Q53="—",$Q53="")),1,0)</f>
        <v>0</v>
      </c>
      <c r="Z53" s="183" t="n">
        <f aca="false">IF(AND($O53="Active",$L53="利害關係方",OR($R53="—",$R53="")),1,0)</f>
        <v>1</v>
      </c>
      <c r="AH53" s="34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35" t="s">
        <v>5286</v>
      </c>
      <c r="B54" s="6" t="s">
        <v>5287</v>
      </c>
      <c r="C54" s="211" t="n">
        <v>192</v>
      </c>
      <c r="D54" s="209"/>
      <c r="E54" s="209"/>
      <c r="F54" s="209" t="s">
        <v>5082</v>
      </c>
      <c r="G54" s="35" t="s">
        <v>5284</v>
      </c>
      <c r="H54" s="35" t="s">
        <v>5152</v>
      </c>
      <c r="I54" s="35" t="s">
        <v>571</v>
      </c>
      <c r="J54" s="6" t="s">
        <v>4942</v>
      </c>
      <c r="K54" s="209" t="n">
        <v>3</v>
      </c>
      <c r="L54" s="209" t="s">
        <v>4663</v>
      </c>
      <c r="M54" s="6" t="s">
        <v>5285</v>
      </c>
      <c r="N54" s="209" t="s">
        <v>4795</v>
      </c>
      <c r="O54" s="35" t="s">
        <v>4666</v>
      </c>
      <c r="P54" s="35" t="s">
        <v>571</v>
      </c>
      <c r="Q54" s="35" t="s">
        <v>4951</v>
      </c>
      <c r="R54" s="35" t="s">
        <v>571</v>
      </c>
      <c r="S54" s="35" t="s">
        <v>571</v>
      </c>
      <c r="T54" s="35" t="s">
        <v>571</v>
      </c>
      <c r="U54" s="35" t="s">
        <v>4944</v>
      </c>
      <c r="V54" s="6" t="s">
        <v>571</v>
      </c>
      <c r="W54" s="6" t="s">
        <v>4955</v>
      </c>
      <c r="X54" s="183" t="n">
        <f aca="false">IF($O54="Active",SUMPRODUCT(($AH$5:$AH$108=$AH54)*1),0)</f>
        <v>1</v>
      </c>
      <c r="Y54" s="183" t="n">
        <f aca="false">IF(AND($O54="Active",OR($Q54="—",$Q54="")),1,0)</f>
        <v>0</v>
      </c>
      <c r="Z54" s="183" t="n">
        <f aca="false">IF(AND($O54="Active",$L54="利害關係方",OR($R54="—",$R54="")),1,0)</f>
        <v>1</v>
      </c>
      <c r="AH54" s="34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35" t="s">
        <v>5288</v>
      </c>
      <c r="B55" s="6" t="s">
        <v>5289</v>
      </c>
      <c r="C55" s="211" t="n">
        <v>128</v>
      </c>
      <c r="D55" s="209"/>
      <c r="E55" s="209"/>
      <c r="F55" s="209" t="s">
        <v>5082</v>
      </c>
      <c r="G55" s="35" t="s">
        <v>5284</v>
      </c>
      <c r="H55" s="35" t="s">
        <v>5152</v>
      </c>
      <c r="I55" s="35" t="s">
        <v>571</v>
      </c>
      <c r="J55" s="6" t="s">
        <v>4942</v>
      </c>
      <c r="K55" s="209" t="n">
        <v>3</v>
      </c>
      <c r="L55" s="209" t="s">
        <v>4663</v>
      </c>
      <c r="M55" s="6" t="s">
        <v>5285</v>
      </c>
      <c r="N55" s="209" t="s">
        <v>4795</v>
      </c>
      <c r="O55" s="35" t="s">
        <v>4666</v>
      </c>
      <c r="P55" s="35" t="s">
        <v>571</v>
      </c>
      <c r="Q55" s="35" t="s">
        <v>4951</v>
      </c>
      <c r="R55" s="35" t="s">
        <v>571</v>
      </c>
      <c r="S55" s="35" t="s">
        <v>571</v>
      </c>
      <c r="T55" s="35" t="s">
        <v>571</v>
      </c>
      <c r="U55" s="35" t="s">
        <v>4944</v>
      </c>
      <c r="V55" s="6" t="s">
        <v>571</v>
      </c>
      <c r="W55" s="6" t="s">
        <v>4955</v>
      </c>
      <c r="X55" s="183" t="n">
        <f aca="false">IF($O55="Active",SUMPRODUCT(($AH$5:$AH$108=$AH55)*1),0)</f>
        <v>1</v>
      </c>
      <c r="Y55" s="183" t="n">
        <f aca="false">IF(AND($O55="Active",OR($Q55="—",$Q55="")),1,0)</f>
        <v>0</v>
      </c>
      <c r="Z55" s="183" t="n">
        <f aca="false">IF(AND($O55="Active",$L55="利害關係方",OR($R55="—",$R55="")),1,0)</f>
        <v>1</v>
      </c>
      <c r="AH55" s="34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35" t="s">
        <v>3206</v>
      </c>
      <c r="B56" s="6" t="s">
        <v>5290</v>
      </c>
      <c r="C56" s="211" t="n">
        <v>4096</v>
      </c>
      <c r="D56" s="209"/>
      <c r="E56" s="209"/>
      <c r="F56" s="209" t="s">
        <v>5082</v>
      </c>
      <c r="G56" s="35" t="s">
        <v>5291</v>
      </c>
      <c r="H56" s="35" t="s">
        <v>5092</v>
      </c>
      <c r="I56" s="35" t="s">
        <v>4673</v>
      </c>
      <c r="J56" s="6" t="s">
        <v>5292</v>
      </c>
      <c r="K56" s="209" t="n">
        <v>1</v>
      </c>
      <c r="L56" s="209" t="s">
        <v>4663</v>
      </c>
      <c r="M56" s="6" t="s">
        <v>5293</v>
      </c>
      <c r="N56" s="209" t="s">
        <v>5175</v>
      </c>
      <c r="O56" s="35" t="s">
        <v>4666</v>
      </c>
      <c r="P56" s="35" t="s">
        <v>571</v>
      </c>
      <c r="Q56" s="35" t="s">
        <v>5294</v>
      </c>
      <c r="R56" s="35" t="s">
        <v>571</v>
      </c>
      <c r="S56" s="35" t="s">
        <v>571</v>
      </c>
      <c r="T56" s="35" t="s">
        <v>571</v>
      </c>
      <c r="U56" s="35" t="s">
        <v>5295</v>
      </c>
      <c r="V56" s="6" t="s">
        <v>5296</v>
      </c>
      <c r="W56" s="18" t="s">
        <v>5297</v>
      </c>
      <c r="X56" s="183" t="n">
        <f aca="false">IF($O56="Active",SUMPRODUCT(($AH$5:$AH$108=$AH56)*1),0)</f>
        <v>1</v>
      </c>
      <c r="Y56" s="183" t="n">
        <f aca="false">IF(AND($O56="Active",OR($Q56="—",$Q56="")),1,0)</f>
        <v>0</v>
      </c>
      <c r="Z56" s="183" t="n">
        <f aca="false">IF(AND($O56="Active",$L56="利害關係方",OR($R56="—",$R56="")),1,0)</f>
        <v>1</v>
      </c>
      <c r="AH56" s="34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35" t="s">
        <v>3209</v>
      </c>
      <c r="B57" s="6" t="s">
        <v>5298</v>
      </c>
      <c r="C57" s="211" t="n">
        <v>64</v>
      </c>
      <c r="D57" s="209"/>
      <c r="E57" s="209"/>
      <c r="F57" s="209" t="s">
        <v>287</v>
      </c>
      <c r="G57" s="35" t="s">
        <v>5299</v>
      </c>
      <c r="H57" s="35" t="s">
        <v>5092</v>
      </c>
      <c r="I57" s="35" t="s">
        <v>4673</v>
      </c>
      <c r="J57" s="6" t="s">
        <v>5292</v>
      </c>
      <c r="K57" s="209" t="n">
        <v>1</v>
      </c>
      <c r="L57" s="209" t="s">
        <v>4663</v>
      </c>
      <c r="M57" s="6" t="s">
        <v>5293</v>
      </c>
      <c r="N57" s="209" t="s">
        <v>5175</v>
      </c>
      <c r="O57" s="35" t="s">
        <v>4666</v>
      </c>
      <c r="P57" s="35" t="s">
        <v>571</v>
      </c>
      <c r="Q57" s="35" t="s">
        <v>5294</v>
      </c>
      <c r="R57" s="35" t="s">
        <v>571</v>
      </c>
      <c r="S57" s="35" t="s">
        <v>571</v>
      </c>
      <c r="T57" s="35" t="s">
        <v>571</v>
      </c>
      <c r="U57" s="35" t="s">
        <v>5295</v>
      </c>
      <c r="V57" s="6" t="s">
        <v>5300</v>
      </c>
      <c r="W57" s="18" t="s">
        <v>5301</v>
      </c>
      <c r="X57" s="183" t="n">
        <f aca="false">IF($O57="Active",SUMPRODUCT(($AH$5:$AH$108=$AH57)*1),0)</f>
        <v>1</v>
      </c>
      <c r="Y57" s="183" t="n">
        <f aca="false">IF(AND($O57="Active",OR($Q57="—",$Q57="")),1,0)</f>
        <v>0</v>
      </c>
      <c r="Z57" s="183" t="n">
        <f aca="false">IF(AND($O57="Active",$L57="利害關係方",OR($R57="—",$R57="")),1,0)</f>
        <v>1</v>
      </c>
      <c r="AH57" s="34" t="str">
        <f aca="false">IF($O57="Active",$B57&amp;"¦"&amp;$G57&amp;"¦"&amp;$H57,"")</f>
        <v>DeepSeek V4-Flash query heads（num_attention_heads）¦config.json num_attention_heads¦DeepSeek V4-Flash</v>
      </c>
    </row>
    <row r="58" customFormat="false" ht="26.85" hidden="false" customHeight="false" outlineLevel="0" collapsed="false">
      <c r="A58" s="54" t="s">
        <v>5302</v>
      </c>
      <c r="B58" s="6" t="s">
        <v>5303</v>
      </c>
      <c r="C58" s="129" t="n">
        <v>0.492</v>
      </c>
      <c r="D58" s="53"/>
      <c r="E58" s="53"/>
      <c r="F58" s="54" t="s">
        <v>71</v>
      </c>
      <c r="G58" s="54" t="s">
        <v>5304</v>
      </c>
      <c r="H58" s="54" t="s">
        <v>5100</v>
      </c>
      <c r="I58" s="54" t="s">
        <v>4673</v>
      </c>
      <c r="J58" s="6" t="s">
        <v>5305</v>
      </c>
      <c r="K58" s="53" t="n">
        <v>1</v>
      </c>
      <c r="L58" s="53" t="s">
        <v>4663</v>
      </c>
      <c r="M58" s="6" t="s">
        <v>5306</v>
      </c>
      <c r="N58" s="53" t="s">
        <v>4665</v>
      </c>
      <c r="O58" s="54" t="s">
        <v>4666</v>
      </c>
      <c r="P58" s="54" t="s">
        <v>571</v>
      </c>
      <c r="Q58" s="54" t="s">
        <v>5307</v>
      </c>
      <c r="R58" s="54" t="s">
        <v>571</v>
      </c>
      <c r="S58" s="54" t="s">
        <v>571</v>
      </c>
      <c r="T58" s="54" t="s">
        <v>571</v>
      </c>
      <c r="U58" s="54" t="s">
        <v>4973</v>
      </c>
      <c r="V58" s="6" t="s">
        <v>5308</v>
      </c>
      <c r="W58" s="6" t="s">
        <v>5309</v>
      </c>
      <c r="X58" s="104" t="n">
        <f aca="false">IF($O58="Active",SUMPRODUCT(($AH$5:$AH$108=$AH58)*1),0)</f>
        <v>1</v>
      </c>
      <c r="Y58" s="104" t="n">
        <f aca="false">IF(AND($O58="Active",OR($Q58="—",$Q58="")),1,0)</f>
        <v>0</v>
      </c>
      <c r="Z58" s="104" t="n">
        <f aca="false">IF(AND($O58="Active",$L58="利害關係方",OR($R58="—",$R58="")),1,0)</f>
        <v>1</v>
      </c>
      <c r="AH58" s="53" t="str">
        <f aca="false">IF($O58="Active",$B58&amp;"¦"&amp;$G58&amp;"¦"&amp;$H58,"")</f>
        <v>DeepSeek V4-Pro 全注意力層比例（壓縮比 4 層／（壓縮比 4＋128 層）＝30/61）¦config.json compress_ratios 前 61 個元素¦DeepSeek V4-Pro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7" t="s">
        <v>5310</v>
      </c>
    </row>
    <row r="2" customFormat="false" ht="15" hidden="false" customHeight="true" outlineLevel="0" collapsed="false">
      <c r="A2" s="218" t="s">
        <v>4637</v>
      </c>
    </row>
    <row r="3" customFormat="false" ht="15" hidden="false" customHeight="true" outlineLevel="0" collapsed="false">
      <c r="A3" s="218" t="s">
        <v>4638</v>
      </c>
    </row>
    <row r="4" customFormat="false" ht="43.5" hidden="false" customHeight="true" outlineLevel="0" collapsed="false">
      <c r="A4" s="77" t="s">
        <v>4639</v>
      </c>
      <c r="B4" s="208" t="s">
        <v>1839</v>
      </c>
      <c r="C4" s="208" t="s">
        <v>4640</v>
      </c>
      <c r="D4" s="208" t="s">
        <v>1099</v>
      </c>
      <c r="E4" s="208" t="s">
        <v>1100</v>
      </c>
      <c r="F4" s="208" t="s">
        <v>55</v>
      </c>
      <c r="G4" s="208" t="s">
        <v>427</v>
      </c>
      <c r="H4" s="208" t="s">
        <v>4641</v>
      </c>
      <c r="I4" s="208" t="s">
        <v>4294</v>
      </c>
      <c r="J4" s="208" t="s">
        <v>4297</v>
      </c>
      <c r="K4" s="208" t="s">
        <v>4472</v>
      </c>
      <c r="L4" s="208" t="s">
        <v>4642</v>
      </c>
      <c r="M4" s="208" t="s">
        <v>4643</v>
      </c>
      <c r="N4" s="208" t="s">
        <v>4644</v>
      </c>
      <c r="O4" s="208" t="s">
        <v>558</v>
      </c>
      <c r="P4" s="208" t="s">
        <v>4645</v>
      </c>
      <c r="Q4" s="77" t="s">
        <v>4646</v>
      </c>
      <c r="R4" s="208" t="s">
        <v>4647</v>
      </c>
      <c r="S4" s="208" t="s">
        <v>4648</v>
      </c>
      <c r="T4" s="77" t="s">
        <v>4649</v>
      </c>
      <c r="U4" s="208" t="s">
        <v>4650</v>
      </c>
      <c r="V4" s="208" t="s">
        <v>4651</v>
      </c>
      <c r="W4" s="208" t="s">
        <v>4652</v>
      </c>
      <c r="X4" s="208" t="s">
        <v>4653</v>
      </c>
      <c r="Y4" s="208" t="s">
        <v>4654</v>
      </c>
      <c r="Z4" s="208" t="s">
        <v>4655</v>
      </c>
      <c r="AA4" s="208" t="s">
        <v>5311</v>
      </c>
      <c r="AB4" s="208" t="s">
        <v>408</v>
      </c>
      <c r="AC4" s="77" t="s">
        <v>415</v>
      </c>
      <c r="AD4" s="77" t="s">
        <v>416</v>
      </c>
      <c r="AE4" s="208" t="s">
        <v>5312</v>
      </c>
      <c r="AF4" s="77" t="s">
        <v>5313</v>
      </c>
      <c r="AG4" s="77" t="s">
        <v>5314</v>
      </c>
      <c r="AH4" s="76" t="s">
        <v>4656</v>
      </c>
    </row>
    <row r="5" customFormat="false" ht="29.25" hidden="false" customHeight="true" outlineLevel="0" collapsed="false">
      <c r="A5" s="35" t="s">
        <v>3446</v>
      </c>
      <c r="B5" s="6" t="s">
        <v>5315</v>
      </c>
      <c r="C5" s="211" t="n">
        <v>6182</v>
      </c>
      <c r="D5" s="209"/>
      <c r="E5" s="209"/>
      <c r="F5" s="35" t="s">
        <v>5316</v>
      </c>
      <c r="G5" s="35" t="s">
        <v>5317</v>
      </c>
      <c r="H5" s="35" t="s">
        <v>139</v>
      </c>
      <c r="I5" s="35" t="s">
        <v>5318</v>
      </c>
      <c r="J5" s="6" t="s">
        <v>5319</v>
      </c>
      <c r="K5" s="209" t="n">
        <v>1</v>
      </c>
      <c r="L5" s="209" t="s">
        <v>4663</v>
      </c>
      <c r="M5" s="6" t="s">
        <v>5320</v>
      </c>
      <c r="N5" s="209" t="s">
        <v>5175</v>
      </c>
      <c r="O5" s="35" t="s">
        <v>4666</v>
      </c>
      <c r="P5" s="35" t="s">
        <v>571</v>
      </c>
      <c r="Q5" s="35" t="s">
        <v>5321</v>
      </c>
      <c r="R5" s="35" t="s">
        <v>571</v>
      </c>
      <c r="S5" s="35" t="s">
        <v>571</v>
      </c>
      <c r="T5" s="35" t="s">
        <v>571</v>
      </c>
      <c r="U5" s="35" t="s">
        <v>421</v>
      </c>
      <c r="V5" s="6" t="s">
        <v>5322</v>
      </c>
      <c r="W5" s="18" t="s">
        <v>5323</v>
      </c>
      <c r="X5" s="183" t="n">
        <f aca="false">IF($O5="Active",SUMPRODUCT(($AH$5:$AH$105=$AH5)*1),0)</f>
        <v>1</v>
      </c>
      <c r="Y5" s="183" t="n">
        <f aca="false">IF(AND($O5="Active",OR($Q5="—",$Q5="")),1,0)</f>
        <v>0</v>
      </c>
      <c r="Z5" s="183" t="n">
        <f aca="false">IF(AND($O5="Active",$L5="利害關係方",OR($R5="—",$R5="")),1,0)</f>
        <v>1</v>
      </c>
      <c r="AA5" s="35" t="s">
        <v>5324</v>
      </c>
      <c r="AB5" s="35" t="s">
        <v>5325</v>
      </c>
      <c r="AC5" s="211" t="n">
        <v>8192</v>
      </c>
      <c r="AD5" s="211" t="n">
        <v>1024</v>
      </c>
      <c r="AE5" s="211" t="n">
        <v>27</v>
      </c>
      <c r="AF5" s="211" t="n">
        <v>0</v>
      </c>
      <c r="AG5" s="209" t="s">
        <v>5326</v>
      </c>
      <c r="AH5" s="34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35" t="s">
        <v>3453</v>
      </c>
      <c r="B6" s="6" t="s">
        <v>5327</v>
      </c>
      <c r="C6" s="211" t="n">
        <v>2189</v>
      </c>
      <c r="D6" s="209"/>
      <c r="E6" s="209"/>
      <c r="F6" s="35" t="s">
        <v>5316</v>
      </c>
      <c r="G6" s="35" t="s">
        <v>5317</v>
      </c>
      <c r="H6" s="35" t="s">
        <v>138</v>
      </c>
      <c r="I6" s="35" t="s">
        <v>5318</v>
      </c>
      <c r="J6" s="6" t="s">
        <v>5319</v>
      </c>
      <c r="K6" s="209" t="n">
        <v>1</v>
      </c>
      <c r="L6" s="209" t="s">
        <v>4663</v>
      </c>
      <c r="M6" s="6" t="s">
        <v>5320</v>
      </c>
      <c r="N6" s="209" t="s">
        <v>5175</v>
      </c>
      <c r="O6" s="35" t="s">
        <v>4666</v>
      </c>
      <c r="P6" s="35" t="s">
        <v>571</v>
      </c>
      <c r="Q6" s="35" t="s">
        <v>5321</v>
      </c>
      <c r="R6" s="35" t="s">
        <v>571</v>
      </c>
      <c r="S6" s="35" t="s">
        <v>571</v>
      </c>
      <c r="T6" s="35" t="s">
        <v>571</v>
      </c>
      <c r="U6" s="35" t="s">
        <v>421</v>
      </c>
      <c r="V6" s="6" t="s">
        <v>5328</v>
      </c>
      <c r="W6" s="18" t="s">
        <v>5329</v>
      </c>
      <c r="X6" s="183" t="n">
        <f aca="false">IF($O6="Active",SUMPRODUCT(($AH$5:$AH$105=$AH6)*1),0)</f>
        <v>1</v>
      </c>
      <c r="Y6" s="183" t="n">
        <f aca="false">IF(AND($O6="Active",OR($Q6="—",$Q6="")),1,0)</f>
        <v>0</v>
      </c>
      <c r="Z6" s="183" t="n">
        <f aca="false">IF(AND($O6="Active",$L6="利害關係方",OR($R6="—",$R6="")),1,0)</f>
        <v>1</v>
      </c>
      <c r="AA6" s="35" t="s">
        <v>5324</v>
      </c>
      <c r="AB6" s="35" t="s">
        <v>5325</v>
      </c>
      <c r="AC6" s="211" t="n">
        <v>8192</v>
      </c>
      <c r="AD6" s="211" t="n">
        <v>1024</v>
      </c>
      <c r="AE6" s="211" t="n">
        <v>27</v>
      </c>
      <c r="AF6" s="211" t="n">
        <v>0</v>
      </c>
      <c r="AG6" s="209" t="s">
        <v>5326</v>
      </c>
      <c r="AH6" s="34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35" t="s">
        <v>5330</v>
      </c>
      <c r="B7" s="6" t="s">
        <v>5331</v>
      </c>
      <c r="C7" s="211" t="n">
        <v>11056</v>
      </c>
      <c r="D7" s="209"/>
      <c r="E7" s="209"/>
      <c r="F7" s="35" t="s">
        <v>527</v>
      </c>
      <c r="G7" s="35" t="s">
        <v>571</v>
      </c>
      <c r="H7" s="35" t="s">
        <v>139</v>
      </c>
      <c r="I7" s="35" t="s">
        <v>5318</v>
      </c>
      <c r="J7" s="6" t="s">
        <v>5319</v>
      </c>
      <c r="K7" s="209" t="n">
        <v>1</v>
      </c>
      <c r="L7" s="209" t="s">
        <v>4663</v>
      </c>
      <c r="M7" s="6" t="s">
        <v>5320</v>
      </c>
      <c r="N7" s="209" t="s">
        <v>5175</v>
      </c>
      <c r="O7" s="35" t="s">
        <v>4666</v>
      </c>
      <c r="P7" s="35" t="s">
        <v>571</v>
      </c>
      <c r="Q7" s="35" t="s">
        <v>5321</v>
      </c>
      <c r="R7" s="35" t="s">
        <v>571</v>
      </c>
      <c r="S7" s="35" t="s">
        <v>571</v>
      </c>
      <c r="T7" s="35" t="s">
        <v>571</v>
      </c>
      <c r="U7" s="35" t="s">
        <v>421</v>
      </c>
      <c r="V7" s="6" t="s">
        <v>571</v>
      </c>
      <c r="W7" s="6" t="s">
        <v>571</v>
      </c>
      <c r="X7" s="183" t="n">
        <f aca="false">IF($O7="Active",SUMPRODUCT(($AH$5:$AH$105=$AH7)*1),0)</f>
        <v>1</v>
      </c>
      <c r="Y7" s="183" t="n">
        <f aca="false">IF(AND($O7="Active",OR($Q7="—",$Q7="")),1,0)</f>
        <v>0</v>
      </c>
      <c r="Z7" s="183" t="n">
        <f aca="false">IF(AND($O7="Active",$L7="利害關係方",OR($R7="—",$R7="")),1,0)</f>
        <v>1</v>
      </c>
      <c r="AH7" s="34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35" t="s">
        <v>3440</v>
      </c>
      <c r="B8" s="6" t="s">
        <v>5332</v>
      </c>
      <c r="C8" s="211" t="n">
        <v>11200</v>
      </c>
      <c r="D8" s="209"/>
      <c r="E8" s="209"/>
      <c r="F8" s="35" t="s">
        <v>5316</v>
      </c>
      <c r="G8" s="35" t="s">
        <v>5317</v>
      </c>
      <c r="H8" s="35" t="s">
        <v>139</v>
      </c>
      <c r="I8" s="35" t="s">
        <v>5333</v>
      </c>
      <c r="J8" s="6" t="s">
        <v>5334</v>
      </c>
      <c r="K8" s="209" t="n">
        <v>1</v>
      </c>
      <c r="L8" s="209" t="s">
        <v>4663</v>
      </c>
      <c r="M8" s="6" t="s">
        <v>5335</v>
      </c>
      <c r="N8" s="209" t="s">
        <v>5175</v>
      </c>
      <c r="O8" s="35" t="s">
        <v>4666</v>
      </c>
      <c r="P8" s="35" t="s">
        <v>571</v>
      </c>
      <c r="Q8" s="35" t="s">
        <v>5336</v>
      </c>
      <c r="R8" s="35" t="s">
        <v>571</v>
      </c>
      <c r="S8" s="35" t="s">
        <v>571</v>
      </c>
      <c r="T8" s="35" t="s">
        <v>571</v>
      </c>
      <c r="U8" s="35" t="s">
        <v>420</v>
      </c>
      <c r="V8" s="6" t="s">
        <v>5337</v>
      </c>
      <c r="W8" s="6" t="s">
        <v>571</v>
      </c>
      <c r="X8" s="183" t="n">
        <f aca="false">IF($O8="Active",SUMPRODUCT(($AH$5:$AH$105=$AH8)*1),0)</f>
        <v>1</v>
      </c>
      <c r="Y8" s="183" t="n">
        <f aca="false">IF(AND($O8="Active",OR($Q8="—",$Q8="")),1,0)</f>
        <v>0</v>
      </c>
      <c r="Z8" s="183" t="n">
        <f aca="false">IF(AND($O8="Active",$L8="利害關係方",OR($R8="—",$R8="")),1,0)</f>
        <v>1</v>
      </c>
      <c r="AA8" s="35" t="s">
        <v>5324</v>
      </c>
      <c r="AB8" s="35" t="s">
        <v>5338</v>
      </c>
      <c r="AC8" s="211" t="n">
        <v>8192</v>
      </c>
      <c r="AD8" s="211" t="n">
        <v>1024</v>
      </c>
      <c r="AE8" s="211" t="n">
        <v>50</v>
      </c>
      <c r="AF8" s="211" t="n">
        <v>1</v>
      </c>
      <c r="AG8" s="209" t="s">
        <v>5326</v>
      </c>
      <c r="AH8" s="34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35" t="s">
        <v>3271</v>
      </c>
      <c r="B9" s="6" t="s">
        <v>5339</v>
      </c>
      <c r="C9" s="211" t="n">
        <v>0.7</v>
      </c>
      <c r="D9" s="209"/>
      <c r="E9" s="209"/>
      <c r="F9" s="35" t="s">
        <v>71</v>
      </c>
      <c r="G9" s="35" t="s">
        <v>5340</v>
      </c>
      <c r="H9" s="35" t="s">
        <v>5106</v>
      </c>
      <c r="I9" s="35" t="s">
        <v>5333</v>
      </c>
      <c r="J9" s="6" t="s">
        <v>5334</v>
      </c>
      <c r="K9" s="209" t="n">
        <v>1</v>
      </c>
      <c r="L9" s="209" t="s">
        <v>4663</v>
      </c>
      <c r="M9" s="6" t="s">
        <v>5335</v>
      </c>
      <c r="N9" s="209" t="s">
        <v>5175</v>
      </c>
      <c r="O9" s="35" t="s">
        <v>4666</v>
      </c>
      <c r="P9" s="35" t="s">
        <v>571</v>
      </c>
      <c r="Q9" s="35" t="s">
        <v>5336</v>
      </c>
      <c r="R9" s="35" t="s">
        <v>571</v>
      </c>
      <c r="S9" s="35" t="s">
        <v>571</v>
      </c>
      <c r="T9" s="35" t="s">
        <v>571</v>
      </c>
      <c r="U9" s="35" t="s">
        <v>420</v>
      </c>
      <c r="V9" s="6" t="s">
        <v>5341</v>
      </c>
      <c r="W9" s="18" t="s">
        <v>5342</v>
      </c>
      <c r="X9" s="183" t="n">
        <f aca="false">IF($O9="Active",SUMPRODUCT(($AH$5:$AH$105=$AH9)*1),0)</f>
        <v>1</v>
      </c>
      <c r="Y9" s="183" t="n">
        <f aca="false">IF(AND($O9="Active",OR($Q9="—",$Q9="")),1,0)</f>
        <v>0</v>
      </c>
      <c r="Z9" s="183" t="n">
        <f aca="false">IF(AND($O9="Active",$L9="利害關係方",OR($R9="—",$R9="")),1,0)</f>
        <v>1</v>
      </c>
      <c r="AH9" s="34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35" t="s">
        <v>5343</v>
      </c>
      <c r="B10" s="6" t="s">
        <v>5344</v>
      </c>
      <c r="C10" s="211" t="n">
        <v>0.57</v>
      </c>
      <c r="D10" s="209"/>
      <c r="E10" s="209"/>
      <c r="F10" s="35" t="s">
        <v>71</v>
      </c>
      <c r="G10" s="35" t="s">
        <v>5345</v>
      </c>
      <c r="H10" s="35" t="s">
        <v>5106</v>
      </c>
      <c r="I10" s="35" t="s">
        <v>5333</v>
      </c>
      <c r="J10" s="6" t="s">
        <v>5334</v>
      </c>
      <c r="K10" s="209" t="n">
        <v>1</v>
      </c>
      <c r="L10" s="209" t="s">
        <v>4663</v>
      </c>
      <c r="M10" s="6" t="s">
        <v>5335</v>
      </c>
      <c r="N10" s="209" t="s">
        <v>5175</v>
      </c>
      <c r="O10" s="35" t="s">
        <v>4750</v>
      </c>
      <c r="P10" s="35" t="s">
        <v>571</v>
      </c>
      <c r="Q10" s="35" t="s">
        <v>5336</v>
      </c>
      <c r="R10" s="35" t="s">
        <v>571</v>
      </c>
      <c r="S10" s="35" t="s">
        <v>571</v>
      </c>
      <c r="T10" s="35" t="s">
        <v>571</v>
      </c>
      <c r="U10" s="35" t="s">
        <v>420</v>
      </c>
      <c r="V10" s="6" t="s">
        <v>571</v>
      </c>
      <c r="W10" s="18" t="s">
        <v>5346</v>
      </c>
      <c r="X10" s="183" t="n">
        <f aca="false">IF($O10="Active",SUMPRODUCT(($AH$5:$AH$105=$AH10)*1),0)</f>
        <v>0</v>
      </c>
      <c r="Y10" s="183" t="n">
        <f aca="false">IF(AND($O10="Active",OR($Q10="—",$Q10="")),1,0)</f>
        <v>0</v>
      </c>
      <c r="Z10" s="183" t="n">
        <f aca="false">IF(AND($O10="Active",$L10="利害關係方",OR($R10="—",$R10="")),1,0)</f>
        <v>0</v>
      </c>
      <c r="AH10" s="34" t="str">
        <f aca="false">IF($O10="Active",$B10&amp;"¦"&amp;$G10&amp;"¦"&amp;$H10,"")</f>
        <v/>
      </c>
    </row>
    <row r="11" customFormat="false" ht="23.25" hidden="false" customHeight="true" outlineLevel="0" collapsed="false">
      <c r="A11" s="35" t="s">
        <v>3080</v>
      </c>
      <c r="B11" s="6" t="s">
        <v>5347</v>
      </c>
      <c r="C11" s="211" t="n">
        <v>4</v>
      </c>
      <c r="D11" s="209"/>
      <c r="E11" s="209"/>
      <c r="F11" s="35" t="s">
        <v>682</v>
      </c>
      <c r="G11" s="35" t="s">
        <v>5348</v>
      </c>
      <c r="H11" s="35" t="s">
        <v>139</v>
      </c>
      <c r="I11" s="35" t="s">
        <v>5333</v>
      </c>
      <c r="J11" s="6" t="s">
        <v>5334</v>
      </c>
      <c r="K11" s="209" t="n">
        <v>1</v>
      </c>
      <c r="L11" s="209" t="s">
        <v>4663</v>
      </c>
      <c r="M11" s="6" t="s">
        <v>5335</v>
      </c>
      <c r="N11" s="209" t="s">
        <v>5175</v>
      </c>
      <c r="O11" s="35" t="s">
        <v>4666</v>
      </c>
      <c r="P11" s="35" t="s">
        <v>571</v>
      </c>
      <c r="Q11" s="35" t="s">
        <v>5336</v>
      </c>
      <c r="R11" s="35" t="s">
        <v>571</v>
      </c>
      <c r="S11" s="35" t="s">
        <v>571</v>
      </c>
      <c r="T11" s="35" t="s">
        <v>571</v>
      </c>
      <c r="U11" s="35" t="s">
        <v>420</v>
      </c>
      <c r="V11" s="6" t="s">
        <v>5349</v>
      </c>
      <c r="W11" s="6" t="s">
        <v>5350</v>
      </c>
      <c r="X11" s="183" t="n">
        <f aca="false">IF($O11="Active",SUMPRODUCT(($AH$5:$AH$105=$AH11)*1),0)</f>
        <v>1</v>
      </c>
      <c r="Y11" s="183" t="n">
        <f aca="false">IF(AND($O11="Active",OR($Q11="—",$Q11="")),1,0)</f>
        <v>0</v>
      </c>
      <c r="Z11" s="183" t="n">
        <f aca="false">IF(AND($O11="Active",$L11="利害關係方",OR($R11="—",$R11="")),1,0)</f>
        <v>1</v>
      </c>
      <c r="AH11" s="34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35" t="s">
        <v>3043</v>
      </c>
      <c r="B12" s="6" t="s">
        <v>5351</v>
      </c>
      <c r="C12" s="211" t="n">
        <v>32</v>
      </c>
      <c r="D12" s="209"/>
      <c r="E12" s="209"/>
      <c r="F12" s="35" t="s">
        <v>682</v>
      </c>
      <c r="G12" s="35" t="s">
        <v>5352</v>
      </c>
      <c r="H12" s="35" t="s">
        <v>139</v>
      </c>
      <c r="I12" s="35" t="s">
        <v>5333</v>
      </c>
      <c r="J12" s="6" t="s">
        <v>5334</v>
      </c>
      <c r="K12" s="209" t="n">
        <v>1</v>
      </c>
      <c r="L12" s="209" t="s">
        <v>4663</v>
      </c>
      <c r="M12" s="6" t="s">
        <v>5335</v>
      </c>
      <c r="N12" s="209" t="s">
        <v>5175</v>
      </c>
      <c r="O12" s="35" t="s">
        <v>4666</v>
      </c>
      <c r="P12" s="35" t="s">
        <v>571</v>
      </c>
      <c r="Q12" s="35" t="s">
        <v>5336</v>
      </c>
      <c r="R12" s="35" t="s">
        <v>571</v>
      </c>
      <c r="S12" s="35" t="s">
        <v>571</v>
      </c>
      <c r="T12" s="35" t="s">
        <v>571</v>
      </c>
      <c r="U12" s="35" t="s">
        <v>420</v>
      </c>
      <c r="V12" s="6" t="s">
        <v>5353</v>
      </c>
      <c r="W12" s="6" t="s">
        <v>5350</v>
      </c>
      <c r="X12" s="183" t="n">
        <f aca="false">IF($O12="Active",SUMPRODUCT(($AH$5:$AH$105=$AH12)*1),0)</f>
        <v>1</v>
      </c>
      <c r="Y12" s="183" t="n">
        <f aca="false">IF(AND($O12="Active",OR($Q12="—",$Q12="")),1,0)</f>
        <v>0</v>
      </c>
      <c r="Z12" s="183" t="n">
        <f aca="false">IF(AND($O12="Active",$L12="利害關係方",OR($R12="—",$R12="")),1,0)</f>
        <v>1</v>
      </c>
      <c r="AH12" s="34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35" t="s">
        <v>3423</v>
      </c>
      <c r="B13" s="6" t="s">
        <v>5354</v>
      </c>
      <c r="C13" s="211" t="n">
        <v>9342.1</v>
      </c>
      <c r="D13" s="209"/>
      <c r="E13" s="209"/>
      <c r="F13" s="35" t="s">
        <v>5316</v>
      </c>
      <c r="G13" s="35" t="s">
        <v>5355</v>
      </c>
      <c r="H13" s="35" t="s">
        <v>139</v>
      </c>
      <c r="I13" s="209" t="s">
        <v>5356</v>
      </c>
      <c r="J13" s="6" t="s">
        <v>5357</v>
      </c>
      <c r="K13" s="209" t="n">
        <v>2</v>
      </c>
      <c r="L13" s="209" t="s">
        <v>4663</v>
      </c>
      <c r="M13" s="6" t="s">
        <v>5358</v>
      </c>
      <c r="N13" s="209" t="s">
        <v>4665</v>
      </c>
      <c r="O13" s="35" t="s">
        <v>4666</v>
      </c>
      <c r="P13" s="35" t="s">
        <v>571</v>
      </c>
      <c r="Q13" s="35" t="s">
        <v>5359</v>
      </c>
      <c r="R13" s="35" t="s">
        <v>571</v>
      </c>
      <c r="S13" s="35" t="s">
        <v>4599</v>
      </c>
      <c r="T13" s="35" t="s">
        <v>571</v>
      </c>
      <c r="U13" s="35" t="s">
        <v>419</v>
      </c>
      <c r="V13" s="6" t="s">
        <v>5360</v>
      </c>
      <c r="W13" s="18" t="s">
        <v>5361</v>
      </c>
      <c r="X13" s="183" t="n">
        <f aca="false">IF($O13="Active",SUMPRODUCT(($AH$5:$AH$105=$AH13)*1),0)</f>
        <v>1</v>
      </c>
      <c r="Y13" s="183" t="n">
        <f aca="false">IF(AND($O13="Active",OR($Q13="—",$Q13="")),1,0)</f>
        <v>0</v>
      </c>
      <c r="Z13" s="183" t="n">
        <f aca="false">IF(AND($O13="Active",$L13="利害關係方",OR($R13="—",$R13="")),1,0)</f>
        <v>1</v>
      </c>
      <c r="AA13" s="35" t="s">
        <v>5324</v>
      </c>
      <c r="AB13" s="35" t="s">
        <v>5362</v>
      </c>
      <c r="AC13" s="211" t="n">
        <v>8192</v>
      </c>
      <c r="AD13" s="211" t="n">
        <v>1024</v>
      </c>
      <c r="AE13" s="211" t="n">
        <v>72</v>
      </c>
      <c r="AF13" s="211" t="n">
        <v>1</v>
      </c>
      <c r="AG13" s="209" t="s">
        <v>5326</v>
      </c>
      <c r="AH13" s="34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35" t="s">
        <v>3432</v>
      </c>
      <c r="B14" s="6" t="s">
        <v>5363</v>
      </c>
      <c r="C14" s="211" t="n">
        <v>3405.2</v>
      </c>
      <c r="D14" s="209"/>
      <c r="E14" s="209"/>
      <c r="F14" s="35" t="s">
        <v>5316</v>
      </c>
      <c r="G14" s="35" t="s">
        <v>5355</v>
      </c>
      <c r="H14" s="35" t="s">
        <v>139</v>
      </c>
      <c r="I14" s="209" t="s">
        <v>5356</v>
      </c>
      <c r="J14" s="6" t="s">
        <v>5357</v>
      </c>
      <c r="K14" s="209" t="n">
        <v>2</v>
      </c>
      <c r="L14" s="209" t="s">
        <v>4663</v>
      </c>
      <c r="M14" s="6" t="s">
        <v>5358</v>
      </c>
      <c r="N14" s="209" t="s">
        <v>4665</v>
      </c>
      <c r="O14" s="35" t="s">
        <v>4666</v>
      </c>
      <c r="P14" s="35" t="s">
        <v>571</v>
      </c>
      <c r="Q14" s="35" t="s">
        <v>5364</v>
      </c>
      <c r="R14" s="35" t="s">
        <v>571</v>
      </c>
      <c r="S14" s="35" t="s">
        <v>4599</v>
      </c>
      <c r="T14" s="35" t="s">
        <v>571</v>
      </c>
      <c r="U14" s="35" t="s">
        <v>419</v>
      </c>
      <c r="V14" s="6" t="s">
        <v>5365</v>
      </c>
      <c r="W14" s="18" t="s">
        <v>5366</v>
      </c>
      <c r="X14" s="183" t="n">
        <f aca="false">IF($O14="Active",SUMPRODUCT(($AH$5:$AH$105=$AH14)*1),0)</f>
        <v>1</v>
      </c>
      <c r="Y14" s="183" t="n">
        <f aca="false">IF(AND($O14="Active",OR($Q14="—",$Q14="")),1,0)</f>
        <v>0</v>
      </c>
      <c r="Z14" s="183" t="n">
        <f aca="false">IF(AND($O14="Active",$L14="利害關係方",OR($R14="—",$R14="")),1,0)</f>
        <v>1</v>
      </c>
      <c r="AA14" s="35" t="s">
        <v>5324</v>
      </c>
      <c r="AB14" s="35" t="s">
        <v>5362</v>
      </c>
      <c r="AC14" s="211" t="n">
        <v>8192</v>
      </c>
      <c r="AD14" s="211" t="n">
        <v>1024</v>
      </c>
      <c r="AE14" s="211" t="n">
        <v>130</v>
      </c>
      <c r="AF14" s="211" t="n">
        <v>1</v>
      </c>
      <c r="AG14" s="209" t="s">
        <v>5326</v>
      </c>
      <c r="AH14" s="34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35" t="s">
        <v>2122</v>
      </c>
      <c r="B15" s="6" t="s">
        <v>5367</v>
      </c>
      <c r="C15" s="211" t="n">
        <v>0.078</v>
      </c>
      <c r="D15" s="209"/>
      <c r="E15" s="209"/>
      <c r="F15" s="35" t="s">
        <v>5368</v>
      </c>
      <c r="G15" s="35" t="s">
        <v>5369</v>
      </c>
      <c r="H15" s="35" t="s">
        <v>139</v>
      </c>
      <c r="I15" s="209" t="s">
        <v>5356</v>
      </c>
      <c r="J15" s="6" t="s">
        <v>5357</v>
      </c>
      <c r="K15" s="209" t="n">
        <v>3</v>
      </c>
      <c r="L15" s="209" t="s">
        <v>4663</v>
      </c>
      <c r="M15" s="6" t="s">
        <v>5358</v>
      </c>
      <c r="N15" s="209" t="s">
        <v>5370</v>
      </c>
      <c r="O15" s="35" t="s">
        <v>4666</v>
      </c>
      <c r="P15" s="35" t="s">
        <v>571</v>
      </c>
      <c r="Q15" s="35" t="s">
        <v>5371</v>
      </c>
      <c r="R15" s="35" t="s">
        <v>571</v>
      </c>
      <c r="S15" s="35" t="s">
        <v>571</v>
      </c>
      <c r="T15" s="35" t="s">
        <v>571</v>
      </c>
      <c r="U15" s="35" t="s">
        <v>419</v>
      </c>
      <c r="V15" s="6" t="s">
        <v>5372</v>
      </c>
      <c r="W15" s="6" t="s">
        <v>571</v>
      </c>
      <c r="X15" s="183" t="n">
        <f aca="false">IF($O15="Active",SUMPRODUCT(($AH$5:$AH$105=$AH15)*1),0)</f>
        <v>1</v>
      </c>
      <c r="Y15" s="183" t="n">
        <f aca="false">IF(AND($O15="Active",OR($Q15="—",$Q15="")),1,0)</f>
        <v>0</v>
      </c>
      <c r="Z15" s="183" t="n">
        <f aca="false">IF(AND($O15="Active",$L15="利害關係方",OR($R15="—",$R15="")),1,0)</f>
        <v>1</v>
      </c>
      <c r="AH15" s="34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35" t="s">
        <v>5373</v>
      </c>
      <c r="B16" s="6" t="s">
        <v>5374</v>
      </c>
      <c r="C16" s="211" t="n">
        <v>0.216</v>
      </c>
      <c r="D16" s="209"/>
      <c r="E16" s="209"/>
      <c r="F16" s="35" t="s">
        <v>5368</v>
      </c>
      <c r="G16" s="35" t="s">
        <v>5369</v>
      </c>
      <c r="H16" s="35" t="s">
        <v>139</v>
      </c>
      <c r="I16" s="209" t="s">
        <v>5356</v>
      </c>
      <c r="J16" s="6" t="s">
        <v>5357</v>
      </c>
      <c r="K16" s="209" t="n">
        <v>3</v>
      </c>
      <c r="L16" s="209" t="s">
        <v>4663</v>
      </c>
      <c r="M16" s="6" t="s">
        <v>5358</v>
      </c>
      <c r="N16" s="209" t="s">
        <v>5370</v>
      </c>
      <c r="O16" s="35" t="s">
        <v>4666</v>
      </c>
      <c r="P16" s="35" t="s">
        <v>571</v>
      </c>
      <c r="Q16" s="35" t="s">
        <v>5371</v>
      </c>
      <c r="R16" s="35" t="s">
        <v>571</v>
      </c>
      <c r="S16" s="35" t="s">
        <v>571</v>
      </c>
      <c r="T16" s="35" t="s">
        <v>571</v>
      </c>
      <c r="U16" s="35" t="s">
        <v>419</v>
      </c>
      <c r="V16" s="6" t="s">
        <v>571</v>
      </c>
      <c r="W16" s="6" t="s">
        <v>571</v>
      </c>
      <c r="X16" s="183" t="n">
        <f aca="false">IF($O16="Active",SUMPRODUCT(($AH$5:$AH$105=$AH16)*1),0)</f>
        <v>1</v>
      </c>
      <c r="Y16" s="183" t="n">
        <f aca="false">IF(AND($O16="Active",OR($Q16="—",$Q16="")),1,0)</f>
        <v>0</v>
      </c>
      <c r="Z16" s="183" t="n">
        <f aca="false">IF(AND($O16="Active",$L16="利害關係方",OR($R16="—",$R16="")),1,0)</f>
        <v>1</v>
      </c>
      <c r="AH16" s="34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35" t="s">
        <v>5375</v>
      </c>
      <c r="B17" s="6" t="s">
        <v>5376</v>
      </c>
      <c r="C17" s="211" t="n">
        <v>1.436</v>
      </c>
      <c r="D17" s="209"/>
      <c r="E17" s="209"/>
      <c r="F17" s="35" t="s">
        <v>5368</v>
      </c>
      <c r="G17" s="35" t="s">
        <v>5369</v>
      </c>
      <c r="H17" s="35" t="s">
        <v>139</v>
      </c>
      <c r="I17" s="209" t="s">
        <v>5356</v>
      </c>
      <c r="J17" s="6" t="s">
        <v>5357</v>
      </c>
      <c r="K17" s="209" t="n">
        <v>3</v>
      </c>
      <c r="L17" s="209" t="s">
        <v>4663</v>
      </c>
      <c r="M17" s="6" t="s">
        <v>5358</v>
      </c>
      <c r="N17" s="209" t="s">
        <v>5370</v>
      </c>
      <c r="O17" s="35" t="s">
        <v>4666</v>
      </c>
      <c r="P17" s="35" t="s">
        <v>571</v>
      </c>
      <c r="Q17" s="35" t="s">
        <v>5371</v>
      </c>
      <c r="R17" s="35" t="s">
        <v>571</v>
      </c>
      <c r="S17" s="35" t="s">
        <v>571</v>
      </c>
      <c r="T17" s="35" t="s">
        <v>571</v>
      </c>
      <c r="U17" s="35" t="s">
        <v>419</v>
      </c>
      <c r="V17" s="6" t="s">
        <v>571</v>
      </c>
      <c r="W17" s="6" t="s">
        <v>571</v>
      </c>
      <c r="X17" s="183" t="n">
        <f aca="false">IF($O17="Active",SUMPRODUCT(($AH$5:$AH$105=$AH17)*1),0)</f>
        <v>1</v>
      </c>
      <c r="Y17" s="183" t="n">
        <f aca="false">IF(AND($O17="Active",OR($Q17="—",$Q17="")),1,0)</f>
        <v>0</v>
      </c>
      <c r="Z17" s="183" t="n">
        <f aca="false">IF(AND($O17="Active",$L17="利害關係方",OR($R17="—",$R17="")),1,0)</f>
        <v>1</v>
      </c>
      <c r="AH17" s="34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35" t="s">
        <v>3463</v>
      </c>
      <c r="B18" s="6" t="s">
        <v>5377</v>
      </c>
      <c r="C18" s="211" t="n">
        <v>3795.5</v>
      </c>
      <c r="D18" s="209"/>
      <c r="E18" s="209"/>
      <c r="F18" s="35" t="s">
        <v>527</v>
      </c>
      <c r="G18" s="209" t="s">
        <v>5378</v>
      </c>
      <c r="H18" s="35" t="s">
        <v>138</v>
      </c>
      <c r="I18" s="35" t="s">
        <v>5379</v>
      </c>
      <c r="J18" s="6" t="s">
        <v>5380</v>
      </c>
      <c r="K18" s="209" t="n">
        <v>1</v>
      </c>
      <c r="L18" s="209" t="s">
        <v>4663</v>
      </c>
      <c r="M18" s="6" t="s">
        <v>5381</v>
      </c>
      <c r="N18" s="209" t="s">
        <v>5175</v>
      </c>
      <c r="O18" s="35" t="s">
        <v>4666</v>
      </c>
      <c r="P18" s="35" t="s">
        <v>571</v>
      </c>
      <c r="Q18" s="35" t="s">
        <v>5382</v>
      </c>
      <c r="R18" s="35" t="s">
        <v>571</v>
      </c>
      <c r="S18" s="35" t="s">
        <v>571</v>
      </c>
      <c r="T18" s="35" t="s">
        <v>571</v>
      </c>
      <c r="U18" s="35" t="s">
        <v>422</v>
      </c>
      <c r="V18" s="6" t="s">
        <v>5383</v>
      </c>
      <c r="W18" s="18" t="s">
        <v>2421</v>
      </c>
      <c r="X18" s="183" t="n">
        <f aca="false">IF($O18="Active",SUMPRODUCT(($AH$5:$AH$105=$AH18)*1),0)</f>
        <v>1</v>
      </c>
      <c r="Y18" s="183" t="n">
        <f aca="false">IF(AND($O18="Active",OR($Q18="—",$Q18="")),1,0)</f>
        <v>0</v>
      </c>
      <c r="Z18" s="183" t="n">
        <f aca="false">IF(AND($O18="Active",$L18="利害關係方",OR($R18="—",$R18="")),1,0)</f>
        <v>1</v>
      </c>
      <c r="AA18" s="35" t="s">
        <v>5324</v>
      </c>
      <c r="AB18" s="35" t="s">
        <v>5384</v>
      </c>
      <c r="AC18" s="211" t="n">
        <v>8192</v>
      </c>
      <c r="AD18" s="211" t="n">
        <v>1024</v>
      </c>
      <c r="AE18" s="211" t="n">
        <v>110</v>
      </c>
      <c r="AF18" s="211" t="n">
        <v>1</v>
      </c>
      <c r="AG18" s="209" t="s">
        <v>5326</v>
      </c>
      <c r="AH18" s="34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35" t="s">
        <v>3474</v>
      </c>
      <c r="B19" s="6" t="s">
        <v>5385</v>
      </c>
      <c r="C19" s="211" t="n">
        <v>6522.4</v>
      </c>
      <c r="D19" s="209"/>
      <c r="E19" s="209"/>
      <c r="F19" s="35" t="s">
        <v>527</v>
      </c>
      <c r="G19" s="209" t="s">
        <v>97</v>
      </c>
      <c r="H19" s="35" t="s">
        <v>139</v>
      </c>
      <c r="I19" s="35" t="s">
        <v>5379</v>
      </c>
      <c r="J19" s="6" t="s">
        <v>5380</v>
      </c>
      <c r="K19" s="209" t="n">
        <v>1</v>
      </c>
      <c r="L19" s="209" t="s">
        <v>4663</v>
      </c>
      <c r="M19" s="6" t="s">
        <v>5381</v>
      </c>
      <c r="N19" s="209" t="s">
        <v>5175</v>
      </c>
      <c r="O19" s="35" t="s">
        <v>4666</v>
      </c>
      <c r="P19" s="35" t="s">
        <v>571</v>
      </c>
      <c r="Q19" s="35" t="s">
        <v>5382</v>
      </c>
      <c r="R19" s="35" t="s">
        <v>571</v>
      </c>
      <c r="S19" s="35" t="s">
        <v>571</v>
      </c>
      <c r="T19" s="35" t="s">
        <v>571</v>
      </c>
      <c r="U19" s="35" t="s">
        <v>422</v>
      </c>
      <c r="V19" s="6" t="s">
        <v>5386</v>
      </c>
      <c r="W19" s="18" t="s">
        <v>2421</v>
      </c>
      <c r="X19" s="183" t="n">
        <f aca="false">IF($O19="Active",SUMPRODUCT(($AH$5:$AH$105=$AH19)*1),0)</f>
        <v>1</v>
      </c>
      <c r="Y19" s="183" t="n">
        <f aca="false">IF(AND($O19="Active",OR($Q19="—",$Q19="")),1,0)</f>
        <v>0</v>
      </c>
      <c r="Z19" s="183" t="n">
        <f aca="false">IF(AND($O19="Active",$L19="利害關係方",OR($R19="—",$R19="")),1,0)</f>
        <v>1</v>
      </c>
      <c r="AA19" s="35" t="s">
        <v>5324</v>
      </c>
      <c r="AB19" s="35" t="s">
        <v>5384</v>
      </c>
      <c r="AC19" s="211" t="n">
        <v>8192</v>
      </c>
      <c r="AD19" s="211" t="n">
        <v>1024</v>
      </c>
      <c r="AE19" s="211" t="n">
        <v>110</v>
      </c>
      <c r="AF19" s="211" t="n">
        <v>1</v>
      </c>
      <c r="AG19" s="209" t="s">
        <v>5326</v>
      </c>
      <c r="AH19" s="34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35" t="s">
        <v>5387</v>
      </c>
      <c r="B20" s="6" t="s">
        <v>5388</v>
      </c>
      <c r="C20" s="211" t="n">
        <v>4036</v>
      </c>
      <c r="D20" s="209"/>
      <c r="E20" s="209"/>
      <c r="F20" s="35" t="s">
        <v>527</v>
      </c>
      <c r="G20" s="209" t="s">
        <v>2421</v>
      </c>
      <c r="H20" s="35" t="s">
        <v>5389</v>
      </c>
      <c r="I20" s="35" t="s">
        <v>1176</v>
      </c>
      <c r="J20" s="6" t="s">
        <v>5390</v>
      </c>
      <c r="K20" s="209" t="n">
        <v>1</v>
      </c>
      <c r="L20" s="209" t="s">
        <v>4663</v>
      </c>
      <c r="M20" s="6" t="s">
        <v>5391</v>
      </c>
      <c r="N20" s="209" t="s">
        <v>5175</v>
      </c>
      <c r="O20" s="35" t="s">
        <v>4666</v>
      </c>
      <c r="P20" s="35" t="s">
        <v>571</v>
      </c>
      <c r="Q20" s="35" t="s">
        <v>5392</v>
      </c>
      <c r="R20" s="35" t="s">
        <v>571</v>
      </c>
      <c r="S20" s="35" t="s">
        <v>571</v>
      </c>
      <c r="T20" s="35" t="s">
        <v>571</v>
      </c>
      <c r="U20" s="35" t="s">
        <v>5393</v>
      </c>
      <c r="V20" s="6" t="s">
        <v>571</v>
      </c>
      <c r="W20" s="18" t="s">
        <v>5394</v>
      </c>
      <c r="X20" s="183" t="n">
        <f aca="false">IF($O20="Active",SUMPRODUCT(($AH$5:$AH$105=$AH20)*1),0)</f>
        <v>1</v>
      </c>
      <c r="Y20" s="183" t="n">
        <f aca="false">IF(AND($O20="Active",OR($Q20="—",$Q20="")),1,0)</f>
        <v>0</v>
      </c>
      <c r="Z20" s="183" t="n">
        <f aca="false">IF(AND($O20="Active",$L20="利害關係方",OR($R20="—",$R20="")),1,0)</f>
        <v>1</v>
      </c>
      <c r="AH20" s="34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35" t="s">
        <v>5395</v>
      </c>
      <c r="B21" s="6" t="s">
        <v>5396</v>
      </c>
      <c r="C21" s="211" t="n">
        <v>3102</v>
      </c>
      <c r="D21" s="209"/>
      <c r="E21" s="209"/>
      <c r="F21" s="35" t="s">
        <v>527</v>
      </c>
      <c r="G21" s="209" t="s">
        <v>2421</v>
      </c>
      <c r="H21" s="35" t="s">
        <v>5389</v>
      </c>
      <c r="I21" s="35" t="s">
        <v>1176</v>
      </c>
      <c r="J21" s="6" t="s">
        <v>5390</v>
      </c>
      <c r="K21" s="209" t="n">
        <v>1</v>
      </c>
      <c r="L21" s="209" t="s">
        <v>4663</v>
      </c>
      <c r="M21" s="6" t="s">
        <v>5391</v>
      </c>
      <c r="N21" s="209" t="s">
        <v>5175</v>
      </c>
      <c r="O21" s="35" t="s">
        <v>4666</v>
      </c>
      <c r="P21" s="35" t="s">
        <v>571</v>
      </c>
      <c r="Q21" s="35" t="s">
        <v>5392</v>
      </c>
      <c r="R21" s="35" t="s">
        <v>571</v>
      </c>
      <c r="S21" s="35" t="s">
        <v>571</v>
      </c>
      <c r="T21" s="35" t="s">
        <v>571</v>
      </c>
      <c r="U21" s="35" t="s">
        <v>5393</v>
      </c>
      <c r="V21" s="6" t="s">
        <v>571</v>
      </c>
      <c r="W21" s="18" t="s">
        <v>5394</v>
      </c>
      <c r="X21" s="183" t="n">
        <f aca="false">IF($O21="Active",SUMPRODUCT(($AH$5:$AH$105=$AH21)*1),0)</f>
        <v>1</v>
      </c>
      <c r="Y21" s="183" t="n">
        <f aca="false">IF(AND($O21="Active",OR($Q21="—",$Q21="")),1,0)</f>
        <v>0</v>
      </c>
      <c r="Z21" s="183" t="n">
        <f aca="false">IF(AND($O21="Active",$L21="利害關係方",OR($R21="—",$R21="")),1,0)</f>
        <v>1</v>
      </c>
      <c r="AH21" s="34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35" t="s">
        <v>3299</v>
      </c>
      <c r="B22" s="18" t="s">
        <v>5397</v>
      </c>
      <c r="C22" s="211" t="n">
        <v>120</v>
      </c>
      <c r="D22" s="209"/>
      <c r="E22" s="209"/>
      <c r="F22" s="35" t="s">
        <v>5398</v>
      </c>
      <c r="G22" s="209" t="s">
        <v>5399</v>
      </c>
      <c r="H22" s="35" t="s">
        <v>5400</v>
      </c>
      <c r="I22" s="35" t="s">
        <v>1173</v>
      </c>
      <c r="J22" s="6" t="s">
        <v>5401</v>
      </c>
      <c r="K22" s="209" t="n">
        <v>1</v>
      </c>
      <c r="L22" s="209" t="s">
        <v>4767</v>
      </c>
      <c r="M22" s="6" t="s">
        <v>5402</v>
      </c>
      <c r="N22" s="209" t="s">
        <v>5175</v>
      </c>
      <c r="O22" s="35" t="s">
        <v>4666</v>
      </c>
      <c r="P22" s="35" t="s">
        <v>571</v>
      </c>
      <c r="Q22" s="35" t="s">
        <v>5403</v>
      </c>
      <c r="R22" s="35" t="s">
        <v>571</v>
      </c>
      <c r="S22" s="35" t="s">
        <v>571</v>
      </c>
      <c r="T22" s="35" t="s">
        <v>571</v>
      </c>
      <c r="U22" s="35" t="s">
        <v>5404</v>
      </c>
      <c r="V22" s="6" t="s">
        <v>5405</v>
      </c>
      <c r="W22" s="6" t="s">
        <v>3300</v>
      </c>
      <c r="X22" s="183" t="n">
        <f aca="false">IF($O22="Active",SUMPRODUCT(($AH$5:$AH$105=$AH22)*1),0)</f>
        <v>1</v>
      </c>
      <c r="Y22" s="183" t="n">
        <f aca="false">IF(AND($O22="Active",OR($Q22="—",$Q22="")),1,0)</f>
        <v>0</v>
      </c>
      <c r="Z22" s="183" t="n">
        <f aca="false">IF(AND($O22="Active",$L22="利害關係方",OR($R22="—",$R22="")),1,0)</f>
        <v>0</v>
      </c>
      <c r="AH22" s="34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35" t="s">
        <v>3302</v>
      </c>
      <c r="B23" s="18" t="s">
        <v>5406</v>
      </c>
      <c r="C23" s="211" t="n">
        <v>68</v>
      </c>
      <c r="D23" s="209"/>
      <c r="E23" s="209"/>
      <c r="F23" s="35" t="s">
        <v>5398</v>
      </c>
      <c r="G23" s="209" t="s">
        <v>5399</v>
      </c>
      <c r="H23" s="35" t="s">
        <v>5407</v>
      </c>
      <c r="I23" s="35" t="s">
        <v>1173</v>
      </c>
      <c r="J23" s="6" t="s">
        <v>5401</v>
      </c>
      <c r="K23" s="209" t="n">
        <v>1</v>
      </c>
      <c r="L23" s="209" t="s">
        <v>4767</v>
      </c>
      <c r="M23" s="6" t="s">
        <v>5402</v>
      </c>
      <c r="N23" s="209" t="s">
        <v>5175</v>
      </c>
      <c r="O23" s="35" t="s">
        <v>4666</v>
      </c>
      <c r="P23" s="35" t="s">
        <v>571</v>
      </c>
      <c r="Q23" s="35" t="s">
        <v>5403</v>
      </c>
      <c r="R23" s="35" t="s">
        <v>571</v>
      </c>
      <c r="S23" s="35" t="s">
        <v>571</v>
      </c>
      <c r="T23" s="35" t="s">
        <v>571</v>
      </c>
      <c r="U23" s="35" t="s">
        <v>5404</v>
      </c>
      <c r="V23" s="6" t="s">
        <v>5408</v>
      </c>
      <c r="W23" s="6" t="s">
        <v>5409</v>
      </c>
      <c r="X23" s="183" t="n">
        <f aca="false">IF($O23="Active",SUMPRODUCT(($AH$5:$AH$105=$AH23)*1),0)</f>
        <v>1</v>
      </c>
      <c r="Y23" s="183" t="n">
        <f aca="false">IF(AND($O23="Active",OR($Q23="—",$Q23="")),1,0)</f>
        <v>0</v>
      </c>
      <c r="Z23" s="183" t="n">
        <f aca="false">IF(AND($O23="Active",$L23="利害關係方",OR($R23="—",$R23="")),1,0)</f>
        <v>0</v>
      </c>
      <c r="AH23" s="34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35" t="s">
        <v>3306</v>
      </c>
      <c r="B24" s="18" t="s">
        <v>5410</v>
      </c>
      <c r="C24" s="209"/>
      <c r="D24" s="211" t="n">
        <v>52</v>
      </c>
      <c r="E24" s="211" t="n">
        <v>56</v>
      </c>
      <c r="F24" s="35" t="s">
        <v>5398</v>
      </c>
      <c r="G24" s="209" t="s">
        <v>5399</v>
      </c>
      <c r="H24" s="35" t="s">
        <v>1168</v>
      </c>
      <c r="I24" s="35" t="s">
        <v>1173</v>
      </c>
      <c r="J24" s="6" t="s">
        <v>5401</v>
      </c>
      <c r="K24" s="209" t="n">
        <v>1</v>
      </c>
      <c r="L24" s="209" t="s">
        <v>4767</v>
      </c>
      <c r="M24" s="6" t="s">
        <v>5402</v>
      </c>
      <c r="N24" s="209" t="s">
        <v>5175</v>
      </c>
      <c r="O24" s="35" t="s">
        <v>4666</v>
      </c>
      <c r="P24" s="35" t="s">
        <v>571</v>
      </c>
      <c r="Q24" s="35" t="s">
        <v>5403</v>
      </c>
      <c r="R24" s="35" t="s">
        <v>571</v>
      </c>
      <c r="S24" s="35" t="s">
        <v>571</v>
      </c>
      <c r="T24" s="35" t="s">
        <v>571</v>
      </c>
      <c r="U24" s="35" t="s">
        <v>5404</v>
      </c>
      <c r="V24" s="6" t="s">
        <v>5411</v>
      </c>
      <c r="W24" s="6" t="s">
        <v>5412</v>
      </c>
      <c r="X24" s="183" t="n">
        <f aca="false">IF($O24="Active",SUMPRODUCT(($AH$5:$AH$105=$AH24)*1),0)</f>
        <v>1</v>
      </c>
      <c r="Y24" s="183" t="n">
        <f aca="false">IF(AND($O24="Active",OR($Q24="—",$Q24="")),1,0)</f>
        <v>0</v>
      </c>
      <c r="Z24" s="183" t="n">
        <f aca="false">IF(AND($O24="Active",$L24="利害關係方",OR($R24="—",$R24="")),1,0)</f>
        <v>0</v>
      </c>
      <c r="AH24" s="34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35" t="s">
        <v>5413</v>
      </c>
      <c r="B25" s="18" t="s">
        <v>5414</v>
      </c>
      <c r="C25" s="211" t="n">
        <v>54</v>
      </c>
      <c r="D25" s="209"/>
      <c r="E25" s="209"/>
      <c r="F25" s="35" t="s">
        <v>5398</v>
      </c>
      <c r="G25" s="209" t="s">
        <v>5399</v>
      </c>
      <c r="H25" s="35" t="s">
        <v>1175</v>
      </c>
      <c r="I25" s="35" t="s">
        <v>1173</v>
      </c>
      <c r="J25" s="6" t="s">
        <v>5401</v>
      </c>
      <c r="K25" s="209" t="n">
        <v>1</v>
      </c>
      <c r="L25" s="209" t="s">
        <v>4767</v>
      </c>
      <c r="M25" s="6" t="s">
        <v>5402</v>
      </c>
      <c r="N25" s="209" t="s">
        <v>5175</v>
      </c>
      <c r="O25" s="35" t="s">
        <v>4666</v>
      </c>
      <c r="P25" s="35" t="s">
        <v>571</v>
      </c>
      <c r="Q25" s="35" t="s">
        <v>5403</v>
      </c>
      <c r="R25" s="35" t="s">
        <v>571</v>
      </c>
      <c r="S25" s="35" t="s">
        <v>571</v>
      </c>
      <c r="T25" s="35" t="s">
        <v>571</v>
      </c>
      <c r="U25" s="35" t="s">
        <v>5404</v>
      </c>
      <c r="V25" s="6" t="s">
        <v>571</v>
      </c>
      <c r="W25" s="6" t="s">
        <v>571</v>
      </c>
      <c r="X25" s="183" t="n">
        <f aca="false">IF($O25="Active",SUMPRODUCT(($AH$5:$AH$105=$AH25)*1),0)</f>
        <v>1</v>
      </c>
      <c r="Y25" s="183" t="n">
        <f aca="false">IF(AND($O25="Active",OR($Q25="—",$Q25="")),1,0)</f>
        <v>0</v>
      </c>
      <c r="Z25" s="183" t="n">
        <f aca="false">IF(AND($O25="Active",$L25="利害關係方",OR($R25="—",$R25="")),1,0)</f>
        <v>0</v>
      </c>
      <c r="AH25" s="34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35" t="s">
        <v>5415</v>
      </c>
      <c r="B26" s="18" t="s">
        <v>5416</v>
      </c>
      <c r="C26" s="209"/>
      <c r="D26" s="211" t="n">
        <v>290</v>
      </c>
      <c r="E26" s="211" t="n">
        <v>350</v>
      </c>
      <c r="F26" s="35" t="s">
        <v>5398</v>
      </c>
      <c r="G26" s="209" t="s">
        <v>5399</v>
      </c>
      <c r="H26" s="35" t="s">
        <v>5417</v>
      </c>
      <c r="I26" s="35" t="s">
        <v>1173</v>
      </c>
      <c r="J26" s="6" t="s">
        <v>5401</v>
      </c>
      <c r="K26" s="209" t="n">
        <v>1</v>
      </c>
      <c r="L26" s="209" t="s">
        <v>4767</v>
      </c>
      <c r="M26" s="6" t="s">
        <v>5402</v>
      </c>
      <c r="N26" s="209" t="s">
        <v>5175</v>
      </c>
      <c r="O26" s="35" t="s">
        <v>4666</v>
      </c>
      <c r="P26" s="35" t="s">
        <v>571</v>
      </c>
      <c r="Q26" s="35" t="s">
        <v>5403</v>
      </c>
      <c r="R26" s="35" t="s">
        <v>571</v>
      </c>
      <c r="S26" s="35" t="s">
        <v>571</v>
      </c>
      <c r="T26" s="35" t="s">
        <v>571</v>
      </c>
      <c r="U26" s="35" t="s">
        <v>5404</v>
      </c>
      <c r="V26" s="6" t="s">
        <v>571</v>
      </c>
      <c r="W26" s="6" t="s">
        <v>571</v>
      </c>
      <c r="X26" s="183" t="n">
        <f aca="false">IF($O26="Active",SUMPRODUCT(($AH$5:$AH$105=$AH26)*1),0)</f>
        <v>1</v>
      </c>
      <c r="Y26" s="183" t="n">
        <f aca="false">IF(AND($O26="Active",OR($Q26="—",$Q26="")),1,0)</f>
        <v>0</v>
      </c>
      <c r="Z26" s="183" t="n">
        <f aca="false">IF(AND($O26="Active",$L26="利害關係方",OR($R26="—",$R26="")),1,0)</f>
        <v>0</v>
      </c>
      <c r="AH26" s="34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35" t="s">
        <v>5418</v>
      </c>
      <c r="B27" s="6" t="s">
        <v>5419</v>
      </c>
      <c r="C27" s="211" t="n">
        <v>20</v>
      </c>
      <c r="D27" s="209"/>
      <c r="E27" s="209"/>
      <c r="F27" s="35" t="s">
        <v>5398</v>
      </c>
      <c r="G27" s="209" t="s">
        <v>5420</v>
      </c>
      <c r="H27" s="35" t="s">
        <v>5421</v>
      </c>
      <c r="I27" s="35" t="s">
        <v>5422</v>
      </c>
      <c r="J27" s="6" t="s">
        <v>5423</v>
      </c>
      <c r="K27" s="209" t="n">
        <v>3</v>
      </c>
      <c r="L27" s="209" t="s">
        <v>4663</v>
      </c>
      <c r="M27" s="6" t="s">
        <v>5424</v>
      </c>
      <c r="N27" s="209" t="s">
        <v>4795</v>
      </c>
      <c r="O27" s="35" t="s">
        <v>4666</v>
      </c>
      <c r="P27" s="35" t="s">
        <v>571</v>
      </c>
      <c r="Q27" s="35" t="s">
        <v>5425</v>
      </c>
      <c r="R27" s="35" t="s">
        <v>571</v>
      </c>
      <c r="S27" s="35" t="s">
        <v>571</v>
      </c>
      <c r="T27" s="35" t="s">
        <v>571</v>
      </c>
      <c r="U27" s="35" t="s">
        <v>5426</v>
      </c>
      <c r="V27" s="6" t="s">
        <v>571</v>
      </c>
      <c r="W27" s="18" t="s">
        <v>5427</v>
      </c>
      <c r="X27" s="183" t="n">
        <f aca="false">IF($O27="Active",SUMPRODUCT(($AH$5:$AH$105=$AH27)*1),0)</f>
        <v>1</v>
      </c>
      <c r="Y27" s="183" t="n">
        <f aca="false">IF(AND($O27="Active",OR($Q27="—",$Q27="")),1,0)</f>
        <v>0</v>
      </c>
      <c r="Z27" s="183" t="n">
        <f aca="false">IF(AND($O27="Active",$L27="利害關係方",OR($R27="—",$R27="")),1,0)</f>
        <v>1</v>
      </c>
      <c r="AH27" s="34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35" t="s">
        <v>5428</v>
      </c>
      <c r="B28" s="6" t="s">
        <v>5429</v>
      </c>
      <c r="C28" s="211" t="n">
        <v>250634</v>
      </c>
      <c r="D28" s="209"/>
      <c r="E28" s="209"/>
      <c r="F28" s="35" t="s">
        <v>5430</v>
      </c>
      <c r="G28" s="35" t="s">
        <v>5431</v>
      </c>
      <c r="H28" s="35" t="s">
        <v>139</v>
      </c>
      <c r="I28" s="35" t="s">
        <v>5432</v>
      </c>
      <c r="J28" s="6" t="s">
        <v>5433</v>
      </c>
      <c r="K28" s="209" t="n">
        <v>2</v>
      </c>
      <c r="L28" s="209" t="s">
        <v>4663</v>
      </c>
      <c r="M28" s="6" t="s">
        <v>5434</v>
      </c>
      <c r="N28" s="209" t="s">
        <v>5435</v>
      </c>
      <c r="O28" s="35" t="s">
        <v>4666</v>
      </c>
      <c r="P28" s="35" t="s">
        <v>571</v>
      </c>
      <c r="Q28" s="35" t="s">
        <v>5436</v>
      </c>
      <c r="R28" s="35" t="s">
        <v>571</v>
      </c>
      <c r="S28" s="35" t="s">
        <v>571</v>
      </c>
      <c r="T28" s="35" t="s">
        <v>571</v>
      </c>
      <c r="U28" s="35" t="s">
        <v>5437</v>
      </c>
      <c r="V28" s="6" t="s">
        <v>571</v>
      </c>
      <c r="W28" s="18" t="s">
        <v>5438</v>
      </c>
      <c r="X28" s="183" t="n">
        <f aca="false">IF($O28="Active",SUMPRODUCT(($AH$5:$AH$105=$AH28)*1),0)</f>
        <v>1</v>
      </c>
      <c r="Y28" s="183" t="n">
        <f aca="false">IF(AND($O28="Active",OR($Q28="—",$Q28="")),1,0)</f>
        <v>0</v>
      </c>
      <c r="Z28" s="183" t="n">
        <f aca="false">IF(AND($O28="Active",$L28="利害關係方",OR($R28="—",$R28="")),1,0)</f>
        <v>1</v>
      </c>
      <c r="AH28" s="34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35" t="s">
        <v>3603</v>
      </c>
      <c r="B29" s="6" t="s">
        <v>5439</v>
      </c>
      <c r="C29" s="211" t="n">
        <v>240318</v>
      </c>
      <c r="D29" s="209"/>
      <c r="E29" s="209"/>
      <c r="F29" s="35" t="s">
        <v>5430</v>
      </c>
      <c r="G29" s="35" t="s">
        <v>5431</v>
      </c>
      <c r="H29" s="35" t="s">
        <v>138</v>
      </c>
      <c r="I29" s="35" t="s">
        <v>5432</v>
      </c>
      <c r="J29" s="6" t="s">
        <v>5433</v>
      </c>
      <c r="K29" s="209" t="n">
        <v>2</v>
      </c>
      <c r="L29" s="209" t="s">
        <v>4663</v>
      </c>
      <c r="M29" s="6" t="s">
        <v>5434</v>
      </c>
      <c r="N29" s="209" t="s">
        <v>5435</v>
      </c>
      <c r="O29" s="35" t="s">
        <v>4666</v>
      </c>
      <c r="P29" s="35" t="s">
        <v>571</v>
      </c>
      <c r="Q29" s="35" t="s">
        <v>5436</v>
      </c>
      <c r="R29" s="35" t="s">
        <v>571</v>
      </c>
      <c r="S29" s="35" t="s">
        <v>571</v>
      </c>
      <c r="T29" s="35" t="s">
        <v>571</v>
      </c>
      <c r="U29" s="35" t="s">
        <v>5437</v>
      </c>
      <c r="V29" s="6" t="s">
        <v>5440</v>
      </c>
      <c r="W29" s="18" t="s">
        <v>5441</v>
      </c>
      <c r="X29" s="183" t="n">
        <f aca="false">IF($O29="Active",SUMPRODUCT(($AH$5:$AH$105=$AH29)*1),0)</f>
        <v>1</v>
      </c>
      <c r="Y29" s="183" t="n">
        <f aca="false">IF(AND($O29="Active",OR($Q29="—",$Q29="")),1,0)</f>
        <v>0</v>
      </c>
      <c r="Z29" s="183" t="n">
        <f aca="false">IF(AND($O29="Active",$L29="利害關係方",OR($R29="—",$R29="")),1,0)</f>
        <v>1</v>
      </c>
      <c r="AH29" s="34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35" t="s">
        <v>3609</v>
      </c>
      <c r="B30" s="6" t="s">
        <v>5442</v>
      </c>
      <c r="C30" s="211" t="n">
        <v>8064</v>
      </c>
      <c r="D30" s="209"/>
      <c r="E30" s="209"/>
      <c r="F30" s="35" t="s">
        <v>5443</v>
      </c>
      <c r="G30" s="35" t="s">
        <v>5444</v>
      </c>
      <c r="H30" s="35" t="s">
        <v>139</v>
      </c>
      <c r="I30" s="35" t="s">
        <v>5432</v>
      </c>
      <c r="J30" s="6" t="s">
        <v>5433</v>
      </c>
      <c r="K30" s="209" t="n">
        <v>2</v>
      </c>
      <c r="L30" s="209" t="s">
        <v>4663</v>
      </c>
      <c r="M30" s="6" t="s">
        <v>5434</v>
      </c>
      <c r="N30" s="209" t="s">
        <v>5435</v>
      </c>
      <c r="O30" s="35" t="s">
        <v>4666</v>
      </c>
      <c r="P30" s="35" t="s">
        <v>571</v>
      </c>
      <c r="Q30" s="35" t="s">
        <v>5436</v>
      </c>
      <c r="R30" s="35" t="s">
        <v>571</v>
      </c>
      <c r="S30" s="35" t="s">
        <v>571</v>
      </c>
      <c r="T30" s="35" t="s">
        <v>571</v>
      </c>
      <c r="U30" s="35" t="s">
        <v>5437</v>
      </c>
      <c r="V30" s="6" t="s">
        <v>5445</v>
      </c>
      <c r="W30" s="6" t="s">
        <v>571</v>
      </c>
      <c r="X30" s="183" t="n">
        <f aca="false">IF($O30="Active",SUMPRODUCT(($AH$5:$AH$105=$AH30)*1),0)</f>
        <v>1</v>
      </c>
      <c r="Y30" s="183" t="n">
        <f aca="false">IF(AND($O30="Active",OR($Q30="—",$Q30="")),1,0)</f>
        <v>0</v>
      </c>
      <c r="Z30" s="183" t="n">
        <f aca="false">IF(AND($O30="Active",$L30="利害關係方",OR($R30="—",$R30="")),1,0)</f>
        <v>1</v>
      </c>
      <c r="AH30" s="34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35" t="s">
        <v>3606</v>
      </c>
      <c r="B31" s="6" t="s">
        <v>5446</v>
      </c>
      <c r="C31" s="211" t="n">
        <v>652750</v>
      </c>
      <c r="D31" s="209"/>
      <c r="E31" s="209"/>
      <c r="F31" s="35" t="s">
        <v>5430</v>
      </c>
      <c r="G31" s="35" t="s">
        <v>5447</v>
      </c>
      <c r="H31" s="35" t="s">
        <v>140</v>
      </c>
      <c r="I31" s="35" t="s">
        <v>5448</v>
      </c>
      <c r="J31" s="6" t="s">
        <v>5449</v>
      </c>
      <c r="K31" s="209" t="n">
        <v>2</v>
      </c>
      <c r="L31" s="209" t="s">
        <v>4663</v>
      </c>
      <c r="M31" s="6" t="s">
        <v>5450</v>
      </c>
      <c r="N31" s="209" t="s">
        <v>4676</v>
      </c>
      <c r="O31" s="35" t="s">
        <v>4666</v>
      </c>
      <c r="P31" s="35" t="s">
        <v>571</v>
      </c>
      <c r="Q31" s="35" t="s">
        <v>5451</v>
      </c>
      <c r="R31" s="35" t="s">
        <v>571</v>
      </c>
      <c r="S31" s="35" t="s">
        <v>571</v>
      </c>
      <c r="T31" s="35" t="s">
        <v>571</v>
      </c>
      <c r="U31" s="35" t="s">
        <v>2440</v>
      </c>
      <c r="V31" s="6" t="s">
        <v>5452</v>
      </c>
      <c r="W31" s="18" t="s">
        <v>5453</v>
      </c>
      <c r="X31" s="183" t="n">
        <f aca="false">IF($O31="Active",SUMPRODUCT(($AH$5:$AH$105=$AH31)*1),0)</f>
        <v>1</v>
      </c>
      <c r="Y31" s="183" t="n">
        <f aca="false">IF(AND($O31="Active",OR($Q31="—",$Q31="")),1,0)</f>
        <v>0</v>
      </c>
      <c r="Z31" s="183" t="n">
        <f aca="false">IF(AND($O31="Active",$L31="利害關係方",OR($R31="—",$R31="")),1,0)</f>
        <v>1</v>
      </c>
      <c r="AH31" s="34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35" t="s">
        <v>3600</v>
      </c>
      <c r="B32" s="6" t="s">
        <v>5454</v>
      </c>
      <c r="C32" s="211" t="n">
        <v>253506</v>
      </c>
      <c r="D32" s="209"/>
      <c r="E32" s="209"/>
      <c r="F32" s="35" t="s">
        <v>5430</v>
      </c>
      <c r="G32" s="35" t="s">
        <v>5431</v>
      </c>
      <c r="H32" s="35" t="s">
        <v>139</v>
      </c>
      <c r="I32" s="35" t="s">
        <v>5448</v>
      </c>
      <c r="J32" s="6" t="s">
        <v>5449</v>
      </c>
      <c r="K32" s="209" t="n">
        <v>2</v>
      </c>
      <c r="L32" s="209" t="s">
        <v>4663</v>
      </c>
      <c r="M32" s="6" t="s">
        <v>5450</v>
      </c>
      <c r="N32" s="209" t="s">
        <v>4676</v>
      </c>
      <c r="O32" s="35" t="s">
        <v>4666</v>
      </c>
      <c r="P32" s="35" t="s">
        <v>571</v>
      </c>
      <c r="Q32" s="35" t="s">
        <v>5451</v>
      </c>
      <c r="R32" s="35" t="s">
        <v>571</v>
      </c>
      <c r="S32" s="35" t="s">
        <v>571</v>
      </c>
      <c r="T32" s="35" t="s">
        <v>571</v>
      </c>
      <c r="U32" s="35" t="s">
        <v>2440</v>
      </c>
      <c r="V32" s="6" t="s">
        <v>5455</v>
      </c>
      <c r="W32" s="18" t="s">
        <v>5456</v>
      </c>
      <c r="X32" s="183" t="n">
        <f aca="false">IF($O32="Active",SUMPRODUCT(($AH$5:$AH$105=$AH32)*1),0)</f>
        <v>1</v>
      </c>
      <c r="Y32" s="183" t="n">
        <f aca="false">IF(AND($O32="Active",OR($Q32="—",$Q32="")),1,0)</f>
        <v>0</v>
      </c>
      <c r="Z32" s="183" t="n">
        <f aca="false">IF(AND($O32="Active",$L32="利害關係方",OR($R32="—",$R32="")),1,0)</f>
        <v>1</v>
      </c>
      <c r="AH32" s="34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35" t="s">
        <v>3566</v>
      </c>
      <c r="B33" s="6" t="s">
        <v>5457</v>
      </c>
      <c r="C33" s="211" t="n">
        <v>800</v>
      </c>
      <c r="D33" s="209"/>
      <c r="E33" s="209"/>
      <c r="F33" s="35" t="s">
        <v>249</v>
      </c>
      <c r="G33" s="209" t="s">
        <v>5458</v>
      </c>
      <c r="H33" s="35" t="s">
        <v>5459</v>
      </c>
      <c r="I33" s="35" t="s">
        <v>5460</v>
      </c>
      <c r="J33" s="6" t="s">
        <v>5461</v>
      </c>
      <c r="K33" s="209" t="n">
        <v>1</v>
      </c>
      <c r="L33" s="209" t="s">
        <v>4767</v>
      </c>
      <c r="M33" s="6" t="s">
        <v>5462</v>
      </c>
      <c r="N33" s="209" t="s">
        <v>5175</v>
      </c>
      <c r="O33" s="35" t="s">
        <v>4666</v>
      </c>
      <c r="P33" s="35" t="s">
        <v>571</v>
      </c>
      <c r="Q33" s="35" t="s">
        <v>5463</v>
      </c>
      <c r="R33" s="35" t="s">
        <v>571</v>
      </c>
      <c r="S33" s="35" t="s">
        <v>571</v>
      </c>
      <c r="T33" s="35" t="s">
        <v>571</v>
      </c>
      <c r="U33" s="35" t="s">
        <v>5464</v>
      </c>
      <c r="V33" s="6" t="s">
        <v>5465</v>
      </c>
      <c r="W33" s="6" t="s">
        <v>571</v>
      </c>
      <c r="X33" s="183" t="n">
        <f aca="false">IF($O33="Active",SUMPRODUCT(($AH$5:$AH$105=$AH33)*1),0)</f>
        <v>1</v>
      </c>
      <c r="Y33" s="183" t="n">
        <f aca="false">IF(AND($O33="Active",OR($Q33="—",$Q33="")),1,0)</f>
        <v>0</v>
      </c>
      <c r="Z33" s="183" t="n">
        <f aca="false">IF(AND($O33="Active",$L33="利害關係方",OR($R33="—",$R33="")),1,0)</f>
        <v>0</v>
      </c>
      <c r="AH33" s="34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35" t="s">
        <v>3570</v>
      </c>
      <c r="B34" s="6" t="s">
        <v>5466</v>
      </c>
      <c r="C34" s="211" t="n">
        <v>3880</v>
      </c>
      <c r="D34" s="209"/>
      <c r="E34" s="209"/>
      <c r="F34" s="35" t="s">
        <v>249</v>
      </c>
      <c r="G34" s="209" t="s">
        <v>5458</v>
      </c>
      <c r="H34" s="35" t="s">
        <v>5459</v>
      </c>
      <c r="I34" s="35" t="s">
        <v>5460</v>
      </c>
      <c r="J34" s="6" t="s">
        <v>5461</v>
      </c>
      <c r="K34" s="209" t="n">
        <v>1</v>
      </c>
      <c r="L34" s="209" t="s">
        <v>4767</v>
      </c>
      <c r="M34" s="6" t="s">
        <v>5462</v>
      </c>
      <c r="N34" s="209" t="s">
        <v>5175</v>
      </c>
      <c r="O34" s="35" t="s">
        <v>4666</v>
      </c>
      <c r="P34" s="35" t="s">
        <v>571</v>
      </c>
      <c r="Q34" s="35" t="s">
        <v>5463</v>
      </c>
      <c r="R34" s="35" t="s">
        <v>571</v>
      </c>
      <c r="S34" s="35" t="s">
        <v>571</v>
      </c>
      <c r="T34" s="35" t="s">
        <v>571</v>
      </c>
      <c r="U34" s="35" t="s">
        <v>5464</v>
      </c>
      <c r="V34" s="6" t="s">
        <v>5467</v>
      </c>
      <c r="W34" s="6" t="s">
        <v>571</v>
      </c>
      <c r="X34" s="183" t="n">
        <f aca="false">IF($O34="Active",SUMPRODUCT(($AH$5:$AH$105=$AH34)*1),0)</f>
        <v>1</v>
      </c>
      <c r="Y34" s="183" t="n">
        <f aca="false">IF(AND($O34="Active",OR($Q34="—",$Q34="")),1,0)</f>
        <v>0</v>
      </c>
      <c r="Z34" s="183" t="n">
        <f aca="false">IF(AND($O34="Active",$L34="利害關係方",OR($R34="—",$R34="")),1,0)</f>
        <v>0</v>
      </c>
      <c r="AH34" s="34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35" t="s">
        <v>3577</v>
      </c>
      <c r="B35" s="6" t="s">
        <v>5468</v>
      </c>
      <c r="C35" s="211" t="n">
        <v>15</v>
      </c>
      <c r="D35" s="209"/>
      <c r="E35" s="209"/>
      <c r="F35" s="35" t="s">
        <v>459</v>
      </c>
      <c r="G35" s="35" t="s">
        <v>5431</v>
      </c>
      <c r="H35" s="35" t="s">
        <v>5459</v>
      </c>
      <c r="I35" s="35" t="s">
        <v>4703</v>
      </c>
      <c r="J35" s="6" t="s">
        <v>5461</v>
      </c>
      <c r="K35" s="209" t="n">
        <v>1</v>
      </c>
      <c r="L35" s="209" t="s">
        <v>4767</v>
      </c>
      <c r="M35" s="6" t="s">
        <v>5462</v>
      </c>
      <c r="N35" s="209" t="s">
        <v>5175</v>
      </c>
      <c r="O35" s="35" t="s">
        <v>4666</v>
      </c>
      <c r="P35" s="35" t="s">
        <v>571</v>
      </c>
      <c r="Q35" s="35" t="s">
        <v>5463</v>
      </c>
      <c r="R35" s="35" t="s">
        <v>571</v>
      </c>
      <c r="S35" s="35" t="s">
        <v>571</v>
      </c>
      <c r="T35" s="35" t="s">
        <v>571</v>
      </c>
      <c r="U35" s="35" t="s">
        <v>5464</v>
      </c>
      <c r="V35" s="6" t="s">
        <v>5469</v>
      </c>
      <c r="W35" s="18" t="s">
        <v>5470</v>
      </c>
      <c r="X35" s="183" t="n">
        <f aca="false">IF($O35="Active",SUMPRODUCT(($AH$5:$AH$105=$AH35)*1),0)</f>
        <v>1</v>
      </c>
      <c r="Y35" s="183" t="n">
        <f aca="false">IF(AND($O35="Active",OR($Q35="—",$Q35="")),1,0)</f>
        <v>0</v>
      </c>
      <c r="Z35" s="183" t="n">
        <f aca="false">IF(AND($O35="Active",$L35="利害關係方",OR($R35="—",$R35="")),1,0)</f>
        <v>0</v>
      </c>
      <c r="AH35" s="34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35" t="s">
        <v>3584</v>
      </c>
      <c r="B36" s="6" t="s">
        <v>5471</v>
      </c>
      <c r="C36" s="211" t="n">
        <v>80</v>
      </c>
      <c r="D36" s="209"/>
      <c r="E36" s="209"/>
      <c r="F36" s="35" t="s">
        <v>459</v>
      </c>
      <c r="G36" s="35" t="s">
        <v>5444</v>
      </c>
      <c r="H36" s="35" t="s">
        <v>5459</v>
      </c>
      <c r="I36" s="35" t="s">
        <v>4703</v>
      </c>
      <c r="J36" s="6" t="s">
        <v>5461</v>
      </c>
      <c r="K36" s="209" t="n">
        <v>1</v>
      </c>
      <c r="L36" s="209" t="s">
        <v>4767</v>
      </c>
      <c r="M36" s="6" t="s">
        <v>5462</v>
      </c>
      <c r="N36" s="209" t="s">
        <v>5175</v>
      </c>
      <c r="O36" s="35" t="s">
        <v>4666</v>
      </c>
      <c r="P36" s="35" t="s">
        <v>571</v>
      </c>
      <c r="Q36" s="35" t="s">
        <v>5463</v>
      </c>
      <c r="R36" s="35" t="s">
        <v>571</v>
      </c>
      <c r="S36" s="35" t="s">
        <v>571</v>
      </c>
      <c r="T36" s="35" t="s">
        <v>571</v>
      </c>
      <c r="U36" s="35" t="s">
        <v>5464</v>
      </c>
      <c r="V36" s="6" t="s">
        <v>5472</v>
      </c>
      <c r="W36" s="18" t="s">
        <v>5473</v>
      </c>
      <c r="X36" s="183" t="n">
        <f aca="false">IF($O36="Active",SUMPRODUCT(($AH$5:$AH$105=$AH36)*1),0)</f>
        <v>1</v>
      </c>
      <c r="Y36" s="183" t="n">
        <f aca="false">IF(AND($O36="Active",OR($Q36="—",$Q36="")),1,0)</f>
        <v>0</v>
      </c>
      <c r="Z36" s="183" t="n">
        <f aca="false">IF(AND($O36="Active",$L36="利害關係方",OR($R36="—",$R36="")),1,0)</f>
        <v>0</v>
      </c>
      <c r="AH36" s="34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35" t="s">
        <v>5474</v>
      </c>
      <c r="B37" s="6" t="s">
        <v>5475</v>
      </c>
      <c r="C37" s="211" t="n">
        <v>1.5</v>
      </c>
      <c r="D37" s="209"/>
      <c r="E37" s="209"/>
      <c r="F37" s="35" t="s">
        <v>333</v>
      </c>
      <c r="G37" s="35" t="s">
        <v>5431</v>
      </c>
      <c r="H37" s="35" t="s">
        <v>5459</v>
      </c>
      <c r="I37" s="35" t="s">
        <v>4703</v>
      </c>
      <c r="J37" s="6" t="s">
        <v>5461</v>
      </c>
      <c r="K37" s="209" t="n">
        <v>1</v>
      </c>
      <c r="L37" s="209" t="s">
        <v>4767</v>
      </c>
      <c r="M37" s="6" t="s">
        <v>5462</v>
      </c>
      <c r="N37" s="209" t="s">
        <v>5175</v>
      </c>
      <c r="O37" s="35" t="s">
        <v>4666</v>
      </c>
      <c r="P37" s="35" t="s">
        <v>571</v>
      </c>
      <c r="Q37" s="35" t="s">
        <v>5463</v>
      </c>
      <c r="R37" s="35" t="s">
        <v>571</v>
      </c>
      <c r="S37" s="35" t="s">
        <v>571</v>
      </c>
      <c r="T37" s="35" t="s">
        <v>571</v>
      </c>
      <c r="U37" s="35" t="s">
        <v>5464</v>
      </c>
      <c r="V37" s="6" t="s">
        <v>571</v>
      </c>
      <c r="W37" s="6" t="s">
        <v>571</v>
      </c>
      <c r="X37" s="183" t="n">
        <f aca="false">IF($O37="Active",SUMPRODUCT(($AH$5:$AH$105=$AH37)*1),0)</f>
        <v>1</v>
      </c>
      <c r="Y37" s="183" t="n">
        <f aca="false">IF(AND($O37="Active",OR($Q37="—",$Q37="")),1,0)</f>
        <v>0</v>
      </c>
      <c r="Z37" s="183" t="n">
        <f aca="false">IF(AND($O37="Active",$L37="利害關係方",OR($R37="—",$R37="")),1,0)</f>
        <v>0</v>
      </c>
      <c r="AH37" s="34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35" t="s">
        <v>5476</v>
      </c>
      <c r="B38" s="6" t="s">
        <v>5477</v>
      </c>
      <c r="C38" s="211" t="n">
        <v>2</v>
      </c>
      <c r="D38" s="209"/>
      <c r="E38" s="209"/>
      <c r="F38" s="35" t="s">
        <v>333</v>
      </c>
      <c r="G38" s="35" t="s">
        <v>5444</v>
      </c>
      <c r="H38" s="35" t="s">
        <v>5459</v>
      </c>
      <c r="I38" s="35" t="s">
        <v>4703</v>
      </c>
      <c r="J38" s="6" t="s">
        <v>5461</v>
      </c>
      <c r="K38" s="209" t="n">
        <v>1</v>
      </c>
      <c r="L38" s="209" t="s">
        <v>4767</v>
      </c>
      <c r="M38" s="6" t="s">
        <v>5462</v>
      </c>
      <c r="N38" s="209" t="s">
        <v>5175</v>
      </c>
      <c r="O38" s="35" t="s">
        <v>4666</v>
      </c>
      <c r="P38" s="35" t="s">
        <v>571</v>
      </c>
      <c r="Q38" s="35" t="s">
        <v>5463</v>
      </c>
      <c r="R38" s="35" t="s">
        <v>571</v>
      </c>
      <c r="S38" s="35" t="s">
        <v>571</v>
      </c>
      <c r="T38" s="35" t="s">
        <v>571</v>
      </c>
      <c r="U38" s="35" t="s">
        <v>5464</v>
      </c>
      <c r="V38" s="6" t="s">
        <v>571</v>
      </c>
      <c r="W38" s="6" t="s">
        <v>571</v>
      </c>
      <c r="X38" s="183" t="n">
        <f aca="false">IF($O38="Active",SUMPRODUCT(($AH$5:$AH$105=$AH38)*1),0)</f>
        <v>1</v>
      </c>
      <c r="Y38" s="183" t="n">
        <f aca="false">IF(AND($O38="Active",OR($Q38="—",$Q38="")),1,0)</f>
        <v>0</v>
      </c>
      <c r="Z38" s="183" t="n">
        <f aca="false">IF(AND($O38="Active",$L38="利害關係方",OR($R38="—",$R38="")),1,0)</f>
        <v>0</v>
      </c>
      <c r="AH38" s="34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35" t="s">
        <v>3266</v>
      </c>
      <c r="B39" s="6" t="s">
        <v>5478</v>
      </c>
      <c r="C39" s="211" t="n">
        <v>3</v>
      </c>
      <c r="D39" s="209"/>
      <c r="E39" s="209"/>
      <c r="F39" s="209" t="s">
        <v>5479</v>
      </c>
      <c r="G39" s="35" t="s">
        <v>5480</v>
      </c>
      <c r="H39" s="35" t="s">
        <v>5459</v>
      </c>
      <c r="I39" s="35" t="s">
        <v>4703</v>
      </c>
      <c r="J39" s="6" t="s">
        <v>5461</v>
      </c>
      <c r="K39" s="209" t="n">
        <v>1</v>
      </c>
      <c r="L39" s="209" t="s">
        <v>4767</v>
      </c>
      <c r="M39" s="6" t="s">
        <v>5462</v>
      </c>
      <c r="N39" s="209" t="s">
        <v>5175</v>
      </c>
      <c r="O39" s="35" t="s">
        <v>4666</v>
      </c>
      <c r="P39" s="35" t="s">
        <v>571</v>
      </c>
      <c r="Q39" s="35" t="s">
        <v>5463</v>
      </c>
      <c r="R39" s="35" t="s">
        <v>571</v>
      </c>
      <c r="S39" s="35" t="s">
        <v>571</v>
      </c>
      <c r="T39" s="35" t="s">
        <v>571</v>
      </c>
      <c r="U39" s="35" t="s">
        <v>5464</v>
      </c>
      <c r="V39" s="6" t="s">
        <v>5481</v>
      </c>
      <c r="W39" s="18" t="s">
        <v>5482</v>
      </c>
      <c r="X39" s="183" t="n">
        <f aca="false">IF($O39="Active",SUMPRODUCT(($AH$5:$AH$105=$AH39)*1),0)</f>
        <v>1</v>
      </c>
      <c r="Y39" s="183" t="n">
        <f aca="false">IF(AND($O39="Active",OR($Q39="—",$Q39="")),1,0)</f>
        <v>0</v>
      </c>
      <c r="Z39" s="183" t="n">
        <f aca="false">IF(AND($O39="Active",$L39="利害關係方",OR($R39="—",$R39="")),1,0)</f>
        <v>0</v>
      </c>
      <c r="AH39" s="34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35" t="s">
        <v>4045</v>
      </c>
      <c r="B40" s="6" t="s">
        <v>5483</v>
      </c>
      <c r="C40" s="209"/>
      <c r="D40" s="211" t="n">
        <v>0.38</v>
      </c>
      <c r="E40" s="211" t="n">
        <v>0.43</v>
      </c>
      <c r="F40" s="35" t="s">
        <v>71</v>
      </c>
      <c r="G40" s="35" t="s">
        <v>5484</v>
      </c>
      <c r="H40" s="35" t="s">
        <v>5485</v>
      </c>
      <c r="I40" s="35" t="s">
        <v>5486</v>
      </c>
      <c r="J40" s="6" t="s">
        <v>5487</v>
      </c>
      <c r="K40" s="209" t="n">
        <v>1</v>
      </c>
      <c r="L40" s="209" t="s">
        <v>4663</v>
      </c>
      <c r="M40" s="6" t="s">
        <v>5488</v>
      </c>
      <c r="N40" s="209" t="s">
        <v>4665</v>
      </c>
      <c r="O40" s="35" t="s">
        <v>4666</v>
      </c>
      <c r="P40" s="35" t="s">
        <v>571</v>
      </c>
      <c r="Q40" s="35" t="s">
        <v>5489</v>
      </c>
      <c r="R40" s="35" t="s">
        <v>571</v>
      </c>
      <c r="S40" s="35" t="s">
        <v>4599</v>
      </c>
      <c r="T40" s="35" t="s">
        <v>571</v>
      </c>
      <c r="U40" s="35" t="s">
        <v>5490</v>
      </c>
      <c r="V40" s="6" t="s">
        <v>571</v>
      </c>
      <c r="W40" s="6" t="s">
        <v>5491</v>
      </c>
      <c r="X40" s="183" t="n">
        <f aca="false">IF($O40="Active",SUMPRODUCT(($AH$5:$AH$105=$AH40)*1),0)</f>
        <v>1</v>
      </c>
      <c r="Y40" s="183" t="n">
        <f aca="false">IF(AND($O40="Active",OR($Q40="—",$Q40="")),1,0)</f>
        <v>0</v>
      </c>
      <c r="Z40" s="183" t="n">
        <f aca="false">IF(AND($O40="Active",$L40="利害關係方",OR($R40="—",$R40="")),1,0)</f>
        <v>1</v>
      </c>
      <c r="AH40" s="34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35" t="s">
        <v>4050</v>
      </c>
      <c r="B41" s="6" t="s">
        <v>5492</v>
      </c>
      <c r="C41" s="211" t="n">
        <v>0.9</v>
      </c>
      <c r="D41" s="209"/>
      <c r="E41" s="209"/>
      <c r="F41" s="35" t="s">
        <v>71</v>
      </c>
      <c r="G41" s="209" t="s">
        <v>5493</v>
      </c>
      <c r="H41" s="35" t="s">
        <v>5485</v>
      </c>
      <c r="I41" s="35" t="s">
        <v>5486</v>
      </c>
      <c r="J41" s="6" t="s">
        <v>5487</v>
      </c>
      <c r="K41" s="209" t="n">
        <v>1</v>
      </c>
      <c r="L41" s="209" t="s">
        <v>4663</v>
      </c>
      <c r="M41" s="6" t="s">
        <v>5488</v>
      </c>
      <c r="N41" s="209" t="s">
        <v>4665</v>
      </c>
      <c r="O41" s="35" t="s">
        <v>4666</v>
      </c>
      <c r="P41" s="35" t="s">
        <v>571</v>
      </c>
      <c r="Q41" s="35" t="s">
        <v>5494</v>
      </c>
      <c r="R41" s="35" t="s">
        <v>571</v>
      </c>
      <c r="S41" s="35" t="s">
        <v>4599</v>
      </c>
      <c r="T41" s="35" t="s">
        <v>571</v>
      </c>
      <c r="U41" s="35" t="s">
        <v>5490</v>
      </c>
      <c r="V41" s="6" t="s">
        <v>5495</v>
      </c>
      <c r="W41" s="18" t="s">
        <v>5496</v>
      </c>
      <c r="X41" s="183" t="n">
        <f aca="false">IF($O41="Active",SUMPRODUCT(($AH$5:$AH$105=$AH41)*1),0)</f>
        <v>1</v>
      </c>
      <c r="Y41" s="183" t="n">
        <f aca="false">IF(AND($O41="Active",OR($Q41="—",$Q41="")),1,0)</f>
        <v>0</v>
      </c>
      <c r="Z41" s="183" t="n">
        <f aca="false">IF(AND($O41="Active",$L41="利害關係方",OR($R41="—",$R41="")),1,0)</f>
        <v>1</v>
      </c>
      <c r="AH41" s="34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35" t="s">
        <v>5497</v>
      </c>
      <c r="B42" s="6" t="s">
        <v>5498</v>
      </c>
      <c r="C42" s="211" t="n">
        <v>2.24</v>
      </c>
      <c r="D42" s="209"/>
      <c r="E42" s="209"/>
      <c r="F42" s="35" t="s">
        <v>75</v>
      </c>
      <c r="G42" s="209" t="s">
        <v>5499</v>
      </c>
      <c r="H42" s="35" t="s">
        <v>5500</v>
      </c>
      <c r="I42" s="35" t="s">
        <v>4792</v>
      </c>
      <c r="J42" s="6" t="s">
        <v>5501</v>
      </c>
      <c r="K42" s="209" t="n">
        <v>1</v>
      </c>
      <c r="L42" s="209" t="s">
        <v>4663</v>
      </c>
      <c r="M42" s="18" t="s">
        <v>5502</v>
      </c>
      <c r="N42" s="209" t="s">
        <v>5175</v>
      </c>
      <c r="O42" s="35" t="s">
        <v>4666</v>
      </c>
      <c r="P42" s="35" t="s">
        <v>571</v>
      </c>
      <c r="Q42" s="35" t="s">
        <v>5503</v>
      </c>
      <c r="R42" s="35" t="s">
        <v>571</v>
      </c>
      <c r="S42" s="35" t="s">
        <v>571</v>
      </c>
      <c r="T42" s="35" t="s">
        <v>571</v>
      </c>
      <c r="U42" s="35" t="s">
        <v>5504</v>
      </c>
      <c r="V42" s="6" t="s">
        <v>571</v>
      </c>
      <c r="W42" s="18" t="s">
        <v>5505</v>
      </c>
      <c r="X42" s="183" t="n">
        <f aca="false">IF($O42="Active",SUMPRODUCT(($AH$5:$AH$105=$AH42)*1),0)</f>
        <v>1</v>
      </c>
      <c r="Y42" s="183" t="n">
        <f aca="false">IF(AND($O42="Active",OR($Q42="—",$Q42="")),1,0)</f>
        <v>0</v>
      </c>
      <c r="Z42" s="183" t="n">
        <f aca="false">IF(AND($O42="Active",$L42="利害關係方",OR($R42="—",$R42="")),1,0)</f>
        <v>1</v>
      </c>
      <c r="AH42" s="34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35" t="s">
        <v>5506</v>
      </c>
      <c r="B43" s="6" t="s">
        <v>5507</v>
      </c>
      <c r="C43" s="211" t="n">
        <v>2.72</v>
      </c>
      <c r="D43" s="209"/>
      <c r="E43" s="209"/>
      <c r="F43" s="35" t="s">
        <v>75</v>
      </c>
      <c r="G43" s="209" t="s">
        <v>5499</v>
      </c>
      <c r="H43" s="35" t="s">
        <v>5500</v>
      </c>
      <c r="I43" s="35" t="s">
        <v>4792</v>
      </c>
      <c r="J43" s="6" t="s">
        <v>5501</v>
      </c>
      <c r="K43" s="209" t="n">
        <v>1</v>
      </c>
      <c r="L43" s="209" t="s">
        <v>4663</v>
      </c>
      <c r="M43" s="18" t="s">
        <v>5502</v>
      </c>
      <c r="N43" s="209" t="s">
        <v>5175</v>
      </c>
      <c r="O43" s="35" t="s">
        <v>4666</v>
      </c>
      <c r="P43" s="35" t="s">
        <v>571</v>
      </c>
      <c r="Q43" s="35" t="s">
        <v>5503</v>
      </c>
      <c r="R43" s="35" t="s">
        <v>571</v>
      </c>
      <c r="S43" s="35" t="s">
        <v>571</v>
      </c>
      <c r="T43" s="35" t="s">
        <v>571</v>
      </c>
      <c r="U43" s="35" t="s">
        <v>5504</v>
      </c>
      <c r="V43" s="6" t="s">
        <v>571</v>
      </c>
      <c r="W43" s="6" t="s">
        <v>571</v>
      </c>
      <c r="X43" s="183" t="n">
        <f aca="false">IF($O43="Active",SUMPRODUCT(($AH$5:$AH$105=$AH43)*1),0)</f>
        <v>1</v>
      </c>
      <c r="Y43" s="183" t="n">
        <f aca="false">IF(AND($O43="Active",OR($Q43="—",$Q43="")),1,0)</f>
        <v>0</v>
      </c>
      <c r="Z43" s="183" t="n">
        <f aca="false">IF(AND($O43="Active",$L43="利害關係方",OR($R43="—",$R43="")),1,0)</f>
        <v>1</v>
      </c>
      <c r="AH43" s="34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35" t="s">
        <v>5508</v>
      </c>
      <c r="B44" s="6" t="s">
        <v>5509</v>
      </c>
      <c r="C44" s="211" t="n">
        <v>2</v>
      </c>
      <c r="D44" s="209"/>
      <c r="E44" s="209"/>
      <c r="F44" s="35" t="s">
        <v>75</v>
      </c>
      <c r="G44" s="209" t="s">
        <v>4748</v>
      </c>
      <c r="H44" s="35" t="s">
        <v>5510</v>
      </c>
      <c r="I44" s="35" t="s">
        <v>4792</v>
      </c>
      <c r="J44" s="6" t="s">
        <v>5501</v>
      </c>
      <c r="K44" s="209" t="n">
        <v>1</v>
      </c>
      <c r="L44" s="209" t="s">
        <v>4663</v>
      </c>
      <c r="M44" s="18" t="s">
        <v>5502</v>
      </c>
      <c r="N44" s="209" t="s">
        <v>5175</v>
      </c>
      <c r="O44" s="35" t="s">
        <v>4666</v>
      </c>
      <c r="P44" s="35" t="s">
        <v>571</v>
      </c>
      <c r="Q44" s="35" t="s">
        <v>5503</v>
      </c>
      <c r="R44" s="35" t="s">
        <v>571</v>
      </c>
      <c r="S44" s="35" t="s">
        <v>571</v>
      </c>
      <c r="T44" s="35" t="s">
        <v>571</v>
      </c>
      <c r="U44" s="35" t="s">
        <v>5504</v>
      </c>
      <c r="V44" s="6" t="s">
        <v>571</v>
      </c>
      <c r="W44" s="6" t="s">
        <v>571</v>
      </c>
      <c r="X44" s="183" t="n">
        <f aca="false">IF($O44="Active",SUMPRODUCT(($AH$5:$AH$105=$AH44)*1),0)</f>
        <v>1</v>
      </c>
      <c r="Y44" s="183" t="n">
        <f aca="false">IF(AND($O44="Active",OR($Q44="—",$Q44="")),1,0)</f>
        <v>0</v>
      </c>
      <c r="Z44" s="183" t="n">
        <f aca="false">IF(AND($O44="Active",$L44="利害關係方",OR($R44="—",$R44="")),1,0)</f>
        <v>1</v>
      </c>
      <c r="AH44" s="34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35" t="s">
        <v>3414</v>
      </c>
      <c r="B45" s="6" t="s">
        <v>5511</v>
      </c>
      <c r="C45" s="211" t="n">
        <v>73700</v>
      </c>
      <c r="D45" s="209"/>
      <c r="E45" s="209"/>
      <c r="F45" s="35" t="s">
        <v>5512</v>
      </c>
      <c r="G45" s="35" t="s">
        <v>5513</v>
      </c>
      <c r="H45" s="35" t="s">
        <v>5514</v>
      </c>
      <c r="I45" s="35" t="s">
        <v>5515</v>
      </c>
      <c r="J45" s="6" t="s">
        <v>5516</v>
      </c>
      <c r="K45" s="209" t="n">
        <v>1</v>
      </c>
      <c r="L45" s="209" t="s">
        <v>4663</v>
      </c>
      <c r="M45" s="6" t="s">
        <v>5517</v>
      </c>
      <c r="N45" s="209" t="s">
        <v>5175</v>
      </c>
      <c r="O45" s="35" t="s">
        <v>4666</v>
      </c>
      <c r="P45" s="35" t="s">
        <v>571</v>
      </c>
      <c r="Q45" s="35" t="s">
        <v>5518</v>
      </c>
      <c r="R45" s="35" t="s">
        <v>571</v>
      </c>
      <c r="S45" s="35" t="s">
        <v>571</v>
      </c>
      <c r="T45" s="35" t="s">
        <v>571</v>
      </c>
      <c r="U45" s="35" t="s">
        <v>5426</v>
      </c>
      <c r="V45" s="18" t="s">
        <v>5519</v>
      </c>
      <c r="W45" s="18" t="s">
        <v>5520</v>
      </c>
      <c r="X45" s="183" t="n">
        <f aca="false">IF($O45="Active",SUMPRODUCT(($AH$5:$AH$105=$AH45)*1),0)</f>
        <v>1</v>
      </c>
      <c r="Y45" s="183" t="n">
        <f aca="false">IF(AND($O45="Active",OR($Q45="—",$Q45="")),1,0)</f>
        <v>0</v>
      </c>
      <c r="Z45" s="183" t="n">
        <f aca="false">IF(AND($O45="Active",$L45="利害關係方",OR($R45="—",$R45="")),1,0)</f>
        <v>1</v>
      </c>
      <c r="AA45" s="35" t="s">
        <v>5521</v>
      </c>
      <c r="AB45" s="35" t="s">
        <v>5522</v>
      </c>
      <c r="AG45" s="209" t="s">
        <v>5523</v>
      </c>
      <c r="AH45" s="34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35" t="s">
        <v>3485</v>
      </c>
      <c r="B46" s="6" t="s">
        <v>5524</v>
      </c>
      <c r="C46" s="211" t="n">
        <v>14800</v>
      </c>
      <c r="D46" s="209"/>
      <c r="E46" s="209"/>
      <c r="F46" s="35" t="s">
        <v>5512</v>
      </c>
      <c r="G46" s="35" t="s">
        <v>5525</v>
      </c>
      <c r="H46" s="35" t="s">
        <v>5514</v>
      </c>
      <c r="I46" s="35" t="s">
        <v>5515</v>
      </c>
      <c r="J46" s="6" t="s">
        <v>5516</v>
      </c>
      <c r="K46" s="209" t="n">
        <v>1</v>
      </c>
      <c r="L46" s="209" t="s">
        <v>4663</v>
      </c>
      <c r="M46" s="6" t="s">
        <v>5517</v>
      </c>
      <c r="N46" s="209" t="s">
        <v>5175</v>
      </c>
      <c r="O46" s="35" t="s">
        <v>4666</v>
      </c>
      <c r="P46" s="35" t="s">
        <v>571</v>
      </c>
      <c r="Q46" s="35" t="s">
        <v>5518</v>
      </c>
      <c r="R46" s="35" t="s">
        <v>571</v>
      </c>
      <c r="S46" s="35" t="s">
        <v>571</v>
      </c>
      <c r="T46" s="35" t="s">
        <v>571</v>
      </c>
      <c r="U46" s="35" t="s">
        <v>5426</v>
      </c>
      <c r="V46" s="18" t="s">
        <v>5526</v>
      </c>
      <c r="W46" s="18" t="s">
        <v>5527</v>
      </c>
      <c r="X46" s="183" t="n">
        <f aca="false">IF($O46="Active",SUMPRODUCT(($AH$5:$AH$105=$AH46)*1),0)</f>
        <v>1</v>
      </c>
      <c r="Y46" s="183" t="n">
        <f aca="false">IF(AND($O46="Active",OR($Q46="—",$Q46="")),1,0)</f>
        <v>0</v>
      </c>
      <c r="Z46" s="183" t="n">
        <f aca="false">IF(AND($O46="Active",$L46="利害關係方",OR($R46="—",$R46="")),1,0)</f>
        <v>1</v>
      </c>
      <c r="AA46" s="35" t="s">
        <v>5521</v>
      </c>
      <c r="AB46" s="35" t="s">
        <v>5522</v>
      </c>
      <c r="AG46" s="209" t="s">
        <v>5528</v>
      </c>
      <c r="AH46" s="34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35" t="s">
        <v>5529</v>
      </c>
      <c r="B47" s="6" t="s">
        <v>5530</v>
      </c>
      <c r="C47" s="211" t="n">
        <v>608</v>
      </c>
      <c r="D47" s="209"/>
      <c r="E47" s="209"/>
      <c r="F47" s="35" t="s">
        <v>5531</v>
      </c>
      <c r="G47" s="35" t="s">
        <v>5532</v>
      </c>
      <c r="H47" s="35" t="s">
        <v>5514</v>
      </c>
      <c r="I47" s="35" t="s">
        <v>5515</v>
      </c>
      <c r="J47" s="6" t="s">
        <v>5516</v>
      </c>
      <c r="K47" s="209" t="n">
        <v>1</v>
      </c>
      <c r="L47" s="209" t="s">
        <v>4663</v>
      </c>
      <c r="M47" s="6" t="s">
        <v>5517</v>
      </c>
      <c r="N47" s="209" t="s">
        <v>5175</v>
      </c>
      <c r="O47" s="35" t="s">
        <v>4666</v>
      </c>
      <c r="P47" s="35" t="s">
        <v>571</v>
      </c>
      <c r="Q47" s="35" t="s">
        <v>5518</v>
      </c>
      <c r="R47" s="35" t="s">
        <v>571</v>
      </c>
      <c r="S47" s="35" t="s">
        <v>571</v>
      </c>
      <c r="T47" s="35" t="s">
        <v>571</v>
      </c>
      <c r="U47" s="35" t="s">
        <v>5426</v>
      </c>
      <c r="V47" s="6" t="s">
        <v>571</v>
      </c>
      <c r="W47" s="6" t="s">
        <v>571</v>
      </c>
      <c r="X47" s="183" t="n">
        <f aca="false">IF($O47="Active",SUMPRODUCT(($AH$5:$AH$105=$AH47)*1),0)</f>
        <v>1</v>
      </c>
      <c r="Y47" s="183" t="n">
        <f aca="false">IF(AND($O47="Active",OR($Q47="—",$Q47="")),1,0)</f>
        <v>0</v>
      </c>
      <c r="Z47" s="183" t="n">
        <f aca="false">IF(AND($O47="Active",$L47="利害關係方",OR($R47="—",$R47="")),1,0)</f>
        <v>1</v>
      </c>
      <c r="AH47" s="34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35" t="s">
        <v>5533</v>
      </c>
      <c r="B48" s="6" t="s">
        <v>5534</v>
      </c>
      <c r="C48" s="211" t="n">
        <v>0.563</v>
      </c>
      <c r="D48" s="209"/>
      <c r="E48" s="209"/>
      <c r="F48" s="35" t="s">
        <v>71</v>
      </c>
      <c r="G48" s="35" t="s">
        <v>5535</v>
      </c>
      <c r="H48" s="35" t="s">
        <v>5514</v>
      </c>
      <c r="I48" s="35" t="s">
        <v>5515</v>
      </c>
      <c r="J48" s="6" t="s">
        <v>5516</v>
      </c>
      <c r="K48" s="209" t="n">
        <v>1</v>
      </c>
      <c r="L48" s="209" t="s">
        <v>4663</v>
      </c>
      <c r="M48" s="6" t="s">
        <v>5517</v>
      </c>
      <c r="N48" s="209" t="s">
        <v>5175</v>
      </c>
      <c r="O48" s="35" t="s">
        <v>4666</v>
      </c>
      <c r="P48" s="35" t="s">
        <v>571</v>
      </c>
      <c r="Q48" s="35" t="s">
        <v>5518</v>
      </c>
      <c r="R48" s="35" t="s">
        <v>571</v>
      </c>
      <c r="S48" s="35" t="s">
        <v>571</v>
      </c>
      <c r="T48" s="35" t="s">
        <v>571</v>
      </c>
      <c r="U48" s="35" t="s">
        <v>5426</v>
      </c>
      <c r="V48" s="18" t="s">
        <v>5536</v>
      </c>
      <c r="W48" s="18" t="s">
        <v>5537</v>
      </c>
      <c r="X48" s="183" t="n">
        <f aca="false">IF($O48="Active",SUMPRODUCT(($AH$5:$AH$105=$AH48)*1),0)</f>
        <v>1</v>
      </c>
      <c r="Y48" s="183" t="n">
        <f aca="false">IF(AND($O48="Active",OR($Q48="—",$Q48="")),1,0)</f>
        <v>0</v>
      </c>
      <c r="Z48" s="183" t="n">
        <f aca="false">IF(AND($O48="Active",$L48="利害關係方",OR($R48="—",$R48="")),1,0)</f>
        <v>1</v>
      </c>
      <c r="AH48" s="34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35" t="s">
        <v>5538</v>
      </c>
      <c r="B49" s="6" t="s">
        <v>5539</v>
      </c>
      <c r="C49" s="211" t="n">
        <v>168</v>
      </c>
      <c r="D49" s="209"/>
      <c r="E49" s="209"/>
      <c r="F49" s="35" t="s">
        <v>5531</v>
      </c>
      <c r="G49" s="35" t="s">
        <v>5532</v>
      </c>
      <c r="H49" s="35" t="s">
        <v>5514</v>
      </c>
      <c r="I49" s="35" t="s">
        <v>5515</v>
      </c>
      <c r="J49" s="6" t="s">
        <v>5516</v>
      </c>
      <c r="K49" s="209" t="n">
        <v>1</v>
      </c>
      <c r="L49" s="209" t="s">
        <v>4663</v>
      </c>
      <c r="M49" s="6" t="s">
        <v>5517</v>
      </c>
      <c r="N49" s="209" t="s">
        <v>5175</v>
      </c>
      <c r="O49" s="35" t="s">
        <v>4666</v>
      </c>
      <c r="P49" s="35" t="s">
        <v>571</v>
      </c>
      <c r="Q49" s="35" t="s">
        <v>5518</v>
      </c>
      <c r="R49" s="35" t="s">
        <v>571</v>
      </c>
      <c r="S49" s="35" t="s">
        <v>571</v>
      </c>
      <c r="T49" s="35" t="s">
        <v>571</v>
      </c>
      <c r="U49" s="35" t="s">
        <v>5426</v>
      </c>
      <c r="V49" s="6" t="s">
        <v>571</v>
      </c>
      <c r="W49" s="6" t="s">
        <v>571</v>
      </c>
      <c r="X49" s="183" t="n">
        <f aca="false">IF($O49="Active",SUMPRODUCT(($AH$5:$AH$105=$AH49)*1),0)</f>
        <v>1</v>
      </c>
      <c r="Y49" s="183" t="n">
        <f aca="false">IF(AND($O49="Active",OR($Q49="—",$Q49="")),1,0)</f>
        <v>0</v>
      </c>
      <c r="Z49" s="183" t="n">
        <f aca="false">IF(AND($O49="Active",$L49="利害關係方",OR($R49="—",$R49="")),1,0)</f>
        <v>1</v>
      </c>
      <c r="AH49" s="34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35" t="s">
        <v>5540</v>
      </c>
      <c r="B50" s="6" t="s">
        <v>5541</v>
      </c>
      <c r="C50" s="209"/>
      <c r="D50" s="211" t="n">
        <v>20</v>
      </c>
      <c r="E50" s="211" t="n">
        <v>22</v>
      </c>
      <c r="F50" s="35" t="s">
        <v>330</v>
      </c>
      <c r="G50" s="35" t="s">
        <v>5532</v>
      </c>
      <c r="H50" s="35" t="s">
        <v>5514</v>
      </c>
      <c r="I50" s="35" t="s">
        <v>5515</v>
      </c>
      <c r="J50" s="6" t="s">
        <v>5516</v>
      </c>
      <c r="K50" s="209" t="n">
        <v>1</v>
      </c>
      <c r="L50" s="209" t="s">
        <v>4663</v>
      </c>
      <c r="M50" s="6" t="s">
        <v>5517</v>
      </c>
      <c r="N50" s="209" t="s">
        <v>5175</v>
      </c>
      <c r="O50" s="35" t="s">
        <v>4666</v>
      </c>
      <c r="P50" s="35" t="s">
        <v>571</v>
      </c>
      <c r="Q50" s="35" t="s">
        <v>5518</v>
      </c>
      <c r="R50" s="35" t="s">
        <v>571</v>
      </c>
      <c r="S50" s="35" t="s">
        <v>571</v>
      </c>
      <c r="T50" s="35" t="s">
        <v>571</v>
      </c>
      <c r="U50" s="35" t="s">
        <v>5426</v>
      </c>
      <c r="V50" s="18" t="s">
        <v>5542</v>
      </c>
      <c r="W50" s="18" t="s">
        <v>5543</v>
      </c>
      <c r="X50" s="183" t="n">
        <f aca="false">IF($O50="Active",SUMPRODUCT(($AH$5:$AH$105=$AH50)*1),0)</f>
        <v>1</v>
      </c>
      <c r="Y50" s="183" t="n">
        <f aca="false">IF(AND($O50="Active",OR($Q50="—",$Q50="")),1,0)</f>
        <v>0</v>
      </c>
      <c r="Z50" s="183" t="n">
        <f aca="false">IF(AND($O50="Active",$L50="利害關係方",OR($R50="—",$R50="")),1,0)</f>
        <v>1</v>
      </c>
      <c r="AH50" s="34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35" t="s">
        <v>5544</v>
      </c>
      <c r="B51" s="6" t="s">
        <v>5545</v>
      </c>
      <c r="C51" s="211" t="n">
        <v>4989</v>
      </c>
      <c r="D51" s="209"/>
      <c r="E51" s="209"/>
      <c r="F51" s="35" t="s">
        <v>249</v>
      </c>
      <c r="G51" s="35" t="s">
        <v>5532</v>
      </c>
      <c r="H51" s="35" t="s">
        <v>5514</v>
      </c>
      <c r="I51" s="35" t="s">
        <v>5515</v>
      </c>
      <c r="J51" s="6" t="s">
        <v>5516</v>
      </c>
      <c r="K51" s="209" t="n">
        <v>1</v>
      </c>
      <c r="L51" s="209" t="s">
        <v>4663</v>
      </c>
      <c r="M51" s="6" t="s">
        <v>5517</v>
      </c>
      <c r="N51" s="209" t="s">
        <v>5175</v>
      </c>
      <c r="O51" s="35" t="s">
        <v>4666</v>
      </c>
      <c r="P51" s="35" t="s">
        <v>571</v>
      </c>
      <c r="Q51" s="35" t="s">
        <v>5518</v>
      </c>
      <c r="R51" s="35" t="s">
        <v>571</v>
      </c>
      <c r="S51" s="35" t="s">
        <v>571</v>
      </c>
      <c r="T51" s="35" t="s">
        <v>571</v>
      </c>
      <c r="U51" s="35" t="s">
        <v>5426</v>
      </c>
      <c r="V51" s="6" t="s">
        <v>571</v>
      </c>
      <c r="W51" s="6" t="s">
        <v>571</v>
      </c>
      <c r="X51" s="183" t="n">
        <f aca="false">IF($O51="Active",SUMPRODUCT(($AH$5:$AH$105=$AH51)*1),0)</f>
        <v>1</v>
      </c>
      <c r="Y51" s="183" t="n">
        <f aca="false">IF(AND($O51="Active",OR($Q51="—",$Q51="")),1,0)</f>
        <v>0</v>
      </c>
      <c r="Z51" s="183" t="n">
        <f aca="false">IF(AND($O51="Active",$L51="利害關係方",OR($R51="—",$R51="")),1,0)</f>
        <v>1</v>
      </c>
      <c r="AH51" s="34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35" t="s">
        <v>5546</v>
      </c>
      <c r="B52" s="6" t="s">
        <v>5547</v>
      </c>
      <c r="C52" s="211" t="n">
        <v>278</v>
      </c>
      <c r="D52" s="209"/>
      <c r="E52" s="209"/>
      <c r="F52" s="209" t="s">
        <v>5548</v>
      </c>
      <c r="G52" s="35" t="s">
        <v>5549</v>
      </c>
      <c r="H52" s="35" t="s">
        <v>5514</v>
      </c>
      <c r="I52" s="35" t="s">
        <v>5515</v>
      </c>
      <c r="J52" s="6" t="s">
        <v>5516</v>
      </c>
      <c r="K52" s="209" t="n">
        <v>1</v>
      </c>
      <c r="L52" s="209" t="s">
        <v>4663</v>
      </c>
      <c r="M52" s="6" t="s">
        <v>5517</v>
      </c>
      <c r="N52" s="209" t="s">
        <v>5175</v>
      </c>
      <c r="O52" s="35" t="s">
        <v>4666</v>
      </c>
      <c r="P52" s="35" t="s">
        <v>571</v>
      </c>
      <c r="Q52" s="35" t="s">
        <v>5518</v>
      </c>
      <c r="R52" s="35" t="s">
        <v>571</v>
      </c>
      <c r="S52" s="35" t="s">
        <v>571</v>
      </c>
      <c r="T52" s="35" t="s">
        <v>571</v>
      </c>
      <c r="U52" s="35" t="s">
        <v>5426</v>
      </c>
      <c r="V52" s="6" t="s">
        <v>571</v>
      </c>
      <c r="W52" s="18" t="s">
        <v>5550</v>
      </c>
      <c r="X52" s="183" t="n">
        <f aca="false">IF($O52="Active",SUMPRODUCT(($AH$5:$AH$105=$AH52)*1),0)</f>
        <v>1</v>
      </c>
      <c r="Y52" s="183" t="n">
        <f aca="false">IF(AND($O52="Active",OR($Q52="—",$Q52="")),1,0)</f>
        <v>0</v>
      </c>
      <c r="Z52" s="183" t="n">
        <f aca="false">IF(AND($O52="Active",$L52="利害關係方",OR($R52="—",$R52="")),1,0)</f>
        <v>1</v>
      </c>
      <c r="AH52" s="34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35" t="s">
        <v>5551</v>
      </c>
      <c r="B53" s="6" t="s">
        <v>5552</v>
      </c>
      <c r="C53" s="211" t="n">
        <v>226.75</v>
      </c>
      <c r="D53" s="209"/>
      <c r="E53" s="209"/>
      <c r="F53" s="209" t="s">
        <v>5548</v>
      </c>
      <c r="G53" s="35" t="s">
        <v>5549</v>
      </c>
      <c r="H53" s="35" t="s">
        <v>5514</v>
      </c>
      <c r="I53" s="35" t="s">
        <v>5515</v>
      </c>
      <c r="J53" s="6" t="s">
        <v>5516</v>
      </c>
      <c r="K53" s="209" t="n">
        <v>1</v>
      </c>
      <c r="L53" s="209" t="s">
        <v>4663</v>
      </c>
      <c r="M53" s="6" t="s">
        <v>5517</v>
      </c>
      <c r="N53" s="209" t="s">
        <v>5175</v>
      </c>
      <c r="O53" s="35" t="s">
        <v>4666</v>
      </c>
      <c r="P53" s="35" t="s">
        <v>571</v>
      </c>
      <c r="Q53" s="35" t="s">
        <v>5518</v>
      </c>
      <c r="R53" s="35" t="s">
        <v>571</v>
      </c>
      <c r="S53" s="35" t="s">
        <v>571</v>
      </c>
      <c r="T53" s="35" t="s">
        <v>571</v>
      </c>
      <c r="U53" s="35" t="s">
        <v>5426</v>
      </c>
      <c r="V53" s="6" t="s">
        <v>571</v>
      </c>
      <c r="W53" s="6" t="s">
        <v>571</v>
      </c>
      <c r="X53" s="183" t="n">
        <f aca="false">IF($O53="Active",SUMPRODUCT(($AH$5:$AH$105=$AH53)*1),0)</f>
        <v>1</v>
      </c>
      <c r="Y53" s="183" t="n">
        <f aca="false">IF(AND($O53="Active",OR($Q53="—",$Q53="")),1,0)</f>
        <v>0</v>
      </c>
      <c r="Z53" s="183" t="n">
        <f aca="false">IF(AND($O53="Active",$L53="利害關係方",OR($R53="—",$R53="")),1,0)</f>
        <v>1</v>
      </c>
      <c r="AH53" s="34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35" t="s">
        <v>5553</v>
      </c>
      <c r="B54" s="6" t="s">
        <v>5554</v>
      </c>
      <c r="C54" s="211" t="n">
        <v>4</v>
      </c>
      <c r="D54" s="209"/>
      <c r="E54" s="209"/>
      <c r="F54" s="209" t="s">
        <v>5548</v>
      </c>
      <c r="G54" s="35" t="s">
        <v>5555</v>
      </c>
      <c r="H54" s="35" t="s">
        <v>5514</v>
      </c>
      <c r="I54" s="35" t="s">
        <v>5515</v>
      </c>
      <c r="J54" s="6" t="s">
        <v>5516</v>
      </c>
      <c r="K54" s="209" t="n">
        <v>1</v>
      </c>
      <c r="L54" s="209" t="s">
        <v>4663</v>
      </c>
      <c r="M54" s="6" t="s">
        <v>5517</v>
      </c>
      <c r="N54" s="209" t="s">
        <v>5175</v>
      </c>
      <c r="O54" s="35" t="s">
        <v>4666</v>
      </c>
      <c r="P54" s="35" t="s">
        <v>571</v>
      </c>
      <c r="Q54" s="35" t="s">
        <v>5518</v>
      </c>
      <c r="R54" s="35" t="s">
        <v>571</v>
      </c>
      <c r="S54" s="35" t="s">
        <v>571</v>
      </c>
      <c r="T54" s="35" t="s">
        <v>571</v>
      </c>
      <c r="U54" s="35" t="s">
        <v>5426</v>
      </c>
      <c r="V54" s="18" t="s">
        <v>5556</v>
      </c>
      <c r="W54" s="18" t="s">
        <v>5557</v>
      </c>
      <c r="X54" s="183" t="n">
        <f aca="false">IF($O54="Active",SUMPRODUCT(($AH$5:$AH$105=$AH54)*1),0)</f>
        <v>1</v>
      </c>
      <c r="Y54" s="183" t="n">
        <f aca="false">IF(AND($O54="Active",OR($Q54="—",$Q54="")),1,0)</f>
        <v>0</v>
      </c>
      <c r="Z54" s="183" t="n">
        <f aca="false">IF(AND($O54="Active",$L54="利害關係方",OR($R54="—",$R54="")),1,0)</f>
        <v>1</v>
      </c>
      <c r="AH54" s="34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35" t="s">
        <v>3037</v>
      </c>
      <c r="B55" s="6" t="s">
        <v>5558</v>
      </c>
      <c r="C55" s="211" t="n">
        <v>18</v>
      </c>
      <c r="D55" s="209"/>
      <c r="E55" s="209"/>
      <c r="F55" s="209" t="s">
        <v>5548</v>
      </c>
      <c r="G55" s="35" t="s">
        <v>5559</v>
      </c>
      <c r="H55" s="35" t="s">
        <v>5514</v>
      </c>
      <c r="I55" s="35" t="s">
        <v>5515</v>
      </c>
      <c r="J55" s="6" t="s">
        <v>5516</v>
      </c>
      <c r="K55" s="209" t="n">
        <v>1</v>
      </c>
      <c r="L55" s="209" t="s">
        <v>4663</v>
      </c>
      <c r="M55" s="6" t="s">
        <v>5517</v>
      </c>
      <c r="N55" s="209" t="s">
        <v>5175</v>
      </c>
      <c r="O55" s="35" t="s">
        <v>4666</v>
      </c>
      <c r="P55" s="35" t="s">
        <v>571</v>
      </c>
      <c r="Q55" s="35" t="s">
        <v>5518</v>
      </c>
      <c r="R55" s="35" t="s">
        <v>571</v>
      </c>
      <c r="S55" s="35" t="s">
        <v>571</v>
      </c>
      <c r="T55" s="35" t="s">
        <v>571</v>
      </c>
      <c r="U55" s="35" t="s">
        <v>5426</v>
      </c>
      <c r="V55" s="18" t="s">
        <v>5560</v>
      </c>
      <c r="W55" s="18" t="s">
        <v>5561</v>
      </c>
      <c r="X55" s="183" t="n">
        <f aca="false">IF($O55="Active",SUMPRODUCT(($AH$5:$AH$105=$AH55)*1),0)</f>
        <v>1</v>
      </c>
      <c r="Y55" s="183" t="n">
        <f aca="false">IF(AND($O55="Active",OR($Q55="—",$Q55="")),1,0)</f>
        <v>0</v>
      </c>
      <c r="Z55" s="183" t="n">
        <f aca="false">IF(AND($O55="Active",$L55="利害關係方",OR($R55="—",$R55="")),1,0)</f>
        <v>1</v>
      </c>
      <c r="AH55" s="34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7" t="s">
        <v>5562</v>
      </c>
    </row>
    <row r="2" customFormat="false" ht="15" hidden="false" customHeight="true" outlineLevel="0" collapsed="false">
      <c r="A2" s="218" t="s">
        <v>4637</v>
      </c>
    </row>
    <row r="3" customFormat="false" ht="15" hidden="false" customHeight="true" outlineLevel="0" collapsed="false">
      <c r="A3" s="218" t="s">
        <v>4638</v>
      </c>
    </row>
    <row r="4" customFormat="false" ht="43.5" hidden="false" customHeight="true" outlineLevel="0" collapsed="false">
      <c r="A4" s="77" t="s">
        <v>4639</v>
      </c>
      <c r="B4" s="208" t="s">
        <v>1839</v>
      </c>
      <c r="C4" s="208" t="s">
        <v>4640</v>
      </c>
      <c r="D4" s="208" t="s">
        <v>1099</v>
      </c>
      <c r="E4" s="208" t="s">
        <v>1100</v>
      </c>
      <c r="F4" s="208" t="s">
        <v>55</v>
      </c>
      <c r="G4" s="208" t="s">
        <v>427</v>
      </c>
      <c r="H4" s="208" t="s">
        <v>4641</v>
      </c>
      <c r="I4" s="208" t="s">
        <v>4294</v>
      </c>
      <c r="J4" s="208" t="s">
        <v>4297</v>
      </c>
      <c r="K4" s="208" t="s">
        <v>4472</v>
      </c>
      <c r="L4" s="208" t="s">
        <v>4642</v>
      </c>
      <c r="M4" s="208" t="s">
        <v>4643</v>
      </c>
      <c r="N4" s="208" t="s">
        <v>4644</v>
      </c>
      <c r="O4" s="208" t="s">
        <v>558</v>
      </c>
      <c r="P4" s="208" t="s">
        <v>4645</v>
      </c>
      <c r="Q4" s="77" t="s">
        <v>4646</v>
      </c>
      <c r="R4" s="208" t="s">
        <v>4647</v>
      </c>
      <c r="S4" s="208" t="s">
        <v>4648</v>
      </c>
      <c r="T4" s="77" t="s">
        <v>4649</v>
      </c>
      <c r="U4" s="208" t="s">
        <v>4650</v>
      </c>
      <c r="V4" s="208" t="s">
        <v>4651</v>
      </c>
      <c r="W4" s="208" t="s">
        <v>4652</v>
      </c>
      <c r="X4" s="208" t="s">
        <v>4653</v>
      </c>
      <c r="Y4" s="208" t="s">
        <v>4654</v>
      </c>
      <c r="Z4" s="208" t="s">
        <v>4655</v>
      </c>
      <c r="AH4" s="76" t="s">
        <v>4656</v>
      </c>
    </row>
    <row r="5" customFormat="false" ht="29.25" hidden="false" customHeight="true" outlineLevel="0" collapsed="false">
      <c r="A5" s="35" t="s">
        <v>2144</v>
      </c>
      <c r="B5" s="6" t="s">
        <v>5563</v>
      </c>
      <c r="C5" s="211" t="n">
        <v>42</v>
      </c>
      <c r="D5" s="209"/>
      <c r="E5" s="209"/>
      <c r="F5" s="35" t="s">
        <v>5564</v>
      </c>
      <c r="G5" s="209" t="s">
        <v>5565</v>
      </c>
      <c r="H5" s="35" t="s">
        <v>5566</v>
      </c>
      <c r="I5" s="35" t="s">
        <v>4765</v>
      </c>
      <c r="J5" s="6" t="s">
        <v>5567</v>
      </c>
      <c r="K5" s="209" t="n">
        <v>3</v>
      </c>
      <c r="L5" s="209" t="s">
        <v>4663</v>
      </c>
      <c r="M5" s="6" t="s">
        <v>5568</v>
      </c>
      <c r="N5" s="209" t="s">
        <v>4676</v>
      </c>
      <c r="O5" s="35" t="s">
        <v>4666</v>
      </c>
      <c r="P5" s="35" t="s">
        <v>571</v>
      </c>
      <c r="Q5" s="35" t="s">
        <v>5569</v>
      </c>
      <c r="R5" s="35" t="s">
        <v>571</v>
      </c>
      <c r="S5" s="35" t="s">
        <v>571</v>
      </c>
      <c r="T5" s="35" t="s">
        <v>571</v>
      </c>
      <c r="U5" s="35" t="s">
        <v>5570</v>
      </c>
      <c r="V5" s="6" t="s">
        <v>5571</v>
      </c>
      <c r="W5" s="6" t="s">
        <v>5572</v>
      </c>
      <c r="X5" s="183" t="n">
        <f aca="false">IF($O5="Active",SUMPRODUCT(($AH$5:$AH$98=$AH5)*1),0)</f>
        <v>1</v>
      </c>
      <c r="Y5" s="183" t="n">
        <f aca="false">IF(AND($O5="Active",OR($Q5="—",$Q5="")),1,0)</f>
        <v>0</v>
      </c>
      <c r="Z5" s="183" t="n">
        <f aca="false">IF(AND($O5="Active",$L5="利害關係方",OR($R5="—",$R5="")),1,0)</f>
        <v>1</v>
      </c>
      <c r="AH5" s="34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35" t="s">
        <v>2151</v>
      </c>
      <c r="B6" s="18" t="s">
        <v>5573</v>
      </c>
      <c r="C6" s="211" t="n">
        <v>3.57</v>
      </c>
      <c r="D6" s="209"/>
      <c r="E6" s="209"/>
      <c r="F6" s="35" t="s">
        <v>803</v>
      </c>
      <c r="G6" s="35" t="s">
        <v>5574</v>
      </c>
      <c r="H6" s="209" t="s">
        <v>5575</v>
      </c>
      <c r="I6" s="35" t="s">
        <v>1173</v>
      </c>
      <c r="J6" s="6" t="s">
        <v>5576</v>
      </c>
      <c r="K6" s="209" t="n">
        <v>2</v>
      </c>
      <c r="L6" s="209" t="s">
        <v>4767</v>
      </c>
      <c r="M6" s="18" t="s">
        <v>5577</v>
      </c>
      <c r="N6" s="209" t="s">
        <v>5578</v>
      </c>
      <c r="O6" s="35" t="s">
        <v>4666</v>
      </c>
      <c r="P6" s="35" t="s">
        <v>571</v>
      </c>
      <c r="Q6" s="35" t="s">
        <v>5579</v>
      </c>
      <c r="R6" s="35" t="s">
        <v>571</v>
      </c>
      <c r="S6" s="35" t="s">
        <v>571</v>
      </c>
      <c r="T6" s="35" t="s">
        <v>571</v>
      </c>
      <c r="U6" s="35" t="s">
        <v>5580</v>
      </c>
      <c r="V6" s="6" t="s">
        <v>5581</v>
      </c>
      <c r="W6" s="18" t="s">
        <v>5582</v>
      </c>
      <c r="X6" s="183" t="n">
        <f aca="false">IF($O6="Active",SUMPRODUCT(($AH$5:$AH$98=$AH6)*1),0)</f>
        <v>1</v>
      </c>
      <c r="Y6" s="183" t="n">
        <f aca="false">IF(AND($O6="Active",OR($Q6="—",$Q6="")),1,0)</f>
        <v>0</v>
      </c>
      <c r="Z6" s="183" t="n">
        <f aca="false">IF(AND($O6="Active",$L6="利害關係方",OR($R6="—",$R6="")),1,0)</f>
        <v>0</v>
      </c>
      <c r="AH6" s="34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35" t="s">
        <v>5583</v>
      </c>
      <c r="B7" s="6" t="s">
        <v>5584</v>
      </c>
      <c r="C7" s="211" t="n">
        <v>0.1</v>
      </c>
      <c r="D7" s="209"/>
      <c r="E7" s="209"/>
      <c r="F7" s="35" t="s">
        <v>758</v>
      </c>
      <c r="G7" s="35" t="s">
        <v>5585</v>
      </c>
      <c r="H7" s="35" t="s">
        <v>1160</v>
      </c>
      <c r="I7" s="35" t="s">
        <v>1164</v>
      </c>
      <c r="J7" s="6" t="s">
        <v>5586</v>
      </c>
      <c r="K7" s="209" t="n">
        <v>1</v>
      </c>
      <c r="L7" s="209" t="s">
        <v>4663</v>
      </c>
      <c r="M7" s="6" t="s">
        <v>5587</v>
      </c>
      <c r="N7" s="209" t="s">
        <v>5175</v>
      </c>
      <c r="O7" s="35" t="s">
        <v>4666</v>
      </c>
      <c r="P7" s="35" t="s">
        <v>571</v>
      </c>
      <c r="Q7" s="35" t="s">
        <v>5588</v>
      </c>
      <c r="R7" s="35" t="s">
        <v>571</v>
      </c>
      <c r="S7" s="35" t="s">
        <v>571</v>
      </c>
      <c r="T7" s="35" t="s">
        <v>571</v>
      </c>
      <c r="U7" s="35" t="s">
        <v>5589</v>
      </c>
      <c r="V7" s="6" t="s">
        <v>5590</v>
      </c>
      <c r="W7" s="6" t="s">
        <v>571</v>
      </c>
      <c r="X7" s="183" t="n">
        <f aca="false">IF($O7="Active",SUMPRODUCT(($AH$5:$AH$98=$AH7)*1),0)</f>
        <v>1</v>
      </c>
      <c r="Y7" s="183" t="n">
        <f aca="false">IF(AND($O7="Active",OR($Q7="—",$Q7="")),1,0)</f>
        <v>0</v>
      </c>
      <c r="Z7" s="183" t="n">
        <f aca="false">IF(AND($O7="Active",$L7="利害關係方",OR($R7="—",$R7="")),1,0)</f>
        <v>1</v>
      </c>
      <c r="AH7" s="34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35" t="s">
        <v>5591</v>
      </c>
      <c r="B8" s="6" t="s">
        <v>5592</v>
      </c>
      <c r="C8" s="211" t="n">
        <v>0.01</v>
      </c>
      <c r="D8" s="209"/>
      <c r="E8" s="209"/>
      <c r="F8" s="35" t="s">
        <v>758</v>
      </c>
      <c r="G8" s="35" t="s">
        <v>5585</v>
      </c>
      <c r="H8" s="35" t="s">
        <v>1160</v>
      </c>
      <c r="I8" s="35" t="s">
        <v>1164</v>
      </c>
      <c r="J8" s="6" t="s">
        <v>5586</v>
      </c>
      <c r="K8" s="209" t="n">
        <v>1</v>
      </c>
      <c r="L8" s="209" t="s">
        <v>4663</v>
      </c>
      <c r="M8" s="6" t="s">
        <v>5587</v>
      </c>
      <c r="N8" s="209" t="s">
        <v>5175</v>
      </c>
      <c r="O8" s="35" t="s">
        <v>4666</v>
      </c>
      <c r="P8" s="35" t="s">
        <v>571</v>
      </c>
      <c r="Q8" s="35" t="s">
        <v>5588</v>
      </c>
      <c r="R8" s="35" t="s">
        <v>571</v>
      </c>
      <c r="S8" s="35" t="s">
        <v>571</v>
      </c>
      <c r="T8" s="35" t="s">
        <v>571</v>
      </c>
      <c r="U8" s="35" t="s">
        <v>5589</v>
      </c>
      <c r="V8" s="6" t="s">
        <v>5593</v>
      </c>
      <c r="W8" s="6" t="s">
        <v>571</v>
      </c>
      <c r="X8" s="183" t="n">
        <f aca="false">IF($O8="Active",SUMPRODUCT(($AH$5:$AH$98=$AH8)*1),0)</f>
        <v>1</v>
      </c>
      <c r="Y8" s="183" t="n">
        <f aca="false">IF(AND($O8="Active",OR($Q8="—",$Q8="")),1,0)</f>
        <v>0</v>
      </c>
      <c r="Z8" s="183" t="n">
        <f aca="false">IF(AND($O8="Active",$L8="利害關係方",OR($R8="—",$R8="")),1,0)</f>
        <v>1</v>
      </c>
      <c r="AH8" s="34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35" t="s">
        <v>5594</v>
      </c>
      <c r="B9" s="6" t="s">
        <v>5595</v>
      </c>
      <c r="C9" s="211" t="n">
        <v>0.5</v>
      </c>
      <c r="D9" s="209"/>
      <c r="E9" s="209"/>
      <c r="F9" s="35" t="s">
        <v>758</v>
      </c>
      <c r="G9" s="35" t="s">
        <v>5585</v>
      </c>
      <c r="H9" s="35" t="s">
        <v>1160</v>
      </c>
      <c r="I9" s="35" t="s">
        <v>1164</v>
      </c>
      <c r="J9" s="6" t="s">
        <v>5586</v>
      </c>
      <c r="K9" s="209" t="n">
        <v>1</v>
      </c>
      <c r="L9" s="209" t="s">
        <v>4663</v>
      </c>
      <c r="M9" s="6" t="s">
        <v>5587</v>
      </c>
      <c r="N9" s="209" t="s">
        <v>5175</v>
      </c>
      <c r="O9" s="35" t="s">
        <v>4666</v>
      </c>
      <c r="P9" s="35" t="s">
        <v>571</v>
      </c>
      <c r="Q9" s="35" t="s">
        <v>5588</v>
      </c>
      <c r="R9" s="35" t="s">
        <v>571</v>
      </c>
      <c r="S9" s="35" t="s">
        <v>571</v>
      </c>
      <c r="T9" s="35" t="s">
        <v>571</v>
      </c>
      <c r="U9" s="35" t="s">
        <v>5589</v>
      </c>
      <c r="V9" s="6" t="s">
        <v>5596</v>
      </c>
      <c r="W9" s="6" t="s">
        <v>571</v>
      </c>
      <c r="X9" s="183" t="n">
        <f aca="false">IF($O9="Active",SUMPRODUCT(($AH$5:$AH$98=$AH9)*1),0)</f>
        <v>1</v>
      </c>
      <c r="Y9" s="183" t="n">
        <f aca="false">IF(AND($O9="Active",OR($Q9="—",$Q9="")),1,0)</f>
        <v>0</v>
      </c>
      <c r="Z9" s="183" t="n">
        <f aca="false">IF(AND($O9="Active",$L9="利害關係方",OR($R9="—",$R9="")),1,0)</f>
        <v>1</v>
      </c>
      <c r="AH9" s="34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35" t="s">
        <v>5597</v>
      </c>
      <c r="B10" s="6" t="s">
        <v>5598</v>
      </c>
      <c r="C10" s="211" t="n">
        <v>2</v>
      </c>
      <c r="D10" s="209"/>
      <c r="E10" s="209"/>
      <c r="F10" s="35" t="s">
        <v>758</v>
      </c>
      <c r="G10" s="35" t="s">
        <v>5585</v>
      </c>
      <c r="H10" s="35" t="s">
        <v>1166</v>
      </c>
      <c r="I10" s="35" t="s">
        <v>1164</v>
      </c>
      <c r="J10" s="6" t="s">
        <v>5586</v>
      </c>
      <c r="K10" s="209" t="n">
        <v>1</v>
      </c>
      <c r="L10" s="209" t="s">
        <v>4663</v>
      </c>
      <c r="M10" s="6" t="s">
        <v>5587</v>
      </c>
      <c r="N10" s="209" t="s">
        <v>5175</v>
      </c>
      <c r="O10" s="35" t="s">
        <v>4666</v>
      </c>
      <c r="P10" s="35" t="s">
        <v>571</v>
      </c>
      <c r="Q10" s="35" t="s">
        <v>5588</v>
      </c>
      <c r="R10" s="35" t="s">
        <v>571</v>
      </c>
      <c r="S10" s="35" t="s">
        <v>571</v>
      </c>
      <c r="T10" s="35" t="s">
        <v>571</v>
      </c>
      <c r="U10" s="35" t="s">
        <v>5589</v>
      </c>
      <c r="V10" s="6" t="s">
        <v>5599</v>
      </c>
      <c r="W10" s="6" t="s">
        <v>571</v>
      </c>
      <c r="X10" s="183" t="n">
        <f aca="false">IF($O10="Active",SUMPRODUCT(($AH$5:$AH$98=$AH10)*1),0)</f>
        <v>1</v>
      </c>
      <c r="Y10" s="183" t="n">
        <f aca="false">IF(AND($O10="Active",OR($Q10="—",$Q10="")),1,0)</f>
        <v>0</v>
      </c>
      <c r="Z10" s="183" t="n">
        <f aca="false">IF(AND($O10="Active",$L10="利害關係方",OR($R10="—",$R10="")),1,0)</f>
        <v>1</v>
      </c>
      <c r="AH10" s="34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35" t="s">
        <v>5600</v>
      </c>
      <c r="B11" s="6" t="s">
        <v>5601</v>
      </c>
      <c r="C11" s="211" t="n">
        <v>0.2</v>
      </c>
      <c r="D11" s="209"/>
      <c r="E11" s="209"/>
      <c r="F11" s="35" t="s">
        <v>758</v>
      </c>
      <c r="G11" s="35" t="s">
        <v>5585</v>
      </c>
      <c r="H11" s="35" t="s">
        <v>1166</v>
      </c>
      <c r="I11" s="35" t="s">
        <v>1164</v>
      </c>
      <c r="J11" s="6" t="s">
        <v>5586</v>
      </c>
      <c r="K11" s="209" t="n">
        <v>1</v>
      </c>
      <c r="L11" s="209" t="s">
        <v>4663</v>
      </c>
      <c r="M11" s="6" t="s">
        <v>5587</v>
      </c>
      <c r="N11" s="209" t="s">
        <v>5175</v>
      </c>
      <c r="O11" s="35" t="s">
        <v>4666</v>
      </c>
      <c r="P11" s="35" t="s">
        <v>571</v>
      </c>
      <c r="Q11" s="35" t="s">
        <v>5588</v>
      </c>
      <c r="R11" s="35" t="s">
        <v>571</v>
      </c>
      <c r="S11" s="35" t="s">
        <v>571</v>
      </c>
      <c r="T11" s="35" t="s">
        <v>571</v>
      </c>
      <c r="U11" s="35" t="s">
        <v>5589</v>
      </c>
      <c r="V11" s="6" t="s">
        <v>5602</v>
      </c>
      <c r="W11" s="6" t="s">
        <v>571</v>
      </c>
      <c r="X11" s="183" t="n">
        <f aca="false">IF($O11="Active",SUMPRODUCT(($AH$5:$AH$98=$AH11)*1),0)</f>
        <v>1</v>
      </c>
      <c r="Y11" s="183" t="n">
        <f aca="false">IF(AND($O11="Active",OR($Q11="—",$Q11="")),1,0)</f>
        <v>0</v>
      </c>
      <c r="Z11" s="183" t="n">
        <f aca="false">IF(AND($O11="Active",$L11="利害關係方",OR($R11="—",$R11="")),1,0)</f>
        <v>1</v>
      </c>
      <c r="AH11" s="34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35" t="s">
        <v>5603</v>
      </c>
      <c r="B12" s="6" t="s">
        <v>5604</v>
      </c>
      <c r="C12" s="211" t="n">
        <v>10</v>
      </c>
      <c r="D12" s="209"/>
      <c r="E12" s="209"/>
      <c r="F12" s="35" t="s">
        <v>758</v>
      </c>
      <c r="G12" s="35" t="s">
        <v>5585</v>
      </c>
      <c r="H12" s="35" t="s">
        <v>1166</v>
      </c>
      <c r="I12" s="35" t="s">
        <v>1164</v>
      </c>
      <c r="J12" s="6" t="s">
        <v>5586</v>
      </c>
      <c r="K12" s="209" t="n">
        <v>1</v>
      </c>
      <c r="L12" s="209" t="s">
        <v>4663</v>
      </c>
      <c r="M12" s="6" t="s">
        <v>5587</v>
      </c>
      <c r="N12" s="209" t="s">
        <v>5175</v>
      </c>
      <c r="O12" s="35" t="s">
        <v>4666</v>
      </c>
      <c r="P12" s="35" t="s">
        <v>571</v>
      </c>
      <c r="Q12" s="35" t="s">
        <v>5588</v>
      </c>
      <c r="R12" s="35" t="s">
        <v>571</v>
      </c>
      <c r="S12" s="35" t="s">
        <v>571</v>
      </c>
      <c r="T12" s="35" t="s">
        <v>571</v>
      </c>
      <c r="U12" s="35" t="s">
        <v>5589</v>
      </c>
      <c r="V12" s="6" t="s">
        <v>5605</v>
      </c>
      <c r="W12" s="6" t="s">
        <v>571</v>
      </c>
      <c r="X12" s="183" t="n">
        <f aca="false">IF($O12="Active",SUMPRODUCT(($AH$5:$AH$98=$AH12)*1),0)</f>
        <v>1</v>
      </c>
      <c r="Y12" s="183" t="n">
        <f aca="false">IF(AND($O12="Active",OR($Q12="—",$Q12="")),1,0)</f>
        <v>0</v>
      </c>
      <c r="Z12" s="183" t="n">
        <f aca="false">IF(AND($O12="Active",$L12="利害關係方",OR($R12="—",$R12="")),1,0)</f>
        <v>1</v>
      </c>
      <c r="AH12" s="34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35" t="s">
        <v>5606</v>
      </c>
      <c r="B13" s="6" t="s">
        <v>5607</v>
      </c>
      <c r="C13" s="211" t="n">
        <v>10</v>
      </c>
      <c r="D13" s="209"/>
      <c r="E13" s="209"/>
      <c r="F13" s="35" t="s">
        <v>758</v>
      </c>
      <c r="G13" s="35" t="s">
        <v>5585</v>
      </c>
      <c r="H13" s="35" t="s">
        <v>1168</v>
      </c>
      <c r="I13" s="35" t="s">
        <v>1164</v>
      </c>
      <c r="J13" s="6" t="s">
        <v>5586</v>
      </c>
      <c r="K13" s="209" t="n">
        <v>1</v>
      </c>
      <c r="L13" s="209" t="s">
        <v>4663</v>
      </c>
      <c r="M13" s="6" t="s">
        <v>5587</v>
      </c>
      <c r="N13" s="209" t="s">
        <v>5175</v>
      </c>
      <c r="O13" s="35" t="s">
        <v>4666</v>
      </c>
      <c r="P13" s="35" t="s">
        <v>571</v>
      </c>
      <c r="Q13" s="35" t="s">
        <v>5588</v>
      </c>
      <c r="R13" s="35" t="s">
        <v>571</v>
      </c>
      <c r="S13" s="35" t="s">
        <v>571</v>
      </c>
      <c r="T13" s="35" t="s">
        <v>571</v>
      </c>
      <c r="U13" s="35" t="s">
        <v>5589</v>
      </c>
      <c r="V13" s="6" t="s">
        <v>5608</v>
      </c>
      <c r="W13" s="6" t="s">
        <v>571</v>
      </c>
      <c r="X13" s="183" t="n">
        <f aca="false">IF($O13="Active",SUMPRODUCT(($AH$5:$AH$98=$AH13)*1),0)</f>
        <v>1</v>
      </c>
      <c r="Y13" s="183" t="n">
        <f aca="false">IF(AND($O13="Active",OR($Q13="—",$Q13="")),1,0)</f>
        <v>0</v>
      </c>
      <c r="Z13" s="183" t="n">
        <f aca="false">IF(AND($O13="Active",$L13="利害關係方",OR($R13="—",$R13="")),1,0)</f>
        <v>1</v>
      </c>
      <c r="AH13" s="34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35" t="s">
        <v>5609</v>
      </c>
      <c r="B14" s="6" t="s">
        <v>5610</v>
      </c>
      <c r="C14" s="211" t="n">
        <v>1</v>
      </c>
      <c r="D14" s="209"/>
      <c r="E14" s="209"/>
      <c r="F14" s="35" t="s">
        <v>758</v>
      </c>
      <c r="G14" s="35" t="s">
        <v>5585</v>
      </c>
      <c r="H14" s="35" t="s">
        <v>1168</v>
      </c>
      <c r="I14" s="35" t="s">
        <v>1164</v>
      </c>
      <c r="J14" s="6" t="s">
        <v>5586</v>
      </c>
      <c r="K14" s="209" t="n">
        <v>1</v>
      </c>
      <c r="L14" s="209" t="s">
        <v>4663</v>
      </c>
      <c r="M14" s="6" t="s">
        <v>5587</v>
      </c>
      <c r="N14" s="209" t="s">
        <v>5175</v>
      </c>
      <c r="O14" s="35" t="s">
        <v>4666</v>
      </c>
      <c r="P14" s="35" t="s">
        <v>571</v>
      </c>
      <c r="Q14" s="35" t="s">
        <v>5588</v>
      </c>
      <c r="R14" s="35" t="s">
        <v>571</v>
      </c>
      <c r="S14" s="35" t="s">
        <v>571</v>
      </c>
      <c r="T14" s="35" t="s">
        <v>571</v>
      </c>
      <c r="U14" s="35" t="s">
        <v>5589</v>
      </c>
      <c r="V14" s="6" t="s">
        <v>5611</v>
      </c>
      <c r="W14" s="6" t="s">
        <v>571</v>
      </c>
      <c r="X14" s="183" t="n">
        <f aca="false">IF($O14="Active",SUMPRODUCT(($AH$5:$AH$98=$AH14)*1),0)</f>
        <v>1</v>
      </c>
      <c r="Y14" s="183" t="n">
        <f aca="false">IF(AND($O14="Active",OR($Q14="—",$Q14="")),1,0)</f>
        <v>0</v>
      </c>
      <c r="Z14" s="183" t="n">
        <f aca="false">IF(AND($O14="Active",$L14="利害關係方",OR($R14="—",$R14="")),1,0)</f>
        <v>1</v>
      </c>
      <c r="AH14" s="34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35" t="s">
        <v>5612</v>
      </c>
      <c r="B15" s="6" t="s">
        <v>5613</v>
      </c>
      <c r="C15" s="211" t="n">
        <v>50</v>
      </c>
      <c r="D15" s="209"/>
      <c r="E15" s="209"/>
      <c r="F15" s="35" t="s">
        <v>758</v>
      </c>
      <c r="G15" s="35" t="s">
        <v>5585</v>
      </c>
      <c r="H15" s="35" t="s">
        <v>1168</v>
      </c>
      <c r="I15" s="35" t="s">
        <v>1164</v>
      </c>
      <c r="J15" s="6" t="s">
        <v>5586</v>
      </c>
      <c r="K15" s="209" t="n">
        <v>1</v>
      </c>
      <c r="L15" s="209" t="s">
        <v>4663</v>
      </c>
      <c r="M15" s="6" t="s">
        <v>5587</v>
      </c>
      <c r="N15" s="209" t="s">
        <v>5175</v>
      </c>
      <c r="O15" s="35" t="s">
        <v>4666</v>
      </c>
      <c r="P15" s="35" t="s">
        <v>571</v>
      </c>
      <c r="Q15" s="35" t="s">
        <v>5588</v>
      </c>
      <c r="R15" s="35" t="s">
        <v>571</v>
      </c>
      <c r="S15" s="35" t="s">
        <v>571</v>
      </c>
      <c r="T15" s="35" t="s">
        <v>571</v>
      </c>
      <c r="U15" s="35" t="s">
        <v>5589</v>
      </c>
      <c r="V15" s="6" t="s">
        <v>5614</v>
      </c>
      <c r="W15" s="6" t="s">
        <v>571</v>
      </c>
      <c r="X15" s="183" t="n">
        <f aca="false">IF($O15="Active",SUMPRODUCT(($AH$5:$AH$98=$AH15)*1),0)</f>
        <v>1</v>
      </c>
      <c r="Y15" s="183" t="n">
        <f aca="false">IF(AND($O15="Active",OR($Q15="—",$Q15="")),1,0)</f>
        <v>0</v>
      </c>
      <c r="Z15" s="183" t="n">
        <f aca="false">IF(AND($O15="Active",$L15="利害關係方",OR($R15="—",$R15="")),1,0)</f>
        <v>1</v>
      </c>
      <c r="AH15" s="34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35" t="s">
        <v>5615</v>
      </c>
      <c r="B16" s="6" t="s">
        <v>5616</v>
      </c>
      <c r="C16" s="211" t="n">
        <v>10</v>
      </c>
      <c r="D16" s="209"/>
      <c r="E16" s="209"/>
      <c r="F16" s="35" t="s">
        <v>758</v>
      </c>
      <c r="G16" s="35" t="s">
        <v>5585</v>
      </c>
      <c r="H16" s="35" t="s">
        <v>1171</v>
      </c>
      <c r="I16" s="35" t="s">
        <v>1173</v>
      </c>
      <c r="J16" s="6" t="s">
        <v>5617</v>
      </c>
      <c r="K16" s="209" t="n">
        <v>2</v>
      </c>
      <c r="L16" s="209" t="s">
        <v>4663</v>
      </c>
      <c r="M16" s="6" t="s">
        <v>5618</v>
      </c>
      <c r="N16" s="209" t="s">
        <v>4676</v>
      </c>
      <c r="O16" s="35" t="s">
        <v>4666</v>
      </c>
      <c r="P16" s="35" t="s">
        <v>571</v>
      </c>
      <c r="Q16" s="35" t="s">
        <v>5619</v>
      </c>
      <c r="R16" s="35" t="s">
        <v>571</v>
      </c>
      <c r="S16" s="35" t="s">
        <v>571</v>
      </c>
      <c r="T16" s="35" t="s">
        <v>571</v>
      </c>
      <c r="U16" s="35" t="s">
        <v>5620</v>
      </c>
      <c r="V16" s="6" t="s">
        <v>5621</v>
      </c>
      <c r="W16" s="6" t="s">
        <v>571</v>
      </c>
      <c r="X16" s="183" t="n">
        <f aca="false">IF($O16="Active",SUMPRODUCT(($AH$5:$AH$98=$AH16)*1),0)</f>
        <v>1</v>
      </c>
      <c r="Y16" s="183" t="n">
        <f aca="false">IF(AND($O16="Active",OR($Q16="—",$Q16="")),1,0)</f>
        <v>0</v>
      </c>
      <c r="Z16" s="183" t="n">
        <f aca="false">IF(AND($O16="Active",$L16="利害關係方",OR($R16="—",$R16="")),1,0)</f>
        <v>1</v>
      </c>
      <c r="AH16" s="34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35" t="s">
        <v>5622</v>
      </c>
      <c r="B17" s="6" t="s">
        <v>5623</v>
      </c>
      <c r="C17" s="211" t="n">
        <v>0.25</v>
      </c>
      <c r="D17" s="209"/>
      <c r="E17" s="209"/>
      <c r="F17" s="35" t="s">
        <v>758</v>
      </c>
      <c r="G17" s="35" t="s">
        <v>5585</v>
      </c>
      <c r="H17" s="35" t="s">
        <v>1171</v>
      </c>
      <c r="I17" s="35" t="s">
        <v>1173</v>
      </c>
      <c r="J17" s="6" t="s">
        <v>5617</v>
      </c>
      <c r="K17" s="209" t="n">
        <v>2</v>
      </c>
      <c r="L17" s="209" t="s">
        <v>4663</v>
      </c>
      <c r="M17" s="6" t="s">
        <v>5618</v>
      </c>
      <c r="N17" s="209" t="s">
        <v>4676</v>
      </c>
      <c r="O17" s="35" t="s">
        <v>4666</v>
      </c>
      <c r="P17" s="35" t="s">
        <v>571</v>
      </c>
      <c r="Q17" s="35" t="s">
        <v>5619</v>
      </c>
      <c r="R17" s="35" t="s">
        <v>571</v>
      </c>
      <c r="S17" s="35" t="s">
        <v>571</v>
      </c>
      <c r="T17" s="35" t="s">
        <v>571</v>
      </c>
      <c r="U17" s="35" t="s">
        <v>5620</v>
      </c>
      <c r="V17" s="6" t="s">
        <v>5624</v>
      </c>
      <c r="W17" s="18" t="s">
        <v>5625</v>
      </c>
      <c r="X17" s="183" t="n">
        <f aca="false">IF($O17="Active",SUMPRODUCT(($AH$5:$AH$98=$AH17)*1),0)</f>
        <v>1</v>
      </c>
      <c r="Y17" s="183" t="n">
        <f aca="false">IF(AND($O17="Active",OR($Q17="—",$Q17="")),1,0)</f>
        <v>0</v>
      </c>
      <c r="Z17" s="183" t="n">
        <f aca="false">IF(AND($O17="Active",$L17="利害關係方",OR($R17="—",$R17="")),1,0)</f>
        <v>1</v>
      </c>
      <c r="AH17" s="34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35" t="s">
        <v>5626</v>
      </c>
      <c r="B18" s="6" t="s">
        <v>5627</v>
      </c>
      <c r="C18" s="211" t="n">
        <v>50</v>
      </c>
      <c r="D18" s="209"/>
      <c r="E18" s="209"/>
      <c r="F18" s="35" t="s">
        <v>758</v>
      </c>
      <c r="G18" s="35" t="s">
        <v>5585</v>
      </c>
      <c r="H18" s="35" t="s">
        <v>1171</v>
      </c>
      <c r="I18" s="35" t="s">
        <v>1173</v>
      </c>
      <c r="J18" s="6" t="s">
        <v>5617</v>
      </c>
      <c r="K18" s="209" t="n">
        <v>2</v>
      </c>
      <c r="L18" s="209" t="s">
        <v>4663</v>
      </c>
      <c r="M18" s="6" t="s">
        <v>5618</v>
      </c>
      <c r="N18" s="209" t="s">
        <v>4676</v>
      </c>
      <c r="O18" s="35" t="s">
        <v>4666</v>
      </c>
      <c r="P18" s="35" t="s">
        <v>571</v>
      </c>
      <c r="Q18" s="35" t="s">
        <v>5619</v>
      </c>
      <c r="R18" s="35" t="s">
        <v>571</v>
      </c>
      <c r="S18" s="35" t="s">
        <v>571</v>
      </c>
      <c r="T18" s="35" t="s">
        <v>571</v>
      </c>
      <c r="U18" s="35" t="s">
        <v>5620</v>
      </c>
      <c r="V18" s="6" t="s">
        <v>5628</v>
      </c>
      <c r="W18" s="6" t="s">
        <v>571</v>
      </c>
      <c r="X18" s="183" t="n">
        <f aca="false">IF($O18="Active",SUMPRODUCT(($AH$5:$AH$98=$AH18)*1),0)</f>
        <v>1</v>
      </c>
      <c r="Y18" s="183" t="n">
        <f aca="false">IF(AND($O18="Active",OR($Q18="—",$Q18="")),1,0)</f>
        <v>0</v>
      </c>
      <c r="Z18" s="183" t="n">
        <f aca="false">IF(AND($O18="Active",$L18="利害關係方",OR($R18="—",$R18="")),1,0)</f>
        <v>1</v>
      </c>
      <c r="AH18" s="34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35" t="s">
        <v>5629</v>
      </c>
      <c r="B19" s="6" t="s">
        <v>5630</v>
      </c>
      <c r="C19" s="211" t="n">
        <v>5</v>
      </c>
      <c r="D19" s="209"/>
      <c r="E19" s="209"/>
      <c r="F19" s="35" t="s">
        <v>758</v>
      </c>
      <c r="G19" s="35" t="s">
        <v>5585</v>
      </c>
      <c r="H19" s="35" t="s">
        <v>1175</v>
      </c>
      <c r="I19" s="35" t="s">
        <v>5631</v>
      </c>
      <c r="J19" s="6" t="s">
        <v>5617</v>
      </c>
      <c r="K19" s="209" t="n">
        <v>2</v>
      </c>
      <c r="L19" s="209" t="s">
        <v>4663</v>
      </c>
      <c r="M19" s="6" t="s">
        <v>5618</v>
      </c>
      <c r="N19" s="209" t="s">
        <v>4676</v>
      </c>
      <c r="O19" s="35" t="s">
        <v>4666</v>
      </c>
      <c r="P19" s="35" t="s">
        <v>571</v>
      </c>
      <c r="Q19" s="35" t="s">
        <v>5619</v>
      </c>
      <c r="R19" s="35" t="s">
        <v>571</v>
      </c>
      <c r="S19" s="35" t="s">
        <v>571</v>
      </c>
      <c r="T19" s="35" t="s">
        <v>571</v>
      </c>
      <c r="U19" s="35" t="s">
        <v>5620</v>
      </c>
      <c r="V19" s="6" t="s">
        <v>5632</v>
      </c>
      <c r="W19" s="18" t="s">
        <v>5633</v>
      </c>
      <c r="X19" s="183" t="n">
        <f aca="false">IF($O19="Active",SUMPRODUCT(($AH$5:$AH$98=$AH19)*1),0)</f>
        <v>1</v>
      </c>
      <c r="Y19" s="183" t="n">
        <f aca="false">IF(AND($O19="Active",OR($Q19="—",$Q19="")),1,0)</f>
        <v>0</v>
      </c>
      <c r="Z19" s="183" t="n">
        <f aca="false">IF(AND($O19="Active",$L19="利害關係方",OR($R19="—",$R19="")),1,0)</f>
        <v>1</v>
      </c>
      <c r="AH19" s="34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35" t="s">
        <v>5634</v>
      </c>
      <c r="B20" s="6" t="s">
        <v>5635</v>
      </c>
      <c r="C20" s="211" t="n">
        <v>25</v>
      </c>
      <c r="D20" s="209"/>
      <c r="E20" s="209"/>
      <c r="F20" s="35" t="s">
        <v>758</v>
      </c>
      <c r="G20" s="35" t="s">
        <v>5585</v>
      </c>
      <c r="H20" s="35" t="s">
        <v>1175</v>
      </c>
      <c r="I20" s="35" t="s">
        <v>5631</v>
      </c>
      <c r="J20" s="6" t="s">
        <v>5617</v>
      </c>
      <c r="K20" s="209" t="n">
        <v>2</v>
      </c>
      <c r="L20" s="209" t="s">
        <v>4663</v>
      </c>
      <c r="M20" s="6" t="s">
        <v>5618</v>
      </c>
      <c r="N20" s="209" t="s">
        <v>4676</v>
      </c>
      <c r="O20" s="35" t="s">
        <v>4666</v>
      </c>
      <c r="P20" s="35" t="s">
        <v>571</v>
      </c>
      <c r="Q20" s="35" t="s">
        <v>5619</v>
      </c>
      <c r="R20" s="35" t="s">
        <v>571</v>
      </c>
      <c r="S20" s="35" t="s">
        <v>571</v>
      </c>
      <c r="T20" s="35" t="s">
        <v>571</v>
      </c>
      <c r="U20" s="35" t="s">
        <v>5620</v>
      </c>
      <c r="V20" s="6" t="s">
        <v>5636</v>
      </c>
      <c r="W20" s="6" t="s">
        <v>571</v>
      </c>
      <c r="X20" s="183" t="n">
        <f aca="false">IF($O20="Active",SUMPRODUCT(($AH$5:$AH$98=$AH20)*1),0)</f>
        <v>1</v>
      </c>
      <c r="Y20" s="183" t="n">
        <f aca="false">IF(AND($O20="Active",OR($Q20="—",$Q20="")),1,0)</f>
        <v>0</v>
      </c>
      <c r="Z20" s="183" t="n">
        <f aca="false">IF(AND($O20="Active",$L20="利害關係方",OR($R20="—",$R20="")),1,0)</f>
        <v>1</v>
      </c>
      <c r="AH20" s="34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35" t="s">
        <v>5637</v>
      </c>
      <c r="B21" s="6" t="s">
        <v>5638</v>
      </c>
      <c r="C21" s="211" t="n">
        <v>4</v>
      </c>
      <c r="D21" s="209"/>
      <c r="E21" s="209"/>
      <c r="F21" s="35" t="s">
        <v>758</v>
      </c>
      <c r="G21" s="35" t="s">
        <v>5585</v>
      </c>
      <c r="H21" s="35" t="s">
        <v>1178</v>
      </c>
      <c r="I21" s="35" t="s">
        <v>1180</v>
      </c>
      <c r="J21" s="6" t="s">
        <v>5617</v>
      </c>
      <c r="K21" s="209" t="n">
        <v>2</v>
      </c>
      <c r="L21" s="209" t="s">
        <v>4663</v>
      </c>
      <c r="M21" s="6" t="s">
        <v>5618</v>
      </c>
      <c r="N21" s="209" t="s">
        <v>4676</v>
      </c>
      <c r="O21" s="35" t="s">
        <v>4666</v>
      </c>
      <c r="P21" s="35" t="s">
        <v>571</v>
      </c>
      <c r="Q21" s="35" t="s">
        <v>5619</v>
      </c>
      <c r="R21" s="35" t="s">
        <v>571</v>
      </c>
      <c r="S21" s="35" t="s">
        <v>571</v>
      </c>
      <c r="T21" s="35" t="s">
        <v>571</v>
      </c>
      <c r="U21" s="35" t="s">
        <v>5620</v>
      </c>
      <c r="V21" s="6" t="s">
        <v>5639</v>
      </c>
      <c r="W21" s="18" t="s">
        <v>5640</v>
      </c>
      <c r="X21" s="183" t="n">
        <f aca="false">IF($O21="Active",SUMPRODUCT(($AH$5:$AH$98=$AH21)*1),0)</f>
        <v>1</v>
      </c>
      <c r="Y21" s="183" t="n">
        <f aca="false">IF(AND($O21="Active",OR($Q21="—",$Q21="")),1,0)</f>
        <v>0</v>
      </c>
      <c r="Z21" s="183" t="n">
        <f aca="false">IF(AND($O21="Active",$L21="利害關係方",OR($R21="—",$R21="")),1,0)</f>
        <v>1</v>
      </c>
      <c r="AH21" s="34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35" t="s">
        <v>5641</v>
      </c>
      <c r="B22" s="6" t="s">
        <v>5642</v>
      </c>
      <c r="C22" s="211" t="n">
        <v>20</v>
      </c>
      <c r="D22" s="209"/>
      <c r="E22" s="209"/>
      <c r="F22" s="35" t="s">
        <v>758</v>
      </c>
      <c r="G22" s="35" t="s">
        <v>5585</v>
      </c>
      <c r="H22" s="35" t="s">
        <v>1178</v>
      </c>
      <c r="I22" s="35" t="s">
        <v>1180</v>
      </c>
      <c r="J22" s="6" t="s">
        <v>5617</v>
      </c>
      <c r="K22" s="209" t="n">
        <v>2</v>
      </c>
      <c r="L22" s="209" t="s">
        <v>4663</v>
      </c>
      <c r="M22" s="6" t="s">
        <v>5618</v>
      </c>
      <c r="N22" s="209" t="s">
        <v>4676</v>
      </c>
      <c r="O22" s="35" t="s">
        <v>4666</v>
      </c>
      <c r="P22" s="35" t="s">
        <v>571</v>
      </c>
      <c r="Q22" s="35" t="s">
        <v>5619</v>
      </c>
      <c r="R22" s="35" t="s">
        <v>571</v>
      </c>
      <c r="S22" s="35" t="s">
        <v>571</v>
      </c>
      <c r="T22" s="35" t="s">
        <v>571</v>
      </c>
      <c r="U22" s="35" t="s">
        <v>5620</v>
      </c>
      <c r="V22" s="6" t="s">
        <v>5643</v>
      </c>
      <c r="W22" s="6" t="s">
        <v>571</v>
      </c>
      <c r="X22" s="183" t="n">
        <f aca="false">IF($O22="Active",SUMPRODUCT(($AH$5:$AH$98=$AH22)*1),0)</f>
        <v>1</v>
      </c>
      <c r="Y22" s="183" t="n">
        <f aca="false">IF(AND($O22="Active",OR($Q22="—",$Q22="")),1,0)</f>
        <v>0</v>
      </c>
      <c r="Z22" s="183" t="n">
        <f aca="false">IF(AND($O22="Active",$L22="利害關係方",OR($R22="—",$R22="")),1,0)</f>
        <v>1</v>
      </c>
      <c r="AH22" s="34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35" t="s">
        <v>5644</v>
      </c>
      <c r="B23" s="6" t="s">
        <v>5645</v>
      </c>
      <c r="C23" s="211" t="n">
        <v>1.25</v>
      </c>
      <c r="D23" s="209"/>
      <c r="E23" s="209"/>
      <c r="F23" s="35" t="s">
        <v>5646</v>
      </c>
      <c r="G23" s="35" t="s">
        <v>571</v>
      </c>
      <c r="H23" s="35" t="s">
        <v>1172</v>
      </c>
      <c r="I23" s="35" t="s">
        <v>5631</v>
      </c>
      <c r="J23" s="6" t="s">
        <v>5617</v>
      </c>
      <c r="K23" s="209" t="n">
        <v>2</v>
      </c>
      <c r="L23" s="209" t="s">
        <v>4663</v>
      </c>
      <c r="M23" s="6" t="s">
        <v>5618</v>
      </c>
      <c r="N23" s="209" t="s">
        <v>4676</v>
      </c>
      <c r="O23" s="35" t="s">
        <v>4666</v>
      </c>
      <c r="P23" s="35" t="s">
        <v>571</v>
      </c>
      <c r="Q23" s="35" t="s">
        <v>5619</v>
      </c>
      <c r="R23" s="35" t="s">
        <v>571</v>
      </c>
      <c r="S23" s="35" t="s">
        <v>571</v>
      </c>
      <c r="T23" s="35" t="s">
        <v>571</v>
      </c>
      <c r="U23" s="35" t="s">
        <v>5620</v>
      </c>
      <c r="V23" s="6" t="s">
        <v>571</v>
      </c>
      <c r="W23" s="6" t="s">
        <v>571</v>
      </c>
      <c r="X23" s="183" t="n">
        <f aca="false">IF($O23="Active",SUMPRODUCT(($AH$5:$AH$98=$AH23)*1),0)</f>
        <v>1</v>
      </c>
      <c r="Y23" s="183" t="n">
        <f aca="false">IF(AND($O23="Active",OR($Q23="—",$Q23="")),1,0)</f>
        <v>0</v>
      </c>
      <c r="Z23" s="183" t="n">
        <f aca="false">IF(AND($O23="Active",$L23="利害關係方",OR($R23="—",$R23="")),1,0)</f>
        <v>1</v>
      </c>
      <c r="AH23" s="34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35" t="s">
        <v>5647</v>
      </c>
      <c r="B24" s="6" t="s">
        <v>5648</v>
      </c>
      <c r="C24" s="211" t="n">
        <v>2</v>
      </c>
      <c r="D24" s="209"/>
      <c r="E24" s="209"/>
      <c r="F24" s="35" t="s">
        <v>5646</v>
      </c>
      <c r="G24" s="35" t="s">
        <v>571</v>
      </c>
      <c r="H24" s="35" t="s">
        <v>1172</v>
      </c>
      <c r="I24" s="35" t="s">
        <v>5631</v>
      </c>
      <c r="J24" s="6" t="s">
        <v>5617</v>
      </c>
      <c r="K24" s="209" t="n">
        <v>2</v>
      </c>
      <c r="L24" s="209" t="s">
        <v>4663</v>
      </c>
      <c r="M24" s="6" t="s">
        <v>5618</v>
      </c>
      <c r="N24" s="209" t="s">
        <v>4676</v>
      </c>
      <c r="O24" s="35" t="s">
        <v>4666</v>
      </c>
      <c r="P24" s="35" t="s">
        <v>571</v>
      </c>
      <c r="Q24" s="35" t="s">
        <v>5619</v>
      </c>
      <c r="R24" s="35" t="s">
        <v>571</v>
      </c>
      <c r="S24" s="35" t="s">
        <v>571</v>
      </c>
      <c r="T24" s="35" t="s">
        <v>571</v>
      </c>
      <c r="U24" s="35" t="s">
        <v>5620</v>
      </c>
      <c r="V24" s="6" t="s">
        <v>571</v>
      </c>
      <c r="W24" s="6" t="s">
        <v>571</v>
      </c>
      <c r="X24" s="183" t="n">
        <f aca="false">IF($O24="Active",SUMPRODUCT(($AH$5:$AH$98=$AH24)*1),0)</f>
        <v>1</v>
      </c>
      <c r="Y24" s="183" t="n">
        <f aca="false">IF(AND($O24="Active",OR($Q24="—",$Q24="")),1,0)</f>
        <v>0</v>
      </c>
      <c r="Z24" s="183" t="n">
        <f aca="false">IF(AND($O24="Active",$L24="利害關係方",OR($R24="—",$R24="")),1,0)</f>
        <v>1</v>
      </c>
      <c r="AH24" s="34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35" t="s">
        <v>5649</v>
      </c>
      <c r="B25" s="6" t="s">
        <v>5650</v>
      </c>
      <c r="C25" s="211" t="n">
        <v>0.3</v>
      </c>
      <c r="D25" s="209"/>
      <c r="E25" s="209"/>
      <c r="F25" s="35" t="s">
        <v>758</v>
      </c>
      <c r="G25" s="209" t="s">
        <v>5651</v>
      </c>
      <c r="H25" s="35" t="s">
        <v>1182</v>
      </c>
      <c r="I25" s="35" t="s">
        <v>1185</v>
      </c>
      <c r="J25" s="6" t="s">
        <v>5652</v>
      </c>
      <c r="K25" s="209" t="n">
        <v>1</v>
      </c>
      <c r="L25" s="209" t="s">
        <v>4663</v>
      </c>
      <c r="M25" s="6" t="s">
        <v>5653</v>
      </c>
      <c r="N25" s="209" t="s">
        <v>5175</v>
      </c>
      <c r="O25" s="35" t="s">
        <v>4666</v>
      </c>
      <c r="P25" s="35" t="s">
        <v>571</v>
      </c>
      <c r="Q25" s="35" t="s">
        <v>5654</v>
      </c>
      <c r="R25" s="35" t="s">
        <v>571</v>
      </c>
      <c r="S25" s="35" t="s">
        <v>571</v>
      </c>
      <c r="T25" s="35" t="s">
        <v>571</v>
      </c>
      <c r="U25" s="35" t="s">
        <v>2494</v>
      </c>
      <c r="V25" s="6" t="s">
        <v>5655</v>
      </c>
      <c r="W25" s="6" t="s">
        <v>571</v>
      </c>
      <c r="X25" s="183" t="n">
        <f aca="false">IF($O25="Active",SUMPRODUCT(($AH$5:$AH$98=$AH25)*1),0)</f>
        <v>1</v>
      </c>
      <c r="Y25" s="183" t="n">
        <f aca="false">IF(AND($O25="Active",OR($Q25="—",$Q25="")),1,0)</f>
        <v>0</v>
      </c>
      <c r="Z25" s="183" t="n">
        <f aca="false">IF(AND($O25="Active",$L25="利害關係方",OR($R25="—",$R25="")),1,0)</f>
        <v>1</v>
      </c>
      <c r="AH25" s="34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35" t="s">
        <v>5656</v>
      </c>
      <c r="B26" s="6" t="s">
        <v>5657</v>
      </c>
      <c r="C26" s="211" t="n">
        <v>0.006</v>
      </c>
      <c r="D26" s="209"/>
      <c r="E26" s="209"/>
      <c r="F26" s="35" t="s">
        <v>758</v>
      </c>
      <c r="G26" s="209" t="s">
        <v>5658</v>
      </c>
      <c r="H26" s="35" t="s">
        <v>1182</v>
      </c>
      <c r="I26" s="35" t="s">
        <v>1185</v>
      </c>
      <c r="J26" s="6" t="s">
        <v>5652</v>
      </c>
      <c r="K26" s="209" t="n">
        <v>1</v>
      </c>
      <c r="L26" s="209" t="s">
        <v>4663</v>
      </c>
      <c r="M26" s="6" t="s">
        <v>5653</v>
      </c>
      <c r="N26" s="209" t="s">
        <v>5175</v>
      </c>
      <c r="O26" s="35" t="s">
        <v>4666</v>
      </c>
      <c r="P26" s="35" t="s">
        <v>571</v>
      </c>
      <c r="Q26" s="35" t="s">
        <v>5654</v>
      </c>
      <c r="R26" s="35" t="s">
        <v>571</v>
      </c>
      <c r="S26" s="35" t="s">
        <v>571</v>
      </c>
      <c r="T26" s="35" t="s">
        <v>571</v>
      </c>
      <c r="U26" s="35" t="s">
        <v>2494</v>
      </c>
      <c r="V26" s="6" t="s">
        <v>5659</v>
      </c>
      <c r="W26" s="6" t="s">
        <v>571</v>
      </c>
      <c r="X26" s="183" t="n">
        <f aca="false">IF($O26="Active",SUMPRODUCT(($AH$5:$AH$98=$AH26)*1),0)</f>
        <v>1</v>
      </c>
      <c r="Y26" s="183" t="n">
        <f aca="false">IF(AND($O26="Active",OR($Q26="—",$Q26="")),1,0)</f>
        <v>0</v>
      </c>
      <c r="Z26" s="183" t="n">
        <f aca="false">IF(AND($O26="Active",$L26="利害關係方",OR($R26="—",$R26="")),1,0)</f>
        <v>1</v>
      </c>
      <c r="AH26" s="34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35" t="s">
        <v>5660</v>
      </c>
      <c r="B27" s="6" t="s">
        <v>5661</v>
      </c>
      <c r="C27" s="211" t="n">
        <v>1.2</v>
      </c>
      <c r="D27" s="209"/>
      <c r="E27" s="209"/>
      <c r="F27" s="35" t="s">
        <v>758</v>
      </c>
      <c r="G27" s="209" t="s">
        <v>5658</v>
      </c>
      <c r="H27" s="35" t="s">
        <v>1182</v>
      </c>
      <c r="I27" s="35" t="s">
        <v>1185</v>
      </c>
      <c r="J27" s="6" t="s">
        <v>5652</v>
      </c>
      <c r="K27" s="209" t="n">
        <v>1</v>
      </c>
      <c r="L27" s="209" t="s">
        <v>4663</v>
      </c>
      <c r="M27" s="6" t="s">
        <v>5653</v>
      </c>
      <c r="N27" s="209" t="s">
        <v>5175</v>
      </c>
      <c r="O27" s="35" t="s">
        <v>4666</v>
      </c>
      <c r="P27" s="35" t="s">
        <v>571</v>
      </c>
      <c r="Q27" s="35" t="s">
        <v>5654</v>
      </c>
      <c r="R27" s="35" t="s">
        <v>571</v>
      </c>
      <c r="S27" s="35" t="s">
        <v>571</v>
      </c>
      <c r="T27" s="35" t="s">
        <v>571</v>
      </c>
      <c r="U27" s="35" t="s">
        <v>2494</v>
      </c>
      <c r="V27" s="6" t="s">
        <v>5662</v>
      </c>
      <c r="W27" s="6" t="s">
        <v>571</v>
      </c>
      <c r="X27" s="183" t="n">
        <f aca="false">IF($O27="Active",SUMPRODUCT(($AH$5:$AH$98=$AH27)*1),0)</f>
        <v>1</v>
      </c>
      <c r="Y27" s="183" t="n">
        <f aca="false">IF(AND($O27="Active",OR($Q27="—",$Q27="")),1,0)</f>
        <v>0</v>
      </c>
      <c r="Z27" s="183" t="n">
        <f aca="false">IF(AND($O27="Active",$L27="利害關係方",OR($R27="—",$R27="")),1,0)</f>
        <v>1</v>
      </c>
      <c r="AH27" s="34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35" t="s">
        <v>5663</v>
      </c>
      <c r="B28" s="6" t="s">
        <v>5664</v>
      </c>
      <c r="C28" s="211" t="n">
        <v>1.32</v>
      </c>
      <c r="D28" s="209"/>
      <c r="E28" s="209"/>
      <c r="F28" s="35" t="s">
        <v>758</v>
      </c>
      <c r="G28" s="209" t="s">
        <v>5658</v>
      </c>
      <c r="H28" s="35" t="s">
        <v>1187</v>
      </c>
      <c r="I28" s="35" t="s">
        <v>1185</v>
      </c>
      <c r="J28" s="6" t="s">
        <v>5652</v>
      </c>
      <c r="K28" s="209" t="n">
        <v>1</v>
      </c>
      <c r="L28" s="209" t="s">
        <v>4663</v>
      </c>
      <c r="M28" s="6" t="s">
        <v>5653</v>
      </c>
      <c r="N28" s="209" t="s">
        <v>5175</v>
      </c>
      <c r="O28" s="35" t="s">
        <v>4666</v>
      </c>
      <c r="P28" s="35" t="s">
        <v>571</v>
      </c>
      <c r="Q28" s="35" t="s">
        <v>5654</v>
      </c>
      <c r="R28" s="35" t="s">
        <v>571</v>
      </c>
      <c r="S28" s="35" t="s">
        <v>571</v>
      </c>
      <c r="T28" s="35" t="s">
        <v>571</v>
      </c>
      <c r="U28" s="35" t="s">
        <v>2494</v>
      </c>
      <c r="V28" s="6" t="s">
        <v>5665</v>
      </c>
      <c r="W28" s="6" t="s">
        <v>571</v>
      </c>
      <c r="X28" s="183" t="n">
        <f aca="false">IF($O28="Active",SUMPRODUCT(($AH$5:$AH$98=$AH28)*1),0)</f>
        <v>1</v>
      </c>
      <c r="Y28" s="183" t="n">
        <f aca="false">IF(AND($O28="Active",OR($Q28="—",$Q28="")),1,0)</f>
        <v>0</v>
      </c>
      <c r="Z28" s="183" t="n">
        <f aca="false">IF(AND($O28="Active",$L28="利害關係方",OR($R28="—",$R28="")),1,0)</f>
        <v>1</v>
      </c>
      <c r="AH28" s="34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35" t="s">
        <v>5666</v>
      </c>
      <c r="B29" s="6" t="s">
        <v>5667</v>
      </c>
      <c r="C29" s="211" t="n">
        <v>0.044</v>
      </c>
      <c r="D29" s="209"/>
      <c r="E29" s="209"/>
      <c r="F29" s="35" t="s">
        <v>758</v>
      </c>
      <c r="G29" s="209" t="s">
        <v>5658</v>
      </c>
      <c r="H29" s="35" t="s">
        <v>1187</v>
      </c>
      <c r="I29" s="35" t="s">
        <v>1185</v>
      </c>
      <c r="J29" s="6" t="s">
        <v>5652</v>
      </c>
      <c r="K29" s="209" t="n">
        <v>1</v>
      </c>
      <c r="L29" s="209" t="s">
        <v>4663</v>
      </c>
      <c r="M29" s="6" t="s">
        <v>5653</v>
      </c>
      <c r="N29" s="209" t="s">
        <v>5175</v>
      </c>
      <c r="O29" s="35" t="s">
        <v>4666</v>
      </c>
      <c r="P29" s="35" t="s">
        <v>571</v>
      </c>
      <c r="Q29" s="35" t="s">
        <v>5654</v>
      </c>
      <c r="R29" s="35" t="s">
        <v>571</v>
      </c>
      <c r="S29" s="35" t="s">
        <v>571</v>
      </c>
      <c r="T29" s="35" t="s">
        <v>571</v>
      </c>
      <c r="U29" s="35" t="s">
        <v>2494</v>
      </c>
      <c r="V29" s="6" t="s">
        <v>5668</v>
      </c>
      <c r="W29" s="6" t="s">
        <v>571</v>
      </c>
      <c r="X29" s="183" t="n">
        <f aca="false">IF($O29="Active",SUMPRODUCT(($AH$5:$AH$98=$AH29)*1),0)</f>
        <v>1</v>
      </c>
      <c r="Y29" s="183" t="n">
        <f aca="false">IF(AND($O29="Active",OR($Q29="—",$Q29="")),1,0)</f>
        <v>0</v>
      </c>
      <c r="Z29" s="183" t="n">
        <f aca="false">IF(AND($O29="Active",$L29="利害關係方",OR($R29="—",$R29="")),1,0)</f>
        <v>1</v>
      </c>
      <c r="AH29" s="34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35" t="s">
        <v>5669</v>
      </c>
      <c r="B30" s="6" t="s">
        <v>5670</v>
      </c>
      <c r="C30" s="211" t="n">
        <v>3.96</v>
      </c>
      <c r="D30" s="209"/>
      <c r="E30" s="209"/>
      <c r="F30" s="35" t="s">
        <v>758</v>
      </c>
      <c r="G30" s="209" t="s">
        <v>5658</v>
      </c>
      <c r="H30" s="35" t="s">
        <v>1187</v>
      </c>
      <c r="I30" s="35" t="s">
        <v>1185</v>
      </c>
      <c r="J30" s="6" t="s">
        <v>5652</v>
      </c>
      <c r="K30" s="209" t="n">
        <v>1</v>
      </c>
      <c r="L30" s="209" t="s">
        <v>4663</v>
      </c>
      <c r="M30" s="6" t="s">
        <v>5653</v>
      </c>
      <c r="N30" s="209" t="s">
        <v>5175</v>
      </c>
      <c r="O30" s="35" t="s">
        <v>4666</v>
      </c>
      <c r="P30" s="35" t="s">
        <v>571</v>
      </c>
      <c r="Q30" s="35" t="s">
        <v>5654</v>
      </c>
      <c r="R30" s="35" t="s">
        <v>571</v>
      </c>
      <c r="S30" s="35" t="s">
        <v>571</v>
      </c>
      <c r="T30" s="35" t="s">
        <v>571</v>
      </c>
      <c r="U30" s="35" t="s">
        <v>2494</v>
      </c>
      <c r="V30" s="6" t="s">
        <v>5671</v>
      </c>
      <c r="W30" s="6" t="s">
        <v>571</v>
      </c>
      <c r="X30" s="183" t="n">
        <f aca="false">IF($O30="Active",SUMPRODUCT(($AH$5:$AH$98=$AH30)*1),0)</f>
        <v>1</v>
      </c>
      <c r="Y30" s="183" t="n">
        <f aca="false">IF(AND($O30="Active",OR($Q30="—",$Q30="")),1,0)</f>
        <v>0</v>
      </c>
      <c r="Z30" s="183" t="n">
        <f aca="false">IF(AND($O30="Active",$L30="利害關係方",OR($R30="—",$R30="")),1,0)</f>
        <v>1</v>
      </c>
      <c r="AH30" s="34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35" t="s">
        <v>3848</v>
      </c>
      <c r="B31" s="6" t="s">
        <v>5672</v>
      </c>
      <c r="C31" s="211" t="n">
        <v>0.5</v>
      </c>
      <c r="D31" s="209"/>
      <c r="E31" s="209"/>
      <c r="F31" s="35" t="s">
        <v>75</v>
      </c>
      <c r="G31" s="35" t="s">
        <v>571</v>
      </c>
      <c r="H31" s="35" t="s">
        <v>1183</v>
      </c>
      <c r="I31" s="35" t="s">
        <v>1185</v>
      </c>
      <c r="J31" s="6" t="s">
        <v>5652</v>
      </c>
      <c r="K31" s="209" t="n">
        <v>1</v>
      </c>
      <c r="L31" s="209" t="s">
        <v>4663</v>
      </c>
      <c r="M31" s="6" t="s">
        <v>5653</v>
      </c>
      <c r="N31" s="209" t="s">
        <v>5175</v>
      </c>
      <c r="O31" s="35" t="s">
        <v>4666</v>
      </c>
      <c r="P31" s="35" t="s">
        <v>571</v>
      </c>
      <c r="Q31" s="35" t="s">
        <v>5654</v>
      </c>
      <c r="R31" s="35" t="s">
        <v>571</v>
      </c>
      <c r="S31" s="35" t="s">
        <v>571</v>
      </c>
      <c r="T31" s="35" t="s">
        <v>571</v>
      </c>
      <c r="U31" s="35" t="s">
        <v>2494</v>
      </c>
      <c r="V31" s="6" t="s">
        <v>5673</v>
      </c>
      <c r="W31" s="6" t="s">
        <v>571</v>
      </c>
      <c r="X31" s="183" t="n">
        <f aca="false">IF($O31="Active",SUMPRODUCT(($AH$5:$AH$98=$AH31)*1),0)</f>
        <v>1</v>
      </c>
      <c r="Y31" s="183" t="n">
        <f aca="false">IF(AND($O31="Active",OR($Q31="—",$Q31="")),1,0)</f>
        <v>0</v>
      </c>
      <c r="Z31" s="183" t="n">
        <f aca="false">IF(AND($O31="Active",$L31="利害關係方",OR($R31="—",$R31="")),1,0)</f>
        <v>1</v>
      </c>
      <c r="AH31" s="34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35" t="s">
        <v>5674</v>
      </c>
      <c r="B32" s="6" t="s">
        <v>5675</v>
      </c>
      <c r="C32" s="211" t="n">
        <v>35</v>
      </c>
      <c r="D32" s="209"/>
      <c r="E32" s="209"/>
      <c r="F32" s="35" t="s">
        <v>5676</v>
      </c>
      <c r="G32" s="209" t="s">
        <v>5677</v>
      </c>
      <c r="H32" s="35" t="s">
        <v>1183</v>
      </c>
      <c r="I32" s="35" t="s">
        <v>1185</v>
      </c>
      <c r="J32" s="6" t="s">
        <v>5652</v>
      </c>
      <c r="K32" s="209" t="n">
        <v>1</v>
      </c>
      <c r="L32" s="209" t="s">
        <v>4663</v>
      </c>
      <c r="M32" s="6" t="s">
        <v>5653</v>
      </c>
      <c r="N32" s="209" t="s">
        <v>5175</v>
      </c>
      <c r="O32" s="35" t="s">
        <v>4666</v>
      </c>
      <c r="P32" s="35" t="s">
        <v>571</v>
      </c>
      <c r="Q32" s="35" t="s">
        <v>5654</v>
      </c>
      <c r="R32" s="35" t="s">
        <v>571</v>
      </c>
      <c r="S32" s="35" t="s">
        <v>571</v>
      </c>
      <c r="T32" s="35" t="s">
        <v>571</v>
      </c>
      <c r="U32" s="35" t="s">
        <v>2494</v>
      </c>
      <c r="V32" s="6" t="s">
        <v>5678</v>
      </c>
      <c r="W32" s="18" t="s">
        <v>5679</v>
      </c>
      <c r="X32" s="183" t="n">
        <f aca="false">IF($O32="Active",SUMPRODUCT(($AH$5:$AH$98=$AH32)*1),0)</f>
        <v>1</v>
      </c>
      <c r="Y32" s="183" t="n">
        <f aca="false">IF(AND($O32="Active",OR($Q32="—",$Q32="")),1,0)</f>
        <v>0</v>
      </c>
      <c r="Z32" s="183" t="n">
        <f aca="false">IF(AND($O32="Active",$L32="利害關係方",OR($R32="—",$R32="")),1,0)</f>
        <v>1</v>
      </c>
      <c r="AH32" s="34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35" t="s">
        <v>5680</v>
      </c>
      <c r="B33" s="6" t="s">
        <v>5681</v>
      </c>
      <c r="C33" s="211" t="n">
        <v>1.4</v>
      </c>
      <c r="D33" s="209"/>
      <c r="E33" s="209"/>
      <c r="F33" s="35" t="s">
        <v>758</v>
      </c>
      <c r="G33" s="35" t="s">
        <v>571</v>
      </c>
      <c r="H33" s="35" t="s">
        <v>1189</v>
      </c>
      <c r="I33" s="35" t="s">
        <v>1185</v>
      </c>
      <c r="J33" s="6" t="s">
        <v>5682</v>
      </c>
      <c r="K33" s="209" t="n">
        <v>1</v>
      </c>
      <c r="L33" s="209" t="s">
        <v>4663</v>
      </c>
      <c r="M33" s="6" t="s">
        <v>5683</v>
      </c>
      <c r="N33" s="209" t="s">
        <v>5175</v>
      </c>
      <c r="O33" s="35" t="s">
        <v>4666</v>
      </c>
      <c r="P33" s="35" t="s">
        <v>571</v>
      </c>
      <c r="Q33" s="35" t="s">
        <v>5684</v>
      </c>
      <c r="R33" s="35" t="s">
        <v>571</v>
      </c>
      <c r="S33" s="35" t="s">
        <v>571</v>
      </c>
      <c r="T33" s="35" t="s">
        <v>571</v>
      </c>
      <c r="U33" s="35" t="s">
        <v>5685</v>
      </c>
      <c r="V33" s="6" t="s">
        <v>5686</v>
      </c>
      <c r="W33" s="6" t="s">
        <v>571</v>
      </c>
      <c r="X33" s="183" t="n">
        <f aca="false">IF($O33="Active",SUMPRODUCT(($AH$5:$AH$98=$AH33)*1),0)</f>
        <v>1</v>
      </c>
      <c r="Y33" s="183" t="n">
        <f aca="false">IF(AND($O33="Active",OR($Q33="—",$Q33="")),1,0)</f>
        <v>0</v>
      </c>
      <c r="Z33" s="183" t="n">
        <f aca="false">IF(AND($O33="Active",$L33="利害關係方",OR($R33="—",$R33="")),1,0)</f>
        <v>1</v>
      </c>
      <c r="AH33" s="34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35" t="s">
        <v>5687</v>
      </c>
      <c r="B34" s="6" t="s">
        <v>5688</v>
      </c>
      <c r="C34" s="211" t="n">
        <v>0.26</v>
      </c>
      <c r="D34" s="209"/>
      <c r="E34" s="209"/>
      <c r="F34" s="35" t="s">
        <v>758</v>
      </c>
      <c r="G34" s="35" t="s">
        <v>571</v>
      </c>
      <c r="H34" s="35" t="s">
        <v>1189</v>
      </c>
      <c r="I34" s="35" t="s">
        <v>1185</v>
      </c>
      <c r="J34" s="6" t="s">
        <v>5682</v>
      </c>
      <c r="K34" s="209" t="n">
        <v>1</v>
      </c>
      <c r="L34" s="209" t="s">
        <v>4663</v>
      </c>
      <c r="M34" s="6" t="s">
        <v>5683</v>
      </c>
      <c r="N34" s="209" t="s">
        <v>5175</v>
      </c>
      <c r="O34" s="35" t="s">
        <v>4666</v>
      </c>
      <c r="P34" s="35" t="s">
        <v>571</v>
      </c>
      <c r="Q34" s="35" t="s">
        <v>5684</v>
      </c>
      <c r="R34" s="35" t="s">
        <v>571</v>
      </c>
      <c r="S34" s="35" t="s">
        <v>571</v>
      </c>
      <c r="T34" s="35" t="s">
        <v>571</v>
      </c>
      <c r="U34" s="35" t="s">
        <v>5685</v>
      </c>
      <c r="V34" s="6" t="s">
        <v>5689</v>
      </c>
      <c r="W34" s="6" t="s">
        <v>571</v>
      </c>
      <c r="X34" s="183" t="n">
        <f aca="false">IF($O34="Active",SUMPRODUCT(($AH$5:$AH$98=$AH34)*1),0)</f>
        <v>1</v>
      </c>
      <c r="Y34" s="183" t="n">
        <f aca="false">IF(AND($O34="Active",OR($Q34="—",$Q34="")),1,0)</f>
        <v>0</v>
      </c>
      <c r="Z34" s="183" t="n">
        <f aca="false">IF(AND($O34="Active",$L34="利害關係方",OR($R34="—",$R34="")),1,0)</f>
        <v>1</v>
      </c>
      <c r="AH34" s="34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35" t="s">
        <v>5690</v>
      </c>
      <c r="B35" s="6" t="s">
        <v>5691</v>
      </c>
      <c r="C35" s="211" t="n">
        <v>4.4</v>
      </c>
      <c r="D35" s="209"/>
      <c r="E35" s="209"/>
      <c r="F35" s="35" t="s">
        <v>758</v>
      </c>
      <c r="G35" s="35" t="s">
        <v>571</v>
      </c>
      <c r="H35" s="35" t="s">
        <v>1189</v>
      </c>
      <c r="I35" s="35" t="s">
        <v>1185</v>
      </c>
      <c r="J35" s="6" t="s">
        <v>5682</v>
      </c>
      <c r="K35" s="209" t="n">
        <v>1</v>
      </c>
      <c r="L35" s="209" t="s">
        <v>4663</v>
      </c>
      <c r="M35" s="6" t="s">
        <v>5683</v>
      </c>
      <c r="N35" s="209" t="s">
        <v>5175</v>
      </c>
      <c r="O35" s="35" t="s">
        <v>4666</v>
      </c>
      <c r="P35" s="35" t="s">
        <v>571</v>
      </c>
      <c r="Q35" s="35" t="s">
        <v>5684</v>
      </c>
      <c r="R35" s="35" t="s">
        <v>571</v>
      </c>
      <c r="S35" s="35" t="s">
        <v>571</v>
      </c>
      <c r="T35" s="35" t="s">
        <v>571</v>
      </c>
      <c r="U35" s="35" t="s">
        <v>5685</v>
      </c>
      <c r="V35" s="6" t="s">
        <v>5692</v>
      </c>
      <c r="W35" s="6" t="s">
        <v>571</v>
      </c>
      <c r="X35" s="183" t="n">
        <f aca="false">IF($O35="Active",SUMPRODUCT(($AH$5:$AH$98=$AH35)*1),0)</f>
        <v>1</v>
      </c>
      <c r="Y35" s="183" t="n">
        <f aca="false">IF(AND($O35="Active",OR($Q35="—",$Q35="")),1,0)</f>
        <v>0</v>
      </c>
      <c r="Z35" s="183" t="n">
        <f aca="false">IF(AND($O35="Active",$L35="利害關係方",OR($R35="—",$R35="")),1,0)</f>
        <v>1</v>
      </c>
      <c r="AH35" s="34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35" t="s">
        <v>5693</v>
      </c>
      <c r="B36" s="6" t="s">
        <v>5694</v>
      </c>
      <c r="C36" s="211" t="n">
        <v>0.15</v>
      </c>
      <c r="D36" s="209"/>
      <c r="E36" s="209"/>
      <c r="F36" s="35" t="s">
        <v>758</v>
      </c>
      <c r="G36" s="35" t="s">
        <v>571</v>
      </c>
      <c r="H36" s="35" t="s">
        <v>1193</v>
      </c>
      <c r="I36" s="35" t="s">
        <v>1185</v>
      </c>
      <c r="J36" s="6" t="s">
        <v>5682</v>
      </c>
      <c r="K36" s="209" t="n">
        <v>1</v>
      </c>
      <c r="L36" s="209" t="s">
        <v>4663</v>
      </c>
      <c r="M36" s="6" t="s">
        <v>5683</v>
      </c>
      <c r="N36" s="209" t="s">
        <v>5175</v>
      </c>
      <c r="O36" s="35" t="s">
        <v>4666</v>
      </c>
      <c r="P36" s="35" t="s">
        <v>571</v>
      </c>
      <c r="Q36" s="35" t="s">
        <v>5684</v>
      </c>
      <c r="R36" s="35" t="s">
        <v>571</v>
      </c>
      <c r="S36" s="35" t="s">
        <v>571</v>
      </c>
      <c r="T36" s="35" t="s">
        <v>571</v>
      </c>
      <c r="U36" s="35" t="s">
        <v>5685</v>
      </c>
      <c r="V36" s="6" t="s">
        <v>5695</v>
      </c>
      <c r="W36" s="6" t="s">
        <v>571</v>
      </c>
      <c r="X36" s="183" t="n">
        <f aca="false">IF($O36="Active",SUMPRODUCT(($AH$5:$AH$98=$AH36)*1),0)</f>
        <v>1</v>
      </c>
      <c r="Y36" s="183" t="n">
        <f aca="false">IF(AND($O36="Active",OR($Q36="—",$Q36="")),1,0)</f>
        <v>0</v>
      </c>
      <c r="Z36" s="183" t="n">
        <f aca="false">IF(AND($O36="Active",$L36="利害關係方",OR($R36="—",$R36="")),1,0)</f>
        <v>1</v>
      </c>
      <c r="AH36" s="34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35" t="s">
        <v>5696</v>
      </c>
      <c r="B37" s="6" t="s">
        <v>5697</v>
      </c>
      <c r="C37" s="211" t="n">
        <v>0.03</v>
      </c>
      <c r="D37" s="209"/>
      <c r="E37" s="209"/>
      <c r="F37" s="35" t="s">
        <v>758</v>
      </c>
      <c r="G37" s="35" t="s">
        <v>571</v>
      </c>
      <c r="H37" s="35" t="s">
        <v>1193</v>
      </c>
      <c r="I37" s="35" t="s">
        <v>1185</v>
      </c>
      <c r="J37" s="6" t="s">
        <v>5682</v>
      </c>
      <c r="K37" s="209" t="n">
        <v>1</v>
      </c>
      <c r="L37" s="209" t="s">
        <v>4663</v>
      </c>
      <c r="M37" s="6" t="s">
        <v>5683</v>
      </c>
      <c r="N37" s="209" t="s">
        <v>5175</v>
      </c>
      <c r="O37" s="35" t="s">
        <v>4666</v>
      </c>
      <c r="P37" s="35" t="s">
        <v>571</v>
      </c>
      <c r="Q37" s="35" t="s">
        <v>5684</v>
      </c>
      <c r="R37" s="35" t="s">
        <v>571</v>
      </c>
      <c r="S37" s="35" t="s">
        <v>571</v>
      </c>
      <c r="T37" s="35" t="s">
        <v>571</v>
      </c>
      <c r="U37" s="35" t="s">
        <v>5685</v>
      </c>
      <c r="V37" s="6" t="s">
        <v>5698</v>
      </c>
      <c r="W37" s="6" t="s">
        <v>571</v>
      </c>
      <c r="X37" s="183" t="n">
        <f aca="false">IF($O37="Active",SUMPRODUCT(($AH$5:$AH$98=$AH37)*1),0)</f>
        <v>1</v>
      </c>
      <c r="Y37" s="183" t="n">
        <f aca="false">IF(AND($O37="Active",OR($Q37="—",$Q37="")),1,0)</f>
        <v>0</v>
      </c>
      <c r="Z37" s="183" t="n">
        <f aca="false">IF(AND($O37="Active",$L37="利害關係方",OR($R37="—",$R37="")),1,0)</f>
        <v>1</v>
      </c>
      <c r="AH37" s="34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35" t="s">
        <v>5699</v>
      </c>
      <c r="B38" s="6" t="s">
        <v>5700</v>
      </c>
      <c r="C38" s="211" t="n">
        <v>0.5</v>
      </c>
      <c r="D38" s="209"/>
      <c r="E38" s="209"/>
      <c r="F38" s="35" t="s">
        <v>758</v>
      </c>
      <c r="G38" s="35" t="s">
        <v>571</v>
      </c>
      <c r="H38" s="35" t="s">
        <v>1193</v>
      </c>
      <c r="I38" s="35" t="s">
        <v>1185</v>
      </c>
      <c r="J38" s="6" t="s">
        <v>5682</v>
      </c>
      <c r="K38" s="209" t="n">
        <v>1</v>
      </c>
      <c r="L38" s="209" t="s">
        <v>4663</v>
      </c>
      <c r="M38" s="6" t="s">
        <v>5683</v>
      </c>
      <c r="N38" s="209" t="s">
        <v>5175</v>
      </c>
      <c r="O38" s="35" t="s">
        <v>4666</v>
      </c>
      <c r="P38" s="35" t="s">
        <v>571</v>
      </c>
      <c r="Q38" s="35" t="s">
        <v>5684</v>
      </c>
      <c r="R38" s="35" t="s">
        <v>571</v>
      </c>
      <c r="S38" s="35" t="s">
        <v>571</v>
      </c>
      <c r="T38" s="35" t="s">
        <v>571</v>
      </c>
      <c r="U38" s="35" t="s">
        <v>5685</v>
      </c>
      <c r="V38" s="6" t="s">
        <v>5701</v>
      </c>
      <c r="W38" s="6" t="s">
        <v>571</v>
      </c>
      <c r="X38" s="183" t="n">
        <f aca="false">IF($O38="Active",SUMPRODUCT(($AH$5:$AH$98=$AH38)*1),0)</f>
        <v>1</v>
      </c>
      <c r="Y38" s="183" t="n">
        <f aca="false">IF(AND($O38="Active",OR($Q38="—",$Q38="")),1,0)</f>
        <v>0</v>
      </c>
      <c r="Z38" s="183" t="n">
        <f aca="false">IF(AND($O38="Active",$L38="利害關係方",OR($R38="—",$R38="")),1,0)</f>
        <v>1</v>
      </c>
      <c r="AH38" s="34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35" t="s">
        <v>5702</v>
      </c>
      <c r="B39" s="6" t="s">
        <v>5703</v>
      </c>
      <c r="C39" s="211" t="n">
        <v>3</v>
      </c>
      <c r="D39" s="209"/>
      <c r="E39" s="209"/>
      <c r="F39" s="35" t="s">
        <v>758</v>
      </c>
      <c r="G39" s="35" t="s">
        <v>571</v>
      </c>
      <c r="H39" s="35" t="s">
        <v>1199</v>
      </c>
      <c r="I39" s="35" t="s">
        <v>5631</v>
      </c>
      <c r="J39" s="6" t="s">
        <v>5704</v>
      </c>
      <c r="K39" s="209" t="n">
        <v>2</v>
      </c>
      <c r="L39" s="209" t="s">
        <v>4663</v>
      </c>
      <c r="M39" s="6" t="s">
        <v>5705</v>
      </c>
      <c r="N39" s="209" t="s">
        <v>4676</v>
      </c>
      <c r="O39" s="35" t="s">
        <v>4666</v>
      </c>
      <c r="P39" s="35" t="s">
        <v>571</v>
      </c>
      <c r="Q39" s="35" t="s">
        <v>5706</v>
      </c>
      <c r="R39" s="35" t="s">
        <v>571</v>
      </c>
      <c r="S39" s="35" t="s">
        <v>571</v>
      </c>
      <c r="T39" s="35" t="s">
        <v>571</v>
      </c>
      <c r="U39" s="35" t="s">
        <v>5707</v>
      </c>
      <c r="V39" s="6" t="s">
        <v>5708</v>
      </c>
      <c r="W39" s="6" t="s">
        <v>571</v>
      </c>
      <c r="X39" s="183" t="n">
        <f aca="false">IF($O39="Active",SUMPRODUCT(($AH$5:$AH$98=$AH39)*1),0)</f>
        <v>1</v>
      </c>
      <c r="Y39" s="183" t="n">
        <f aca="false">IF(AND($O39="Active",OR($Q39="—",$Q39="")),1,0)</f>
        <v>0</v>
      </c>
      <c r="Z39" s="183" t="n">
        <f aca="false">IF(AND($O39="Active",$L39="利害關係方",OR($R39="—",$R39="")),1,0)</f>
        <v>1</v>
      </c>
      <c r="AH39" s="34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35" t="s">
        <v>5709</v>
      </c>
      <c r="B40" s="6" t="s">
        <v>5710</v>
      </c>
      <c r="C40" s="211" t="n">
        <v>0.3</v>
      </c>
      <c r="D40" s="209"/>
      <c r="E40" s="209"/>
      <c r="F40" s="35" t="s">
        <v>758</v>
      </c>
      <c r="G40" s="35" t="s">
        <v>571</v>
      </c>
      <c r="H40" s="35" t="s">
        <v>1199</v>
      </c>
      <c r="I40" s="35" t="s">
        <v>5631</v>
      </c>
      <c r="J40" s="6" t="s">
        <v>5704</v>
      </c>
      <c r="K40" s="209" t="n">
        <v>2</v>
      </c>
      <c r="L40" s="209" t="s">
        <v>4663</v>
      </c>
      <c r="M40" s="6" t="s">
        <v>5705</v>
      </c>
      <c r="N40" s="209" t="s">
        <v>4676</v>
      </c>
      <c r="O40" s="35" t="s">
        <v>4666</v>
      </c>
      <c r="P40" s="35" t="s">
        <v>571</v>
      </c>
      <c r="Q40" s="35" t="s">
        <v>5706</v>
      </c>
      <c r="R40" s="35" t="s">
        <v>571</v>
      </c>
      <c r="S40" s="35" t="s">
        <v>571</v>
      </c>
      <c r="T40" s="35" t="s">
        <v>571</v>
      </c>
      <c r="U40" s="35" t="s">
        <v>5707</v>
      </c>
      <c r="V40" s="6" t="s">
        <v>5711</v>
      </c>
      <c r="W40" s="6" t="s">
        <v>571</v>
      </c>
      <c r="X40" s="183" t="n">
        <f aca="false">IF($O40="Active",SUMPRODUCT(($AH$5:$AH$98=$AH40)*1),0)</f>
        <v>1</v>
      </c>
      <c r="Y40" s="183" t="n">
        <f aca="false">IF(AND($O40="Active",OR($Q40="—",$Q40="")),1,0)</f>
        <v>0</v>
      </c>
      <c r="Z40" s="183" t="n">
        <f aca="false">IF(AND($O40="Active",$L40="利害關係方",OR($R40="—",$R40="")),1,0)</f>
        <v>1</v>
      </c>
      <c r="AH40" s="34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35" t="s">
        <v>5712</v>
      </c>
      <c r="B41" s="6" t="s">
        <v>5713</v>
      </c>
      <c r="C41" s="211" t="n">
        <v>15</v>
      </c>
      <c r="D41" s="209"/>
      <c r="E41" s="209"/>
      <c r="F41" s="35" t="s">
        <v>758</v>
      </c>
      <c r="G41" s="35" t="s">
        <v>571</v>
      </c>
      <c r="H41" s="35" t="s">
        <v>1199</v>
      </c>
      <c r="I41" s="35" t="s">
        <v>5631</v>
      </c>
      <c r="J41" s="6" t="s">
        <v>5704</v>
      </c>
      <c r="K41" s="209" t="n">
        <v>2</v>
      </c>
      <c r="L41" s="209" t="s">
        <v>4663</v>
      </c>
      <c r="M41" s="6" t="s">
        <v>5705</v>
      </c>
      <c r="N41" s="209" t="s">
        <v>4676</v>
      </c>
      <c r="O41" s="35" t="s">
        <v>4666</v>
      </c>
      <c r="P41" s="35" t="s">
        <v>571</v>
      </c>
      <c r="Q41" s="35" t="s">
        <v>5706</v>
      </c>
      <c r="R41" s="35" t="s">
        <v>571</v>
      </c>
      <c r="S41" s="35" t="s">
        <v>571</v>
      </c>
      <c r="T41" s="35" t="s">
        <v>571</v>
      </c>
      <c r="U41" s="35" t="s">
        <v>5707</v>
      </c>
      <c r="V41" s="6" t="s">
        <v>5714</v>
      </c>
      <c r="W41" s="6" t="s">
        <v>571</v>
      </c>
      <c r="X41" s="183" t="n">
        <f aca="false">IF($O41="Active",SUMPRODUCT(($AH$5:$AH$98=$AH41)*1),0)</f>
        <v>1</v>
      </c>
      <c r="Y41" s="183" t="n">
        <f aca="false">IF(AND($O41="Active",OR($Q41="—",$Q41="")),1,0)</f>
        <v>0</v>
      </c>
      <c r="Z41" s="183" t="n">
        <f aca="false">IF(AND($O41="Active",$L41="利害關係方",OR($R41="—",$R41="")),1,0)</f>
        <v>1</v>
      </c>
      <c r="AH41" s="34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35" t="s">
        <v>5715</v>
      </c>
      <c r="B42" s="6" t="s">
        <v>5716</v>
      </c>
      <c r="C42" s="211" t="n">
        <v>2</v>
      </c>
      <c r="D42" s="209"/>
      <c r="E42" s="209"/>
      <c r="F42" s="35" t="s">
        <v>758</v>
      </c>
      <c r="G42" s="209" t="s">
        <v>5717</v>
      </c>
      <c r="H42" s="35" t="s">
        <v>1195</v>
      </c>
      <c r="I42" s="35" t="s">
        <v>1173</v>
      </c>
      <c r="J42" s="6" t="s">
        <v>5704</v>
      </c>
      <c r="K42" s="209" t="n">
        <v>2</v>
      </c>
      <c r="L42" s="209" t="s">
        <v>4663</v>
      </c>
      <c r="M42" s="6" t="s">
        <v>5705</v>
      </c>
      <c r="N42" s="209" t="s">
        <v>4676</v>
      </c>
      <c r="O42" s="35" t="s">
        <v>4666</v>
      </c>
      <c r="P42" s="35" t="s">
        <v>571</v>
      </c>
      <c r="Q42" s="35" t="s">
        <v>5706</v>
      </c>
      <c r="R42" s="35" t="s">
        <v>571</v>
      </c>
      <c r="S42" s="35" t="s">
        <v>571</v>
      </c>
      <c r="T42" s="35" t="s">
        <v>571</v>
      </c>
      <c r="U42" s="35" t="s">
        <v>5707</v>
      </c>
      <c r="V42" s="6" t="s">
        <v>5718</v>
      </c>
      <c r="W42" s="6" t="s">
        <v>571</v>
      </c>
      <c r="X42" s="183" t="n">
        <f aca="false">IF($O42="Active",SUMPRODUCT(($AH$5:$AH$98=$AH42)*1),0)</f>
        <v>1</v>
      </c>
      <c r="Y42" s="183" t="n">
        <f aca="false">IF(AND($O42="Active",OR($Q42="—",$Q42="")),1,0)</f>
        <v>0</v>
      </c>
      <c r="Z42" s="183" t="n">
        <f aca="false">IF(AND($O42="Active",$L42="利害關係方",OR($R42="—",$R42="")),1,0)</f>
        <v>1</v>
      </c>
      <c r="AH42" s="34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35" t="s">
        <v>5719</v>
      </c>
      <c r="B43" s="6" t="s">
        <v>5720</v>
      </c>
      <c r="C43" s="211" t="n">
        <v>0.25</v>
      </c>
      <c r="D43" s="209"/>
      <c r="E43" s="209"/>
      <c r="F43" s="35" t="s">
        <v>758</v>
      </c>
      <c r="G43" s="209" t="s">
        <v>5717</v>
      </c>
      <c r="H43" s="35" t="s">
        <v>1195</v>
      </c>
      <c r="I43" s="35" t="s">
        <v>1173</v>
      </c>
      <c r="J43" s="6" t="s">
        <v>5704</v>
      </c>
      <c r="K43" s="209" t="n">
        <v>2</v>
      </c>
      <c r="L43" s="209" t="s">
        <v>4663</v>
      </c>
      <c r="M43" s="6" t="s">
        <v>5705</v>
      </c>
      <c r="N43" s="209" t="s">
        <v>4676</v>
      </c>
      <c r="O43" s="35" t="s">
        <v>4666</v>
      </c>
      <c r="P43" s="35" t="s">
        <v>571</v>
      </c>
      <c r="Q43" s="35" t="s">
        <v>5706</v>
      </c>
      <c r="R43" s="35" t="s">
        <v>571</v>
      </c>
      <c r="S43" s="35" t="s">
        <v>571</v>
      </c>
      <c r="T43" s="35" t="s">
        <v>571</v>
      </c>
      <c r="U43" s="35" t="s">
        <v>5707</v>
      </c>
      <c r="V43" s="6" t="s">
        <v>5721</v>
      </c>
      <c r="W43" s="6" t="s">
        <v>571</v>
      </c>
      <c r="X43" s="183" t="n">
        <f aca="false">IF($O43="Active",SUMPRODUCT(($AH$5:$AH$98=$AH43)*1),0)</f>
        <v>1</v>
      </c>
      <c r="Y43" s="183" t="n">
        <f aca="false">IF(AND($O43="Active",OR($Q43="—",$Q43="")),1,0)</f>
        <v>0</v>
      </c>
      <c r="Z43" s="183" t="n">
        <f aca="false">IF(AND($O43="Active",$L43="利害關係方",OR($R43="—",$R43="")),1,0)</f>
        <v>1</v>
      </c>
      <c r="AH43" s="34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35" t="s">
        <v>5722</v>
      </c>
      <c r="B44" s="6" t="s">
        <v>5723</v>
      </c>
      <c r="C44" s="211" t="n">
        <v>6</v>
      </c>
      <c r="D44" s="209"/>
      <c r="E44" s="209"/>
      <c r="F44" s="35" t="s">
        <v>758</v>
      </c>
      <c r="G44" s="209" t="s">
        <v>5717</v>
      </c>
      <c r="H44" s="35" t="s">
        <v>1195</v>
      </c>
      <c r="I44" s="35" t="s">
        <v>1173</v>
      </c>
      <c r="J44" s="6" t="s">
        <v>5704</v>
      </c>
      <c r="K44" s="209" t="n">
        <v>2</v>
      </c>
      <c r="L44" s="209" t="s">
        <v>4663</v>
      </c>
      <c r="M44" s="6" t="s">
        <v>5705</v>
      </c>
      <c r="N44" s="209" t="s">
        <v>4676</v>
      </c>
      <c r="O44" s="35" t="s">
        <v>4666</v>
      </c>
      <c r="P44" s="35" t="s">
        <v>571</v>
      </c>
      <c r="Q44" s="35" t="s">
        <v>5706</v>
      </c>
      <c r="R44" s="35" t="s">
        <v>571</v>
      </c>
      <c r="S44" s="35" t="s">
        <v>571</v>
      </c>
      <c r="T44" s="35" t="s">
        <v>571</v>
      </c>
      <c r="U44" s="35" t="s">
        <v>5707</v>
      </c>
      <c r="V44" s="6" t="s">
        <v>5724</v>
      </c>
      <c r="W44" s="6" t="s">
        <v>571</v>
      </c>
      <c r="X44" s="183" t="n">
        <f aca="false">IF($O44="Active",SUMPRODUCT(($AH$5:$AH$98=$AH44)*1),0)</f>
        <v>1</v>
      </c>
      <c r="Y44" s="183" t="n">
        <f aca="false">IF(AND($O44="Active",OR($Q44="—",$Q44="")),1,0)</f>
        <v>0</v>
      </c>
      <c r="Z44" s="183" t="n">
        <f aca="false">IF(AND($O44="Active",$L44="利害關係方",OR($R44="—",$R44="")),1,0)</f>
        <v>1</v>
      </c>
      <c r="AH44" s="34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35" t="s">
        <v>5725</v>
      </c>
      <c r="B45" s="6" t="s">
        <v>5726</v>
      </c>
      <c r="C45" s="211" t="n">
        <v>2.5</v>
      </c>
      <c r="D45" s="209"/>
      <c r="E45" s="209"/>
      <c r="F45" s="35" t="s">
        <v>758</v>
      </c>
      <c r="G45" s="209" t="s">
        <v>5727</v>
      </c>
      <c r="H45" s="35" t="s">
        <v>1195</v>
      </c>
      <c r="I45" s="35" t="s">
        <v>1173</v>
      </c>
      <c r="J45" s="6" t="s">
        <v>5704</v>
      </c>
      <c r="K45" s="209" t="n">
        <v>2</v>
      </c>
      <c r="L45" s="209" t="s">
        <v>4663</v>
      </c>
      <c r="M45" s="6" t="s">
        <v>5705</v>
      </c>
      <c r="N45" s="209" t="s">
        <v>4676</v>
      </c>
      <c r="O45" s="35" t="s">
        <v>4715</v>
      </c>
      <c r="P45" s="35" t="s">
        <v>571</v>
      </c>
      <c r="Q45" s="35" t="s">
        <v>5706</v>
      </c>
      <c r="R45" s="35" t="s">
        <v>571</v>
      </c>
      <c r="S45" s="35" t="s">
        <v>571</v>
      </c>
      <c r="T45" s="35" t="s">
        <v>571</v>
      </c>
      <c r="U45" s="35" t="s">
        <v>5707</v>
      </c>
      <c r="V45" s="6" t="s">
        <v>571</v>
      </c>
      <c r="W45" s="18" t="s">
        <v>5728</v>
      </c>
      <c r="X45" s="183" t="n">
        <f aca="false">IF($O45="Active",SUMPRODUCT(($AH$5:$AH$98=$AH45)*1),0)</f>
        <v>0</v>
      </c>
      <c r="Y45" s="183" t="n">
        <f aca="false">IF(AND($O45="Active",OR($Q45="—",$Q45="")),1,0)</f>
        <v>0</v>
      </c>
      <c r="Z45" s="183" t="n">
        <f aca="false">IF(AND($O45="Active",$L45="利害關係方",OR($R45="—",$R45="")),1,0)</f>
        <v>0</v>
      </c>
      <c r="AH45" s="34" t="str">
        <f aca="false">IF($O45="Active",$B45&amp;"¦"&amp;$G45&amp;"¦"&amp;$H45,"")</f>
        <v/>
      </c>
    </row>
    <row r="46" customFormat="false" ht="29.25" hidden="false" customHeight="true" outlineLevel="0" collapsed="false">
      <c r="A46" s="35" t="s">
        <v>5729</v>
      </c>
      <c r="B46" s="6" t="s">
        <v>5730</v>
      </c>
      <c r="C46" s="211" t="n">
        <v>7.5</v>
      </c>
      <c r="D46" s="209"/>
      <c r="E46" s="209"/>
      <c r="F46" s="35" t="s">
        <v>758</v>
      </c>
      <c r="G46" s="209" t="s">
        <v>5727</v>
      </c>
      <c r="H46" s="35" t="s">
        <v>1195</v>
      </c>
      <c r="I46" s="35" t="s">
        <v>1173</v>
      </c>
      <c r="J46" s="6" t="s">
        <v>5704</v>
      </c>
      <c r="K46" s="209" t="n">
        <v>2</v>
      </c>
      <c r="L46" s="209" t="s">
        <v>4663</v>
      </c>
      <c r="M46" s="6" t="s">
        <v>5705</v>
      </c>
      <c r="N46" s="209" t="s">
        <v>4676</v>
      </c>
      <c r="O46" s="35" t="s">
        <v>4715</v>
      </c>
      <c r="P46" s="35" t="s">
        <v>571</v>
      </c>
      <c r="Q46" s="35" t="s">
        <v>5706</v>
      </c>
      <c r="R46" s="35" t="s">
        <v>571</v>
      </c>
      <c r="S46" s="35" t="s">
        <v>571</v>
      </c>
      <c r="T46" s="35" t="s">
        <v>571</v>
      </c>
      <c r="U46" s="35" t="s">
        <v>5707</v>
      </c>
      <c r="V46" s="6" t="s">
        <v>571</v>
      </c>
      <c r="W46" s="18" t="s">
        <v>5728</v>
      </c>
      <c r="X46" s="183" t="n">
        <f aca="false">IF($O46="Active",SUMPRODUCT(($AH$5:$AH$98=$AH46)*1),0)</f>
        <v>0</v>
      </c>
      <c r="Y46" s="183" t="n">
        <f aca="false">IF(AND($O46="Active",OR($Q46="—",$Q46="")),1,0)</f>
        <v>0</v>
      </c>
      <c r="Z46" s="183" t="n">
        <f aca="false">IF(AND($O46="Active",$L46="利害關係方",OR($R46="—",$R46="")),1,0)</f>
        <v>0</v>
      </c>
      <c r="AH46" s="34" t="str">
        <f aca="false">IF($O46="Active",$B46&amp;"¦"&amp;$G46&amp;"¦"&amp;$H46,"")</f>
        <v/>
      </c>
    </row>
    <row r="47" customFormat="false" ht="29.25" hidden="false" customHeight="true" outlineLevel="0" collapsed="false">
      <c r="A47" s="35" t="s">
        <v>5731</v>
      </c>
      <c r="B47" s="6" t="s">
        <v>5732</v>
      </c>
      <c r="C47" s="211" t="n">
        <v>0.3</v>
      </c>
      <c r="D47" s="209"/>
      <c r="E47" s="209"/>
      <c r="F47" s="35" t="s">
        <v>758</v>
      </c>
      <c r="G47" s="35" t="s">
        <v>5733</v>
      </c>
      <c r="H47" s="35" t="s">
        <v>1204</v>
      </c>
      <c r="I47" s="35" t="s">
        <v>1176</v>
      </c>
      <c r="J47" s="6" t="s">
        <v>5704</v>
      </c>
      <c r="K47" s="209" t="n">
        <v>2</v>
      </c>
      <c r="L47" s="209" t="s">
        <v>4663</v>
      </c>
      <c r="M47" s="6" t="s">
        <v>5705</v>
      </c>
      <c r="N47" s="209" t="s">
        <v>4676</v>
      </c>
      <c r="O47" s="35" t="s">
        <v>4666</v>
      </c>
      <c r="P47" s="35" t="s">
        <v>571</v>
      </c>
      <c r="Q47" s="35" t="s">
        <v>5706</v>
      </c>
      <c r="R47" s="35" t="s">
        <v>571</v>
      </c>
      <c r="S47" s="35" t="s">
        <v>571</v>
      </c>
      <c r="T47" s="35" t="s">
        <v>571</v>
      </c>
      <c r="U47" s="35" t="s">
        <v>5707</v>
      </c>
      <c r="V47" s="6" t="s">
        <v>5734</v>
      </c>
      <c r="W47" s="6" t="s">
        <v>571</v>
      </c>
      <c r="X47" s="183" t="n">
        <f aca="false">IF($O47="Active",SUMPRODUCT(($AH$5:$AH$98=$AH47)*1),0)</f>
        <v>1</v>
      </c>
      <c r="Y47" s="183" t="n">
        <f aca="false">IF(AND($O47="Active",OR($Q47="—",$Q47="")),1,0)</f>
        <v>0</v>
      </c>
      <c r="Z47" s="183" t="n">
        <f aca="false">IF(AND($O47="Active",$L47="利害關係方",OR($R47="—",$R47="")),1,0)</f>
        <v>1</v>
      </c>
      <c r="AH47" s="34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35" t="s">
        <v>5735</v>
      </c>
      <c r="B48" s="6" t="s">
        <v>5736</v>
      </c>
      <c r="C48" s="211" t="n">
        <v>1.2</v>
      </c>
      <c r="D48" s="209"/>
      <c r="E48" s="209"/>
      <c r="F48" s="35" t="s">
        <v>758</v>
      </c>
      <c r="G48" s="35" t="s">
        <v>5733</v>
      </c>
      <c r="H48" s="35" t="s">
        <v>1204</v>
      </c>
      <c r="I48" s="35" t="s">
        <v>1176</v>
      </c>
      <c r="J48" s="6" t="s">
        <v>5704</v>
      </c>
      <c r="K48" s="209" t="n">
        <v>2</v>
      </c>
      <c r="L48" s="209" t="s">
        <v>4663</v>
      </c>
      <c r="M48" s="6" t="s">
        <v>5705</v>
      </c>
      <c r="N48" s="209" t="s">
        <v>4676</v>
      </c>
      <c r="O48" s="35" t="s">
        <v>4666</v>
      </c>
      <c r="P48" s="35" t="s">
        <v>571</v>
      </c>
      <c r="Q48" s="35" t="s">
        <v>5706</v>
      </c>
      <c r="R48" s="35" t="s">
        <v>571</v>
      </c>
      <c r="S48" s="35" t="s">
        <v>571</v>
      </c>
      <c r="T48" s="35" t="s">
        <v>571</v>
      </c>
      <c r="U48" s="35" t="s">
        <v>5707</v>
      </c>
      <c r="V48" s="6" t="s">
        <v>5737</v>
      </c>
      <c r="W48" s="6" t="s">
        <v>571</v>
      </c>
      <c r="X48" s="183" t="n">
        <f aca="false">IF($O48="Active",SUMPRODUCT(($AH$5:$AH$98=$AH48)*1),0)</f>
        <v>1</v>
      </c>
      <c r="Y48" s="183" t="n">
        <f aca="false">IF(AND($O48="Active",OR($Q48="—",$Q48="")),1,0)</f>
        <v>0</v>
      </c>
      <c r="Z48" s="183" t="n">
        <f aca="false">IF(AND($O48="Active",$L48="利害關係方",OR($R48="—",$R48="")),1,0)</f>
        <v>1</v>
      </c>
      <c r="AH48" s="34" t="str">
        <f aca="false">IF($O48="Active",$B48&amp;"¦"&amp;$G48&amp;"¦"&amp;$H48,"")</f>
        <v>MiniMax M3 輸出¦≤512K 輸入¦MiniMax M3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7" t="s">
        <v>5738</v>
      </c>
    </row>
    <row r="2" customFormat="false" ht="15" hidden="false" customHeight="true" outlineLevel="0" collapsed="false">
      <c r="A2" s="218" t="s">
        <v>4637</v>
      </c>
    </row>
    <row r="3" customFormat="false" ht="15" hidden="false" customHeight="true" outlineLevel="0" collapsed="false">
      <c r="A3" s="218" t="s">
        <v>4638</v>
      </c>
    </row>
    <row r="4" customFormat="false" ht="43.5" hidden="false" customHeight="true" outlineLevel="0" collapsed="false">
      <c r="A4" s="77" t="s">
        <v>4639</v>
      </c>
      <c r="B4" s="208" t="s">
        <v>1839</v>
      </c>
      <c r="C4" s="208" t="s">
        <v>4640</v>
      </c>
      <c r="D4" s="208" t="s">
        <v>1099</v>
      </c>
      <c r="E4" s="208" t="s">
        <v>1100</v>
      </c>
      <c r="F4" s="208" t="s">
        <v>55</v>
      </c>
      <c r="G4" s="208" t="s">
        <v>427</v>
      </c>
      <c r="H4" s="208" t="s">
        <v>4641</v>
      </c>
      <c r="I4" s="208" t="s">
        <v>4294</v>
      </c>
      <c r="J4" s="208" t="s">
        <v>4297</v>
      </c>
      <c r="K4" s="208" t="s">
        <v>4472</v>
      </c>
      <c r="L4" s="208" t="s">
        <v>4642</v>
      </c>
      <c r="M4" s="208" t="s">
        <v>4643</v>
      </c>
      <c r="N4" s="208" t="s">
        <v>4644</v>
      </c>
      <c r="O4" s="208" t="s">
        <v>558</v>
      </c>
      <c r="P4" s="208" t="s">
        <v>4645</v>
      </c>
      <c r="Q4" s="77" t="s">
        <v>4646</v>
      </c>
      <c r="R4" s="208" t="s">
        <v>4647</v>
      </c>
      <c r="S4" s="208" t="s">
        <v>4648</v>
      </c>
      <c r="T4" s="77" t="s">
        <v>4649</v>
      </c>
      <c r="U4" s="208" t="s">
        <v>4650</v>
      </c>
      <c r="V4" s="208" t="s">
        <v>4651</v>
      </c>
      <c r="W4" s="208" t="s">
        <v>4652</v>
      </c>
      <c r="X4" s="208" t="s">
        <v>4653</v>
      </c>
      <c r="Y4" s="208" t="s">
        <v>4654</v>
      </c>
      <c r="Z4" s="208" t="s">
        <v>4655</v>
      </c>
      <c r="AH4" s="76" t="s">
        <v>4656</v>
      </c>
    </row>
    <row r="5" customFormat="false" ht="29.25" hidden="false" customHeight="true" outlineLevel="0" collapsed="false">
      <c r="A5" s="35" t="s">
        <v>5739</v>
      </c>
      <c r="B5" s="6" t="s">
        <v>5740</v>
      </c>
      <c r="C5" s="211" t="n">
        <v>53</v>
      </c>
      <c r="D5" s="209"/>
      <c r="E5" s="209"/>
      <c r="F5" s="209" t="s">
        <v>1215</v>
      </c>
      <c r="G5" s="35" t="s">
        <v>1169</v>
      </c>
      <c r="H5" s="35" t="s">
        <v>1168</v>
      </c>
      <c r="I5" s="35" t="s">
        <v>1173</v>
      </c>
      <c r="J5" s="6" t="s">
        <v>5741</v>
      </c>
      <c r="K5" s="209" t="n">
        <v>2</v>
      </c>
      <c r="L5" s="209" t="s">
        <v>4767</v>
      </c>
      <c r="M5" s="6" t="s">
        <v>5742</v>
      </c>
      <c r="N5" s="209" t="s">
        <v>4676</v>
      </c>
      <c r="O5" s="35" t="s">
        <v>4666</v>
      </c>
      <c r="P5" s="35" t="s">
        <v>571</v>
      </c>
      <c r="Q5" s="35" t="s">
        <v>5743</v>
      </c>
      <c r="R5" s="35" t="s">
        <v>571</v>
      </c>
      <c r="S5" s="35" t="s">
        <v>571</v>
      </c>
      <c r="T5" s="35" t="s">
        <v>571</v>
      </c>
      <c r="U5" s="35" t="s">
        <v>5744</v>
      </c>
      <c r="V5" s="6" t="s">
        <v>5745</v>
      </c>
      <c r="W5" s="6" t="s">
        <v>571</v>
      </c>
      <c r="X5" s="183" t="n">
        <f aca="false">IF($O5="Active",SUMPRODUCT(($AH$5:$AH$75=$AH5)*1),0)</f>
        <v>1</v>
      </c>
      <c r="Y5" s="183" t="n">
        <f aca="false">IF(AND($O5="Active",OR($Q5="—",$Q5="")),1,0)</f>
        <v>0</v>
      </c>
      <c r="Z5" s="183" t="n">
        <f aca="false">IF(AND($O5="Active",$L5="利害關係方",OR($R5="—",$R5="")),1,0)</f>
        <v>0</v>
      </c>
      <c r="AH5" s="34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35" t="s">
        <v>5746</v>
      </c>
      <c r="B6" s="6" t="s">
        <v>5747</v>
      </c>
      <c r="C6" s="211" t="n">
        <v>53</v>
      </c>
      <c r="D6" s="209"/>
      <c r="E6" s="209"/>
      <c r="F6" s="209" t="s">
        <v>1215</v>
      </c>
      <c r="G6" s="35" t="s">
        <v>1169</v>
      </c>
      <c r="H6" s="35" t="s">
        <v>1171</v>
      </c>
      <c r="I6" s="35" t="s">
        <v>1173</v>
      </c>
      <c r="J6" s="6" t="s">
        <v>5741</v>
      </c>
      <c r="K6" s="209" t="n">
        <v>2</v>
      </c>
      <c r="L6" s="209" t="s">
        <v>4767</v>
      </c>
      <c r="M6" s="6" t="s">
        <v>5742</v>
      </c>
      <c r="N6" s="209" t="s">
        <v>4676</v>
      </c>
      <c r="O6" s="35" t="s">
        <v>4666</v>
      </c>
      <c r="P6" s="35" t="s">
        <v>571</v>
      </c>
      <c r="Q6" s="35" t="s">
        <v>5743</v>
      </c>
      <c r="R6" s="35" t="s">
        <v>571</v>
      </c>
      <c r="S6" s="35" t="s">
        <v>571</v>
      </c>
      <c r="T6" s="35" t="s">
        <v>571</v>
      </c>
      <c r="U6" s="35" t="s">
        <v>5744</v>
      </c>
      <c r="V6" s="6" t="s">
        <v>5748</v>
      </c>
      <c r="W6" s="6" t="s">
        <v>571</v>
      </c>
      <c r="X6" s="183" t="n">
        <f aca="false">IF($O6="Active",SUMPRODUCT(($AH$5:$AH$75=$AH6)*1),0)</f>
        <v>1</v>
      </c>
      <c r="Y6" s="183" t="n">
        <f aca="false">IF(AND($O6="Active",OR($Q6="—",$Q6="")),1,0)</f>
        <v>0</v>
      </c>
      <c r="Z6" s="183" t="n">
        <f aca="false">IF(AND($O6="Active",$L6="利害關係方",OR($R6="—",$R6="")),1,0)</f>
        <v>0</v>
      </c>
      <c r="AH6" s="34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35" t="s">
        <v>5749</v>
      </c>
      <c r="B7" s="6" t="s">
        <v>5750</v>
      </c>
      <c r="C7" s="211" t="n">
        <v>51</v>
      </c>
      <c r="D7" s="209"/>
      <c r="E7" s="209"/>
      <c r="F7" s="209" t="s">
        <v>1215</v>
      </c>
      <c r="G7" s="35" t="s">
        <v>1169</v>
      </c>
      <c r="H7" s="35" t="s">
        <v>1175</v>
      </c>
      <c r="I7" s="35" t="s">
        <v>1173</v>
      </c>
      <c r="J7" s="6" t="s">
        <v>5741</v>
      </c>
      <c r="K7" s="209" t="n">
        <v>2</v>
      </c>
      <c r="L7" s="209" t="s">
        <v>4767</v>
      </c>
      <c r="M7" s="6" t="s">
        <v>5742</v>
      </c>
      <c r="N7" s="209" t="s">
        <v>4676</v>
      </c>
      <c r="O7" s="35" t="s">
        <v>4666</v>
      </c>
      <c r="P7" s="35" t="s">
        <v>571</v>
      </c>
      <c r="Q7" s="35" t="s">
        <v>5743</v>
      </c>
      <c r="R7" s="35" t="s">
        <v>571</v>
      </c>
      <c r="S7" s="35" t="s">
        <v>571</v>
      </c>
      <c r="T7" s="35" t="s">
        <v>571</v>
      </c>
      <c r="U7" s="35" t="s">
        <v>5744</v>
      </c>
      <c r="V7" s="6" t="s">
        <v>5751</v>
      </c>
      <c r="W7" s="6" t="s">
        <v>571</v>
      </c>
      <c r="X7" s="183" t="n">
        <f aca="false">IF($O7="Active",SUMPRODUCT(($AH$5:$AH$75=$AH7)*1),0)</f>
        <v>1</v>
      </c>
      <c r="Y7" s="183" t="n">
        <f aca="false">IF(AND($O7="Active",OR($Q7="—",$Q7="")),1,0)</f>
        <v>0</v>
      </c>
      <c r="Z7" s="183" t="n">
        <f aca="false">IF(AND($O7="Active",$L7="利害關係方",OR($R7="—",$R7="")),1,0)</f>
        <v>0</v>
      </c>
      <c r="AH7" s="34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35" t="s">
        <v>5752</v>
      </c>
      <c r="B8" s="6" t="s">
        <v>5753</v>
      </c>
      <c r="C8" s="211" t="n">
        <v>47</v>
      </c>
      <c r="D8" s="209"/>
      <c r="E8" s="209"/>
      <c r="F8" s="209" t="s">
        <v>1215</v>
      </c>
      <c r="G8" s="35" t="s">
        <v>1169</v>
      </c>
      <c r="H8" s="35" t="s">
        <v>5407</v>
      </c>
      <c r="I8" s="35" t="s">
        <v>1173</v>
      </c>
      <c r="J8" s="6" t="s">
        <v>5741</v>
      </c>
      <c r="K8" s="209" t="n">
        <v>2</v>
      </c>
      <c r="L8" s="209" t="s">
        <v>4767</v>
      </c>
      <c r="M8" s="6" t="s">
        <v>5742</v>
      </c>
      <c r="N8" s="209" t="s">
        <v>4676</v>
      </c>
      <c r="O8" s="35" t="s">
        <v>4666</v>
      </c>
      <c r="P8" s="35" t="s">
        <v>571</v>
      </c>
      <c r="Q8" s="35" t="s">
        <v>5743</v>
      </c>
      <c r="R8" s="35" t="s">
        <v>571</v>
      </c>
      <c r="S8" s="35" t="s">
        <v>571</v>
      </c>
      <c r="T8" s="35" t="s">
        <v>571</v>
      </c>
      <c r="U8" s="35" t="s">
        <v>5744</v>
      </c>
      <c r="V8" s="6" t="s">
        <v>571</v>
      </c>
      <c r="W8" s="6" t="s">
        <v>571</v>
      </c>
      <c r="X8" s="183" t="n">
        <f aca="false">IF($O8="Active",SUMPRODUCT(($AH$5:$AH$75=$AH8)*1),0)</f>
        <v>1</v>
      </c>
      <c r="Y8" s="183" t="n">
        <f aca="false">IF(AND($O8="Active",OR($Q8="—",$Q8="")),1,0)</f>
        <v>0</v>
      </c>
      <c r="Z8" s="183" t="n">
        <f aca="false">IF(AND($O8="Active",$L8="利害關係方",OR($R8="—",$R8="")),1,0)</f>
        <v>0</v>
      </c>
      <c r="AH8" s="34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35" t="s">
        <v>5754</v>
      </c>
      <c r="B9" s="6" t="s">
        <v>5755</v>
      </c>
      <c r="C9" s="211" t="n">
        <v>42</v>
      </c>
      <c r="D9" s="209"/>
      <c r="E9" s="209"/>
      <c r="F9" s="209" t="s">
        <v>1215</v>
      </c>
      <c r="G9" s="35" t="s">
        <v>1169</v>
      </c>
      <c r="H9" s="35" t="s">
        <v>1193</v>
      </c>
      <c r="I9" s="35" t="s">
        <v>1173</v>
      </c>
      <c r="J9" s="6" t="s">
        <v>5741</v>
      </c>
      <c r="K9" s="209" t="n">
        <v>2</v>
      </c>
      <c r="L9" s="209" t="s">
        <v>4767</v>
      </c>
      <c r="M9" s="6" t="s">
        <v>5742</v>
      </c>
      <c r="N9" s="209" t="s">
        <v>4676</v>
      </c>
      <c r="O9" s="35" t="s">
        <v>4666</v>
      </c>
      <c r="P9" s="35" t="s">
        <v>571</v>
      </c>
      <c r="Q9" s="35" t="s">
        <v>5743</v>
      </c>
      <c r="R9" s="35" t="s">
        <v>571</v>
      </c>
      <c r="S9" s="35" t="s">
        <v>571</v>
      </c>
      <c r="T9" s="35" t="s">
        <v>571</v>
      </c>
      <c r="U9" s="35" t="s">
        <v>5744</v>
      </c>
      <c r="V9" s="6" t="s">
        <v>5756</v>
      </c>
      <c r="W9" s="6" t="s">
        <v>571</v>
      </c>
      <c r="X9" s="183" t="n">
        <f aca="false">IF($O9="Active",SUMPRODUCT(($AH$5:$AH$75=$AH9)*1),0)</f>
        <v>1</v>
      </c>
      <c r="Y9" s="183" t="n">
        <f aca="false">IF(AND($O9="Active",OR($Q9="—",$Q9="")),1,0)</f>
        <v>0</v>
      </c>
      <c r="Z9" s="183" t="n">
        <f aca="false">IF(AND($O9="Active",$L9="利害關係方",OR($R9="—",$R9="")),1,0)</f>
        <v>0</v>
      </c>
      <c r="AH9" s="34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35" t="s">
        <v>3873</v>
      </c>
      <c r="B10" s="6" t="s">
        <v>5757</v>
      </c>
      <c r="C10" s="211" t="n">
        <v>40</v>
      </c>
      <c r="D10" s="209"/>
      <c r="E10" s="209"/>
      <c r="F10" s="209" t="s">
        <v>1215</v>
      </c>
      <c r="G10" s="35" t="s">
        <v>1169</v>
      </c>
      <c r="H10" s="35" t="s">
        <v>5758</v>
      </c>
      <c r="I10" s="35" t="s">
        <v>1173</v>
      </c>
      <c r="J10" s="6" t="s">
        <v>5741</v>
      </c>
      <c r="K10" s="209" t="n">
        <v>2</v>
      </c>
      <c r="L10" s="209" t="s">
        <v>4767</v>
      </c>
      <c r="M10" s="6" t="s">
        <v>5742</v>
      </c>
      <c r="N10" s="209" t="s">
        <v>4676</v>
      </c>
      <c r="O10" s="35" t="s">
        <v>4666</v>
      </c>
      <c r="P10" s="35" t="s">
        <v>571</v>
      </c>
      <c r="Q10" s="35" t="s">
        <v>5743</v>
      </c>
      <c r="R10" s="35" t="s">
        <v>571</v>
      </c>
      <c r="S10" s="35" t="s">
        <v>571</v>
      </c>
      <c r="T10" s="35" t="s">
        <v>571</v>
      </c>
      <c r="U10" s="35" t="s">
        <v>5744</v>
      </c>
      <c r="V10" s="6" t="s">
        <v>5759</v>
      </c>
      <c r="W10" s="18" t="s">
        <v>5760</v>
      </c>
      <c r="X10" s="183" t="n">
        <f aca="false">IF($O10="Active",SUMPRODUCT(($AH$5:$AH$75=$AH10)*1),0)</f>
        <v>1</v>
      </c>
      <c r="Y10" s="183" t="n">
        <f aca="false">IF(AND($O10="Active",OR($Q10="—",$Q10="")),1,0)</f>
        <v>0</v>
      </c>
      <c r="Z10" s="183" t="n">
        <f aca="false">IF(AND($O10="Active",$L10="利害關係方",OR($R10="—",$R10="")),1,0)</f>
        <v>0</v>
      </c>
      <c r="AH10" s="34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35" t="s">
        <v>3866</v>
      </c>
      <c r="B11" s="6" t="s">
        <v>5761</v>
      </c>
      <c r="C11" s="211" t="n">
        <v>36</v>
      </c>
      <c r="D11" s="209"/>
      <c r="E11" s="209"/>
      <c r="F11" s="209" t="s">
        <v>1215</v>
      </c>
      <c r="G11" s="35" t="s">
        <v>1169</v>
      </c>
      <c r="H11" s="35" t="s">
        <v>5762</v>
      </c>
      <c r="I11" s="35" t="s">
        <v>1173</v>
      </c>
      <c r="J11" s="6" t="s">
        <v>5741</v>
      </c>
      <c r="K11" s="209" t="n">
        <v>2</v>
      </c>
      <c r="L11" s="209" t="s">
        <v>4767</v>
      </c>
      <c r="M11" s="6" t="s">
        <v>5742</v>
      </c>
      <c r="N11" s="209" t="s">
        <v>4676</v>
      </c>
      <c r="O11" s="35" t="s">
        <v>4666</v>
      </c>
      <c r="P11" s="35" t="s">
        <v>571</v>
      </c>
      <c r="Q11" s="35" t="s">
        <v>5743</v>
      </c>
      <c r="R11" s="35" t="s">
        <v>571</v>
      </c>
      <c r="S11" s="35" t="s">
        <v>571</v>
      </c>
      <c r="T11" s="35" t="s">
        <v>571</v>
      </c>
      <c r="U11" s="35" t="s">
        <v>5744</v>
      </c>
      <c r="V11" s="6" t="s">
        <v>5763</v>
      </c>
      <c r="W11" s="18" t="s">
        <v>5764</v>
      </c>
      <c r="X11" s="183" t="n">
        <f aca="false">IF($O11="Active",SUMPRODUCT(($AH$5:$AH$75=$AH11)*1),0)</f>
        <v>1</v>
      </c>
      <c r="Y11" s="183" t="n">
        <f aca="false">IF(AND($O11="Active",OR($Q11="—",$Q11="")),1,0)</f>
        <v>0</v>
      </c>
      <c r="Z11" s="183" t="n">
        <f aca="false">IF(AND($O11="Active",$L11="利害關係方",OR($R11="—",$R11="")),1,0)</f>
        <v>0</v>
      </c>
      <c r="AH11" s="34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35" t="s">
        <v>5765</v>
      </c>
      <c r="B12" s="6" t="s">
        <v>5766</v>
      </c>
      <c r="C12" s="211" t="n">
        <v>48</v>
      </c>
      <c r="D12" s="209"/>
      <c r="E12" s="209"/>
      <c r="F12" s="209" t="s">
        <v>1215</v>
      </c>
      <c r="G12" s="35" t="s">
        <v>1163</v>
      </c>
      <c r="H12" s="35" t="s">
        <v>1166</v>
      </c>
      <c r="I12" s="35" t="s">
        <v>1173</v>
      </c>
      <c r="J12" s="6" t="s">
        <v>5767</v>
      </c>
      <c r="K12" s="209" t="n">
        <v>1</v>
      </c>
      <c r="L12" s="209" t="s">
        <v>4767</v>
      </c>
      <c r="M12" s="6" t="s">
        <v>5768</v>
      </c>
      <c r="N12" s="209" t="s">
        <v>4665</v>
      </c>
      <c r="O12" s="35" t="s">
        <v>4666</v>
      </c>
      <c r="P12" s="35" t="s">
        <v>571</v>
      </c>
      <c r="Q12" s="35" t="s">
        <v>5769</v>
      </c>
      <c r="R12" s="35" t="s">
        <v>571</v>
      </c>
      <c r="S12" s="35" t="s">
        <v>4599</v>
      </c>
      <c r="T12" s="35" t="s">
        <v>571</v>
      </c>
      <c r="U12" s="35" t="s">
        <v>5770</v>
      </c>
      <c r="V12" s="6" t="s">
        <v>5771</v>
      </c>
      <c r="W12" s="18" t="s">
        <v>5772</v>
      </c>
      <c r="X12" s="183" t="n">
        <f aca="false">IF($O12="Active",SUMPRODUCT(($AH$5:$AH$75=$AH12)*1),0)</f>
        <v>1</v>
      </c>
      <c r="Y12" s="183" t="n">
        <f aca="false">IF(AND($O12="Active",OR($Q12="—",$Q12="")),1,0)</f>
        <v>0</v>
      </c>
      <c r="Z12" s="183" t="n">
        <f aca="false">IF(AND($O12="Active",$L12="利害關係方",OR($R12="—",$R12="")),1,0)</f>
        <v>0</v>
      </c>
      <c r="AH12" s="34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35" t="s">
        <v>5773</v>
      </c>
      <c r="B13" s="6" t="s">
        <v>5774</v>
      </c>
      <c r="C13" s="211" t="n">
        <v>37</v>
      </c>
      <c r="D13" s="209"/>
      <c r="E13" s="209"/>
      <c r="F13" s="209" t="s">
        <v>1215</v>
      </c>
      <c r="G13" s="35" t="s">
        <v>1163</v>
      </c>
      <c r="H13" s="35" t="s">
        <v>1160</v>
      </c>
      <c r="I13" s="35" t="s">
        <v>1173</v>
      </c>
      <c r="J13" s="6" t="s">
        <v>5767</v>
      </c>
      <c r="K13" s="209" t="n">
        <v>3</v>
      </c>
      <c r="L13" s="209" t="s">
        <v>4767</v>
      </c>
      <c r="M13" s="6" t="s">
        <v>5768</v>
      </c>
      <c r="N13" s="209" t="s">
        <v>5370</v>
      </c>
      <c r="O13" s="35" t="s">
        <v>4666</v>
      </c>
      <c r="P13" s="35" t="s">
        <v>571</v>
      </c>
      <c r="Q13" s="35" t="s">
        <v>5775</v>
      </c>
      <c r="R13" s="35" t="s">
        <v>571</v>
      </c>
      <c r="S13" s="35" t="s">
        <v>571</v>
      </c>
      <c r="T13" s="35" t="s">
        <v>571</v>
      </c>
      <c r="U13" s="35" t="s">
        <v>5770</v>
      </c>
      <c r="V13" s="6" t="s">
        <v>5776</v>
      </c>
      <c r="W13" s="6" t="s">
        <v>571</v>
      </c>
      <c r="X13" s="183" t="n">
        <f aca="false">IF($O13="Active",SUMPRODUCT(($AH$5:$AH$75=$AH13)*1),0)</f>
        <v>1</v>
      </c>
      <c r="Y13" s="183" t="n">
        <f aca="false">IF(AND($O13="Active",OR($Q13="—",$Q13="")),1,0)</f>
        <v>0</v>
      </c>
      <c r="Z13" s="183" t="n">
        <f aca="false">IF(AND($O13="Active",$L13="利害關係方",OR($R13="—",$R13="")),1,0)</f>
        <v>0</v>
      </c>
      <c r="AH13" s="34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35" t="s">
        <v>5777</v>
      </c>
      <c r="B14" s="6" t="s">
        <v>5778</v>
      </c>
      <c r="C14" s="211" t="n">
        <v>39</v>
      </c>
      <c r="D14" s="209"/>
      <c r="E14" s="209"/>
      <c r="F14" s="209" t="s">
        <v>1215</v>
      </c>
      <c r="G14" s="35" t="s">
        <v>1163</v>
      </c>
      <c r="H14" s="35" t="s">
        <v>1182</v>
      </c>
      <c r="I14" s="35" t="s">
        <v>1173</v>
      </c>
      <c r="J14" s="6" t="s">
        <v>5767</v>
      </c>
      <c r="K14" s="209" t="n">
        <v>3</v>
      </c>
      <c r="L14" s="209" t="s">
        <v>4767</v>
      </c>
      <c r="M14" s="6" t="s">
        <v>5768</v>
      </c>
      <c r="N14" s="209" t="s">
        <v>5370</v>
      </c>
      <c r="O14" s="35" t="s">
        <v>4666</v>
      </c>
      <c r="P14" s="35" t="s">
        <v>571</v>
      </c>
      <c r="Q14" s="35" t="s">
        <v>5775</v>
      </c>
      <c r="R14" s="35" t="s">
        <v>571</v>
      </c>
      <c r="S14" s="35" t="s">
        <v>571</v>
      </c>
      <c r="T14" s="35" t="s">
        <v>571</v>
      </c>
      <c r="U14" s="35" t="s">
        <v>5770</v>
      </c>
      <c r="V14" s="6" t="s">
        <v>5779</v>
      </c>
      <c r="W14" s="6" t="s">
        <v>571</v>
      </c>
      <c r="X14" s="183" t="n">
        <f aca="false">IF($O14="Active",SUMPRODUCT(($AH$5:$AH$75=$AH14)*1),0)</f>
        <v>1</v>
      </c>
      <c r="Y14" s="183" t="n">
        <f aca="false">IF(AND($O14="Active",OR($Q14="—",$Q14="")),1,0)</f>
        <v>0</v>
      </c>
      <c r="Z14" s="183" t="n">
        <f aca="false">IF(AND($O14="Active",$L14="利害關係方",OR($R14="—",$R14="")),1,0)</f>
        <v>0</v>
      </c>
      <c r="AH14" s="34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35" t="s">
        <v>5780</v>
      </c>
      <c r="B15" s="6" t="s">
        <v>5781</v>
      </c>
      <c r="C15" s="211" t="n">
        <v>45</v>
      </c>
      <c r="D15" s="209"/>
      <c r="E15" s="209"/>
      <c r="F15" s="209" t="s">
        <v>1215</v>
      </c>
      <c r="G15" s="35" t="s">
        <v>5782</v>
      </c>
      <c r="H15" s="35" t="s">
        <v>1189</v>
      </c>
      <c r="I15" s="35" t="s">
        <v>1173</v>
      </c>
      <c r="J15" s="6" t="s">
        <v>5767</v>
      </c>
      <c r="K15" s="209" t="n">
        <v>1</v>
      </c>
      <c r="L15" s="209" t="s">
        <v>4767</v>
      </c>
      <c r="M15" s="6" t="s">
        <v>5768</v>
      </c>
      <c r="N15" s="209" t="s">
        <v>4665</v>
      </c>
      <c r="O15" s="35" t="s">
        <v>4666</v>
      </c>
      <c r="P15" s="35" t="s">
        <v>571</v>
      </c>
      <c r="Q15" s="35" t="s">
        <v>5783</v>
      </c>
      <c r="R15" s="35" t="s">
        <v>571</v>
      </c>
      <c r="S15" s="35" t="s">
        <v>4599</v>
      </c>
      <c r="T15" s="35" t="s">
        <v>571</v>
      </c>
      <c r="U15" s="35" t="s">
        <v>5770</v>
      </c>
      <c r="V15" s="6" t="s">
        <v>5784</v>
      </c>
      <c r="W15" s="6" t="s">
        <v>5785</v>
      </c>
      <c r="X15" s="183" t="n">
        <f aca="false">IF($O15="Active",SUMPRODUCT(($AH$5:$AH$75=$AH15)*1),0)</f>
        <v>1</v>
      </c>
      <c r="Y15" s="183" t="n">
        <f aca="false">IF(AND($O15="Active",OR($Q15="—",$Q15="")),1,0)</f>
        <v>0</v>
      </c>
      <c r="Z15" s="183" t="n">
        <f aca="false">IF(AND($O15="Active",$L15="利害關係方",OR($R15="—",$R15="")),1,0)</f>
        <v>0</v>
      </c>
      <c r="AH15" s="34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35" t="s">
        <v>3980</v>
      </c>
      <c r="B16" s="6" t="s">
        <v>5786</v>
      </c>
      <c r="C16" s="211" t="n">
        <v>3.5667</v>
      </c>
      <c r="D16" s="209"/>
      <c r="E16" s="209"/>
      <c r="F16" s="209" t="s">
        <v>5787</v>
      </c>
      <c r="G16" s="35" t="s">
        <v>5788</v>
      </c>
      <c r="H16" s="35" t="s">
        <v>1513</v>
      </c>
      <c r="I16" s="35" t="s">
        <v>4673</v>
      </c>
      <c r="J16" s="6" t="s">
        <v>5789</v>
      </c>
      <c r="K16" s="209" t="n">
        <v>2</v>
      </c>
      <c r="L16" s="209" t="s">
        <v>4767</v>
      </c>
      <c r="M16" s="6" t="s">
        <v>5790</v>
      </c>
      <c r="N16" s="209" t="s">
        <v>4676</v>
      </c>
      <c r="O16" s="35" t="s">
        <v>4666</v>
      </c>
      <c r="P16" s="35" t="s">
        <v>571</v>
      </c>
      <c r="Q16" s="35" t="s">
        <v>5791</v>
      </c>
      <c r="R16" s="35" t="s">
        <v>571</v>
      </c>
      <c r="S16" s="35" t="s">
        <v>571</v>
      </c>
      <c r="T16" s="35" t="s">
        <v>571</v>
      </c>
      <c r="U16" s="35" t="s">
        <v>1515</v>
      </c>
      <c r="V16" s="6" t="s">
        <v>5792</v>
      </c>
      <c r="W16" s="6" t="s">
        <v>5793</v>
      </c>
      <c r="X16" s="183" t="n">
        <f aca="false">IF($O16="Active",SUMPRODUCT(($AH$5:$AH$75=$AH16)*1),0)</f>
        <v>1</v>
      </c>
      <c r="Y16" s="183" t="n">
        <f aca="false">IF(AND($O16="Active",OR($Q16="—",$Q16="")),1,0)</f>
        <v>0</v>
      </c>
      <c r="Z16" s="183" t="n">
        <f aca="false">IF(AND($O16="Active",$L16="利害關係方",OR($R16="—",$R16="")),1,0)</f>
        <v>0</v>
      </c>
      <c r="AH16" s="34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35" t="s">
        <v>5794</v>
      </c>
      <c r="B17" s="6" t="s">
        <v>5795</v>
      </c>
      <c r="C17" s="211" t="n">
        <v>0.5333</v>
      </c>
      <c r="D17" s="209"/>
      <c r="E17" s="209"/>
      <c r="F17" s="209" t="s">
        <v>5787</v>
      </c>
      <c r="G17" s="35" t="s">
        <v>5788</v>
      </c>
      <c r="H17" s="35" t="s">
        <v>1513</v>
      </c>
      <c r="I17" s="35" t="s">
        <v>4673</v>
      </c>
      <c r="J17" s="6" t="s">
        <v>5789</v>
      </c>
      <c r="K17" s="209" t="n">
        <v>2</v>
      </c>
      <c r="L17" s="209" t="s">
        <v>4767</v>
      </c>
      <c r="M17" s="6" t="s">
        <v>5790</v>
      </c>
      <c r="N17" s="209" t="s">
        <v>4676</v>
      </c>
      <c r="O17" s="35" t="s">
        <v>4666</v>
      </c>
      <c r="P17" s="35" t="s">
        <v>571</v>
      </c>
      <c r="Q17" s="35" t="s">
        <v>5791</v>
      </c>
      <c r="R17" s="35" t="s">
        <v>571</v>
      </c>
      <c r="S17" s="35" t="s">
        <v>571</v>
      </c>
      <c r="T17" s="35" t="s">
        <v>571</v>
      </c>
      <c r="U17" s="35" t="s">
        <v>1515</v>
      </c>
      <c r="V17" s="6" t="s">
        <v>5796</v>
      </c>
      <c r="W17" s="6" t="s">
        <v>5797</v>
      </c>
      <c r="X17" s="183" t="n">
        <f aca="false">IF($O17="Active",SUMPRODUCT(($AH$5:$AH$75=$AH17)*1),0)</f>
        <v>1</v>
      </c>
      <c r="Y17" s="183" t="n">
        <f aca="false">IF(AND($O17="Active",OR($Q17="—",$Q17="")),1,0)</f>
        <v>0</v>
      </c>
      <c r="Z17" s="183" t="n">
        <f aca="false">IF(AND($O17="Active",$L17="利害關係方",OR($R17="—",$R17="")),1,0)</f>
        <v>0</v>
      </c>
      <c r="AH17" s="34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35" t="s">
        <v>5798</v>
      </c>
      <c r="B18" s="6" t="s">
        <v>5799</v>
      </c>
      <c r="C18" s="211" t="n">
        <v>6.5667</v>
      </c>
      <c r="D18" s="209"/>
      <c r="E18" s="209"/>
      <c r="F18" s="209" t="s">
        <v>5787</v>
      </c>
      <c r="G18" s="35" t="s">
        <v>5800</v>
      </c>
      <c r="H18" s="35" t="s">
        <v>5801</v>
      </c>
      <c r="I18" s="35" t="s">
        <v>4673</v>
      </c>
      <c r="J18" s="6" t="s">
        <v>5789</v>
      </c>
      <c r="K18" s="209" t="n">
        <v>2</v>
      </c>
      <c r="L18" s="209" t="s">
        <v>4767</v>
      </c>
      <c r="M18" s="6" t="s">
        <v>5790</v>
      </c>
      <c r="N18" s="209" t="s">
        <v>4676</v>
      </c>
      <c r="O18" s="35" t="s">
        <v>4666</v>
      </c>
      <c r="P18" s="35" t="s">
        <v>571</v>
      </c>
      <c r="Q18" s="35" t="s">
        <v>5791</v>
      </c>
      <c r="R18" s="35" t="s">
        <v>571</v>
      </c>
      <c r="S18" s="35" t="s">
        <v>571</v>
      </c>
      <c r="T18" s="35" t="s">
        <v>571</v>
      </c>
      <c r="U18" s="35" t="s">
        <v>1515</v>
      </c>
      <c r="V18" s="6" t="s">
        <v>5802</v>
      </c>
      <c r="W18" s="6" t="s">
        <v>571</v>
      </c>
      <c r="X18" s="183" t="n">
        <f aca="false">IF($O18="Active",SUMPRODUCT(($AH$5:$AH$75=$AH18)*1),0)</f>
        <v>1</v>
      </c>
      <c r="Y18" s="183" t="n">
        <f aca="false">IF(AND($O18="Active",OR($Q18="—",$Q18="")),1,0)</f>
        <v>0</v>
      </c>
      <c r="Z18" s="183" t="n">
        <f aca="false">IF(AND($O18="Active",$L18="利害關係方",OR($R18="—",$R18="")),1,0)</f>
        <v>0</v>
      </c>
      <c r="AH18" s="34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35" t="s">
        <v>5803</v>
      </c>
      <c r="B19" s="6" t="s">
        <v>5804</v>
      </c>
      <c r="C19" s="211" t="n">
        <v>0.9167</v>
      </c>
      <c r="D19" s="209"/>
      <c r="E19" s="209"/>
      <c r="F19" s="209" t="s">
        <v>5787</v>
      </c>
      <c r="G19" s="35" t="s">
        <v>5800</v>
      </c>
      <c r="H19" s="35" t="s">
        <v>5801</v>
      </c>
      <c r="I19" s="35" t="s">
        <v>4673</v>
      </c>
      <c r="J19" s="6" t="s">
        <v>5789</v>
      </c>
      <c r="K19" s="209" t="n">
        <v>2</v>
      </c>
      <c r="L19" s="209" t="s">
        <v>4767</v>
      </c>
      <c r="M19" s="6" t="s">
        <v>5790</v>
      </c>
      <c r="N19" s="209" t="s">
        <v>4676</v>
      </c>
      <c r="O19" s="35" t="s">
        <v>4666</v>
      </c>
      <c r="P19" s="35" t="s">
        <v>571</v>
      </c>
      <c r="Q19" s="35" t="s">
        <v>5791</v>
      </c>
      <c r="R19" s="35" t="s">
        <v>571</v>
      </c>
      <c r="S19" s="35" t="s">
        <v>571</v>
      </c>
      <c r="T19" s="35" t="s">
        <v>571</v>
      </c>
      <c r="U19" s="35" t="s">
        <v>1515</v>
      </c>
      <c r="V19" s="6" t="s">
        <v>5805</v>
      </c>
      <c r="W19" s="6" t="s">
        <v>571</v>
      </c>
      <c r="X19" s="183" t="n">
        <f aca="false">IF($O19="Active",SUMPRODUCT(($AH$5:$AH$75=$AH19)*1),0)</f>
        <v>1</v>
      </c>
      <c r="Y19" s="183" t="n">
        <f aca="false">IF(AND($O19="Active",OR($Q19="—",$Q19="")),1,0)</f>
        <v>0</v>
      </c>
      <c r="Z19" s="183" t="n">
        <f aca="false">IF(AND($O19="Active",$L19="利害關係方",OR($R19="—",$R19="")),1,0)</f>
        <v>0</v>
      </c>
      <c r="AH19" s="34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35" t="s">
        <v>5806</v>
      </c>
      <c r="B20" s="6" t="s">
        <v>5807</v>
      </c>
      <c r="C20" s="211" t="n">
        <v>5.7</v>
      </c>
      <c r="D20" s="209"/>
      <c r="E20" s="209"/>
      <c r="F20" s="209" t="s">
        <v>5787</v>
      </c>
      <c r="G20" s="35" t="s">
        <v>5800</v>
      </c>
      <c r="H20" s="35" t="s">
        <v>5808</v>
      </c>
      <c r="I20" s="35" t="s">
        <v>4673</v>
      </c>
      <c r="J20" s="6" t="s">
        <v>5789</v>
      </c>
      <c r="K20" s="209" t="n">
        <v>2</v>
      </c>
      <c r="L20" s="209" t="s">
        <v>4767</v>
      </c>
      <c r="M20" s="6" t="s">
        <v>5790</v>
      </c>
      <c r="N20" s="209" t="s">
        <v>4676</v>
      </c>
      <c r="O20" s="35" t="s">
        <v>4666</v>
      </c>
      <c r="P20" s="35" t="s">
        <v>571</v>
      </c>
      <c r="Q20" s="35" t="s">
        <v>5791</v>
      </c>
      <c r="R20" s="35" t="s">
        <v>571</v>
      </c>
      <c r="S20" s="35" t="s">
        <v>571</v>
      </c>
      <c r="T20" s="35" t="s">
        <v>571</v>
      </c>
      <c r="U20" s="35" t="s">
        <v>1515</v>
      </c>
      <c r="V20" s="6" t="s">
        <v>5809</v>
      </c>
      <c r="W20" s="6" t="s">
        <v>571</v>
      </c>
      <c r="X20" s="183" t="n">
        <f aca="false">IF($O20="Active",SUMPRODUCT(($AH$5:$AH$75=$AH20)*1),0)</f>
        <v>1</v>
      </c>
      <c r="Y20" s="183" t="n">
        <f aca="false">IF(AND($O20="Active",OR($Q20="—",$Q20="")),1,0)</f>
        <v>0</v>
      </c>
      <c r="Z20" s="183" t="n">
        <f aca="false">IF(AND($O20="Active",$L20="利害關係方",OR($R20="—",$R20="")),1,0)</f>
        <v>0</v>
      </c>
      <c r="AH20" s="34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35" t="s">
        <v>5810</v>
      </c>
      <c r="B21" s="6" t="s">
        <v>5811</v>
      </c>
      <c r="C21" s="211" t="n">
        <v>0.9</v>
      </c>
      <c r="D21" s="209"/>
      <c r="E21" s="209"/>
      <c r="F21" s="209" t="s">
        <v>5787</v>
      </c>
      <c r="G21" s="35" t="s">
        <v>5800</v>
      </c>
      <c r="H21" s="35" t="s">
        <v>5808</v>
      </c>
      <c r="I21" s="35" t="s">
        <v>4673</v>
      </c>
      <c r="J21" s="6" t="s">
        <v>5789</v>
      </c>
      <c r="K21" s="209" t="n">
        <v>2</v>
      </c>
      <c r="L21" s="209" t="s">
        <v>4767</v>
      </c>
      <c r="M21" s="6" t="s">
        <v>5790</v>
      </c>
      <c r="N21" s="209" t="s">
        <v>4676</v>
      </c>
      <c r="O21" s="35" t="s">
        <v>4666</v>
      </c>
      <c r="P21" s="35" t="s">
        <v>571</v>
      </c>
      <c r="Q21" s="35" t="s">
        <v>5791</v>
      </c>
      <c r="R21" s="35" t="s">
        <v>571</v>
      </c>
      <c r="S21" s="35" t="s">
        <v>571</v>
      </c>
      <c r="T21" s="35" t="s">
        <v>571</v>
      </c>
      <c r="U21" s="35" t="s">
        <v>1515</v>
      </c>
      <c r="V21" s="6" t="s">
        <v>5812</v>
      </c>
      <c r="W21" s="6" t="s">
        <v>571</v>
      </c>
      <c r="X21" s="183" t="n">
        <f aca="false">IF($O21="Active",SUMPRODUCT(($AH$5:$AH$75=$AH21)*1),0)</f>
        <v>1</v>
      </c>
      <c r="Y21" s="183" t="n">
        <f aca="false">IF(AND($O21="Active",OR($Q21="—",$Q21="")),1,0)</f>
        <v>0</v>
      </c>
      <c r="Z21" s="183" t="n">
        <f aca="false">IF(AND($O21="Active",$L21="利害關係方",OR($R21="—",$R21="")),1,0)</f>
        <v>0</v>
      </c>
      <c r="AH21" s="34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35" t="s">
        <v>5813</v>
      </c>
      <c r="B22" s="6" t="s">
        <v>5814</v>
      </c>
      <c r="C22" s="211" t="n">
        <v>5.8333</v>
      </c>
      <c r="D22" s="209"/>
      <c r="E22" s="209"/>
      <c r="F22" s="209" t="s">
        <v>5787</v>
      </c>
      <c r="G22" s="35" t="s">
        <v>5800</v>
      </c>
      <c r="H22" s="35" t="s">
        <v>1518</v>
      </c>
      <c r="I22" s="35" t="s">
        <v>4673</v>
      </c>
      <c r="J22" s="6" t="s">
        <v>5789</v>
      </c>
      <c r="K22" s="209" t="n">
        <v>2</v>
      </c>
      <c r="L22" s="209" t="s">
        <v>4767</v>
      </c>
      <c r="M22" s="6" t="s">
        <v>5790</v>
      </c>
      <c r="N22" s="209" t="s">
        <v>4676</v>
      </c>
      <c r="O22" s="35" t="s">
        <v>4666</v>
      </c>
      <c r="P22" s="35" t="s">
        <v>571</v>
      </c>
      <c r="Q22" s="35" t="s">
        <v>5791</v>
      </c>
      <c r="R22" s="35" t="s">
        <v>571</v>
      </c>
      <c r="S22" s="35" t="s">
        <v>571</v>
      </c>
      <c r="T22" s="35" t="s">
        <v>571</v>
      </c>
      <c r="U22" s="35" t="s">
        <v>1515</v>
      </c>
      <c r="V22" s="6" t="s">
        <v>5815</v>
      </c>
      <c r="W22" s="6" t="s">
        <v>571</v>
      </c>
      <c r="X22" s="183" t="n">
        <f aca="false">IF($O22="Active",SUMPRODUCT(($AH$5:$AH$75=$AH22)*1),0)</f>
        <v>1</v>
      </c>
      <c r="Y22" s="183" t="n">
        <f aca="false">IF(AND($O22="Active",OR($Q22="—",$Q22="")),1,0)</f>
        <v>0</v>
      </c>
      <c r="Z22" s="183" t="n">
        <f aca="false">IF(AND($O22="Active",$L22="利害關係方",OR($R22="—",$R22="")),1,0)</f>
        <v>0</v>
      </c>
      <c r="AH22" s="34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35" t="s">
        <v>5816</v>
      </c>
      <c r="B23" s="6" t="s">
        <v>5817</v>
      </c>
      <c r="C23" s="211" t="n">
        <v>1.5</v>
      </c>
      <c r="D23" s="209"/>
      <c r="E23" s="209"/>
      <c r="F23" s="209" t="s">
        <v>5787</v>
      </c>
      <c r="G23" s="35" t="s">
        <v>5800</v>
      </c>
      <c r="H23" s="35" t="s">
        <v>1518</v>
      </c>
      <c r="I23" s="35" t="s">
        <v>4673</v>
      </c>
      <c r="J23" s="6" t="s">
        <v>5789</v>
      </c>
      <c r="K23" s="209" t="n">
        <v>2</v>
      </c>
      <c r="L23" s="209" t="s">
        <v>4767</v>
      </c>
      <c r="M23" s="6" t="s">
        <v>5790</v>
      </c>
      <c r="N23" s="209" t="s">
        <v>4676</v>
      </c>
      <c r="O23" s="35" t="s">
        <v>4666</v>
      </c>
      <c r="P23" s="35" t="s">
        <v>571</v>
      </c>
      <c r="Q23" s="35" t="s">
        <v>5791</v>
      </c>
      <c r="R23" s="35" t="s">
        <v>571</v>
      </c>
      <c r="S23" s="35" t="s">
        <v>571</v>
      </c>
      <c r="T23" s="35" t="s">
        <v>571</v>
      </c>
      <c r="U23" s="35" t="s">
        <v>1515</v>
      </c>
      <c r="V23" s="6" t="s">
        <v>5818</v>
      </c>
      <c r="W23" s="6" t="s">
        <v>571</v>
      </c>
      <c r="X23" s="183" t="n">
        <f aca="false">IF($O23="Active",SUMPRODUCT(($AH$5:$AH$75=$AH23)*1),0)</f>
        <v>1</v>
      </c>
      <c r="Y23" s="183" t="n">
        <f aca="false">IF(AND($O23="Active",OR($Q23="—",$Q23="")),1,0)</f>
        <v>0</v>
      </c>
      <c r="Z23" s="183" t="n">
        <f aca="false">IF(AND($O23="Active",$L23="利害關係方",OR($R23="—",$R23="")),1,0)</f>
        <v>0</v>
      </c>
      <c r="AH23" s="34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35" t="s">
        <v>3965</v>
      </c>
      <c r="B24" s="6" t="s">
        <v>5819</v>
      </c>
      <c r="C24" s="211" t="n">
        <v>11.3</v>
      </c>
      <c r="D24" s="209"/>
      <c r="E24" s="209"/>
      <c r="F24" s="209" t="s">
        <v>5787</v>
      </c>
      <c r="G24" s="35" t="s">
        <v>5800</v>
      </c>
      <c r="H24" s="35" t="s">
        <v>5407</v>
      </c>
      <c r="I24" s="35" t="s">
        <v>4673</v>
      </c>
      <c r="J24" s="6" t="s">
        <v>5789</v>
      </c>
      <c r="K24" s="209" t="n">
        <v>2</v>
      </c>
      <c r="L24" s="209" t="s">
        <v>4767</v>
      </c>
      <c r="M24" s="6" t="s">
        <v>5790</v>
      </c>
      <c r="N24" s="209" t="s">
        <v>4676</v>
      </c>
      <c r="O24" s="35" t="s">
        <v>4666</v>
      </c>
      <c r="P24" s="35" t="s">
        <v>571</v>
      </c>
      <c r="Q24" s="35" t="s">
        <v>5791</v>
      </c>
      <c r="R24" s="35" t="s">
        <v>571</v>
      </c>
      <c r="S24" s="35" t="s">
        <v>571</v>
      </c>
      <c r="T24" s="35" t="s">
        <v>571</v>
      </c>
      <c r="U24" s="35" t="s">
        <v>1515</v>
      </c>
      <c r="V24" s="6" t="s">
        <v>571</v>
      </c>
      <c r="W24" s="6" t="s">
        <v>5820</v>
      </c>
      <c r="X24" s="183" t="n">
        <f aca="false">IF($O24="Active",SUMPRODUCT(($AH$5:$AH$75=$AH24)*1),0)</f>
        <v>1</v>
      </c>
      <c r="Y24" s="183" t="n">
        <f aca="false">IF(AND($O24="Active",OR($Q24="—",$Q24="")),1,0)</f>
        <v>0</v>
      </c>
      <c r="Z24" s="183" t="n">
        <f aca="false">IF(AND($O24="Active",$L24="利害關係方",OR($R24="—",$R24="")),1,0)</f>
        <v>0</v>
      </c>
      <c r="AH24" s="34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35" t="s">
        <v>3974</v>
      </c>
      <c r="B25" s="6" t="s">
        <v>5821</v>
      </c>
      <c r="C25" s="211" t="n">
        <v>17.4</v>
      </c>
      <c r="D25" s="209"/>
      <c r="E25" s="209"/>
      <c r="F25" s="209" t="s">
        <v>5787</v>
      </c>
      <c r="G25" s="35" t="s">
        <v>5822</v>
      </c>
      <c r="H25" s="35" t="s">
        <v>5823</v>
      </c>
      <c r="I25" s="35" t="s">
        <v>4673</v>
      </c>
      <c r="J25" s="6" t="s">
        <v>5789</v>
      </c>
      <c r="K25" s="209" t="n">
        <v>2</v>
      </c>
      <c r="L25" s="209" t="s">
        <v>4767</v>
      </c>
      <c r="M25" s="6" t="s">
        <v>5790</v>
      </c>
      <c r="N25" s="209" t="s">
        <v>4676</v>
      </c>
      <c r="O25" s="35" t="s">
        <v>4666</v>
      </c>
      <c r="P25" s="35" t="s">
        <v>571</v>
      </c>
      <c r="Q25" s="35" t="s">
        <v>5791</v>
      </c>
      <c r="R25" s="35" t="s">
        <v>571</v>
      </c>
      <c r="S25" s="35" t="s">
        <v>571</v>
      </c>
      <c r="T25" s="35" t="s">
        <v>571</v>
      </c>
      <c r="U25" s="35" t="s">
        <v>1515</v>
      </c>
      <c r="V25" s="6" t="s">
        <v>571</v>
      </c>
      <c r="W25" s="6" t="s">
        <v>571</v>
      </c>
      <c r="X25" s="183" t="n">
        <f aca="false">IF($O25="Active",SUMPRODUCT(($AH$5:$AH$75=$AH25)*1),0)</f>
        <v>1</v>
      </c>
      <c r="Y25" s="183" t="n">
        <f aca="false">IF(AND($O25="Active",OR($Q25="—",$Q25="")),1,0)</f>
        <v>0</v>
      </c>
      <c r="Z25" s="183" t="n">
        <f aca="false">IF(AND($O25="Active",$L25="利害關係方",OR($R25="—",$R25="")),1,0)</f>
        <v>0</v>
      </c>
      <c r="AH25" s="34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7" t="s">
        <v>5824</v>
      </c>
    </row>
    <row r="2" customFormat="false" ht="15" hidden="false" customHeight="true" outlineLevel="0" collapsed="false">
      <c r="A2" s="218" t="s">
        <v>4637</v>
      </c>
    </row>
    <row r="3" customFormat="false" ht="15" hidden="false" customHeight="true" outlineLevel="0" collapsed="false">
      <c r="A3" s="218" t="s">
        <v>4638</v>
      </c>
    </row>
    <row r="4" customFormat="false" ht="43.5" hidden="false" customHeight="true" outlineLevel="0" collapsed="false">
      <c r="A4" s="77" t="s">
        <v>4639</v>
      </c>
      <c r="B4" s="208" t="s">
        <v>1839</v>
      </c>
      <c r="C4" s="208" t="s">
        <v>4640</v>
      </c>
      <c r="D4" s="208" t="s">
        <v>1099</v>
      </c>
      <c r="E4" s="208" t="s">
        <v>1100</v>
      </c>
      <c r="F4" s="208" t="s">
        <v>55</v>
      </c>
      <c r="G4" s="208" t="s">
        <v>427</v>
      </c>
      <c r="H4" s="208" t="s">
        <v>4641</v>
      </c>
      <c r="I4" s="208" t="s">
        <v>4294</v>
      </c>
      <c r="J4" s="208" t="s">
        <v>4297</v>
      </c>
      <c r="K4" s="208" t="s">
        <v>4472</v>
      </c>
      <c r="L4" s="208" t="s">
        <v>4642</v>
      </c>
      <c r="M4" s="208" t="s">
        <v>4643</v>
      </c>
      <c r="N4" s="208" t="s">
        <v>4644</v>
      </c>
      <c r="O4" s="208" t="s">
        <v>558</v>
      </c>
      <c r="P4" s="208" t="s">
        <v>4645</v>
      </c>
      <c r="Q4" s="77" t="s">
        <v>4646</v>
      </c>
      <c r="R4" s="208" t="s">
        <v>4647</v>
      </c>
      <c r="S4" s="208" t="s">
        <v>4648</v>
      </c>
      <c r="T4" s="77" t="s">
        <v>4649</v>
      </c>
      <c r="U4" s="208" t="s">
        <v>4650</v>
      </c>
      <c r="V4" s="208" t="s">
        <v>4651</v>
      </c>
      <c r="W4" s="208" t="s">
        <v>4652</v>
      </c>
      <c r="X4" s="208" t="s">
        <v>4653</v>
      </c>
      <c r="Y4" s="208" t="s">
        <v>4654</v>
      </c>
      <c r="Z4" s="208" t="s">
        <v>4655</v>
      </c>
      <c r="AH4" s="76" t="s">
        <v>4656</v>
      </c>
    </row>
    <row r="5" customFormat="false" ht="15" hidden="false" customHeight="true" outlineLevel="0" collapsed="false">
      <c r="A5" s="35" t="s">
        <v>3408</v>
      </c>
      <c r="B5" s="6" t="s">
        <v>5825</v>
      </c>
      <c r="C5" s="211" t="n">
        <v>4</v>
      </c>
      <c r="D5" s="209"/>
      <c r="E5" s="209"/>
      <c r="F5" s="35" t="s">
        <v>75</v>
      </c>
      <c r="G5" s="209" t="s">
        <v>5826</v>
      </c>
      <c r="H5" s="35" t="s">
        <v>5827</v>
      </c>
      <c r="I5" s="35" t="s">
        <v>5190</v>
      </c>
      <c r="J5" s="6" t="s">
        <v>5828</v>
      </c>
      <c r="K5" s="209" t="n">
        <v>2</v>
      </c>
      <c r="L5" s="209" t="s">
        <v>4663</v>
      </c>
      <c r="M5" s="6" t="s">
        <v>5829</v>
      </c>
      <c r="N5" s="209" t="s">
        <v>4676</v>
      </c>
      <c r="O5" s="35" t="s">
        <v>4666</v>
      </c>
      <c r="P5" s="35" t="s">
        <v>571</v>
      </c>
      <c r="Q5" s="35" t="s">
        <v>5830</v>
      </c>
      <c r="R5" s="35" t="s">
        <v>571</v>
      </c>
      <c r="S5" s="35" t="s">
        <v>571</v>
      </c>
      <c r="T5" s="35" t="s">
        <v>571</v>
      </c>
      <c r="U5" s="35" t="s">
        <v>5831</v>
      </c>
      <c r="V5" s="6" t="s">
        <v>5832</v>
      </c>
      <c r="W5" s="6" t="s">
        <v>571</v>
      </c>
      <c r="X5" s="183" t="n">
        <f aca="false">IF($O5="Active",SUMPRODUCT(($AH$5:$AH$69=$AH5)*1),0)</f>
        <v>1</v>
      </c>
      <c r="Y5" s="183" t="n">
        <f aca="false">IF(AND($O5="Active",OR($Q5="—",$Q5="")),1,0)</f>
        <v>0</v>
      </c>
      <c r="Z5" s="183" t="n">
        <f aca="false">IF(AND($O5="Active",$L5="利害關係方",OR($R5="—",$R5="")),1,0)</f>
        <v>1</v>
      </c>
      <c r="AH5" s="34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35" t="s">
        <v>3411</v>
      </c>
      <c r="B6" s="6" t="s">
        <v>5833</v>
      </c>
      <c r="C6" s="211" t="n">
        <v>15</v>
      </c>
      <c r="D6" s="209"/>
      <c r="E6" s="209"/>
      <c r="F6" s="35" t="s">
        <v>75</v>
      </c>
      <c r="G6" s="209" t="s">
        <v>4748</v>
      </c>
      <c r="H6" s="35" t="s">
        <v>5827</v>
      </c>
      <c r="I6" s="35" t="s">
        <v>5190</v>
      </c>
      <c r="J6" s="6" t="s">
        <v>5828</v>
      </c>
      <c r="K6" s="209" t="n">
        <v>2</v>
      </c>
      <c r="L6" s="209" t="s">
        <v>4663</v>
      </c>
      <c r="M6" s="6" t="s">
        <v>5829</v>
      </c>
      <c r="N6" s="209" t="s">
        <v>4676</v>
      </c>
      <c r="O6" s="35" t="s">
        <v>4666</v>
      </c>
      <c r="P6" s="35" t="s">
        <v>571</v>
      </c>
      <c r="Q6" s="35" t="s">
        <v>5830</v>
      </c>
      <c r="R6" s="35" t="s">
        <v>571</v>
      </c>
      <c r="S6" s="35" t="s">
        <v>571</v>
      </c>
      <c r="T6" s="35" t="s">
        <v>571</v>
      </c>
      <c r="U6" s="35" t="s">
        <v>5831</v>
      </c>
      <c r="V6" s="6" t="s">
        <v>5834</v>
      </c>
      <c r="W6" s="6" t="s">
        <v>5835</v>
      </c>
      <c r="X6" s="183" t="n">
        <f aca="false">IF($O6="Active",SUMPRODUCT(($AH$5:$AH$69=$AH6)*1),0)</f>
        <v>1</v>
      </c>
      <c r="Y6" s="183" t="n">
        <f aca="false">IF(AND($O6="Active",OR($Q6="—",$Q6="")),1,0)</f>
        <v>0</v>
      </c>
      <c r="Z6" s="183" t="n">
        <f aca="false">IF(AND($O6="Active",$L6="利害關係方",OR($R6="—",$R6="")),1,0)</f>
        <v>1</v>
      </c>
      <c r="AH6" s="34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35" t="s">
        <v>3920</v>
      </c>
      <c r="B7" s="6" t="s">
        <v>5836</v>
      </c>
      <c r="C7" s="211" t="n">
        <v>0.627</v>
      </c>
      <c r="D7" s="209"/>
      <c r="E7" s="209"/>
      <c r="F7" s="35" t="s">
        <v>71</v>
      </c>
      <c r="G7" s="35" t="s">
        <v>5837</v>
      </c>
      <c r="H7" s="35" t="s">
        <v>1168</v>
      </c>
      <c r="I7" s="35" t="s">
        <v>1173</v>
      </c>
      <c r="J7" s="6" t="s">
        <v>5838</v>
      </c>
      <c r="K7" s="209" t="n">
        <v>2</v>
      </c>
      <c r="L7" s="209" t="s">
        <v>4663</v>
      </c>
      <c r="M7" s="6" t="s">
        <v>5839</v>
      </c>
      <c r="N7" s="209" t="s">
        <v>4676</v>
      </c>
      <c r="O7" s="35" t="s">
        <v>4666</v>
      </c>
      <c r="P7" s="35" t="s">
        <v>571</v>
      </c>
      <c r="Q7" s="35" t="s">
        <v>5840</v>
      </c>
      <c r="R7" s="35" t="s">
        <v>571</v>
      </c>
      <c r="S7" s="35" t="s">
        <v>571</v>
      </c>
      <c r="T7" s="35" t="s">
        <v>571</v>
      </c>
      <c r="U7" s="35" t="s">
        <v>1496</v>
      </c>
      <c r="V7" s="6" t="s">
        <v>5841</v>
      </c>
      <c r="W7" s="6" t="s">
        <v>571</v>
      </c>
      <c r="X7" s="183" t="n">
        <f aca="false">IF($O7="Active",SUMPRODUCT(($AH$5:$AH$69=$AH7)*1),0)</f>
        <v>1</v>
      </c>
      <c r="Y7" s="183" t="n">
        <f aca="false">IF(AND($O7="Active",OR($Q7="—",$Q7="")),1,0)</f>
        <v>0</v>
      </c>
      <c r="Z7" s="183" t="n">
        <f aca="false">IF(AND($O7="Active",$L7="利害關係方",OR($R7="—",$R7="")),1,0)</f>
        <v>1</v>
      </c>
      <c r="AH7" s="34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35" t="s">
        <v>5842</v>
      </c>
      <c r="B8" s="6" t="s">
        <v>5843</v>
      </c>
      <c r="C8" s="211" t="n">
        <v>26098</v>
      </c>
      <c r="D8" s="209"/>
      <c r="E8" s="209"/>
      <c r="F8" s="35" t="s">
        <v>390</v>
      </c>
      <c r="G8" s="209" t="s">
        <v>97</v>
      </c>
      <c r="H8" s="35" t="s">
        <v>1168</v>
      </c>
      <c r="I8" s="35" t="s">
        <v>1173</v>
      </c>
      <c r="J8" s="6" t="s">
        <v>5838</v>
      </c>
      <c r="K8" s="209" t="n">
        <v>2</v>
      </c>
      <c r="L8" s="209" t="s">
        <v>4663</v>
      </c>
      <c r="M8" s="6" t="s">
        <v>5839</v>
      </c>
      <c r="N8" s="209" t="s">
        <v>4676</v>
      </c>
      <c r="O8" s="35" t="s">
        <v>4666</v>
      </c>
      <c r="P8" s="35" t="s">
        <v>571</v>
      </c>
      <c r="Q8" s="35" t="s">
        <v>5840</v>
      </c>
      <c r="R8" s="35" t="s">
        <v>571</v>
      </c>
      <c r="S8" s="35" t="s">
        <v>571</v>
      </c>
      <c r="T8" s="35" t="s">
        <v>571</v>
      </c>
      <c r="U8" s="35" t="s">
        <v>1496</v>
      </c>
      <c r="V8" s="6" t="s">
        <v>5844</v>
      </c>
      <c r="W8" s="6" t="s">
        <v>571</v>
      </c>
      <c r="X8" s="183" t="n">
        <f aca="false">IF($O8="Active",SUMPRODUCT(($AH$5:$AH$69=$AH8)*1),0)</f>
        <v>1</v>
      </c>
      <c r="Y8" s="183" t="n">
        <f aca="false">IF(AND($O8="Active",OR($Q8="—",$Q8="")),1,0)</f>
        <v>0</v>
      </c>
      <c r="Z8" s="183" t="n">
        <f aca="false">IF(AND($O8="Active",$L8="利害關係方",OR($R8="—",$R8="")),1,0)</f>
        <v>1</v>
      </c>
      <c r="AH8" s="34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35" t="s">
        <v>5845</v>
      </c>
      <c r="B9" s="6" t="s">
        <v>5846</v>
      </c>
      <c r="C9" s="211" t="n">
        <v>0.986</v>
      </c>
      <c r="D9" s="209"/>
      <c r="E9" s="209"/>
      <c r="F9" s="35" t="s">
        <v>71</v>
      </c>
      <c r="G9" s="209" t="s">
        <v>97</v>
      </c>
      <c r="H9" s="35" t="s">
        <v>1168</v>
      </c>
      <c r="I9" s="35" t="s">
        <v>1173</v>
      </c>
      <c r="J9" s="6" t="s">
        <v>5838</v>
      </c>
      <c r="K9" s="209" t="n">
        <v>2</v>
      </c>
      <c r="L9" s="209" t="s">
        <v>4663</v>
      </c>
      <c r="M9" s="6" t="s">
        <v>5839</v>
      </c>
      <c r="N9" s="209" t="s">
        <v>4676</v>
      </c>
      <c r="O9" s="35" t="s">
        <v>4666</v>
      </c>
      <c r="P9" s="35" t="s">
        <v>571</v>
      </c>
      <c r="Q9" s="35" t="s">
        <v>5840</v>
      </c>
      <c r="R9" s="35" t="s">
        <v>571</v>
      </c>
      <c r="S9" s="35" t="s">
        <v>571</v>
      </c>
      <c r="T9" s="35" t="s">
        <v>571</v>
      </c>
      <c r="U9" s="35" t="s">
        <v>1496</v>
      </c>
      <c r="V9" s="6" t="s">
        <v>5847</v>
      </c>
      <c r="W9" s="6" t="s">
        <v>571</v>
      </c>
      <c r="X9" s="183" t="n">
        <f aca="false">IF($O9="Active",SUMPRODUCT(($AH$5:$AH$69=$AH9)*1),0)</f>
        <v>1</v>
      </c>
      <c r="Y9" s="183" t="n">
        <f aca="false">IF(AND($O9="Active",OR($Q9="—",$Q9="")),1,0)</f>
        <v>0</v>
      </c>
      <c r="Z9" s="183" t="n">
        <f aca="false">IF(AND($O9="Active",$L9="利害關係方",OR($R9="—",$R9="")),1,0)</f>
        <v>1</v>
      </c>
      <c r="AH9" s="34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35" t="s">
        <v>5848</v>
      </c>
      <c r="B10" s="6" t="s">
        <v>5849</v>
      </c>
      <c r="C10" s="211" t="n">
        <v>17332</v>
      </c>
      <c r="D10" s="209"/>
      <c r="E10" s="209"/>
      <c r="F10" s="35" t="s">
        <v>390</v>
      </c>
      <c r="G10" s="209" t="s">
        <v>97</v>
      </c>
      <c r="H10" s="35" t="s">
        <v>1168</v>
      </c>
      <c r="I10" s="35" t="s">
        <v>1173</v>
      </c>
      <c r="J10" s="6" t="s">
        <v>5838</v>
      </c>
      <c r="K10" s="209" t="n">
        <v>2</v>
      </c>
      <c r="L10" s="209" t="s">
        <v>4663</v>
      </c>
      <c r="M10" s="6" t="s">
        <v>5839</v>
      </c>
      <c r="N10" s="209" t="s">
        <v>4676</v>
      </c>
      <c r="O10" s="35" t="s">
        <v>4666</v>
      </c>
      <c r="P10" s="35" t="s">
        <v>571</v>
      </c>
      <c r="Q10" s="35" t="s">
        <v>5840</v>
      </c>
      <c r="R10" s="35" t="s">
        <v>571</v>
      </c>
      <c r="S10" s="35" t="s">
        <v>571</v>
      </c>
      <c r="T10" s="35" t="s">
        <v>571</v>
      </c>
      <c r="U10" s="35" t="s">
        <v>1496</v>
      </c>
      <c r="V10" s="6" t="s">
        <v>5850</v>
      </c>
      <c r="W10" s="6" t="s">
        <v>571</v>
      </c>
      <c r="X10" s="183" t="n">
        <f aca="false">IF($O10="Active",SUMPRODUCT(($AH$5:$AH$69=$AH10)*1),0)</f>
        <v>1</v>
      </c>
      <c r="Y10" s="183" t="n">
        <f aca="false">IF(AND($O10="Active",OR($Q10="—",$Q10="")),1,0)</f>
        <v>0</v>
      </c>
      <c r="Z10" s="183" t="n">
        <f aca="false">IF(AND($O10="Active",$L10="利害關係方",OR($R10="—",$R10="")),1,0)</f>
        <v>1</v>
      </c>
      <c r="AH10" s="34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35" t="s">
        <v>5851</v>
      </c>
      <c r="B11" s="6" t="s">
        <v>5852</v>
      </c>
      <c r="C11" s="211" t="n">
        <v>0.999</v>
      </c>
      <c r="D11" s="209"/>
      <c r="E11" s="209"/>
      <c r="F11" s="35" t="s">
        <v>71</v>
      </c>
      <c r="G11" s="35" t="s">
        <v>5853</v>
      </c>
      <c r="H11" s="35" t="s">
        <v>1168</v>
      </c>
      <c r="I11" s="35" t="s">
        <v>1173</v>
      </c>
      <c r="J11" s="6" t="s">
        <v>5838</v>
      </c>
      <c r="K11" s="209" t="n">
        <v>2</v>
      </c>
      <c r="L11" s="209" t="s">
        <v>4663</v>
      </c>
      <c r="M11" s="6" t="s">
        <v>5839</v>
      </c>
      <c r="N11" s="209" t="s">
        <v>4676</v>
      </c>
      <c r="O11" s="35" t="s">
        <v>4666</v>
      </c>
      <c r="P11" s="35" t="s">
        <v>571</v>
      </c>
      <c r="Q11" s="35" t="s">
        <v>5840</v>
      </c>
      <c r="R11" s="35" t="s">
        <v>571</v>
      </c>
      <c r="S11" s="35" t="s">
        <v>571</v>
      </c>
      <c r="T11" s="35" t="s">
        <v>571</v>
      </c>
      <c r="U11" s="35" t="s">
        <v>1496</v>
      </c>
      <c r="V11" s="6" t="s">
        <v>5854</v>
      </c>
      <c r="W11" s="6" t="s">
        <v>571</v>
      </c>
      <c r="X11" s="183" t="n">
        <f aca="false">IF($O11="Active",SUMPRODUCT(($AH$5:$AH$69=$AH11)*1),0)</f>
        <v>1</v>
      </c>
      <c r="Y11" s="183" t="n">
        <f aca="false">IF(AND($O11="Active",OR($Q11="—",$Q11="")),1,0)</f>
        <v>0</v>
      </c>
      <c r="Z11" s="183" t="n">
        <f aca="false">IF(AND($O11="Active",$L11="利害關係方",OR($R11="—",$R11="")),1,0)</f>
        <v>1</v>
      </c>
      <c r="AH11" s="34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35" t="s">
        <v>5855</v>
      </c>
      <c r="B12" s="6" t="s">
        <v>5856</v>
      </c>
      <c r="C12" s="211" t="n">
        <v>18817</v>
      </c>
      <c r="D12" s="209"/>
      <c r="E12" s="209"/>
      <c r="F12" s="35" t="s">
        <v>390</v>
      </c>
      <c r="G12" s="209" t="s">
        <v>97</v>
      </c>
      <c r="H12" s="35" t="s">
        <v>1168</v>
      </c>
      <c r="I12" s="35" t="s">
        <v>1173</v>
      </c>
      <c r="J12" s="6" t="s">
        <v>5838</v>
      </c>
      <c r="K12" s="209" t="n">
        <v>2</v>
      </c>
      <c r="L12" s="209" t="s">
        <v>4663</v>
      </c>
      <c r="M12" s="6" t="s">
        <v>5839</v>
      </c>
      <c r="N12" s="209" t="s">
        <v>4676</v>
      </c>
      <c r="O12" s="35" t="s">
        <v>4666</v>
      </c>
      <c r="P12" s="35" t="s">
        <v>571</v>
      </c>
      <c r="Q12" s="35" t="s">
        <v>5840</v>
      </c>
      <c r="R12" s="35" t="s">
        <v>571</v>
      </c>
      <c r="S12" s="35" t="s">
        <v>571</v>
      </c>
      <c r="T12" s="35" t="s">
        <v>571</v>
      </c>
      <c r="U12" s="35" t="s">
        <v>1496</v>
      </c>
      <c r="V12" s="6" t="s">
        <v>5857</v>
      </c>
      <c r="W12" s="18" t="s">
        <v>5858</v>
      </c>
      <c r="X12" s="183" t="n">
        <f aca="false">IF($O12="Active",SUMPRODUCT(($AH$5:$AH$69=$AH12)*1),0)</f>
        <v>1</v>
      </c>
      <c r="Y12" s="183" t="n">
        <f aca="false">IF(AND($O12="Active",OR($Q12="—",$Q12="")),1,0)</f>
        <v>0</v>
      </c>
      <c r="Z12" s="183" t="n">
        <f aca="false">IF(AND($O12="Active",$L12="利害關係方",OR($R12="—",$R12="")),1,0)</f>
        <v>1</v>
      </c>
      <c r="AH12" s="34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35" t="s">
        <v>5859</v>
      </c>
      <c r="B13" s="6" t="s">
        <v>5860</v>
      </c>
      <c r="C13" s="211" t="n">
        <v>19302</v>
      </c>
      <c r="D13" s="209"/>
      <c r="E13" s="209"/>
      <c r="F13" s="35" t="s">
        <v>390</v>
      </c>
      <c r="G13" s="209" t="s">
        <v>97</v>
      </c>
      <c r="H13" s="35" t="s">
        <v>1168</v>
      </c>
      <c r="I13" s="35" t="s">
        <v>1173</v>
      </c>
      <c r="J13" s="6" t="s">
        <v>5838</v>
      </c>
      <c r="K13" s="209" t="n">
        <v>2</v>
      </c>
      <c r="L13" s="209" t="s">
        <v>4663</v>
      </c>
      <c r="M13" s="6" t="s">
        <v>5839</v>
      </c>
      <c r="N13" s="209" t="s">
        <v>4676</v>
      </c>
      <c r="O13" s="35" t="s">
        <v>4715</v>
      </c>
      <c r="P13" s="35" t="s">
        <v>571</v>
      </c>
      <c r="Q13" s="35" t="s">
        <v>5840</v>
      </c>
      <c r="R13" s="35" t="s">
        <v>571</v>
      </c>
      <c r="S13" s="35" t="s">
        <v>571</v>
      </c>
      <c r="T13" s="35" t="s">
        <v>571</v>
      </c>
      <c r="U13" s="35" t="s">
        <v>1496</v>
      </c>
      <c r="V13" s="6" t="s">
        <v>571</v>
      </c>
      <c r="W13" s="18" t="s">
        <v>5861</v>
      </c>
      <c r="X13" s="183" t="n">
        <f aca="false">IF($O13="Active",SUMPRODUCT(($AH$5:$AH$69=$AH13)*1),0)</f>
        <v>0</v>
      </c>
      <c r="Y13" s="183" t="n">
        <f aca="false">IF(AND($O13="Active",OR($Q13="—",$Q13="")),1,0)</f>
        <v>0</v>
      </c>
      <c r="Z13" s="183" t="n">
        <f aca="false">IF(AND($O13="Active",$L13="利害關係方",OR($R13="—",$R13="")),1,0)</f>
        <v>0</v>
      </c>
      <c r="AH13" s="34" t="str">
        <f aca="false">IF($O13="Active",$B13&amp;"¦"&amp;$G13&amp;"¦"&amp;$H13,"")</f>
        <v/>
      </c>
    </row>
    <row r="14" customFormat="false" ht="29.25" hidden="false" customHeight="true" outlineLevel="0" collapsed="false">
      <c r="A14" s="35" t="s">
        <v>5862</v>
      </c>
      <c r="B14" s="6" t="s">
        <v>5863</v>
      </c>
      <c r="C14" s="211" t="n">
        <v>0.51</v>
      </c>
      <c r="D14" s="209"/>
      <c r="E14" s="209"/>
      <c r="F14" s="35" t="s">
        <v>75</v>
      </c>
      <c r="G14" s="209" t="s">
        <v>5864</v>
      </c>
      <c r="H14" s="35" t="s">
        <v>1168</v>
      </c>
      <c r="I14" s="35" t="s">
        <v>1173</v>
      </c>
      <c r="J14" s="6" t="s">
        <v>5838</v>
      </c>
      <c r="K14" s="209" t="n">
        <v>2</v>
      </c>
      <c r="L14" s="209" t="s">
        <v>4663</v>
      </c>
      <c r="M14" s="6" t="s">
        <v>5839</v>
      </c>
      <c r="N14" s="209" t="s">
        <v>4676</v>
      </c>
      <c r="O14" s="35" t="s">
        <v>4666</v>
      </c>
      <c r="P14" s="35" t="s">
        <v>571</v>
      </c>
      <c r="Q14" s="35" t="s">
        <v>5840</v>
      </c>
      <c r="R14" s="35" t="s">
        <v>571</v>
      </c>
      <c r="S14" s="35" t="s">
        <v>571</v>
      </c>
      <c r="T14" s="35" t="s">
        <v>571</v>
      </c>
      <c r="U14" s="35" t="s">
        <v>1496</v>
      </c>
      <c r="V14" s="6" t="s">
        <v>5865</v>
      </c>
      <c r="W14" s="6" t="s">
        <v>571</v>
      </c>
      <c r="X14" s="183" t="n">
        <f aca="false">IF($O14="Active",SUMPRODUCT(($AH$5:$AH$69=$AH14)*1),0)</f>
        <v>1</v>
      </c>
      <c r="Y14" s="183" t="n">
        <f aca="false">IF(AND($O14="Active",OR($Q14="—",$Q14="")),1,0)</f>
        <v>0</v>
      </c>
      <c r="Z14" s="183" t="n">
        <f aca="false">IF(AND($O14="Active",$L14="利害關係方",OR($R14="—",$R14="")),1,0)</f>
        <v>1</v>
      </c>
      <c r="AH14" s="34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35" t="s">
        <v>5866</v>
      </c>
      <c r="B15" s="6" t="s">
        <v>5867</v>
      </c>
      <c r="C15" s="211" t="n">
        <v>3.66</v>
      </c>
      <c r="D15" s="209"/>
      <c r="E15" s="209"/>
      <c r="F15" s="35" t="s">
        <v>75</v>
      </c>
      <c r="G15" s="35" t="s">
        <v>571</v>
      </c>
      <c r="H15" s="35" t="s">
        <v>1168</v>
      </c>
      <c r="I15" s="35" t="s">
        <v>1173</v>
      </c>
      <c r="J15" s="6" t="s">
        <v>5838</v>
      </c>
      <c r="K15" s="209" t="n">
        <v>2</v>
      </c>
      <c r="L15" s="209" t="s">
        <v>4663</v>
      </c>
      <c r="M15" s="6" t="s">
        <v>5839</v>
      </c>
      <c r="N15" s="209" t="s">
        <v>4676</v>
      </c>
      <c r="O15" s="35" t="s">
        <v>4666</v>
      </c>
      <c r="P15" s="35" t="s">
        <v>571</v>
      </c>
      <c r="Q15" s="35" t="s">
        <v>5840</v>
      </c>
      <c r="R15" s="35" t="s">
        <v>571</v>
      </c>
      <c r="S15" s="35" t="s">
        <v>571</v>
      </c>
      <c r="T15" s="35" t="s">
        <v>571</v>
      </c>
      <c r="U15" s="35" t="s">
        <v>1496</v>
      </c>
      <c r="V15" s="6" t="s">
        <v>571</v>
      </c>
      <c r="W15" s="6" t="s">
        <v>571</v>
      </c>
      <c r="X15" s="183" t="n">
        <f aca="false">IF($O15="Active",SUMPRODUCT(($AH$5:$AH$69=$AH15)*1),0)</f>
        <v>1</v>
      </c>
      <c r="Y15" s="183" t="n">
        <f aca="false">IF(AND($O15="Active",OR($Q15="—",$Q15="")),1,0)</f>
        <v>0</v>
      </c>
      <c r="Z15" s="183" t="n">
        <f aca="false">IF(AND($O15="Active",$L15="利害關係方",OR($R15="—",$R15="")),1,0)</f>
        <v>1</v>
      </c>
      <c r="AH15" s="34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35" t="s">
        <v>5868</v>
      </c>
      <c r="B16" s="6" t="s">
        <v>5869</v>
      </c>
      <c r="C16" s="211" t="n">
        <v>0.302</v>
      </c>
      <c r="D16" s="209"/>
      <c r="E16" s="209"/>
      <c r="F16" s="35" t="s">
        <v>71</v>
      </c>
      <c r="G16" s="35" t="s">
        <v>5870</v>
      </c>
      <c r="H16" s="35" t="s">
        <v>1175</v>
      </c>
      <c r="I16" s="35" t="s">
        <v>1173</v>
      </c>
      <c r="J16" s="6" t="s">
        <v>5838</v>
      </c>
      <c r="K16" s="209" t="n">
        <v>2</v>
      </c>
      <c r="L16" s="209" t="s">
        <v>4663</v>
      </c>
      <c r="M16" s="6" t="s">
        <v>5839</v>
      </c>
      <c r="N16" s="209" t="s">
        <v>4676</v>
      </c>
      <c r="O16" s="35" t="s">
        <v>4666</v>
      </c>
      <c r="P16" s="35" t="s">
        <v>571</v>
      </c>
      <c r="Q16" s="35" t="s">
        <v>5840</v>
      </c>
      <c r="R16" s="35" t="s">
        <v>571</v>
      </c>
      <c r="S16" s="35" t="s">
        <v>571</v>
      </c>
      <c r="T16" s="35" t="s">
        <v>571</v>
      </c>
      <c r="U16" s="35" t="s">
        <v>1496</v>
      </c>
      <c r="V16" s="6" t="s">
        <v>5871</v>
      </c>
      <c r="W16" s="6" t="s">
        <v>571</v>
      </c>
      <c r="X16" s="183" t="n">
        <f aca="false">IF($O16="Active",SUMPRODUCT(($AH$5:$AH$69=$AH16)*1),0)</f>
        <v>1</v>
      </c>
      <c r="Y16" s="183" t="n">
        <f aca="false">IF(AND($O16="Active",OR($Q16="—",$Q16="")),1,0)</f>
        <v>0</v>
      </c>
      <c r="Z16" s="183" t="n">
        <f aca="false">IF(AND($O16="Active",$L16="利害關係方",OR($R16="—",$R16="")),1,0)</f>
        <v>1</v>
      </c>
      <c r="AH16" s="34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35" t="s">
        <v>5872</v>
      </c>
      <c r="B17" s="6" t="s">
        <v>5873</v>
      </c>
      <c r="C17" s="211" t="n">
        <v>4.72</v>
      </c>
      <c r="D17" s="209"/>
      <c r="E17" s="209"/>
      <c r="F17" s="35" t="s">
        <v>5874</v>
      </c>
      <c r="G17" s="35" t="s">
        <v>5875</v>
      </c>
      <c r="H17" s="35" t="s">
        <v>1168</v>
      </c>
      <c r="I17" s="35" t="s">
        <v>1173</v>
      </c>
      <c r="J17" s="6" t="s">
        <v>5876</v>
      </c>
      <c r="K17" s="209" t="n">
        <v>2</v>
      </c>
      <c r="L17" s="209" t="s">
        <v>4767</v>
      </c>
      <c r="M17" s="6" t="s">
        <v>5877</v>
      </c>
      <c r="N17" s="209" t="s">
        <v>4676</v>
      </c>
      <c r="O17" s="35" t="s">
        <v>4666</v>
      </c>
      <c r="P17" s="35" t="s">
        <v>571</v>
      </c>
      <c r="Q17" s="35" t="s">
        <v>5878</v>
      </c>
      <c r="R17" s="35" t="s">
        <v>571</v>
      </c>
      <c r="S17" s="35" t="s">
        <v>571</v>
      </c>
      <c r="T17" s="35" t="s">
        <v>571</v>
      </c>
      <c r="U17" s="35" t="s">
        <v>5879</v>
      </c>
      <c r="V17" s="6" t="s">
        <v>571</v>
      </c>
      <c r="W17" s="18" t="s">
        <v>5880</v>
      </c>
      <c r="X17" s="183" t="n">
        <f aca="false">IF($O17="Active",SUMPRODUCT(($AH$5:$AH$69=$AH17)*1),0)</f>
        <v>1</v>
      </c>
      <c r="Y17" s="183" t="n">
        <f aca="false">IF(AND($O17="Active",OR($Q17="—",$Q17="")),1,0)</f>
        <v>0</v>
      </c>
      <c r="Z17" s="183" t="n">
        <f aca="false">IF(AND($O17="Active",$L17="利害關係方",OR($R17="—",$R17="")),1,0)</f>
        <v>0</v>
      </c>
      <c r="AH17" s="34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35" t="s">
        <v>5881</v>
      </c>
      <c r="B18" s="6" t="s">
        <v>5882</v>
      </c>
      <c r="C18" s="211" t="n">
        <v>9.18</v>
      </c>
      <c r="D18" s="209"/>
      <c r="E18" s="209"/>
      <c r="F18" s="35" t="s">
        <v>5874</v>
      </c>
      <c r="G18" s="35" t="s">
        <v>5875</v>
      </c>
      <c r="H18" s="35" t="s">
        <v>1171</v>
      </c>
      <c r="I18" s="35" t="s">
        <v>1173</v>
      </c>
      <c r="J18" s="6" t="s">
        <v>5876</v>
      </c>
      <c r="K18" s="209" t="n">
        <v>2</v>
      </c>
      <c r="L18" s="209" t="s">
        <v>4767</v>
      </c>
      <c r="M18" s="6" t="s">
        <v>5877</v>
      </c>
      <c r="N18" s="209" t="s">
        <v>4676</v>
      </c>
      <c r="O18" s="35" t="s">
        <v>4666</v>
      </c>
      <c r="P18" s="35" t="s">
        <v>571</v>
      </c>
      <c r="Q18" s="35" t="s">
        <v>5878</v>
      </c>
      <c r="R18" s="35" t="s">
        <v>571</v>
      </c>
      <c r="S18" s="35" t="s">
        <v>571</v>
      </c>
      <c r="T18" s="35" t="s">
        <v>571</v>
      </c>
      <c r="U18" s="35" t="s">
        <v>5879</v>
      </c>
      <c r="V18" s="6" t="s">
        <v>571</v>
      </c>
      <c r="W18" s="18" t="s">
        <v>5880</v>
      </c>
      <c r="X18" s="183" t="n">
        <f aca="false">IF($O18="Active",SUMPRODUCT(($AH$5:$AH$69=$AH18)*1),0)</f>
        <v>1</v>
      </c>
      <c r="Y18" s="183" t="n">
        <f aca="false">IF(AND($O18="Active",OR($Q18="—",$Q18="")),1,0)</f>
        <v>0</v>
      </c>
      <c r="Z18" s="183" t="n">
        <f aca="false">IF(AND($O18="Active",$L18="利害關係方",OR($R18="—",$R18="")),1,0)</f>
        <v>0</v>
      </c>
      <c r="AH18" s="34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35" t="s">
        <v>5883</v>
      </c>
      <c r="B19" s="6" t="s">
        <v>5884</v>
      </c>
      <c r="C19" s="211" t="n">
        <v>1</v>
      </c>
      <c r="D19" s="209"/>
      <c r="E19" s="209"/>
      <c r="F19" s="35" t="s">
        <v>71</v>
      </c>
      <c r="G19" s="209" t="s">
        <v>5885</v>
      </c>
      <c r="H19" s="35" t="s">
        <v>1175</v>
      </c>
      <c r="I19" s="35" t="s">
        <v>1173</v>
      </c>
      <c r="J19" s="6" t="s">
        <v>5886</v>
      </c>
      <c r="K19" s="209" t="n">
        <v>2</v>
      </c>
      <c r="L19" s="209" t="s">
        <v>4663</v>
      </c>
      <c r="M19" s="6" t="s">
        <v>5887</v>
      </c>
      <c r="N19" s="209" t="s">
        <v>4676</v>
      </c>
      <c r="O19" s="35" t="s">
        <v>4666</v>
      </c>
      <c r="P19" s="35" t="s">
        <v>571</v>
      </c>
      <c r="Q19" s="35" t="s">
        <v>5888</v>
      </c>
      <c r="R19" s="35" t="s">
        <v>571</v>
      </c>
      <c r="S19" s="35" t="s">
        <v>571</v>
      </c>
      <c r="T19" s="35" t="s">
        <v>571</v>
      </c>
      <c r="U19" s="35" t="s">
        <v>5889</v>
      </c>
      <c r="V19" s="6" t="s">
        <v>5890</v>
      </c>
      <c r="W19" s="18" t="s">
        <v>5891</v>
      </c>
      <c r="X19" s="183" t="n">
        <f aca="false">IF($O19="Active",SUMPRODUCT(($AH$5:$AH$69=$AH19)*1),0)</f>
        <v>1</v>
      </c>
      <c r="Y19" s="183" t="n">
        <f aca="false">IF(AND($O19="Active",OR($Q19="—",$Q19="")),1,0)</f>
        <v>0</v>
      </c>
      <c r="Z19" s="183" t="n">
        <f aca="false">IF(AND($O19="Active",$L19="利害關係方",OR($R19="—",$R19="")),1,0)</f>
        <v>1</v>
      </c>
      <c r="AH19" s="34" t="str">
        <f aca="false">IF($O19="Active",$B19&amp;"¦"&amp;$G19&amp;"¦"&amp;$H19,"")</f>
        <v>ARC-AGI-3：Opus 5＋Nvidia harness 成功率¦全部關卡通關¦Claude Opus 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7" t="s">
        <v>5892</v>
      </c>
    </row>
    <row r="2" customFormat="false" ht="15" hidden="false" customHeight="true" outlineLevel="0" collapsed="false">
      <c r="A2" s="218" t="s">
        <v>4637</v>
      </c>
    </row>
    <row r="3" customFormat="false" ht="15" hidden="false" customHeight="true" outlineLevel="0" collapsed="false">
      <c r="A3" s="218" t="s">
        <v>4638</v>
      </c>
    </row>
    <row r="4" customFormat="false" ht="43.5" hidden="false" customHeight="true" outlineLevel="0" collapsed="false">
      <c r="A4" s="77" t="s">
        <v>4639</v>
      </c>
      <c r="B4" s="208" t="s">
        <v>1839</v>
      </c>
      <c r="C4" s="208" t="s">
        <v>4640</v>
      </c>
      <c r="D4" s="208" t="s">
        <v>1099</v>
      </c>
      <c r="E4" s="208" t="s">
        <v>1100</v>
      </c>
      <c r="F4" s="208" t="s">
        <v>55</v>
      </c>
      <c r="G4" s="208" t="s">
        <v>427</v>
      </c>
      <c r="H4" s="208" t="s">
        <v>4641</v>
      </c>
      <c r="I4" s="208" t="s">
        <v>4294</v>
      </c>
      <c r="J4" s="208" t="s">
        <v>4297</v>
      </c>
      <c r="K4" s="208" t="s">
        <v>4472</v>
      </c>
      <c r="L4" s="208" t="s">
        <v>4642</v>
      </c>
      <c r="M4" s="208" t="s">
        <v>4643</v>
      </c>
      <c r="N4" s="208" t="s">
        <v>4644</v>
      </c>
      <c r="O4" s="208" t="s">
        <v>558</v>
      </c>
      <c r="P4" s="208" t="s">
        <v>4645</v>
      </c>
      <c r="Q4" s="77" t="s">
        <v>4646</v>
      </c>
      <c r="R4" s="208" t="s">
        <v>4647</v>
      </c>
      <c r="S4" s="208" t="s">
        <v>4648</v>
      </c>
      <c r="T4" s="77" t="s">
        <v>4649</v>
      </c>
      <c r="U4" s="208" t="s">
        <v>4650</v>
      </c>
      <c r="V4" s="208" t="s">
        <v>4651</v>
      </c>
      <c r="W4" s="208" t="s">
        <v>4652</v>
      </c>
      <c r="X4" s="208" t="s">
        <v>4653</v>
      </c>
      <c r="Y4" s="208" t="s">
        <v>4654</v>
      </c>
      <c r="Z4" s="208" t="s">
        <v>4655</v>
      </c>
      <c r="AH4" s="76" t="s">
        <v>4656</v>
      </c>
    </row>
    <row r="5" customFormat="false" ht="29.25" hidden="false" customHeight="true" outlineLevel="0" collapsed="false">
      <c r="A5" s="35" t="s">
        <v>2177</v>
      </c>
      <c r="B5" s="18" t="s">
        <v>5893</v>
      </c>
      <c r="C5" s="211" t="n">
        <v>0.096</v>
      </c>
      <c r="D5" s="209"/>
      <c r="E5" s="209"/>
      <c r="F5" s="35" t="s">
        <v>71</v>
      </c>
      <c r="G5" s="209" t="s">
        <v>5894</v>
      </c>
      <c r="H5" s="35" t="s">
        <v>1161</v>
      </c>
      <c r="I5" s="35" t="s">
        <v>4703</v>
      </c>
      <c r="J5" s="6" t="s">
        <v>5895</v>
      </c>
      <c r="K5" s="209" t="n">
        <v>1</v>
      </c>
      <c r="L5" s="209" t="s">
        <v>4767</v>
      </c>
      <c r="M5" s="6" t="s">
        <v>5896</v>
      </c>
      <c r="N5" s="209" t="s">
        <v>5193</v>
      </c>
      <c r="O5" s="35" t="s">
        <v>4666</v>
      </c>
      <c r="P5" s="35" t="s">
        <v>571</v>
      </c>
      <c r="Q5" s="35" t="s">
        <v>5897</v>
      </c>
      <c r="R5" s="35" t="s">
        <v>571</v>
      </c>
      <c r="S5" s="35" t="s">
        <v>571</v>
      </c>
      <c r="T5" s="35" t="s">
        <v>571</v>
      </c>
      <c r="U5" s="35" t="s">
        <v>5898</v>
      </c>
      <c r="V5" s="6" t="s">
        <v>5899</v>
      </c>
      <c r="W5" s="18" t="s">
        <v>5900</v>
      </c>
      <c r="X5" s="183" t="n">
        <f aca="false">IF($O5="Active",SUMPRODUCT(($AH$5:$AH$67=$AH5)*1),0)</f>
        <v>1</v>
      </c>
      <c r="Y5" s="183" t="n">
        <f aca="false">IF(AND($O5="Active",OR($Q5="—",$Q5="")),1,0)</f>
        <v>0</v>
      </c>
      <c r="Z5" s="183" t="n">
        <f aca="false">IF(AND($O5="Active",$L5="利害關係方",OR($R5="—",$R5="")),1,0)</f>
        <v>0</v>
      </c>
      <c r="AH5" s="34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35" t="s">
        <v>5901</v>
      </c>
      <c r="B6" s="18" t="s">
        <v>5902</v>
      </c>
      <c r="C6" s="211" t="n">
        <v>0.226</v>
      </c>
      <c r="D6" s="209"/>
      <c r="E6" s="209"/>
      <c r="F6" s="35" t="s">
        <v>71</v>
      </c>
      <c r="G6" s="209" t="s">
        <v>97</v>
      </c>
      <c r="H6" s="35" t="s">
        <v>1205</v>
      </c>
      <c r="I6" s="35" t="s">
        <v>4703</v>
      </c>
      <c r="J6" s="6" t="s">
        <v>5895</v>
      </c>
      <c r="K6" s="209" t="n">
        <v>1</v>
      </c>
      <c r="L6" s="209" t="s">
        <v>4767</v>
      </c>
      <c r="M6" s="6" t="s">
        <v>5896</v>
      </c>
      <c r="N6" s="209" t="s">
        <v>5193</v>
      </c>
      <c r="O6" s="35" t="s">
        <v>4666</v>
      </c>
      <c r="P6" s="35" t="s">
        <v>571</v>
      </c>
      <c r="Q6" s="35" t="s">
        <v>5897</v>
      </c>
      <c r="R6" s="35" t="s">
        <v>571</v>
      </c>
      <c r="S6" s="35" t="s">
        <v>571</v>
      </c>
      <c r="T6" s="35" t="s">
        <v>571</v>
      </c>
      <c r="U6" s="35" t="s">
        <v>5898</v>
      </c>
      <c r="V6" s="6" t="s">
        <v>5899</v>
      </c>
      <c r="W6" s="6" t="s">
        <v>571</v>
      </c>
      <c r="X6" s="183" t="n">
        <f aca="false">IF($O6="Active",SUMPRODUCT(($AH$5:$AH$67=$AH6)*1),0)</f>
        <v>1</v>
      </c>
      <c r="Y6" s="183" t="n">
        <f aca="false">IF(AND($O6="Active",OR($Q6="—",$Q6="")),1,0)</f>
        <v>0</v>
      </c>
      <c r="Z6" s="183" t="n">
        <f aca="false">IF(AND($O6="Active",$L6="利害關係方",OR($R6="—",$R6="")),1,0)</f>
        <v>0</v>
      </c>
      <c r="AH6" s="34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35" t="s">
        <v>5903</v>
      </c>
      <c r="B7" s="18" t="s">
        <v>5904</v>
      </c>
      <c r="C7" s="211" t="n">
        <v>0.123</v>
      </c>
      <c r="D7" s="209"/>
      <c r="E7" s="209"/>
      <c r="F7" s="35" t="s">
        <v>71</v>
      </c>
      <c r="G7" s="209" t="s">
        <v>97</v>
      </c>
      <c r="H7" s="35" t="s">
        <v>1190</v>
      </c>
      <c r="I7" s="35" t="s">
        <v>4703</v>
      </c>
      <c r="J7" s="6" t="s">
        <v>5895</v>
      </c>
      <c r="K7" s="209" t="n">
        <v>1</v>
      </c>
      <c r="L7" s="209" t="s">
        <v>4767</v>
      </c>
      <c r="M7" s="6" t="s">
        <v>5896</v>
      </c>
      <c r="N7" s="209" t="s">
        <v>5193</v>
      </c>
      <c r="O7" s="35" t="s">
        <v>4666</v>
      </c>
      <c r="P7" s="35" t="s">
        <v>571</v>
      </c>
      <c r="Q7" s="35" t="s">
        <v>5897</v>
      </c>
      <c r="R7" s="35" t="s">
        <v>571</v>
      </c>
      <c r="S7" s="35" t="s">
        <v>571</v>
      </c>
      <c r="T7" s="35" t="s">
        <v>571</v>
      </c>
      <c r="U7" s="35" t="s">
        <v>5898</v>
      </c>
      <c r="V7" s="6" t="s">
        <v>571</v>
      </c>
      <c r="W7" s="6" t="s">
        <v>571</v>
      </c>
      <c r="X7" s="183" t="n">
        <f aca="false">IF($O7="Active",SUMPRODUCT(($AH$5:$AH$67=$AH7)*1),0)</f>
        <v>1</v>
      </c>
      <c r="Y7" s="183" t="n">
        <f aca="false">IF(AND($O7="Active",OR($Q7="—",$Q7="")),1,0)</f>
        <v>0</v>
      </c>
      <c r="Z7" s="183" t="n">
        <f aca="false">IF(AND($O7="Active",$L7="利害關係方",OR($R7="—",$R7="")),1,0)</f>
        <v>0</v>
      </c>
      <c r="AH7" s="34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35" t="s">
        <v>2273</v>
      </c>
      <c r="B8" s="6" t="s">
        <v>5905</v>
      </c>
      <c r="C8" s="211" t="n">
        <v>8.4</v>
      </c>
      <c r="D8" s="209"/>
      <c r="E8" s="209"/>
      <c r="F8" s="35" t="s">
        <v>830</v>
      </c>
      <c r="G8" s="209" t="s">
        <v>5906</v>
      </c>
      <c r="H8" s="35" t="s">
        <v>1161</v>
      </c>
      <c r="I8" s="35" t="s">
        <v>5202</v>
      </c>
      <c r="J8" s="6" t="s">
        <v>5907</v>
      </c>
      <c r="K8" s="209" t="n">
        <v>2</v>
      </c>
      <c r="L8" s="209" t="s">
        <v>4663</v>
      </c>
      <c r="M8" s="6" t="s">
        <v>5908</v>
      </c>
      <c r="N8" s="209" t="s">
        <v>4676</v>
      </c>
      <c r="O8" s="35" t="s">
        <v>4666</v>
      </c>
      <c r="P8" s="35" t="s">
        <v>571</v>
      </c>
      <c r="Q8" s="35" t="s">
        <v>5909</v>
      </c>
      <c r="R8" s="35" t="s">
        <v>571</v>
      </c>
      <c r="S8" s="35" t="s">
        <v>571</v>
      </c>
      <c r="T8" s="35" t="s">
        <v>571</v>
      </c>
      <c r="U8" s="35" t="s">
        <v>5910</v>
      </c>
      <c r="V8" s="6" t="s">
        <v>5911</v>
      </c>
      <c r="W8" s="18" t="s">
        <v>5912</v>
      </c>
      <c r="X8" s="183" t="n">
        <f aca="false">IF($O8="Active",SUMPRODUCT(($AH$5:$AH$67=$AH8)*1),0)</f>
        <v>1</v>
      </c>
      <c r="Y8" s="183" t="n">
        <f aca="false">IF(AND($O8="Active",OR($Q8="—",$Q8="")),1,0)</f>
        <v>0</v>
      </c>
      <c r="Z8" s="183" t="n">
        <f aca="false">IF(AND($O8="Active",$L8="利害關係方",OR($R8="—",$R8="")),1,0)</f>
        <v>1</v>
      </c>
      <c r="AH8" s="34" t="str">
        <f aca="false">IF($O8="Active",$B8&amp;"¦"&amp;$G8&amp;"¦"&amp;$H8,"")</f>
        <v>OpenAI 2025 推論支出¦年度¦OpenAI</v>
      </c>
    </row>
    <row r="9" customFormat="false" ht="43.5" hidden="false" customHeight="true" outlineLevel="0" collapsed="false">
      <c r="A9" s="35" t="s">
        <v>2282</v>
      </c>
      <c r="B9" s="6" t="s">
        <v>5913</v>
      </c>
      <c r="C9" s="211" t="n">
        <v>3.9</v>
      </c>
      <c r="D9" s="209"/>
      <c r="E9" s="209"/>
      <c r="F9" s="35" t="s">
        <v>830</v>
      </c>
      <c r="G9" s="209" t="s">
        <v>5906</v>
      </c>
      <c r="H9" s="35" t="s">
        <v>1161</v>
      </c>
      <c r="I9" s="35" t="s">
        <v>5202</v>
      </c>
      <c r="J9" s="6" t="s">
        <v>5907</v>
      </c>
      <c r="K9" s="209" t="n">
        <v>2</v>
      </c>
      <c r="L9" s="209" t="s">
        <v>4663</v>
      </c>
      <c r="M9" s="6" t="s">
        <v>5908</v>
      </c>
      <c r="N9" s="209" t="s">
        <v>4676</v>
      </c>
      <c r="O9" s="35" t="s">
        <v>4666</v>
      </c>
      <c r="P9" s="35" t="s">
        <v>571</v>
      </c>
      <c r="Q9" s="35" t="s">
        <v>5909</v>
      </c>
      <c r="R9" s="35" t="s">
        <v>571</v>
      </c>
      <c r="S9" s="35" t="s">
        <v>571</v>
      </c>
      <c r="T9" s="35" t="s">
        <v>571</v>
      </c>
      <c r="U9" s="35" t="s">
        <v>5910</v>
      </c>
      <c r="V9" s="6" t="s">
        <v>5914</v>
      </c>
      <c r="W9" s="18" t="s">
        <v>5915</v>
      </c>
      <c r="X9" s="183" t="n">
        <f aca="false">IF($O9="Active",SUMPRODUCT(($AH$5:$AH$67=$AH9)*1),0)</f>
        <v>1</v>
      </c>
      <c r="Y9" s="183" t="n">
        <f aca="false">IF(AND($O9="Active",OR($Q9="—",$Q9="")),1,0)</f>
        <v>0</v>
      </c>
      <c r="Z9" s="183" t="n">
        <f aca="false">IF(AND($O9="Active",$L9="利害關係方",OR($R9="—",$R9="")),1,0)</f>
        <v>1</v>
      </c>
      <c r="AH9" s="34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35" t="s">
        <v>5916</v>
      </c>
      <c r="B10" s="6" t="s">
        <v>5917</v>
      </c>
      <c r="C10" s="211" t="n">
        <v>12</v>
      </c>
      <c r="D10" s="209"/>
      <c r="E10" s="209"/>
      <c r="F10" s="35" t="s">
        <v>830</v>
      </c>
      <c r="G10" s="209" t="s">
        <v>5918</v>
      </c>
      <c r="H10" s="35" t="s">
        <v>1161</v>
      </c>
      <c r="I10" s="35" t="s">
        <v>5202</v>
      </c>
      <c r="J10" s="6" t="s">
        <v>5907</v>
      </c>
      <c r="K10" s="209" t="n">
        <v>2</v>
      </c>
      <c r="L10" s="209" t="s">
        <v>4663</v>
      </c>
      <c r="M10" s="6" t="s">
        <v>5908</v>
      </c>
      <c r="N10" s="209" t="s">
        <v>4676</v>
      </c>
      <c r="O10" s="35" t="s">
        <v>4666</v>
      </c>
      <c r="P10" s="35" t="s">
        <v>571</v>
      </c>
      <c r="Q10" s="35" t="s">
        <v>5909</v>
      </c>
      <c r="R10" s="35" t="s">
        <v>571</v>
      </c>
      <c r="S10" s="35" t="s">
        <v>571</v>
      </c>
      <c r="T10" s="35" t="s">
        <v>571</v>
      </c>
      <c r="U10" s="35" t="s">
        <v>5910</v>
      </c>
      <c r="V10" s="6" t="s">
        <v>5911</v>
      </c>
      <c r="W10" s="6" t="s">
        <v>571</v>
      </c>
      <c r="X10" s="183" t="n">
        <f aca="false">IF($O10="Active",SUMPRODUCT(($AH$5:$AH$67=$AH10)*1),0)</f>
        <v>1</v>
      </c>
      <c r="Y10" s="183" t="n">
        <f aca="false">IF(AND($O10="Active",OR($Q10="—",$Q10="")),1,0)</f>
        <v>0</v>
      </c>
      <c r="Z10" s="183" t="n">
        <f aca="false">IF(AND($O10="Active",$L10="利害關係方",OR($R10="—",$R10="")),1,0)</f>
        <v>1</v>
      </c>
      <c r="AH10" s="34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35" t="s">
        <v>2187</v>
      </c>
      <c r="B11" s="6" t="s">
        <v>5919</v>
      </c>
      <c r="C11" s="211" t="n">
        <v>13.07</v>
      </c>
      <c r="D11" s="209"/>
      <c r="E11" s="209"/>
      <c r="F11" s="35" t="s">
        <v>830</v>
      </c>
      <c r="G11" s="209" t="s">
        <v>5906</v>
      </c>
      <c r="H11" s="35" t="s">
        <v>1161</v>
      </c>
      <c r="I11" s="35" t="s">
        <v>5202</v>
      </c>
      <c r="J11" s="6" t="s">
        <v>5907</v>
      </c>
      <c r="K11" s="209" t="n">
        <v>2</v>
      </c>
      <c r="L11" s="209" t="s">
        <v>4663</v>
      </c>
      <c r="M11" s="6" t="s">
        <v>5908</v>
      </c>
      <c r="N11" s="209" t="s">
        <v>4676</v>
      </c>
      <c r="O11" s="35" t="s">
        <v>4666</v>
      </c>
      <c r="P11" s="35" t="s">
        <v>571</v>
      </c>
      <c r="Q11" s="35" t="s">
        <v>5909</v>
      </c>
      <c r="R11" s="35" t="s">
        <v>571</v>
      </c>
      <c r="S11" s="35" t="s">
        <v>571</v>
      </c>
      <c r="T11" s="35" t="s">
        <v>571</v>
      </c>
      <c r="U11" s="35" t="s">
        <v>5910</v>
      </c>
      <c r="V11" s="6" t="s">
        <v>5920</v>
      </c>
      <c r="W11" s="6" t="s">
        <v>571</v>
      </c>
      <c r="X11" s="183" t="n">
        <f aca="false">IF($O11="Active",SUMPRODUCT(($AH$5:$AH$67=$AH11)*1),0)</f>
        <v>1</v>
      </c>
      <c r="Y11" s="183" t="n">
        <f aca="false">IF(AND($O11="Active",OR($Q11="—",$Q11="")),1,0)</f>
        <v>0</v>
      </c>
      <c r="Z11" s="183" t="n">
        <f aca="false">IF(AND($O11="Active",$L11="利害關係方",OR($R11="—",$R11="")),1,0)</f>
        <v>1</v>
      </c>
      <c r="AH11" s="34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35" t="s">
        <v>5921</v>
      </c>
      <c r="B12" s="6" t="s">
        <v>5922</v>
      </c>
      <c r="C12" s="211" t="n">
        <v>0.6</v>
      </c>
      <c r="D12" s="209"/>
      <c r="E12" s="209"/>
      <c r="F12" s="35" t="s">
        <v>63</v>
      </c>
      <c r="G12" s="35" t="s">
        <v>5923</v>
      </c>
      <c r="H12" s="35" t="s">
        <v>1161</v>
      </c>
      <c r="I12" s="35" t="s">
        <v>5924</v>
      </c>
      <c r="J12" s="6" t="s">
        <v>5907</v>
      </c>
      <c r="K12" s="209" t="n">
        <v>2</v>
      </c>
      <c r="L12" s="209" t="s">
        <v>4663</v>
      </c>
      <c r="M12" s="6" t="s">
        <v>5908</v>
      </c>
      <c r="N12" s="209" t="s">
        <v>4676</v>
      </c>
      <c r="O12" s="35" t="s">
        <v>4666</v>
      </c>
      <c r="P12" s="35" t="s">
        <v>571</v>
      </c>
      <c r="Q12" s="35" t="s">
        <v>5909</v>
      </c>
      <c r="R12" s="35" t="s">
        <v>571</v>
      </c>
      <c r="S12" s="35" t="s">
        <v>571</v>
      </c>
      <c r="T12" s="35" t="s">
        <v>571</v>
      </c>
      <c r="U12" s="35" t="s">
        <v>5910</v>
      </c>
      <c r="V12" s="6" t="s">
        <v>5920</v>
      </c>
      <c r="W12" s="6" t="s">
        <v>571</v>
      </c>
      <c r="X12" s="183" t="n">
        <f aca="false">IF($O12="Active",SUMPRODUCT(($AH$5:$AH$67=$AH12)*1),0)</f>
        <v>1</v>
      </c>
      <c r="Y12" s="183" t="n">
        <f aca="false">IF(AND($O12="Active",OR($Q12="—",$Q12="")),1,0)</f>
        <v>0</v>
      </c>
      <c r="Z12" s="183" t="n">
        <f aca="false">IF(AND($O12="Active",$L12="利害關係方",OR($R12="—",$R12="")),1,0)</f>
        <v>1</v>
      </c>
      <c r="AH12" s="34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35" t="s">
        <v>5925</v>
      </c>
      <c r="B13" s="6" t="s">
        <v>5926</v>
      </c>
      <c r="C13" s="211" t="n">
        <v>1.9</v>
      </c>
      <c r="D13" s="209"/>
      <c r="E13" s="209"/>
      <c r="F13" s="35" t="s">
        <v>63</v>
      </c>
      <c r="G13" s="209" t="s">
        <v>5927</v>
      </c>
      <c r="H13" s="35" t="s">
        <v>1161</v>
      </c>
      <c r="I13" s="35" t="s">
        <v>5202</v>
      </c>
      <c r="J13" s="6" t="s">
        <v>5907</v>
      </c>
      <c r="K13" s="209" t="n">
        <v>2</v>
      </c>
      <c r="L13" s="209" t="s">
        <v>4663</v>
      </c>
      <c r="M13" s="6" t="s">
        <v>5908</v>
      </c>
      <c r="N13" s="209" t="s">
        <v>4676</v>
      </c>
      <c r="O13" s="35" t="s">
        <v>4666</v>
      </c>
      <c r="P13" s="35" t="s">
        <v>571</v>
      </c>
      <c r="Q13" s="35" t="s">
        <v>5909</v>
      </c>
      <c r="R13" s="35" t="s">
        <v>571</v>
      </c>
      <c r="S13" s="35" t="s">
        <v>571</v>
      </c>
      <c r="T13" s="35" t="s">
        <v>571</v>
      </c>
      <c r="U13" s="35" t="s">
        <v>5910</v>
      </c>
      <c r="V13" s="6" t="s">
        <v>5920</v>
      </c>
      <c r="W13" s="6" t="s">
        <v>571</v>
      </c>
      <c r="X13" s="183" t="n">
        <f aca="false">IF($O13="Active",SUMPRODUCT(($AH$5:$AH$67=$AH13)*1),0)</f>
        <v>1</v>
      </c>
      <c r="Y13" s="183" t="n">
        <f aca="false">IF(AND($O13="Active",OR($Q13="—",$Q13="")),1,0)</f>
        <v>0</v>
      </c>
      <c r="Z13" s="183" t="n">
        <f aca="false">IF(AND($O13="Active",$L13="利害關係方",OR($R13="—",$R13="")),1,0)</f>
        <v>1</v>
      </c>
      <c r="AH13" s="34" t="str">
        <f aca="false">IF($O13="Active",$B13&amp;"¦"&amp;$G13&amp;"¦"&amp;$H13,"")</f>
        <v>OpenAI 算力規模 2025 年底¦約值；口徑未明¦OpenAI</v>
      </c>
    </row>
    <row r="14" customFormat="false" ht="26.25" hidden="false" customHeight="true" outlineLevel="0" collapsed="false">
      <c r="A14" s="35" t="s">
        <v>4264</v>
      </c>
      <c r="B14" s="6" t="s">
        <v>5928</v>
      </c>
      <c r="C14" s="211" t="n">
        <v>6</v>
      </c>
      <c r="D14" s="209"/>
      <c r="E14" s="209"/>
      <c r="F14" s="35" t="s">
        <v>5929</v>
      </c>
      <c r="G14" s="209" t="s">
        <v>5930</v>
      </c>
      <c r="H14" s="35" t="s">
        <v>1161</v>
      </c>
      <c r="I14" s="35" t="s">
        <v>5931</v>
      </c>
      <c r="J14" s="6" t="s">
        <v>5932</v>
      </c>
      <c r="K14" s="209" t="n">
        <v>2</v>
      </c>
      <c r="L14" s="209" t="s">
        <v>4663</v>
      </c>
      <c r="M14" s="6" t="s">
        <v>5933</v>
      </c>
      <c r="N14" s="209" t="s">
        <v>4676</v>
      </c>
      <c r="O14" s="35" t="s">
        <v>4666</v>
      </c>
      <c r="P14" s="35" t="s">
        <v>571</v>
      </c>
      <c r="Q14" s="35" t="s">
        <v>5934</v>
      </c>
      <c r="R14" s="35" t="s">
        <v>571</v>
      </c>
      <c r="S14" s="35" t="s">
        <v>571</v>
      </c>
      <c r="T14" s="35" t="s">
        <v>571</v>
      </c>
      <c r="U14" s="35" t="s">
        <v>5935</v>
      </c>
      <c r="V14" s="6" t="s">
        <v>5936</v>
      </c>
      <c r="W14" s="6" t="s">
        <v>5937</v>
      </c>
      <c r="X14" s="183" t="n">
        <f aca="false">IF($O14="Active",SUMPRODUCT(($AH$5:$AH$67=$AH14)*1),0)</f>
        <v>1</v>
      </c>
      <c r="Y14" s="183" t="n">
        <f aca="false">IF(AND($O14="Active",OR($Q14="—",$Q14="")),1,0)</f>
        <v>0</v>
      </c>
      <c r="Z14" s="183" t="n">
        <f aca="false">IF(AND($O14="Active",$L14="利害關係方",OR($R14="—",$R14="")),1,0)</f>
        <v>1</v>
      </c>
      <c r="AH14" s="34" t="str">
        <f aca="false">IF($O14="Active",$B14&amp;"¦"&amp;$G14&amp;"¦"&amp;$H14,"")</f>
        <v>OpenAI API 處理量¦時點值；API 全部¦OpenAI</v>
      </c>
    </row>
    <row r="15" customFormat="false" ht="39" hidden="false" customHeight="true" outlineLevel="0" collapsed="false">
      <c r="A15" s="35" t="s">
        <v>5938</v>
      </c>
      <c r="B15" s="6" t="s">
        <v>5928</v>
      </c>
      <c r="C15" s="211" t="n">
        <v>15</v>
      </c>
      <c r="D15" s="209"/>
      <c r="E15" s="209"/>
      <c r="F15" s="35" t="s">
        <v>5929</v>
      </c>
      <c r="G15" s="209" t="s">
        <v>5939</v>
      </c>
      <c r="H15" s="35" t="s">
        <v>1161</v>
      </c>
      <c r="I15" s="35" t="s">
        <v>5940</v>
      </c>
      <c r="J15" s="6" t="s">
        <v>5941</v>
      </c>
      <c r="K15" s="209" t="n">
        <v>1</v>
      </c>
      <c r="L15" s="209" t="s">
        <v>4663</v>
      </c>
      <c r="M15" s="6" t="s">
        <v>5942</v>
      </c>
      <c r="N15" s="209" t="s">
        <v>4665</v>
      </c>
      <c r="O15" s="35" t="s">
        <v>4666</v>
      </c>
      <c r="P15" s="35" t="s">
        <v>571</v>
      </c>
      <c r="Q15" s="35" t="s">
        <v>5943</v>
      </c>
      <c r="R15" s="35" t="s">
        <v>571</v>
      </c>
      <c r="S15" s="35" t="s">
        <v>4599</v>
      </c>
      <c r="T15" s="35" t="s">
        <v>571</v>
      </c>
      <c r="U15" s="35" t="s">
        <v>5935</v>
      </c>
      <c r="V15" s="18" t="s">
        <v>5944</v>
      </c>
      <c r="W15" s="6" t="s">
        <v>5945</v>
      </c>
      <c r="X15" s="183" t="n">
        <f aca="false">IF($O15="Active",SUMPRODUCT(($AH$5:$AH$67=$AH15)*1),0)</f>
        <v>1</v>
      </c>
      <c r="Y15" s="183" t="n">
        <f aca="false">IF(AND($O15="Active",OR($Q15="—",$Q15="")),1,0)</f>
        <v>0</v>
      </c>
      <c r="Z15" s="183" t="n">
        <f aca="false">IF(AND($O15="Active",$L15="利害關係方",OR($R15="—",$R15="")),1,0)</f>
        <v>1</v>
      </c>
      <c r="AH15" s="34" t="str">
        <f aca="false">IF($O15="Active",$B15&amp;"¦"&amp;$G15&amp;"¦"&amp;$H15,"")</f>
        <v>OpenAI API 處理量¦時點值；「超過」；API 全部¦OpenAI</v>
      </c>
    </row>
    <row r="16" customFormat="false" ht="26.25" hidden="false" customHeight="true" outlineLevel="0" collapsed="false">
      <c r="A16" s="35" t="s">
        <v>4271</v>
      </c>
      <c r="B16" s="6" t="s">
        <v>5946</v>
      </c>
      <c r="C16" s="211" t="n">
        <v>2.5</v>
      </c>
      <c r="D16" s="209"/>
      <c r="E16" s="209"/>
      <c r="F16" s="35" t="s">
        <v>5947</v>
      </c>
      <c r="G16" s="209" t="s">
        <v>5948</v>
      </c>
      <c r="H16" s="35" t="s">
        <v>1161</v>
      </c>
      <c r="I16" s="35" t="s">
        <v>5949</v>
      </c>
      <c r="J16" s="6" t="s">
        <v>5950</v>
      </c>
      <c r="K16" s="209" t="n">
        <v>2</v>
      </c>
      <c r="L16" s="209" t="s">
        <v>4663</v>
      </c>
      <c r="M16" s="6" t="s">
        <v>5933</v>
      </c>
      <c r="N16" s="209" t="s">
        <v>4676</v>
      </c>
      <c r="O16" s="35" t="s">
        <v>4666</v>
      </c>
      <c r="P16" s="35" t="s">
        <v>571</v>
      </c>
      <c r="Q16" s="35" t="s">
        <v>5951</v>
      </c>
      <c r="R16" s="35" t="s">
        <v>571</v>
      </c>
      <c r="S16" s="35" t="s">
        <v>571</v>
      </c>
      <c r="T16" s="35" t="s">
        <v>571</v>
      </c>
      <c r="U16" s="35" t="s">
        <v>5935</v>
      </c>
      <c r="V16" s="6" t="s">
        <v>5952</v>
      </c>
      <c r="W16" s="6" t="s">
        <v>5953</v>
      </c>
      <c r="X16" s="183" t="n">
        <f aca="false">IF($O16="Active",SUMPRODUCT(($AH$5:$AH$67=$AH16)*1),0)</f>
        <v>1</v>
      </c>
      <c r="Y16" s="183" t="n">
        <f aca="false">IF(AND($O16="Active",OR($Q16="—",$Q16="")),1,0)</f>
        <v>0</v>
      </c>
      <c r="Z16" s="183" t="n">
        <f aca="false">IF(AND($O16="Active",$L16="利害關係方",OR($R16="—",$R16="")),1,0)</f>
        <v>1</v>
      </c>
      <c r="AH16" s="34" t="str">
        <f aca="false">IF($O16="Active",$B16&amp;"¦"&amp;$G16&amp;"¦"&amp;$H16,"")</f>
        <v>ChatGPT 每日提示數¦全球；其中美國約 0.33B¦OpenAI</v>
      </c>
    </row>
    <row r="17" customFormat="false" ht="26.25" hidden="false" customHeight="true" outlineLevel="0" collapsed="false">
      <c r="A17" s="35" t="s">
        <v>2289</v>
      </c>
      <c r="B17" s="18" t="s">
        <v>5954</v>
      </c>
      <c r="C17" s="209"/>
      <c r="D17" s="211" t="n">
        <v>10</v>
      </c>
      <c r="E17" s="211" t="n">
        <v>100</v>
      </c>
      <c r="F17" s="35" t="s">
        <v>1715</v>
      </c>
      <c r="G17" s="209" t="s">
        <v>5955</v>
      </c>
      <c r="H17" s="35" t="s">
        <v>5956</v>
      </c>
      <c r="I17" s="35" t="s">
        <v>5202</v>
      </c>
      <c r="J17" s="6" t="s">
        <v>5957</v>
      </c>
      <c r="K17" s="209" t="n">
        <v>1</v>
      </c>
      <c r="L17" s="209" t="s">
        <v>4767</v>
      </c>
      <c r="M17" s="6" t="s">
        <v>5958</v>
      </c>
      <c r="N17" s="209" t="s">
        <v>4665</v>
      </c>
      <c r="O17" s="35" t="s">
        <v>4666</v>
      </c>
      <c r="P17" s="35" t="s">
        <v>571</v>
      </c>
      <c r="Q17" s="35" t="s">
        <v>5959</v>
      </c>
      <c r="R17" s="35" t="s">
        <v>571</v>
      </c>
      <c r="S17" s="35" t="s">
        <v>4599</v>
      </c>
      <c r="T17" s="35" t="s">
        <v>571</v>
      </c>
      <c r="U17" s="35" t="s">
        <v>5935</v>
      </c>
      <c r="V17" s="6" t="s">
        <v>5960</v>
      </c>
      <c r="W17" s="18" t="s">
        <v>5961</v>
      </c>
      <c r="X17" s="183" t="n">
        <f aca="false">IF($O17="Active",SUMPRODUCT(($AH$5:$AH$67=$AH17)*1),0)</f>
        <v>1</v>
      </c>
      <c r="Y17" s="183" t="n">
        <f aca="false">IF(AND($O17="Active",OR($Q17="—",$Q17="")),1,0)</f>
        <v>0</v>
      </c>
      <c r="Z17" s="183" t="n">
        <f aca="false">IF(AND($O17="Active",$L17="利害關係方",OR($R17="—",$R17="")),1,0)</f>
        <v>0</v>
      </c>
      <c r="AH17" s="34" t="str">
        <f aca="false">IF($O17="Active",$B17&amp;"¦"&amp;$G17&amp;"¦"&amp;$H17,"")</f>
        <v>前沿實驗室（OpenAI）每日 token¦由算力推估¦OpenAI（前沿實驗室）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</cols>
  <sheetData>
    <row r="1" customFormat="false" ht="17.15" hidden="false" customHeight="false" outlineLevel="0" collapsed="false">
      <c r="A1" s="49" t="s">
        <v>5962</v>
      </c>
    </row>
    <row r="2" customFormat="false" ht="15" hidden="false" customHeight="false" outlineLevel="0" collapsed="false">
      <c r="A2" s="50" t="s">
        <v>5963</v>
      </c>
    </row>
    <row r="4" customFormat="false" ht="15" hidden="false" customHeight="false" outlineLevel="0" collapsed="false">
      <c r="A4" s="52" t="s">
        <v>4639</v>
      </c>
      <c r="B4" s="51" t="s">
        <v>12</v>
      </c>
      <c r="C4" s="51" t="s">
        <v>5964</v>
      </c>
      <c r="D4" s="51" t="s">
        <v>558</v>
      </c>
      <c r="E4" s="51" t="s">
        <v>2562</v>
      </c>
    </row>
    <row r="5" customFormat="false" ht="15" hidden="false" customHeight="false" outlineLevel="0" collapsed="false">
      <c r="A5" s="85" t="str">
        <f aca="false">SRC_HW!$A5&amp;""</f>
        <v>SRC_HW_001</v>
      </c>
      <c r="B5" s="54" t="s">
        <v>5965</v>
      </c>
      <c r="C5" s="53" t="n">
        <v>5</v>
      </c>
      <c r="D5" s="85" t="str">
        <f aca="false">SRC_HW!$O5</f>
        <v>Active</v>
      </c>
      <c r="E5" s="85" t="n">
        <f aca="false">SRC_HW!$K5</f>
        <v>1</v>
      </c>
    </row>
    <row r="6" customFormat="false" ht="15" hidden="false" customHeight="false" outlineLevel="0" collapsed="false">
      <c r="A6" s="85" t="str">
        <f aca="false">SRC_HW!$A6&amp;""</f>
        <v>SRC_HW_002</v>
      </c>
      <c r="B6" s="54" t="s">
        <v>5965</v>
      </c>
      <c r="C6" s="53" t="n">
        <v>6</v>
      </c>
      <c r="D6" s="85" t="str">
        <f aca="false">SRC_HW!$O6</f>
        <v>Active</v>
      </c>
      <c r="E6" s="85" t="n">
        <f aca="false">SRC_HW!$K6</f>
        <v>3</v>
      </c>
    </row>
    <row r="7" customFormat="false" ht="15" hidden="false" customHeight="false" outlineLevel="0" collapsed="false">
      <c r="A7" s="85" t="str">
        <f aca="false">SRC_HW!$A7&amp;""</f>
        <v>SRC_HW_003</v>
      </c>
      <c r="B7" s="54" t="s">
        <v>5965</v>
      </c>
      <c r="C7" s="53" t="n">
        <v>7</v>
      </c>
      <c r="D7" s="85" t="str">
        <f aca="false">SRC_HW!$O7</f>
        <v>Active</v>
      </c>
      <c r="E7" s="85" t="n">
        <f aca="false">SRC_HW!$K7</f>
        <v>2</v>
      </c>
    </row>
    <row r="8" customFormat="false" ht="15" hidden="false" customHeight="false" outlineLevel="0" collapsed="false">
      <c r="A8" s="85" t="str">
        <f aca="false">SRC_HW!$A8&amp;""</f>
        <v>SRC_HW_004</v>
      </c>
      <c r="B8" s="54" t="s">
        <v>5965</v>
      </c>
      <c r="C8" s="53" t="n">
        <v>8</v>
      </c>
      <c r="D8" s="85" t="str">
        <f aca="false">SRC_HW!$O8</f>
        <v>Active</v>
      </c>
      <c r="E8" s="85" t="n">
        <f aca="false">SRC_HW!$K8</f>
        <v>1</v>
      </c>
    </row>
    <row r="9" customFormat="false" ht="15" hidden="false" customHeight="false" outlineLevel="0" collapsed="false">
      <c r="A9" s="85" t="str">
        <f aca="false">SRC_HW!$A9&amp;""</f>
        <v>SRC_HW_005</v>
      </c>
      <c r="B9" s="54" t="s">
        <v>5965</v>
      </c>
      <c r="C9" s="53" t="n">
        <v>9</v>
      </c>
      <c r="D9" s="85" t="str">
        <f aca="false">SRC_HW!$O9</f>
        <v>Active</v>
      </c>
      <c r="E9" s="85" t="n">
        <f aca="false">SRC_HW!$K9</f>
        <v>2</v>
      </c>
    </row>
    <row r="10" customFormat="false" ht="15" hidden="false" customHeight="false" outlineLevel="0" collapsed="false">
      <c r="A10" s="85" t="str">
        <f aca="false">SRC_HW!$A10&amp;""</f>
        <v>SRC_HW_006</v>
      </c>
      <c r="B10" s="54" t="s">
        <v>5965</v>
      </c>
      <c r="C10" s="53" t="n">
        <v>10</v>
      </c>
      <c r="D10" s="85" t="str">
        <f aca="false">SRC_HW!$O10</f>
        <v>Active</v>
      </c>
      <c r="E10" s="85" t="n">
        <f aca="false">SRC_HW!$K10</f>
        <v>2</v>
      </c>
    </row>
    <row r="11" customFormat="false" ht="15" hidden="false" customHeight="false" outlineLevel="0" collapsed="false">
      <c r="A11" s="85" t="str">
        <f aca="false">SRC_HW!$A11&amp;""</f>
        <v>SRC_HW_007</v>
      </c>
      <c r="B11" s="54" t="s">
        <v>5965</v>
      </c>
      <c r="C11" s="53" t="n">
        <v>11</v>
      </c>
      <c r="D11" s="85" t="str">
        <f aca="false">SRC_HW!$O11</f>
        <v>Active</v>
      </c>
      <c r="E11" s="85" t="n">
        <f aca="false">SRC_HW!$K11</f>
        <v>3</v>
      </c>
    </row>
    <row r="12" customFormat="false" ht="15" hidden="false" customHeight="false" outlineLevel="0" collapsed="false">
      <c r="A12" s="85" t="str">
        <f aca="false">SRC_HW!$A12&amp;""</f>
        <v>SRC_HW_008</v>
      </c>
      <c r="B12" s="54" t="s">
        <v>5965</v>
      </c>
      <c r="C12" s="53" t="n">
        <v>12</v>
      </c>
      <c r="D12" s="85" t="str">
        <f aca="false">SRC_HW!$O12</f>
        <v>Alt</v>
      </c>
      <c r="E12" s="85" t="n">
        <f aca="false">SRC_HW!$K12</f>
        <v>3</v>
      </c>
    </row>
    <row r="13" customFormat="false" ht="15" hidden="false" customHeight="false" outlineLevel="0" collapsed="false">
      <c r="A13" s="85" t="str">
        <f aca="false">SRC_HW!$A13&amp;""</f>
        <v>SRC_HW_009</v>
      </c>
      <c r="B13" s="54" t="s">
        <v>5965</v>
      </c>
      <c r="C13" s="53" t="n">
        <v>13</v>
      </c>
      <c r="D13" s="85" t="str">
        <f aca="false">SRC_HW!$O13</f>
        <v>Active</v>
      </c>
      <c r="E13" s="85" t="n">
        <f aca="false">SRC_HW!$K13</f>
        <v>3</v>
      </c>
    </row>
    <row r="14" customFormat="false" ht="15" hidden="false" customHeight="false" outlineLevel="0" collapsed="false">
      <c r="A14" s="85" t="str">
        <f aca="false">SRC_HW!$A14&amp;""</f>
        <v>SRC_HW_010</v>
      </c>
      <c r="B14" s="54" t="s">
        <v>5965</v>
      </c>
      <c r="C14" s="53" t="n">
        <v>14</v>
      </c>
      <c r="D14" s="85" t="str">
        <f aca="false">SRC_HW!$O14</f>
        <v>Active</v>
      </c>
      <c r="E14" s="85" t="n">
        <f aca="false">SRC_HW!$K14</f>
        <v>2</v>
      </c>
    </row>
    <row r="15" customFormat="false" ht="15" hidden="false" customHeight="false" outlineLevel="0" collapsed="false">
      <c r="A15" s="85" t="str">
        <f aca="false">SRC_HW!$A15&amp;""</f>
        <v>SRC_HW_011</v>
      </c>
      <c r="B15" s="54" t="s">
        <v>5965</v>
      </c>
      <c r="C15" s="53" t="n">
        <v>15</v>
      </c>
      <c r="D15" s="85" t="str">
        <f aca="false">SRC_HW!$O15</f>
        <v>Active</v>
      </c>
      <c r="E15" s="85" t="n">
        <f aca="false">SRC_HW!$K15</f>
        <v>1</v>
      </c>
    </row>
    <row r="16" customFormat="false" ht="15" hidden="false" customHeight="false" outlineLevel="0" collapsed="false">
      <c r="A16" s="85" t="str">
        <f aca="false">SRC_HW!$A16&amp;""</f>
        <v>SRC_HW_012</v>
      </c>
      <c r="B16" s="54" t="s">
        <v>5965</v>
      </c>
      <c r="C16" s="53" t="n">
        <v>16</v>
      </c>
      <c r="D16" s="85" t="str">
        <f aca="false">SRC_HW!$O16</f>
        <v>Active</v>
      </c>
      <c r="E16" s="85" t="n">
        <f aca="false">SRC_HW!$K16</f>
        <v>3</v>
      </c>
    </row>
    <row r="17" customFormat="false" ht="15" hidden="false" customHeight="false" outlineLevel="0" collapsed="false">
      <c r="A17" s="85" t="str">
        <f aca="false">SRC_HW!$A17&amp;""</f>
        <v>SRC_HW_013</v>
      </c>
      <c r="B17" s="54" t="s">
        <v>5965</v>
      </c>
      <c r="C17" s="53" t="n">
        <v>17</v>
      </c>
      <c r="D17" s="85" t="str">
        <f aca="false">SRC_HW!$O17</f>
        <v>Superseded</v>
      </c>
      <c r="E17" s="85" t="n">
        <f aca="false">SRC_HW!$K17</f>
        <v>3</v>
      </c>
    </row>
    <row r="18" customFormat="false" ht="15" hidden="false" customHeight="false" outlineLevel="0" collapsed="false">
      <c r="A18" s="85" t="str">
        <f aca="false">SRC_HW!$A18&amp;""</f>
        <v>SRC_HW_014</v>
      </c>
      <c r="B18" s="54" t="s">
        <v>5965</v>
      </c>
      <c r="C18" s="53" t="n">
        <v>18</v>
      </c>
      <c r="D18" s="85" t="str">
        <f aca="false">SRC_HW!$O18</f>
        <v>Active</v>
      </c>
      <c r="E18" s="85" t="n">
        <f aca="false">SRC_HW!$K18</f>
        <v>1</v>
      </c>
    </row>
    <row r="19" customFormat="false" ht="15" hidden="false" customHeight="false" outlineLevel="0" collapsed="false">
      <c r="A19" s="85" t="str">
        <f aca="false">SRC_HW!$A19&amp;""</f>
        <v>SRC_HW_015</v>
      </c>
      <c r="B19" s="54" t="s">
        <v>5965</v>
      </c>
      <c r="C19" s="53" t="n">
        <v>19</v>
      </c>
      <c r="D19" s="85" t="str">
        <f aca="false">SRC_HW!$O19</f>
        <v>Active</v>
      </c>
      <c r="E19" s="85" t="n">
        <f aca="false">SRC_HW!$K19</f>
        <v>2</v>
      </c>
    </row>
    <row r="20" customFormat="false" ht="15" hidden="false" customHeight="false" outlineLevel="0" collapsed="false">
      <c r="A20" s="85" t="str">
        <f aca="false">SRC_HW!$A20&amp;""</f>
        <v>SRC_HW_016</v>
      </c>
      <c r="B20" s="54" t="s">
        <v>5965</v>
      </c>
      <c r="C20" s="53" t="n">
        <v>20</v>
      </c>
      <c r="D20" s="85" t="str">
        <f aca="false">SRC_HW!$O20</f>
        <v>Alt</v>
      </c>
      <c r="E20" s="85" t="n">
        <f aca="false">SRC_HW!$K20</f>
        <v>3</v>
      </c>
    </row>
    <row r="21" customFormat="false" ht="15" hidden="false" customHeight="false" outlineLevel="0" collapsed="false">
      <c r="A21" s="85" t="str">
        <f aca="false">SRC_HW!$A21&amp;""</f>
        <v>SRC_HW_017</v>
      </c>
      <c r="B21" s="54" t="s">
        <v>5965</v>
      </c>
      <c r="C21" s="53" t="n">
        <v>21</v>
      </c>
      <c r="D21" s="85" t="str">
        <f aca="false">SRC_HW!$O21</f>
        <v>Alt</v>
      </c>
      <c r="E21" s="85" t="n">
        <f aca="false">SRC_HW!$K21</f>
        <v>3</v>
      </c>
    </row>
    <row r="22" customFormat="false" ht="15" hidden="false" customHeight="false" outlineLevel="0" collapsed="false">
      <c r="A22" s="85" t="str">
        <f aca="false">SRC_HW!$A22&amp;""</f>
        <v>SRC_HW_018</v>
      </c>
      <c r="B22" s="54" t="s">
        <v>5965</v>
      </c>
      <c r="C22" s="53" t="n">
        <v>22</v>
      </c>
      <c r="D22" s="85" t="str">
        <f aca="false">SRC_HW!$O22</f>
        <v>Alt</v>
      </c>
      <c r="E22" s="85" t="n">
        <f aca="false">SRC_HW!$K22</f>
        <v>3</v>
      </c>
    </row>
    <row r="23" customFormat="false" ht="15" hidden="false" customHeight="false" outlineLevel="0" collapsed="false">
      <c r="A23" s="85" t="str">
        <f aca="false">SRC_HW!$A23&amp;""</f>
        <v>SRC_HW_019</v>
      </c>
      <c r="B23" s="54" t="s">
        <v>5965</v>
      </c>
      <c r="C23" s="53" t="n">
        <v>23</v>
      </c>
      <c r="D23" s="85" t="str">
        <f aca="false">SRC_HW!$O23</f>
        <v>Active</v>
      </c>
      <c r="E23" s="85" t="n">
        <f aca="false">SRC_HW!$K23</f>
        <v>3</v>
      </c>
    </row>
    <row r="24" customFormat="false" ht="15" hidden="false" customHeight="false" outlineLevel="0" collapsed="false">
      <c r="A24" s="85" t="str">
        <f aca="false">SRC_HW!$A24&amp;""</f>
        <v>SRC_HW_020</v>
      </c>
      <c r="B24" s="54" t="s">
        <v>5965</v>
      </c>
      <c r="C24" s="53" t="n">
        <v>24</v>
      </c>
      <c r="D24" s="85" t="str">
        <f aca="false">SRC_HW!$O24</f>
        <v>Active</v>
      </c>
      <c r="E24" s="85" t="n">
        <f aca="false">SRC_HW!$K24</f>
        <v>3</v>
      </c>
    </row>
    <row r="25" customFormat="false" ht="15" hidden="false" customHeight="false" outlineLevel="0" collapsed="false">
      <c r="A25" s="85" t="str">
        <f aca="false">SRC_HW!$A25&amp;""</f>
        <v>SRC_HW_021</v>
      </c>
      <c r="B25" s="54" t="s">
        <v>5965</v>
      </c>
      <c r="C25" s="53" t="n">
        <v>25</v>
      </c>
      <c r="D25" s="85" t="str">
        <f aca="false">SRC_HW!$O25</f>
        <v>Active</v>
      </c>
      <c r="E25" s="85" t="n">
        <f aca="false">SRC_HW!$K25</f>
        <v>3</v>
      </c>
    </row>
    <row r="26" customFormat="false" ht="15" hidden="false" customHeight="false" outlineLevel="0" collapsed="false">
      <c r="A26" s="85" t="str">
        <f aca="false">SRC_HW!$A26&amp;""</f>
        <v>SRC_HW_022</v>
      </c>
      <c r="B26" s="54" t="s">
        <v>5965</v>
      </c>
      <c r="C26" s="53" t="n">
        <v>26</v>
      </c>
      <c r="D26" s="85" t="str">
        <f aca="false">SRC_HW!$O26</f>
        <v>Active</v>
      </c>
      <c r="E26" s="85" t="n">
        <f aca="false">SRC_HW!$K26</f>
        <v>1</v>
      </c>
    </row>
    <row r="27" customFormat="false" ht="15" hidden="false" customHeight="false" outlineLevel="0" collapsed="false">
      <c r="A27" s="85" t="str">
        <f aca="false">SRC_HW!$A27&amp;""</f>
        <v>SRC_HW_023</v>
      </c>
      <c r="B27" s="54" t="s">
        <v>5965</v>
      </c>
      <c r="C27" s="53" t="n">
        <v>27</v>
      </c>
      <c r="D27" s="85" t="str">
        <f aca="false">SRC_HW!$O27</f>
        <v>Active</v>
      </c>
      <c r="E27" s="85" t="n">
        <f aca="false">SRC_HW!$K27</f>
        <v>3</v>
      </c>
    </row>
    <row r="28" customFormat="false" ht="15" hidden="false" customHeight="false" outlineLevel="0" collapsed="false">
      <c r="A28" s="85" t="str">
        <f aca="false">SRC_HW!$A28&amp;""</f>
        <v>SRC_HW_024</v>
      </c>
      <c r="B28" s="54" t="s">
        <v>5965</v>
      </c>
      <c r="C28" s="53" t="n">
        <v>28</v>
      </c>
      <c r="D28" s="85" t="str">
        <f aca="false">SRC_HW!$O28</f>
        <v>Alt</v>
      </c>
      <c r="E28" s="85" t="n">
        <f aca="false">SRC_HW!$K28</f>
        <v>3</v>
      </c>
    </row>
    <row r="29" customFormat="false" ht="15" hidden="false" customHeight="false" outlineLevel="0" collapsed="false">
      <c r="A29" s="85" t="str">
        <f aca="false">SRC_HW!$A29&amp;""</f>
        <v>SRC_HW_025</v>
      </c>
      <c r="B29" s="54" t="s">
        <v>5965</v>
      </c>
      <c r="C29" s="53" t="n">
        <v>29</v>
      </c>
      <c r="D29" s="85" t="str">
        <f aca="false">SRC_HW!$O29</f>
        <v>Active</v>
      </c>
      <c r="E29" s="85" t="n">
        <f aca="false">SRC_HW!$K29</f>
        <v>1</v>
      </c>
    </row>
    <row r="30" customFormat="false" ht="15" hidden="false" customHeight="false" outlineLevel="0" collapsed="false">
      <c r="A30" s="85" t="str">
        <f aca="false">SRC_HW!$A30&amp;""</f>
        <v>SRC_HW_026</v>
      </c>
      <c r="B30" s="54" t="s">
        <v>5965</v>
      </c>
      <c r="C30" s="53" t="n">
        <v>30</v>
      </c>
      <c r="D30" s="85" t="str">
        <f aca="false">SRC_HW!$O30</f>
        <v>Active</v>
      </c>
      <c r="E30" s="85" t="n">
        <f aca="false">SRC_HW!$K30</f>
        <v>3</v>
      </c>
    </row>
    <row r="31" customFormat="false" ht="15" hidden="false" customHeight="false" outlineLevel="0" collapsed="false">
      <c r="A31" s="85" t="str">
        <f aca="false">SRC_HW!$A31&amp;""</f>
        <v>SRC_HW_027</v>
      </c>
      <c r="B31" s="54" t="s">
        <v>5965</v>
      </c>
      <c r="C31" s="53" t="n">
        <v>31</v>
      </c>
      <c r="D31" s="85" t="str">
        <f aca="false">SRC_HW!$O31</f>
        <v>Active</v>
      </c>
      <c r="E31" s="85" t="n">
        <f aca="false">SRC_HW!$K31</f>
        <v>1</v>
      </c>
    </row>
    <row r="32" customFormat="false" ht="15" hidden="false" customHeight="false" outlineLevel="0" collapsed="false">
      <c r="A32" s="85" t="str">
        <f aca="false">SRC_HW!$A32&amp;""</f>
        <v>SRC_HW_028</v>
      </c>
      <c r="B32" s="54" t="s">
        <v>5965</v>
      </c>
      <c r="C32" s="53" t="n">
        <v>32</v>
      </c>
      <c r="D32" s="85" t="str">
        <f aca="false">SRC_HW!$O32</f>
        <v>Active</v>
      </c>
      <c r="E32" s="85" t="n">
        <f aca="false">SRC_HW!$K32</f>
        <v>1</v>
      </c>
    </row>
    <row r="33" customFormat="false" ht="15" hidden="false" customHeight="false" outlineLevel="0" collapsed="false">
      <c r="A33" s="85" t="str">
        <f aca="false">SRC_HW!$A33&amp;""</f>
        <v>SRC_HW_029</v>
      </c>
      <c r="B33" s="54" t="s">
        <v>5965</v>
      </c>
      <c r="C33" s="53" t="n">
        <v>33</v>
      </c>
      <c r="D33" s="85" t="str">
        <f aca="false">SRC_HW!$O33</f>
        <v>Active</v>
      </c>
      <c r="E33" s="85" t="n">
        <f aca="false">SRC_HW!$K33</f>
        <v>3</v>
      </c>
    </row>
    <row r="34" customFormat="false" ht="15" hidden="false" customHeight="false" outlineLevel="0" collapsed="false">
      <c r="A34" s="85" t="str">
        <f aca="false">SRC_HW!$A34&amp;""</f>
        <v>SRC_HW_030</v>
      </c>
      <c r="B34" s="54" t="s">
        <v>5965</v>
      </c>
      <c r="C34" s="53" t="n">
        <v>34</v>
      </c>
      <c r="D34" s="85" t="str">
        <f aca="false">SRC_HW!$O34</f>
        <v>Active</v>
      </c>
      <c r="E34" s="85" t="n">
        <f aca="false">SRC_HW!$K34</f>
        <v>3</v>
      </c>
    </row>
    <row r="35" customFormat="false" ht="15" hidden="false" customHeight="false" outlineLevel="0" collapsed="false">
      <c r="A35" s="85" t="str">
        <f aca="false">SRC_HW!$A35&amp;""</f>
        <v>SRC_HW_031</v>
      </c>
      <c r="B35" s="54" t="s">
        <v>5965</v>
      </c>
      <c r="C35" s="53" t="n">
        <v>35</v>
      </c>
      <c r="D35" s="85" t="str">
        <f aca="false">SRC_HW!$O35</f>
        <v>Active</v>
      </c>
      <c r="E35" s="85" t="n">
        <f aca="false">SRC_HW!$K35</f>
        <v>3</v>
      </c>
    </row>
    <row r="36" customFormat="false" ht="15" hidden="false" customHeight="false" outlineLevel="0" collapsed="false">
      <c r="A36" s="85" t="str">
        <f aca="false">SRC_HW!$A36&amp;""</f>
        <v>SRC_HW_032</v>
      </c>
      <c r="B36" s="54" t="s">
        <v>5965</v>
      </c>
      <c r="C36" s="53" t="n">
        <v>36</v>
      </c>
      <c r="D36" s="85" t="str">
        <f aca="false">SRC_HW!$O36</f>
        <v>Active</v>
      </c>
      <c r="E36" s="85" t="n">
        <f aca="false">SRC_HW!$K36</f>
        <v>3</v>
      </c>
    </row>
    <row r="37" customFormat="false" ht="15" hidden="false" customHeight="false" outlineLevel="0" collapsed="false">
      <c r="A37" s="85" t="str">
        <f aca="false">SRC_HW!$A37&amp;""</f>
        <v>SRC_HW_033</v>
      </c>
      <c r="B37" s="54" t="s">
        <v>5965</v>
      </c>
      <c r="C37" s="53" t="n">
        <v>37</v>
      </c>
      <c r="D37" s="85" t="str">
        <f aca="false">SRC_HW!$O37</f>
        <v>Active</v>
      </c>
      <c r="E37" s="85" t="n">
        <f aca="false">SRC_HW!$K37</f>
        <v>3</v>
      </c>
    </row>
    <row r="38" customFormat="false" ht="15" hidden="false" customHeight="false" outlineLevel="0" collapsed="false">
      <c r="A38" s="85" t="str">
        <f aca="false">SRC_HW!$A38&amp;""</f>
        <v>SRC_HW_034</v>
      </c>
      <c r="B38" s="54" t="s">
        <v>5965</v>
      </c>
      <c r="C38" s="53" t="n">
        <v>38</v>
      </c>
      <c r="D38" s="85" t="str">
        <f aca="false">SRC_HW!$O38</f>
        <v>Active</v>
      </c>
      <c r="E38" s="85" t="n">
        <f aca="false">SRC_HW!$K38</f>
        <v>3</v>
      </c>
    </row>
    <row r="39" customFormat="false" ht="15" hidden="false" customHeight="false" outlineLevel="0" collapsed="false">
      <c r="A39" s="85" t="str">
        <f aca="false">SRC_HW!$A39&amp;""</f>
        <v>SRC_HW_035</v>
      </c>
      <c r="B39" s="54" t="s">
        <v>5965</v>
      </c>
      <c r="C39" s="53" t="n">
        <v>39</v>
      </c>
      <c r="D39" s="85" t="str">
        <f aca="false">SRC_HW!$O39</f>
        <v>Active</v>
      </c>
      <c r="E39" s="85" t="n">
        <f aca="false">SRC_HW!$K39</f>
        <v>3</v>
      </c>
    </row>
    <row r="40" customFormat="false" ht="15" hidden="false" customHeight="false" outlineLevel="0" collapsed="false">
      <c r="A40" s="85" t="str">
        <f aca="false">SRC_HW!$A40&amp;""</f>
        <v>SRC_HW_036</v>
      </c>
      <c r="B40" s="54" t="s">
        <v>5965</v>
      </c>
      <c r="C40" s="53" t="n">
        <v>40</v>
      </c>
      <c r="D40" s="85" t="str">
        <f aca="false">SRC_HW!$O40</f>
        <v>Active</v>
      </c>
      <c r="E40" s="85" t="n">
        <f aca="false">SRC_HW!$K40</f>
        <v>2</v>
      </c>
    </row>
    <row r="41" customFormat="false" ht="15" hidden="false" customHeight="false" outlineLevel="0" collapsed="false">
      <c r="A41" s="85" t="str">
        <f aca="false">SRC_HW!$A41&amp;""</f>
        <v>SRC_HW_037</v>
      </c>
      <c r="B41" s="54" t="s">
        <v>5965</v>
      </c>
      <c r="C41" s="53" t="n">
        <v>41</v>
      </c>
      <c r="D41" s="85" t="str">
        <f aca="false">SRC_HW!$O41</f>
        <v>Active</v>
      </c>
      <c r="E41" s="85" t="n">
        <f aca="false">SRC_HW!$K41</f>
        <v>2</v>
      </c>
    </row>
    <row r="42" customFormat="false" ht="15" hidden="false" customHeight="false" outlineLevel="0" collapsed="false">
      <c r="A42" s="85" t="str">
        <f aca="false">SRC_HW!$A42&amp;""</f>
        <v>SRC_HW_038</v>
      </c>
      <c r="B42" s="54" t="s">
        <v>5965</v>
      </c>
      <c r="C42" s="53" t="n">
        <v>42</v>
      </c>
      <c r="D42" s="85" t="str">
        <f aca="false">SRC_HW!$O42</f>
        <v>Active</v>
      </c>
      <c r="E42" s="85" t="n">
        <f aca="false">SRC_HW!$K42</f>
        <v>2</v>
      </c>
    </row>
    <row r="43" customFormat="false" ht="15" hidden="false" customHeight="false" outlineLevel="0" collapsed="false">
      <c r="A43" s="85" t="str">
        <f aca="false">SRC_HW!$A43&amp;""</f>
        <v>SRC_HW_039</v>
      </c>
      <c r="B43" s="54" t="s">
        <v>5965</v>
      </c>
      <c r="C43" s="53" t="n">
        <v>43</v>
      </c>
      <c r="D43" s="85" t="str">
        <f aca="false">SRC_HW!$O43</f>
        <v>Active</v>
      </c>
      <c r="E43" s="85" t="n">
        <f aca="false">SRC_HW!$K43</f>
        <v>2</v>
      </c>
    </row>
    <row r="44" customFormat="false" ht="15" hidden="false" customHeight="false" outlineLevel="0" collapsed="false">
      <c r="A44" s="85" t="str">
        <f aca="false">SRC_HW!$A44&amp;""</f>
        <v>SRC_HW_040</v>
      </c>
      <c r="B44" s="54" t="s">
        <v>5965</v>
      </c>
      <c r="C44" s="53" t="n">
        <v>44</v>
      </c>
      <c r="D44" s="85" t="str">
        <f aca="false">SRC_HW!$O44</f>
        <v>Active</v>
      </c>
      <c r="E44" s="85" t="n">
        <f aca="false">SRC_HW!$K44</f>
        <v>1</v>
      </c>
    </row>
    <row r="45" customFormat="false" ht="15" hidden="false" customHeight="false" outlineLevel="0" collapsed="false">
      <c r="A45" s="85" t="str">
        <f aca="false">SRC_HW!$A45&amp;""</f>
        <v>SRC_HW_041</v>
      </c>
      <c r="B45" s="54" t="s">
        <v>5965</v>
      </c>
      <c r="C45" s="53" t="n">
        <v>45</v>
      </c>
      <c r="D45" s="85" t="str">
        <f aca="false">SRC_HW!$O45</f>
        <v>Active</v>
      </c>
      <c r="E45" s="85" t="n">
        <f aca="false">SRC_HW!$K45</f>
        <v>3</v>
      </c>
    </row>
    <row r="46" customFormat="false" ht="15" hidden="false" customHeight="false" outlineLevel="0" collapsed="false">
      <c r="A46" s="85" t="str">
        <f aca="false">SRC_HW!$A46&amp;""</f>
        <v>SRC_HW_042</v>
      </c>
      <c r="B46" s="54" t="s">
        <v>5965</v>
      </c>
      <c r="C46" s="53" t="n">
        <v>46</v>
      </c>
      <c r="D46" s="85" t="str">
        <f aca="false">SRC_HW!$O46</f>
        <v>Active</v>
      </c>
      <c r="E46" s="85" t="n">
        <f aca="false">SRC_HW!$K46</f>
        <v>3</v>
      </c>
    </row>
    <row r="47" customFormat="false" ht="15" hidden="false" customHeight="false" outlineLevel="0" collapsed="false">
      <c r="A47" s="85" t="str">
        <f aca="false">SRC_HW!$A47&amp;""</f>
        <v>SRC_HW_043</v>
      </c>
      <c r="B47" s="54" t="s">
        <v>5965</v>
      </c>
      <c r="C47" s="53" t="n">
        <v>47</v>
      </c>
      <c r="D47" s="85" t="str">
        <f aca="false">SRC_HW!$O47</f>
        <v>Active</v>
      </c>
      <c r="E47" s="85" t="n">
        <f aca="false">SRC_HW!$K47</f>
        <v>1</v>
      </c>
    </row>
    <row r="48" customFormat="false" ht="15" hidden="false" customHeight="false" outlineLevel="0" collapsed="false">
      <c r="A48" s="85" t="str">
        <f aca="false">SRC_HW!$A48&amp;""</f>
        <v>SRC_HW_044</v>
      </c>
      <c r="B48" s="54" t="s">
        <v>5965</v>
      </c>
      <c r="C48" s="53" t="n">
        <v>48</v>
      </c>
      <c r="D48" s="85" t="str">
        <f aca="false">SRC_HW!$O48</f>
        <v>Active</v>
      </c>
      <c r="E48" s="85" t="n">
        <f aca="false">SRC_HW!$K48</f>
        <v>3</v>
      </c>
    </row>
    <row r="49" customFormat="false" ht="15" hidden="false" customHeight="false" outlineLevel="0" collapsed="false">
      <c r="A49" s="85" t="str">
        <f aca="false">SRC_HW!$A49&amp;""</f>
        <v>SRC_HW_045</v>
      </c>
      <c r="B49" s="54" t="s">
        <v>5965</v>
      </c>
      <c r="C49" s="53" t="n">
        <v>49</v>
      </c>
      <c r="D49" s="85" t="str">
        <f aca="false">SRC_HW!$O49</f>
        <v>Superseded</v>
      </c>
      <c r="E49" s="85" t="n">
        <f aca="false">SRC_HW!$K49</f>
        <v>3</v>
      </c>
    </row>
    <row r="50" customFormat="false" ht="15" hidden="false" customHeight="false" outlineLevel="0" collapsed="false">
      <c r="A50" s="85" t="str">
        <f aca="false">SRC_HW!$A50&amp;""</f>
        <v>SRC_HW_046</v>
      </c>
      <c r="B50" s="54" t="s">
        <v>5965</v>
      </c>
      <c r="C50" s="53" t="n">
        <v>50</v>
      </c>
      <c r="D50" s="85" t="str">
        <f aca="false">SRC_HW!$O50</f>
        <v>Active</v>
      </c>
      <c r="E50" s="85" t="n">
        <f aca="false">SRC_HW!$K50</f>
        <v>3</v>
      </c>
    </row>
    <row r="51" customFormat="false" ht="15" hidden="false" customHeight="false" outlineLevel="0" collapsed="false">
      <c r="A51" s="85" t="str">
        <f aca="false">SRC_HW!$A51&amp;""</f>
        <v>SRC_HW_047</v>
      </c>
      <c r="B51" s="54" t="s">
        <v>5965</v>
      </c>
      <c r="C51" s="53" t="n">
        <v>51</v>
      </c>
      <c r="D51" s="85" t="str">
        <f aca="false">SRC_HW!$O51</f>
        <v>Active</v>
      </c>
      <c r="E51" s="85" t="n">
        <f aca="false">SRC_HW!$K51</f>
        <v>1</v>
      </c>
    </row>
    <row r="52" customFormat="false" ht="15" hidden="false" customHeight="false" outlineLevel="0" collapsed="false">
      <c r="A52" s="85" t="str">
        <f aca="false">SRC_HW!$A52&amp;""</f>
        <v>SRC_HW_048</v>
      </c>
      <c r="B52" s="54" t="s">
        <v>5965</v>
      </c>
      <c r="C52" s="53" t="n">
        <v>52</v>
      </c>
      <c r="D52" s="85" t="str">
        <f aca="false">SRC_HW!$O52</f>
        <v>Active</v>
      </c>
      <c r="E52" s="85" t="n">
        <f aca="false">SRC_HW!$K52</f>
        <v>3</v>
      </c>
    </row>
    <row r="53" customFormat="false" ht="15" hidden="false" customHeight="false" outlineLevel="0" collapsed="false">
      <c r="A53" s="85" t="str">
        <f aca="false">SRC_HW!$A53&amp;""</f>
        <v>SRC_HW_049</v>
      </c>
      <c r="B53" s="54" t="s">
        <v>5965</v>
      </c>
      <c r="C53" s="53" t="n">
        <v>53</v>
      </c>
      <c r="D53" s="85" t="str">
        <f aca="false">SRC_HW!$O53</f>
        <v>Active</v>
      </c>
      <c r="E53" s="85" t="n">
        <f aca="false">SRC_HW!$K53</f>
        <v>3</v>
      </c>
    </row>
    <row r="54" customFormat="false" ht="15" hidden="false" customHeight="false" outlineLevel="0" collapsed="false">
      <c r="A54" s="85" t="str">
        <f aca="false">SRC_HW!$A54&amp;""</f>
        <v>SRC_HW_050</v>
      </c>
      <c r="B54" s="54" t="s">
        <v>5965</v>
      </c>
      <c r="C54" s="53" t="n">
        <v>54</v>
      </c>
      <c r="D54" s="85" t="str">
        <f aca="false">SRC_HW!$O54</f>
        <v>Active</v>
      </c>
      <c r="E54" s="85" t="n">
        <f aca="false">SRC_HW!$K54</f>
        <v>3</v>
      </c>
    </row>
    <row r="55" customFormat="false" ht="15" hidden="false" customHeight="false" outlineLevel="0" collapsed="false">
      <c r="A55" s="85" t="str">
        <f aca="false">SRC_HW!$A55&amp;""</f>
        <v>SRC_HW_051</v>
      </c>
      <c r="B55" s="54" t="s">
        <v>5965</v>
      </c>
      <c r="C55" s="53" t="n">
        <v>55</v>
      </c>
      <c r="D55" s="85" t="str">
        <f aca="false">SRC_HW!$O55</f>
        <v>Active</v>
      </c>
      <c r="E55" s="85" t="n">
        <f aca="false">SRC_HW!$K55</f>
        <v>3</v>
      </c>
    </row>
    <row r="56" customFormat="false" ht="15" hidden="false" customHeight="false" outlineLevel="0" collapsed="false">
      <c r="A56" s="85" t="str">
        <f aca="false">SRC_HW!$A56&amp;""</f>
        <v>SRC_HW_052</v>
      </c>
      <c r="B56" s="54" t="s">
        <v>5965</v>
      </c>
      <c r="C56" s="53" t="n">
        <v>56</v>
      </c>
      <c r="D56" s="85" t="str">
        <f aca="false">SRC_HW!$O56</f>
        <v>Active</v>
      </c>
      <c r="E56" s="85" t="n">
        <f aca="false">SRC_HW!$K56</f>
        <v>3</v>
      </c>
    </row>
    <row r="57" customFormat="false" ht="15" hidden="false" customHeight="false" outlineLevel="0" collapsed="false">
      <c r="A57" s="85" t="str">
        <f aca="false">SRC_HW!$A57&amp;""</f>
        <v>SRC_HW_053</v>
      </c>
      <c r="B57" s="54" t="s">
        <v>5965</v>
      </c>
      <c r="C57" s="53" t="n">
        <v>57</v>
      </c>
      <c r="D57" s="85" t="str">
        <f aca="false">SRC_HW!$O57</f>
        <v>Active</v>
      </c>
      <c r="E57" s="85" t="n">
        <f aca="false">SRC_HW!$K57</f>
        <v>1</v>
      </c>
    </row>
    <row r="58" customFormat="false" ht="15" hidden="false" customHeight="false" outlineLevel="0" collapsed="false">
      <c r="A58" s="85" t="str">
        <f aca="false">SRC_HW!$A58&amp;""</f>
        <v>SRC_HW_054</v>
      </c>
      <c r="B58" s="54" t="s">
        <v>5965</v>
      </c>
      <c r="C58" s="53" t="n">
        <v>58</v>
      </c>
      <c r="D58" s="85" t="str">
        <f aca="false">SRC_HW!$O58</f>
        <v>Superseded</v>
      </c>
      <c r="E58" s="85" t="n">
        <f aca="false">SRC_HW!$K58</f>
        <v>3</v>
      </c>
    </row>
    <row r="59" customFormat="false" ht="15" hidden="false" customHeight="false" outlineLevel="0" collapsed="false">
      <c r="A59" s="85" t="str">
        <f aca="false">SRC_HW!$A59&amp;""</f>
        <v>SRC_HW_055</v>
      </c>
      <c r="B59" s="54" t="s">
        <v>5965</v>
      </c>
      <c r="C59" s="53" t="n">
        <v>59</v>
      </c>
      <c r="D59" s="85" t="str">
        <f aca="false">SRC_HW!$O59</f>
        <v>Active</v>
      </c>
      <c r="E59" s="85" t="n">
        <f aca="false">SRC_HW!$K59</f>
        <v>3</v>
      </c>
    </row>
    <row r="60" customFormat="false" ht="15" hidden="false" customHeight="false" outlineLevel="0" collapsed="false">
      <c r="A60" s="85" t="str">
        <f aca="false">SRC_HW!$A60&amp;""</f>
        <v>SRC_HW_056</v>
      </c>
      <c r="B60" s="54" t="s">
        <v>5965</v>
      </c>
      <c r="C60" s="53" t="n">
        <v>60</v>
      </c>
      <c r="D60" s="85" t="str">
        <f aca="false">SRC_HW!$O60</f>
        <v>Active</v>
      </c>
      <c r="E60" s="85" t="n">
        <f aca="false">SRC_HW!$K60</f>
        <v>3</v>
      </c>
    </row>
    <row r="61" customFormat="false" ht="15" hidden="false" customHeight="false" outlineLevel="0" collapsed="false">
      <c r="A61" s="85" t="str">
        <f aca="false">SRC_HW!$A61&amp;""</f>
        <v>SRC_HW_057</v>
      </c>
      <c r="B61" s="54" t="s">
        <v>5965</v>
      </c>
      <c r="C61" s="53" t="n">
        <v>61</v>
      </c>
      <c r="D61" s="85" t="str">
        <f aca="false">SRC_HW!$O61</f>
        <v>Active</v>
      </c>
      <c r="E61" s="85" t="n">
        <f aca="false">SRC_HW!$K61</f>
        <v>3</v>
      </c>
    </row>
    <row r="62" customFormat="false" ht="15" hidden="false" customHeight="false" outlineLevel="0" collapsed="false">
      <c r="A62" s="85" t="str">
        <f aca="false">SRC_HW!$A62&amp;""</f>
        <v>SRC_HW_058</v>
      </c>
      <c r="B62" s="54" t="s">
        <v>5965</v>
      </c>
      <c r="C62" s="53" t="n">
        <v>62</v>
      </c>
      <c r="D62" s="85" t="str">
        <f aca="false">SRC_HW!$O62</f>
        <v>Active</v>
      </c>
      <c r="E62" s="85" t="n">
        <f aca="false">SRC_HW!$K62</f>
        <v>3</v>
      </c>
    </row>
    <row r="63" customFormat="false" ht="15" hidden="false" customHeight="false" outlineLevel="0" collapsed="false">
      <c r="A63" s="85" t="str">
        <f aca="false">SRC_HW!$A63&amp;""</f>
        <v>SRC_HW_059</v>
      </c>
      <c r="B63" s="54" t="s">
        <v>5965</v>
      </c>
      <c r="C63" s="53" t="n">
        <v>63</v>
      </c>
      <c r="D63" s="85" t="str">
        <f aca="false">SRC_HW!$O63</f>
        <v>Active</v>
      </c>
      <c r="E63" s="85" t="n">
        <f aca="false">SRC_HW!$K63</f>
        <v>3</v>
      </c>
    </row>
    <row r="64" customFormat="false" ht="15" hidden="false" customHeight="false" outlineLevel="0" collapsed="false">
      <c r="A64" s="85" t="str">
        <f aca="false">SRC_HW!$A64&amp;""</f>
        <v>SRC_HW_060</v>
      </c>
      <c r="B64" s="54" t="s">
        <v>5965</v>
      </c>
      <c r="C64" s="53" t="n">
        <v>64</v>
      </c>
      <c r="D64" s="85" t="str">
        <f aca="false">SRC_HW!$O64</f>
        <v>Active</v>
      </c>
      <c r="E64" s="85" t="n">
        <f aca="false">SRC_HW!$K64</f>
        <v>3</v>
      </c>
    </row>
    <row r="65" customFormat="false" ht="15" hidden="false" customHeight="false" outlineLevel="0" collapsed="false">
      <c r="A65" s="85" t="str">
        <f aca="false">SRC_HW!$A65&amp;""</f>
        <v>SRC_HW_061</v>
      </c>
      <c r="B65" s="54" t="s">
        <v>5965</v>
      </c>
      <c r="C65" s="53" t="n">
        <v>65</v>
      </c>
      <c r="D65" s="85" t="str">
        <f aca="false">SRC_HW!$O65</f>
        <v>Active</v>
      </c>
      <c r="E65" s="85" t="n">
        <f aca="false">SRC_HW!$K65</f>
        <v>1</v>
      </c>
    </row>
    <row r="66" customFormat="false" ht="15" hidden="false" customHeight="false" outlineLevel="0" collapsed="false">
      <c r="A66" s="85" t="str">
        <f aca="false">SRC_HW!$A66&amp;""</f>
        <v>SRC_HW_062</v>
      </c>
      <c r="B66" s="54" t="s">
        <v>5965</v>
      </c>
      <c r="C66" s="53" t="n">
        <v>66</v>
      </c>
      <c r="D66" s="85" t="str">
        <f aca="false">SRC_HW!$O66</f>
        <v>Active</v>
      </c>
      <c r="E66" s="85" t="n">
        <f aca="false">SRC_HW!$K66</f>
        <v>1</v>
      </c>
    </row>
    <row r="67" customFormat="false" ht="15" hidden="false" customHeight="false" outlineLevel="0" collapsed="false">
      <c r="A67" s="85" t="str">
        <f aca="false">SRC_HW!$A67&amp;""</f>
        <v>SRC_HW_063</v>
      </c>
      <c r="B67" s="54" t="s">
        <v>5965</v>
      </c>
      <c r="C67" s="53" t="n">
        <v>67</v>
      </c>
      <c r="D67" s="85" t="str">
        <f aca="false">SRC_HW!$O67</f>
        <v>Active</v>
      </c>
      <c r="E67" s="85" t="n">
        <f aca="false">SRC_HW!$K67</f>
        <v>1</v>
      </c>
    </row>
    <row r="68" customFormat="false" ht="15" hidden="false" customHeight="false" outlineLevel="0" collapsed="false">
      <c r="A68" s="85" t="str">
        <f aca="false">SRC_HW!$A68&amp;""</f>
        <v>SRC_HW_064</v>
      </c>
      <c r="B68" s="54" t="s">
        <v>5965</v>
      </c>
      <c r="C68" s="53" t="n">
        <v>68</v>
      </c>
      <c r="D68" s="85" t="str">
        <f aca="false">SRC_HW!$O68</f>
        <v>Active</v>
      </c>
      <c r="E68" s="85" t="n">
        <f aca="false">SRC_HW!$K68</f>
        <v>1</v>
      </c>
    </row>
    <row r="69" customFormat="false" ht="15" hidden="false" customHeight="false" outlineLevel="0" collapsed="false">
      <c r="A69" s="85" t="str">
        <f aca="false">SRC_HW!$A69&amp;""</f>
        <v/>
      </c>
      <c r="B69" s="54" t="s">
        <v>5965</v>
      </c>
      <c r="C69" s="53" t="n">
        <v>69</v>
      </c>
      <c r="D69" s="85" t="n">
        <f aca="false">SRC_HW!$O69</f>
        <v>0</v>
      </c>
      <c r="E69" s="85" t="n">
        <f aca="false">SRC_HW!$K69</f>
        <v>0</v>
      </c>
    </row>
    <row r="70" customFormat="false" ht="15" hidden="false" customHeight="false" outlineLevel="0" collapsed="false">
      <c r="A70" s="85" t="str">
        <f aca="false">SRC_HW!$A70&amp;""</f>
        <v/>
      </c>
      <c r="B70" s="54" t="s">
        <v>5965</v>
      </c>
      <c r="C70" s="53" t="n">
        <v>70</v>
      </c>
      <c r="D70" s="85" t="n">
        <f aca="false">SRC_HW!$O70</f>
        <v>0</v>
      </c>
      <c r="E70" s="85" t="n">
        <f aca="false">SRC_HW!$K70</f>
        <v>0</v>
      </c>
    </row>
    <row r="71" customFormat="false" ht="15" hidden="false" customHeight="false" outlineLevel="0" collapsed="false">
      <c r="A71" s="85" t="str">
        <f aca="false">SRC_HW!$A71&amp;""</f>
        <v/>
      </c>
      <c r="B71" s="54" t="s">
        <v>5965</v>
      </c>
      <c r="C71" s="53" t="n">
        <v>71</v>
      </c>
      <c r="D71" s="85" t="n">
        <f aca="false">SRC_HW!$O71</f>
        <v>0</v>
      </c>
      <c r="E71" s="85" t="n">
        <f aca="false">SRC_HW!$K71</f>
        <v>0</v>
      </c>
    </row>
    <row r="72" customFormat="false" ht="15" hidden="false" customHeight="false" outlineLevel="0" collapsed="false">
      <c r="A72" s="85" t="str">
        <f aca="false">SRC_HW!$A72&amp;""</f>
        <v/>
      </c>
      <c r="B72" s="54" t="s">
        <v>5965</v>
      </c>
      <c r="C72" s="53" t="n">
        <v>72</v>
      </c>
      <c r="D72" s="85" t="n">
        <f aca="false">SRC_HW!$O72</f>
        <v>0</v>
      </c>
      <c r="E72" s="85" t="n">
        <f aca="false">SRC_HW!$K72</f>
        <v>0</v>
      </c>
    </row>
    <row r="73" customFormat="false" ht="15" hidden="false" customHeight="false" outlineLevel="0" collapsed="false">
      <c r="A73" s="85" t="str">
        <f aca="false">SRC_HW!$A73&amp;""</f>
        <v/>
      </c>
      <c r="B73" s="54" t="s">
        <v>5965</v>
      </c>
      <c r="C73" s="53" t="n">
        <v>73</v>
      </c>
      <c r="D73" s="85" t="n">
        <f aca="false">SRC_HW!$O73</f>
        <v>0</v>
      </c>
      <c r="E73" s="85" t="n">
        <f aca="false">SRC_HW!$K73</f>
        <v>0</v>
      </c>
    </row>
    <row r="74" customFormat="false" ht="15" hidden="false" customHeight="false" outlineLevel="0" collapsed="false">
      <c r="A74" s="85" t="str">
        <f aca="false">SRC_HW!$A74&amp;""</f>
        <v/>
      </c>
      <c r="B74" s="54" t="s">
        <v>5965</v>
      </c>
      <c r="C74" s="53" t="n">
        <v>74</v>
      </c>
      <c r="D74" s="85" t="n">
        <f aca="false">SRC_HW!$O74</f>
        <v>0</v>
      </c>
      <c r="E74" s="85" t="n">
        <f aca="false">SRC_HW!$K74</f>
        <v>0</v>
      </c>
    </row>
    <row r="75" customFormat="false" ht="15" hidden="false" customHeight="false" outlineLevel="0" collapsed="false">
      <c r="A75" s="85" t="str">
        <f aca="false">SRC_HW!$A75&amp;""</f>
        <v/>
      </c>
      <c r="B75" s="54" t="s">
        <v>5965</v>
      </c>
      <c r="C75" s="53" t="n">
        <v>75</v>
      </c>
      <c r="D75" s="85" t="n">
        <f aca="false">SRC_HW!$O75</f>
        <v>0</v>
      </c>
      <c r="E75" s="85" t="n">
        <f aca="false">SRC_HW!$K75</f>
        <v>0</v>
      </c>
    </row>
    <row r="76" customFormat="false" ht="15" hidden="false" customHeight="false" outlineLevel="0" collapsed="false">
      <c r="A76" s="85" t="str">
        <f aca="false">SRC_HW!$A76&amp;""</f>
        <v/>
      </c>
      <c r="B76" s="54" t="s">
        <v>5965</v>
      </c>
      <c r="C76" s="53" t="n">
        <v>76</v>
      </c>
      <c r="D76" s="85" t="n">
        <f aca="false">SRC_HW!$O76</f>
        <v>0</v>
      </c>
      <c r="E76" s="85" t="n">
        <f aca="false">SRC_HW!$K76</f>
        <v>0</v>
      </c>
    </row>
    <row r="77" customFormat="false" ht="15" hidden="false" customHeight="false" outlineLevel="0" collapsed="false">
      <c r="A77" s="85" t="str">
        <f aca="false">SRC_HW!$A77&amp;""</f>
        <v/>
      </c>
      <c r="B77" s="54" t="s">
        <v>5965</v>
      </c>
      <c r="C77" s="53" t="n">
        <v>77</v>
      </c>
      <c r="D77" s="85" t="n">
        <f aca="false">SRC_HW!$O77</f>
        <v>0</v>
      </c>
      <c r="E77" s="85" t="n">
        <f aca="false">SRC_HW!$K77</f>
        <v>0</v>
      </c>
    </row>
    <row r="78" customFormat="false" ht="15" hidden="false" customHeight="false" outlineLevel="0" collapsed="false">
      <c r="A78" s="85" t="str">
        <f aca="false">SRC_HW!$A78&amp;""</f>
        <v/>
      </c>
      <c r="B78" s="54" t="s">
        <v>5965</v>
      </c>
      <c r="C78" s="53" t="n">
        <v>78</v>
      </c>
      <c r="D78" s="85" t="n">
        <f aca="false">SRC_HW!$O78</f>
        <v>0</v>
      </c>
      <c r="E78" s="85" t="n">
        <f aca="false">SRC_HW!$K78</f>
        <v>0</v>
      </c>
    </row>
    <row r="79" customFormat="false" ht="15" hidden="false" customHeight="false" outlineLevel="0" collapsed="false">
      <c r="A79" s="85" t="str">
        <f aca="false">SRC_HW!$A79&amp;""</f>
        <v/>
      </c>
      <c r="B79" s="54" t="s">
        <v>5965</v>
      </c>
      <c r="C79" s="53" t="n">
        <v>79</v>
      </c>
      <c r="D79" s="85" t="n">
        <f aca="false">SRC_HW!$O79</f>
        <v>0</v>
      </c>
      <c r="E79" s="85" t="n">
        <f aca="false">SRC_HW!$K79</f>
        <v>0</v>
      </c>
    </row>
    <row r="80" customFormat="false" ht="15" hidden="false" customHeight="false" outlineLevel="0" collapsed="false">
      <c r="A80" s="85" t="str">
        <f aca="false">SRC_HW!$A80&amp;""</f>
        <v/>
      </c>
      <c r="B80" s="54" t="s">
        <v>5965</v>
      </c>
      <c r="C80" s="53" t="n">
        <v>80</v>
      </c>
      <c r="D80" s="85" t="n">
        <f aca="false">SRC_HW!$O80</f>
        <v>0</v>
      </c>
      <c r="E80" s="85" t="n">
        <f aca="false">SRC_HW!$K80</f>
        <v>0</v>
      </c>
    </row>
    <row r="81" customFormat="false" ht="15" hidden="false" customHeight="false" outlineLevel="0" collapsed="false">
      <c r="A81" s="85" t="str">
        <f aca="false">SRC_HW!$A81&amp;""</f>
        <v/>
      </c>
      <c r="B81" s="54" t="s">
        <v>5965</v>
      </c>
      <c r="C81" s="53" t="n">
        <v>81</v>
      </c>
      <c r="D81" s="85" t="n">
        <f aca="false">SRC_HW!$O81</f>
        <v>0</v>
      </c>
      <c r="E81" s="85" t="n">
        <f aca="false">SRC_HW!$K81</f>
        <v>0</v>
      </c>
    </row>
    <row r="82" customFormat="false" ht="15" hidden="false" customHeight="false" outlineLevel="0" collapsed="false">
      <c r="A82" s="85" t="str">
        <f aca="false">SRC_HW!$A82&amp;""</f>
        <v/>
      </c>
      <c r="B82" s="54" t="s">
        <v>5965</v>
      </c>
      <c r="C82" s="53" t="n">
        <v>82</v>
      </c>
      <c r="D82" s="85" t="n">
        <f aca="false">SRC_HW!$O82</f>
        <v>0</v>
      </c>
      <c r="E82" s="85" t="n">
        <f aca="false">SRC_HW!$K82</f>
        <v>0</v>
      </c>
    </row>
    <row r="83" customFormat="false" ht="15" hidden="false" customHeight="false" outlineLevel="0" collapsed="false">
      <c r="A83" s="85" t="str">
        <f aca="false">SRC_HW!$A83&amp;""</f>
        <v/>
      </c>
      <c r="B83" s="54" t="s">
        <v>5965</v>
      </c>
      <c r="C83" s="53" t="n">
        <v>83</v>
      </c>
      <c r="D83" s="85" t="n">
        <f aca="false">SRC_HW!$O83</f>
        <v>0</v>
      </c>
      <c r="E83" s="85" t="n">
        <f aca="false">SRC_HW!$K83</f>
        <v>0</v>
      </c>
    </row>
    <row r="84" customFormat="false" ht="15" hidden="false" customHeight="false" outlineLevel="0" collapsed="false">
      <c r="A84" s="85" t="str">
        <f aca="false">SRC_HW!$A84&amp;""</f>
        <v/>
      </c>
      <c r="B84" s="54" t="s">
        <v>5965</v>
      </c>
      <c r="C84" s="53" t="n">
        <v>84</v>
      </c>
      <c r="D84" s="85" t="n">
        <f aca="false">SRC_HW!$O84</f>
        <v>0</v>
      </c>
      <c r="E84" s="85" t="n">
        <f aca="false">SRC_HW!$K84</f>
        <v>0</v>
      </c>
    </row>
    <row r="85" customFormat="false" ht="15" hidden="false" customHeight="false" outlineLevel="0" collapsed="false">
      <c r="A85" s="85" t="str">
        <f aca="false">SRC_HW!$A85&amp;""</f>
        <v/>
      </c>
      <c r="B85" s="54" t="s">
        <v>5965</v>
      </c>
      <c r="C85" s="53" t="n">
        <v>85</v>
      </c>
      <c r="D85" s="85" t="n">
        <f aca="false">SRC_HW!$O85</f>
        <v>0</v>
      </c>
      <c r="E85" s="85" t="n">
        <f aca="false">SRC_HW!$K85</f>
        <v>0</v>
      </c>
    </row>
    <row r="86" customFormat="false" ht="15" hidden="false" customHeight="false" outlineLevel="0" collapsed="false">
      <c r="A86" s="85" t="str">
        <f aca="false">SRC_HW!$A86&amp;""</f>
        <v/>
      </c>
      <c r="B86" s="54" t="s">
        <v>5965</v>
      </c>
      <c r="C86" s="53" t="n">
        <v>86</v>
      </c>
      <c r="D86" s="85" t="n">
        <f aca="false">SRC_HW!$O86</f>
        <v>0</v>
      </c>
      <c r="E86" s="85" t="n">
        <f aca="false">SRC_HW!$K86</f>
        <v>0</v>
      </c>
    </row>
    <row r="87" customFormat="false" ht="15" hidden="false" customHeight="false" outlineLevel="0" collapsed="false">
      <c r="A87" s="85" t="str">
        <f aca="false">SRC_HW!$A87&amp;""</f>
        <v/>
      </c>
      <c r="B87" s="54" t="s">
        <v>5965</v>
      </c>
      <c r="C87" s="53" t="n">
        <v>87</v>
      </c>
      <c r="D87" s="85" t="n">
        <f aca="false">SRC_HW!$O87</f>
        <v>0</v>
      </c>
      <c r="E87" s="85" t="n">
        <f aca="false">SRC_HW!$K87</f>
        <v>0</v>
      </c>
    </row>
    <row r="88" customFormat="false" ht="15" hidden="false" customHeight="false" outlineLevel="0" collapsed="false">
      <c r="A88" s="85" t="str">
        <f aca="false">SRC_HW!$A88&amp;""</f>
        <v/>
      </c>
      <c r="B88" s="54" t="s">
        <v>5965</v>
      </c>
      <c r="C88" s="53" t="n">
        <v>88</v>
      </c>
      <c r="D88" s="85" t="n">
        <f aca="false">SRC_HW!$O88</f>
        <v>0</v>
      </c>
      <c r="E88" s="85" t="n">
        <f aca="false">SRC_HW!$K88</f>
        <v>0</v>
      </c>
    </row>
    <row r="89" customFormat="false" ht="15" hidden="false" customHeight="false" outlineLevel="0" collapsed="false">
      <c r="A89" s="85" t="str">
        <f aca="false">SRC_HW!$A89&amp;""</f>
        <v/>
      </c>
      <c r="B89" s="54" t="s">
        <v>5965</v>
      </c>
      <c r="C89" s="53" t="n">
        <v>89</v>
      </c>
      <c r="D89" s="85" t="n">
        <f aca="false">SRC_HW!$O89</f>
        <v>0</v>
      </c>
      <c r="E89" s="85" t="n">
        <f aca="false">SRC_HW!$K89</f>
        <v>0</v>
      </c>
    </row>
    <row r="90" customFormat="false" ht="15" hidden="false" customHeight="false" outlineLevel="0" collapsed="false">
      <c r="A90" s="85" t="str">
        <f aca="false">SRC_HW!$A90&amp;""</f>
        <v/>
      </c>
      <c r="B90" s="54" t="s">
        <v>5965</v>
      </c>
      <c r="C90" s="53" t="n">
        <v>90</v>
      </c>
      <c r="D90" s="85" t="n">
        <f aca="false">SRC_HW!$O90</f>
        <v>0</v>
      </c>
      <c r="E90" s="85" t="n">
        <f aca="false">SRC_HW!$K90</f>
        <v>0</v>
      </c>
    </row>
    <row r="91" customFormat="false" ht="15" hidden="false" customHeight="false" outlineLevel="0" collapsed="false">
      <c r="A91" s="85" t="str">
        <f aca="false">SRC_HW!$A91&amp;""</f>
        <v/>
      </c>
      <c r="B91" s="54" t="s">
        <v>5965</v>
      </c>
      <c r="C91" s="53" t="n">
        <v>91</v>
      </c>
      <c r="D91" s="85" t="n">
        <f aca="false">SRC_HW!$O91</f>
        <v>0</v>
      </c>
      <c r="E91" s="85" t="n">
        <f aca="false">SRC_HW!$K91</f>
        <v>0</v>
      </c>
    </row>
    <row r="92" customFormat="false" ht="15" hidden="false" customHeight="false" outlineLevel="0" collapsed="false">
      <c r="A92" s="85" t="str">
        <f aca="false">SRC_HW!$A92&amp;""</f>
        <v/>
      </c>
      <c r="B92" s="54" t="s">
        <v>5965</v>
      </c>
      <c r="C92" s="53" t="n">
        <v>92</v>
      </c>
      <c r="D92" s="85" t="n">
        <f aca="false">SRC_HW!$O92</f>
        <v>0</v>
      </c>
      <c r="E92" s="85" t="n">
        <f aca="false">SRC_HW!$K92</f>
        <v>0</v>
      </c>
    </row>
    <row r="93" customFormat="false" ht="15" hidden="false" customHeight="false" outlineLevel="0" collapsed="false">
      <c r="A93" s="85" t="str">
        <f aca="false">SRC_HW!$A93&amp;""</f>
        <v/>
      </c>
      <c r="B93" s="54" t="s">
        <v>5965</v>
      </c>
      <c r="C93" s="53" t="n">
        <v>93</v>
      </c>
      <c r="D93" s="85" t="n">
        <f aca="false">SRC_HW!$O93</f>
        <v>0</v>
      </c>
      <c r="E93" s="85" t="n">
        <f aca="false">SRC_HW!$K93</f>
        <v>0</v>
      </c>
    </row>
    <row r="94" customFormat="false" ht="15" hidden="false" customHeight="false" outlineLevel="0" collapsed="false">
      <c r="A94" s="85" t="str">
        <f aca="false">SRC_HW!$A94&amp;""</f>
        <v/>
      </c>
      <c r="B94" s="54" t="s">
        <v>5965</v>
      </c>
      <c r="C94" s="53" t="n">
        <v>94</v>
      </c>
      <c r="D94" s="85" t="n">
        <f aca="false">SRC_HW!$O94</f>
        <v>0</v>
      </c>
      <c r="E94" s="85" t="n">
        <f aca="false">SRC_HW!$K94</f>
        <v>0</v>
      </c>
    </row>
    <row r="95" customFormat="false" ht="15" hidden="false" customHeight="false" outlineLevel="0" collapsed="false">
      <c r="A95" s="85" t="str">
        <f aca="false">SRC_HW!$A95&amp;""</f>
        <v/>
      </c>
      <c r="B95" s="54" t="s">
        <v>5965</v>
      </c>
      <c r="C95" s="53" t="n">
        <v>95</v>
      </c>
      <c r="D95" s="85" t="n">
        <f aca="false">SRC_HW!$O95</f>
        <v>0</v>
      </c>
      <c r="E95" s="85" t="n">
        <f aca="false">SRC_HW!$K95</f>
        <v>0</v>
      </c>
    </row>
    <row r="96" customFormat="false" ht="15" hidden="false" customHeight="false" outlineLevel="0" collapsed="false">
      <c r="A96" s="85" t="str">
        <f aca="false">SRC_HW!$A96&amp;""</f>
        <v/>
      </c>
      <c r="B96" s="54" t="s">
        <v>5965</v>
      </c>
      <c r="C96" s="53" t="n">
        <v>96</v>
      </c>
      <c r="D96" s="85" t="n">
        <f aca="false">SRC_HW!$O96</f>
        <v>0</v>
      </c>
      <c r="E96" s="85" t="n">
        <f aca="false">SRC_HW!$K96</f>
        <v>0</v>
      </c>
    </row>
    <row r="97" customFormat="false" ht="15" hidden="false" customHeight="false" outlineLevel="0" collapsed="false">
      <c r="A97" s="85" t="str">
        <f aca="false">SRC_HW!$A97&amp;""</f>
        <v/>
      </c>
      <c r="B97" s="54" t="s">
        <v>5965</v>
      </c>
      <c r="C97" s="53" t="n">
        <v>97</v>
      </c>
      <c r="D97" s="85" t="n">
        <f aca="false">SRC_HW!$O97</f>
        <v>0</v>
      </c>
      <c r="E97" s="85" t="n">
        <f aca="false">SRC_HW!$K97</f>
        <v>0</v>
      </c>
    </row>
    <row r="98" customFormat="false" ht="15" hidden="false" customHeight="false" outlineLevel="0" collapsed="false">
      <c r="A98" s="85" t="str">
        <f aca="false">SRC_HW!$A98&amp;""</f>
        <v/>
      </c>
      <c r="B98" s="54" t="s">
        <v>5965</v>
      </c>
      <c r="C98" s="53" t="n">
        <v>98</v>
      </c>
      <c r="D98" s="85" t="n">
        <f aca="false">SRC_HW!$O98</f>
        <v>0</v>
      </c>
      <c r="E98" s="85" t="n">
        <f aca="false">SRC_HW!$K98</f>
        <v>0</v>
      </c>
    </row>
    <row r="99" customFormat="false" ht="15" hidden="false" customHeight="false" outlineLevel="0" collapsed="false">
      <c r="A99" s="85" t="str">
        <f aca="false">SRC_HW!$A99&amp;""</f>
        <v/>
      </c>
      <c r="B99" s="54" t="s">
        <v>5965</v>
      </c>
      <c r="C99" s="53" t="n">
        <v>99</v>
      </c>
      <c r="D99" s="85" t="n">
        <f aca="false">SRC_HW!$O99</f>
        <v>0</v>
      </c>
      <c r="E99" s="85" t="n">
        <f aca="false">SRC_HW!$K99</f>
        <v>0</v>
      </c>
    </row>
    <row r="100" customFormat="false" ht="15" hidden="false" customHeight="false" outlineLevel="0" collapsed="false">
      <c r="A100" s="85" t="str">
        <f aca="false">SRC_HW!$A100&amp;""</f>
        <v/>
      </c>
      <c r="B100" s="54" t="s">
        <v>5965</v>
      </c>
      <c r="C100" s="53" t="n">
        <v>100</v>
      </c>
      <c r="D100" s="85" t="n">
        <f aca="false">SRC_HW!$O100</f>
        <v>0</v>
      </c>
      <c r="E100" s="85" t="n">
        <f aca="false">SRC_HW!$K100</f>
        <v>0</v>
      </c>
    </row>
    <row r="101" customFormat="false" ht="15" hidden="false" customHeight="false" outlineLevel="0" collapsed="false">
      <c r="A101" s="85" t="str">
        <f aca="false">SRC_HW!$A101&amp;""</f>
        <v/>
      </c>
      <c r="B101" s="54" t="s">
        <v>5965</v>
      </c>
      <c r="C101" s="53" t="n">
        <v>101</v>
      </c>
      <c r="D101" s="85" t="n">
        <f aca="false">SRC_HW!$O101</f>
        <v>0</v>
      </c>
      <c r="E101" s="85" t="n">
        <f aca="false">SRC_HW!$K101</f>
        <v>0</v>
      </c>
    </row>
    <row r="102" customFormat="false" ht="15" hidden="false" customHeight="false" outlineLevel="0" collapsed="false">
      <c r="A102" s="85" t="str">
        <f aca="false">SRC_HW!$A102&amp;""</f>
        <v/>
      </c>
      <c r="B102" s="54" t="s">
        <v>5965</v>
      </c>
      <c r="C102" s="53" t="n">
        <v>102</v>
      </c>
      <c r="D102" s="85" t="n">
        <f aca="false">SRC_HW!$O102</f>
        <v>0</v>
      </c>
      <c r="E102" s="85" t="n">
        <f aca="false">SRC_HW!$K102</f>
        <v>0</v>
      </c>
    </row>
    <row r="103" customFormat="false" ht="15" hidden="false" customHeight="false" outlineLevel="0" collapsed="false">
      <c r="A103" s="85" t="str">
        <f aca="false">SRC_HW!$A103&amp;""</f>
        <v/>
      </c>
      <c r="B103" s="54" t="s">
        <v>5965</v>
      </c>
      <c r="C103" s="53" t="n">
        <v>103</v>
      </c>
      <c r="D103" s="85" t="n">
        <f aca="false">SRC_HW!$O103</f>
        <v>0</v>
      </c>
      <c r="E103" s="85" t="n">
        <f aca="false">SRC_HW!$K103</f>
        <v>0</v>
      </c>
    </row>
    <row r="104" customFormat="false" ht="15" hidden="false" customHeight="false" outlineLevel="0" collapsed="false">
      <c r="A104" s="85" t="str">
        <f aca="false">SRC_HW!$A104&amp;""</f>
        <v/>
      </c>
      <c r="B104" s="54" t="s">
        <v>5965</v>
      </c>
      <c r="C104" s="53" t="n">
        <v>104</v>
      </c>
      <c r="D104" s="85" t="n">
        <f aca="false">SRC_HW!$O104</f>
        <v>0</v>
      </c>
      <c r="E104" s="85" t="n">
        <f aca="false">SRC_HW!$K104</f>
        <v>0</v>
      </c>
    </row>
    <row r="105" customFormat="false" ht="15" hidden="false" customHeight="false" outlineLevel="0" collapsed="false">
      <c r="A105" s="85" t="str">
        <f aca="false">SRC_HW!$A105&amp;""</f>
        <v/>
      </c>
      <c r="B105" s="54" t="s">
        <v>5965</v>
      </c>
      <c r="C105" s="53" t="n">
        <v>105</v>
      </c>
      <c r="D105" s="85" t="n">
        <f aca="false">SRC_HW!$O105</f>
        <v>0</v>
      </c>
      <c r="E105" s="85" t="n">
        <f aca="false">SRC_HW!$K105</f>
        <v>0</v>
      </c>
    </row>
    <row r="106" customFormat="false" ht="15" hidden="false" customHeight="false" outlineLevel="0" collapsed="false">
      <c r="A106" s="85" t="str">
        <f aca="false">SRC_HW!$A106&amp;""</f>
        <v/>
      </c>
      <c r="B106" s="54" t="s">
        <v>5965</v>
      </c>
      <c r="C106" s="53" t="n">
        <v>106</v>
      </c>
      <c r="D106" s="85" t="n">
        <f aca="false">SRC_HW!$O106</f>
        <v>0</v>
      </c>
      <c r="E106" s="85" t="n">
        <f aca="false">SRC_HW!$K106</f>
        <v>0</v>
      </c>
    </row>
    <row r="107" customFormat="false" ht="15" hidden="false" customHeight="false" outlineLevel="0" collapsed="false">
      <c r="A107" s="85" t="str">
        <f aca="false">SRC_HW!$A107&amp;""</f>
        <v/>
      </c>
      <c r="B107" s="54" t="s">
        <v>5965</v>
      </c>
      <c r="C107" s="53" t="n">
        <v>107</v>
      </c>
      <c r="D107" s="85" t="n">
        <f aca="false">SRC_HW!$O107</f>
        <v>0</v>
      </c>
      <c r="E107" s="85" t="n">
        <f aca="false">SRC_HW!$K107</f>
        <v>0</v>
      </c>
    </row>
    <row r="108" customFormat="false" ht="15" hidden="false" customHeight="false" outlineLevel="0" collapsed="false">
      <c r="A108" s="85" t="str">
        <f aca="false">SRC_HW!$A108&amp;""</f>
        <v/>
      </c>
      <c r="B108" s="54" t="s">
        <v>5965</v>
      </c>
      <c r="C108" s="53" t="n">
        <v>108</v>
      </c>
      <c r="D108" s="85" t="n">
        <f aca="false">SRC_HW!$O108</f>
        <v>0</v>
      </c>
      <c r="E108" s="85" t="n">
        <f aca="false">SRC_HW!$K108</f>
        <v>0</v>
      </c>
    </row>
    <row r="109" customFormat="false" ht="15" hidden="false" customHeight="false" outlineLevel="0" collapsed="false">
      <c r="A109" s="85" t="str">
        <f aca="false">SRC_HW!$A109&amp;""</f>
        <v/>
      </c>
      <c r="B109" s="54" t="s">
        <v>5965</v>
      </c>
      <c r="C109" s="53" t="n">
        <v>109</v>
      </c>
      <c r="D109" s="85" t="n">
        <f aca="false">SRC_HW!$O109</f>
        <v>0</v>
      </c>
      <c r="E109" s="85" t="n">
        <f aca="false">SRC_HW!$K109</f>
        <v>0</v>
      </c>
    </row>
    <row r="110" customFormat="false" ht="15" hidden="false" customHeight="false" outlineLevel="0" collapsed="false">
      <c r="A110" s="85" t="str">
        <f aca="false">SRC_HW!$A110&amp;""</f>
        <v/>
      </c>
      <c r="B110" s="54" t="s">
        <v>5965</v>
      </c>
      <c r="C110" s="53" t="n">
        <v>110</v>
      </c>
      <c r="D110" s="85" t="n">
        <f aca="false">SRC_HW!$O110</f>
        <v>0</v>
      </c>
      <c r="E110" s="85" t="n">
        <f aca="false">SRC_HW!$K110</f>
        <v>0</v>
      </c>
    </row>
    <row r="111" customFormat="false" ht="15" hidden="false" customHeight="false" outlineLevel="0" collapsed="false">
      <c r="A111" s="85" t="str">
        <f aca="false">SRC_HW!$A111&amp;""</f>
        <v/>
      </c>
      <c r="B111" s="54" t="s">
        <v>5965</v>
      </c>
      <c r="C111" s="53" t="n">
        <v>111</v>
      </c>
      <c r="D111" s="85" t="n">
        <f aca="false">SRC_HW!$O111</f>
        <v>0</v>
      </c>
      <c r="E111" s="85" t="n">
        <f aca="false">SRC_HW!$K111</f>
        <v>0</v>
      </c>
    </row>
    <row r="112" customFormat="false" ht="15" hidden="false" customHeight="false" outlineLevel="0" collapsed="false">
      <c r="A112" s="85" t="str">
        <f aca="false">SRC_HW!$A112&amp;""</f>
        <v/>
      </c>
      <c r="B112" s="54" t="s">
        <v>5965</v>
      </c>
      <c r="C112" s="53" t="n">
        <v>112</v>
      </c>
      <c r="D112" s="85" t="n">
        <f aca="false">SRC_HW!$O112</f>
        <v>0</v>
      </c>
      <c r="E112" s="85" t="n">
        <f aca="false">SRC_HW!$K112</f>
        <v>0</v>
      </c>
    </row>
    <row r="113" customFormat="false" ht="15" hidden="false" customHeight="false" outlineLevel="0" collapsed="false">
      <c r="A113" s="85" t="str">
        <f aca="false">SRC_HW!$A113&amp;""</f>
        <v/>
      </c>
      <c r="B113" s="54" t="s">
        <v>5965</v>
      </c>
      <c r="C113" s="53" t="n">
        <v>113</v>
      </c>
      <c r="D113" s="85" t="n">
        <f aca="false">SRC_HW!$O113</f>
        <v>0</v>
      </c>
      <c r="E113" s="85" t="n">
        <f aca="false">SRC_HW!$K113</f>
        <v>0</v>
      </c>
    </row>
    <row r="114" customFormat="false" ht="15" hidden="false" customHeight="false" outlineLevel="0" collapsed="false">
      <c r="A114" s="85" t="str">
        <f aca="false">SRC_HW!$A114&amp;""</f>
        <v/>
      </c>
      <c r="B114" s="54" t="s">
        <v>5965</v>
      </c>
      <c r="C114" s="53" t="n">
        <v>114</v>
      </c>
      <c r="D114" s="85" t="n">
        <f aca="false">SRC_HW!$O114</f>
        <v>0</v>
      </c>
      <c r="E114" s="85" t="n">
        <f aca="false">SRC_HW!$K114</f>
        <v>0</v>
      </c>
    </row>
    <row r="115" customFormat="false" ht="15" hidden="false" customHeight="false" outlineLevel="0" collapsed="false">
      <c r="A115" s="85" t="str">
        <f aca="false">SRC_HW!$A115&amp;""</f>
        <v/>
      </c>
      <c r="B115" s="54" t="s">
        <v>5965</v>
      </c>
      <c r="C115" s="53" t="n">
        <v>115</v>
      </c>
      <c r="D115" s="85" t="n">
        <f aca="false">SRC_HW!$O115</f>
        <v>0</v>
      </c>
      <c r="E115" s="85" t="n">
        <f aca="false">SRC_HW!$K115</f>
        <v>0</v>
      </c>
    </row>
    <row r="116" customFormat="false" ht="15" hidden="false" customHeight="false" outlineLevel="0" collapsed="false">
      <c r="A116" s="85" t="str">
        <f aca="false">SRC_HW!$A116&amp;""</f>
        <v/>
      </c>
      <c r="B116" s="54" t="s">
        <v>5965</v>
      </c>
      <c r="C116" s="53" t="n">
        <v>116</v>
      </c>
      <c r="D116" s="85" t="n">
        <f aca="false">SRC_HW!$O116</f>
        <v>0</v>
      </c>
      <c r="E116" s="85" t="n">
        <f aca="false">SRC_HW!$K116</f>
        <v>0</v>
      </c>
    </row>
    <row r="117" customFormat="false" ht="15" hidden="false" customHeight="false" outlineLevel="0" collapsed="false">
      <c r="A117" s="85" t="str">
        <f aca="false">SRC_HW!$A117&amp;""</f>
        <v/>
      </c>
      <c r="B117" s="54" t="s">
        <v>5965</v>
      </c>
      <c r="C117" s="53" t="n">
        <v>117</v>
      </c>
      <c r="D117" s="85" t="n">
        <f aca="false">SRC_HW!$O117</f>
        <v>0</v>
      </c>
      <c r="E117" s="85" t="n">
        <f aca="false">SRC_HW!$K117</f>
        <v>0</v>
      </c>
    </row>
    <row r="118" customFormat="false" ht="15" hidden="false" customHeight="false" outlineLevel="0" collapsed="false">
      <c r="A118" s="85" t="str">
        <f aca="false">SRC_HW!$A118&amp;""</f>
        <v/>
      </c>
      <c r="B118" s="54" t="s">
        <v>5965</v>
      </c>
      <c r="C118" s="53" t="n">
        <v>118</v>
      </c>
      <c r="D118" s="85" t="n">
        <f aca="false">SRC_HW!$O118</f>
        <v>0</v>
      </c>
      <c r="E118" s="85" t="n">
        <f aca="false">SRC_HW!$K118</f>
        <v>0</v>
      </c>
    </row>
    <row r="119" customFormat="false" ht="15" hidden="false" customHeight="false" outlineLevel="0" collapsed="false">
      <c r="A119" s="85" t="str">
        <f aca="false">SRC_DC!$A5&amp;""</f>
        <v>SRC_DC_001</v>
      </c>
      <c r="B119" s="54" t="s">
        <v>5966</v>
      </c>
      <c r="C119" s="53" t="n">
        <v>5</v>
      </c>
      <c r="D119" s="85" t="str">
        <f aca="false">SRC_DC!$O5</f>
        <v>Active</v>
      </c>
      <c r="E119" s="85" t="n">
        <f aca="false">SRC_DC!$K5</f>
        <v>3</v>
      </c>
    </row>
    <row r="120" customFormat="false" ht="15" hidden="false" customHeight="false" outlineLevel="0" collapsed="false">
      <c r="A120" s="85" t="str">
        <f aca="false">SRC_DC!$A6&amp;""</f>
        <v>SRC_DC_002</v>
      </c>
      <c r="B120" s="54" t="s">
        <v>5966</v>
      </c>
      <c r="C120" s="53" t="n">
        <v>6</v>
      </c>
      <c r="D120" s="85" t="str">
        <f aca="false">SRC_DC!$O6</f>
        <v>Active</v>
      </c>
      <c r="E120" s="85" t="n">
        <f aca="false">SRC_DC!$K6</f>
        <v>3</v>
      </c>
    </row>
    <row r="121" customFormat="false" ht="15" hidden="false" customHeight="false" outlineLevel="0" collapsed="false">
      <c r="A121" s="85" t="str">
        <f aca="false">SRC_DC!$A7&amp;""</f>
        <v>SRC_DC_003</v>
      </c>
      <c r="B121" s="54" t="s">
        <v>5966</v>
      </c>
      <c r="C121" s="53" t="n">
        <v>7</v>
      </c>
      <c r="D121" s="85" t="str">
        <f aca="false">SRC_DC!$O7</f>
        <v>Active</v>
      </c>
      <c r="E121" s="85" t="n">
        <f aca="false">SRC_DC!$K7</f>
        <v>3</v>
      </c>
    </row>
    <row r="122" customFormat="false" ht="15" hidden="false" customHeight="false" outlineLevel="0" collapsed="false">
      <c r="A122" s="85" t="str">
        <f aca="false">SRC_DC!$A8&amp;""</f>
        <v>SRC_DC_004</v>
      </c>
      <c r="B122" s="54" t="s">
        <v>5966</v>
      </c>
      <c r="C122" s="53" t="n">
        <v>8</v>
      </c>
      <c r="D122" s="85" t="str">
        <f aca="false">SRC_DC!$O8</f>
        <v>Active</v>
      </c>
      <c r="E122" s="85" t="n">
        <f aca="false">SRC_DC!$K8</f>
        <v>3</v>
      </c>
    </row>
    <row r="123" customFormat="false" ht="15" hidden="false" customHeight="false" outlineLevel="0" collapsed="false">
      <c r="A123" s="85" t="str">
        <f aca="false">SRC_DC!$A9&amp;""</f>
        <v>SRC_DC_005</v>
      </c>
      <c r="B123" s="54" t="s">
        <v>5966</v>
      </c>
      <c r="C123" s="53" t="n">
        <v>9</v>
      </c>
      <c r="D123" s="85" t="str">
        <f aca="false">SRC_DC!$O9</f>
        <v>Active</v>
      </c>
      <c r="E123" s="85" t="n">
        <f aca="false">SRC_DC!$K9</f>
        <v>2</v>
      </c>
    </row>
    <row r="124" customFormat="false" ht="15" hidden="false" customHeight="false" outlineLevel="0" collapsed="false">
      <c r="A124" s="85" t="str">
        <f aca="false">SRC_DC!$A10&amp;""</f>
        <v>SRC_DC_006</v>
      </c>
      <c r="B124" s="54" t="s">
        <v>5966</v>
      </c>
      <c r="C124" s="53" t="n">
        <v>10</v>
      </c>
      <c r="D124" s="85" t="str">
        <f aca="false">SRC_DC!$O10</f>
        <v>Active</v>
      </c>
      <c r="E124" s="85" t="n">
        <f aca="false">SRC_DC!$K10</f>
        <v>2</v>
      </c>
    </row>
    <row r="125" customFormat="false" ht="15" hidden="false" customHeight="false" outlineLevel="0" collapsed="false">
      <c r="A125" s="85" t="str">
        <f aca="false">SRC_DC!$A11&amp;""</f>
        <v>SRC_DC_007</v>
      </c>
      <c r="B125" s="54" t="s">
        <v>5966</v>
      </c>
      <c r="C125" s="53" t="n">
        <v>11</v>
      </c>
      <c r="D125" s="85" t="str">
        <f aca="false">SRC_DC!$O11</f>
        <v>Active</v>
      </c>
      <c r="E125" s="85" t="n">
        <f aca="false">SRC_DC!$K11</f>
        <v>2</v>
      </c>
    </row>
    <row r="126" customFormat="false" ht="15" hidden="false" customHeight="false" outlineLevel="0" collapsed="false">
      <c r="A126" s="85" t="str">
        <f aca="false">SRC_DC!$A12&amp;""</f>
        <v>SRC_DC_008</v>
      </c>
      <c r="B126" s="54" t="s">
        <v>5966</v>
      </c>
      <c r="C126" s="53" t="n">
        <v>12</v>
      </c>
      <c r="D126" s="85" t="str">
        <f aca="false">SRC_DC!$O12</f>
        <v>Active</v>
      </c>
      <c r="E126" s="85" t="n">
        <f aca="false">SRC_DC!$K12</f>
        <v>2</v>
      </c>
    </row>
    <row r="127" customFormat="false" ht="15" hidden="false" customHeight="false" outlineLevel="0" collapsed="false">
      <c r="A127" s="85" t="str">
        <f aca="false">SRC_DC!$A13&amp;""</f>
        <v>SRC_DC_009</v>
      </c>
      <c r="B127" s="54" t="s">
        <v>5966</v>
      </c>
      <c r="C127" s="53" t="n">
        <v>13</v>
      </c>
      <c r="D127" s="85" t="str">
        <f aca="false">SRC_DC!$O13</f>
        <v>Active</v>
      </c>
      <c r="E127" s="85" t="n">
        <f aca="false">SRC_DC!$K13</f>
        <v>2</v>
      </c>
    </row>
    <row r="128" customFormat="false" ht="15" hidden="false" customHeight="false" outlineLevel="0" collapsed="false">
      <c r="A128" s="85" t="str">
        <f aca="false">SRC_DC!$A14&amp;""</f>
        <v>SRC_DC_010</v>
      </c>
      <c r="B128" s="54" t="s">
        <v>5966</v>
      </c>
      <c r="C128" s="53" t="n">
        <v>14</v>
      </c>
      <c r="D128" s="85" t="str">
        <f aca="false">SRC_DC!$O14</f>
        <v>Active</v>
      </c>
      <c r="E128" s="85" t="n">
        <f aca="false">SRC_DC!$K14</f>
        <v>3</v>
      </c>
    </row>
    <row r="129" customFormat="false" ht="15" hidden="false" customHeight="false" outlineLevel="0" collapsed="false">
      <c r="A129" s="85" t="str">
        <f aca="false">SRC_DC!$A15&amp;""</f>
        <v>SRC_DC_011</v>
      </c>
      <c r="B129" s="54" t="s">
        <v>5966</v>
      </c>
      <c r="C129" s="53" t="n">
        <v>15</v>
      </c>
      <c r="D129" s="85" t="str">
        <f aca="false">SRC_DC!$O15</f>
        <v>Active</v>
      </c>
      <c r="E129" s="85" t="n">
        <f aca="false">SRC_DC!$K15</f>
        <v>3</v>
      </c>
    </row>
    <row r="130" customFormat="false" ht="15" hidden="false" customHeight="false" outlineLevel="0" collapsed="false">
      <c r="A130" s="85" t="str">
        <f aca="false">SRC_DC!$A16&amp;""</f>
        <v>SRC_DC_012</v>
      </c>
      <c r="B130" s="54" t="s">
        <v>5966</v>
      </c>
      <c r="C130" s="53" t="n">
        <v>16</v>
      </c>
      <c r="D130" s="85" t="str">
        <f aca="false">SRC_DC!$O16</f>
        <v>Active</v>
      </c>
      <c r="E130" s="85" t="n">
        <f aca="false">SRC_DC!$K16</f>
        <v>2</v>
      </c>
    </row>
    <row r="131" customFormat="false" ht="15" hidden="false" customHeight="false" outlineLevel="0" collapsed="false">
      <c r="A131" s="85" t="str">
        <f aca="false">SRC_DC!$A17&amp;""</f>
        <v>SRC_DC_013</v>
      </c>
      <c r="B131" s="54" t="s">
        <v>5966</v>
      </c>
      <c r="C131" s="53" t="n">
        <v>17</v>
      </c>
      <c r="D131" s="85" t="str">
        <f aca="false">SRC_DC!$O17</f>
        <v>Active</v>
      </c>
      <c r="E131" s="85" t="n">
        <f aca="false">SRC_DC!$K17</f>
        <v>2</v>
      </c>
    </row>
    <row r="132" customFormat="false" ht="15" hidden="false" customHeight="false" outlineLevel="0" collapsed="false">
      <c r="A132" s="85" t="str">
        <f aca="false">SRC_DC!$A18&amp;""</f>
        <v/>
      </c>
      <c r="B132" s="54" t="s">
        <v>5966</v>
      </c>
      <c r="C132" s="53" t="n">
        <v>18</v>
      </c>
      <c r="D132" s="85" t="n">
        <f aca="false">SRC_DC!$O18</f>
        <v>0</v>
      </c>
      <c r="E132" s="85" t="n">
        <f aca="false">SRC_DC!$K18</f>
        <v>0</v>
      </c>
    </row>
    <row r="133" customFormat="false" ht="15" hidden="false" customHeight="false" outlineLevel="0" collapsed="false">
      <c r="A133" s="85" t="str">
        <f aca="false">SRC_DC!$A19&amp;""</f>
        <v/>
      </c>
      <c r="B133" s="54" t="s">
        <v>5966</v>
      </c>
      <c r="C133" s="53" t="n">
        <v>19</v>
      </c>
      <c r="D133" s="85" t="n">
        <f aca="false">SRC_DC!$O19</f>
        <v>0</v>
      </c>
      <c r="E133" s="85" t="n">
        <f aca="false">SRC_DC!$K19</f>
        <v>0</v>
      </c>
    </row>
    <row r="134" customFormat="false" ht="15" hidden="false" customHeight="false" outlineLevel="0" collapsed="false">
      <c r="A134" s="85" t="str">
        <f aca="false">SRC_DC!$A20&amp;""</f>
        <v/>
      </c>
      <c r="B134" s="54" t="s">
        <v>5966</v>
      </c>
      <c r="C134" s="53" t="n">
        <v>20</v>
      </c>
      <c r="D134" s="85" t="n">
        <f aca="false">SRC_DC!$O20</f>
        <v>0</v>
      </c>
      <c r="E134" s="85" t="n">
        <f aca="false">SRC_DC!$K20</f>
        <v>0</v>
      </c>
    </row>
    <row r="135" customFormat="false" ht="15" hidden="false" customHeight="false" outlineLevel="0" collapsed="false">
      <c r="A135" s="85" t="str">
        <f aca="false">SRC_DC!$A21&amp;""</f>
        <v/>
      </c>
      <c r="B135" s="54" t="s">
        <v>5966</v>
      </c>
      <c r="C135" s="53" t="n">
        <v>21</v>
      </c>
      <c r="D135" s="85" t="n">
        <f aca="false">SRC_DC!$O21</f>
        <v>0</v>
      </c>
      <c r="E135" s="85" t="n">
        <f aca="false">SRC_DC!$K21</f>
        <v>0</v>
      </c>
    </row>
    <row r="136" customFormat="false" ht="15" hidden="false" customHeight="false" outlineLevel="0" collapsed="false">
      <c r="A136" s="85" t="str">
        <f aca="false">SRC_DC!$A22&amp;""</f>
        <v/>
      </c>
      <c r="B136" s="54" t="s">
        <v>5966</v>
      </c>
      <c r="C136" s="53" t="n">
        <v>22</v>
      </c>
      <c r="D136" s="85" t="n">
        <f aca="false">SRC_DC!$O22</f>
        <v>0</v>
      </c>
      <c r="E136" s="85" t="n">
        <f aca="false">SRC_DC!$K22</f>
        <v>0</v>
      </c>
    </row>
    <row r="137" customFormat="false" ht="15" hidden="false" customHeight="false" outlineLevel="0" collapsed="false">
      <c r="A137" s="85" t="str">
        <f aca="false">SRC_DC!$A23&amp;""</f>
        <v/>
      </c>
      <c r="B137" s="54" t="s">
        <v>5966</v>
      </c>
      <c r="C137" s="53" t="n">
        <v>23</v>
      </c>
      <c r="D137" s="85" t="n">
        <f aca="false">SRC_DC!$O23</f>
        <v>0</v>
      </c>
      <c r="E137" s="85" t="n">
        <f aca="false">SRC_DC!$K23</f>
        <v>0</v>
      </c>
    </row>
    <row r="138" customFormat="false" ht="15" hidden="false" customHeight="false" outlineLevel="0" collapsed="false">
      <c r="A138" s="85" t="str">
        <f aca="false">SRC_DC!$A24&amp;""</f>
        <v/>
      </c>
      <c r="B138" s="54" t="s">
        <v>5966</v>
      </c>
      <c r="C138" s="53" t="n">
        <v>24</v>
      </c>
      <c r="D138" s="85" t="n">
        <f aca="false">SRC_DC!$O24</f>
        <v>0</v>
      </c>
      <c r="E138" s="85" t="n">
        <f aca="false">SRC_DC!$K24</f>
        <v>0</v>
      </c>
    </row>
    <row r="139" customFormat="false" ht="15" hidden="false" customHeight="false" outlineLevel="0" collapsed="false">
      <c r="A139" s="85" t="str">
        <f aca="false">SRC_DC!$A25&amp;""</f>
        <v/>
      </c>
      <c r="B139" s="54" t="s">
        <v>5966</v>
      </c>
      <c r="C139" s="53" t="n">
        <v>25</v>
      </c>
      <c r="D139" s="85" t="n">
        <f aca="false">SRC_DC!$O25</f>
        <v>0</v>
      </c>
      <c r="E139" s="85" t="n">
        <f aca="false">SRC_DC!$K25</f>
        <v>0</v>
      </c>
    </row>
    <row r="140" customFormat="false" ht="15" hidden="false" customHeight="false" outlineLevel="0" collapsed="false">
      <c r="A140" s="85" t="str">
        <f aca="false">SRC_DC!$A26&amp;""</f>
        <v/>
      </c>
      <c r="B140" s="54" t="s">
        <v>5966</v>
      </c>
      <c r="C140" s="53" t="n">
        <v>26</v>
      </c>
      <c r="D140" s="85" t="n">
        <f aca="false">SRC_DC!$O26</f>
        <v>0</v>
      </c>
      <c r="E140" s="85" t="n">
        <f aca="false">SRC_DC!$K26</f>
        <v>0</v>
      </c>
    </row>
    <row r="141" customFormat="false" ht="15" hidden="false" customHeight="false" outlineLevel="0" collapsed="false">
      <c r="A141" s="85" t="str">
        <f aca="false">SRC_DC!$A27&amp;""</f>
        <v/>
      </c>
      <c r="B141" s="54" t="s">
        <v>5966</v>
      </c>
      <c r="C141" s="53" t="n">
        <v>27</v>
      </c>
      <c r="D141" s="85" t="n">
        <f aca="false">SRC_DC!$O27</f>
        <v>0</v>
      </c>
      <c r="E141" s="85" t="n">
        <f aca="false">SRC_DC!$K27</f>
        <v>0</v>
      </c>
    </row>
    <row r="142" customFormat="false" ht="15" hidden="false" customHeight="false" outlineLevel="0" collapsed="false">
      <c r="A142" s="85" t="str">
        <f aca="false">SRC_DC!$A28&amp;""</f>
        <v/>
      </c>
      <c r="B142" s="54" t="s">
        <v>5966</v>
      </c>
      <c r="C142" s="53" t="n">
        <v>28</v>
      </c>
      <c r="D142" s="85" t="n">
        <f aca="false">SRC_DC!$O28</f>
        <v>0</v>
      </c>
      <c r="E142" s="85" t="n">
        <f aca="false">SRC_DC!$K28</f>
        <v>0</v>
      </c>
    </row>
    <row r="143" customFormat="false" ht="15" hidden="false" customHeight="false" outlineLevel="0" collapsed="false">
      <c r="A143" s="85" t="str">
        <f aca="false">SRC_DC!$A29&amp;""</f>
        <v/>
      </c>
      <c r="B143" s="54" t="s">
        <v>5966</v>
      </c>
      <c r="C143" s="53" t="n">
        <v>29</v>
      </c>
      <c r="D143" s="85" t="n">
        <f aca="false">SRC_DC!$O29</f>
        <v>0</v>
      </c>
      <c r="E143" s="85" t="n">
        <f aca="false">SRC_DC!$K29</f>
        <v>0</v>
      </c>
    </row>
    <row r="144" customFormat="false" ht="15" hidden="false" customHeight="false" outlineLevel="0" collapsed="false">
      <c r="A144" s="85" t="str">
        <f aca="false">SRC_DC!$A30&amp;""</f>
        <v/>
      </c>
      <c r="B144" s="54" t="s">
        <v>5966</v>
      </c>
      <c r="C144" s="53" t="n">
        <v>30</v>
      </c>
      <c r="D144" s="85" t="n">
        <f aca="false">SRC_DC!$O30</f>
        <v>0</v>
      </c>
      <c r="E144" s="85" t="n">
        <f aca="false">SRC_DC!$K30</f>
        <v>0</v>
      </c>
    </row>
    <row r="145" customFormat="false" ht="15" hidden="false" customHeight="false" outlineLevel="0" collapsed="false">
      <c r="A145" s="85" t="str">
        <f aca="false">SRC_DC!$A31&amp;""</f>
        <v/>
      </c>
      <c r="B145" s="54" t="s">
        <v>5966</v>
      </c>
      <c r="C145" s="53" t="n">
        <v>31</v>
      </c>
      <c r="D145" s="85" t="n">
        <f aca="false">SRC_DC!$O31</f>
        <v>0</v>
      </c>
      <c r="E145" s="85" t="n">
        <f aca="false">SRC_DC!$K31</f>
        <v>0</v>
      </c>
    </row>
    <row r="146" customFormat="false" ht="15" hidden="false" customHeight="false" outlineLevel="0" collapsed="false">
      <c r="A146" s="85" t="str">
        <f aca="false">SRC_DC!$A32&amp;""</f>
        <v/>
      </c>
      <c r="B146" s="54" t="s">
        <v>5966</v>
      </c>
      <c r="C146" s="53" t="n">
        <v>32</v>
      </c>
      <c r="D146" s="85" t="n">
        <f aca="false">SRC_DC!$O32</f>
        <v>0</v>
      </c>
      <c r="E146" s="85" t="n">
        <f aca="false">SRC_DC!$K32</f>
        <v>0</v>
      </c>
    </row>
    <row r="147" customFormat="false" ht="15" hidden="false" customHeight="false" outlineLevel="0" collapsed="false">
      <c r="A147" s="85" t="str">
        <f aca="false">SRC_DC!$A33&amp;""</f>
        <v/>
      </c>
      <c r="B147" s="54" t="s">
        <v>5966</v>
      </c>
      <c r="C147" s="53" t="n">
        <v>33</v>
      </c>
      <c r="D147" s="85" t="n">
        <f aca="false">SRC_DC!$O33</f>
        <v>0</v>
      </c>
      <c r="E147" s="85" t="n">
        <f aca="false">SRC_DC!$K33</f>
        <v>0</v>
      </c>
    </row>
    <row r="148" customFormat="false" ht="15" hidden="false" customHeight="false" outlineLevel="0" collapsed="false">
      <c r="A148" s="85" t="str">
        <f aca="false">SRC_DC!$A34&amp;""</f>
        <v/>
      </c>
      <c r="B148" s="54" t="s">
        <v>5966</v>
      </c>
      <c r="C148" s="53" t="n">
        <v>34</v>
      </c>
      <c r="D148" s="85" t="n">
        <f aca="false">SRC_DC!$O34</f>
        <v>0</v>
      </c>
      <c r="E148" s="85" t="n">
        <f aca="false">SRC_DC!$K34</f>
        <v>0</v>
      </c>
    </row>
    <row r="149" customFormat="false" ht="15" hidden="false" customHeight="false" outlineLevel="0" collapsed="false">
      <c r="A149" s="85" t="str">
        <f aca="false">SRC_DC!$A35&amp;""</f>
        <v/>
      </c>
      <c r="B149" s="54" t="s">
        <v>5966</v>
      </c>
      <c r="C149" s="53" t="n">
        <v>35</v>
      </c>
      <c r="D149" s="85" t="n">
        <f aca="false">SRC_DC!$O35</f>
        <v>0</v>
      </c>
      <c r="E149" s="85" t="n">
        <f aca="false">SRC_DC!$K35</f>
        <v>0</v>
      </c>
    </row>
    <row r="150" customFormat="false" ht="15" hidden="false" customHeight="false" outlineLevel="0" collapsed="false">
      <c r="A150" s="85" t="str">
        <f aca="false">SRC_DC!$A36&amp;""</f>
        <v/>
      </c>
      <c r="B150" s="54" t="s">
        <v>5966</v>
      </c>
      <c r="C150" s="53" t="n">
        <v>36</v>
      </c>
      <c r="D150" s="85" t="n">
        <f aca="false">SRC_DC!$O36</f>
        <v>0</v>
      </c>
      <c r="E150" s="85" t="n">
        <f aca="false">SRC_DC!$K36</f>
        <v>0</v>
      </c>
    </row>
    <row r="151" customFormat="false" ht="15" hidden="false" customHeight="false" outlineLevel="0" collapsed="false">
      <c r="A151" s="85" t="str">
        <f aca="false">SRC_DC!$A37&amp;""</f>
        <v/>
      </c>
      <c r="B151" s="54" t="s">
        <v>5966</v>
      </c>
      <c r="C151" s="53" t="n">
        <v>37</v>
      </c>
      <c r="D151" s="85" t="n">
        <f aca="false">SRC_DC!$O37</f>
        <v>0</v>
      </c>
      <c r="E151" s="85" t="n">
        <f aca="false">SRC_DC!$K37</f>
        <v>0</v>
      </c>
    </row>
    <row r="152" customFormat="false" ht="15" hidden="false" customHeight="false" outlineLevel="0" collapsed="false">
      <c r="A152" s="85" t="str">
        <f aca="false">SRC_DC!$A38&amp;""</f>
        <v/>
      </c>
      <c r="B152" s="54" t="s">
        <v>5966</v>
      </c>
      <c r="C152" s="53" t="n">
        <v>38</v>
      </c>
      <c r="D152" s="85" t="n">
        <f aca="false">SRC_DC!$O38</f>
        <v>0</v>
      </c>
      <c r="E152" s="85" t="n">
        <f aca="false">SRC_DC!$K38</f>
        <v>0</v>
      </c>
    </row>
    <row r="153" customFormat="false" ht="15" hidden="false" customHeight="false" outlineLevel="0" collapsed="false">
      <c r="A153" s="85" t="str">
        <f aca="false">SRC_DC!$A39&amp;""</f>
        <v/>
      </c>
      <c r="B153" s="54" t="s">
        <v>5966</v>
      </c>
      <c r="C153" s="53" t="n">
        <v>39</v>
      </c>
      <c r="D153" s="85" t="n">
        <f aca="false">SRC_DC!$O39</f>
        <v>0</v>
      </c>
      <c r="E153" s="85" t="n">
        <f aca="false">SRC_DC!$K39</f>
        <v>0</v>
      </c>
    </row>
    <row r="154" customFormat="false" ht="15" hidden="false" customHeight="false" outlineLevel="0" collapsed="false">
      <c r="A154" s="85" t="str">
        <f aca="false">SRC_DC!$A40&amp;""</f>
        <v/>
      </c>
      <c r="B154" s="54" t="s">
        <v>5966</v>
      </c>
      <c r="C154" s="53" t="n">
        <v>40</v>
      </c>
      <c r="D154" s="85" t="n">
        <f aca="false">SRC_DC!$O40</f>
        <v>0</v>
      </c>
      <c r="E154" s="85" t="n">
        <f aca="false">SRC_DC!$K40</f>
        <v>0</v>
      </c>
    </row>
    <row r="155" customFormat="false" ht="15" hidden="false" customHeight="false" outlineLevel="0" collapsed="false">
      <c r="A155" s="85" t="str">
        <f aca="false">SRC_DC!$A41&amp;""</f>
        <v/>
      </c>
      <c r="B155" s="54" t="s">
        <v>5966</v>
      </c>
      <c r="C155" s="53" t="n">
        <v>41</v>
      </c>
      <c r="D155" s="85" t="n">
        <f aca="false">SRC_DC!$O41</f>
        <v>0</v>
      </c>
      <c r="E155" s="85" t="n">
        <f aca="false">SRC_DC!$K41</f>
        <v>0</v>
      </c>
    </row>
    <row r="156" customFormat="false" ht="15" hidden="false" customHeight="false" outlineLevel="0" collapsed="false">
      <c r="A156" s="85" t="str">
        <f aca="false">SRC_DC!$A42&amp;""</f>
        <v/>
      </c>
      <c r="B156" s="54" t="s">
        <v>5966</v>
      </c>
      <c r="C156" s="53" t="n">
        <v>42</v>
      </c>
      <c r="D156" s="85" t="n">
        <f aca="false">SRC_DC!$O42</f>
        <v>0</v>
      </c>
      <c r="E156" s="85" t="n">
        <f aca="false">SRC_DC!$K42</f>
        <v>0</v>
      </c>
    </row>
    <row r="157" customFormat="false" ht="15" hidden="false" customHeight="false" outlineLevel="0" collapsed="false">
      <c r="A157" s="85" t="str">
        <f aca="false">SRC_DC!$A43&amp;""</f>
        <v/>
      </c>
      <c r="B157" s="54" t="s">
        <v>5966</v>
      </c>
      <c r="C157" s="53" t="n">
        <v>43</v>
      </c>
      <c r="D157" s="85" t="n">
        <f aca="false">SRC_DC!$O43</f>
        <v>0</v>
      </c>
      <c r="E157" s="85" t="n">
        <f aca="false">SRC_DC!$K43</f>
        <v>0</v>
      </c>
    </row>
    <row r="158" customFormat="false" ht="15" hidden="false" customHeight="false" outlineLevel="0" collapsed="false">
      <c r="A158" s="85" t="str">
        <f aca="false">SRC_DC!$A44&amp;""</f>
        <v/>
      </c>
      <c r="B158" s="54" t="s">
        <v>5966</v>
      </c>
      <c r="C158" s="53" t="n">
        <v>44</v>
      </c>
      <c r="D158" s="85" t="n">
        <f aca="false">SRC_DC!$O44</f>
        <v>0</v>
      </c>
      <c r="E158" s="85" t="n">
        <f aca="false">SRC_DC!$K44</f>
        <v>0</v>
      </c>
    </row>
    <row r="159" customFormat="false" ht="15" hidden="false" customHeight="false" outlineLevel="0" collapsed="false">
      <c r="A159" s="85" t="str">
        <f aca="false">SRC_DC!$A45&amp;""</f>
        <v/>
      </c>
      <c r="B159" s="54" t="s">
        <v>5966</v>
      </c>
      <c r="C159" s="53" t="n">
        <v>45</v>
      </c>
      <c r="D159" s="85" t="n">
        <f aca="false">SRC_DC!$O45</f>
        <v>0</v>
      </c>
      <c r="E159" s="85" t="n">
        <f aca="false">SRC_DC!$K45</f>
        <v>0</v>
      </c>
    </row>
    <row r="160" customFormat="false" ht="15" hidden="false" customHeight="false" outlineLevel="0" collapsed="false">
      <c r="A160" s="85" t="str">
        <f aca="false">SRC_DC!$A46&amp;""</f>
        <v/>
      </c>
      <c r="B160" s="54" t="s">
        <v>5966</v>
      </c>
      <c r="C160" s="53" t="n">
        <v>46</v>
      </c>
      <c r="D160" s="85" t="n">
        <f aca="false">SRC_DC!$O46</f>
        <v>0</v>
      </c>
      <c r="E160" s="85" t="n">
        <f aca="false">SRC_DC!$K46</f>
        <v>0</v>
      </c>
    </row>
    <row r="161" customFormat="false" ht="15" hidden="false" customHeight="false" outlineLevel="0" collapsed="false">
      <c r="A161" s="85" t="str">
        <f aca="false">SRC_DC!$A47&amp;""</f>
        <v/>
      </c>
      <c r="B161" s="54" t="s">
        <v>5966</v>
      </c>
      <c r="C161" s="53" t="n">
        <v>47</v>
      </c>
      <c r="D161" s="85" t="n">
        <f aca="false">SRC_DC!$O47</f>
        <v>0</v>
      </c>
      <c r="E161" s="85" t="n">
        <f aca="false">SRC_DC!$K47</f>
        <v>0</v>
      </c>
    </row>
    <row r="162" customFormat="false" ht="15" hidden="false" customHeight="false" outlineLevel="0" collapsed="false">
      <c r="A162" s="85" t="str">
        <f aca="false">SRC_DC!$A48&amp;""</f>
        <v/>
      </c>
      <c r="B162" s="54" t="s">
        <v>5966</v>
      </c>
      <c r="C162" s="53" t="n">
        <v>48</v>
      </c>
      <c r="D162" s="85" t="n">
        <f aca="false">SRC_DC!$O48</f>
        <v>0</v>
      </c>
      <c r="E162" s="85" t="n">
        <f aca="false">SRC_DC!$K48</f>
        <v>0</v>
      </c>
    </row>
    <row r="163" customFormat="false" ht="15" hidden="false" customHeight="false" outlineLevel="0" collapsed="false">
      <c r="A163" s="85" t="str">
        <f aca="false">SRC_DC!$A49&amp;""</f>
        <v/>
      </c>
      <c r="B163" s="54" t="s">
        <v>5966</v>
      </c>
      <c r="C163" s="53" t="n">
        <v>49</v>
      </c>
      <c r="D163" s="85" t="n">
        <f aca="false">SRC_DC!$O49</f>
        <v>0</v>
      </c>
      <c r="E163" s="85" t="n">
        <f aca="false">SRC_DC!$K49</f>
        <v>0</v>
      </c>
    </row>
    <row r="164" customFormat="false" ht="15" hidden="false" customHeight="false" outlineLevel="0" collapsed="false">
      <c r="A164" s="85" t="str">
        <f aca="false">SRC_DC!$A50&amp;""</f>
        <v/>
      </c>
      <c r="B164" s="54" t="s">
        <v>5966</v>
      </c>
      <c r="C164" s="53" t="n">
        <v>50</v>
      </c>
      <c r="D164" s="85" t="n">
        <f aca="false">SRC_DC!$O50</f>
        <v>0</v>
      </c>
      <c r="E164" s="85" t="n">
        <f aca="false">SRC_DC!$K50</f>
        <v>0</v>
      </c>
    </row>
    <row r="165" customFormat="false" ht="15" hidden="false" customHeight="false" outlineLevel="0" collapsed="false">
      <c r="A165" s="85" t="str">
        <f aca="false">SRC_DC!$A51&amp;""</f>
        <v/>
      </c>
      <c r="B165" s="54" t="s">
        <v>5966</v>
      </c>
      <c r="C165" s="53" t="n">
        <v>51</v>
      </c>
      <c r="D165" s="85" t="n">
        <f aca="false">SRC_DC!$O51</f>
        <v>0</v>
      </c>
      <c r="E165" s="85" t="n">
        <f aca="false">SRC_DC!$K51</f>
        <v>0</v>
      </c>
    </row>
    <row r="166" customFormat="false" ht="15" hidden="false" customHeight="false" outlineLevel="0" collapsed="false">
      <c r="A166" s="85" t="str">
        <f aca="false">SRC_DC!$A52&amp;""</f>
        <v/>
      </c>
      <c r="B166" s="54" t="s">
        <v>5966</v>
      </c>
      <c r="C166" s="53" t="n">
        <v>52</v>
      </c>
      <c r="D166" s="85" t="n">
        <f aca="false">SRC_DC!$O52</f>
        <v>0</v>
      </c>
      <c r="E166" s="85" t="n">
        <f aca="false">SRC_DC!$K52</f>
        <v>0</v>
      </c>
    </row>
    <row r="167" customFormat="false" ht="15" hidden="false" customHeight="false" outlineLevel="0" collapsed="false">
      <c r="A167" s="85" t="str">
        <f aca="false">SRC_DC!$A53&amp;""</f>
        <v/>
      </c>
      <c r="B167" s="54" t="s">
        <v>5966</v>
      </c>
      <c r="C167" s="53" t="n">
        <v>53</v>
      </c>
      <c r="D167" s="85" t="n">
        <f aca="false">SRC_DC!$O53</f>
        <v>0</v>
      </c>
      <c r="E167" s="85" t="n">
        <f aca="false">SRC_DC!$K53</f>
        <v>0</v>
      </c>
    </row>
    <row r="168" customFormat="false" ht="15" hidden="false" customHeight="false" outlineLevel="0" collapsed="false">
      <c r="A168" s="85" t="str">
        <f aca="false">SRC_DC!$A54&amp;""</f>
        <v/>
      </c>
      <c r="B168" s="54" t="s">
        <v>5966</v>
      </c>
      <c r="C168" s="53" t="n">
        <v>54</v>
      </c>
      <c r="D168" s="85" t="n">
        <f aca="false">SRC_DC!$O54</f>
        <v>0</v>
      </c>
      <c r="E168" s="85" t="n">
        <f aca="false">SRC_DC!$K54</f>
        <v>0</v>
      </c>
    </row>
    <row r="169" customFormat="false" ht="15" hidden="false" customHeight="false" outlineLevel="0" collapsed="false">
      <c r="A169" s="85" t="str">
        <f aca="false">SRC_DC!$A55&amp;""</f>
        <v/>
      </c>
      <c r="B169" s="54" t="s">
        <v>5966</v>
      </c>
      <c r="C169" s="53" t="n">
        <v>55</v>
      </c>
      <c r="D169" s="85" t="n">
        <f aca="false">SRC_DC!$O55</f>
        <v>0</v>
      </c>
      <c r="E169" s="85" t="n">
        <f aca="false">SRC_DC!$K55</f>
        <v>0</v>
      </c>
    </row>
    <row r="170" customFormat="false" ht="15" hidden="false" customHeight="false" outlineLevel="0" collapsed="false">
      <c r="A170" s="85" t="str">
        <f aca="false">SRC_DC!$A56&amp;""</f>
        <v/>
      </c>
      <c r="B170" s="54" t="s">
        <v>5966</v>
      </c>
      <c r="C170" s="53" t="n">
        <v>56</v>
      </c>
      <c r="D170" s="85" t="n">
        <f aca="false">SRC_DC!$O56</f>
        <v>0</v>
      </c>
      <c r="E170" s="85" t="n">
        <f aca="false">SRC_DC!$K56</f>
        <v>0</v>
      </c>
    </row>
    <row r="171" customFormat="false" ht="15" hidden="false" customHeight="false" outlineLevel="0" collapsed="false">
      <c r="A171" s="85" t="str">
        <f aca="false">SRC_DC!$A57&amp;""</f>
        <v/>
      </c>
      <c r="B171" s="54" t="s">
        <v>5966</v>
      </c>
      <c r="C171" s="53" t="n">
        <v>57</v>
      </c>
      <c r="D171" s="85" t="n">
        <f aca="false">SRC_DC!$O57</f>
        <v>0</v>
      </c>
      <c r="E171" s="85" t="n">
        <f aca="false">SRC_DC!$K57</f>
        <v>0</v>
      </c>
    </row>
    <row r="172" customFormat="false" ht="15" hidden="false" customHeight="false" outlineLevel="0" collapsed="false">
      <c r="A172" s="85" t="str">
        <f aca="false">SRC_DC!$A58&amp;""</f>
        <v/>
      </c>
      <c r="B172" s="54" t="s">
        <v>5966</v>
      </c>
      <c r="C172" s="53" t="n">
        <v>58</v>
      </c>
      <c r="D172" s="85" t="n">
        <f aca="false">SRC_DC!$O58</f>
        <v>0</v>
      </c>
      <c r="E172" s="85" t="n">
        <f aca="false">SRC_DC!$K58</f>
        <v>0</v>
      </c>
    </row>
    <row r="173" customFormat="false" ht="15" hidden="false" customHeight="false" outlineLevel="0" collapsed="false">
      <c r="A173" s="85" t="str">
        <f aca="false">SRC_DC!$A59&amp;""</f>
        <v/>
      </c>
      <c r="B173" s="54" t="s">
        <v>5966</v>
      </c>
      <c r="C173" s="53" t="n">
        <v>59</v>
      </c>
      <c r="D173" s="85" t="n">
        <f aca="false">SRC_DC!$O59</f>
        <v>0</v>
      </c>
      <c r="E173" s="85" t="n">
        <f aca="false">SRC_DC!$K59</f>
        <v>0</v>
      </c>
    </row>
    <row r="174" customFormat="false" ht="15" hidden="false" customHeight="false" outlineLevel="0" collapsed="false">
      <c r="A174" s="85" t="str">
        <f aca="false">SRC_DC!$A60&amp;""</f>
        <v/>
      </c>
      <c r="B174" s="54" t="s">
        <v>5966</v>
      </c>
      <c r="C174" s="53" t="n">
        <v>60</v>
      </c>
      <c r="D174" s="85" t="n">
        <f aca="false">SRC_DC!$O60</f>
        <v>0</v>
      </c>
      <c r="E174" s="85" t="n">
        <f aca="false">SRC_DC!$K60</f>
        <v>0</v>
      </c>
    </row>
    <row r="175" customFormat="false" ht="15" hidden="false" customHeight="false" outlineLevel="0" collapsed="false">
      <c r="A175" s="85" t="str">
        <f aca="false">SRC_DC!$A61&amp;""</f>
        <v/>
      </c>
      <c r="B175" s="54" t="s">
        <v>5966</v>
      </c>
      <c r="C175" s="53" t="n">
        <v>61</v>
      </c>
      <c r="D175" s="85" t="n">
        <f aca="false">SRC_DC!$O61</f>
        <v>0</v>
      </c>
      <c r="E175" s="85" t="n">
        <f aca="false">SRC_DC!$K61</f>
        <v>0</v>
      </c>
    </row>
    <row r="176" customFormat="false" ht="15" hidden="false" customHeight="false" outlineLevel="0" collapsed="false">
      <c r="A176" s="85" t="str">
        <f aca="false">SRC_DC!$A62&amp;""</f>
        <v/>
      </c>
      <c r="B176" s="54" t="s">
        <v>5966</v>
      </c>
      <c r="C176" s="53" t="n">
        <v>62</v>
      </c>
      <c r="D176" s="85" t="n">
        <f aca="false">SRC_DC!$O62</f>
        <v>0</v>
      </c>
      <c r="E176" s="85" t="n">
        <f aca="false">SRC_DC!$K62</f>
        <v>0</v>
      </c>
    </row>
    <row r="177" customFormat="false" ht="15" hidden="false" customHeight="false" outlineLevel="0" collapsed="false">
      <c r="A177" s="85" t="str">
        <f aca="false">SRC_DC!$A63&amp;""</f>
        <v/>
      </c>
      <c r="B177" s="54" t="s">
        <v>5966</v>
      </c>
      <c r="C177" s="53" t="n">
        <v>63</v>
      </c>
      <c r="D177" s="85" t="n">
        <f aca="false">SRC_DC!$O63</f>
        <v>0</v>
      </c>
      <c r="E177" s="85" t="n">
        <f aca="false">SRC_DC!$K63</f>
        <v>0</v>
      </c>
    </row>
    <row r="178" customFormat="false" ht="15" hidden="false" customHeight="false" outlineLevel="0" collapsed="false">
      <c r="A178" s="85" t="str">
        <f aca="false">SRC_DC!$A64&amp;""</f>
        <v/>
      </c>
      <c r="B178" s="54" t="s">
        <v>5966</v>
      </c>
      <c r="C178" s="53" t="n">
        <v>64</v>
      </c>
      <c r="D178" s="85" t="n">
        <f aca="false">SRC_DC!$O64</f>
        <v>0</v>
      </c>
      <c r="E178" s="85" t="n">
        <f aca="false">SRC_DC!$K64</f>
        <v>0</v>
      </c>
    </row>
    <row r="179" customFormat="false" ht="15" hidden="false" customHeight="false" outlineLevel="0" collapsed="false">
      <c r="A179" s="85" t="str">
        <f aca="false">SRC_DC!$A65&amp;""</f>
        <v/>
      </c>
      <c r="B179" s="54" t="s">
        <v>5966</v>
      </c>
      <c r="C179" s="53" t="n">
        <v>65</v>
      </c>
      <c r="D179" s="85" t="n">
        <f aca="false">SRC_DC!$O65</f>
        <v>0</v>
      </c>
      <c r="E179" s="85" t="n">
        <f aca="false">SRC_DC!$K65</f>
        <v>0</v>
      </c>
    </row>
    <row r="180" customFormat="false" ht="15" hidden="false" customHeight="false" outlineLevel="0" collapsed="false">
      <c r="A180" s="85" t="str">
        <f aca="false">SRC_DC!$A66&amp;""</f>
        <v/>
      </c>
      <c r="B180" s="54" t="s">
        <v>5966</v>
      </c>
      <c r="C180" s="53" t="n">
        <v>66</v>
      </c>
      <c r="D180" s="85" t="n">
        <f aca="false">SRC_DC!$O66</f>
        <v>0</v>
      </c>
      <c r="E180" s="85" t="n">
        <f aca="false">SRC_DC!$K66</f>
        <v>0</v>
      </c>
    </row>
    <row r="181" customFormat="false" ht="15" hidden="false" customHeight="false" outlineLevel="0" collapsed="false">
      <c r="A181" s="85" t="str">
        <f aca="false">SRC_DC!$A67&amp;""</f>
        <v/>
      </c>
      <c r="B181" s="54" t="s">
        <v>5966</v>
      </c>
      <c r="C181" s="53" t="n">
        <v>67</v>
      </c>
      <c r="D181" s="85" t="n">
        <f aca="false">SRC_DC!$O67</f>
        <v>0</v>
      </c>
      <c r="E181" s="85" t="n">
        <f aca="false">SRC_DC!$K67</f>
        <v>0</v>
      </c>
    </row>
    <row r="182" customFormat="false" ht="15" hidden="false" customHeight="false" outlineLevel="0" collapsed="false">
      <c r="A182" s="85" t="str">
        <f aca="false">SRC_Model!$A5&amp;""</f>
        <v>SRC_MOD_001</v>
      </c>
      <c r="B182" s="54" t="s">
        <v>5967</v>
      </c>
      <c r="C182" s="53" t="n">
        <v>5</v>
      </c>
      <c r="D182" s="85" t="str">
        <f aca="false">SRC_Model!$O5</f>
        <v>Active</v>
      </c>
      <c r="E182" s="85" t="n">
        <f aca="false">SRC_Model!$K5</f>
        <v>3</v>
      </c>
    </row>
    <row r="183" customFormat="false" ht="15" hidden="false" customHeight="false" outlineLevel="0" collapsed="false">
      <c r="A183" s="85" t="str">
        <f aca="false">SRC_Model!$A6&amp;""</f>
        <v>SRC_MOD_002</v>
      </c>
      <c r="B183" s="54" t="s">
        <v>5967</v>
      </c>
      <c r="C183" s="53" t="n">
        <v>6</v>
      </c>
      <c r="D183" s="85" t="str">
        <f aca="false">SRC_Model!$O6</f>
        <v>Active</v>
      </c>
      <c r="E183" s="85" t="n">
        <f aca="false">SRC_Model!$K6</f>
        <v>1</v>
      </c>
    </row>
    <row r="184" customFormat="false" ht="15" hidden="false" customHeight="false" outlineLevel="0" collapsed="false">
      <c r="A184" s="85" t="str">
        <f aca="false">SRC_Model!$A7&amp;""</f>
        <v>SRC_MOD_003</v>
      </c>
      <c r="B184" s="54" t="s">
        <v>5967</v>
      </c>
      <c r="C184" s="53" t="n">
        <v>7</v>
      </c>
      <c r="D184" s="85" t="str">
        <f aca="false">SRC_Model!$O7</f>
        <v>Active</v>
      </c>
      <c r="E184" s="85" t="n">
        <f aca="false">SRC_Model!$K7</f>
        <v>3</v>
      </c>
    </row>
    <row r="185" customFormat="false" ht="15" hidden="false" customHeight="false" outlineLevel="0" collapsed="false">
      <c r="A185" s="85" t="str">
        <f aca="false">SRC_Model!$A8&amp;""</f>
        <v>SRC_MOD_004</v>
      </c>
      <c r="B185" s="54" t="s">
        <v>5967</v>
      </c>
      <c r="C185" s="53" t="n">
        <v>8</v>
      </c>
      <c r="D185" s="85" t="str">
        <f aca="false">SRC_Model!$O8</f>
        <v>Active</v>
      </c>
      <c r="E185" s="85" t="n">
        <f aca="false">SRC_Model!$K8</f>
        <v>3</v>
      </c>
    </row>
    <row r="186" customFormat="false" ht="15" hidden="false" customHeight="false" outlineLevel="0" collapsed="false">
      <c r="A186" s="85" t="str">
        <f aca="false">SRC_Model!$A9&amp;""</f>
        <v>SRC_MOD_005</v>
      </c>
      <c r="B186" s="54" t="s">
        <v>5967</v>
      </c>
      <c r="C186" s="53" t="n">
        <v>9</v>
      </c>
      <c r="D186" s="85" t="str">
        <f aca="false">SRC_Model!$O9</f>
        <v>Active</v>
      </c>
      <c r="E186" s="85" t="n">
        <f aca="false">SRC_Model!$K9</f>
        <v>3</v>
      </c>
    </row>
    <row r="187" customFormat="false" ht="15" hidden="false" customHeight="false" outlineLevel="0" collapsed="false">
      <c r="A187" s="85" t="str">
        <f aca="false">SRC_Model!$A10&amp;""</f>
        <v>SRC_MOD_006</v>
      </c>
      <c r="B187" s="54" t="s">
        <v>5967</v>
      </c>
      <c r="C187" s="53" t="n">
        <v>10</v>
      </c>
      <c r="D187" s="85" t="str">
        <f aca="false">SRC_Model!$O10</f>
        <v>Active</v>
      </c>
      <c r="E187" s="85" t="n">
        <f aca="false">SRC_Model!$K10</f>
        <v>1</v>
      </c>
    </row>
    <row r="188" customFormat="false" ht="15" hidden="false" customHeight="false" outlineLevel="0" collapsed="false">
      <c r="A188" s="85" t="str">
        <f aca="false">SRC_Model!$A11&amp;""</f>
        <v>SRC_MOD_007</v>
      </c>
      <c r="B188" s="54" t="s">
        <v>5967</v>
      </c>
      <c r="C188" s="53" t="n">
        <v>11</v>
      </c>
      <c r="D188" s="85" t="str">
        <f aca="false">SRC_Model!$O11</f>
        <v>Active</v>
      </c>
      <c r="E188" s="85" t="n">
        <f aca="false">SRC_Model!$K11</f>
        <v>1</v>
      </c>
    </row>
    <row r="189" customFormat="false" ht="15" hidden="false" customHeight="false" outlineLevel="0" collapsed="false">
      <c r="A189" s="85" t="str">
        <f aca="false">SRC_Model!$A12&amp;""</f>
        <v>SRC_MOD_008</v>
      </c>
      <c r="B189" s="54" t="s">
        <v>5967</v>
      </c>
      <c r="C189" s="53" t="n">
        <v>12</v>
      </c>
      <c r="D189" s="85" t="str">
        <f aca="false">SRC_Model!$O12</f>
        <v>Active</v>
      </c>
      <c r="E189" s="85" t="n">
        <f aca="false">SRC_Model!$K12</f>
        <v>3</v>
      </c>
    </row>
    <row r="190" customFormat="false" ht="15" hidden="false" customHeight="false" outlineLevel="0" collapsed="false">
      <c r="A190" s="85" t="str">
        <f aca="false">SRC_Model!$A13&amp;""</f>
        <v>SRC_MOD_009</v>
      </c>
      <c r="B190" s="54" t="s">
        <v>5967</v>
      </c>
      <c r="C190" s="53" t="n">
        <v>13</v>
      </c>
      <c r="D190" s="85" t="str">
        <f aca="false">SRC_Model!$O13</f>
        <v>Active</v>
      </c>
      <c r="E190" s="85" t="n">
        <f aca="false">SRC_Model!$K13</f>
        <v>1</v>
      </c>
    </row>
    <row r="191" customFormat="false" ht="15" hidden="false" customHeight="false" outlineLevel="0" collapsed="false">
      <c r="A191" s="85" t="str">
        <f aca="false">SRC_Model!$A14&amp;""</f>
        <v>SRC_MOD_010</v>
      </c>
      <c r="B191" s="54" t="s">
        <v>5967</v>
      </c>
      <c r="C191" s="53" t="n">
        <v>14</v>
      </c>
      <c r="D191" s="85" t="str">
        <f aca="false">SRC_Model!$O14</f>
        <v>Active</v>
      </c>
      <c r="E191" s="85" t="n">
        <f aca="false">SRC_Model!$K14</f>
        <v>1</v>
      </c>
    </row>
    <row r="192" customFormat="false" ht="15" hidden="false" customHeight="false" outlineLevel="0" collapsed="false">
      <c r="A192" s="85" t="str">
        <f aca="false">SRC_Model!$A15&amp;""</f>
        <v>SRC_MOD_011</v>
      </c>
      <c r="B192" s="54" t="s">
        <v>5967</v>
      </c>
      <c r="C192" s="53" t="n">
        <v>15</v>
      </c>
      <c r="D192" s="85" t="str">
        <f aca="false">SRC_Model!$O15</f>
        <v>Active</v>
      </c>
      <c r="E192" s="85" t="n">
        <f aca="false">SRC_Model!$K15</f>
        <v>1</v>
      </c>
    </row>
    <row r="193" customFormat="false" ht="15" hidden="false" customHeight="false" outlineLevel="0" collapsed="false">
      <c r="A193" s="85" t="str">
        <f aca="false">SRC_Model!$A16&amp;""</f>
        <v>SRC_MOD_012</v>
      </c>
      <c r="B193" s="54" t="s">
        <v>5967</v>
      </c>
      <c r="C193" s="53" t="n">
        <v>16</v>
      </c>
      <c r="D193" s="85" t="str">
        <f aca="false">SRC_Model!$O16</f>
        <v>Active</v>
      </c>
      <c r="E193" s="85" t="n">
        <f aca="false">SRC_Model!$K16</f>
        <v>1</v>
      </c>
    </row>
    <row r="194" customFormat="false" ht="15" hidden="false" customHeight="false" outlineLevel="0" collapsed="false">
      <c r="A194" s="85" t="str">
        <f aca="false">SRC_Model!$A17&amp;""</f>
        <v>SRC_MOD_013</v>
      </c>
      <c r="B194" s="54" t="s">
        <v>5967</v>
      </c>
      <c r="C194" s="53" t="n">
        <v>17</v>
      </c>
      <c r="D194" s="85" t="str">
        <f aca="false">SRC_Model!$O17</f>
        <v>Active</v>
      </c>
      <c r="E194" s="85" t="n">
        <f aca="false">SRC_Model!$K17</f>
        <v>1</v>
      </c>
    </row>
    <row r="195" customFormat="false" ht="15" hidden="false" customHeight="false" outlineLevel="0" collapsed="false">
      <c r="A195" s="85" t="str">
        <f aca="false">SRC_Model!$A18&amp;""</f>
        <v>SRC_MOD_014</v>
      </c>
      <c r="B195" s="54" t="s">
        <v>5967</v>
      </c>
      <c r="C195" s="53" t="n">
        <v>18</v>
      </c>
      <c r="D195" s="85" t="str">
        <f aca="false">SRC_Model!$O18</f>
        <v>Active</v>
      </c>
      <c r="E195" s="85" t="n">
        <f aca="false">SRC_Model!$K18</f>
        <v>1</v>
      </c>
    </row>
    <row r="196" customFormat="false" ht="15" hidden="false" customHeight="false" outlineLevel="0" collapsed="false">
      <c r="A196" s="85" t="str">
        <f aca="false">SRC_Model!$A19&amp;""</f>
        <v>SRC_MOD_015</v>
      </c>
      <c r="B196" s="54" t="s">
        <v>5967</v>
      </c>
      <c r="C196" s="53" t="n">
        <v>19</v>
      </c>
      <c r="D196" s="85" t="str">
        <f aca="false">SRC_Model!$O19</f>
        <v>Active</v>
      </c>
      <c r="E196" s="85" t="n">
        <f aca="false">SRC_Model!$K19</f>
        <v>1</v>
      </c>
    </row>
    <row r="197" customFormat="false" ht="15" hidden="false" customHeight="false" outlineLevel="0" collapsed="false">
      <c r="A197" s="85" t="str">
        <f aca="false">SRC_Model!$A20&amp;""</f>
        <v>SRC_MOD_016</v>
      </c>
      <c r="B197" s="54" t="s">
        <v>5967</v>
      </c>
      <c r="C197" s="53" t="n">
        <v>20</v>
      </c>
      <c r="D197" s="85" t="str">
        <f aca="false">SRC_Model!$O20</f>
        <v>Active</v>
      </c>
      <c r="E197" s="85" t="n">
        <f aca="false">SRC_Model!$K20</f>
        <v>1</v>
      </c>
    </row>
    <row r="198" customFormat="false" ht="15" hidden="false" customHeight="false" outlineLevel="0" collapsed="false">
      <c r="A198" s="85" t="str">
        <f aca="false">SRC_Model!$A21&amp;""</f>
        <v>SRC_MOD_017</v>
      </c>
      <c r="B198" s="54" t="s">
        <v>5967</v>
      </c>
      <c r="C198" s="53" t="n">
        <v>21</v>
      </c>
      <c r="D198" s="85" t="str">
        <f aca="false">SRC_Model!$O21</f>
        <v>Active</v>
      </c>
      <c r="E198" s="85" t="n">
        <f aca="false">SRC_Model!$K21</f>
        <v>1</v>
      </c>
    </row>
    <row r="199" customFormat="false" ht="15" hidden="false" customHeight="false" outlineLevel="0" collapsed="false">
      <c r="A199" s="85" t="str">
        <f aca="false">SRC_Model!$A22&amp;""</f>
        <v>SRC_MOD_018</v>
      </c>
      <c r="B199" s="54" t="s">
        <v>5967</v>
      </c>
      <c r="C199" s="53" t="n">
        <v>22</v>
      </c>
      <c r="D199" s="85" t="str">
        <f aca="false">SRC_Model!$O22</f>
        <v>Active</v>
      </c>
      <c r="E199" s="85" t="n">
        <f aca="false">SRC_Model!$K22</f>
        <v>3</v>
      </c>
    </row>
    <row r="200" customFormat="false" ht="15" hidden="false" customHeight="false" outlineLevel="0" collapsed="false">
      <c r="A200" s="85" t="str">
        <f aca="false">SRC_Model!$A23&amp;""</f>
        <v>SRC_MOD_019</v>
      </c>
      <c r="B200" s="54" t="s">
        <v>5967</v>
      </c>
      <c r="C200" s="53" t="n">
        <v>23</v>
      </c>
      <c r="D200" s="85" t="str">
        <f aca="false">SRC_Model!$O23</f>
        <v>Active</v>
      </c>
      <c r="E200" s="85" t="n">
        <f aca="false">SRC_Model!$K23</f>
        <v>3</v>
      </c>
    </row>
    <row r="201" customFormat="false" ht="15" hidden="false" customHeight="false" outlineLevel="0" collapsed="false">
      <c r="A201" s="85" t="str">
        <f aca="false">SRC_Model!$A24&amp;""</f>
        <v>SRC_MOD_020</v>
      </c>
      <c r="B201" s="54" t="s">
        <v>5967</v>
      </c>
      <c r="C201" s="53" t="n">
        <v>24</v>
      </c>
      <c r="D201" s="85" t="str">
        <f aca="false">SRC_Model!$O24</f>
        <v>Active</v>
      </c>
      <c r="E201" s="85" t="n">
        <f aca="false">SRC_Model!$K24</f>
        <v>3</v>
      </c>
    </row>
    <row r="202" customFormat="false" ht="15" hidden="false" customHeight="false" outlineLevel="0" collapsed="false">
      <c r="A202" s="85" t="str">
        <f aca="false">SRC_Model!$A25&amp;""</f>
        <v>SRC_MOD_021</v>
      </c>
      <c r="B202" s="54" t="s">
        <v>5967</v>
      </c>
      <c r="C202" s="53" t="n">
        <v>25</v>
      </c>
      <c r="D202" s="85" t="str">
        <f aca="false">SRC_Model!$O25</f>
        <v>Active</v>
      </c>
      <c r="E202" s="85" t="n">
        <f aca="false">SRC_Model!$K25</f>
        <v>3</v>
      </c>
    </row>
    <row r="203" customFormat="false" ht="15" hidden="false" customHeight="false" outlineLevel="0" collapsed="false">
      <c r="A203" s="85" t="str">
        <f aca="false">SRC_Model!$A26&amp;""</f>
        <v>SRC_MOD_022</v>
      </c>
      <c r="B203" s="54" t="s">
        <v>5967</v>
      </c>
      <c r="C203" s="53" t="n">
        <v>26</v>
      </c>
      <c r="D203" s="85" t="str">
        <f aca="false">SRC_Model!$O26</f>
        <v>Active</v>
      </c>
      <c r="E203" s="85" t="n">
        <f aca="false">SRC_Model!$K26</f>
        <v>3</v>
      </c>
    </row>
    <row r="204" customFormat="false" ht="15" hidden="false" customHeight="false" outlineLevel="0" collapsed="false">
      <c r="A204" s="85" t="str">
        <f aca="false">SRC_Model!$A27&amp;""</f>
        <v>SRC_MOD_023</v>
      </c>
      <c r="B204" s="54" t="s">
        <v>5967</v>
      </c>
      <c r="C204" s="53" t="n">
        <v>27</v>
      </c>
      <c r="D204" s="85" t="str">
        <f aca="false">SRC_Model!$O27</f>
        <v>Active</v>
      </c>
      <c r="E204" s="85" t="n">
        <f aca="false">SRC_Model!$K27</f>
        <v>3</v>
      </c>
    </row>
    <row r="205" customFormat="false" ht="15" hidden="false" customHeight="false" outlineLevel="0" collapsed="false">
      <c r="A205" s="85" t="str">
        <f aca="false">SRC_Model!$A28&amp;""</f>
        <v>SRC_MOD_024</v>
      </c>
      <c r="B205" s="54" t="s">
        <v>5967</v>
      </c>
      <c r="C205" s="53" t="n">
        <v>28</v>
      </c>
      <c r="D205" s="85" t="str">
        <f aca="false">SRC_Model!$O28</f>
        <v>Active</v>
      </c>
      <c r="E205" s="85" t="n">
        <f aca="false">SRC_Model!$K28</f>
        <v>3</v>
      </c>
    </row>
    <row r="206" customFormat="false" ht="15" hidden="false" customHeight="false" outlineLevel="0" collapsed="false">
      <c r="A206" s="85" t="str">
        <f aca="false">SRC_Model!$A29&amp;""</f>
        <v>SRC_MOD_025</v>
      </c>
      <c r="B206" s="54" t="s">
        <v>5967</v>
      </c>
      <c r="C206" s="53" t="n">
        <v>29</v>
      </c>
      <c r="D206" s="85" t="str">
        <f aca="false">SRC_Model!$O29</f>
        <v>Active</v>
      </c>
      <c r="E206" s="85" t="n">
        <f aca="false">SRC_Model!$K29</f>
        <v>3</v>
      </c>
    </row>
    <row r="207" customFormat="false" ht="15" hidden="false" customHeight="false" outlineLevel="0" collapsed="false">
      <c r="A207" s="85" t="str">
        <f aca="false">SRC_Model!$A30&amp;""</f>
        <v>SRC_MOD_026</v>
      </c>
      <c r="B207" s="54" t="s">
        <v>5967</v>
      </c>
      <c r="C207" s="53" t="n">
        <v>30</v>
      </c>
      <c r="D207" s="85" t="str">
        <f aca="false">SRC_Model!$O30</f>
        <v>Active</v>
      </c>
      <c r="E207" s="85" t="n">
        <f aca="false">SRC_Model!$K30</f>
        <v>3</v>
      </c>
    </row>
    <row r="208" customFormat="false" ht="15" hidden="false" customHeight="false" outlineLevel="0" collapsed="false">
      <c r="A208" s="85" t="str">
        <f aca="false">SRC_Model!$A31&amp;""</f>
        <v>SRC_MOD_027</v>
      </c>
      <c r="B208" s="54" t="s">
        <v>5967</v>
      </c>
      <c r="C208" s="53" t="n">
        <v>31</v>
      </c>
      <c r="D208" s="85" t="str">
        <f aca="false">SRC_Model!$O31</f>
        <v>Active</v>
      </c>
      <c r="E208" s="85" t="n">
        <f aca="false">SRC_Model!$K31</f>
        <v>3</v>
      </c>
    </row>
    <row r="209" customFormat="false" ht="15" hidden="false" customHeight="false" outlineLevel="0" collapsed="false">
      <c r="A209" s="85" t="str">
        <f aca="false">SRC_Model!$A32&amp;""</f>
        <v>SRC_MOD_028</v>
      </c>
      <c r="B209" s="54" t="s">
        <v>5967</v>
      </c>
      <c r="C209" s="53" t="n">
        <v>32</v>
      </c>
      <c r="D209" s="85" t="str">
        <f aca="false">SRC_Model!$O32</f>
        <v>Active</v>
      </c>
      <c r="E209" s="85" t="n">
        <f aca="false">SRC_Model!$K32</f>
        <v>3</v>
      </c>
    </row>
    <row r="210" customFormat="false" ht="15" hidden="false" customHeight="false" outlineLevel="0" collapsed="false">
      <c r="A210" s="85" t="str">
        <f aca="false">SRC_Model!$A33&amp;""</f>
        <v>SRC_MOD_029</v>
      </c>
      <c r="B210" s="54" t="s">
        <v>5967</v>
      </c>
      <c r="C210" s="53" t="n">
        <v>33</v>
      </c>
      <c r="D210" s="85" t="str">
        <f aca="false">SRC_Model!$O33</f>
        <v>Active</v>
      </c>
      <c r="E210" s="85" t="n">
        <f aca="false">SRC_Model!$K33</f>
        <v>1</v>
      </c>
    </row>
    <row r="211" customFormat="false" ht="15" hidden="false" customHeight="false" outlineLevel="0" collapsed="false">
      <c r="A211" s="85" t="str">
        <f aca="false">SRC_Model!$A34&amp;""</f>
        <v>SRC_MOD_030</v>
      </c>
      <c r="B211" s="54" t="s">
        <v>5967</v>
      </c>
      <c r="C211" s="53" t="n">
        <v>34</v>
      </c>
      <c r="D211" s="85" t="str">
        <f aca="false">SRC_Model!$O34</f>
        <v>Active</v>
      </c>
      <c r="E211" s="85" t="n">
        <f aca="false">SRC_Model!$K34</f>
        <v>1</v>
      </c>
    </row>
    <row r="212" customFormat="false" ht="15" hidden="false" customHeight="false" outlineLevel="0" collapsed="false">
      <c r="A212" s="85" t="str">
        <f aca="false">SRC_Model!$A35&amp;""</f>
        <v>SRC_MOD_031</v>
      </c>
      <c r="B212" s="54" t="s">
        <v>5967</v>
      </c>
      <c r="C212" s="53" t="n">
        <v>35</v>
      </c>
      <c r="D212" s="85" t="str">
        <f aca="false">SRC_Model!$O35</f>
        <v>Active</v>
      </c>
      <c r="E212" s="85" t="n">
        <f aca="false">SRC_Model!$K35</f>
        <v>1</v>
      </c>
    </row>
    <row r="213" customFormat="false" ht="15" hidden="false" customHeight="false" outlineLevel="0" collapsed="false">
      <c r="A213" s="85" t="str">
        <f aca="false">SRC_Model!$A36&amp;""</f>
        <v>SRC_MOD_032</v>
      </c>
      <c r="B213" s="54" t="s">
        <v>5967</v>
      </c>
      <c r="C213" s="53" t="n">
        <v>36</v>
      </c>
      <c r="D213" s="85" t="str">
        <f aca="false">SRC_Model!$O36</f>
        <v>Active</v>
      </c>
      <c r="E213" s="85" t="n">
        <f aca="false">SRC_Model!$K36</f>
        <v>1</v>
      </c>
    </row>
    <row r="214" customFormat="false" ht="15" hidden="false" customHeight="false" outlineLevel="0" collapsed="false">
      <c r="A214" s="85" t="str">
        <f aca="false">SRC_Model!$A37&amp;""</f>
        <v>SRC_MOD_033</v>
      </c>
      <c r="B214" s="54" t="s">
        <v>5967</v>
      </c>
      <c r="C214" s="53" t="n">
        <v>37</v>
      </c>
      <c r="D214" s="85" t="str">
        <f aca="false">SRC_Model!$O37</f>
        <v>Active</v>
      </c>
      <c r="E214" s="85" t="n">
        <f aca="false">SRC_Model!$K37</f>
        <v>1</v>
      </c>
    </row>
    <row r="215" customFormat="false" ht="15" hidden="false" customHeight="false" outlineLevel="0" collapsed="false">
      <c r="A215" s="85" t="str">
        <f aca="false">SRC_Model!$A38&amp;""</f>
        <v>SRC_MOD_034</v>
      </c>
      <c r="B215" s="54" t="s">
        <v>5967</v>
      </c>
      <c r="C215" s="53" t="n">
        <v>38</v>
      </c>
      <c r="D215" s="85" t="str">
        <f aca="false">SRC_Model!$O38</f>
        <v>Active</v>
      </c>
      <c r="E215" s="85" t="n">
        <f aca="false">SRC_Model!$K38</f>
        <v>2</v>
      </c>
    </row>
    <row r="216" customFormat="false" ht="15" hidden="false" customHeight="false" outlineLevel="0" collapsed="false">
      <c r="A216" s="85" t="str">
        <f aca="false">SRC_Model!$A39&amp;""</f>
        <v>SRC_MOD_035</v>
      </c>
      <c r="B216" s="54" t="s">
        <v>5967</v>
      </c>
      <c r="C216" s="53" t="n">
        <v>39</v>
      </c>
      <c r="D216" s="85" t="str">
        <f aca="false">SRC_Model!$O39</f>
        <v>Active</v>
      </c>
      <c r="E216" s="85" t="n">
        <f aca="false">SRC_Model!$K39</f>
        <v>2</v>
      </c>
    </row>
    <row r="217" customFormat="false" ht="15" hidden="false" customHeight="false" outlineLevel="0" collapsed="false">
      <c r="A217" s="85" t="str">
        <f aca="false">SRC_Model!$A40&amp;""</f>
        <v>SRC_MOD_036</v>
      </c>
      <c r="B217" s="54" t="s">
        <v>5967</v>
      </c>
      <c r="C217" s="53" t="n">
        <v>40</v>
      </c>
      <c r="D217" s="85" t="str">
        <f aca="false">SRC_Model!$O40</f>
        <v>Active</v>
      </c>
      <c r="E217" s="85" t="n">
        <f aca="false">SRC_Model!$K40</f>
        <v>1</v>
      </c>
    </row>
    <row r="218" customFormat="false" ht="15" hidden="false" customHeight="false" outlineLevel="0" collapsed="false">
      <c r="A218" s="85" t="str">
        <f aca="false">SRC_Model!$A41&amp;""</f>
        <v>SRC_MOD_037</v>
      </c>
      <c r="B218" s="54" t="s">
        <v>5967</v>
      </c>
      <c r="C218" s="53" t="n">
        <v>41</v>
      </c>
      <c r="D218" s="85" t="str">
        <f aca="false">SRC_Model!$O41</f>
        <v>Active</v>
      </c>
      <c r="E218" s="85" t="n">
        <f aca="false">SRC_Model!$K41</f>
        <v>1</v>
      </c>
    </row>
    <row r="219" customFormat="false" ht="15" hidden="false" customHeight="false" outlineLevel="0" collapsed="false">
      <c r="A219" s="85" t="str">
        <f aca="false">SRC_Model!$A42&amp;""</f>
        <v>SRC_MOD_038</v>
      </c>
      <c r="B219" s="54" t="s">
        <v>5967</v>
      </c>
      <c r="C219" s="53" t="n">
        <v>42</v>
      </c>
      <c r="D219" s="85" t="str">
        <f aca="false">SRC_Model!$O42</f>
        <v>Active</v>
      </c>
      <c r="E219" s="85" t="n">
        <f aca="false">SRC_Model!$K42</f>
        <v>1</v>
      </c>
    </row>
    <row r="220" customFormat="false" ht="15" hidden="false" customHeight="false" outlineLevel="0" collapsed="false">
      <c r="A220" s="85" t="str">
        <f aca="false">SRC_Model!$A43&amp;""</f>
        <v>SRC_MOD_039</v>
      </c>
      <c r="B220" s="54" t="s">
        <v>5967</v>
      </c>
      <c r="C220" s="53" t="n">
        <v>43</v>
      </c>
      <c r="D220" s="85" t="str">
        <f aca="false">SRC_Model!$O43</f>
        <v>Active</v>
      </c>
      <c r="E220" s="85" t="n">
        <f aca="false">SRC_Model!$K43</f>
        <v>3</v>
      </c>
    </row>
    <row r="221" customFormat="false" ht="15" hidden="false" customHeight="false" outlineLevel="0" collapsed="false">
      <c r="A221" s="85" t="str">
        <f aca="false">SRC_Model!$A44&amp;""</f>
        <v>SRC_MOD_040</v>
      </c>
      <c r="B221" s="54" t="s">
        <v>5967</v>
      </c>
      <c r="C221" s="53" t="n">
        <v>44</v>
      </c>
      <c r="D221" s="85" t="str">
        <f aca="false">SRC_Model!$O44</f>
        <v>Active</v>
      </c>
      <c r="E221" s="85" t="n">
        <f aca="false">SRC_Model!$K44</f>
        <v>3</v>
      </c>
    </row>
    <row r="222" customFormat="false" ht="15" hidden="false" customHeight="false" outlineLevel="0" collapsed="false">
      <c r="A222" s="85" t="str">
        <f aca="false">SRC_Model!$A45&amp;""</f>
        <v>SRC_MOD_041</v>
      </c>
      <c r="B222" s="54" t="s">
        <v>5967</v>
      </c>
      <c r="C222" s="53" t="n">
        <v>45</v>
      </c>
      <c r="D222" s="85" t="str">
        <f aca="false">SRC_Model!$O45</f>
        <v>Active</v>
      </c>
      <c r="E222" s="85" t="n">
        <f aca="false">SRC_Model!$K45</f>
        <v>3</v>
      </c>
    </row>
    <row r="223" customFormat="false" ht="15" hidden="false" customHeight="false" outlineLevel="0" collapsed="false">
      <c r="A223" s="85" t="str">
        <f aca="false">SRC_Model!$A46&amp;""</f>
        <v>SRC_MOD_042</v>
      </c>
      <c r="B223" s="54" t="s">
        <v>5967</v>
      </c>
      <c r="C223" s="53" t="n">
        <v>46</v>
      </c>
      <c r="D223" s="85" t="str">
        <f aca="false">SRC_Model!$O46</f>
        <v>Active</v>
      </c>
      <c r="E223" s="85" t="n">
        <f aca="false">SRC_Model!$K46</f>
        <v>3</v>
      </c>
    </row>
    <row r="224" customFormat="false" ht="15" hidden="false" customHeight="false" outlineLevel="0" collapsed="false">
      <c r="A224" s="85" t="str">
        <f aca="false">SRC_Model!$A47&amp;""</f>
        <v>SRC_MOD_043</v>
      </c>
      <c r="B224" s="54" t="s">
        <v>5967</v>
      </c>
      <c r="C224" s="53" t="n">
        <v>47</v>
      </c>
      <c r="D224" s="85" t="str">
        <f aca="false">SRC_Model!$O47</f>
        <v>Active</v>
      </c>
      <c r="E224" s="85" t="n">
        <f aca="false">SRC_Model!$K47</f>
        <v>1</v>
      </c>
    </row>
    <row r="225" customFormat="false" ht="15" hidden="false" customHeight="false" outlineLevel="0" collapsed="false">
      <c r="A225" s="85" t="str">
        <f aca="false">SRC_Model!$A48&amp;""</f>
        <v>SRC_MOD_044</v>
      </c>
      <c r="B225" s="54" t="s">
        <v>5967</v>
      </c>
      <c r="C225" s="53" t="n">
        <v>48</v>
      </c>
      <c r="D225" s="85" t="str">
        <f aca="false">SRC_Model!$O48</f>
        <v>Active</v>
      </c>
      <c r="E225" s="85" t="n">
        <f aca="false">SRC_Model!$K48</f>
        <v>1</v>
      </c>
    </row>
    <row r="226" customFormat="false" ht="15" hidden="false" customHeight="false" outlineLevel="0" collapsed="false">
      <c r="A226" s="85" t="str">
        <f aca="false">SRC_Model!$A49&amp;""</f>
        <v>SRC_MOD_045</v>
      </c>
      <c r="B226" s="54" t="s">
        <v>5967</v>
      </c>
      <c r="C226" s="53" t="n">
        <v>49</v>
      </c>
      <c r="D226" s="85" t="str">
        <f aca="false">SRC_Model!$O49</f>
        <v>Active</v>
      </c>
      <c r="E226" s="85" t="n">
        <f aca="false">SRC_Model!$K49</f>
        <v>2</v>
      </c>
    </row>
    <row r="227" customFormat="false" ht="15" hidden="false" customHeight="false" outlineLevel="0" collapsed="false">
      <c r="A227" s="85" t="str">
        <f aca="false">SRC_Model!$A50&amp;""</f>
        <v>SRC_MOD_046</v>
      </c>
      <c r="B227" s="54" t="s">
        <v>5967</v>
      </c>
      <c r="C227" s="53" t="n">
        <v>50</v>
      </c>
      <c r="D227" s="85" t="str">
        <f aca="false">SRC_Model!$O50</f>
        <v>Active</v>
      </c>
      <c r="E227" s="85" t="n">
        <f aca="false">SRC_Model!$K50</f>
        <v>2</v>
      </c>
    </row>
    <row r="228" customFormat="false" ht="15" hidden="false" customHeight="false" outlineLevel="0" collapsed="false">
      <c r="A228" s="85" t="str">
        <f aca="false">SRC_Model!$A51&amp;""</f>
        <v>SRC_MOD_047</v>
      </c>
      <c r="B228" s="54" t="s">
        <v>5967</v>
      </c>
      <c r="C228" s="53" t="n">
        <v>51</v>
      </c>
      <c r="D228" s="85" t="str">
        <f aca="false">SRC_Model!$O51</f>
        <v>Active</v>
      </c>
      <c r="E228" s="85" t="n">
        <f aca="false">SRC_Model!$K51</f>
        <v>1</v>
      </c>
    </row>
    <row r="229" customFormat="false" ht="15" hidden="false" customHeight="false" outlineLevel="0" collapsed="false">
      <c r="A229" s="85" t="str">
        <f aca="false">SRC_Model!$A52&amp;""</f>
        <v>SRC_MOD_048</v>
      </c>
      <c r="B229" s="54" t="s">
        <v>5967</v>
      </c>
      <c r="C229" s="53" t="n">
        <v>52</v>
      </c>
      <c r="D229" s="85" t="str">
        <f aca="false">SRC_Model!$O52</f>
        <v>Active</v>
      </c>
      <c r="E229" s="85" t="n">
        <f aca="false">SRC_Model!$K52</f>
        <v>1</v>
      </c>
    </row>
    <row r="230" customFormat="false" ht="15" hidden="false" customHeight="false" outlineLevel="0" collapsed="false">
      <c r="A230" s="85" t="str">
        <f aca="false">SRC_Model!$A53&amp;""</f>
        <v>SRC_MOD_049</v>
      </c>
      <c r="B230" s="54" t="s">
        <v>5967</v>
      </c>
      <c r="C230" s="53" t="n">
        <v>53</v>
      </c>
      <c r="D230" s="85" t="str">
        <f aca="false">SRC_Model!$O53</f>
        <v>Active</v>
      </c>
      <c r="E230" s="85" t="n">
        <f aca="false">SRC_Model!$K53</f>
        <v>3</v>
      </c>
    </row>
    <row r="231" customFormat="false" ht="15" hidden="false" customHeight="false" outlineLevel="0" collapsed="false">
      <c r="A231" s="85" t="str">
        <f aca="false">SRC_Model!$A54&amp;""</f>
        <v>SRC_MOD_050</v>
      </c>
      <c r="B231" s="54" t="s">
        <v>5967</v>
      </c>
      <c r="C231" s="53" t="n">
        <v>54</v>
      </c>
      <c r="D231" s="85" t="str">
        <f aca="false">SRC_Model!$O54</f>
        <v>Active</v>
      </c>
      <c r="E231" s="85" t="n">
        <f aca="false">SRC_Model!$K54</f>
        <v>3</v>
      </c>
    </row>
    <row r="232" customFormat="false" ht="15" hidden="false" customHeight="false" outlineLevel="0" collapsed="false">
      <c r="A232" s="85" t="str">
        <f aca="false">SRC_Model!$A55&amp;""</f>
        <v>SRC_MOD_051</v>
      </c>
      <c r="B232" s="54" t="s">
        <v>5967</v>
      </c>
      <c r="C232" s="53" t="n">
        <v>55</v>
      </c>
      <c r="D232" s="85" t="str">
        <f aca="false">SRC_Model!$O55</f>
        <v>Active</v>
      </c>
      <c r="E232" s="85" t="n">
        <f aca="false">SRC_Model!$K55</f>
        <v>3</v>
      </c>
    </row>
    <row r="233" customFormat="false" ht="15" hidden="false" customHeight="false" outlineLevel="0" collapsed="false">
      <c r="A233" s="85" t="str">
        <f aca="false">SRC_Model!$A56&amp;""</f>
        <v>SRC_MOD_052</v>
      </c>
      <c r="B233" s="54" t="s">
        <v>5967</v>
      </c>
      <c r="C233" s="53" t="n">
        <v>56</v>
      </c>
      <c r="D233" s="85" t="str">
        <f aca="false">SRC_Model!$O56</f>
        <v>Active</v>
      </c>
      <c r="E233" s="85" t="n">
        <f aca="false">SRC_Model!$K56</f>
        <v>1</v>
      </c>
    </row>
    <row r="234" customFormat="false" ht="15" hidden="false" customHeight="false" outlineLevel="0" collapsed="false">
      <c r="A234" s="85" t="str">
        <f aca="false">SRC_Model!$A57&amp;""</f>
        <v>SRC_MOD_053</v>
      </c>
      <c r="B234" s="54" t="s">
        <v>5967</v>
      </c>
      <c r="C234" s="53" t="n">
        <v>57</v>
      </c>
      <c r="D234" s="85" t="str">
        <f aca="false">SRC_Model!$O57</f>
        <v>Active</v>
      </c>
      <c r="E234" s="85" t="n">
        <f aca="false">SRC_Model!$K57</f>
        <v>1</v>
      </c>
    </row>
    <row r="235" customFormat="false" ht="15" hidden="false" customHeight="false" outlineLevel="0" collapsed="false">
      <c r="A235" s="85" t="str">
        <f aca="false">SRC_Model!$A58&amp;""</f>
        <v>SRC_MOD_054</v>
      </c>
      <c r="B235" s="54" t="s">
        <v>5967</v>
      </c>
      <c r="C235" s="53" t="n">
        <v>58</v>
      </c>
      <c r="D235" s="85" t="str">
        <f aca="false">SRC_Model!$O58</f>
        <v>Active</v>
      </c>
      <c r="E235" s="85" t="n">
        <f aca="false">SRC_Model!$K58</f>
        <v>1</v>
      </c>
    </row>
    <row r="236" customFormat="false" ht="15" hidden="false" customHeight="false" outlineLevel="0" collapsed="false">
      <c r="A236" s="85" t="str">
        <f aca="false">SRC_Model!$A59&amp;""</f>
        <v/>
      </c>
      <c r="B236" s="54" t="s">
        <v>5967</v>
      </c>
      <c r="C236" s="53" t="n">
        <v>59</v>
      </c>
      <c r="D236" s="85" t="n">
        <f aca="false">SRC_Model!$O59</f>
        <v>0</v>
      </c>
      <c r="E236" s="85" t="n">
        <f aca="false">SRC_Model!$K59</f>
        <v>0</v>
      </c>
    </row>
    <row r="237" customFormat="false" ht="15" hidden="false" customHeight="false" outlineLevel="0" collapsed="false">
      <c r="A237" s="85" t="str">
        <f aca="false">SRC_Model!$A60&amp;""</f>
        <v/>
      </c>
      <c r="B237" s="54" t="s">
        <v>5967</v>
      </c>
      <c r="C237" s="53" t="n">
        <v>60</v>
      </c>
      <c r="D237" s="85" t="n">
        <f aca="false">SRC_Model!$O60</f>
        <v>0</v>
      </c>
      <c r="E237" s="85" t="n">
        <f aca="false">SRC_Model!$K60</f>
        <v>0</v>
      </c>
    </row>
    <row r="238" customFormat="false" ht="15" hidden="false" customHeight="false" outlineLevel="0" collapsed="false">
      <c r="A238" s="85" t="str">
        <f aca="false">SRC_Model!$A61&amp;""</f>
        <v/>
      </c>
      <c r="B238" s="54" t="s">
        <v>5967</v>
      </c>
      <c r="C238" s="53" t="n">
        <v>61</v>
      </c>
      <c r="D238" s="85" t="n">
        <f aca="false">SRC_Model!$O61</f>
        <v>0</v>
      </c>
      <c r="E238" s="85" t="n">
        <f aca="false">SRC_Model!$K61</f>
        <v>0</v>
      </c>
    </row>
    <row r="239" customFormat="false" ht="15" hidden="false" customHeight="false" outlineLevel="0" collapsed="false">
      <c r="A239" s="85" t="str">
        <f aca="false">SRC_Model!$A62&amp;""</f>
        <v/>
      </c>
      <c r="B239" s="54" t="s">
        <v>5967</v>
      </c>
      <c r="C239" s="53" t="n">
        <v>62</v>
      </c>
      <c r="D239" s="85" t="n">
        <f aca="false">SRC_Model!$O62</f>
        <v>0</v>
      </c>
      <c r="E239" s="85" t="n">
        <f aca="false">SRC_Model!$K62</f>
        <v>0</v>
      </c>
    </row>
    <row r="240" customFormat="false" ht="15" hidden="false" customHeight="false" outlineLevel="0" collapsed="false">
      <c r="A240" s="85" t="str">
        <f aca="false">SRC_Model!$A63&amp;""</f>
        <v/>
      </c>
      <c r="B240" s="54" t="s">
        <v>5967</v>
      </c>
      <c r="C240" s="53" t="n">
        <v>63</v>
      </c>
      <c r="D240" s="85" t="n">
        <f aca="false">SRC_Model!$O63</f>
        <v>0</v>
      </c>
      <c r="E240" s="85" t="n">
        <f aca="false">SRC_Model!$K63</f>
        <v>0</v>
      </c>
    </row>
    <row r="241" customFormat="false" ht="15" hidden="false" customHeight="false" outlineLevel="0" collapsed="false">
      <c r="A241" s="85" t="str">
        <f aca="false">SRC_Model!$A64&amp;""</f>
        <v/>
      </c>
      <c r="B241" s="54" t="s">
        <v>5967</v>
      </c>
      <c r="C241" s="53" t="n">
        <v>64</v>
      </c>
      <c r="D241" s="85" t="n">
        <f aca="false">SRC_Model!$O64</f>
        <v>0</v>
      </c>
      <c r="E241" s="85" t="n">
        <f aca="false">SRC_Model!$K64</f>
        <v>0</v>
      </c>
    </row>
    <row r="242" customFormat="false" ht="15" hidden="false" customHeight="false" outlineLevel="0" collapsed="false">
      <c r="A242" s="85" t="str">
        <f aca="false">SRC_Model!$A65&amp;""</f>
        <v/>
      </c>
      <c r="B242" s="54" t="s">
        <v>5967</v>
      </c>
      <c r="C242" s="53" t="n">
        <v>65</v>
      </c>
      <c r="D242" s="85" t="n">
        <f aca="false">SRC_Model!$O65</f>
        <v>0</v>
      </c>
      <c r="E242" s="85" t="n">
        <f aca="false">SRC_Model!$K65</f>
        <v>0</v>
      </c>
    </row>
    <row r="243" customFormat="false" ht="15" hidden="false" customHeight="false" outlineLevel="0" collapsed="false">
      <c r="A243" s="85" t="str">
        <f aca="false">SRC_Model!$A66&amp;""</f>
        <v/>
      </c>
      <c r="B243" s="54" t="s">
        <v>5967</v>
      </c>
      <c r="C243" s="53" t="n">
        <v>66</v>
      </c>
      <c r="D243" s="85" t="n">
        <f aca="false">SRC_Model!$O66</f>
        <v>0</v>
      </c>
      <c r="E243" s="85" t="n">
        <f aca="false">SRC_Model!$K66</f>
        <v>0</v>
      </c>
    </row>
    <row r="244" customFormat="false" ht="15" hidden="false" customHeight="false" outlineLevel="0" collapsed="false">
      <c r="A244" s="85" t="str">
        <f aca="false">SRC_Model!$A67&amp;""</f>
        <v/>
      </c>
      <c r="B244" s="54" t="s">
        <v>5967</v>
      </c>
      <c r="C244" s="53" t="n">
        <v>67</v>
      </c>
      <c r="D244" s="85" t="n">
        <f aca="false">SRC_Model!$O67</f>
        <v>0</v>
      </c>
      <c r="E244" s="85" t="n">
        <f aca="false">SRC_Model!$K67</f>
        <v>0</v>
      </c>
    </row>
    <row r="245" customFormat="false" ht="15" hidden="false" customHeight="false" outlineLevel="0" collapsed="false">
      <c r="A245" s="85" t="str">
        <f aca="false">SRC_Model!$A68&amp;""</f>
        <v/>
      </c>
      <c r="B245" s="54" t="s">
        <v>5967</v>
      </c>
      <c r="C245" s="53" t="n">
        <v>68</v>
      </c>
      <c r="D245" s="85" t="n">
        <f aca="false">SRC_Model!$O68</f>
        <v>0</v>
      </c>
      <c r="E245" s="85" t="n">
        <f aca="false">SRC_Model!$K68</f>
        <v>0</v>
      </c>
    </row>
    <row r="246" customFormat="false" ht="15" hidden="false" customHeight="false" outlineLevel="0" collapsed="false">
      <c r="A246" s="85" t="str">
        <f aca="false">SRC_Model!$A69&amp;""</f>
        <v/>
      </c>
      <c r="B246" s="54" t="s">
        <v>5967</v>
      </c>
      <c r="C246" s="53" t="n">
        <v>69</v>
      </c>
      <c r="D246" s="85" t="n">
        <f aca="false">SRC_Model!$O69</f>
        <v>0</v>
      </c>
      <c r="E246" s="85" t="n">
        <f aca="false">SRC_Model!$K69</f>
        <v>0</v>
      </c>
    </row>
    <row r="247" customFormat="false" ht="15" hidden="false" customHeight="false" outlineLevel="0" collapsed="false">
      <c r="A247" s="85" t="str">
        <f aca="false">SRC_Model!$A70&amp;""</f>
        <v/>
      </c>
      <c r="B247" s="54" t="s">
        <v>5967</v>
      </c>
      <c r="C247" s="53" t="n">
        <v>70</v>
      </c>
      <c r="D247" s="85" t="n">
        <f aca="false">SRC_Model!$O70</f>
        <v>0</v>
      </c>
      <c r="E247" s="85" t="n">
        <f aca="false">SRC_Model!$K70</f>
        <v>0</v>
      </c>
    </row>
    <row r="248" customFormat="false" ht="15" hidden="false" customHeight="false" outlineLevel="0" collapsed="false">
      <c r="A248" s="85" t="str">
        <f aca="false">SRC_Model!$A71&amp;""</f>
        <v/>
      </c>
      <c r="B248" s="54" t="s">
        <v>5967</v>
      </c>
      <c r="C248" s="53" t="n">
        <v>71</v>
      </c>
      <c r="D248" s="85" t="n">
        <f aca="false">SRC_Model!$O71</f>
        <v>0</v>
      </c>
      <c r="E248" s="85" t="n">
        <f aca="false">SRC_Model!$K71</f>
        <v>0</v>
      </c>
    </row>
    <row r="249" customFormat="false" ht="15" hidden="false" customHeight="false" outlineLevel="0" collapsed="false">
      <c r="A249" s="85" t="str">
        <f aca="false">SRC_Model!$A72&amp;""</f>
        <v/>
      </c>
      <c r="B249" s="54" t="s">
        <v>5967</v>
      </c>
      <c r="C249" s="53" t="n">
        <v>72</v>
      </c>
      <c r="D249" s="85" t="n">
        <f aca="false">SRC_Model!$O72</f>
        <v>0</v>
      </c>
      <c r="E249" s="85" t="n">
        <f aca="false">SRC_Model!$K72</f>
        <v>0</v>
      </c>
    </row>
    <row r="250" customFormat="false" ht="15" hidden="false" customHeight="false" outlineLevel="0" collapsed="false">
      <c r="A250" s="85" t="str">
        <f aca="false">SRC_Model!$A73&amp;""</f>
        <v/>
      </c>
      <c r="B250" s="54" t="s">
        <v>5967</v>
      </c>
      <c r="C250" s="53" t="n">
        <v>73</v>
      </c>
      <c r="D250" s="85" t="n">
        <f aca="false">SRC_Model!$O73</f>
        <v>0</v>
      </c>
      <c r="E250" s="85" t="n">
        <f aca="false">SRC_Model!$K73</f>
        <v>0</v>
      </c>
    </row>
    <row r="251" customFormat="false" ht="15" hidden="false" customHeight="false" outlineLevel="0" collapsed="false">
      <c r="A251" s="85" t="str">
        <f aca="false">SRC_Model!$A74&amp;""</f>
        <v/>
      </c>
      <c r="B251" s="54" t="s">
        <v>5967</v>
      </c>
      <c r="C251" s="53" t="n">
        <v>74</v>
      </c>
      <c r="D251" s="85" t="n">
        <f aca="false">SRC_Model!$O74</f>
        <v>0</v>
      </c>
      <c r="E251" s="85" t="n">
        <f aca="false">SRC_Model!$K74</f>
        <v>0</v>
      </c>
    </row>
    <row r="252" customFormat="false" ht="15" hidden="false" customHeight="false" outlineLevel="0" collapsed="false">
      <c r="A252" s="85" t="str">
        <f aca="false">SRC_Model!$A75&amp;""</f>
        <v/>
      </c>
      <c r="B252" s="54" t="s">
        <v>5967</v>
      </c>
      <c r="C252" s="53" t="n">
        <v>75</v>
      </c>
      <c r="D252" s="85" t="n">
        <f aca="false">SRC_Model!$O75</f>
        <v>0</v>
      </c>
      <c r="E252" s="85" t="n">
        <f aca="false">SRC_Model!$K75</f>
        <v>0</v>
      </c>
    </row>
    <row r="253" customFormat="false" ht="15" hidden="false" customHeight="false" outlineLevel="0" collapsed="false">
      <c r="A253" s="85" t="str">
        <f aca="false">SRC_Model!$A76&amp;""</f>
        <v/>
      </c>
      <c r="B253" s="54" t="s">
        <v>5967</v>
      </c>
      <c r="C253" s="53" t="n">
        <v>76</v>
      </c>
      <c r="D253" s="85" t="n">
        <f aca="false">SRC_Model!$O76</f>
        <v>0</v>
      </c>
      <c r="E253" s="85" t="n">
        <f aca="false">SRC_Model!$K76</f>
        <v>0</v>
      </c>
    </row>
    <row r="254" customFormat="false" ht="15" hidden="false" customHeight="false" outlineLevel="0" collapsed="false">
      <c r="A254" s="85" t="str">
        <f aca="false">SRC_Model!$A77&amp;""</f>
        <v/>
      </c>
      <c r="B254" s="54" t="s">
        <v>5967</v>
      </c>
      <c r="C254" s="53" t="n">
        <v>77</v>
      </c>
      <c r="D254" s="85" t="n">
        <f aca="false">SRC_Model!$O77</f>
        <v>0</v>
      </c>
      <c r="E254" s="85" t="n">
        <f aca="false">SRC_Model!$K77</f>
        <v>0</v>
      </c>
    </row>
    <row r="255" customFormat="false" ht="15" hidden="false" customHeight="false" outlineLevel="0" collapsed="false">
      <c r="A255" s="85" t="str">
        <f aca="false">SRC_Model!$A78&amp;""</f>
        <v/>
      </c>
      <c r="B255" s="54" t="s">
        <v>5967</v>
      </c>
      <c r="C255" s="53" t="n">
        <v>78</v>
      </c>
      <c r="D255" s="85" t="n">
        <f aca="false">SRC_Model!$O78</f>
        <v>0</v>
      </c>
      <c r="E255" s="85" t="n">
        <f aca="false">SRC_Model!$K78</f>
        <v>0</v>
      </c>
    </row>
    <row r="256" customFormat="false" ht="15" hidden="false" customHeight="false" outlineLevel="0" collapsed="false">
      <c r="A256" s="85" t="str">
        <f aca="false">SRC_Model!$A79&amp;""</f>
        <v/>
      </c>
      <c r="B256" s="54" t="s">
        <v>5967</v>
      </c>
      <c r="C256" s="53" t="n">
        <v>79</v>
      </c>
      <c r="D256" s="85" t="n">
        <f aca="false">SRC_Model!$O79</f>
        <v>0</v>
      </c>
      <c r="E256" s="85" t="n">
        <f aca="false">SRC_Model!$K79</f>
        <v>0</v>
      </c>
    </row>
    <row r="257" customFormat="false" ht="15" hidden="false" customHeight="false" outlineLevel="0" collapsed="false">
      <c r="A257" s="85" t="str">
        <f aca="false">SRC_Model!$A80&amp;""</f>
        <v/>
      </c>
      <c r="B257" s="54" t="s">
        <v>5967</v>
      </c>
      <c r="C257" s="53" t="n">
        <v>80</v>
      </c>
      <c r="D257" s="85" t="n">
        <f aca="false">SRC_Model!$O80</f>
        <v>0</v>
      </c>
      <c r="E257" s="85" t="n">
        <f aca="false">SRC_Model!$K80</f>
        <v>0</v>
      </c>
    </row>
    <row r="258" customFormat="false" ht="15" hidden="false" customHeight="false" outlineLevel="0" collapsed="false">
      <c r="A258" s="85" t="str">
        <f aca="false">SRC_Model!$A81&amp;""</f>
        <v/>
      </c>
      <c r="B258" s="54" t="s">
        <v>5967</v>
      </c>
      <c r="C258" s="53" t="n">
        <v>81</v>
      </c>
      <c r="D258" s="85" t="n">
        <f aca="false">SRC_Model!$O81</f>
        <v>0</v>
      </c>
      <c r="E258" s="85" t="n">
        <f aca="false">SRC_Model!$K81</f>
        <v>0</v>
      </c>
    </row>
    <row r="259" customFormat="false" ht="15" hidden="false" customHeight="false" outlineLevel="0" collapsed="false">
      <c r="A259" s="85" t="str">
        <f aca="false">SRC_Model!$A82&amp;""</f>
        <v/>
      </c>
      <c r="B259" s="54" t="s">
        <v>5967</v>
      </c>
      <c r="C259" s="53" t="n">
        <v>82</v>
      </c>
      <c r="D259" s="85" t="n">
        <f aca="false">SRC_Model!$O82</f>
        <v>0</v>
      </c>
      <c r="E259" s="85" t="n">
        <f aca="false">SRC_Model!$K82</f>
        <v>0</v>
      </c>
    </row>
    <row r="260" customFormat="false" ht="15" hidden="false" customHeight="false" outlineLevel="0" collapsed="false">
      <c r="A260" s="85" t="str">
        <f aca="false">SRC_Model!$A83&amp;""</f>
        <v/>
      </c>
      <c r="B260" s="54" t="s">
        <v>5967</v>
      </c>
      <c r="C260" s="53" t="n">
        <v>83</v>
      </c>
      <c r="D260" s="85" t="n">
        <f aca="false">SRC_Model!$O83</f>
        <v>0</v>
      </c>
      <c r="E260" s="85" t="n">
        <f aca="false">SRC_Model!$K83</f>
        <v>0</v>
      </c>
    </row>
    <row r="261" customFormat="false" ht="15" hidden="false" customHeight="false" outlineLevel="0" collapsed="false">
      <c r="A261" s="85" t="str">
        <f aca="false">SRC_Model!$A84&amp;""</f>
        <v/>
      </c>
      <c r="B261" s="54" t="s">
        <v>5967</v>
      </c>
      <c r="C261" s="53" t="n">
        <v>84</v>
      </c>
      <c r="D261" s="85" t="n">
        <f aca="false">SRC_Model!$O84</f>
        <v>0</v>
      </c>
      <c r="E261" s="85" t="n">
        <f aca="false">SRC_Model!$K84</f>
        <v>0</v>
      </c>
    </row>
    <row r="262" customFormat="false" ht="15" hidden="false" customHeight="false" outlineLevel="0" collapsed="false">
      <c r="A262" s="85" t="str">
        <f aca="false">SRC_Model!$A85&amp;""</f>
        <v/>
      </c>
      <c r="B262" s="54" t="s">
        <v>5967</v>
      </c>
      <c r="C262" s="53" t="n">
        <v>85</v>
      </c>
      <c r="D262" s="85" t="n">
        <f aca="false">SRC_Model!$O85</f>
        <v>0</v>
      </c>
      <c r="E262" s="85" t="n">
        <f aca="false">SRC_Model!$K85</f>
        <v>0</v>
      </c>
    </row>
    <row r="263" customFormat="false" ht="15" hidden="false" customHeight="false" outlineLevel="0" collapsed="false">
      <c r="A263" s="85" t="str">
        <f aca="false">SRC_Model!$A86&amp;""</f>
        <v/>
      </c>
      <c r="B263" s="54" t="s">
        <v>5967</v>
      </c>
      <c r="C263" s="53" t="n">
        <v>86</v>
      </c>
      <c r="D263" s="85" t="n">
        <f aca="false">SRC_Model!$O86</f>
        <v>0</v>
      </c>
      <c r="E263" s="85" t="n">
        <f aca="false">SRC_Model!$K86</f>
        <v>0</v>
      </c>
    </row>
    <row r="264" customFormat="false" ht="15" hidden="false" customHeight="false" outlineLevel="0" collapsed="false">
      <c r="A264" s="85" t="str">
        <f aca="false">SRC_Model!$A87&amp;""</f>
        <v/>
      </c>
      <c r="B264" s="54" t="s">
        <v>5967</v>
      </c>
      <c r="C264" s="53" t="n">
        <v>87</v>
      </c>
      <c r="D264" s="85" t="n">
        <f aca="false">SRC_Model!$O87</f>
        <v>0</v>
      </c>
      <c r="E264" s="85" t="n">
        <f aca="false">SRC_Model!$K87</f>
        <v>0</v>
      </c>
    </row>
    <row r="265" customFormat="false" ht="15" hidden="false" customHeight="false" outlineLevel="0" collapsed="false">
      <c r="A265" s="85" t="str">
        <f aca="false">SRC_Model!$A88&amp;""</f>
        <v/>
      </c>
      <c r="B265" s="54" t="s">
        <v>5967</v>
      </c>
      <c r="C265" s="53" t="n">
        <v>88</v>
      </c>
      <c r="D265" s="85" t="n">
        <f aca="false">SRC_Model!$O88</f>
        <v>0</v>
      </c>
      <c r="E265" s="85" t="n">
        <f aca="false">SRC_Model!$K88</f>
        <v>0</v>
      </c>
    </row>
    <row r="266" customFormat="false" ht="15" hidden="false" customHeight="false" outlineLevel="0" collapsed="false">
      <c r="A266" s="85" t="str">
        <f aca="false">SRC_Model!$A89&amp;""</f>
        <v/>
      </c>
      <c r="B266" s="54" t="s">
        <v>5967</v>
      </c>
      <c r="C266" s="53" t="n">
        <v>89</v>
      </c>
      <c r="D266" s="85" t="n">
        <f aca="false">SRC_Model!$O89</f>
        <v>0</v>
      </c>
      <c r="E266" s="85" t="n">
        <f aca="false">SRC_Model!$K89</f>
        <v>0</v>
      </c>
    </row>
    <row r="267" customFormat="false" ht="15" hidden="false" customHeight="false" outlineLevel="0" collapsed="false">
      <c r="A267" s="85" t="str">
        <f aca="false">SRC_Model!$A90&amp;""</f>
        <v/>
      </c>
      <c r="B267" s="54" t="s">
        <v>5967</v>
      </c>
      <c r="C267" s="53" t="n">
        <v>90</v>
      </c>
      <c r="D267" s="85" t="n">
        <f aca="false">SRC_Model!$O90</f>
        <v>0</v>
      </c>
      <c r="E267" s="85" t="n">
        <f aca="false">SRC_Model!$K90</f>
        <v>0</v>
      </c>
    </row>
    <row r="268" customFormat="false" ht="15" hidden="false" customHeight="false" outlineLevel="0" collapsed="false">
      <c r="A268" s="85" t="str">
        <f aca="false">SRC_Model!$A91&amp;""</f>
        <v/>
      </c>
      <c r="B268" s="54" t="s">
        <v>5967</v>
      </c>
      <c r="C268" s="53" t="n">
        <v>91</v>
      </c>
      <c r="D268" s="85" t="n">
        <f aca="false">SRC_Model!$O91</f>
        <v>0</v>
      </c>
      <c r="E268" s="85" t="n">
        <f aca="false">SRC_Model!$K91</f>
        <v>0</v>
      </c>
    </row>
    <row r="269" customFormat="false" ht="15" hidden="false" customHeight="false" outlineLevel="0" collapsed="false">
      <c r="A269" s="85" t="str">
        <f aca="false">SRC_Model!$A92&amp;""</f>
        <v/>
      </c>
      <c r="B269" s="54" t="s">
        <v>5967</v>
      </c>
      <c r="C269" s="53" t="n">
        <v>92</v>
      </c>
      <c r="D269" s="85" t="n">
        <f aca="false">SRC_Model!$O92</f>
        <v>0</v>
      </c>
      <c r="E269" s="85" t="n">
        <f aca="false">SRC_Model!$K92</f>
        <v>0</v>
      </c>
    </row>
    <row r="270" customFormat="false" ht="15" hidden="false" customHeight="false" outlineLevel="0" collapsed="false">
      <c r="A270" s="85" t="str">
        <f aca="false">SRC_Model!$A93&amp;""</f>
        <v/>
      </c>
      <c r="B270" s="54" t="s">
        <v>5967</v>
      </c>
      <c r="C270" s="53" t="n">
        <v>93</v>
      </c>
      <c r="D270" s="85" t="n">
        <f aca="false">SRC_Model!$O93</f>
        <v>0</v>
      </c>
      <c r="E270" s="85" t="n">
        <f aca="false">SRC_Model!$K93</f>
        <v>0</v>
      </c>
    </row>
    <row r="271" customFormat="false" ht="15" hidden="false" customHeight="false" outlineLevel="0" collapsed="false">
      <c r="A271" s="85" t="str">
        <f aca="false">SRC_Model!$A94&amp;""</f>
        <v/>
      </c>
      <c r="B271" s="54" t="s">
        <v>5967</v>
      </c>
      <c r="C271" s="53" t="n">
        <v>94</v>
      </c>
      <c r="D271" s="85" t="n">
        <f aca="false">SRC_Model!$O94</f>
        <v>0</v>
      </c>
      <c r="E271" s="85" t="n">
        <f aca="false">SRC_Model!$K94</f>
        <v>0</v>
      </c>
    </row>
    <row r="272" customFormat="false" ht="15" hidden="false" customHeight="false" outlineLevel="0" collapsed="false">
      <c r="A272" s="85" t="str">
        <f aca="false">SRC_Model!$A95&amp;""</f>
        <v/>
      </c>
      <c r="B272" s="54" t="s">
        <v>5967</v>
      </c>
      <c r="C272" s="53" t="n">
        <v>95</v>
      </c>
      <c r="D272" s="85" t="n">
        <f aca="false">SRC_Model!$O95</f>
        <v>0</v>
      </c>
      <c r="E272" s="85" t="n">
        <f aca="false">SRC_Model!$K95</f>
        <v>0</v>
      </c>
    </row>
    <row r="273" customFormat="false" ht="15" hidden="false" customHeight="false" outlineLevel="0" collapsed="false">
      <c r="A273" s="85" t="str">
        <f aca="false">SRC_Model!$A96&amp;""</f>
        <v/>
      </c>
      <c r="B273" s="54" t="s">
        <v>5967</v>
      </c>
      <c r="C273" s="53" t="n">
        <v>96</v>
      </c>
      <c r="D273" s="85" t="n">
        <f aca="false">SRC_Model!$O96</f>
        <v>0</v>
      </c>
      <c r="E273" s="85" t="n">
        <f aca="false">SRC_Model!$K96</f>
        <v>0</v>
      </c>
    </row>
    <row r="274" customFormat="false" ht="15" hidden="false" customHeight="false" outlineLevel="0" collapsed="false">
      <c r="A274" s="85" t="str">
        <f aca="false">SRC_Model!$A97&amp;""</f>
        <v/>
      </c>
      <c r="B274" s="54" t="s">
        <v>5967</v>
      </c>
      <c r="C274" s="53" t="n">
        <v>97</v>
      </c>
      <c r="D274" s="85" t="n">
        <f aca="false">SRC_Model!$O97</f>
        <v>0</v>
      </c>
      <c r="E274" s="85" t="n">
        <f aca="false">SRC_Model!$K97</f>
        <v>0</v>
      </c>
    </row>
    <row r="275" customFormat="false" ht="15" hidden="false" customHeight="false" outlineLevel="0" collapsed="false">
      <c r="A275" s="85" t="str">
        <f aca="false">SRC_Model!$A98&amp;""</f>
        <v/>
      </c>
      <c r="B275" s="54" t="s">
        <v>5967</v>
      </c>
      <c r="C275" s="53" t="n">
        <v>98</v>
      </c>
      <c r="D275" s="85" t="n">
        <f aca="false">SRC_Model!$O98</f>
        <v>0</v>
      </c>
      <c r="E275" s="85" t="n">
        <f aca="false">SRC_Model!$K98</f>
        <v>0</v>
      </c>
    </row>
    <row r="276" customFormat="false" ht="15" hidden="false" customHeight="false" outlineLevel="0" collapsed="false">
      <c r="A276" s="85" t="str">
        <f aca="false">SRC_Model!$A99&amp;""</f>
        <v/>
      </c>
      <c r="B276" s="54" t="s">
        <v>5967</v>
      </c>
      <c r="C276" s="53" t="n">
        <v>99</v>
      </c>
      <c r="D276" s="85" t="n">
        <f aca="false">SRC_Model!$O99</f>
        <v>0</v>
      </c>
      <c r="E276" s="85" t="n">
        <f aca="false">SRC_Model!$K99</f>
        <v>0</v>
      </c>
    </row>
    <row r="277" customFormat="false" ht="15" hidden="false" customHeight="false" outlineLevel="0" collapsed="false">
      <c r="A277" s="85" t="str">
        <f aca="false">SRC_Model!$A100&amp;""</f>
        <v/>
      </c>
      <c r="B277" s="54" t="s">
        <v>5967</v>
      </c>
      <c r="C277" s="53" t="n">
        <v>100</v>
      </c>
      <c r="D277" s="85" t="n">
        <f aca="false">SRC_Model!$O100</f>
        <v>0</v>
      </c>
      <c r="E277" s="85" t="n">
        <f aca="false">SRC_Model!$K100</f>
        <v>0</v>
      </c>
    </row>
    <row r="278" customFormat="false" ht="15" hidden="false" customHeight="false" outlineLevel="0" collapsed="false">
      <c r="A278" s="85" t="str">
        <f aca="false">SRC_Model!$A101&amp;""</f>
        <v/>
      </c>
      <c r="B278" s="54" t="s">
        <v>5967</v>
      </c>
      <c r="C278" s="53" t="n">
        <v>101</v>
      </c>
      <c r="D278" s="85" t="n">
        <f aca="false">SRC_Model!$O101</f>
        <v>0</v>
      </c>
      <c r="E278" s="85" t="n">
        <f aca="false">SRC_Model!$K101</f>
        <v>0</v>
      </c>
    </row>
    <row r="279" customFormat="false" ht="15" hidden="false" customHeight="false" outlineLevel="0" collapsed="false">
      <c r="A279" s="85" t="str">
        <f aca="false">SRC_Model!$A102&amp;""</f>
        <v/>
      </c>
      <c r="B279" s="54" t="s">
        <v>5967</v>
      </c>
      <c r="C279" s="53" t="n">
        <v>102</v>
      </c>
      <c r="D279" s="85" t="n">
        <f aca="false">SRC_Model!$O102</f>
        <v>0</v>
      </c>
      <c r="E279" s="85" t="n">
        <f aca="false">SRC_Model!$K102</f>
        <v>0</v>
      </c>
    </row>
    <row r="280" customFormat="false" ht="15" hidden="false" customHeight="false" outlineLevel="0" collapsed="false">
      <c r="A280" s="85" t="str">
        <f aca="false">SRC_Model!$A103&amp;""</f>
        <v/>
      </c>
      <c r="B280" s="54" t="s">
        <v>5967</v>
      </c>
      <c r="C280" s="53" t="n">
        <v>103</v>
      </c>
      <c r="D280" s="85" t="n">
        <f aca="false">SRC_Model!$O103</f>
        <v>0</v>
      </c>
      <c r="E280" s="85" t="n">
        <f aca="false">SRC_Model!$K103</f>
        <v>0</v>
      </c>
    </row>
    <row r="281" customFormat="false" ht="15" hidden="false" customHeight="false" outlineLevel="0" collapsed="false">
      <c r="A281" s="85" t="str">
        <f aca="false">SRC_Model!$A104&amp;""</f>
        <v/>
      </c>
      <c r="B281" s="54" t="s">
        <v>5967</v>
      </c>
      <c r="C281" s="53" t="n">
        <v>104</v>
      </c>
      <c r="D281" s="85" t="n">
        <f aca="false">SRC_Model!$O104</f>
        <v>0</v>
      </c>
      <c r="E281" s="85" t="n">
        <f aca="false">SRC_Model!$K104</f>
        <v>0</v>
      </c>
    </row>
    <row r="282" customFormat="false" ht="15" hidden="false" customHeight="false" outlineLevel="0" collapsed="false">
      <c r="A282" s="85" t="str">
        <f aca="false">SRC_Model!$A105&amp;""</f>
        <v/>
      </c>
      <c r="B282" s="54" t="s">
        <v>5967</v>
      </c>
      <c r="C282" s="53" t="n">
        <v>105</v>
      </c>
      <c r="D282" s="85" t="n">
        <f aca="false">SRC_Model!$O105</f>
        <v>0</v>
      </c>
      <c r="E282" s="85" t="n">
        <f aca="false">SRC_Model!$K105</f>
        <v>0</v>
      </c>
    </row>
    <row r="283" customFormat="false" ht="15" hidden="false" customHeight="false" outlineLevel="0" collapsed="false">
      <c r="A283" s="85" t="str">
        <f aca="false">SRC_Model!$A106&amp;""</f>
        <v/>
      </c>
      <c r="B283" s="54" t="s">
        <v>5967</v>
      </c>
      <c r="C283" s="53" t="n">
        <v>106</v>
      </c>
      <c r="D283" s="85" t="n">
        <f aca="false">SRC_Model!$O106</f>
        <v>0</v>
      </c>
      <c r="E283" s="85" t="n">
        <f aca="false">SRC_Model!$K106</f>
        <v>0</v>
      </c>
    </row>
    <row r="284" customFormat="false" ht="15" hidden="false" customHeight="false" outlineLevel="0" collapsed="false">
      <c r="A284" s="85" t="str">
        <f aca="false">SRC_Model!$A107&amp;""</f>
        <v/>
      </c>
      <c r="B284" s="54" t="s">
        <v>5967</v>
      </c>
      <c r="C284" s="53" t="n">
        <v>107</v>
      </c>
      <c r="D284" s="85" t="n">
        <f aca="false">SRC_Model!$O107</f>
        <v>0</v>
      </c>
      <c r="E284" s="85" t="n">
        <f aca="false">SRC_Model!$K107</f>
        <v>0</v>
      </c>
    </row>
    <row r="285" customFormat="false" ht="15" hidden="false" customHeight="false" outlineLevel="0" collapsed="false">
      <c r="A285" s="85" t="str">
        <f aca="false">SRC_Model!$A108&amp;""</f>
        <v/>
      </c>
      <c r="B285" s="54" t="s">
        <v>5967</v>
      </c>
      <c r="C285" s="53" t="n">
        <v>108</v>
      </c>
      <c r="D285" s="85" t="n">
        <f aca="false">SRC_Model!$O108</f>
        <v>0</v>
      </c>
      <c r="E285" s="85" t="n">
        <f aca="false">SRC_Model!$K108</f>
        <v>0</v>
      </c>
    </row>
    <row r="286" customFormat="false" ht="15" hidden="false" customHeight="false" outlineLevel="0" collapsed="false">
      <c r="A286" s="85" t="str">
        <f aca="false">SRC_Perf!$A5&amp;""</f>
        <v>SRC_PERF_001</v>
      </c>
      <c r="B286" s="54" t="s">
        <v>5968</v>
      </c>
      <c r="C286" s="53" t="n">
        <v>5</v>
      </c>
      <c r="D286" s="85" t="str">
        <f aca="false">SRC_Perf!$O5</f>
        <v>Active</v>
      </c>
      <c r="E286" s="85" t="n">
        <f aca="false">SRC_Perf!$K5</f>
        <v>1</v>
      </c>
    </row>
    <row r="287" customFormat="false" ht="15" hidden="false" customHeight="false" outlineLevel="0" collapsed="false">
      <c r="A287" s="85" t="str">
        <f aca="false">SRC_Perf!$A6&amp;""</f>
        <v>SRC_PERF_002</v>
      </c>
      <c r="B287" s="54" t="s">
        <v>5968</v>
      </c>
      <c r="C287" s="53" t="n">
        <v>6</v>
      </c>
      <c r="D287" s="85" t="str">
        <f aca="false">SRC_Perf!$O6</f>
        <v>Active</v>
      </c>
      <c r="E287" s="85" t="n">
        <f aca="false">SRC_Perf!$K6</f>
        <v>1</v>
      </c>
    </row>
    <row r="288" customFormat="false" ht="15" hidden="false" customHeight="false" outlineLevel="0" collapsed="false">
      <c r="A288" s="85" t="str">
        <f aca="false">SRC_Perf!$A7&amp;""</f>
        <v>SRC_PERF_003</v>
      </c>
      <c r="B288" s="54" t="s">
        <v>5968</v>
      </c>
      <c r="C288" s="53" t="n">
        <v>7</v>
      </c>
      <c r="D288" s="85" t="str">
        <f aca="false">SRC_Perf!$O7</f>
        <v>Active</v>
      </c>
      <c r="E288" s="85" t="n">
        <f aca="false">SRC_Perf!$K7</f>
        <v>1</v>
      </c>
    </row>
    <row r="289" customFormat="false" ht="15" hidden="false" customHeight="false" outlineLevel="0" collapsed="false">
      <c r="A289" s="85" t="str">
        <f aca="false">SRC_Perf!$A8&amp;""</f>
        <v>SRC_PERF_004</v>
      </c>
      <c r="B289" s="54" t="s">
        <v>5968</v>
      </c>
      <c r="C289" s="53" t="n">
        <v>8</v>
      </c>
      <c r="D289" s="85" t="str">
        <f aca="false">SRC_Perf!$O8</f>
        <v>Active</v>
      </c>
      <c r="E289" s="85" t="n">
        <f aca="false">SRC_Perf!$K8</f>
        <v>1</v>
      </c>
    </row>
    <row r="290" customFormat="false" ht="15" hidden="false" customHeight="false" outlineLevel="0" collapsed="false">
      <c r="A290" s="85" t="str">
        <f aca="false">SRC_Perf!$A9&amp;""</f>
        <v>SRC_PERF_005</v>
      </c>
      <c r="B290" s="54" t="s">
        <v>5968</v>
      </c>
      <c r="C290" s="53" t="n">
        <v>9</v>
      </c>
      <c r="D290" s="85" t="str">
        <f aca="false">SRC_Perf!$O9</f>
        <v>Active</v>
      </c>
      <c r="E290" s="85" t="n">
        <f aca="false">SRC_Perf!$K9</f>
        <v>1</v>
      </c>
    </row>
    <row r="291" customFormat="false" ht="15" hidden="false" customHeight="false" outlineLevel="0" collapsed="false">
      <c r="A291" s="85" t="str">
        <f aca="false">SRC_Perf!$A10&amp;""</f>
        <v>SRC_PERF_006</v>
      </c>
      <c r="B291" s="54" t="s">
        <v>5968</v>
      </c>
      <c r="C291" s="53" t="n">
        <v>10</v>
      </c>
      <c r="D291" s="85" t="str">
        <f aca="false">SRC_Perf!$O10</f>
        <v>Superseded</v>
      </c>
      <c r="E291" s="85" t="n">
        <f aca="false">SRC_Perf!$K10</f>
        <v>1</v>
      </c>
    </row>
    <row r="292" customFormat="false" ht="15" hidden="false" customHeight="false" outlineLevel="0" collapsed="false">
      <c r="A292" s="85" t="str">
        <f aca="false">SRC_Perf!$A11&amp;""</f>
        <v>SRC_PERF_007</v>
      </c>
      <c r="B292" s="54" t="s">
        <v>5968</v>
      </c>
      <c r="C292" s="53" t="n">
        <v>11</v>
      </c>
      <c r="D292" s="85" t="str">
        <f aca="false">SRC_Perf!$O11</f>
        <v>Active</v>
      </c>
      <c r="E292" s="85" t="n">
        <f aca="false">SRC_Perf!$K11</f>
        <v>1</v>
      </c>
    </row>
    <row r="293" customFormat="false" ht="15" hidden="false" customHeight="false" outlineLevel="0" collapsed="false">
      <c r="A293" s="85" t="str">
        <f aca="false">SRC_Perf!$A12&amp;""</f>
        <v>SRC_PERF_008</v>
      </c>
      <c r="B293" s="54" t="s">
        <v>5968</v>
      </c>
      <c r="C293" s="53" t="n">
        <v>12</v>
      </c>
      <c r="D293" s="85" t="str">
        <f aca="false">SRC_Perf!$O12</f>
        <v>Active</v>
      </c>
      <c r="E293" s="85" t="n">
        <f aca="false">SRC_Perf!$K12</f>
        <v>1</v>
      </c>
    </row>
    <row r="294" customFormat="false" ht="15" hidden="false" customHeight="false" outlineLevel="0" collapsed="false">
      <c r="A294" s="85" t="str">
        <f aca="false">SRC_Perf!$A13&amp;""</f>
        <v>SRC_PERF_009</v>
      </c>
      <c r="B294" s="54" t="s">
        <v>5968</v>
      </c>
      <c r="C294" s="53" t="n">
        <v>13</v>
      </c>
      <c r="D294" s="85" t="str">
        <f aca="false">SRC_Perf!$O13</f>
        <v>Active</v>
      </c>
      <c r="E294" s="85" t="n">
        <f aca="false">SRC_Perf!$K13</f>
        <v>2</v>
      </c>
    </row>
    <row r="295" customFormat="false" ht="15" hidden="false" customHeight="false" outlineLevel="0" collapsed="false">
      <c r="A295" s="85" t="str">
        <f aca="false">SRC_Perf!$A14&amp;""</f>
        <v>SRC_PERF_010</v>
      </c>
      <c r="B295" s="54" t="s">
        <v>5968</v>
      </c>
      <c r="C295" s="53" t="n">
        <v>14</v>
      </c>
      <c r="D295" s="85" t="str">
        <f aca="false">SRC_Perf!$O14</f>
        <v>Active</v>
      </c>
      <c r="E295" s="85" t="n">
        <f aca="false">SRC_Perf!$K14</f>
        <v>2</v>
      </c>
    </row>
    <row r="296" customFormat="false" ht="15" hidden="false" customHeight="false" outlineLevel="0" collapsed="false">
      <c r="A296" s="85" t="str">
        <f aca="false">SRC_Perf!$A15&amp;""</f>
        <v>SRC_PERF_011</v>
      </c>
      <c r="B296" s="54" t="s">
        <v>5968</v>
      </c>
      <c r="C296" s="53" t="n">
        <v>15</v>
      </c>
      <c r="D296" s="85" t="str">
        <f aca="false">SRC_Perf!$O15</f>
        <v>Active</v>
      </c>
      <c r="E296" s="85" t="n">
        <f aca="false">SRC_Perf!$K15</f>
        <v>3</v>
      </c>
    </row>
    <row r="297" customFormat="false" ht="15" hidden="false" customHeight="false" outlineLevel="0" collapsed="false">
      <c r="A297" s="85" t="str">
        <f aca="false">SRC_Perf!$A16&amp;""</f>
        <v>SRC_PERF_012</v>
      </c>
      <c r="B297" s="54" t="s">
        <v>5968</v>
      </c>
      <c r="C297" s="53" t="n">
        <v>16</v>
      </c>
      <c r="D297" s="85" t="str">
        <f aca="false">SRC_Perf!$O16</f>
        <v>Active</v>
      </c>
      <c r="E297" s="85" t="n">
        <f aca="false">SRC_Perf!$K16</f>
        <v>3</v>
      </c>
    </row>
    <row r="298" customFormat="false" ht="15" hidden="false" customHeight="false" outlineLevel="0" collapsed="false">
      <c r="A298" s="85" t="str">
        <f aca="false">SRC_Perf!$A17&amp;""</f>
        <v>SRC_PERF_013</v>
      </c>
      <c r="B298" s="54" t="s">
        <v>5968</v>
      </c>
      <c r="C298" s="53" t="n">
        <v>17</v>
      </c>
      <c r="D298" s="85" t="str">
        <f aca="false">SRC_Perf!$O17</f>
        <v>Active</v>
      </c>
      <c r="E298" s="85" t="n">
        <f aca="false">SRC_Perf!$K17</f>
        <v>3</v>
      </c>
    </row>
    <row r="299" customFormat="false" ht="15" hidden="false" customHeight="false" outlineLevel="0" collapsed="false">
      <c r="A299" s="85" t="str">
        <f aca="false">SRC_Perf!$A18&amp;""</f>
        <v>SRC_PERF_014</v>
      </c>
      <c r="B299" s="54" t="s">
        <v>5968</v>
      </c>
      <c r="C299" s="53" t="n">
        <v>18</v>
      </c>
      <c r="D299" s="85" t="str">
        <f aca="false">SRC_Perf!$O18</f>
        <v>Active</v>
      </c>
      <c r="E299" s="85" t="n">
        <f aca="false">SRC_Perf!$K18</f>
        <v>1</v>
      </c>
    </row>
    <row r="300" customFormat="false" ht="15" hidden="false" customHeight="false" outlineLevel="0" collapsed="false">
      <c r="A300" s="85" t="str">
        <f aca="false">SRC_Perf!$A19&amp;""</f>
        <v>SRC_PERF_015</v>
      </c>
      <c r="B300" s="54" t="s">
        <v>5968</v>
      </c>
      <c r="C300" s="53" t="n">
        <v>19</v>
      </c>
      <c r="D300" s="85" t="str">
        <f aca="false">SRC_Perf!$O19</f>
        <v>Active</v>
      </c>
      <c r="E300" s="85" t="n">
        <f aca="false">SRC_Perf!$K19</f>
        <v>1</v>
      </c>
    </row>
    <row r="301" customFormat="false" ht="15" hidden="false" customHeight="false" outlineLevel="0" collapsed="false">
      <c r="A301" s="85" t="str">
        <f aca="false">SRC_Perf!$A20&amp;""</f>
        <v>SRC_PERF_016</v>
      </c>
      <c r="B301" s="54" t="s">
        <v>5968</v>
      </c>
      <c r="C301" s="53" t="n">
        <v>20</v>
      </c>
      <c r="D301" s="85" t="str">
        <f aca="false">SRC_Perf!$O20</f>
        <v>Active</v>
      </c>
      <c r="E301" s="85" t="n">
        <f aca="false">SRC_Perf!$K20</f>
        <v>1</v>
      </c>
    </row>
    <row r="302" customFormat="false" ht="15" hidden="false" customHeight="false" outlineLevel="0" collapsed="false">
      <c r="A302" s="85" t="str">
        <f aca="false">SRC_Perf!$A21&amp;""</f>
        <v>SRC_PERF_017</v>
      </c>
      <c r="B302" s="54" t="s">
        <v>5968</v>
      </c>
      <c r="C302" s="53" t="n">
        <v>21</v>
      </c>
      <c r="D302" s="85" t="str">
        <f aca="false">SRC_Perf!$O21</f>
        <v>Active</v>
      </c>
      <c r="E302" s="85" t="n">
        <f aca="false">SRC_Perf!$K21</f>
        <v>1</v>
      </c>
    </row>
    <row r="303" customFormat="false" ht="15" hidden="false" customHeight="false" outlineLevel="0" collapsed="false">
      <c r="A303" s="85" t="str">
        <f aca="false">SRC_Perf!$A22&amp;""</f>
        <v>SRC_PERF_018</v>
      </c>
      <c r="B303" s="54" t="s">
        <v>5968</v>
      </c>
      <c r="C303" s="53" t="n">
        <v>22</v>
      </c>
      <c r="D303" s="85" t="str">
        <f aca="false">SRC_Perf!$O22</f>
        <v>Active</v>
      </c>
      <c r="E303" s="85" t="n">
        <f aca="false">SRC_Perf!$K22</f>
        <v>1</v>
      </c>
    </row>
    <row r="304" customFormat="false" ht="15" hidden="false" customHeight="false" outlineLevel="0" collapsed="false">
      <c r="A304" s="85" t="str">
        <f aca="false">SRC_Perf!$A23&amp;""</f>
        <v>SRC_PERF_019</v>
      </c>
      <c r="B304" s="54" t="s">
        <v>5968</v>
      </c>
      <c r="C304" s="53" t="n">
        <v>23</v>
      </c>
      <c r="D304" s="85" t="str">
        <f aca="false">SRC_Perf!$O23</f>
        <v>Active</v>
      </c>
      <c r="E304" s="85" t="n">
        <f aca="false">SRC_Perf!$K23</f>
        <v>1</v>
      </c>
    </row>
    <row r="305" customFormat="false" ht="15" hidden="false" customHeight="false" outlineLevel="0" collapsed="false">
      <c r="A305" s="85" t="str">
        <f aca="false">SRC_Perf!$A24&amp;""</f>
        <v>SRC_PERF_020</v>
      </c>
      <c r="B305" s="54" t="s">
        <v>5968</v>
      </c>
      <c r="C305" s="53" t="n">
        <v>24</v>
      </c>
      <c r="D305" s="85" t="str">
        <f aca="false">SRC_Perf!$O24</f>
        <v>Active</v>
      </c>
      <c r="E305" s="85" t="n">
        <f aca="false">SRC_Perf!$K24</f>
        <v>1</v>
      </c>
    </row>
    <row r="306" customFormat="false" ht="15" hidden="false" customHeight="false" outlineLevel="0" collapsed="false">
      <c r="A306" s="85" t="str">
        <f aca="false">SRC_Perf!$A25&amp;""</f>
        <v>SRC_PERF_021</v>
      </c>
      <c r="B306" s="54" t="s">
        <v>5968</v>
      </c>
      <c r="C306" s="53" t="n">
        <v>25</v>
      </c>
      <c r="D306" s="85" t="str">
        <f aca="false">SRC_Perf!$O25</f>
        <v>Active</v>
      </c>
      <c r="E306" s="85" t="n">
        <f aca="false">SRC_Perf!$K25</f>
        <v>1</v>
      </c>
    </row>
    <row r="307" customFormat="false" ht="15" hidden="false" customHeight="false" outlineLevel="0" collapsed="false">
      <c r="A307" s="85" t="str">
        <f aca="false">SRC_Perf!$A26&amp;""</f>
        <v>SRC_PERF_022</v>
      </c>
      <c r="B307" s="54" t="s">
        <v>5968</v>
      </c>
      <c r="C307" s="53" t="n">
        <v>26</v>
      </c>
      <c r="D307" s="85" t="str">
        <f aca="false">SRC_Perf!$O26</f>
        <v>Active</v>
      </c>
      <c r="E307" s="85" t="n">
        <f aca="false">SRC_Perf!$K26</f>
        <v>1</v>
      </c>
    </row>
    <row r="308" customFormat="false" ht="15" hidden="false" customHeight="false" outlineLevel="0" collapsed="false">
      <c r="A308" s="85" t="str">
        <f aca="false">SRC_Perf!$A27&amp;""</f>
        <v>SRC_PERF_023</v>
      </c>
      <c r="B308" s="54" t="s">
        <v>5968</v>
      </c>
      <c r="C308" s="53" t="n">
        <v>27</v>
      </c>
      <c r="D308" s="85" t="str">
        <f aca="false">SRC_Perf!$O27</f>
        <v>Active</v>
      </c>
      <c r="E308" s="85" t="n">
        <f aca="false">SRC_Perf!$K27</f>
        <v>3</v>
      </c>
    </row>
    <row r="309" customFormat="false" ht="15" hidden="false" customHeight="false" outlineLevel="0" collapsed="false">
      <c r="A309" s="85" t="str">
        <f aca="false">SRC_Perf!$A28&amp;""</f>
        <v>SRC_PERF_024</v>
      </c>
      <c r="B309" s="54" t="s">
        <v>5968</v>
      </c>
      <c r="C309" s="53" t="n">
        <v>28</v>
      </c>
      <c r="D309" s="85" t="str">
        <f aca="false">SRC_Perf!$O28</f>
        <v>Active</v>
      </c>
      <c r="E309" s="85" t="n">
        <f aca="false">SRC_Perf!$K28</f>
        <v>2</v>
      </c>
    </row>
    <row r="310" customFormat="false" ht="15" hidden="false" customHeight="false" outlineLevel="0" collapsed="false">
      <c r="A310" s="85" t="str">
        <f aca="false">SRC_Perf!$A29&amp;""</f>
        <v>SRC_PERF_025</v>
      </c>
      <c r="B310" s="54" t="s">
        <v>5968</v>
      </c>
      <c r="C310" s="53" t="n">
        <v>29</v>
      </c>
      <c r="D310" s="85" t="str">
        <f aca="false">SRC_Perf!$O29</f>
        <v>Active</v>
      </c>
      <c r="E310" s="85" t="n">
        <f aca="false">SRC_Perf!$K29</f>
        <v>2</v>
      </c>
    </row>
    <row r="311" customFormat="false" ht="15" hidden="false" customHeight="false" outlineLevel="0" collapsed="false">
      <c r="A311" s="85" t="str">
        <f aca="false">SRC_Perf!$A30&amp;""</f>
        <v>SRC_PERF_026</v>
      </c>
      <c r="B311" s="54" t="s">
        <v>5968</v>
      </c>
      <c r="C311" s="53" t="n">
        <v>30</v>
      </c>
      <c r="D311" s="85" t="str">
        <f aca="false">SRC_Perf!$O30</f>
        <v>Active</v>
      </c>
      <c r="E311" s="85" t="n">
        <f aca="false">SRC_Perf!$K30</f>
        <v>2</v>
      </c>
    </row>
    <row r="312" customFormat="false" ht="15" hidden="false" customHeight="false" outlineLevel="0" collapsed="false">
      <c r="A312" s="85" t="str">
        <f aca="false">SRC_Perf!$A31&amp;""</f>
        <v>SRC_PERF_027</v>
      </c>
      <c r="B312" s="54" t="s">
        <v>5968</v>
      </c>
      <c r="C312" s="53" t="n">
        <v>31</v>
      </c>
      <c r="D312" s="85" t="str">
        <f aca="false">SRC_Perf!$O31</f>
        <v>Active</v>
      </c>
      <c r="E312" s="85" t="n">
        <f aca="false">SRC_Perf!$K31</f>
        <v>2</v>
      </c>
    </row>
    <row r="313" customFormat="false" ht="15" hidden="false" customHeight="false" outlineLevel="0" collapsed="false">
      <c r="A313" s="85" t="str">
        <f aca="false">SRC_Perf!$A32&amp;""</f>
        <v>SRC_PERF_028</v>
      </c>
      <c r="B313" s="54" t="s">
        <v>5968</v>
      </c>
      <c r="C313" s="53" t="n">
        <v>32</v>
      </c>
      <c r="D313" s="85" t="str">
        <f aca="false">SRC_Perf!$O32</f>
        <v>Active</v>
      </c>
      <c r="E313" s="85" t="n">
        <f aca="false">SRC_Perf!$K32</f>
        <v>2</v>
      </c>
    </row>
    <row r="314" customFormat="false" ht="15" hidden="false" customHeight="false" outlineLevel="0" collapsed="false">
      <c r="A314" s="85" t="str">
        <f aca="false">SRC_Perf!$A33&amp;""</f>
        <v>SRC_PERF_029</v>
      </c>
      <c r="B314" s="54" t="s">
        <v>5968</v>
      </c>
      <c r="C314" s="53" t="n">
        <v>33</v>
      </c>
      <c r="D314" s="85" t="str">
        <f aca="false">SRC_Perf!$O33</f>
        <v>Active</v>
      </c>
      <c r="E314" s="85" t="n">
        <f aca="false">SRC_Perf!$K33</f>
        <v>1</v>
      </c>
    </row>
    <row r="315" customFormat="false" ht="15" hidden="false" customHeight="false" outlineLevel="0" collapsed="false">
      <c r="A315" s="85" t="str">
        <f aca="false">SRC_Perf!$A34&amp;""</f>
        <v>SRC_PERF_030</v>
      </c>
      <c r="B315" s="54" t="s">
        <v>5968</v>
      </c>
      <c r="C315" s="53" t="n">
        <v>34</v>
      </c>
      <c r="D315" s="85" t="str">
        <f aca="false">SRC_Perf!$O34</f>
        <v>Active</v>
      </c>
      <c r="E315" s="85" t="n">
        <f aca="false">SRC_Perf!$K34</f>
        <v>1</v>
      </c>
    </row>
    <row r="316" customFormat="false" ht="15" hidden="false" customHeight="false" outlineLevel="0" collapsed="false">
      <c r="A316" s="85" t="str">
        <f aca="false">SRC_Perf!$A35&amp;""</f>
        <v>SRC_PERF_031</v>
      </c>
      <c r="B316" s="54" t="s">
        <v>5968</v>
      </c>
      <c r="C316" s="53" t="n">
        <v>35</v>
      </c>
      <c r="D316" s="85" t="str">
        <f aca="false">SRC_Perf!$O35</f>
        <v>Active</v>
      </c>
      <c r="E316" s="85" t="n">
        <f aca="false">SRC_Perf!$K35</f>
        <v>1</v>
      </c>
    </row>
    <row r="317" customFormat="false" ht="15" hidden="false" customHeight="false" outlineLevel="0" collapsed="false">
      <c r="A317" s="85" t="str">
        <f aca="false">SRC_Perf!$A36&amp;""</f>
        <v>SRC_PERF_032</v>
      </c>
      <c r="B317" s="54" t="s">
        <v>5968</v>
      </c>
      <c r="C317" s="53" t="n">
        <v>36</v>
      </c>
      <c r="D317" s="85" t="str">
        <f aca="false">SRC_Perf!$O36</f>
        <v>Active</v>
      </c>
      <c r="E317" s="85" t="n">
        <f aca="false">SRC_Perf!$K36</f>
        <v>1</v>
      </c>
    </row>
    <row r="318" customFormat="false" ht="15" hidden="false" customHeight="false" outlineLevel="0" collapsed="false">
      <c r="A318" s="85" t="str">
        <f aca="false">SRC_Perf!$A37&amp;""</f>
        <v>SRC_PERF_033</v>
      </c>
      <c r="B318" s="54" t="s">
        <v>5968</v>
      </c>
      <c r="C318" s="53" t="n">
        <v>37</v>
      </c>
      <c r="D318" s="85" t="str">
        <f aca="false">SRC_Perf!$O37</f>
        <v>Active</v>
      </c>
      <c r="E318" s="85" t="n">
        <f aca="false">SRC_Perf!$K37</f>
        <v>1</v>
      </c>
    </row>
    <row r="319" customFormat="false" ht="15" hidden="false" customHeight="false" outlineLevel="0" collapsed="false">
      <c r="A319" s="85" t="str">
        <f aca="false">SRC_Perf!$A38&amp;""</f>
        <v>SRC_PERF_034</v>
      </c>
      <c r="B319" s="54" t="s">
        <v>5968</v>
      </c>
      <c r="C319" s="53" t="n">
        <v>38</v>
      </c>
      <c r="D319" s="85" t="str">
        <f aca="false">SRC_Perf!$O38</f>
        <v>Active</v>
      </c>
      <c r="E319" s="85" t="n">
        <f aca="false">SRC_Perf!$K38</f>
        <v>1</v>
      </c>
    </row>
    <row r="320" customFormat="false" ht="15" hidden="false" customHeight="false" outlineLevel="0" collapsed="false">
      <c r="A320" s="85" t="str">
        <f aca="false">SRC_Perf!$A39&amp;""</f>
        <v>SRC_PERF_035</v>
      </c>
      <c r="B320" s="54" t="s">
        <v>5968</v>
      </c>
      <c r="C320" s="53" t="n">
        <v>39</v>
      </c>
      <c r="D320" s="85" t="str">
        <f aca="false">SRC_Perf!$O39</f>
        <v>Active</v>
      </c>
      <c r="E320" s="85" t="n">
        <f aca="false">SRC_Perf!$K39</f>
        <v>1</v>
      </c>
    </row>
    <row r="321" customFormat="false" ht="15" hidden="false" customHeight="false" outlineLevel="0" collapsed="false">
      <c r="A321" s="85" t="str">
        <f aca="false">SRC_Perf!$A40&amp;""</f>
        <v>SRC_PERF_036</v>
      </c>
      <c r="B321" s="54" t="s">
        <v>5968</v>
      </c>
      <c r="C321" s="53" t="n">
        <v>40</v>
      </c>
      <c r="D321" s="85" t="str">
        <f aca="false">SRC_Perf!$O40</f>
        <v>Active</v>
      </c>
      <c r="E321" s="85" t="n">
        <f aca="false">SRC_Perf!$K40</f>
        <v>1</v>
      </c>
    </row>
    <row r="322" customFormat="false" ht="15" hidden="false" customHeight="false" outlineLevel="0" collapsed="false">
      <c r="A322" s="85" t="str">
        <f aca="false">SRC_Perf!$A41&amp;""</f>
        <v>SRC_PERF_037</v>
      </c>
      <c r="B322" s="54" t="s">
        <v>5968</v>
      </c>
      <c r="C322" s="53" t="n">
        <v>41</v>
      </c>
      <c r="D322" s="85" t="str">
        <f aca="false">SRC_Perf!$O41</f>
        <v>Active</v>
      </c>
      <c r="E322" s="85" t="n">
        <f aca="false">SRC_Perf!$K41</f>
        <v>1</v>
      </c>
    </row>
    <row r="323" customFormat="false" ht="15" hidden="false" customHeight="false" outlineLevel="0" collapsed="false">
      <c r="A323" s="85" t="str">
        <f aca="false">SRC_Perf!$A42&amp;""</f>
        <v>SRC_PERF_038</v>
      </c>
      <c r="B323" s="54" t="s">
        <v>5968</v>
      </c>
      <c r="C323" s="53" t="n">
        <v>42</v>
      </c>
      <c r="D323" s="85" t="str">
        <f aca="false">SRC_Perf!$O42</f>
        <v>Active</v>
      </c>
      <c r="E323" s="85" t="n">
        <f aca="false">SRC_Perf!$K42</f>
        <v>1</v>
      </c>
    </row>
    <row r="324" customFormat="false" ht="15" hidden="false" customHeight="false" outlineLevel="0" collapsed="false">
      <c r="A324" s="85" t="str">
        <f aca="false">SRC_Perf!$A43&amp;""</f>
        <v>SRC_PERF_039</v>
      </c>
      <c r="B324" s="54" t="s">
        <v>5968</v>
      </c>
      <c r="C324" s="53" t="n">
        <v>43</v>
      </c>
      <c r="D324" s="85" t="str">
        <f aca="false">SRC_Perf!$O43</f>
        <v>Active</v>
      </c>
      <c r="E324" s="85" t="n">
        <f aca="false">SRC_Perf!$K43</f>
        <v>1</v>
      </c>
    </row>
    <row r="325" customFormat="false" ht="15" hidden="false" customHeight="false" outlineLevel="0" collapsed="false">
      <c r="A325" s="85" t="str">
        <f aca="false">SRC_Perf!$A44&amp;""</f>
        <v>SRC_PERF_040</v>
      </c>
      <c r="B325" s="54" t="s">
        <v>5968</v>
      </c>
      <c r="C325" s="53" t="n">
        <v>44</v>
      </c>
      <c r="D325" s="85" t="str">
        <f aca="false">SRC_Perf!$O44</f>
        <v>Active</v>
      </c>
      <c r="E325" s="85" t="n">
        <f aca="false">SRC_Perf!$K44</f>
        <v>1</v>
      </c>
    </row>
    <row r="326" customFormat="false" ht="15" hidden="false" customHeight="false" outlineLevel="0" collapsed="false">
      <c r="A326" s="85" t="str">
        <f aca="false">SRC_Perf!$A45&amp;""</f>
        <v>SRC_PERF_041</v>
      </c>
      <c r="B326" s="54" t="s">
        <v>5968</v>
      </c>
      <c r="C326" s="53" t="n">
        <v>45</v>
      </c>
      <c r="D326" s="85" t="str">
        <f aca="false">SRC_Perf!$O45</f>
        <v>Active</v>
      </c>
      <c r="E326" s="85" t="n">
        <f aca="false">SRC_Perf!$K45</f>
        <v>1</v>
      </c>
    </row>
    <row r="327" customFormat="false" ht="15" hidden="false" customHeight="false" outlineLevel="0" collapsed="false">
      <c r="A327" s="85" t="str">
        <f aca="false">SRC_Perf!$A46&amp;""</f>
        <v>SRC_PERF_042</v>
      </c>
      <c r="B327" s="54" t="s">
        <v>5968</v>
      </c>
      <c r="C327" s="53" t="n">
        <v>46</v>
      </c>
      <c r="D327" s="85" t="str">
        <f aca="false">SRC_Perf!$O46</f>
        <v>Active</v>
      </c>
      <c r="E327" s="85" t="n">
        <f aca="false">SRC_Perf!$K46</f>
        <v>1</v>
      </c>
    </row>
    <row r="328" customFormat="false" ht="15" hidden="false" customHeight="false" outlineLevel="0" collapsed="false">
      <c r="A328" s="85" t="str">
        <f aca="false">SRC_Perf!$A47&amp;""</f>
        <v>SRC_PERF_043</v>
      </c>
      <c r="B328" s="54" t="s">
        <v>5968</v>
      </c>
      <c r="C328" s="53" t="n">
        <v>47</v>
      </c>
      <c r="D328" s="85" t="str">
        <f aca="false">SRC_Perf!$O47</f>
        <v>Active</v>
      </c>
      <c r="E328" s="85" t="n">
        <f aca="false">SRC_Perf!$K47</f>
        <v>1</v>
      </c>
    </row>
    <row r="329" customFormat="false" ht="15" hidden="false" customHeight="false" outlineLevel="0" collapsed="false">
      <c r="A329" s="85" t="str">
        <f aca="false">SRC_Perf!$A48&amp;""</f>
        <v>SRC_PERF_044</v>
      </c>
      <c r="B329" s="54" t="s">
        <v>5968</v>
      </c>
      <c r="C329" s="53" t="n">
        <v>48</v>
      </c>
      <c r="D329" s="85" t="str">
        <f aca="false">SRC_Perf!$O48</f>
        <v>Active</v>
      </c>
      <c r="E329" s="85" t="n">
        <f aca="false">SRC_Perf!$K48</f>
        <v>1</v>
      </c>
    </row>
    <row r="330" customFormat="false" ht="15" hidden="false" customHeight="false" outlineLevel="0" collapsed="false">
      <c r="A330" s="85" t="str">
        <f aca="false">SRC_Perf!$A49&amp;""</f>
        <v>SRC_PERF_045</v>
      </c>
      <c r="B330" s="54" t="s">
        <v>5968</v>
      </c>
      <c r="C330" s="53" t="n">
        <v>49</v>
      </c>
      <c r="D330" s="85" t="str">
        <f aca="false">SRC_Perf!$O49</f>
        <v>Active</v>
      </c>
      <c r="E330" s="85" t="n">
        <f aca="false">SRC_Perf!$K49</f>
        <v>1</v>
      </c>
    </row>
    <row r="331" customFormat="false" ht="15" hidden="false" customHeight="false" outlineLevel="0" collapsed="false">
      <c r="A331" s="85" t="str">
        <f aca="false">SRC_Perf!$A50&amp;""</f>
        <v>SRC_PERF_046</v>
      </c>
      <c r="B331" s="54" t="s">
        <v>5968</v>
      </c>
      <c r="C331" s="53" t="n">
        <v>50</v>
      </c>
      <c r="D331" s="85" t="str">
        <f aca="false">SRC_Perf!$O50</f>
        <v>Active</v>
      </c>
      <c r="E331" s="85" t="n">
        <f aca="false">SRC_Perf!$K50</f>
        <v>1</v>
      </c>
    </row>
    <row r="332" customFormat="false" ht="15" hidden="false" customHeight="false" outlineLevel="0" collapsed="false">
      <c r="A332" s="85" t="str">
        <f aca="false">SRC_Perf!$A51&amp;""</f>
        <v>SRC_PERF_047</v>
      </c>
      <c r="B332" s="54" t="s">
        <v>5968</v>
      </c>
      <c r="C332" s="53" t="n">
        <v>51</v>
      </c>
      <c r="D332" s="85" t="str">
        <f aca="false">SRC_Perf!$O51</f>
        <v>Active</v>
      </c>
      <c r="E332" s="85" t="n">
        <f aca="false">SRC_Perf!$K51</f>
        <v>1</v>
      </c>
    </row>
    <row r="333" customFormat="false" ht="15" hidden="false" customHeight="false" outlineLevel="0" collapsed="false">
      <c r="A333" s="85" t="str">
        <f aca="false">SRC_Perf!$A52&amp;""</f>
        <v>SRC_PERF_048</v>
      </c>
      <c r="B333" s="54" t="s">
        <v>5968</v>
      </c>
      <c r="C333" s="53" t="n">
        <v>52</v>
      </c>
      <c r="D333" s="85" t="str">
        <f aca="false">SRC_Perf!$O52</f>
        <v>Active</v>
      </c>
      <c r="E333" s="85" t="n">
        <f aca="false">SRC_Perf!$K52</f>
        <v>1</v>
      </c>
    </row>
    <row r="334" customFormat="false" ht="15" hidden="false" customHeight="false" outlineLevel="0" collapsed="false">
      <c r="A334" s="85" t="str">
        <f aca="false">SRC_Perf!$A53&amp;""</f>
        <v>SRC_PERF_049</v>
      </c>
      <c r="B334" s="54" t="s">
        <v>5968</v>
      </c>
      <c r="C334" s="53" t="n">
        <v>53</v>
      </c>
      <c r="D334" s="85" t="str">
        <f aca="false">SRC_Perf!$O53</f>
        <v>Active</v>
      </c>
      <c r="E334" s="85" t="n">
        <f aca="false">SRC_Perf!$K53</f>
        <v>1</v>
      </c>
    </row>
    <row r="335" customFormat="false" ht="15" hidden="false" customHeight="false" outlineLevel="0" collapsed="false">
      <c r="A335" s="85" t="str">
        <f aca="false">SRC_Perf!$A54&amp;""</f>
        <v>SRC_PERF_050</v>
      </c>
      <c r="B335" s="54" t="s">
        <v>5968</v>
      </c>
      <c r="C335" s="53" t="n">
        <v>54</v>
      </c>
      <c r="D335" s="85" t="str">
        <f aca="false">SRC_Perf!$O54</f>
        <v>Active</v>
      </c>
      <c r="E335" s="85" t="n">
        <f aca="false">SRC_Perf!$K54</f>
        <v>1</v>
      </c>
    </row>
    <row r="336" customFormat="false" ht="15" hidden="false" customHeight="false" outlineLevel="0" collapsed="false">
      <c r="A336" s="85" t="str">
        <f aca="false">SRC_Perf!$A55&amp;""</f>
        <v>SRC_PERF_051</v>
      </c>
      <c r="B336" s="54" t="s">
        <v>5968</v>
      </c>
      <c r="C336" s="53" t="n">
        <v>55</v>
      </c>
      <c r="D336" s="85" t="str">
        <f aca="false">SRC_Perf!$O55</f>
        <v>Active</v>
      </c>
      <c r="E336" s="85" t="n">
        <f aca="false">SRC_Perf!$K55</f>
        <v>1</v>
      </c>
    </row>
    <row r="337" customFormat="false" ht="15" hidden="false" customHeight="false" outlineLevel="0" collapsed="false">
      <c r="A337" s="85" t="str">
        <f aca="false">SRC_Perf!$A56&amp;""</f>
        <v/>
      </c>
      <c r="B337" s="54" t="s">
        <v>5968</v>
      </c>
      <c r="C337" s="53" t="n">
        <v>56</v>
      </c>
      <c r="D337" s="85" t="n">
        <f aca="false">SRC_Perf!$O56</f>
        <v>0</v>
      </c>
      <c r="E337" s="85" t="n">
        <f aca="false">SRC_Perf!$K56</f>
        <v>0</v>
      </c>
    </row>
    <row r="338" customFormat="false" ht="15" hidden="false" customHeight="false" outlineLevel="0" collapsed="false">
      <c r="A338" s="85" t="str">
        <f aca="false">SRC_Perf!$A57&amp;""</f>
        <v/>
      </c>
      <c r="B338" s="54" t="s">
        <v>5968</v>
      </c>
      <c r="C338" s="53" t="n">
        <v>57</v>
      </c>
      <c r="D338" s="85" t="n">
        <f aca="false">SRC_Perf!$O57</f>
        <v>0</v>
      </c>
      <c r="E338" s="85" t="n">
        <f aca="false">SRC_Perf!$K57</f>
        <v>0</v>
      </c>
    </row>
    <row r="339" customFormat="false" ht="15" hidden="false" customHeight="false" outlineLevel="0" collapsed="false">
      <c r="A339" s="85" t="str">
        <f aca="false">SRC_Perf!$A58&amp;""</f>
        <v/>
      </c>
      <c r="B339" s="54" t="s">
        <v>5968</v>
      </c>
      <c r="C339" s="53" t="n">
        <v>58</v>
      </c>
      <c r="D339" s="85" t="n">
        <f aca="false">SRC_Perf!$O58</f>
        <v>0</v>
      </c>
      <c r="E339" s="85" t="n">
        <f aca="false">SRC_Perf!$K58</f>
        <v>0</v>
      </c>
    </row>
    <row r="340" customFormat="false" ht="15" hidden="false" customHeight="false" outlineLevel="0" collapsed="false">
      <c r="A340" s="85" t="str">
        <f aca="false">SRC_Perf!$A59&amp;""</f>
        <v/>
      </c>
      <c r="B340" s="54" t="s">
        <v>5968</v>
      </c>
      <c r="C340" s="53" t="n">
        <v>59</v>
      </c>
      <c r="D340" s="85" t="n">
        <f aca="false">SRC_Perf!$O59</f>
        <v>0</v>
      </c>
      <c r="E340" s="85" t="n">
        <f aca="false">SRC_Perf!$K59</f>
        <v>0</v>
      </c>
    </row>
    <row r="341" customFormat="false" ht="15" hidden="false" customHeight="false" outlineLevel="0" collapsed="false">
      <c r="A341" s="85" t="str">
        <f aca="false">SRC_Perf!$A60&amp;""</f>
        <v/>
      </c>
      <c r="B341" s="54" t="s">
        <v>5968</v>
      </c>
      <c r="C341" s="53" t="n">
        <v>60</v>
      </c>
      <c r="D341" s="85" t="n">
        <f aca="false">SRC_Perf!$O60</f>
        <v>0</v>
      </c>
      <c r="E341" s="85" t="n">
        <f aca="false">SRC_Perf!$K60</f>
        <v>0</v>
      </c>
    </row>
    <row r="342" customFormat="false" ht="15" hidden="false" customHeight="false" outlineLevel="0" collapsed="false">
      <c r="A342" s="85" t="str">
        <f aca="false">SRC_Perf!$A61&amp;""</f>
        <v/>
      </c>
      <c r="B342" s="54" t="s">
        <v>5968</v>
      </c>
      <c r="C342" s="53" t="n">
        <v>61</v>
      </c>
      <c r="D342" s="85" t="n">
        <f aca="false">SRC_Perf!$O61</f>
        <v>0</v>
      </c>
      <c r="E342" s="85" t="n">
        <f aca="false">SRC_Perf!$K61</f>
        <v>0</v>
      </c>
    </row>
    <row r="343" customFormat="false" ht="15" hidden="false" customHeight="false" outlineLevel="0" collapsed="false">
      <c r="A343" s="85" t="str">
        <f aca="false">SRC_Perf!$A62&amp;""</f>
        <v/>
      </c>
      <c r="B343" s="54" t="s">
        <v>5968</v>
      </c>
      <c r="C343" s="53" t="n">
        <v>62</v>
      </c>
      <c r="D343" s="85" t="n">
        <f aca="false">SRC_Perf!$O62</f>
        <v>0</v>
      </c>
      <c r="E343" s="85" t="n">
        <f aca="false">SRC_Perf!$K62</f>
        <v>0</v>
      </c>
    </row>
    <row r="344" customFormat="false" ht="15" hidden="false" customHeight="false" outlineLevel="0" collapsed="false">
      <c r="A344" s="85" t="str">
        <f aca="false">SRC_Perf!$A63&amp;""</f>
        <v/>
      </c>
      <c r="B344" s="54" t="s">
        <v>5968</v>
      </c>
      <c r="C344" s="53" t="n">
        <v>63</v>
      </c>
      <c r="D344" s="85" t="n">
        <f aca="false">SRC_Perf!$O63</f>
        <v>0</v>
      </c>
      <c r="E344" s="85" t="n">
        <f aca="false">SRC_Perf!$K63</f>
        <v>0</v>
      </c>
    </row>
    <row r="345" customFormat="false" ht="15" hidden="false" customHeight="false" outlineLevel="0" collapsed="false">
      <c r="A345" s="85" t="str">
        <f aca="false">SRC_Perf!$A64&amp;""</f>
        <v/>
      </c>
      <c r="B345" s="54" t="s">
        <v>5968</v>
      </c>
      <c r="C345" s="53" t="n">
        <v>64</v>
      </c>
      <c r="D345" s="85" t="n">
        <f aca="false">SRC_Perf!$O64</f>
        <v>0</v>
      </c>
      <c r="E345" s="85" t="n">
        <f aca="false">SRC_Perf!$K64</f>
        <v>0</v>
      </c>
    </row>
    <row r="346" customFormat="false" ht="15" hidden="false" customHeight="false" outlineLevel="0" collapsed="false">
      <c r="A346" s="85" t="str">
        <f aca="false">SRC_Perf!$A65&amp;""</f>
        <v/>
      </c>
      <c r="B346" s="54" t="s">
        <v>5968</v>
      </c>
      <c r="C346" s="53" t="n">
        <v>65</v>
      </c>
      <c r="D346" s="85" t="n">
        <f aca="false">SRC_Perf!$O65</f>
        <v>0</v>
      </c>
      <c r="E346" s="85" t="n">
        <f aca="false">SRC_Perf!$K65</f>
        <v>0</v>
      </c>
    </row>
    <row r="347" customFormat="false" ht="15" hidden="false" customHeight="false" outlineLevel="0" collapsed="false">
      <c r="A347" s="85" t="str">
        <f aca="false">SRC_Perf!$A66&amp;""</f>
        <v/>
      </c>
      <c r="B347" s="54" t="s">
        <v>5968</v>
      </c>
      <c r="C347" s="53" t="n">
        <v>66</v>
      </c>
      <c r="D347" s="85" t="n">
        <f aca="false">SRC_Perf!$O66</f>
        <v>0</v>
      </c>
      <c r="E347" s="85" t="n">
        <f aca="false">SRC_Perf!$K66</f>
        <v>0</v>
      </c>
    </row>
    <row r="348" customFormat="false" ht="15" hidden="false" customHeight="false" outlineLevel="0" collapsed="false">
      <c r="A348" s="85" t="str">
        <f aca="false">SRC_Perf!$A67&amp;""</f>
        <v/>
      </c>
      <c r="B348" s="54" t="s">
        <v>5968</v>
      </c>
      <c r="C348" s="53" t="n">
        <v>67</v>
      </c>
      <c r="D348" s="85" t="n">
        <f aca="false">SRC_Perf!$O67</f>
        <v>0</v>
      </c>
      <c r="E348" s="85" t="n">
        <f aca="false">SRC_Perf!$K67</f>
        <v>0</v>
      </c>
    </row>
    <row r="349" customFormat="false" ht="15" hidden="false" customHeight="false" outlineLevel="0" collapsed="false">
      <c r="A349" s="85" t="str">
        <f aca="false">SRC_Perf!$A68&amp;""</f>
        <v/>
      </c>
      <c r="B349" s="54" t="s">
        <v>5968</v>
      </c>
      <c r="C349" s="53" t="n">
        <v>68</v>
      </c>
      <c r="D349" s="85" t="n">
        <f aca="false">SRC_Perf!$O68</f>
        <v>0</v>
      </c>
      <c r="E349" s="85" t="n">
        <f aca="false">SRC_Perf!$K68</f>
        <v>0</v>
      </c>
    </row>
    <row r="350" customFormat="false" ht="15" hidden="false" customHeight="false" outlineLevel="0" collapsed="false">
      <c r="A350" s="85" t="str">
        <f aca="false">SRC_Perf!$A69&amp;""</f>
        <v/>
      </c>
      <c r="B350" s="54" t="s">
        <v>5968</v>
      </c>
      <c r="C350" s="53" t="n">
        <v>69</v>
      </c>
      <c r="D350" s="85" t="n">
        <f aca="false">SRC_Perf!$O69</f>
        <v>0</v>
      </c>
      <c r="E350" s="85" t="n">
        <f aca="false">SRC_Perf!$K69</f>
        <v>0</v>
      </c>
    </row>
    <row r="351" customFormat="false" ht="15" hidden="false" customHeight="false" outlineLevel="0" collapsed="false">
      <c r="A351" s="85" t="str">
        <f aca="false">SRC_Perf!$A70&amp;""</f>
        <v/>
      </c>
      <c r="B351" s="54" t="s">
        <v>5968</v>
      </c>
      <c r="C351" s="53" t="n">
        <v>70</v>
      </c>
      <c r="D351" s="85" t="n">
        <f aca="false">SRC_Perf!$O70</f>
        <v>0</v>
      </c>
      <c r="E351" s="85" t="n">
        <f aca="false">SRC_Perf!$K70</f>
        <v>0</v>
      </c>
    </row>
    <row r="352" customFormat="false" ht="15" hidden="false" customHeight="false" outlineLevel="0" collapsed="false">
      <c r="A352" s="85" t="str">
        <f aca="false">SRC_Perf!$A71&amp;""</f>
        <v/>
      </c>
      <c r="B352" s="54" t="s">
        <v>5968</v>
      </c>
      <c r="C352" s="53" t="n">
        <v>71</v>
      </c>
      <c r="D352" s="85" t="n">
        <f aca="false">SRC_Perf!$O71</f>
        <v>0</v>
      </c>
      <c r="E352" s="85" t="n">
        <f aca="false">SRC_Perf!$K71</f>
        <v>0</v>
      </c>
    </row>
    <row r="353" customFormat="false" ht="15" hidden="false" customHeight="false" outlineLevel="0" collapsed="false">
      <c r="A353" s="85" t="str">
        <f aca="false">SRC_Perf!$A72&amp;""</f>
        <v/>
      </c>
      <c r="B353" s="54" t="s">
        <v>5968</v>
      </c>
      <c r="C353" s="53" t="n">
        <v>72</v>
      </c>
      <c r="D353" s="85" t="n">
        <f aca="false">SRC_Perf!$O72</f>
        <v>0</v>
      </c>
      <c r="E353" s="85" t="n">
        <f aca="false">SRC_Perf!$K72</f>
        <v>0</v>
      </c>
    </row>
    <row r="354" customFormat="false" ht="15" hidden="false" customHeight="false" outlineLevel="0" collapsed="false">
      <c r="A354" s="85" t="str">
        <f aca="false">SRC_Perf!$A73&amp;""</f>
        <v/>
      </c>
      <c r="B354" s="54" t="s">
        <v>5968</v>
      </c>
      <c r="C354" s="53" t="n">
        <v>73</v>
      </c>
      <c r="D354" s="85" t="n">
        <f aca="false">SRC_Perf!$O73</f>
        <v>0</v>
      </c>
      <c r="E354" s="85" t="n">
        <f aca="false">SRC_Perf!$K73</f>
        <v>0</v>
      </c>
    </row>
    <row r="355" customFormat="false" ht="15" hidden="false" customHeight="false" outlineLevel="0" collapsed="false">
      <c r="A355" s="85" t="str">
        <f aca="false">SRC_Perf!$A74&amp;""</f>
        <v/>
      </c>
      <c r="B355" s="54" t="s">
        <v>5968</v>
      </c>
      <c r="C355" s="53" t="n">
        <v>74</v>
      </c>
      <c r="D355" s="85" t="n">
        <f aca="false">SRC_Perf!$O74</f>
        <v>0</v>
      </c>
      <c r="E355" s="85" t="n">
        <f aca="false">SRC_Perf!$K74</f>
        <v>0</v>
      </c>
    </row>
    <row r="356" customFormat="false" ht="15" hidden="false" customHeight="false" outlineLevel="0" collapsed="false">
      <c r="A356" s="85" t="str">
        <f aca="false">SRC_Perf!$A75&amp;""</f>
        <v/>
      </c>
      <c r="B356" s="54" t="s">
        <v>5968</v>
      </c>
      <c r="C356" s="53" t="n">
        <v>75</v>
      </c>
      <c r="D356" s="85" t="n">
        <f aca="false">SRC_Perf!$O75</f>
        <v>0</v>
      </c>
      <c r="E356" s="85" t="n">
        <f aca="false">SRC_Perf!$K75</f>
        <v>0</v>
      </c>
    </row>
    <row r="357" customFormat="false" ht="15" hidden="false" customHeight="false" outlineLevel="0" collapsed="false">
      <c r="A357" s="85" t="str">
        <f aca="false">SRC_Perf!$A76&amp;""</f>
        <v/>
      </c>
      <c r="B357" s="54" t="s">
        <v>5968</v>
      </c>
      <c r="C357" s="53" t="n">
        <v>76</v>
      </c>
      <c r="D357" s="85" t="n">
        <f aca="false">SRC_Perf!$O76</f>
        <v>0</v>
      </c>
      <c r="E357" s="85" t="n">
        <f aca="false">SRC_Perf!$K76</f>
        <v>0</v>
      </c>
    </row>
    <row r="358" customFormat="false" ht="15" hidden="false" customHeight="false" outlineLevel="0" collapsed="false">
      <c r="A358" s="85" t="str">
        <f aca="false">SRC_Perf!$A77&amp;""</f>
        <v/>
      </c>
      <c r="B358" s="54" t="s">
        <v>5968</v>
      </c>
      <c r="C358" s="53" t="n">
        <v>77</v>
      </c>
      <c r="D358" s="85" t="n">
        <f aca="false">SRC_Perf!$O77</f>
        <v>0</v>
      </c>
      <c r="E358" s="85" t="n">
        <f aca="false">SRC_Perf!$K77</f>
        <v>0</v>
      </c>
    </row>
    <row r="359" customFormat="false" ht="15" hidden="false" customHeight="false" outlineLevel="0" collapsed="false">
      <c r="A359" s="85" t="str">
        <f aca="false">SRC_Perf!$A78&amp;""</f>
        <v/>
      </c>
      <c r="B359" s="54" t="s">
        <v>5968</v>
      </c>
      <c r="C359" s="53" t="n">
        <v>78</v>
      </c>
      <c r="D359" s="85" t="n">
        <f aca="false">SRC_Perf!$O78</f>
        <v>0</v>
      </c>
      <c r="E359" s="85" t="n">
        <f aca="false">SRC_Perf!$K78</f>
        <v>0</v>
      </c>
    </row>
    <row r="360" customFormat="false" ht="15" hidden="false" customHeight="false" outlineLevel="0" collapsed="false">
      <c r="A360" s="85" t="str">
        <f aca="false">SRC_Perf!$A79&amp;""</f>
        <v/>
      </c>
      <c r="B360" s="54" t="s">
        <v>5968</v>
      </c>
      <c r="C360" s="53" t="n">
        <v>79</v>
      </c>
      <c r="D360" s="85" t="n">
        <f aca="false">SRC_Perf!$O79</f>
        <v>0</v>
      </c>
      <c r="E360" s="85" t="n">
        <f aca="false">SRC_Perf!$K79</f>
        <v>0</v>
      </c>
    </row>
    <row r="361" customFormat="false" ht="15" hidden="false" customHeight="false" outlineLevel="0" collapsed="false">
      <c r="A361" s="85" t="str">
        <f aca="false">SRC_Perf!$A80&amp;""</f>
        <v/>
      </c>
      <c r="B361" s="54" t="s">
        <v>5968</v>
      </c>
      <c r="C361" s="53" t="n">
        <v>80</v>
      </c>
      <c r="D361" s="85" t="n">
        <f aca="false">SRC_Perf!$O80</f>
        <v>0</v>
      </c>
      <c r="E361" s="85" t="n">
        <f aca="false">SRC_Perf!$K80</f>
        <v>0</v>
      </c>
    </row>
    <row r="362" customFormat="false" ht="15" hidden="false" customHeight="false" outlineLevel="0" collapsed="false">
      <c r="A362" s="85" t="str">
        <f aca="false">SRC_Perf!$A81&amp;""</f>
        <v/>
      </c>
      <c r="B362" s="54" t="s">
        <v>5968</v>
      </c>
      <c r="C362" s="53" t="n">
        <v>81</v>
      </c>
      <c r="D362" s="85" t="n">
        <f aca="false">SRC_Perf!$O81</f>
        <v>0</v>
      </c>
      <c r="E362" s="85" t="n">
        <f aca="false">SRC_Perf!$K81</f>
        <v>0</v>
      </c>
    </row>
    <row r="363" customFormat="false" ht="15" hidden="false" customHeight="false" outlineLevel="0" collapsed="false">
      <c r="A363" s="85" t="str">
        <f aca="false">SRC_Perf!$A82&amp;""</f>
        <v/>
      </c>
      <c r="B363" s="54" t="s">
        <v>5968</v>
      </c>
      <c r="C363" s="53" t="n">
        <v>82</v>
      </c>
      <c r="D363" s="85" t="n">
        <f aca="false">SRC_Perf!$O82</f>
        <v>0</v>
      </c>
      <c r="E363" s="85" t="n">
        <f aca="false">SRC_Perf!$K82</f>
        <v>0</v>
      </c>
    </row>
    <row r="364" customFormat="false" ht="15" hidden="false" customHeight="false" outlineLevel="0" collapsed="false">
      <c r="A364" s="85" t="str">
        <f aca="false">SRC_Perf!$A83&amp;""</f>
        <v/>
      </c>
      <c r="B364" s="54" t="s">
        <v>5968</v>
      </c>
      <c r="C364" s="53" t="n">
        <v>83</v>
      </c>
      <c r="D364" s="85" t="n">
        <f aca="false">SRC_Perf!$O83</f>
        <v>0</v>
      </c>
      <c r="E364" s="85" t="n">
        <f aca="false">SRC_Perf!$K83</f>
        <v>0</v>
      </c>
    </row>
    <row r="365" customFormat="false" ht="15" hidden="false" customHeight="false" outlineLevel="0" collapsed="false">
      <c r="A365" s="85" t="str">
        <f aca="false">SRC_Perf!$A84&amp;""</f>
        <v/>
      </c>
      <c r="B365" s="54" t="s">
        <v>5968</v>
      </c>
      <c r="C365" s="53" t="n">
        <v>84</v>
      </c>
      <c r="D365" s="85" t="n">
        <f aca="false">SRC_Perf!$O84</f>
        <v>0</v>
      </c>
      <c r="E365" s="85" t="n">
        <f aca="false">SRC_Perf!$K84</f>
        <v>0</v>
      </c>
    </row>
    <row r="366" customFormat="false" ht="15" hidden="false" customHeight="false" outlineLevel="0" collapsed="false">
      <c r="A366" s="85" t="str">
        <f aca="false">SRC_Perf!$A85&amp;""</f>
        <v/>
      </c>
      <c r="B366" s="54" t="s">
        <v>5968</v>
      </c>
      <c r="C366" s="53" t="n">
        <v>85</v>
      </c>
      <c r="D366" s="85" t="n">
        <f aca="false">SRC_Perf!$O85</f>
        <v>0</v>
      </c>
      <c r="E366" s="85" t="n">
        <f aca="false">SRC_Perf!$K85</f>
        <v>0</v>
      </c>
    </row>
    <row r="367" customFormat="false" ht="15" hidden="false" customHeight="false" outlineLevel="0" collapsed="false">
      <c r="A367" s="85" t="str">
        <f aca="false">SRC_Perf!$A86&amp;""</f>
        <v/>
      </c>
      <c r="B367" s="54" t="s">
        <v>5968</v>
      </c>
      <c r="C367" s="53" t="n">
        <v>86</v>
      </c>
      <c r="D367" s="85" t="n">
        <f aca="false">SRC_Perf!$O86</f>
        <v>0</v>
      </c>
      <c r="E367" s="85" t="n">
        <f aca="false">SRC_Perf!$K86</f>
        <v>0</v>
      </c>
    </row>
    <row r="368" customFormat="false" ht="15" hidden="false" customHeight="false" outlineLevel="0" collapsed="false">
      <c r="A368" s="85" t="str">
        <f aca="false">SRC_Perf!$A87&amp;""</f>
        <v/>
      </c>
      <c r="B368" s="54" t="s">
        <v>5968</v>
      </c>
      <c r="C368" s="53" t="n">
        <v>87</v>
      </c>
      <c r="D368" s="85" t="n">
        <f aca="false">SRC_Perf!$O87</f>
        <v>0</v>
      </c>
      <c r="E368" s="85" t="n">
        <f aca="false">SRC_Perf!$K87</f>
        <v>0</v>
      </c>
    </row>
    <row r="369" customFormat="false" ht="15" hidden="false" customHeight="false" outlineLevel="0" collapsed="false">
      <c r="A369" s="85" t="str">
        <f aca="false">SRC_Perf!$A88&amp;""</f>
        <v/>
      </c>
      <c r="B369" s="54" t="s">
        <v>5968</v>
      </c>
      <c r="C369" s="53" t="n">
        <v>88</v>
      </c>
      <c r="D369" s="85" t="n">
        <f aca="false">SRC_Perf!$O88</f>
        <v>0</v>
      </c>
      <c r="E369" s="85" t="n">
        <f aca="false">SRC_Perf!$K88</f>
        <v>0</v>
      </c>
    </row>
    <row r="370" customFormat="false" ht="15" hidden="false" customHeight="false" outlineLevel="0" collapsed="false">
      <c r="A370" s="85" t="str">
        <f aca="false">SRC_Perf!$A89&amp;""</f>
        <v/>
      </c>
      <c r="B370" s="54" t="s">
        <v>5968</v>
      </c>
      <c r="C370" s="53" t="n">
        <v>89</v>
      </c>
      <c r="D370" s="85" t="n">
        <f aca="false">SRC_Perf!$O89</f>
        <v>0</v>
      </c>
      <c r="E370" s="85" t="n">
        <f aca="false">SRC_Perf!$K89</f>
        <v>0</v>
      </c>
    </row>
    <row r="371" customFormat="false" ht="15" hidden="false" customHeight="false" outlineLevel="0" collapsed="false">
      <c r="A371" s="85" t="str">
        <f aca="false">SRC_Perf!$A90&amp;""</f>
        <v/>
      </c>
      <c r="B371" s="54" t="s">
        <v>5968</v>
      </c>
      <c r="C371" s="53" t="n">
        <v>90</v>
      </c>
      <c r="D371" s="85" t="n">
        <f aca="false">SRC_Perf!$O90</f>
        <v>0</v>
      </c>
      <c r="E371" s="85" t="n">
        <f aca="false">SRC_Perf!$K90</f>
        <v>0</v>
      </c>
    </row>
    <row r="372" customFormat="false" ht="15" hidden="false" customHeight="false" outlineLevel="0" collapsed="false">
      <c r="A372" s="85" t="str">
        <f aca="false">SRC_Perf!$A91&amp;""</f>
        <v/>
      </c>
      <c r="B372" s="54" t="s">
        <v>5968</v>
      </c>
      <c r="C372" s="53" t="n">
        <v>91</v>
      </c>
      <c r="D372" s="85" t="n">
        <f aca="false">SRC_Perf!$O91</f>
        <v>0</v>
      </c>
      <c r="E372" s="85" t="n">
        <f aca="false">SRC_Perf!$K91</f>
        <v>0</v>
      </c>
    </row>
    <row r="373" customFormat="false" ht="15" hidden="false" customHeight="false" outlineLevel="0" collapsed="false">
      <c r="A373" s="85" t="str">
        <f aca="false">SRC_Perf!$A92&amp;""</f>
        <v/>
      </c>
      <c r="B373" s="54" t="s">
        <v>5968</v>
      </c>
      <c r="C373" s="53" t="n">
        <v>92</v>
      </c>
      <c r="D373" s="85" t="n">
        <f aca="false">SRC_Perf!$O92</f>
        <v>0</v>
      </c>
      <c r="E373" s="85" t="n">
        <f aca="false">SRC_Perf!$K92</f>
        <v>0</v>
      </c>
    </row>
    <row r="374" customFormat="false" ht="15" hidden="false" customHeight="false" outlineLevel="0" collapsed="false">
      <c r="A374" s="85" t="str">
        <f aca="false">SRC_Perf!$A93&amp;""</f>
        <v/>
      </c>
      <c r="B374" s="54" t="s">
        <v>5968</v>
      </c>
      <c r="C374" s="53" t="n">
        <v>93</v>
      </c>
      <c r="D374" s="85" t="n">
        <f aca="false">SRC_Perf!$O93</f>
        <v>0</v>
      </c>
      <c r="E374" s="85" t="n">
        <f aca="false">SRC_Perf!$K93</f>
        <v>0</v>
      </c>
    </row>
    <row r="375" customFormat="false" ht="15" hidden="false" customHeight="false" outlineLevel="0" collapsed="false">
      <c r="A375" s="85" t="str">
        <f aca="false">SRC_Perf!$A94&amp;""</f>
        <v/>
      </c>
      <c r="B375" s="54" t="s">
        <v>5968</v>
      </c>
      <c r="C375" s="53" t="n">
        <v>94</v>
      </c>
      <c r="D375" s="85" t="n">
        <f aca="false">SRC_Perf!$O94</f>
        <v>0</v>
      </c>
      <c r="E375" s="85" t="n">
        <f aca="false">SRC_Perf!$K94</f>
        <v>0</v>
      </c>
    </row>
    <row r="376" customFormat="false" ht="15" hidden="false" customHeight="false" outlineLevel="0" collapsed="false">
      <c r="A376" s="85" t="str">
        <f aca="false">SRC_Perf!$A95&amp;""</f>
        <v/>
      </c>
      <c r="B376" s="54" t="s">
        <v>5968</v>
      </c>
      <c r="C376" s="53" t="n">
        <v>95</v>
      </c>
      <c r="D376" s="85" t="n">
        <f aca="false">SRC_Perf!$O95</f>
        <v>0</v>
      </c>
      <c r="E376" s="85" t="n">
        <f aca="false">SRC_Perf!$K95</f>
        <v>0</v>
      </c>
    </row>
    <row r="377" customFormat="false" ht="15" hidden="false" customHeight="false" outlineLevel="0" collapsed="false">
      <c r="A377" s="85" t="str">
        <f aca="false">SRC_Perf!$A96&amp;""</f>
        <v/>
      </c>
      <c r="B377" s="54" t="s">
        <v>5968</v>
      </c>
      <c r="C377" s="53" t="n">
        <v>96</v>
      </c>
      <c r="D377" s="85" t="n">
        <f aca="false">SRC_Perf!$O96</f>
        <v>0</v>
      </c>
      <c r="E377" s="85" t="n">
        <f aca="false">SRC_Perf!$K96</f>
        <v>0</v>
      </c>
    </row>
    <row r="378" customFormat="false" ht="15" hidden="false" customHeight="false" outlineLevel="0" collapsed="false">
      <c r="A378" s="85" t="str">
        <f aca="false">SRC_Perf!$A97&amp;""</f>
        <v/>
      </c>
      <c r="B378" s="54" t="s">
        <v>5968</v>
      </c>
      <c r="C378" s="53" t="n">
        <v>97</v>
      </c>
      <c r="D378" s="85" t="n">
        <f aca="false">SRC_Perf!$O97</f>
        <v>0</v>
      </c>
      <c r="E378" s="85" t="n">
        <f aca="false">SRC_Perf!$K97</f>
        <v>0</v>
      </c>
    </row>
    <row r="379" customFormat="false" ht="15" hidden="false" customHeight="false" outlineLevel="0" collapsed="false">
      <c r="A379" s="85" t="str">
        <f aca="false">SRC_Perf!$A98&amp;""</f>
        <v/>
      </c>
      <c r="B379" s="54" t="s">
        <v>5968</v>
      </c>
      <c r="C379" s="53" t="n">
        <v>98</v>
      </c>
      <c r="D379" s="85" t="n">
        <f aca="false">SRC_Perf!$O98</f>
        <v>0</v>
      </c>
      <c r="E379" s="85" t="n">
        <f aca="false">SRC_Perf!$K98</f>
        <v>0</v>
      </c>
    </row>
    <row r="380" customFormat="false" ht="15" hidden="false" customHeight="false" outlineLevel="0" collapsed="false">
      <c r="A380" s="85" t="str">
        <f aca="false">SRC_Perf!$A99&amp;""</f>
        <v/>
      </c>
      <c r="B380" s="54" t="s">
        <v>5968</v>
      </c>
      <c r="C380" s="53" t="n">
        <v>99</v>
      </c>
      <c r="D380" s="85" t="n">
        <f aca="false">SRC_Perf!$O99</f>
        <v>0</v>
      </c>
      <c r="E380" s="85" t="n">
        <f aca="false">SRC_Perf!$K99</f>
        <v>0</v>
      </c>
    </row>
    <row r="381" customFormat="false" ht="15" hidden="false" customHeight="false" outlineLevel="0" collapsed="false">
      <c r="A381" s="85" t="str">
        <f aca="false">SRC_Perf!$A100&amp;""</f>
        <v/>
      </c>
      <c r="B381" s="54" t="s">
        <v>5968</v>
      </c>
      <c r="C381" s="53" t="n">
        <v>100</v>
      </c>
      <c r="D381" s="85" t="n">
        <f aca="false">SRC_Perf!$O100</f>
        <v>0</v>
      </c>
      <c r="E381" s="85" t="n">
        <f aca="false">SRC_Perf!$K100</f>
        <v>0</v>
      </c>
    </row>
    <row r="382" customFormat="false" ht="15" hidden="false" customHeight="false" outlineLevel="0" collapsed="false">
      <c r="A382" s="85" t="str">
        <f aca="false">SRC_Perf!$A101&amp;""</f>
        <v/>
      </c>
      <c r="B382" s="54" t="s">
        <v>5968</v>
      </c>
      <c r="C382" s="53" t="n">
        <v>101</v>
      </c>
      <c r="D382" s="85" t="n">
        <f aca="false">SRC_Perf!$O101</f>
        <v>0</v>
      </c>
      <c r="E382" s="85" t="n">
        <f aca="false">SRC_Perf!$K101</f>
        <v>0</v>
      </c>
    </row>
    <row r="383" customFormat="false" ht="15" hidden="false" customHeight="false" outlineLevel="0" collapsed="false">
      <c r="A383" s="85" t="str">
        <f aca="false">SRC_Perf!$A102&amp;""</f>
        <v/>
      </c>
      <c r="B383" s="54" t="s">
        <v>5968</v>
      </c>
      <c r="C383" s="53" t="n">
        <v>102</v>
      </c>
      <c r="D383" s="85" t="n">
        <f aca="false">SRC_Perf!$O102</f>
        <v>0</v>
      </c>
      <c r="E383" s="85" t="n">
        <f aca="false">SRC_Perf!$K102</f>
        <v>0</v>
      </c>
    </row>
    <row r="384" customFormat="false" ht="15" hidden="false" customHeight="false" outlineLevel="0" collapsed="false">
      <c r="A384" s="85" t="str">
        <f aca="false">SRC_Perf!$A103&amp;""</f>
        <v/>
      </c>
      <c r="B384" s="54" t="s">
        <v>5968</v>
      </c>
      <c r="C384" s="53" t="n">
        <v>103</v>
      </c>
      <c r="D384" s="85" t="n">
        <f aca="false">SRC_Perf!$O103</f>
        <v>0</v>
      </c>
      <c r="E384" s="85" t="n">
        <f aca="false">SRC_Perf!$K103</f>
        <v>0</v>
      </c>
    </row>
    <row r="385" customFormat="false" ht="15" hidden="false" customHeight="false" outlineLevel="0" collapsed="false">
      <c r="A385" s="85" t="str">
        <f aca="false">SRC_Perf!$A104&amp;""</f>
        <v/>
      </c>
      <c r="B385" s="54" t="s">
        <v>5968</v>
      </c>
      <c r="C385" s="53" t="n">
        <v>104</v>
      </c>
      <c r="D385" s="85" t="n">
        <f aca="false">SRC_Perf!$O104</f>
        <v>0</v>
      </c>
      <c r="E385" s="85" t="n">
        <f aca="false">SRC_Perf!$K104</f>
        <v>0</v>
      </c>
    </row>
    <row r="386" customFormat="false" ht="15" hidden="false" customHeight="false" outlineLevel="0" collapsed="false">
      <c r="A386" s="85" t="str">
        <f aca="false">SRC_Perf!$A105&amp;""</f>
        <v/>
      </c>
      <c r="B386" s="54" t="s">
        <v>5968</v>
      </c>
      <c r="C386" s="53" t="n">
        <v>105</v>
      </c>
      <c r="D386" s="85" t="n">
        <f aca="false">SRC_Perf!$O105</f>
        <v>0</v>
      </c>
      <c r="E386" s="85" t="n">
        <f aca="false">SRC_Perf!$K105</f>
        <v>0</v>
      </c>
    </row>
    <row r="387" customFormat="false" ht="15" hidden="false" customHeight="false" outlineLevel="0" collapsed="false">
      <c r="A387" s="85" t="str">
        <f aca="false">SRC_Price!$A5&amp;""</f>
        <v>SRC_PRC_001</v>
      </c>
      <c r="B387" s="54" t="s">
        <v>5969</v>
      </c>
      <c r="C387" s="53" t="n">
        <v>5</v>
      </c>
      <c r="D387" s="85" t="str">
        <f aca="false">SRC_Price!$O5</f>
        <v>Active</v>
      </c>
      <c r="E387" s="85" t="n">
        <f aca="false">SRC_Price!$K5</f>
        <v>3</v>
      </c>
    </row>
    <row r="388" customFormat="false" ht="15" hidden="false" customHeight="false" outlineLevel="0" collapsed="false">
      <c r="A388" s="85" t="str">
        <f aca="false">SRC_Price!$A6&amp;""</f>
        <v>SRC_PRC_002</v>
      </c>
      <c r="B388" s="54" t="s">
        <v>5969</v>
      </c>
      <c r="C388" s="53" t="n">
        <v>6</v>
      </c>
      <c r="D388" s="85" t="str">
        <f aca="false">SRC_Price!$O6</f>
        <v>Active</v>
      </c>
      <c r="E388" s="85" t="n">
        <f aca="false">SRC_Price!$K6</f>
        <v>2</v>
      </c>
    </row>
    <row r="389" customFormat="false" ht="15" hidden="false" customHeight="false" outlineLevel="0" collapsed="false">
      <c r="A389" s="85" t="str">
        <f aca="false">SRC_Price!$A7&amp;""</f>
        <v>SRC_PRC_003</v>
      </c>
      <c r="B389" s="54" t="s">
        <v>5969</v>
      </c>
      <c r="C389" s="53" t="n">
        <v>7</v>
      </c>
      <c r="D389" s="85" t="str">
        <f aca="false">SRC_Price!$O7</f>
        <v>Active</v>
      </c>
      <c r="E389" s="85" t="n">
        <f aca="false">SRC_Price!$K7</f>
        <v>1</v>
      </c>
    </row>
    <row r="390" customFormat="false" ht="15" hidden="false" customHeight="false" outlineLevel="0" collapsed="false">
      <c r="A390" s="85" t="str">
        <f aca="false">SRC_Price!$A8&amp;""</f>
        <v>SRC_PRC_004</v>
      </c>
      <c r="B390" s="54" t="s">
        <v>5969</v>
      </c>
      <c r="C390" s="53" t="n">
        <v>8</v>
      </c>
      <c r="D390" s="85" t="str">
        <f aca="false">SRC_Price!$O8</f>
        <v>Active</v>
      </c>
      <c r="E390" s="85" t="n">
        <f aca="false">SRC_Price!$K8</f>
        <v>1</v>
      </c>
    </row>
    <row r="391" customFormat="false" ht="15" hidden="false" customHeight="false" outlineLevel="0" collapsed="false">
      <c r="A391" s="85" t="str">
        <f aca="false">SRC_Price!$A9&amp;""</f>
        <v>SRC_PRC_005</v>
      </c>
      <c r="B391" s="54" t="s">
        <v>5969</v>
      </c>
      <c r="C391" s="53" t="n">
        <v>9</v>
      </c>
      <c r="D391" s="85" t="str">
        <f aca="false">SRC_Price!$O9</f>
        <v>Active</v>
      </c>
      <c r="E391" s="85" t="n">
        <f aca="false">SRC_Price!$K9</f>
        <v>1</v>
      </c>
    </row>
    <row r="392" customFormat="false" ht="15" hidden="false" customHeight="false" outlineLevel="0" collapsed="false">
      <c r="A392" s="85" t="str">
        <f aca="false">SRC_Price!$A10&amp;""</f>
        <v>SRC_PRC_006</v>
      </c>
      <c r="B392" s="54" t="s">
        <v>5969</v>
      </c>
      <c r="C392" s="53" t="n">
        <v>10</v>
      </c>
      <c r="D392" s="85" t="str">
        <f aca="false">SRC_Price!$O10</f>
        <v>Active</v>
      </c>
      <c r="E392" s="85" t="n">
        <f aca="false">SRC_Price!$K10</f>
        <v>1</v>
      </c>
    </row>
    <row r="393" customFormat="false" ht="15" hidden="false" customHeight="false" outlineLevel="0" collapsed="false">
      <c r="A393" s="85" t="str">
        <f aca="false">SRC_Price!$A11&amp;""</f>
        <v>SRC_PRC_007</v>
      </c>
      <c r="B393" s="54" t="s">
        <v>5969</v>
      </c>
      <c r="C393" s="53" t="n">
        <v>11</v>
      </c>
      <c r="D393" s="85" t="str">
        <f aca="false">SRC_Price!$O11</f>
        <v>Active</v>
      </c>
      <c r="E393" s="85" t="n">
        <f aca="false">SRC_Price!$K11</f>
        <v>1</v>
      </c>
    </row>
    <row r="394" customFormat="false" ht="15" hidden="false" customHeight="false" outlineLevel="0" collapsed="false">
      <c r="A394" s="85" t="str">
        <f aca="false">SRC_Price!$A12&amp;""</f>
        <v>SRC_PRC_008</v>
      </c>
      <c r="B394" s="54" t="s">
        <v>5969</v>
      </c>
      <c r="C394" s="53" t="n">
        <v>12</v>
      </c>
      <c r="D394" s="85" t="str">
        <f aca="false">SRC_Price!$O12</f>
        <v>Active</v>
      </c>
      <c r="E394" s="85" t="n">
        <f aca="false">SRC_Price!$K12</f>
        <v>1</v>
      </c>
    </row>
    <row r="395" customFormat="false" ht="15" hidden="false" customHeight="false" outlineLevel="0" collapsed="false">
      <c r="A395" s="85" t="str">
        <f aca="false">SRC_Price!$A13&amp;""</f>
        <v>SRC_PRC_009</v>
      </c>
      <c r="B395" s="54" t="s">
        <v>5969</v>
      </c>
      <c r="C395" s="53" t="n">
        <v>13</v>
      </c>
      <c r="D395" s="85" t="str">
        <f aca="false">SRC_Price!$O13</f>
        <v>Active</v>
      </c>
      <c r="E395" s="85" t="n">
        <f aca="false">SRC_Price!$K13</f>
        <v>1</v>
      </c>
    </row>
    <row r="396" customFormat="false" ht="15" hidden="false" customHeight="false" outlineLevel="0" collapsed="false">
      <c r="A396" s="85" t="str">
        <f aca="false">SRC_Price!$A14&amp;""</f>
        <v>SRC_PRC_010</v>
      </c>
      <c r="B396" s="54" t="s">
        <v>5969</v>
      </c>
      <c r="C396" s="53" t="n">
        <v>14</v>
      </c>
      <c r="D396" s="85" t="str">
        <f aca="false">SRC_Price!$O14</f>
        <v>Active</v>
      </c>
      <c r="E396" s="85" t="n">
        <f aca="false">SRC_Price!$K14</f>
        <v>1</v>
      </c>
    </row>
    <row r="397" customFormat="false" ht="15" hidden="false" customHeight="false" outlineLevel="0" collapsed="false">
      <c r="A397" s="85" t="str">
        <f aca="false">SRC_Price!$A15&amp;""</f>
        <v>SRC_PRC_011</v>
      </c>
      <c r="B397" s="54" t="s">
        <v>5969</v>
      </c>
      <c r="C397" s="53" t="n">
        <v>15</v>
      </c>
      <c r="D397" s="85" t="str">
        <f aca="false">SRC_Price!$O15</f>
        <v>Active</v>
      </c>
      <c r="E397" s="85" t="n">
        <f aca="false">SRC_Price!$K15</f>
        <v>1</v>
      </c>
    </row>
    <row r="398" customFormat="false" ht="15" hidden="false" customHeight="false" outlineLevel="0" collapsed="false">
      <c r="A398" s="85" t="str">
        <f aca="false">SRC_Price!$A16&amp;""</f>
        <v>SRC_PRC_012</v>
      </c>
      <c r="B398" s="54" t="s">
        <v>5969</v>
      </c>
      <c r="C398" s="53" t="n">
        <v>16</v>
      </c>
      <c r="D398" s="85" t="str">
        <f aca="false">SRC_Price!$O16</f>
        <v>Active</v>
      </c>
      <c r="E398" s="85" t="n">
        <f aca="false">SRC_Price!$K16</f>
        <v>2</v>
      </c>
    </row>
    <row r="399" customFormat="false" ht="15" hidden="false" customHeight="false" outlineLevel="0" collapsed="false">
      <c r="A399" s="85" t="str">
        <f aca="false">SRC_Price!$A17&amp;""</f>
        <v>SRC_PRC_013</v>
      </c>
      <c r="B399" s="54" t="s">
        <v>5969</v>
      </c>
      <c r="C399" s="53" t="n">
        <v>17</v>
      </c>
      <c r="D399" s="85" t="str">
        <f aca="false">SRC_Price!$O17</f>
        <v>Active</v>
      </c>
      <c r="E399" s="85" t="n">
        <f aca="false">SRC_Price!$K17</f>
        <v>2</v>
      </c>
    </row>
    <row r="400" customFormat="false" ht="15" hidden="false" customHeight="false" outlineLevel="0" collapsed="false">
      <c r="A400" s="85" t="str">
        <f aca="false">SRC_Price!$A18&amp;""</f>
        <v>SRC_PRC_014</v>
      </c>
      <c r="B400" s="54" t="s">
        <v>5969</v>
      </c>
      <c r="C400" s="53" t="n">
        <v>18</v>
      </c>
      <c r="D400" s="85" t="str">
        <f aca="false">SRC_Price!$O18</f>
        <v>Active</v>
      </c>
      <c r="E400" s="85" t="n">
        <f aca="false">SRC_Price!$K18</f>
        <v>2</v>
      </c>
    </row>
    <row r="401" customFormat="false" ht="15" hidden="false" customHeight="false" outlineLevel="0" collapsed="false">
      <c r="A401" s="85" t="str">
        <f aca="false">SRC_Price!$A19&amp;""</f>
        <v>SRC_PRC_015</v>
      </c>
      <c r="B401" s="54" t="s">
        <v>5969</v>
      </c>
      <c r="C401" s="53" t="n">
        <v>19</v>
      </c>
      <c r="D401" s="85" t="str">
        <f aca="false">SRC_Price!$O19</f>
        <v>Active</v>
      </c>
      <c r="E401" s="85" t="n">
        <f aca="false">SRC_Price!$K19</f>
        <v>2</v>
      </c>
    </row>
    <row r="402" customFormat="false" ht="15" hidden="false" customHeight="false" outlineLevel="0" collapsed="false">
      <c r="A402" s="85" t="str">
        <f aca="false">SRC_Price!$A20&amp;""</f>
        <v>SRC_PRC_016</v>
      </c>
      <c r="B402" s="54" t="s">
        <v>5969</v>
      </c>
      <c r="C402" s="53" t="n">
        <v>20</v>
      </c>
      <c r="D402" s="85" t="str">
        <f aca="false">SRC_Price!$O20</f>
        <v>Active</v>
      </c>
      <c r="E402" s="85" t="n">
        <f aca="false">SRC_Price!$K20</f>
        <v>2</v>
      </c>
    </row>
    <row r="403" customFormat="false" ht="15" hidden="false" customHeight="false" outlineLevel="0" collapsed="false">
      <c r="A403" s="85" t="str">
        <f aca="false">SRC_Price!$A21&amp;""</f>
        <v>SRC_PRC_017</v>
      </c>
      <c r="B403" s="54" t="s">
        <v>5969</v>
      </c>
      <c r="C403" s="53" t="n">
        <v>21</v>
      </c>
      <c r="D403" s="85" t="str">
        <f aca="false">SRC_Price!$O21</f>
        <v>Active</v>
      </c>
      <c r="E403" s="85" t="n">
        <f aca="false">SRC_Price!$K21</f>
        <v>2</v>
      </c>
    </row>
    <row r="404" customFormat="false" ht="15" hidden="false" customHeight="false" outlineLevel="0" collapsed="false">
      <c r="A404" s="85" t="str">
        <f aca="false">SRC_Price!$A22&amp;""</f>
        <v>SRC_PRC_018</v>
      </c>
      <c r="B404" s="54" t="s">
        <v>5969</v>
      </c>
      <c r="C404" s="53" t="n">
        <v>22</v>
      </c>
      <c r="D404" s="85" t="str">
        <f aca="false">SRC_Price!$O22</f>
        <v>Active</v>
      </c>
      <c r="E404" s="85" t="n">
        <f aca="false">SRC_Price!$K22</f>
        <v>2</v>
      </c>
    </row>
    <row r="405" customFormat="false" ht="15" hidden="false" customHeight="false" outlineLevel="0" collapsed="false">
      <c r="A405" s="85" t="str">
        <f aca="false">SRC_Price!$A23&amp;""</f>
        <v>SRC_PRC_019</v>
      </c>
      <c r="B405" s="54" t="s">
        <v>5969</v>
      </c>
      <c r="C405" s="53" t="n">
        <v>23</v>
      </c>
      <c r="D405" s="85" t="str">
        <f aca="false">SRC_Price!$O23</f>
        <v>Active</v>
      </c>
      <c r="E405" s="85" t="n">
        <f aca="false">SRC_Price!$K23</f>
        <v>2</v>
      </c>
    </row>
    <row r="406" customFormat="false" ht="15" hidden="false" customHeight="false" outlineLevel="0" collapsed="false">
      <c r="A406" s="85" t="str">
        <f aca="false">SRC_Price!$A24&amp;""</f>
        <v>SRC_PRC_020</v>
      </c>
      <c r="B406" s="54" t="s">
        <v>5969</v>
      </c>
      <c r="C406" s="53" t="n">
        <v>24</v>
      </c>
      <c r="D406" s="85" t="str">
        <f aca="false">SRC_Price!$O24</f>
        <v>Active</v>
      </c>
      <c r="E406" s="85" t="n">
        <f aca="false">SRC_Price!$K24</f>
        <v>2</v>
      </c>
    </row>
    <row r="407" customFormat="false" ht="15" hidden="false" customHeight="false" outlineLevel="0" collapsed="false">
      <c r="A407" s="85" t="str">
        <f aca="false">SRC_Price!$A25&amp;""</f>
        <v>SRC_PRC_021</v>
      </c>
      <c r="B407" s="54" t="s">
        <v>5969</v>
      </c>
      <c r="C407" s="53" t="n">
        <v>25</v>
      </c>
      <c r="D407" s="85" t="str">
        <f aca="false">SRC_Price!$O25</f>
        <v>Active</v>
      </c>
      <c r="E407" s="85" t="n">
        <f aca="false">SRC_Price!$K25</f>
        <v>1</v>
      </c>
    </row>
    <row r="408" customFormat="false" ht="15" hidden="false" customHeight="false" outlineLevel="0" collapsed="false">
      <c r="A408" s="85" t="str">
        <f aca="false">SRC_Price!$A26&amp;""</f>
        <v>SRC_PRC_022</v>
      </c>
      <c r="B408" s="54" t="s">
        <v>5969</v>
      </c>
      <c r="C408" s="53" t="n">
        <v>26</v>
      </c>
      <c r="D408" s="85" t="str">
        <f aca="false">SRC_Price!$O26</f>
        <v>Active</v>
      </c>
      <c r="E408" s="85" t="n">
        <f aca="false">SRC_Price!$K26</f>
        <v>1</v>
      </c>
    </row>
    <row r="409" customFormat="false" ht="15" hidden="false" customHeight="false" outlineLevel="0" collapsed="false">
      <c r="A409" s="85" t="str">
        <f aca="false">SRC_Price!$A27&amp;""</f>
        <v>SRC_PRC_023</v>
      </c>
      <c r="B409" s="54" t="s">
        <v>5969</v>
      </c>
      <c r="C409" s="53" t="n">
        <v>27</v>
      </c>
      <c r="D409" s="85" t="str">
        <f aca="false">SRC_Price!$O27</f>
        <v>Active</v>
      </c>
      <c r="E409" s="85" t="n">
        <f aca="false">SRC_Price!$K27</f>
        <v>1</v>
      </c>
    </row>
    <row r="410" customFormat="false" ht="15" hidden="false" customHeight="false" outlineLevel="0" collapsed="false">
      <c r="A410" s="85" t="str">
        <f aca="false">SRC_Price!$A28&amp;""</f>
        <v>SRC_PRC_024</v>
      </c>
      <c r="B410" s="54" t="s">
        <v>5969</v>
      </c>
      <c r="C410" s="53" t="n">
        <v>28</v>
      </c>
      <c r="D410" s="85" t="str">
        <f aca="false">SRC_Price!$O28</f>
        <v>Active</v>
      </c>
      <c r="E410" s="85" t="n">
        <f aca="false">SRC_Price!$K28</f>
        <v>1</v>
      </c>
    </row>
    <row r="411" customFormat="false" ht="15" hidden="false" customHeight="false" outlineLevel="0" collapsed="false">
      <c r="A411" s="85" t="str">
        <f aca="false">SRC_Price!$A29&amp;""</f>
        <v>SRC_PRC_025</v>
      </c>
      <c r="B411" s="54" t="s">
        <v>5969</v>
      </c>
      <c r="C411" s="53" t="n">
        <v>29</v>
      </c>
      <c r="D411" s="85" t="str">
        <f aca="false">SRC_Price!$O29</f>
        <v>Active</v>
      </c>
      <c r="E411" s="85" t="n">
        <f aca="false">SRC_Price!$K29</f>
        <v>1</v>
      </c>
    </row>
    <row r="412" customFormat="false" ht="15" hidden="false" customHeight="false" outlineLevel="0" collapsed="false">
      <c r="A412" s="85" t="str">
        <f aca="false">SRC_Price!$A30&amp;""</f>
        <v>SRC_PRC_026</v>
      </c>
      <c r="B412" s="54" t="s">
        <v>5969</v>
      </c>
      <c r="C412" s="53" t="n">
        <v>30</v>
      </c>
      <c r="D412" s="85" t="str">
        <f aca="false">SRC_Price!$O30</f>
        <v>Active</v>
      </c>
      <c r="E412" s="85" t="n">
        <f aca="false">SRC_Price!$K30</f>
        <v>1</v>
      </c>
    </row>
    <row r="413" customFormat="false" ht="15" hidden="false" customHeight="false" outlineLevel="0" collapsed="false">
      <c r="A413" s="85" t="str">
        <f aca="false">SRC_Price!$A31&amp;""</f>
        <v>SRC_PRC_027</v>
      </c>
      <c r="B413" s="54" t="s">
        <v>5969</v>
      </c>
      <c r="C413" s="53" t="n">
        <v>31</v>
      </c>
      <c r="D413" s="85" t="str">
        <f aca="false">SRC_Price!$O31</f>
        <v>Active</v>
      </c>
      <c r="E413" s="85" t="n">
        <f aca="false">SRC_Price!$K31</f>
        <v>1</v>
      </c>
    </row>
    <row r="414" customFormat="false" ht="15" hidden="false" customHeight="false" outlineLevel="0" collapsed="false">
      <c r="A414" s="85" t="str">
        <f aca="false">SRC_Price!$A32&amp;""</f>
        <v>SRC_PRC_028</v>
      </c>
      <c r="B414" s="54" t="s">
        <v>5969</v>
      </c>
      <c r="C414" s="53" t="n">
        <v>32</v>
      </c>
      <c r="D414" s="85" t="str">
        <f aca="false">SRC_Price!$O32</f>
        <v>Active</v>
      </c>
      <c r="E414" s="85" t="n">
        <f aca="false">SRC_Price!$K32</f>
        <v>1</v>
      </c>
    </row>
    <row r="415" customFormat="false" ht="15" hidden="false" customHeight="false" outlineLevel="0" collapsed="false">
      <c r="A415" s="85" t="str">
        <f aca="false">SRC_Price!$A33&amp;""</f>
        <v>SRC_PRC_029</v>
      </c>
      <c r="B415" s="54" t="s">
        <v>5969</v>
      </c>
      <c r="C415" s="53" t="n">
        <v>33</v>
      </c>
      <c r="D415" s="85" t="str">
        <f aca="false">SRC_Price!$O33</f>
        <v>Active</v>
      </c>
      <c r="E415" s="85" t="n">
        <f aca="false">SRC_Price!$K33</f>
        <v>1</v>
      </c>
    </row>
    <row r="416" customFormat="false" ht="15" hidden="false" customHeight="false" outlineLevel="0" collapsed="false">
      <c r="A416" s="85" t="str">
        <f aca="false">SRC_Price!$A34&amp;""</f>
        <v>SRC_PRC_030</v>
      </c>
      <c r="B416" s="54" t="s">
        <v>5969</v>
      </c>
      <c r="C416" s="53" t="n">
        <v>34</v>
      </c>
      <c r="D416" s="85" t="str">
        <f aca="false">SRC_Price!$O34</f>
        <v>Active</v>
      </c>
      <c r="E416" s="85" t="n">
        <f aca="false">SRC_Price!$K34</f>
        <v>1</v>
      </c>
    </row>
    <row r="417" customFormat="false" ht="15" hidden="false" customHeight="false" outlineLevel="0" collapsed="false">
      <c r="A417" s="85" t="str">
        <f aca="false">SRC_Price!$A35&amp;""</f>
        <v>SRC_PRC_031</v>
      </c>
      <c r="B417" s="54" t="s">
        <v>5969</v>
      </c>
      <c r="C417" s="53" t="n">
        <v>35</v>
      </c>
      <c r="D417" s="85" t="str">
        <f aca="false">SRC_Price!$O35</f>
        <v>Active</v>
      </c>
      <c r="E417" s="85" t="n">
        <f aca="false">SRC_Price!$K35</f>
        <v>1</v>
      </c>
    </row>
    <row r="418" customFormat="false" ht="15" hidden="false" customHeight="false" outlineLevel="0" collapsed="false">
      <c r="A418" s="85" t="str">
        <f aca="false">SRC_Price!$A36&amp;""</f>
        <v>SRC_PRC_032</v>
      </c>
      <c r="B418" s="54" t="s">
        <v>5969</v>
      </c>
      <c r="C418" s="53" t="n">
        <v>36</v>
      </c>
      <c r="D418" s="85" t="str">
        <f aca="false">SRC_Price!$O36</f>
        <v>Active</v>
      </c>
      <c r="E418" s="85" t="n">
        <f aca="false">SRC_Price!$K36</f>
        <v>1</v>
      </c>
    </row>
    <row r="419" customFormat="false" ht="15" hidden="false" customHeight="false" outlineLevel="0" collapsed="false">
      <c r="A419" s="85" t="str">
        <f aca="false">SRC_Price!$A37&amp;""</f>
        <v>SRC_PRC_033</v>
      </c>
      <c r="B419" s="54" t="s">
        <v>5969</v>
      </c>
      <c r="C419" s="53" t="n">
        <v>37</v>
      </c>
      <c r="D419" s="85" t="str">
        <f aca="false">SRC_Price!$O37</f>
        <v>Active</v>
      </c>
      <c r="E419" s="85" t="n">
        <f aca="false">SRC_Price!$K37</f>
        <v>1</v>
      </c>
    </row>
    <row r="420" customFormat="false" ht="15" hidden="false" customHeight="false" outlineLevel="0" collapsed="false">
      <c r="A420" s="85" t="str">
        <f aca="false">SRC_Price!$A38&amp;""</f>
        <v>SRC_PRC_034</v>
      </c>
      <c r="B420" s="54" t="s">
        <v>5969</v>
      </c>
      <c r="C420" s="53" t="n">
        <v>38</v>
      </c>
      <c r="D420" s="85" t="str">
        <f aca="false">SRC_Price!$O38</f>
        <v>Active</v>
      </c>
      <c r="E420" s="85" t="n">
        <f aca="false">SRC_Price!$K38</f>
        <v>1</v>
      </c>
    </row>
    <row r="421" customFormat="false" ht="15" hidden="false" customHeight="false" outlineLevel="0" collapsed="false">
      <c r="A421" s="85" t="str">
        <f aca="false">SRC_Price!$A39&amp;""</f>
        <v>SRC_PRC_035</v>
      </c>
      <c r="B421" s="54" t="s">
        <v>5969</v>
      </c>
      <c r="C421" s="53" t="n">
        <v>39</v>
      </c>
      <c r="D421" s="85" t="str">
        <f aca="false">SRC_Price!$O39</f>
        <v>Active</v>
      </c>
      <c r="E421" s="85" t="n">
        <f aca="false">SRC_Price!$K39</f>
        <v>2</v>
      </c>
    </row>
    <row r="422" customFormat="false" ht="15" hidden="false" customHeight="false" outlineLevel="0" collapsed="false">
      <c r="A422" s="85" t="str">
        <f aca="false">SRC_Price!$A40&amp;""</f>
        <v>SRC_PRC_036</v>
      </c>
      <c r="B422" s="54" t="s">
        <v>5969</v>
      </c>
      <c r="C422" s="53" t="n">
        <v>40</v>
      </c>
      <c r="D422" s="85" t="str">
        <f aca="false">SRC_Price!$O40</f>
        <v>Active</v>
      </c>
      <c r="E422" s="85" t="n">
        <f aca="false">SRC_Price!$K40</f>
        <v>2</v>
      </c>
    </row>
    <row r="423" customFormat="false" ht="15" hidden="false" customHeight="false" outlineLevel="0" collapsed="false">
      <c r="A423" s="85" t="str">
        <f aca="false">SRC_Price!$A41&amp;""</f>
        <v>SRC_PRC_037</v>
      </c>
      <c r="B423" s="54" t="s">
        <v>5969</v>
      </c>
      <c r="C423" s="53" t="n">
        <v>41</v>
      </c>
      <c r="D423" s="85" t="str">
        <f aca="false">SRC_Price!$O41</f>
        <v>Active</v>
      </c>
      <c r="E423" s="85" t="n">
        <f aca="false">SRC_Price!$K41</f>
        <v>2</v>
      </c>
    </row>
    <row r="424" customFormat="false" ht="15" hidden="false" customHeight="false" outlineLevel="0" collapsed="false">
      <c r="A424" s="85" t="str">
        <f aca="false">SRC_Price!$A42&amp;""</f>
        <v>SRC_PRC_038</v>
      </c>
      <c r="B424" s="54" t="s">
        <v>5969</v>
      </c>
      <c r="C424" s="53" t="n">
        <v>42</v>
      </c>
      <c r="D424" s="85" t="str">
        <f aca="false">SRC_Price!$O42</f>
        <v>Active</v>
      </c>
      <c r="E424" s="85" t="n">
        <f aca="false">SRC_Price!$K42</f>
        <v>2</v>
      </c>
    </row>
    <row r="425" customFormat="false" ht="15" hidden="false" customHeight="false" outlineLevel="0" collapsed="false">
      <c r="A425" s="85" t="str">
        <f aca="false">SRC_Price!$A43&amp;""</f>
        <v>SRC_PRC_039</v>
      </c>
      <c r="B425" s="54" t="s">
        <v>5969</v>
      </c>
      <c r="C425" s="53" t="n">
        <v>43</v>
      </c>
      <c r="D425" s="85" t="str">
        <f aca="false">SRC_Price!$O43</f>
        <v>Active</v>
      </c>
      <c r="E425" s="85" t="n">
        <f aca="false">SRC_Price!$K43</f>
        <v>2</v>
      </c>
    </row>
    <row r="426" customFormat="false" ht="15" hidden="false" customHeight="false" outlineLevel="0" collapsed="false">
      <c r="A426" s="85" t="str">
        <f aca="false">SRC_Price!$A44&amp;""</f>
        <v>SRC_PRC_040</v>
      </c>
      <c r="B426" s="54" t="s">
        <v>5969</v>
      </c>
      <c r="C426" s="53" t="n">
        <v>44</v>
      </c>
      <c r="D426" s="85" t="str">
        <f aca="false">SRC_Price!$O44</f>
        <v>Active</v>
      </c>
      <c r="E426" s="85" t="n">
        <f aca="false">SRC_Price!$K44</f>
        <v>2</v>
      </c>
    </row>
    <row r="427" customFormat="false" ht="15" hidden="false" customHeight="false" outlineLevel="0" collapsed="false">
      <c r="A427" s="85" t="str">
        <f aca="false">SRC_Price!$A45&amp;""</f>
        <v>SRC_PRC_041</v>
      </c>
      <c r="B427" s="54" t="s">
        <v>5969</v>
      </c>
      <c r="C427" s="53" t="n">
        <v>45</v>
      </c>
      <c r="D427" s="85" t="str">
        <f aca="false">SRC_Price!$O45</f>
        <v>Alt</v>
      </c>
      <c r="E427" s="85" t="n">
        <f aca="false">SRC_Price!$K45</f>
        <v>2</v>
      </c>
    </row>
    <row r="428" customFormat="false" ht="15" hidden="false" customHeight="false" outlineLevel="0" collapsed="false">
      <c r="A428" s="85" t="str">
        <f aca="false">SRC_Price!$A46&amp;""</f>
        <v>SRC_PRC_042</v>
      </c>
      <c r="B428" s="54" t="s">
        <v>5969</v>
      </c>
      <c r="C428" s="53" t="n">
        <v>46</v>
      </c>
      <c r="D428" s="85" t="str">
        <f aca="false">SRC_Price!$O46</f>
        <v>Alt</v>
      </c>
      <c r="E428" s="85" t="n">
        <f aca="false">SRC_Price!$K46</f>
        <v>2</v>
      </c>
    </row>
    <row r="429" customFormat="false" ht="15" hidden="false" customHeight="false" outlineLevel="0" collapsed="false">
      <c r="A429" s="85" t="str">
        <f aca="false">SRC_Price!$A47&amp;""</f>
        <v>SRC_PRC_043</v>
      </c>
      <c r="B429" s="54" t="s">
        <v>5969</v>
      </c>
      <c r="C429" s="53" t="n">
        <v>47</v>
      </c>
      <c r="D429" s="85" t="str">
        <f aca="false">SRC_Price!$O47</f>
        <v>Active</v>
      </c>
      <c r="E429" s="85" t="n">
        <f aca="false">SRC_Price!$K47</f>
        <v>2</v>
      </c>
    </row>
    <row r="430" customFormat="false" ht="15" hidden="false" customHeight="false" outlineLevel="0" collapsed="false">
      <c r="A430" s="85" t="str">
        <f aca="false">SRC_Price!$A48&amp;""</f>
        <v>SRC_PRC_044</v>
      </c>
      <c r="B430" s="54" t="s">
        <v>5969</v>
      </c>
      <c r="C430" s="53" t="n">
        <v>48</v>
      </c>
      <c r="D430" s="85" t="str">
        <f aca="false">SRC_Price!$O48</f>
        <v>Active</v>
      </c>
      <c r="E430" s="85" t="n">
        <f aca="false">SRC_Price!$K48</f>
        <v>2</v>
      </c>
    </row>
    <row r="431" customFormat="false" ht="15" hidden="false" customHeight="false" outlineLevel="0" collapsed="false">
      <c r="A431" s="85" t="str">
        <f aca="false">SRC_Price!$A49&amp;""</f>
        <v/>
      </c>
      <c r="B431" s="54" t="s">
        <v>5969</v>
      </c>
      <c r="C431" s="53" t="n">
        <v>49</v>
      </c>
      <c r="D431" s="85" t="n">
        <f aca="false">SRC_Price!$O49</f>
        <v>0</v>
      </c>
      <c r="E431" s="85" t="n">
        <f aca="false">SRC_Price!$K49</f>
        <v>0</v>
      </c>
    </row>
    <row r="432" customFormat="false" ht="15" hidden="false" customHeight="false" outlineLevel="0" collapsed="false">
      <c r="A432" s="85" t="str">
        <f aca="false">SRC_Price!$A50&amp;""</f>
        <v/>
      </c>
      <c r="B432" s="54" t="s">
        <v>5969</v>
      </c>
      <c r="C432" s="53" t="n">
        <v>50</v>
      </c>
      <c r="D432" s="85" t="n">
        <f aca="false">SRC_Price!$O50</f>
        <v>0</v>
      </c>
      <c r="E432" s="85" t="n">
        <f aca="false">SRC_Price!$K50</f>
        <v>0</v>
      </c>
    </row>
    <row r="433" customFormat="false" ht="15" hidden="false" customHeight="false" outlineLevel="0" collapsed="false">
      <c r="A433" s="85" t="str">
        <f aca="false">SRC_Price!$A51&amp;""</f>
        <v/>
      </c>
      <c r="B433" s="54" t="s">
        <v>5969</v>
      </c>
      <c r="C433" s="53" t="n">
        <v>51</v>
      </c>
      <c r="D433" s="85" t="n">
        <f aca="false">SRC_Price!$O51</f>
        <v>0</v>
      </c>
      <c r="E433" s="85" t="n">
        <f aca="false">SRC_Price!$K51</f>
        <v>0</v>
      </c>
    </row>
    <row r="434" customFormat="false" ht="15" hidden="false" customHeight="false" outlineLevel="0" collapsed="false">
      <c r="A434" s="85" t="str">
        <f aca="false">SRC_Price!$A52&amp;""</f>
        <v/>
      </c>
      <c r="B434" s="54" t="s">
        <v>5969</v>
      </c>
      <c r="C434" s="53" t="n">
        <v>52</v>
      </c>
      <c r="D434" s="85" t="n">
        <f aca="false">SRC_Price!$O52</f>
        <v>0</v>
      </c>
      <c r="E434" s="85" t="n">
        <f aca="false">SRC_Price!$K52</f>
        <v>0</v>
      </c>
    </row>
    <row r="435" customFormat="false" ht="15" hidden="false" customHeight="false" outlineLevel="0" collapsed="false">
      <c r="A435" s="85" t="str">
        <f aca="false">SRC_Price!$A53&amp;""</f>
        <v/>
      </c>
      <c r="B435" s="54" t="s">
        <v>5969</v>
      </c>
      <c r="C435" s="53" t="n">
        <v>53</v>
      </c>
      <c r="D435" s="85" t="n">
        <f aca="false">SRC_Price!$O53</f>
        <v>0</v>
      </c>
      <c r="E435" s="85" t="n">
        <f aca="false">SRC_Price!$K53</f>
        <v>0</v>
      </c>
    </row>
    <row r="436" customFormat="false" ht="15" hidden="false" customHeight="false" outlineLevel="0" collapsed="false">
      <c r="A436" s="85" t="str">
        <f aca="false">SRC_Price!$A54&amp;""</f>
        <v/>
      </c>
      <c r="B436" s="54" t="s">
        <v>5969</v>
      </c>
      <c r="C436" s="53" t="n">
        <v>54</v>
      </c>
      <c r="D436" s="85" t="n">
        <f aca="false">SRC_Price!$O54</f>
        <v>0</v>
      </c>
      <c r="E436" s="85" t="n">
        <f aca="false">SRC_Price!$K54</f>
        <v>0</v>
      </c>
    </row>
    <row r="437" customFormat="false" ht="15" hidden="false" customHeight="false" outlineLevel="0" collapsed="false">
      <c r="A437" s="85" t="str">
        <f aca="false">SRC_Price!$A55&amp;""</f>
        <v/>
      </c>
      <c r="B437" s="54" t="s">
        <v>5969</v>
      </c>
      <c r="C437" s="53" t="n">
        <v>55</v>
      </c>
      <c r="D437" s="85" t="n">
        <f aca="false">SRC_Price!$O55</f>
        <v>0</v>
      </c>
      <c r="E437" s="85" t="n">
        <f aca="false">SRC_Price!$K55</f>
        <v>0</v>
      </c>
    </row>
    <row r="438" customFormat="false" ht="15" hidden="false" customHeight="false" outlineLevel="0" collapsed="false">
      <c r="A438" s="85" t="str">
        <f aca="false">SRC_Price!$A56&amp;""</f>
        <v/>
      </c>
      <c r="B438" s="54" t="s">
        <v>5969</v>
      </c>
      <c r="C438" s="53" t="n">
        <v>56</v>
      </c>
      <c r="D438" s="85" t="n">
        <f aca="false">SRC_Price!$O56</f>
        <v>0</v>
      </c>
      <c r="E438" s="85" t="n">
        <f aca="false">SRC_Price!$K56</f>
        <v>0</v>
      </c>
    </row>
    <row r="439" customFormat="false" ht="15" hidden="false" customHeight="false" outlineLevel="0" collapsed="false">
      <c r="A439" s="85" t="str">
        <f aca="false">SRC_Price!$A57&amp;""</f>
        <v/>
      </c>
      <c r="B439" s="54" t="s">
        <v>5969</v>
      </c>
      <c r="C439" s="53" t="n">
        <v>57</v>
      </c>
      <c r="D439" s="85" t="n">
        <f aca="false">SRC_Price!$O57</f>
        <v>0</v>
      </c>
      <c r="E439" s="85" t="n">
        <f aca="false">SRC_Price!$K57</f>
        <v>0</v>
      </c>
    </row>
    <row r="440" customFormat="false" ht="15" hidden="false" customHeight="false" outlineLevel="0" collapsed="false">
      <c r="A440" s="85" t="str">
        <f aca="false">SRC_Price!$A58&amp;""</f>
        <v/>
      </c>
      <c r="B440" s="54" t="s">
        <v>5969</v>
      </c>
      <c r="C440" s="53" t="n">
        <v>58</v>
      </c>
      <c r="D440" s="85" t="n">
        <f aca="false">SRC_Price!$O58</f>
        <v>0</v>
      </c>
      <c r="E440" s="85" t="n">
        <f aca="false">SRC_Price!$K58</f>
        <v>0</v>
      </c>
    </row>
    <row r="441" customFormat="false" ht="15" hidden="false" customHeight="false" outlineLevel="0" collapsed="false">
      <c r="A441" s="85" t="str">
        <f aca="false">SRC_Price!$A59&amp;""</f>
        <v/>
      </c>
      <c r="B441" s="54" t="s">
        <v>5969</v>
      </c>
      <c r="C441" s="53" t="n">
        <v>59</v>
      </c>
      <c r="D441" s="85" t="n">
        <f aca="false">SRC_Price!$O59</f>
        <v>0</v>
      </c>
      <c r="E441" s="85" t="n">
        <f aca="false">SRC_Price!$K59</f>
        <v>0</v>
      </c>
    </row>
    <row r="442" customFormat="false" ht="15" hidden="false" customHeight="false" outlineLevel="0" collapsed="false">
      <c r="A442" s="85" t="str">
        <f aca="false">SRC_Price!$A60&amp;""</f>
        <v/>
      </c>
      <c r="B442" s="54" t="s">
        <v>5969</v>
      </c>
      <c r="C442" s="53" t="n">
        <v>60</v>
      </c>
      <c r="D442" s="85" t="n">
        <f aca="false">SRC_Price!$O60</f>
        <v>0</v>
      </c>
      <c r="E442" s="85" t="n">
        <f aca="false">SRC_Price!$K60</f>
        <v>0</v>
      </c>
    </row>
    <row r="443" customFormat="false" ht="15" hidden="false" customHeight="false" outlineLevel="0" collapsed="false">
      <c r="A443" s="85" t="str">
        <f aca="false">SRC_Price!$A61&amp;""</f>
        <v/>
      </c>
      <c r="B443" s="54" t="s">
        <v>5969</v>
      </c>
      <c r="C443" s="53" t="n">
        <v>61</v>
      </c>
      <c r="D443" s="85" t="n">
        <f aca="false">SRC_Price!$O61</f>
        <v>0</v>
      </c>
      <c r="E443" s="85" t="n">
        <f aca="false">SRC_Price!$K61</f>
        <v>0</v>
      </c>
    </row>
    <row r="444" customFormat="false" ht="15" hidden="false" customHeight="false" outlineLevel="0" collapsed="false">
      <c r="A444" s="85" t="str">
        <f aca="false">SRC_Price!$A62&amp;""</f>
        <v/>
      </c>
      <c r="B444" s="54" t="s">
        <v>5969</v>
      </c>
      <c r="C444" s="53" t="n">
        <v>62</v>
      </c>
      <c r="D444" s="85" t="n">
        <f aca="false">SRC_Price!$O62</f>
        <v>0</v>
      </c>
      <c r="E444" s="85" t="n">
        <f aca="false">SRC_Price!$K62</f>
        <v>0</v>
      </c>
    </row>
    <row r="445" customFormat="false" ht="15" hidden="false" customHeight="false" outlineLevel="0" collapsed="false">
      <c r="A445" s="85" t="str">
        <f aca="false">SRC_Price!$A63&amp;""</f>
        <v/>
      </c>
      <c r="B445" s="54" t="s">
        <v>5969</v>
      </c>
      <c r="C445" s="53" t="n">
        <v>63</v>
      </c>
      <c r="D445" s="85" t="n">
        <f aca="false">SRC_Price!$O63</f>
        <v>0</v>
      </c>
      <c r="E445" s="85" t="n">
        <f aca="false">SRC_Price!$K63</f>
        <v>0</v>
      </c>
    </row>
    <row r="446" customFormat="false" ht="15" hidden="false" customHeight="false" outlineLevel="0" collapsed="false">
      <c r="A446" s="85" t="str">
        <f aca="false">SRC_Price!$A64&amp;""</f>
        <v/>
      </c>
      <c r="B446" s="54" t="s">
        <v>5969</v>
      </c>
      <c r="C446" s="53" t="n">
        <v>64</v>
      </c>
      <c r="D446" s="85" t="n">
        <f aca="false">SRC_Price!$O64</f>
        <v>0</v>
      </c>
      <c r="E446" s="85" t="n">
        <f aca="false">SRC_Price!$K64</f>
        <v>0</v>
      </c>
    </row>
    <row r="447" customFormat="false" ht="15" hidden="false" customHeight="false" outlineLevel="0" collapsed="false">
      <c r="A447" s="85" t="str">
        <f aca="false">SRC_Price!$A65&amp;""</f>
        <v/>
      </c>
      <c r="B447" s="54" t="s">
        <v>5969</v>
      </c>
      <c r="C447" s="53" t="n">
        <v>65</v>
      </c>
      <c r="D447" s="85" t="n">
        <f aca="false">SRC_Price!$O65</f>
        <v>0</v>
      </c>
      <c r="E447" s="85" t="n">
        <f aca="false">SRC_Price!$K65</f>
        <v>0</v>
      </c>
    </row>
    <row r="448" customFormat="false" ht="15" hidden="false" customHeight="false" outlineLevel="0" collapsed="false">
      <c r="A448" s="85" t="str">
        <f aca="false">SRC_Price!$A66&amp;""</f>
        <v/>
      </c>
      <c r="B448" s="54" t="s">
        <v>5969</v>
      </c>
      <c r="C448" s="53" t="n">
        <v>66</v>
      </c>
      <c r="D448" s="85" t="n">
        <f aca="false">SRC_Price!$O66</f>
        <v>0</v>
      </c>
      <c r="E448" s="85" t="n">
        <f aca="false">SRC_Price!$K66</f>
        <v>0</v>
      </c>
    </row>
    <row r="449" customFormat="false" ht="15" hidden="false" customHeight="false" outlineLevel="0" collapsed="false">
      <c r="A449" s="85" t="str">
        <f aca="false">SRC_Price!$A67&amp;""</f>
        <v/>
      </c>
      <c r="B449" s="54" t="s">
        <v>5969</v>
      </c>
      <c r="C449" s="53" t="n">
        <v>67</v>
      </c>
      <c r="D449" s="85" t="n">
        <f aca="false">SRC_Price!$O67</f>
        <v>0</v>
      </c>
      <c r="E449" s="85" t="n">
        <f aca="false">SRC_Price!$K67</f>
        <v>0</v>
      </c>
    </row>
    <row r="450" customFormat="false" ht="15" hidden="false" customHeight="false" outlineLevel="0" collapsed="false">
      <c r="A450" s="85" t="str">
        <f aca="false">SRC_Price!$A68&amp;""</f>
        <v/>
      </c>
      <c r="B450" s="54" t="s">
        <v>5969</v>
      </c>
      <c r="C450" s="53" t="n">
        <v>68</v>
      </c>
      <c r="D450" s="85" t="n">
        <f aca="false">SRC_Price!$O68</f>
        <v>0</v>
      </c>
      <c r="E450" s="85" t="n">
        <f aca="false">SRC_Price!$K68</f>
        <v>0</v>
      </c>
    </row>
    <row r="451" customFormat="false" ht="15" hidden="false" customHeight="false" outlineLevel="0" collapsed="false">
      <c r="A451" s="85" t="str">
        <f aca="false">SRC_Price!$A69&amp;""</f>
        <v/>
      </c>
      <c r="B451" s="54" t="s">
        <v>5969</v>
      </c>
      <c r="C451" s="53" t="n">
        <v>69</v>
      </c>
      <c r="D451" s="85" t="n">
        <f aca="false">SRC_Price!$O69</f>
        <v>0</v>
      </c>
      <c r="E451" s="85" t="n">
        <f aca="false">SRC_Price!$K69</f>
        <v>0</v>
      </c>
    </row>
    <row r="452" customFormat="false" ht="15" hidden="false" customHeight="false" outlineLevel="0" collapsed="false">
      <c r="A452" s="85" t="str">
        <f aca="false">SRC_Price!$A70&amp;""</f>
        <v/>
      </c>
      <c r="B452" s="54" t="s">
        <v>5969</v>
      </c>
      <c r="C452" s="53" t="n">
        <v>70</v>
      </c>
      <c r="D452" s="85" t="n">
        <f aca="false">SRC_Price!$O70</f>
        <v>0</v>
      </c>
      <c r="E452" s="85" t="n">
        <f aca="false">SRC_Price!$K70</f>
        <v>0</v>
      </c>
    </row>
    <row r="453" customFormat="false" ht="15" hidden="false" customHeight="false" outlineLevel="0" collapsed="false">
      <c r="A453" s="85" t="str">
        <f aca="false">SRC_Price!$A71&amp;""</f>
        <v/>
      </c>
      <c r="B453" s="54" t="s">
        <v>5969</v>
      </c>
      <c r="C453" s="53" t="n">
        <v>71</v>
      </c>
      <c r="D453" s="85" t="n">
        <f aca="false">SRC_Price!$O71</f>
        <v>0</v>
      </c>
      <c r="E453" s="85" t="n">
        <f aca="false">SRC_Price!$K71</f>
        <v>0</v>
      </c>
    </row>
    <row r="454" customFormat="false" ht="15" hidden="false" customHeight="false" outlineLevel="0" collapsed="false">
      <c r="A454" s="85" t="str">
        <f aca="false">SRC_Price!$A72&amp;""</f>
        <v/>
      </c>
      <c r="B454" s="54" t="s">
        <v>5969</v>
      </c>
      <c r="C454" s="53" t="n">
        <v>72</v>
      </c>
      <c r="D454" s="85" t="n">
        <f aca="false">SRC_Price!$O72</f>
        <v>0</v>
      </c>
      <c r="E454" s="85" t="n">
        <f aca="false">SRC_Price!$K72</f>
        <v>0</v>
      </c>
    </row>
    <row r="455" customFormat="false" ht="15" hidden="false" customHeight="false" outlineLevel="0" collapsed="false">
      <c r="A455" s="85" t="str">
        <f aca="false">SRC_Price!$A73&amp;""</f>
        <v/>
      </c>
      <c r="B455" s="54" t="s">
        <v>5969</v>
      </c>
      <c r="C455" s="53" t="n">
        <v>73</v>
      </c>
      <c r="D455" s="85" t="n">
        <f aca="false">SRC_Price!$O73</f>
        <v>0</v>
      </c>
      <c r="E455" s="85" t="n">
        <f aca="false">SRC_Price!$K73</f>
        <v>0</v>
      </c>
    </row>
    <row r="456" customFormat="false" ht="15" hidden="false" customHeight="false" outlineLevel="0" collapsed="false">
      <c r="A456" s="85" t="str">
        <f aca="false">SRC_Price!$A74&amp;""</f>
        <v/>
      </c>
      <c r="B456" s="54" t="s">
        <v>5969</v>
      </c>
      <c r="C456" s="53" t="n">
        <v>74</v>
      </c>
      <c r="D456" s="85" t="n">
        <f aca="false">SRC_Price!$O74</f>
        <v>0</v>
      </c>
      <c r="E456" s="85" t="n">
        <f aca="false">SRC_Price!$K74</f>
        <v>0</v>
      </c>
    </row>
    <row r="457" customFormat="false" ht="15" hidden="false" customHeight="false" outlineLevel="0" collapsed="false">
      <c r="A457" s="85" t="str">
        <f aca="false">SRC_Price!$A75&amp;""</f>
        <v/>
      </c>
      <c r="B457" s="54" t="s">
        <v>5969</v>
      </c>
      <c r="C457" s="53" t="n">
        <v>75</v>
      </c>
      <c r="D457" s="85" t="n">
        <f aca="false">SRC_Price!$O75</f>
        <v>0</v>
      </c>
      <c r="E457" s="85" t="n">
        <f aca="false">SRC_Price!$K75</f>
        <v>0</v>
      </c>
    </row>
    <row r="458" customFormat="false" ht="15" hidden="false" customHeight="false" outlineLevel="0" collapsed="false">
      <c r="A458" s="85" t="str">
        <f aca="false">SRC_Price!$A76&amp;""</f>
        <v/>
      </c>
      <c r="B458" s="54" t="s">
        <v>5969</v>
      </c>
      <c r="C458" s="53" t="n">
        <v>76</v>
      </c>
      <c r="D458" s="85" t="n">
        <f aca="false">SRC_Price!$O76</f>
        <v>0</v>
      </c>
      <c r="E458" s="85" t="n">
        <f aca="false">SRC_Price!$K76</f>
        <v>0</v>
      </c>
    </row>
    <row r="459" customFormat="false" ht="15" hidden="false" customHeight="false" outlineLevel="0" collapsed="false">
      <c r="A459" s="85" t="str">
        <f aca="false">SRC_Price!$A77&amp;""</f>
        <v/>
      </c>
      <c r="B459" s="54" t="s">
        <v>5969</v>
      </c>
      <c r="C459" s="53" t="n">
        <v>77</v>
      </c>
      <c r="D459" s="85" t="n">
        <f aca="false">SRC_Price!$O77</f>
        <v>0</v>
      </c>
      <c r="E459" s="85" t="n">
        <f aca="false">SRC_Price!$K77</f>
        <v>0</v>
      </c>
    </row>
    <row r="460" customFormat="false" ht="15" hidden="false" customHeight="false" outlineLevel="0" collapsed="false">
      <c r="A460" s="85" t="str">
        <f aca="false">SRC_Price!$A78&amp;""</f>
        <v/>
      </c>
      <c r="B460" s="54" t="s">
        <v>5969</v>
      </c>
      <c r="C460" s="53" t="n">
        <v>78</v>
      </c>
      <c r="D460" s="85" t="n">
        <f aca="false">SRC_Price!$O78</f>
        <v>0</v>
      </c>
      <c r="E460" s="85" t="n">
        <f aca="false">SRC_Price!$K78</f>
        <v>0</v>
      </c>
    </row>
    <row r="461" customFormat="false" ht="15" hidden="false" customHeight="false" outlineLevel="0" collapsed="false">
      <c r="A461" s="85" t="str">
        <f aca="false">SRC_Price!$A79&amp;""</f>
        <v/>
      </c>
      <c r="B461" s="54" t="s">
        <v>5969</v>
      </c>
      <c r="C461" s="53" t="n">
        <v>79</v>
      </c>
      <c r="D461" s="85" t="n">
        <f aca="false">SRC_Price!$O79</f>
        <v>0</v>
      </c>
      <c r="E461" s="85" t="n">
        <f aca="false">SRC_Price!$K79</f>
        <v>0</v>
      </c>
    </row>
    <row r="462" customFormat="false" ht="15" hidden="false" customHeight="false" outlineLevel="0" collapsed="false">
      <c r="A462" s="85" t="str">
        <f aca="false">SRC_Price!$A80&amp;""</f>
        <v/>
      </c>
      <c r="B462" s="54" t="s">
        <v>5969</v>
      </c>
      <c r="C462" s="53" t="n">
        <v>80</v>
      </c>
      <c r="D462" s="85" t="n">
        <f aca="false">SRC_Price!$O80</f>
        <v>0</v>
      </c>
      <c r="E462" s="85" t="n">
        <f aca="false">SRC_Price!$K80</f>
        <v>0</v>
      </c>
    </row>
    <row r="463" customFormat="false" ht="15" hidden="false" customHeight="false" outlineLevel="0" collapsed="false">
      <c r="A463" s="85" t="str">
        <f aca="false">SRC_Price!$A81&amp;""</f>
        <v/>
      </c>
      <c r="B463" s="54" t="s">
        <v>5969</v>
      </c>
      <c r="C463" s="53" t="n">
        <v>81</v>
      </c>
      <c r="D463" s="85" t="n">
        <f aca="false">SRC_Price!$O81</f>
        <v>0</v>
      </c>
      <c r="E463" s="85" t="n">
        <f aca="false">SRC_Price!$K81</f>
        <v>0</v>
      </c>
    </row>
    <row r="464" customFormat="false" ht="15" hidden="false" customHeight="false" outlineLevel="0" collapsed="false">
      <c r="A464" s="85" t="str">
        <f aca="false">SRC_Price!$A82&amp;""</f>
        <v/>
      </c>
      <c r="B464" s="54" t="s">
        <v>5969</v>
      </c>
      <c r="C464" s="53" t="n">
        <v>82</v>
      </c>
      <c r="D464" s="85" t="n">
        <f aca="false">SRC_Price!$O82</f>
        <v>0</v>
      </c>
      <c r="E464" s="85" t="n">
        <f aca="false">SRC_Price!$K82</f>
        <v>0</v>
      </c>
    </row>
    <row r="465" customFormat="false" ht="15" hidden="false" customHeight="false" outlineLevel="0" collapsed="false">
      <c r="A465" s="85" t="str">
        <f aca="false">SRC_Price!$A83&amp;""</f>
        <v/>
      </c>
      <c r="B465" s="54" t="s">
        <v>5969</v>
      </c>
      <c r="C465" s="53" t="n">
        <v>83</v>
      </c>
      <c r="D465" s="85" t="n">
        <f aca="false">SRC_Price!$O83</f>
        <v>0</v>
      </c>
      <c r="E465" s="85" t="n">
        <f aca="false">SRC_Price!$K83</f>
        <v>0</v>
      </c>
    </row>
    <row r="466" customFormat="false" ht="15" hidden="false" customHeight="false" outlineLevel="0" collapsed="false">
      <c r="A466" s="85" t="str">
        <f aca="false">SRC_Price!$A84&amp;""</f>
        <v/>
      </c>
      <c r="B466" s="54" t="s">
        <v>5969</v>
      </c>
      <c r="C466" s="53" t="n">
        <v>84</v>
      </c>
      <c r="D466" s="85" t="n">
        <f aca="false">SRC_Price!$O84</f>
        <v>0</v>
      </c>
      <c r="E466" s="85" t="n">
        <f aca="false">SRC_Price!$K84</f>
        <v>0</v>
      </c>
    </row>
    <row r="467" customFormat="false" ht="15" hidden="false" customHeight="false" outlineLevel="0" collapsed="false">
      <c r="A467" s="85" t="str">
        <f aca="false">SRC_Price!$A85&amp;""</f>
        <v/>
      </c>
      <c r="B467" s="54" t="s">
        <v>5969</v>
      </c>
      <c r="C467" s="53" t="n">
        <v>85</v>
      </c>
      <c r="D467" s="85" t="n">
        <f aca="false">SRC_Price!$O85</f>
        <v>0</v>
      </c>
      <c r="E467" s="85" t="n">
        <f aca="false">SRC_Price!$K85</f>
        <v>0</v>
      </c>
    </row>
    <row r="468" customFormat="false" ht="15" hidden="false" customHeight="false" outlineLevel="0" collapsed="false">
      <c r="A468" s="85" t="str">
        <f aca="false">SRC_Price!$A86&amp;""</f>
        <v/>
      </c>
      <c r="B468" s="54" t="s">
        <v>5969</v>
      </c>
      <c r="C468" s="53" t="n">
        <v>86</v>
      </c>
      <c r="D468" s="85" t="n">
        <f aca="false">SRC_Price!$O86</f>
        <v>0</v>
      </c>
      <c r="E468" s="85" t="n">
        <f aca="false">SRC_Price!$K86</f>
        <v>0</v>
      </c>
    </row>
    <row r="469" customFormat="false" ht="15" hidden="false" customHeight="false" outlineLevel="0" collapsed="false">
      <c r="A469" s="85" t="str">
        <f aca="false">SRC_Price!$A87&amp;""</f>
        <v/>
      </c>
      <c r="B469" s="54" t="s">
        <v>5969</v>
      </c>
      <c r="C469" s="53" t="n">
        <v>87</v>
      </c>
      <c r="D469" s="85" t="n">
        <f aca="false">SRC_Price!$O87</f>
        <v>0</v>
      </c>
      <c r="E469" s="85" t="n">
        <f aca="false">SRC_Price!$K87</f>
        <v>0</v>
      </c>
    </row>
    <row r="470" customFormat="false" ht="15" hidden="false" customHeight="false" outlineLevel="0" collapsed="false">
      <c r="A470" s="85" t="str">
        <f aca="false">SRC_Price!$A88&amp;""</f>
        <v/>
      </c>
      <c r="B470" s="54" t="s">
        <v>5969</v>
      </c>
      <c r="C470" s="53" t="n">
        <v>88</v>
      </c>
      <c r="D470" s="85" t="n">
        <f aca="false">SRC_Price!$O88</f>
        <v>0</v>
      </c>
      <c r="E470" s="85" t="n">
        <f aca="false">SRC_Price!$K88</f>
        <v>0</v>
      </c>
    </row>
    <row r="471" customFormat="false" ht="15" hidden="false" customHeight="false" outlineLevel="0" collapsed="false">
      <c r="A471" s="85" t="str">
        <f aca="false">SRC_Price!$A89&amp;""</f>
        <v/>
      </c>
      <c r="B471" s="54" t="s">
        <v>5969</v>
      </c>
      <c r="C471" s="53" t="n">
        <v>89</v>
      </c>
      <c r="D471" s="85" t="n">
        <f aca="false">SRC_Price!$O89</f>
        <v>0</v>
      </c>
      <c r="E471" s="85" t="n">
        <f aca="false">SRC_Price!$K89</f>
        <v>0</v>
      </c>
    </row>
    <row r="472" customFormat="false" ht="15" hidden="false" customHeight="false" outlineLevel="0" collapsed="false">
      <c r="A472" s="85" t="str">
        <f aca="false">SRC_Price!$A90&amp;""</f>
        <v/>
      </c>
      <c r="B472" s="54" t="s">
        <v>5969</v>
      </c>
      <c r="C472" s="53" t="n">
        <v>90</v>
      </c>
      <c r="D472" s="85" t="n">
        <f aca="false">SRC_Price!$O90</f>
        <v>0</v>
      </c>
      <c r="E472" s="85" t="n">
        <f aca="false">SRC_Price!$K90</f>
        <v>0</v>
      </c>
    </row>
    <row r="473" customFormat="false" ht="15" hidden="false" customHeight="false" outlineLevel="0" collapsed="false">
      <c r="A473" s="85" t="str">
        <f aca="false">SRC_Price!$A91&amp;""</f>
        <v/>
      </c>
      <c r="B473" s="54" t="s">
        <v>5969</v>
      </c>
      <c r="C473" s="53" t="n">
        <v>91</v>
      </c>
      <c r="D473" s="85" t="n">
        <f aca="false">SRC_Price!$O91</f>
        <v>0</v>
      </c>
      <c r="E473" s="85" t="n">
        <f aca="false">SRC_Price!$K91</f>
        <v>0</v>
      </c>
    </row>
    <row r="474" customFormat="false" ht="15" hidden="false" customHeight="false" outlineLevel="0" collapsed="false">
      <c r="A474" s="85" t="str">
        <f aca="false">SRC_Price!$A92&amp;""</f>
        <v/>
      </c>
      <c r="B474" s="54" t="s">
        <v>5969</v>
      </c>
      <c r="C474" s="53" t="n">
        <v>92</v>
      </c>
      <c r="D474" s="85" t="n">
        <f aca="false">SRC_Price!$O92</f>
        <v>0</v>
      </c>
      <c r="E474" s="85" t="n">
        <f aca="false">SRC_Price!$K92</f>
        <v>0</v>
      </c>
    </row>
    <row r="475" customFormat="false" ht="15" hidden="false" customHeight="false" outlineLevel="0" collapsed="false">
      <c r="A475" s="85" t="str">
        <f aca="false">SRC_Price!$A93&amp;""</f>
        <v/>
      </c>
      <c r="B475" s="54" t="s">
        <v>5969</v>
      </c>
      <c r="C475" s="53" t="n">
        <v>93</v>
      </c>
      <c r="D475" s="85" t="n">
        <f aca="false">SRC_Price!$O93</f>
        <v>0</v>
      </c>
      <c r="E475" s="85" t="n">
        <f aca="false">SRC_Price!$K93</f>
        <v>0</v>
      </c>
    </row>
    <row r="476" customFormat="false" ht="15" hidden="false" customHeight="false" outlineLevel="0" collapsed="false">
      <c r="A476" s="85" t="str">
        <f aca="false">SRC_Price!$A94&amp;""</f>
        <v/>
      </c>
      <c r="B476" s="54" t="s">
        <v>5969</v>
      </c>
      <c r="C476" s="53" t="n">
        <v>94</v>
      </c>
      <c r="D476" s="85" t="n">
        <f aca="false">SRC_Price!$O94</f>
        <v>0</v>
      </c>
      <c r="E476" s="85" t="n">
        <f aca="false">SRC_Price!$K94</f>
        <v>0</v>
      </c>
    </row>
    <row r="477" customFormat="false" ht="15" hidden="false" customHeight="false" outlineLevel="0" collapsed="false">
      <c r="A477" s="85" t="str">
        <f aca="false">SRC_Price!$A95&amp;""</f>
        <v/>
      </c>
      <c r="B477" s="54" t="s">
        <v>5969</v>
      </c>
      <c r="C477" s="53" t="n">
        <v>95</v>
      </c>
      <c r="D477" s="85" t="n">
        <f aca="false">SRC_Price!$O95</f>
        <v>0</v>
      </c>
      <c r="E477" s="85" t="n">
        <f aca="false">SRC_Price!$K95</f>
        <v>0</v>
      </c>
    </row>
    <row r="478" customFormat="false" ht="15" hidden="false" customHeight="false" outlineLevel="0" collapsed="false">
      <c r="A478" s="85" t="str">
        <f aca="false">SRC_Price!$A96&amp;""</f>
        <v/>
      </c>
      <c r="B478" s="54" t="s">
        <v>5969</v>
      </c>
      <c r="C478" s="53" t="n">
        <v>96</v>
      </c>
      <c r="D478" s="85" t="n">
        <f aca="false">SRC_Price!$O96</f>
        <v>0</v>
      </c>
      <c r="E478" s="85" t="n">
        <f aca="false">SRC_Price!$K96</f>
        <v>0</v>
      </c>
    </row>
    <row r="479" customFormat="false" ht="15" hidden="false" customHeight="false" outlineLevel="0" collapsed="false">
      <c r="A479" s="85" t="str">
        <f aca="false">SRC_Price!$A97&amp;""</f>
        <v/>
      </c>
      <c r="B479" s="54" t="s">
        <v>5969</v>
      </c>
      <c r="C479" s="53" t="n">
        <v>97</v>
      </c>
      <c r="D479" s="85" t="n">
        <f aca="false">SRC_Price!$O97</f>
        <v>0</v>
      </c>
      <c r="E479" s="85" t="n">
        <f aca="false">SRC_Price!$K97</f>
        <v>0</v>
      </c>
    </row>
    <row r="480" customFormat="false" ht="15" hidden="false" customHeight="false" outlineLevel="0" collapsed="false">
      <c r="A480" s="85" t="str">
        <f aca="false">SRC_Price!$A98&amp;""</f>
        <v/>
      </c>
      <c r="B480" s="54" t="s">
        <v>5969</v>
      </c>
      <c r="C480" s="53" t="n">
        <v>98</v>
      </c>
      <c r="D480" s="85" t="n">
        <f aca="false">SRC_Price!$O98</f>
        <v>0</v>
      </c>
      <c r="E480" s="85" t="n">
        <f aca="false">SRC_Price!$K98</f>
        <v>0</v>
      </c>
    </row>
    <row r="481" customFormat="false" ht="15" hidden="false" customHeight="false" outlineLevel="0" collapsed="false">
      <c r="A481" s="85" t="str">
        <f aca="false">SRC_Cap!$A5&amp;""</f>
        <v>SRC_CAP_001</v>
      </c>
      <c r="B481" s="54" t="s">
        <v>5970</v>
      </c>
      <c r="C481" s="53" t="n">
        <v>5</v>
      </c>
      <c r="D481" s="85" t="str">
        <f aca="false">SRC_Cap!$O5</f>
        <v>Active</v>
      </c>
      <c r="E481" s="85" t="n">
        <f aca="false">SRC_Cap!$K5</f>
        <v>2</v>
      </c>
    </row>
    <row r="482" customFormat="false" ht="15" hidden="false" customHeight="false" outlineLevel="0" collapsed="false">
      <c r="A482" s="85" t="str">
        <f aca="false">SRC_Cap!$A6&amp;""</f>
        <v>SRC_CAP_002</v>
      </c>
      <c r="B482" s="54" t="s">
        <v>5970</v>
      </c>
      <c r="C482" s="53" t="n">
        <v>6</v>
      </c>
      <c r="D482" s="85" t="str">
        <f aca="false">SRC_Cap!$O6</f>
        <v>Active</v>
      </c>
      <c r="E482" s="85" t="n">
        <f aca="false">SRC_Cap!$K6</f>
        <v>2</v>
      </c>
    </row>
    <row r="483" customFormat="false" ht="15" hidden="false" customHeight="false" outlineLevel="0" collapsed="false">
      <c r="A483" s="85" t="str">
        <f aca="false">SRC_Cap!$A7&amp;""</f>
        <v>SRC_CAP_003</v>
      </c>
      <c r="B483" s="54" t="s">
        <v>5970</v>
      </c>
      <c r="C483" s="53" t="n">
        <v>7</v>
      </c>
      <c r="D483" s="85" t="str">
        <f aca="false">SRC_Cap!$O7</f>
        <v>Active</v>
      </c>
      <c r="E483" s="85" t="n">
        <f aca="false">SRC_Cap!$K7</f>
        <v>2</v>
      </c>
    </row>
    <row r="484" customFormat="false" ht="15" hidden="false" customHeight="false" outlineLevel="0" collapsed="false">
      <c r="A484" s="85" t="str">
        <f aca="false">SRC_Cap!$A8&amp;""</f>
        <v>SRC_CAP_004</v>
      </c>
      <c r="B484" s="54" t="s">
        <v>5970</v>
      </c>
      <c r="C484" s="53" t="n">
        <v>8</v>
      </c>
      <c r="D484" s="85" t="str">
        <f aca="false">SRC_Cap!$O8</f>
        <v>Active</v>
      </c>
      <c r="E484" s="85" t="n">
        <f aca="false">SRC_Cap!$K8</f>
        <v>2</v>
      </c>
    </row>
    <row r="485" customFormat="false" ht="15" hidden="false" customHeight="false" outlineLevel="0" collapsed="false">
      <c r="A485" s="85" t="str">
        <f aca="false">SRC_Cap!$A9&amp;""</f>
        <v>SRC_CAP_005</v>
      </c>
      <c r="B485" s="54" t="s">
        <v>5970</v>
      </c>
      <c r="C485" s="53" t="n">
        <v>9</v>
      </c>
      <c r="D485" s="85" t="str">
        <f aca="false">SRC_Cap!$O9</f>
        <v>Active</v>
      </c>
      <c r="E485" s="85" t="n">
        <f aca="false">SRC_Cap!$K9</f>
        <v>2</v>
      </c>
    </row>
    <row r="486" customFormat="false" ht="15" hidden="false" customHeight="false" outlineLevel="0" collapsed="false">
      <c r="A486" s="85" t="str">
        <f aca="false">SRC_Cap!$A10&amp;""</f>
        <v>SRC_CAP_006</v>
      </c>
      <c r="B486" s="54" t="s">
        <v>5970</v>
      </c>
      <c r="C486" s="53" t="n">
        <v>10</v>
      </c>
      <c r="D486" s="85" t="str">
        <f aca="false">SRC_Cap!$O10</f>
        <v>Active</v>
      </c>
      <c r="E486" s="85" t="n">
        <f aca="false">SRC_Cap!$K10</f>
        <v>2</v>
      </c>
    </row>
    <row r="487" customFormat="false" ht="15" hidden="false" customHeight="false" outlineLevel="0" collapsed="false">
      <c r="A487" s="85" t="str">
        <f aca="false">SRC_Cap!$A11&amp;""</f>
        <v>SRC_CAP_007</v>
      </c>
      <c r="B487" s="54" t="s">
        <v>5970</v>
      </c>
      <c r="C487" s="53" t="n">
        <v>11</v>
      </c>
      <c r="D487" s="85" t="str">
        <f aca="false">SRC_Cap!$O11</f>
        <v>Active</v>
      </c>
      <c r="E487" s="85" t="n">
        <f aca="false">SRC_Cap!$K11</f>
        <v>2</v>
      </c>
    </row>
    <row r="488" customFormat="false" ht="15" hidden="false" customHeight="false" outlineLevel="0" collapsed="false">
      <c r="A488" s="85" t="str">
        <f aca="false">SRC_Cap!$A12&amp;""</f>
        <v>SRC_CAP_008</v>
      </c>
      <c r="B488" s="54" t="s">
        <v>5970</v>
      </c>
      <c r="C488" s="53" t="n">
        <v>12</v>
      </c>
      <c r="D488" s="85" t="str">
        <f aca="false">SRC_Cap!$O12</f>
        <v>Active</v>
      </c>
      <c r="E488" s="85" t="n">
        <f aca="false">SRC_Cap!$K12</f>
        <v>1</v>
      </c>
    </row>
    <row r="489" customFormat="false" ht="15" hidden="false" customHeight="false" outlineLevel="0" collapsed="false">
      <c r="A489" s="85" t="str">
        <f aca="false">SRC_Cap!$A13&amp;""</f>
        <v>SRC_CAP_009</v>
      </c>
      <c r="B489" s="54" t="s">
        <v>5970</v>
      </c>
      <c r="C489" s="53" t="n">
        <v>13</v>
      </c>
      <c r="D489" s="85" t="str">
        <f aca="false">SRC_Cap!$O13</f>
        <v>Active</v>
      </c>
      <c r="E489" s="85" t="n">
        <f aca="false">SRC_Cap!$K13</f>
        <v>3</v>
      </c>
    </row>
    <row r="490" customFormat="false" ht="15" hidden="false" customHeight="false" outlineLevel="0" collapsed="false">
      <c r="A490" s="85" t="str">
        <f aca="false">SRC_Cap!$A14&amp;""</f>
        <v>SRC_CAP_010</v>
      </c>
      <c r="B490" s="54" t="s">
        <v>5970</v>
      </c>
      <c r="C490" s="53" t="n">
        <v>14</v>
      </c>
      <c r="D490" s="85" t="str">
        <f aca="false">SRC_Cap!$O14</f>
        <v>Active</v>
      </c>
      <c r="E490" s="85" t="n">
        <f aca="false">SRC_Cap!$K14</f>
        <v>3</v>
      </c>
    </row>
    <row r="491" customFormat="false" ht="15" hidden="false" customHeight="false" outlineLevel="0" collapsed="false">
      <c r="A491" s="85" t="str">
        <f aca="false">SRC_Cap!$A15&amp;""</f>
        <v>SRC_CAP_011</v>
      </c>
      <c r="B491" s="54" t="s">
        <v>5970</v>
      </c>
      <c r="C491" s="53" t="n">
        <v>15</v>
      </c>
      <c r="D491" s="85" t="str">
        <f aca="false">SRC_Cap!$O15</f>
        <v>Active</v>
      </c>
      <c r="E491" s="85" t="n">
        <f aca="false">SRC_Cap!$K15</f>
        <v>1</v>
      </c>
    </row>
    <row r="492" customFormat="false" ht="15" hidden="false" customHeight="false" outlineLevel="0" collapsed="false">
      <c r="A492" s="85" t="str">
        <f aca="false">SRC_Cap!$A16&amp;""</f>
        <v>SRC_CAP_012</v>
      </c>
      <c r="B492" s="54" t="s">
        <v>5970</v>
      </c>
      <c r="C492" s="53" t="n">
        <v>16</v>
      </c>
      <c r="D492" s="85" t="str">
        <f aca="false">SRC_Cap!$O16</f>
        <v>Active</v>
      </c>
      <c r="E492" s="85" t="n">
        <f aca="false">SRC_Cap!$K16</f>
        <v>2</v>
      </c>
    </row>
    <row r="493" customFormat="false" ht="15" hidden="false" customHeight="false" outlineLevel="0" collapsed="false">
      <c r="A493" s="85" t="str">
        <f aca="false">SRC_Cap!$A17&amp;""</f>
        <v>SRC_CAP_013</v>
      </c>
      <c r="B493" s="54" t="s">
        <v>5970</v>
      </c>
      <c r="C493" s="53" t="n">
        <v>17</v>
      </c>
      <c r="D493" s="85" t="str">
        <f aca="false">SRC_Cap!$O17</f>
        <v>Active</v>
      </c>
      <c r="E493" s="85" t="n">
        <f aca="false">SRC_Cap!$K17</f>
        <v>2</v>
      </c>
    </row>
    <row r="494" customFormat="false" ht="15" hidden="false" customHeight="false" outlineLevel="0" collapsed="false">
      <c r="A494" s="85" t="str">
        <f aca="false">SRC_Cap!$A18&amp;""</f>
        <v>SRC_CAP_014</v>
      </c>
      <c r="B494" s="54" t="s">
        <v>5970</v>
      </c>
      <c r="C494" s="53" t="n">
        <v>18</v>
      </c>
      <c r="D494" s="85" t="str">
        <f aca="false">SRC_Cap!$O18</f>
        <v>Active</v>
      </c>
      <c r="E494" s="85" t="n">
        <f aca="false">SRC_Cap!$K18</f>
        <v>2</v>
      </c>
    </row>
    <row r="495" customFormat="false" ht="15" hidden="false" customHeight="false" outlineLevel="0" collapsed="false">
      <c r="A495" s="85" t="str">
        <f aca="false">SRC_Cap!$A19&amp;""</f>
        <v>SRC_CAP_015</v>
      </c>
      <c r="B495" s="54" t="s">
        <v>5970</v>
      </c>
      <c r="C495" s="53" t="n">
        <v>19</v>
      </c>
      <c r="D495" s="85" t="str">
        <f aca="false">SRC_Cap!$O19</f>
        <v>Active</v>
      </c>
      <c r="E495" s="85" t="n">
        <f aca="false">SRC_Cap!$K19</f>
        <v>2</v>
      </c>
    </row>
    <row r="496" customFormat="false" ht="15" hidden="false" customHeight="false" outlineLevel="0" collapsed="false">
      <c r="A496" s="85" t="str">
        <f aca="false">SRC_Cap!$A20&amp;""</f>
        <v>SRC_CAP_016</v>
      </c>
      <c r="B496" s="54" t="s">
        <v>5970</v>
      </c>
      <c r="C496" s="53" t="n">
        <v>20</v>
      </c>
      <c r="D496" s="85" t="str">
        <f aca="false">SRC_Cap!$O20</f>
        <v>Active</v>
      </c>
      <c r="E496" s="85" t="n">
        <f aca="false">SRC_Cap!$K20</f>
        <v>2</v>
      </c>
    </row>
    <row r="497" customFormat="false" ht="15" hidden="false" customHeight="false" outlineLevel="0" collapsed="false">
      <c r="A497" s="85" t="str">
        <f aca="false">SRC_Cap!$A21&amp;""</f>
        <v>SRC_CAP_017</v>
      </c>
      <c r="B497" s="54" t="s">
        <v>5970</v>
      </c>
      <c r="C497" s="53" t="n">
        <v>21</v>
      </c>
      <c r="D497" s="85" t="str">
        <f aca="false">SRC_Cap!$O21</f>
        <v>Active</v>
      </c>
      <c r="E497" s="85" t="n">
        <f aca="false">SRC_Cap!$K21</f>
        <v>2</v>
      </c>
    </row>
    <row r="498" customFormat="false" ht="15" hidden="false" customHeight="false" outlineLevel="0" collapsed="false">
      <c r="A498" s="85" t="str">
        <f aca="false">SRC_Cap!$A22&amp;""</f>
        <v>SRC_CAP_018</v>
      </c>
      <c r="B498" s="54" t="s">
        <v>5970</v>
      </c>
      <c r="C498" s="53" t="n">
        <v>22</v>
      </c>
      <c r="D498" s="85" t="str">
        <f aca="false">SRC_Cap!$O22</f>
        <v>Active</v>
      </c>
      <c r="E498" s="85" t="n">
        <f aca="false">SRC_Cap!$K22</f>
        <v>2</v>
      </c>
    </row>
    <row r="499" customFormat="false" ht="15" hidden="false" customHeight="false" outlineLevel="0" collapsed="false">
      <c r="A499" s="85" t="str">
        <f aca="false">SRC_Cap!$A23&amp;""</f>
        <v>SRC_CAP_019</v>
      </c>
      <c r="B499" s="54" t="s">
        <v>5970</v>
      </c>
      <c r="C499" s="53" t="n">
        <v>23</v>
      </c>
      <c r="D499" s="85" t="str">
        <f aca="false">SRC_Cap!$O23</f>
        <v>Active</v>
      </c>
      <c r="E499" s="85" t="n">
        <f aca="false">SRC_Cap!$K23</f>
        <v>2</v>
      </c>
    </row>
    <row r="500" customFormat="false" ht="15" hidden="false" customHeight="false" outlineLevel="0" collapsed="false">
      <c r="A500" s="85" t="str">
        <f aca="false">SRC_Cap!$A24&amp;""</f>
        <v>SRC_CAP_020</v>
      </c>
      <c r="B500" s="54" t="s">
        <v>5970</v>
      </c>
      <c r="C500" s="53" t="n">
        <v>24</v>
      </c>
      <c r="D500" s="85" t="str">
        <f aca="false">SRC_Cap!$O24</f>
        <v>Active</v>
      </c>
      <c r="E500" s="85" t="n">
        <f aca="false">SRC_Cap!$K24</f>
        <v>2</v>
      </c>
    </row>
    <row r="501" customFormat="false" ht="15" hidden="false" customHeight="false" outlineLevel="0" collapsed="false">
      <c r="A501" s="85" t="str">
        <f aca="false">SRC_Cap!$A25&amp;""</f>
        <v>SRC_CAP_021</v>
      </c>
      <c r="B501" s="54" t="s">
        <v>5970</v>
      </c>
      <c r="C501" s="53" t="n">
        <v>25</v>
      </c>
      <c r="D501" s="85" t="str">
        <f aca="false">SRC_Cap!$O25</f>
        <v>Active</v>
      </c>
      <c r="E501" s="85" t="n">
        <f aca="false">SRC_Cap!$K25</f>
        <v>2</v>
      </c>
    </row>
    <row r="502" customFormat="false" ht="15" hidden="false" customHeight="false" outlineLevel="0" collapsed="false">
      <c r="A502" s="85" t="str">
        <f aca="false">SRC_Cap!$A26&amp;""</f>
        <v/>
      </c>
      <c r="B502" s="54" t="s">
        <v>5970</v>
      </c>
      <c r="C502" s="53" t="n">
        <v>26</v>
      </c>
      <c r="D502" s="85" t="n">
        <f aca="false">SRC_Cap!$O26</f>
        <v>0</v>
      </c>
      <c r="E502" s="85" t="n">
        <f aca="false">SRC_Cap!$K26</f>
        <v>0</v>
      </c>
    </row>
    <row r="503" customFormat="false" ht="15" hidden="false" customHeight="false" outlineLevel="0" collapsed="false">
      <c r="A503" s="85" t="str">
        <f aca="false">SRC_Cap!$A27&amp;""</f>
        <v/>
      </c>
      <c r="B503" s="54" t="s">
        <v>5970</v>
      </c>
      <c r="C503" s="53" t="n">
        <v>27</v>
      </c>
      <c r="D503" s="85" t="n">
        <f aca="false">SRC_Cap!$O27</f>
        <v>0</v>
      </c>
      <c r="E503" s="85" t="n">
        <f aca="false">SRC_Cap!$K27</f>
        <v>0</v>
      </c>
    </row>
    <row r="504" customFormat="false" ht="15" hidden="false" customHeight="false" outlineLevel="0" collapsed="false">
      <c r="A504" s="85" t="str">
        <f aca="false">SRC_Cap!$A28&amp;""</f>
        <v/>
      </c>
      <c r="B504" s="54" t="s">
        <v>5970</v>
      </c>
      <c r="C504" s="53" t="n">
        <v>28</v>
      </c>
      <c r="D504" s="85" t="n">
        <f aca="false">SRC_Cap!$O28</f>
        <v>0</v>
      </c>
      <c r="E504" s="85" t="n">
        <f aca="false">SRC_Cap!$K28</f>
        <v>0</v>
      </c>
    </row>
    <row r="505" customFormat="false" ht="15" hidden="false" customHeight="false" outlineLevel="0" collapsed="false">
      <c r="A505" s="85" t="str">
        <f aca="false">SRC_Cap!$A29&amp;""</f>
        <v/>
      </c>
      <c r="B505" s="54" t="s">
        <v>5970</v>
      </c>
      <c r="C505" s="53" t="n">
        <v>29</v>
      </c>
      <c r="D505" s="85" t="n">
        <f aca="false">SRC_Cap!$O29</f>
        <v>0</v>
      </c>
      <c r="E505" s="85" t="n">
        <f aca="false">SRC_Cap!$K29</f>
        <v>0</v>
      </c>
    </row>
    <row r="506" customFormat="false" ht="15" hidden="false" customHeight="false" outlineLevel="0" collapsed="false">
      <c r="A506" s="85" t="str">
        <f aca="false">SRC_Cap!$A30&amp;""</f>
        <v/>
      </c>
      <c r="B506" s="54" t="s">
        <v>5970</v>
      </c>
      <c r="C506" s="53" t="n">
        <v>30</v>
      </c>
      <c r="D506" s="85" t="n">
        <f aca="false">SRC_Cap!$O30</f>
        <v>0</v>
      </c>
      <c r="E506" s="85" t="n">
        <f aca="false">SRC_Cap!$K30</f>
        <v>0</v>
      </c>
    </row>
    <row r="507" customFormat="false" ht="15" hidden="false" customHeight="false" outlineLevel="0" collapsed="false">
      <c r="A507" s="85" t="str">
        <f aca="false">SRC_Cap!$A31&amp;""</f>
        <v/>
      </c>
      <c r="B507" s="54" t="s">
        <v>5970</v>
      </c>
      <c r="C507" s="53" t="n">
        <v>31</v>
      </c>
      <c r="D507" s="85" t="n">
        <f aca="false">SRC_Cap!$O31</f>
        <v>0</v>
      </c>
      <c r="E507" s="85" t="n">
        <f aca="false">SRC_Cap!$K31</f>
        <v>0</v>
      </c>
    </row>
    <row r="508" customFormat="false" ht="15" hidden="false" customHeight="false" outlineLevel="0" collapsed="false">
      <c r="A508" s="85" t="str">
        <f aca="false">SRC_Cap!$A32&amp;""</f>
        <v/>
      </c>
      <c r="B508" s="54" t="s">
        <v>5970</v>
      </c>
      <c r="C508" s="53" t="n">
        <v>32</v>
      </c>
      <c r="D508" s="85" t="n">
        <f aca="false">SRC_Cap!$O32</f>
        <v>0</v>
      </c>
      <c r="E508" s="85" t="n">
        <f aca="false">SRC_Cap!$K32</f>
        <v>0</v>
      </c>
    </row>
    <row r="509" customFormat="false" ht="15" hidden="false" customHeight="false" outlineLevel="0" collapsed="false">
      <c r="A509" s="85" t="str">
        <f aca="false">SRC_Cap!$A33&amp;""</f>
        <v/>
      </c>
      <c r="B509" s="54" t="s">
        <v>5970</v>
      </c>
      <c r="C509" s="53" t="n">
        <v>33</v>
      </c>
      <c r="D509" s="85" t="n">
        <f aca="false">SRC_Cap!$O33</f>
        <v>0</v>
      </c>
      <c r="E509" s="85" t="n">
        <f aca="false">SRC_Cap!$K33</f>
        <v>0</v>
      </c>
    </row>
    <row r="510" customFormat="false" ht="15" hidden="false" customHeight="false" outlineLevel="0" collapsed="false">
      <c r="A510" s="85" t="str">
        <f aca="false">SRC_Cap!$A34&amp;""</f>
        <v/>
      </c>
      <c r="B510" s="54" t="s">
        <v>5970</v>
      </c>
      <c r="C510" s="53" t="n">
        <v>34</v>
      </c>
      <c r="D510" s="85" t="n">
        <f aca="false">SRC_Cap!$O34</f>
        <v>0</v>
      </c>
      <c r="E510" s="85" t="n">
        <f aca="false">SRC_Cap!$K34</f>
        <v>0</v>
      </c>
    </row>
    <row r="511" customFormat="false" ht="15" hidden="false" customHeight="false" outlineLevel="0" collapsed="false">
      <c r="A511" s="85" t="str">
        <f aca="false">SRC_Cap!$A35&amp;""</f>
        <v/>
      </c>
      <c r="B511" s="54" t="s">
        <v>5970</v>
      </c>
      <c r="C511" s="53" t="n">
        <v>35</v>
      </c>
      <c r="D511" s="85" t="n">
        <f aca="false">SRC_Cap!$O35</f>
        <v>0</v>
      </c>
      <c r="E511" s="85" t="n">
        <f aca="false">SRC_Cap!$K35</f>
        <v>0</v>
      </c>
    </row>
    <row r="512" customFormat="false" ht="15" hidden="false" customHeight="false" outlineLevel="0" collapsed="false">
      <c r="A512" s="85" t="str">
        <f aca="false">SRC_Cap!$A36&amp;""</f>
        <v/>
      </c>
      <c r="B512" s="54" t="s">
        <v>5970</v>
      </c>
      <c r="C512" s="53" t="n">
        <v>36</v>
      </c>
      <c r="D512" s="85" t="n">
        <f aca="false">SRC_Cap!$O36</f>
        <v>0</v>
      </c>
      <c r="E512" s="85" t="n">
        <f aca="false">SRC_Cap!$K36</f>
        <v>0</v>
      </c>
    </row>
    <row r="513" customFormat="false" ht="15" hidden="false" customHeight="false" outlineLevel="0" collapsed="false">
      <c r="A513" s="85" t="str">
        <f aca="false">SRC_Cap!$A37&amp;""</f>
        <v/>
      </c>
      <c r="B513" s="54" t="s">
        <v>5970</v>
      </c>
      <c r="C513" s="53" t="n">
        <v>37</v>
      </c>
      <c r="D513" s="85" t="n">
        <f aca="false">SRC_Cap!$O37</f>
        <v>0</v>
      </c>
      <c r="E513" s="85" t="n">
        <f aca="false">SRC_Cap!$K37</f>
        <v>0</v>
      </c>
    </row>
    <row r="514" customFormat="false" ht="15" hidden="false" customHeight="false" outlineLevel="0" collapsed="false">
      <c r="A514" s="85" t="str">
        <f aca="false">SRC_Cap!$A38&amp;""</f>
        <v/>
      </c>
      <c r="B514" s="54" t="s">
        <v>5970</v>
      </c>
      <c r="C514" s="53" t="n">
        <v>38</v>
      </c>
      <c r="D514" s="85" t="n">
        <f aca="false">SRC_Cap!$O38</f>
        <v>0</v>
      </c>
      <c r="E514" s="85" t="n">
        <f aca="false">SRC_Cap!$K38</f>
        <v>0</v>
      </c>
    </row>
    <row r="515" customFormat="false" ht="15" hidden="false" customHeight="false" outlineLevel="0" collapsed="false">
      <c r="A515" s="85" t="str">
        <f aca="false">SRC_Cap!$A39&amp;""</f>
        <v/>
      </c>
      <c r="B515" s="54" t="s">
        <v>5970</v>
      </c>
      <c r="C515" s="53" t="n">
        <v>39</v>
      </c>
      <c r="D515" s="85" t="n">
        <f aca="false">SRC_Cap!$O39</f>
        <v>0</v>
      </c>
      <c r="E515" s="85" t="n">
        <f aca="false">SRC_Cap!$K39</f>
        <v>0</v>
      </c>
    </row>
    <row r="516" customFormat="false" ht="15" hidden="false" customHeight="false" outlineLevel="0" collapsed="false">
      <c r="A516" s="85" t="str">
        <f aca="false">SRC_Cap!$A40&amp;""</f>
        <v/>
      </c>
      <c r="B516" s="54" t="s">
        <v>5970</v>
      </c>
      <c r="C516" s="53" t="n">
        <v>40</v>
      </c>
      <c r="D516" s="85" t="n">
        <f aca="false">SRC_Cap!$O40</f>
        <v>0</v>
      </c>
      <c r="E516" s="85" t="n">
        <f aca="false">SRC_Cap!$K40</f>
        <v>0</v>
      </c>
    </row>
    <row r="517" customFormat="false" ht="15" hidden="false" customHeight="false" outlineLevel="0" collapsed="false">
      <c r="A517" s="85" t="str">
        <f aca="false">SRC_Cap!$A41&amp;""</f>
        <v/>
      </c>
      <c r="B517" s="54" t="s">
        <v>5970</v>
      </c>
      <c r="C517" s="53" t="n">
        <v>41</v>
      </c>
      <c r="D517" s="85" t="n">
        <f aca="false">SRC_Cap!$O41</f>
        <v>0</v>
      </c>
      <c r="E517" s="85" t="n">
        <f aca="false">SRC_Cap!$K41</f>
        <v>0</v>
      </c>
    </row>
    <row r="518" customFormat="false" ht="15" hidden="false" customHeight="false" outlineLevel="0" collapsed="false">
      <c r="A518" s="85" t="str">
        <f aca="false">SRC_Cap!$A42&amp;""</f>
        <v/>
      </c>
      <c r="B518" s="54" t="s">
        <v>5970</v>
      </c>
      <c r="C518" s="53" t="n">
        <v>42</v>
      </c>
      <c r="D518" s="85" t="n">
        <f aca="false">SRC_Cap!$O42</f>
        <v>0</v>
      </c>
      <c r="E518" s="85" t="n">
        <f aca="false">SRC_Cap!$K42</f>
        <v>0</v>
      </c>
    </row>
    <row r="519" customFormat="false" ht="15" hidden="false" customHeight="false" outlineLevel="0" collapsed="false">
      <c r="A519" s="85" t="str">
        <f aca="false">SRC_Cap!$A43&amp;""</f>
        <v/>
      </c>
      <c r="B519" s="54" t="s">
        <v>5970</v>
      </c>
      <c r="C519" s="53" t="n">
        <v>43</v>
      </c>
      <c r="D519" s="85" t="n">
        <f aca="false">SRC_Cap!$O43</f>
        <v>0</v>
      </c>
      <c r="E519" s="85" t="n">
        <f aca="false">SRC_Cap!$K43</f>
        <v>0</v>
      </c>
    </row>
    <row r="520" customFormat="false" ht="15" hidden="false" customHeight="false" outlineLevel="0" collapsed="false">
      <c r="A520" s="85" t="str">
        <f aca="false">SRC_Cap!$A44&amp;""</f>
        <v/>
      </c>
      <c r="B520" s="54" t="s">
        <v>5970</v>
      </c>
      <c r="C520" s="53" t="n">
        <v>44</v>
      </c>
      <c r="D520" s="85" t="n">
        <f aca="false">SRC_Cap!$O44</f>
        <v>0</v>
      </c>
      <c r="E520" s="85" t="n">
        <f aca="false">SRC_Cap!$K44</f>
        <v>0</v>
      </c>
    </row>
    <row r="521" customFormat="false" ht="15" hidden="false" customHeight="false" outlineLevel="0" collapsed="false">
      <c r="A521" s="85" t="str">
        <f aca="false">SRC_Cap!$A45&amp;""</f>
        <v/>
      </c>
      <c r="B521" s="54" t="s">
        <v>5970</v>
      </c>
      <c r="C521" s="53" t="n">
        <v>45</v>
      </c>
      <c r="D521" s="85" t="n">
        <f aca="false">SRC_Cap!$O45</f>
        <v>0</v>
      </c>
      <c r="E521" s="85" t="n">
        <f aca="false">SRC_Cap!$K45</f>
        <v>0</v>
      </c>
    </row>
    <row r="522" customFormat="false" ht="15" hidden="false" customHeight="false" outlineLevel="0" collapsed="false">
      <c r="A522" s="85" t="str">
        <f aca="false">SRC_Cap!$A46&amp;""</f>
        <v/>
      </c>
      <c r="B522" s="54" t="s">
        <v>5970</v>
      </c>
      <c r="C522" s="53" t="n">
        <v>46</v>
      </c>
      <c r="D522" s="85" t="n">
        <f aca="false">SRC_Cap!$O46</f>
        <v>0</v>
      </c>
      <c r="E522" s="85" t="n">
        <f aca="false">SRC_Cap!$K46</f>
        <v>0</v>
      </c>
    </row>
    <row r="523" customFormat="false" ht="15" hidden="false" customHeight="false" outlineLevel="0" collapsed="false">
      <c r="A523" s="85" t="str">
        <f aca="false">SRC_Cap!$A47&amp;""</f>
        <v/>
      </c>
      <c r="B523" s="54" t="s">
        <v>5970</v>
      </c>
      <c r="C523" s="53" t="n">
        <v>47</v>
      </c>
      <c r="D523" s="85" t="n">
        <f aca="false">SRC_Cap!$O47</f>
        <v>0</v>
      </c>
      <c r="E523" s="85" t="n">
        <f aca="false">SRC_Cap!$K47</f>
        <v>0</v>
      </c>
    </row>
    <row r="524" customFormat="false" ht="15" hidden="false" customHeight="false" outlineLevel="0" collapsed="false">
      <c r="A524" s="85" t="str">
        <f aca="false">SRC_Cap!$A48&amp;""</f>
        <v/>
      </c>
      <c r="B524" s="54" t="s">
        <v>5970</v>
      </c>
      <c r="C524" s="53" t="n">
        <v>48</v>
      </c>
      <c r="D524" s="85" t="n">
        <f aca="false">SRC_Cap!$O48</f>
        <v>0</v>
      </c>
      <c r="E524" s="85" t="n">
        <f aca="false">SRC_Cap!$K48</f>
        <v>0</v>
      </c>
    </row>
    <row r="525" customFormat="false" ht="15" hidden="false" customHeight="false" outlineLevel="0" collapsed="false">
      <c r="A525" s="85" t="str">
        <f aca="false">SRC_Cap!$A49&amp;""</f>
        <v/>
      </c>
      <c r="B525" s="54" t="s">
        <v>5970</v>
      </c>
      <c r="C525" s="53" t="n">
        <v>49</v>
      </c>
      <c r="D525" s="85" t="n">
        <f aca="false">SRC_Cap!$O49</f>
        <v>0</v>
      </c>
      <c r="E525" s="85" t="n">
        <f aca="false">SRC_Cap!$K49</f>
        <v>0</v>
      </c>
    </row>
    <row r="526" customFormat="false" ht="15" hidden="false" customHeight="false" outlineLevel="0" collapsed="false">
      <c r="A526" s="85" t="str">
        <f aca="false">SRC_Cap!$A50&amp;""</f>
        <v/>
      </c>
      <c r="B526" s="54" t="s">
        <v>5970</v>
      </c>
      <c r="C526" s="53" t="n">
        <v>50</v>
      </c>
      <c r="D526" s="85" t="n">
        <f aca="false">SRC_Cap!$O50</f>
        <v>0</v>
      </c>
      <c r="E526" s="85" t="n">
        <f aca="false">SRC_Cap!$K50</f>
        <v>0</v>
      </c>
    </row>
    <row r="527" customFormat="false" ht="15" hidden="false" customHeight="false" outlineLevel="0" collapsed="false">
      <c r="A527" s="85" t="str">
        <f aca="false">SRC_Cap!$A51&amp;""</f>
        <v/>
      </c>
      <c r="B527" s="54" t="s">
        <v>5970</v>
      </c>
      <c r="C527" s="53" t="n">
        <v>51</v>
      </c>
      <c r="D527" s="85" t="n">
        <f aca="false">SRC_Cap!$O51</f>
        <v>0</v>
      </c>
      <c r="E527" s="85" t="n">
        <f aca="false">SRC_Cap!$K51</f>
        <v>0</v>
      </c>
    </row>
    <row r="528" customFormat="false" ht="15" hidden="false" customHeight="false" outlineLevel="0" collapsed="false">
      <c r="A528" s="85" t="str">
        <f aca="false">SRC_Cap!$A52&amp;""</f>
        <v/>
      </c>
      <c r="B528" s="54" t="s">
        <v>5970</v>
      </c>
      <c r="C528" s="53" t="n">
        <v>52</v>
      </c>
      <c r="D528" s="85" t="n">
        <f aca="false">SRC_Cap!$O52</f>
        <v>0</v>
      </c>
      <c r="E528" s="85" t="n">
        <f aca="false">SRC_Cap!$K52</f>
        <v>0</v>
      </c>
    </row>
    <row r="529" customFormat="false" ht="15" hidden="false" customHeight="false" outlineLevel="0" collapsed="false">
      <c r="A529" s="85" t="str">
        <f aca="false">SRC_Cap!$A53&amp;""</f>
        <v/>
      </c>
      <c r="B529" s="54" t="s">
        <v>5970</v>
      </c>
      <c r="C529" s="53" t="n">
        <v>53</v>
      </c>
      <c r="D529" s="85" t="n">
        <f aca="false">SRC_Cap!$O53</f>
        <v>0</v>
      </c>
      <c r="E529" s="85" t="n">
        <f aca="false">SRC_Cap!$K53</f>
        <v>0</v>
      </c>
    </row>
    <row r="530" customFormat="false" ht="15" hidden="false" customHeight="false" outlineLevel="0" collapsed="false">
      <c r="A530" s="85" t="str">
        <f aca="false">SRC_Cap!$A54&amp;""</f>
        <v/>
      </c>
      <c r="B530" s="54" t="s">
        <v>5970</v>
      </c>
      <c r="C530" s="53" t="n">
        <v>54</v>
      </c>
      <c r="D530" s="85" t="n">
        <f aca="false">SRC_Cap!$O54</f>
        <v>0</v>
      </c>
      <c r="E530" s="85" t="n">
        <f aca="false">SRC_Cap!$K54</f>
        <v>0</v>
      </c>
    </row>
    <row r="531" customFormat="false" ht="15" hidden="false" customHeight="false" outlineLevel="0" collapsed="false">
      <c r="A531" s="85" t="str">
        <f aca="false">SRC_Cap!$A55&amp;""</f>
        <v/>
      </c>
      <c r="B531" s="54" t="s">
        <v>5970</v>
      </c>
      <c r="C531" s="53" t="n">
        <v>55</v>
      </c>
      <c r="D531" s="85" t="n">
        <f aca="false">SRC_Cap!$O55</f>
        <v>0</v>
      </c>
      <c r="E531" s="85" t="n">
        <f aca="false">SRC_Cap!$K55</f>
        <v>0</v>
      </c>
    </row>
    <row r="532" customFormat="false" ht="15" hidden="false" customHeight="false" outlineLevel="0" collapsed="false">
      <c r="A532" s="85" t="str">
        <f aca="false">SRC_Cap!$A56&amp;""</f>
        <v/>
      </c>
      <c r="B532" s="54" t="s">
        <v>5970</v>
      </c>
      <c r="C532" s="53" t="n">
        <v>56</v>
      </c>
      <c r="D532" s="85" t="n">
        <f aca="false">SRC_Cap!$O56</f>
        <v>0</v>
      </c>
      <c r="E532" s="85" t="n">
        <f aca="false">SRC_Cap!$K56</f>
        <v>0</v>
      </c>
    </row>
    <row r="533" customFormat="false" ht="15" hidden="false" customHeight="false" outlineLevel="0" collapsed="false">
      <c r="A533" s="85" t="str">
        <f aca="false">SRC_Cap!$A57&amp;""</f>
        <v/>
      </c>
      <c r="B533" s="54" t="s">
        <v>5970</v>
      </c>
      <c r="C533" s="53" t="n">
        <v>57</v>
      </c>
      <c r="D533" s="85" t="n">
        <f aca="false">SRC_Cap!$O57</f>
        <v>0</v>
      </c>
      <c r="E533" s="85" t="n">
        <f aca="false">SRC_Cap!$K57</f>
        <v>0</v>
      </c>
    </row>
    <row r="534" customFormat="false" ht="15" hidden="false" customHeight="false" outlineLevel="0" collapsed="false">
      <c r="A534" s="85" t="str">
        <f aca="false">SRC_Cap!$A58&amp;""</f>
        <v/>
      </c>
      <c r="B534" s="54" t="s">
        <v>5970</v>
      </c>
      <c r="C534" s="53" t="n">
        <v>58</v>
      </c>
      <c r="D534" s="85" t="n">
        <f aca="false">SRC_Cap!$O58</f>
        <v>0</v>
      </c>
      <c r="E534" s="85" t="n">
        <f aca="false">SRC_Cap!$K58</f>
        <v>0</v>
      </c>
    </row>
    <row r="535" customFormat="false" ht="15" hidden="false" customHeight="false" outlineLevel="0" collapsed="false">
      <c r="A535" s="85" t="str">
        <f aca="false">SRC_Cap!$A59&amp;""</f>
        <v/>
      </c>
      <c r="B535" s="54" t="s">
        <v>5970</v>
      </c>
      <c r="C535" s="53" t="n">
        <v>59</v>
      </c>
      <c r="D535" s="85" t="n">
        <f aca="false">SRC_Cap!$O59</f>
        <v>0</v>
      </c>
      <c r="E535" s="85" t="n">
        <f aca="false">SRC_Cap!$K59</f>
        <v>0</v>
      </c>
    </row>
    <row r="536" customFormat="false" ht="15" hidden="false" customHeight="false" outlineLevel="0" collapsed="false">
      <c r="A536" s="85" t="str">
        <f aca="false">SRC_Cap!$A60&amp;""</f>
        <v/>
      </c>
      <c r="B536" s="54" t="s">
        <v>5970</v>
      </c>
      <c r="C536" s="53" t="n">
        <v>60</v>
      </c>
      <c r="D536" s="85" t="n">
        <f aca="false">SRC_Cap!$O60</f>
        <v>0</v>
      </c>
      <c r="E536" s="85" t="n">
        <f aca="false">SRC_Cap!$K60</f>
        <v>0</v>
      </c>
    </row>
    <row r="537" customFormat="false" ht="15" hidden="false" customHeight="false" outlineLevel="0" collapsed="false">
      <c r="A537" s="85" t="str">
        <f aca="false">SRC_Cap!$A61&amp;""</f>
        <v/>
      </c>
      <c r="B537" s="54" t="s">
        <v>5970</v>
      </c>
      <c r="C537" s="53" t="n">
        <v>61</v>
      </c>
      <c r="D537" s="85" t="n">
        <f aca="false">SRC_Cap!$O61</f>
        <v>0</v>
      </c>
      <c r="E537" s="85" t="n">
        <f aca="false">SRC_Cap!$K61</f>
        <v>0</v>
      </c>
    </row>
    <row r="538" customFormat="false" ht="15" hidden="false" customHeight="false" outlineLevel="0" collapsed="false">
      <c r="A538" s="85" t="str">
        <f aca="false">SRC_Cap!$A62&amp;""</f>
        <v/>
      </c>
      <c r="B538" s="54" t="s">
        <v>5970</v>
      </c>
      <c r="C538" s="53" t="n">
        <v>62</v>
      </c>
      <c r="D538" s="85" t="n">
        <f aca="false">SRC_Cap!$O62</f>
        <v>0</v>
      </c>
      <c r="E538" s="85" t="n">
        <f aca="false">SRC_Cap!$K62</f>
        <v>0</v>
      </c>
    </row>
    <row r="539" customFormat="false" ht="15" hidden="false" customHeight="false" outlineLevel="0" collapsed="false">
      <c r="A539" s="85" t="str">
        <f aca="false">SRC_Cap!$A63&amp;""</f>
        <v/>
      </c>
      <c r="B539" s="54" t="s">
        <v>5970</v>
      </c>
      <c r="C539" s="53" t="n">
        <v>63</v>
      </c>
      <c r="D539" s="85" t="n">
        <f aca="false">SRC_Cap!$O63</f>
        <v>0</v>
      </c>
      <c r="E539" s="85" t="n">
        <f aca="false">SRC_Cap!$K63</f>
        <v>0</v>
      </c>
    </row>
    <row r="540" customFormat="false" ht="15" hidden="false" customHeight="false" outlineLevel="0" collapsed="false">
      <c r="A540" s="85" t="str">
        <f aca="false">SRC_Cap!$A64&amp;""</f>
        <v/>
      </c>
      <c r="B540" s="54" t="s">
        <v>5970</v>
      </c>
      <c r="C540" s="53" t="n">
        <v>64</v>
      </c>
      <c r="D540" s="85" t="n">
        <f aca="false">SRC_Cap!$O64</f>
        <v>0</v>
      </c>
      <c r="E540" s="85" t="n">
        <f aca="false">SRC_Cap!$K64</f>
        <v>0</v>
      </c>
    </row>
    <row r="541" customFormat="false" ht="15" hidden="false" customHeight="false" outlineLevel="0" collapsed="false">
      <c r="A541" s="85" t="str">
        <f aca="false">SRC_Cap!$A65&amp;""</f>
        <v/>
      </c>
      <c r="B541" s="54" t="s">
        <v>5970</v>
      </c>
      <c r="C541" s="53" t="n">
        <v>65</v>
      </c>
      <c r="D541" s="85" t="n">
        <f aca="false">SRC_Cap!$O65</f>
        <v>0</v>
      </c>
      <c r="E541" s="85" t="n">
        <f aca="false">SRC_Cap!$K65</f>
        <v>0</v>
      </c>
    </row>
    <row r="542" customFormat="false" ht="15" hidden="false" customHeight="false" outlineLevel="0" collapsed="false">
      <c r="A542" s="85" t="str">
        <f aca="false">SRC_Cap!$A66&amp;""</f>
        <v/>
      </c>
      <c r="B542" s="54" t="s">
        <v>5970</v>
      </c>
      <c r="C542" s="53" t="n">
        <v>66</v>
      </c>
      <c r="D542" s="85" t="n">
        <f aca="false">SRC_Cap!$O66</f>
        <v>0</v>
      </c>
      <c r="E542" s="85" t="n">
        <f aca="false">SRC_Cap!$K66</f>
        <v>0</v>
      </c>
    </row>
    <row r="543" customFormat="false" ht="15" hidden="false" customHeight="false" outlineLevel="0" collapsed="false">
      <c r="A543" s="85" t="str">
        <f aca="false">SRC_Cap!$A67&amp;""</f>
        <v/>
      </c>
      <c r="B543" s="54" t="s">
        <v>5970</v>
      </c>
      <c r="C543" s="53" t="n">
        <v>67</v>
      </c>
      <c r="D543" s="85" t="n">
        <f aca="false">SRC_Cap!$O67</f>
        <v>0</v>
      </c>
      <c r="E543" s="85" t="n">
        <f aca="false">SRC_Cap!$K67</f>
        <v>0</v>
      </c>
    </row>
    <row r="544" customFormat="false" ht="15" hidden="false" customHeight="false" outlineLevel="0" collapsed="false">
      <c r="A544" s="85" t="str">
        <f aca="false">SRC_Cap!$A68&amp;""</f>
        <v/>
      </c>
      <c r="B544" s="54" t="s">
        <v>5970</v>
      </c>
      <c r="C544" s="53" t="n">
        <v>68</v>
      </c>
      <c r="D544" s="85" t="n">
        <f aca="false">SRC_Cap!$O68</f>
        <v>0</v>
      </c>
      <c r="E544" s="85" t="n">
        <f aca="false">SRC_Cap!$K68</f>
        <v>0</v>
      </c>
    </row>
    <row r="545" customFormat="false" ht="15" hidden="false" customHeight="false" outlineLevel="0" collapsed="false">
      <c r="A545" s="85" t="str">
        <f aca="false">SRC_Cap!$A69&amp;""</f>
        <v/>
      </c>
      <c r="B545" s="54" t="s">
        <v>5970</v>
      </c>
      <c r="C545" s="53" t="n">
        <v>69</v>
      </c>
      <c r="D545" s="85" t="n">
        <f aca="false">SRC_Cap!$O69</f>
        <v>0</v>
      </c>
      <c r="E545" s="85" t="n">
        <f aca="false">SRC_Cap!$K69</f>
        <v>0</v>
      </c>
    </row>
    <row r="546" customFormat="false" ht="15" hidden="false" customHeight="false" outlineLevel="0" collapsed="false">
      <c r="A546" s="85" t="str">
        <f aca="false">SRC_Cap!$A70&amp;""</f>
        <v/>
      </c>
      <c r="B546" s="54" t="s">
        <v>5970</v>
      </c>
      <c r="C546" s="53" t="n">
        <v>70</v>
      </c>
      <c r="D546" s="85" t="n">
        <f aca="false">SRC_Cap!$O70</f>
        <v>0</v>
      </c>
      <c r="E546" s="85" t="n">
        <f aca="false">SRC_Cap!$K70</f>
        <v>0</v>
      </c>
    </row>
    <row r="547" customFormat="false" ht="15" hidden="false" customHeight="false" outlineLevel="0" collapsed="false">
      <c r="A547" s="85" t="str">
        <f aca="false">SRC_Cap!$A71&amp;""</f>
        <v/>
      </c>
      <c r="B547" s="54" t="s">
        <v>5970</v>
      </c>
      <c r="C547" s="53" t="n">
        <v>71</v>
      </c>
      <c r="D547" s="85" t="n">
        <f aca="false">SRC_Cap!$O71</f>
        <v>0</v>
      </c>
      <c r="E547" s="85" t="n">
        <f aca="false">SRC_Cap!$K71</f>
        <v>0</v>
      </c>
    </row>
    <row r="548" customFormat="false" ht="15" hidden="false" customHeight="false" outlineLevel="0" collapsed="false">
      <c r="A548" s="85" t="str">
        <f aca="false">SRC_Cap!$A72&amp;""</f>
        <v/>
      </c>
      <c r="B548" s="54" t="s">
        <v>5970</v>
      </c>
      <c r="C548" s="53" t="n">
        <v>72</v>
      </c>
      <c r="D548" s="85" t="n">
        <f aca="false">SRC_Cap!$O72</f>
        <v>0</v>
      </c>
      <c r="E548" s="85" t="n">
        <f aca="false">SRC_Cap!$K72</f>
        <v>0</v>
      </c>
    </row>
    <row r="549" customFormat="false" ht="15" hidden="false" customHeight="false" outlineLevel="0" collapsed="false">
      <c r="A549" s="85" t="str">
        <f aca="false">SRC_Cap!$A73&amp;""</f>
        <v/>
      </c>
      <c r="B549" s="54" t="s">
        <v>5970</v>
      </c>
      <c r="C549" s="53" t="n">
        <v>73</v>
      </c>
      <c r="D549" s="85" t="n">
        <f aca="false">SRC_Cap!$O73</f>
        <v>0</v>
      </c>
      <c r="E549" s="85" t="n">
        <f aca="false">SRC_Cap!$K73</f>
        <v>0</v>
      </c>
    </row>
    <row r="550" customFormat="false" ht="15" hidden="false" customHeight="false" outlineLevel="0" collapsed="false">
      <c r="A550" s="85" t="str">
        <f aca="false">SRC_Cap!$A74&amp;""</f>
        <v/>
      </c>
      <c r="B550" s="54" t="s">
        <v>5970</v>
      </c>
      <c r="C550" s="53" t="n">
        <v>74</v>
      </c>
      <c r="D550" s="85" t="n">
        <f aca="false">SRC_Cap!$O74</f>
        <v>0</v>
      </c>
      <c r="E550" s="85" t="n">
        <f aca="false">SRC_Cap!$K74</f>
        <v>0</v>
      </c>
    </row>
    <row r="551" customFormat="false" ht="15" hidden="false" customHeight="false" outlineLevel="0" collapsed="false">
      <c r="A551" s="85" t="str">
        <f aca="false">SRC_Cap!$A75&amp;""</f>
        <v/>
      </c>
      <c r="B551" s="54" t="s">
        <v>5970</v>
      </c>
      <c r="C551" s="53" t="n">
        <v>75</v>
      </c>
      <c r="D551" s="85" t="n">
        <f aca="false">SRC_Cap!$O75</f>
        <v>0</v>
      </c>
      <c r="E551" s="85" t="n">
        <f aca="false">SRC_Cap!$K75</f>
        <v>0</v>
      </c>
    </row>
    <row r="552" customFormat="false" ht="15" hidden="false" customHeight="false" outlineLevel="0" collapsed="false">
      <c r="A552" s="85" t="str">
        <f aca="false">SRC_Harness!$A5&amp;""</f>
        <v>SRC_HAR_001</v>
      </c>
      <c r="B552" s="54" t="s">
        <v>5971</v>
      </c>
      <c r="C552" s="53" t="n">
        <v>5</v>
      </c>
      <c r="D552" s="85" t="str">
        <f aca="false">SRC_Harness!$O5</f>
        <v>Active</v>
      </c>
      <c r="E552" s="85" t="n">
        <f aca="false">SRC_Harness!$K5</f>
        <v>2</v>
      </c>
    </row>
    <row r="553" customFormat="false" ht="15" hidden="false" customHeight="false" outlineLevel="0" collapsed="false">
      <c r="A553" s="85" t="str">
        <f aca="false">SRC_Harness!$A6&amp;""</f>
        <v>SRC_HAR_002</v>
      </c>
      <c r="B553" s="54" t="s">
        <v>5971</v>
      </c>
      <c r="C553" s="53" t="n">
        <v>6</v>
      </c>
      <c r="D553" s="85" t="str">
        <f aca="false">SRC_Harness!$O6</f>
        <v>Active</v>
      </c>
      <c r="E553" s="85" t="n">
        <f aca="false">SRC_Harness!$K6</f>
        <v>2</v>
      </c>
    </row>
    <row r="554" customFormat="false" ht="15" hidden="false" customHeight="false" outlineLevel="0" collapsed="false">
      <c r="A554" s="85" t="str">
        <f aca="false">SRC_Harness!$A7&amp;""</f>
        <v>SRC_HAR_003</v>
      </c>
      <c r="B554" s="54" t="s">
        <v>5971</v>
      </c>
      <c r="C554" s="53" t="n">
        <v>7</v>
      </c>
      <c r="D554" s="85" t="str">
        <f aca="false">SRC_Harness!$O7</f>
        <v>Active</v>
      </c>
      <c r="E554" s="85" t="n">
        <f aca="false">SRC_Harness!$K7</f>
        <v>2</v>
      </c>
    </row>
    <row r="555" customFormat="false" ht="15" hidden="false" customHeight="false" outlineLevel="0" collapsed="false">
      <c r="A555" s="85" t="str">
        <f aca="false">SRC_Harness!$A8&amp;""</f>
        <v>SRC_HAR_004</v>
      </c>
      <c r="B555" s="54" t="s">
        <v>5971</v>
      </c>
      <c r="C555" s="53" t="n">
        <v>8</v>
      </c>
      <c r="D555" s="85" t="str">
        <f aca="false">SRC_Harness!$O8</f>
        <v>Active</v>
      </c>
      <c r="E555" s="85" t="n">
        <f aca="false">SRC_Harness!$K8</f>
        <v>2</v>
      </c>
    </row>
    <row r="556" customFormat="false" ht="15" hidden="false" customHeight="false" outlineLevel="0" collapsed="false">
      <c r="A556" s="85" t="str">
        <f aca="false">SRC_Harness!$A9&amp;""</f>
        <v>SRC_HAR_005</v>
      </c>
      <c r="B556" s="54" t="s">
        <v>5971</v>
      </c>
      <c r="C556" s="53" t="n">
        <v>9</v>
      </c>
      <c r="D556" s="85" t="str">
        <f aca="false">SRC_Harness!$O9</f>
        <v>Active</v>
      </c>
      <c r="E556" s="85" t="n">
        <f aca="false">SRC_Harness!$K9</f>
        <v>2</v>
      </c>
    </row>
    <row r="557" customFormat="false" ht="15" hidden="false" customHeight="false" outlineLevel="0" collapsed="false">
      <c r="A557" s="85" t="str">
        <f aca="false">SRC_Harness!$A10&amp;""</f>
        <v>SRC_HAR_006</v>
      </c>
      <c r="B557" s="54" t="s">
        <v>5971</v>
      </c>
      <c r="C557" s="53" t="n">
        <v>10</v>
      </c>
      <c r="D557" s="85" t="str">
        <f aca="false">SRC_Harness!$O10</f>
        <v>Active</v>
      </c>
      <c r="E557" s="85" t="n">
        <f aca="false">SRC_Harness!$K10</f>
        <v>2</v>
      </c>
    </row>
    <row r="558" customFormat="false" ht="15" hidden="false" customHeight="false" outlineLevel="0" collapsed="false">
      <c r="A558" s="85" t="str">
        <f aca="false">SRC_Harness!$A11&amp;""</f>
        <v>SRC_HAR_007</v>
      </c>
      <c r="B558" s="54" t="s">
        <v>5971</v>
      </c>
      <c r="C558" s="53" t="n">
        <v>11</v>
      </c>
      <c r="D558" s="85" t="str">
        <f aca="false">SRC_Harness!$O11</f>
        <v>Active</v>
      </c>
      <c r="E558" s="85" t="n">
        <f aca="false">SRC_Harness!$K11</f>
        <v>2</v>
      </c>
    </row>
    <row r="559" customFormat="false" ht="15" hidden="false" customHeight="false" outlineLevel="0" collapsed="false">
      <c r="A559" s="85" t="str">
        <f aca="false">SRC_Harness!$A12&amp;""</f>
        <v>SRC_HAR_008</v>
      </c>
      <c r="B559" s="54" t="s">
        <v>5971</v>
      </c>
      <c r="C559" s="53" t="n">
        <v>12</v>
      </c>
      <c r="D559" s="85" t="str">
        <f aca="false">SRC_Harness!$O12</f>
        <v>Active</v>
      </c>
      <c r="E559" s="85" t="n">
        <f aca="false">SRC_Harness!$K12</f>
        <v>2</v>
      </c>
    </row>
    <row r="560" customFormat="false" ht="15" hidden="false" customHeight="false" outlineLevel="0" collapsed="false">
      <c r="A560" s="85" t="str">
        <f aca="false">SRC_Harness!$A13&amp;""</f>
        <v>SRC_HAR_009</v>
      </c>
      <c r="B560" s="54" t="s">
        <v>5971</v>
      </c>
      <c r="C560" s="53" t="n">
        <v>13</v>
      </c>
      <c r="D560" s="85" t="str">
        <f aca="false">SRC_Harness!$O13</f>
        <v>Alt</v>
      </c>
      <c r="E560" s="85" t="n">
        <f aca="false">SRC_Harness!$K13</f>
        <v>2</v>
      </c>
    </row>
    <row r="561" customFormat="false" ht="15" hidden="false" customHeight="false" outlineLevel="0" collapsed="false">
      <c r="A561" s="85" t="str">
        <f aca="false">SRC_Harness!$A14&amp;""</f>
        <v>SRC_HAR_010</v>
      </c>
      <c r="B561" s="54" t="s">
        <v>5971</v>
      </c>
      <c r="C561" s="53" t="n">
        <v>14</v>
      </c>
      <c r="D561" s="85" t="str">
        <f aca="false">SRC_Harness!$O14</f>
        <v>Active</v>
      </c>
      <c r="E561" s="85" t="n">
        <f aca="false">SRC_Harness!$K14</f>
        <v>2</v>
      </c>
    </row>
    <row r="562" customFormat="false" ht="15" hidden="false" customHeight="false" outlineLevel="0" collapsed="false">
      <c r="A562" s="85" t="str">
        <f aca="false">SRC_Harness!$A15&amp;""</f>
        <v>SRC_HAR_011</v>
      </c>
      <c r="B562" s="54" t="s">
        <v>5971</v>
      </c>
      <c r="C562" s="53" t="n">
        <v>15</v>
      </c>
      <c r="D562" s="85" t="str">
        <f aca="false">SRC_Harness!$O15</f>
        <v>Active</v>
      </c>
      <c r="E562" s="85" t="n">
        <f aca="false">SRC_Harness!$K15</f>
        <v>2</v>
      </c>
    </row>
    <row r="563" customFormat="false" ht="15" hidden="false" customHeight="false" outlineLevel="0" collapsed="false">
      <c r="A563" s="85" t="str">
        <f aca="false">SRC_Harness!$A16&amp;""</f>
        <v>SRC_HAR_012</v>
      </c>
      <c r="B563" s="54" t="s">
        <v>5971</v>
      </c>
      <c r="C563" s="53" t="n">
        <v>16</v>
      </c>
      <c r="D563" s="85" t="str">
        <f aca="false">SRC_Harness!$O16</f>
        <v>Active</v>
      </c>
      <c r="E563" s="85" t="n">
        <f aca="false">SRC_Harness!$K16</f>
        <v>2</v>
      </c>
    </row>
    <row r="564" customFormat="false" ht="15" hidden="false" customHeight="false" outlineLevel="0" collapsed="false">
      <c r="A564" s="85" t="str">
        <f aca="false">SRC_Harness!$A17&amp;""</f>
        <v>SRC_HAR_013</v>
      </c>
      <c r="B564" s="54" t="s">
        <v>5971</v>
      </c>
      <c r="C564" s="53" t="n">
        <v>17</v>
      </c>
      <c r="D564" s="85" t="str">
        <f aca="false">SRC_Harness!$O17</f>
        <v>Active</v>
      </c>
      <c r="E564" s="85" t="n">
        <f aca="false">SRC_Harness!$K17</f>
        <v>2</v>
      </c>
    </row>
    <row r="565" customFormat="false" ht="15" hidden="false" customHeight="false" outlineLevel="0" collapsed="false">
      <c r="A565" s="85" t="str">
        <f aca="false">SRC_Harness!$A18&amp;""</f>
        <v>SRC_HAR_014</v>
      </c>
      <c r="B565" s="54" t="s">
        <v>5971</v>
      </c>
      <c r="C565" s="53" t="n">
        <v>18</v>
      </c>
      <c r="D565" s="85" t="str">
        <f aca="false">SRC_Harness!$O18</f>
        <v>Active</v>
      </c>
      <c r="E565" s="85" t="n">
        <f aca="false">SRC_Harness!$K18</f>
        <v>2</v>
      </c>
    </row>
    <row r="566" customFormat="false" ht="15" hidden="false" customHeight="false" outlineLevel="0" collapsed="false">
      <c r="A566" s="85" t="str">
        <f aca="false">SRC_Harness!$A19&amp;""</f>
        <v>SRC_HAR_015</v>
      </c>
      <c r="B566" s="54" t="s">
        <v>5971</v>
      </c>
      <c r="C566" s="53" t="n">
        <v>19</v>
      </c>
      <c r="D566" s="85" t="str">
        <f aca="false">SRC_Harness!$O19</f>
        <v>Active</v>
      </c>
      <c r="E566" s="85" t="n">
        <f aca="false">SRC_Harness!$K19</f>
        <v>2</v>
      </c>
    </row>
    <row r="567" customFormat="false" ht="15" hidden="false" customHeight="false" outlineLevel="0" collapsed="false">
      <c r="A567" s="85" t="str">
        <f aca="false">SRC_Harness!$A20&amp;""</f>
        <v/>
      </c>
      <c r="B567" s="54" t="s">
        <v>5971</v>
      </c>
      <c r="C567" s="53" t="n">
        <v>20</v>
      </c>
      <c r="D567" s="85" t="n">
        <f aca="false">SRC_Harness!$O20</f>
        <v>0</v>
      </c>
      <c r="E567" s="85" t="n">
        <f aca="false">SRC_Harness!$K20</f>
        <v>0</v>
      </c>
    </row>
    <row r="568" customFormat="false" ht="15" hidden="false" customHeight="false" outlineLevel="0" collapsed="false">
      <c r="A568" s="85" t="str">
        <f aca="false">SRC_Harness!$A21&amp;""</f>
        <v/>
      </c>
      <c r="B568" s="54" t="s">
        <v>5971</v>
      </c>
      <c r="C568" s="53" t="n">
        <v>21</v>
      </c>
      <c r="D568" s="85" t="n">
        <f aca="false">SRC_Harness!$O21</f>
        <v>0</v>
      </c>
      <c r="E568" s="85" t="n">
        <f aca="false">SRC_Harness!$K21</f>
        <v>0</v>
      </c>
    </row>
    <row r="569" customFormat="false" ht="15" hidden="false" customHeight="false" outlineLevel="0" collapsed="false">
      <c r="A569" s="85" t="str">
        <f aca="false">SRC_Harness!$A22&amp;""</f>
        <v/>
      </c>
      <c r="B569" s="54" t="s">
        <v>5971</v>
      </c>
      <c r="C569" s="53" t="n">
        <v>22</v>
      </c>
      <c r="D569" s="85" t="n">
        <f aca="false">SRC_Harness!$O22</f>
        <v>0</v>
      </c>
      <c r="E569" s="85" t="n">
        <f aca="false">SRC_Harness!$K22</f>
        <v>0</v>
      </c>
    </row>
    <row r="570" customFormat="false" ht="15" hidden="false" customHeight="false" outlineLevel="0" collapsed="false">
      <c r="A570" s="85" t="str">
        <f aca="false">SRC_Harness!$A23&amp;""</f>
        <v/>
      </c>
      <c r="B570" s="54" t="s">
        <v>5971</v>
      </c>
      <c r="C570" s="53" t="n">
        <v>23</v>
      </c>
      <c r="D570" s="85" t="n">
        <f aca="false">SRC_Harness!$O23</f>
        <v>0</v>
      </c>
      <c r="E570" s="85" t="n">
        <f aca="false">SRC_Harness!$K23</f>
        <v>0</v>
      </c>
    </row>
    <row r="571" customFormat="false" ht="15" hidden="false" customHeight="false" outlineLevel="0" collapsed="false">
      <c r="A571" s="85" t="str">
        <f aca="false">SRC_Harness!$A24&amp;""</f>
        <v/>
      </c>
      <c r="B571" s="54" t="s">
        <v>5971</v>
      </c>
      <c r="C571" s="53" t="n">
        <v>24</v>
      </c>
      <c r="D571" s="85" t="n">
        <f aca="false">SRC_Harness!$O24</f>
        <v>0</v>
      </c>
      <c r="E571" s="85" t="n">
        <f aca="false">SRC_Harness!$K24</f>
        <v>0</v>
      </c>
    </row>
    <row r="572" customFormat="false" ht="15" hidden="false" customHeight="false" outlineLevel="0" collapsed="false">
      <c r="A572" s="85" t="str">
        <f aca="false">SRC_Harness!$A25&amp;""</f>
        <v/>
      </c>
      <c r="B572" s="54" t="s">
        <v>5971</v>
      </c>
      <c r="C572" s="53" t="n">
        <v>25</v>
      </c>
      <c r="D572" s="85" t="n">
        <f aca="false">SRC_Harness!$O25</f>
        <v>0</v>
      </c>
      <c r="E572" s="85" t="n">
        <f aca="false">SRC_Harness!$K25</f>
        <v>0</v>
      </c>
    </row>
    <row r="573" customFormat="false" ht="15" hidden="false" customHeight="false" outlineLevel="0" collapsed="false">
      <c r="A573" s="85" t="str">
        <f aca="false">SRC_Harness!$A26&amp;""</f>
        <v/>
      </c>
      <c r="B573" s="54" t="s">
        <v>5971</v>
      </c>
      <c r="C573" s="53" t="n">
        <v>26</v>
      </c>
      <c r="D573" s="85" t="n">
        <f aca="false">SRC_Harness!$O26</f>
        <v>0</v>
      </c>
      <c r="E573" s="85" t="n">
        <f aca="false">SRC_Harness!$K26</f>
        <v>0</v>
      </c>
    </row>
    <row r="574" customFormat="false" ht="15" hidden="false" customHeight="false" outlineLevel="0" collapsed="false">
      <c r="A574" s="85" t="str">
        <f aca="false">SRC_Harness!$A27&amp;""</f>
        <v/>
      </c>
      <c r="B574" s="54" t="s">
        <v>5971</v>
      </c>
      <c r="C574" s="53" t="n">
        <v>27</v>
      </c>
      <c r="D574" s="85" t="n">
        <f aca="false">SRC_Harness!$O27</f>
        <v>0</v>
      </c>
      <c r="E574" s="85" t="n">
        <f aca="false">SRC_Harness!$K27</f>
        <v>0</v>
      </c>
    </row>
    <row r="575" customFormat="false" ht="15" hidden="false" customHeight="false" outlineLevel="0" collapsed="false">
      <c r="A575" s="85" t="str">
        <f aca="false">SRC_Harness!$A28&amp;""</f>
        <v/>
      </c>
      <c r="B575" s="54" t="s">
        <v>5971</v>
      </c>
      <c r="C575" s="53" t="n">
        <v>28</v>
      </c>
      <c r="D575" s="85" t="n">
        <f aca="false">SRC_Harness!$O28</f>
        <v>0</v>
      </c>
      <c r="E575" s="85" t="n">
        <f aca="false">SRC_Harness!$K28</f>
        <v>0</v>
      </c>
    </row>
    <row r="576" customFormat="false" ht="15" hidden="false" customHeight="false" outlineLevel="0" collapsed="false">
      <c r="A576" s="85" t="str">
        <f aca="false">SRC_Harness!$A29&amp;""</f>
        <v/>
      </c>
      <c r="B576" s="54" t="s">
        <v>5971</v>
      </c>
      <c r="C576" s="53" t="n">
        <v>29</v>
      </c>
      <c r="D576" s="85" t="n">
        <f aca="false">SRC_Harness!$O29</f>
        <v>0</v>
      </c>
      <c r="E576" s="85" t="n">
        <f aca="false">SRC_Harness!$K29</f>
        <v>0</v>
      </c>
    </row>
    <row r="577" customFormat="false" ht="15" hidden="false" customHeight="false" outlineLevel="0" collapsed="false">
      <c r="A577" s="85" t="str">
        <f aca="false">SRC_Harness!$A30&amp;""</f>
        <v/>
      </c>
      <c r="B577" s="54" t="s">
        <v>5971</v>
      </c>
      <c r="C577" s="53" t="n">
        <v>30</v>
      </c>
      <c r="D577" s="85" t="n">
        <f aca="false">SRC_Harness!$O30</f>
        <v>0</v>
      </c>
      <c r="E577" s="85" t="n">
        <f aca="false">SRC_Harness!$K30</f>
        <v>0</v>
      </c>
    </row>
    <row r="578" customFormat="false" ht="15" hidden="false" customHeight="false" outlineLevel="0" collapsed="false">
      <c r="A578" s="85" t="str">
        <f aca="false">SRC_Harness!$A31&amp;""</f>
        <v/>
      </c>
      <c r="B578" s="54" t="s">
        <v>5971</v>
      </c>
      <c r="C578" s="53" t="n">
        <v>31</v>
      </c>
      <c r="D578" s="85" t="n">
        <f aca="false">SRC_Harness!$O31</f>
        <v>0</v>
      </c>
      <c r="E578" s="85" t="n">
        <f aca="false">SRC_Harness!$K31</f>
        <v>0</v>
      </c>
    </row>
    <row r="579" customFormat="false" ht="15" hidden="false" customHeight="false" outlineLevel="0" collapsed="false">
      <c r="A579" s="85" t="str">
        <f aca="false">SRC_Harness!$A32&amp;""</f>
        <v/>
      </c>
      <c r="B579" s="54" t="s">
        <v>5971</v>
      </c>
      <c r="C579" s="53" t="n">
        <v>32</v>
      </c>
      <c r="D579" s="85" t="n">
        <f aca="false">SRC_Harness!$O32</f>
        <v>0</v>
      </c>
      <c r="E579" s="85" t="n">
        <f aca="false">SRC_Harness!$K32</f>
        <v>0</v>
      </c>
    </row>
    <row r="580" customFormat="false" ht="15" hidden="false" customHeight="false" outlineLevel="0" collapsed="false">
      <c r="A580" s="85" t="str">
        <f aca="false">SRC_Harness!$A33&amp;""</f>
        <v/>
      </c>
      <c r="B580" s="54" t="s">
        <v>5971</v>
      </c>
      <c r="C580" s="53" t="n">
        <v>33</v>
      </c>
      <c r="D580" s="85" t="n">
        <f aca="false">SRC_Harness!$O33</f>
        <v>0</v>
      </c>
      <c r="E580" s="85" t="n">
        <f aca="false">SRC_Harness!$K33</f>
        <v>0</v>
      </c>
    </row>
    <row r="581" customFormat="false" ht="15" hidden="false" customHeight="false" outlineLevel="0" collapsed="false">
      <c r="A581" s="85" t="str">
        <f aca="false">SRC_Harness!$A34&amp;""</f>
        <v/>
      </c>
      <c r="B581" s="54" t="s">
        <v>5971</v>
      </c>
      <c r="C581" s="53" t="n">
        <v>34</v>
      </c>
      <c r="D581" s="85" t="n">
        <f aca="false">SRC_Harness!$O34</f>
        <v>0</v>
      </c>
      <c r="E581" s="85" t="n">
        <f aca="false">SRC_Harness!$K34</f>
        <v>0</v>
      </c>
    </row>
    <row r="582" customFormat="false" ht="15" hidden="false" customHeight="false" outlineLevel="0" collapsed="false">
      <c r="A582" s="85" t="str">
        <f aca="false">SRC_Harness!$A35&amp;""</f>
        <v/>
      </c>
      <c r="B582" s="54" t="s">
        <v>5971</v>
      </c>
      <c r="C582" s="53" t="n">
        <v>35</v>
      </c>
      <c r="D582" s="85" t="n">
        <f aca="false">SRC_Harness!$O35</f>
        <v>0</v>
      </c>
      <c r="E582" s="85" t="n">
        <f aca="false">SRC_Harness!$K35</f>
        <v>0</v>
      </c>
    </row>
    <row r="583" customFormat="false" ht="15" hidden="false" customHeight="false" outlineLevel="0" collapsed="false">
      <c r="A583" s="85" t="str">
        <f aca="false">SRC_Harness!$A36&amp;""</f>
        <v/>
      </c>
      <c r="B583" s="54" t="s">
        <v>5971</v>
      </c>
      <c r="C583" s="53" t="n">
        <v>36</v>
      </c>
      <c r="D583" s="85" t="n">
        <f aca="false">SRC_Harness!$O36</f>
        <v>0</v>
      </c>
      <c r="E583" s="85" t="n">
        <f aca="false">SRC_Harness!$K36</f>
        <v>0</v>
      </c>
    </row>
    <row r="584" customFormat="false" ht="15" hidden="false" customHeight="false" outlineLevel="0" collapsed="false">
      <c r="A584" s="85" t="str">
        <f aca="false">SRC_Harness!$A37&amp;""</f>
        <v/>
      </c>
      <c r="B584" s="54" t="s">
        <v>5971</v>
      </c>
      <c r="C584" s="53" t="n">
        <v>37</v>
      </c>
      <c r="D584" s="85" t="n">
        <f aca="false">SRC_Harness!$O37</f>
        <v>0</v>
      </c>
      <c r="E584" s="85" t="n">
        <f aca="false">SRC_Harness!$K37</f>
        <v>0</v>
      </c>
    </row>
    <row r="585" customFormat="false" ht="15" hidden="false" customHeight="false" outlineLevel="0" collapsed="false">
      <c r="A585" s="85" t="str">
        <f aca="false">SRC_Harness!$A38&amp;""</f>
        <v/>
      </c>
      <c r="B585" s="54" t="s">
        <v>5971</v>
      </c>
      <c r="C585" s="53" t="n">
        <v>38</v>
      </c>
      <c r="D585" s="85" t="n">
        <f aca="false">SRC_Harness!$O38</f>
        <v>0</v>
      </c>
      <c r="E585" s="85" t="n">
        <f aca="false">SRC_Harness!$K38</f>
        <v>0</v>
      </c>
    </row>
    <row r="586" customFormat="false" ht="15" hidden="false" customHeight="false" outlineLevel="0" collapsed="false">
      <c r="A586" s="85" t="str">
        <f aca="false">SRC_Harness!$A39&amp;""</f>
        <v/>
      </c>
      <c r="B586" s="54" t="s">
        <v>5971</v>
      </c>
      <c r="C586" s="53" t="n">
        <v>39</v>
      </c>
      <c r="D586" s="85" t="n">
        <f aca="false">SRC_Harness!$O39</f>
        <v>0</v>
      </c>
      <c r="E586" s="85" t="n">
        <f aca="false">SRC_Harness!$K39</f>
        <v>0</v>
      </c>
    </row>
    <row r="587" customFormat="false" ht="15" hidden="false" customHeight="false" outlineLevel="0" collapsed="false">
      <c r="A587" s="85" t="str">
        <f aca="false">SRC_Harness!$A40&amp;""</f>
        <v/>
      </c>
      <c r="B587" s="54" t="s">
        <v>5971</v>
      </c>
      <c r="C587" s="53" t="n">
        <v>40</v>
      </c>
      <c r="D587" s="85" t="n">
        <f aca="false">SRC_Harness!$O40</f>
        <v>0</v>
      </c>
      <c r="E587" s="85" t="n">
        <f aca="false">SRC_Harness!$K40</f>
        <v>0</v>
      </c>
    </row>
    <row r="588" customFormat="false" ht="15" hidden="false" customHeight="false" outlineLevel="0" collapsed="false">
      <c r="A588" s="85" t="str">
        <f aca="false">SRC_Harness!$A41&amp;""</f>
        <v/>
      </c>
      <c r="B588" s="54" t="s">
        <v>5971</v>
      </c>
      <c r="C588" s="53" t="n">
        <v>41</v>
      </c>
      <c r="D588" s="85" t="n">
        <f aca="false">SRC_Harness!$O41</f>
        <v>0</v>
      </c>
      <c r="E588" s="85" t="n">
        <f aca="false">SRC_Harness!$K41</f>
        <v>0</v>
      </c>
    </row>
    <row r="589" customFormat="false" ht="15" hidden="false" customHeight="false" outlineLevel="0" collapsed="false">
      <c r="A589" s="85" t="str">
        <f aca="false">SRC_Harness!$A42&amp;""</f>
        <v/>
      </c>
      <c r="B589" s="54" t="s">
        <v>5971</v>
      </c>
      <c r="C589" s="53" t="n">
        <v>42</v>
      </c>
      <c r="D589" s="85" t="n">
        <f aca="false">SRC_Harness!$O42</f>
        <v>0</v>
      </c>
      <c r="E589" s="85" t="n">
        <f aca="false">SRC_Harness!$K42</f>
        <v>0</v>
      </c>
    </row>
    <row r="590" customFormat="false" ht="15" hidden="false" customHeight="false" outlineLevel="0" collapsed="false">
      <c r="A590" s="85" t="str">
        <f aca="false">SRC_Harness!$A43&amp;""</f>
        <v/>
      </c>
      <c r="B590" s="54" t="s">
        <v>5971</v>
      </c>
      <c r="C590" s="53" t="n">
        <v>43</v>
      </c>
      <c r="D590" s="85" t="n">
        <f aca="false">SRC_Harness!$O43</f>
        <v>0</v>
      </c>
      <c r="E590" s="85" t="n">
        <f aca="false">SRC_Harness!$K43</f>
        <v>0</v>
      </c>
    </row>
    <row r="591" customFormat="false" ht="15" hidden="false" customHeight="false" outlineLevel="0" collapsed="false">
      <c r="A591" s="85" t="str">
        <f aca="false">SRC_Harness!$A44&amp;""</f>
        <v/>
      </c>
      <c r="B591" s="54" t="s">
        <v>5971</v>
      </c>
      <c r="C591" s="53" t="n">
        <v>44</v>
      </c>
      <c r="D591" s="85" t="n">
        <f aca="false">SRC_Harness!$O44</f>
        <v>0</v>
      </c>
      <c r="E591" s="85" t="n">
        <f aca="false">SRC_Harness!$K44</f>
        <v>0</v>
      </c>
    </row>
    <row r="592" customFormat="false" ht="15" hidden="false" customHeight="false" outlineLevel="0" collapsed="false">
      <c r="A592" s="85" t="str">
        <f aca="false">SRC_Harness!$A45&amp;""</f>
        <v/>
      </c>
      <c r="B592" s="54" t="s">
        <v>5971</v>
      </c>
      <c r="C592" s="53" t="n">
        <v>45</v>
      </c>
      <c r="D592" s="85" t="n">
        <f aca="false">SRC_Harness!$O45</f>
        <v>0</v>
      </c>
      <c r="E592" s="85" t="n">
        <f aca="false">SRC_Harness!$K45</f>
        <v>0</v>
      </c>
    </row>
    <row r="593" customFormat="false" ht="15" hidden="false" customHeight="false" outlineLevel="0" collapsed="false">
      <c r="A593" s="85" t="str">
        <f aca="false">SRC_Harness!$A46&amp;""</f>
        <v/>
      </c>
      <c r="B593" s="54" t="s">
        <v>5971</v>
      </c>
      <c r="C593" s="53" t="n">
        <v>46</v>
      </c>
      <c r="D593" s="85" t="n">
        <f aca="false">SRC_Harness!$O46</f>
        <v>0</v>
      </c>
      <c r="E593" s="85" t="n">
        <f aca="false">SRC_Harness!$K46</f>
        <v>0</v>
      </c>
    </row>
    <row r="594" customFormat="false" ht="15" hidden="false" customHeight="false" outlineLevel="0" collapsed="false">
      <c r="A594" s="85" t="str">
        <f aca="false">SRC_Harness!$A47&amp;""</f>
        <v/>
      </c>
      <c r="B594" s="54" t="s">
        <v>5971</v>
      </c>
      <c r="C594" s="53" t="n">
        <v>47</v>
      </c>
      <c r="D594" s="85" t="n">
        <f aca="false">SRC_Harness!$O47</f>
        <v>0</v>
      </c>
      <c r="E594" s="85" t="n">
        <f aca="false">SRC_Harness!$K47</f>
        <v>0</v>
      </c>
    </row>
    <row r="595" customFormat="false" ht="15" hidden="false" customHeight="false" outlineLevel="0" collapsed="false">
      <c r="A595" s="85" t="str">
        <f aca="false">SRC_Harness!$A48&amp;""</f>
        <v/>
      </c>
      <c r="B595" s="54" t="s">
        <v>5971</v>
      </c>
      <c r="C595" s="53" t="n">
        <v>48</v>
      </c>
      <c r="D595" s="85" t="n">
        <f aca="false">SRC_Harness!$O48</f>
        <v>0</v>
      </c>
      <c r="E595" s="85" t="n">
        <f aca="false">SRC_Harness!$K48</f>
        <v>0</v>
      </c>
    </row>
    <row r="596" customFormat="false" ht="15" hidden="false" customHeight="false" outlineLevel="0" collapsed="false">
      <c r="A596" s="85" t="str">
        <f aca="false">SRC_Harness!$A49&amp;""</f>
        <v/>
      </c>
      <c r="B596" s="54" t="s">
        <v>5971</v>
      </c>
      <c r="C596" s="53" t="n">
        <v>49</v>
      </c>
      <c r="D596" s="85" t="n">
        <f aca="false">SRC_Harness!$O49</f>
        <v>0</v>
      </c>
      <c r="E596" s="85" t="n">
        <f aca="false">SRC_Harness!$K49</f>
        <v>0</v>
      </c>
    </row>
    <row r="597" customFormat="false" ht="15" hidden="false" customHeight="false" outlineLevel="0" collapsed="false">
      <c r="A597" s="85" t="str">
        <f aca="false">SRC_Harness!$A50&amp;""</f>
        <v/>
      </c>
      <c r="B597" s="54" t="s">
        <v>5971</v>
      </c>
      <c r="C597" s="53" t="n">
        <v>50</v>
      </c>
      <c r="D597" s="85" t="n">
        <f aca="false">SRC_Harness!$O50</f>
        <v>0</v>
      </c>
      <c r="E597" s="85" t="n">
        <f aca="false">SRC_Harness!$K50</f>
        <v>0</v>
      </c>
    </row>
    <row r="598" customFormat="false" ht="15" hidden="false" customHeight="false" outlineLevel="0" collapsed="false">
      <c r="A598" s="85" t="str">
        <f aca="false">SRC_Harness!$A51&amp;""</f>
        <v/>
      </c>
      <c r="B598" s="54" t="s">
        <v>5971</v>
      </c>
      <c r="C598" s="53" t="n">
        <v>51</v>
      </c>
      <c r="D598" s="85" t="n">
        <f aca="false">SRC_Harness!$O51</f>
        <v>0</v>
      </c>
      <c r="E598" s="85" t="n">
        <f aca="false">SRC_Harness!$K51</f>
        <v>0</v>
      </c>
    </row>
    <row r="599" customFormat="false" ht="15" hidden="false" customHeight="false" outlineLevel="0" collapsed="false">
      <c r="A599" s="85" t="str">
        <f aca="false">SRC_Harness!$A52&amp;""</f>
        <v/>
      </c>
      <c r="B599" s="54" t="s">
        <v>5971</v>
      </c>
      <c r="C599" s="53" t="n">
        <v>52</v>
      </c>
      <c r="D599" s="85" t="n">
        <f aca="false">SRC_Harness!$O52</f>
        <v>0</v>
      </c>
      <c r="E599" s="85" t="n">
        <f aca="false">SRC_Harness!$K52</f>
        <v>0</v>
      </c>
    </row>
    <row r="600" customFormat="false" ht="15" hidden="false" customHeight="false" outlineLevel="0" collapsed="false">
      <c r="A600" s="85" t="str">
        <f aca="false">SRC_Harness!$A53&amp;""</f>
        <v/>
      </c>
      <c r="B600" s="54" t="s">
        <v>5971</v>
      </c>
      <c r="C600" s="53" t="n">
        <v>53</v>
      </c>
      <c r="D600" s="85" t="n">
        <f aca="false">SRC_Harness!$O53</f>
        <v>0</v>
      </c>
      <c r="E600" s="85" t="n">
        <f aca="false">SRC_Harness!$K53</f>
        <v>0</v>
      </c>
    </row>
    <row r="601" customFormat="false" ht="15" hidden="false" customHeight="false" outlineLevel="0" collapsed="false">
      <c r="A601" s="85" t="str">
        <f aca="false">SRC_Harness!$A54&amp;""</f>
        <v/>
      </c>
      <c r="B601" s="54" t="s">
        <v>5971</v>
      </c>
      <c r="C601" s="53" t="n">
        <v>54</v>
      </c>
      <c r="D601" s="85" t="n">
        <f aca="false">SRC_Harness!$O54</f>
        <v>0</v>
      </c>
      <c r="E601" s="85" t="n">
        <f aca="false">SRC_Harness!$K54</f>
        <v>0</v>
      </c>
    </row>
    <row r="602" customFormat="false" ht="15" hidden="false" customHeight="false" outlineLevel="0" collapsed="false">
      <c r="A602" s="85" t="str">
        <f aca="false">SRC_Harness!$A55&amp;""</f>
        <v/>
      </c>
      <c r="B602" s="54" t="s">
        <v>5971</v>
      </c>
      <c r="C602" s="53" t="n">
        <v>55</v>
      </c>
      <c r="D602" s="85" t="n">
        <f aca="false">SRC_Harness!$O55</f>
        <v>0</v>
      </c>
      <c r="E602" s="85" t="n">
        <f aca="false">SRC_Harness!$K55</f>
        <v>0</v>
      </c>
    </row>
    <row r="603" customFormat="false" ht="15" hidden="false" customHeight="false" outlineLevel="0" collapsed="false">
      <c r="A603" s="85" t="str">
        <f aca="false">SRC_Harness!$A56&amp;""</f>
        <v/>
      </c>
      <c r="B603" s="54" t="s">
        <v>5971</v>
      </c>
      <c r="C603" s="53" t="n">
        <v>56</v>
      </c>
      <c r="D603" s="85" t="n">
        <f aca="false">SRC_Harness!$O56</f>
        <v>0</v>
      </c>
      <c r="E603" s="85" t="n">
        <f aca="false">SRC_Harness!$K56</f>
        <v>0</v>
      </c>
    </row>
    <row r="604" customFormat="false" ht="15" hidden="false" customHeight="false" outlineLevel="0" collapsed="false">
      <c r="A604" s="85" t="str">
        <f aca="false">SRC_Harness!$A57&amp;""</f>
        <v/>
      </c>
      <c r="B604" s="54" t="s">
        <v>5971</v>
      </c>
      <c r="C604" s="53" t="n">
        <v>57</v>
      </c>
      <c r="D604" s="85" t="n">
        <f aca="false">SRC_Harness!$O57</f>
        <v>0</v>
      </c>
      <c r="E604" s="85" t="n">
        <f aca="false">SRC_Harness!$K57</f>
        <v>0</v>
      </c>
    </row>
    <row r="605" customFormat="false" ht="15" hidden="false" customHeight="false" outlineLevel="0" collapsed="false">
      <c r="A605" s="85" t="str">
        <f aca="false">SRC_Harness!$A58&amp;""</f>
        <v/>
      </c>
      <c r="B605" s="54" t="s">
        <v>5971</v>
      </c>
      <c r="C605" s="53" t="n">
        <v>58</v>
      </c>
      <c r="D605" s="85" t="n">
        <f aca="false">SRC_Harness!$O58</f>
        <v>0</v>
      </c>
      <c r="E605" s="85" t="n">
        <f aca="false">SRC_Harness!$K58</f>
        <v>0</v>
      </c>
    </row>
    <row r="606" customFormat="false" ht="15" hidden="false" customHeight="false" outlineLevel="0" collapsed="false">
      <c r="A606" s="85" t="str">
        <f aca="false">SRC_Harness!$A59&amp;""</f>
        <v/>
      </c>
      <c r="B606" s="54" t="s">
        <v>5971</v>
      </c>
      <c r="C606" s="53" t="n">
        <v>59</v>
      </c>
      <c r="D606" s="85" t="n">
        <f aca="false">SRC_Harness!$O59</f>
        <v>0</v>
      </c>
      <c r="E606" s="85" t="n">
        <f aca="false">SRC_Harness!$K59</f>
        <v>0</v>
      </c>
    </row>
    <row r="607" customFormat="false" ht="15" hidden="false" customHeight="false" outlineLevel="0" collapsed="false">
      <c r="A607" s="85" t="str">
        <f aca="false">SRC_Harness!$A60&amp;""</f>
        <v/>
      </c>
      <c r="B607" s="54" t="s">
        <v>5971</v>
      </c>
      <c r="C607" s="53" t="n">
        <v>60</v>
      </c>
      <c r="D607" s="85" t="n">
        <f aca="false">SRC_Harness!$O60</f>
        <v>0</v>
      </c>
      <c r="E607" s="85" t="n">
        <f aca="false">SRC_Harness!$K60</f>
        <v>0</v>
      </c>
    </row>
    <row r="608" customFormat="false" ht="15" hidden="false" customHeight="false" outlineLevel="0" collapsed="false">
      <c r="A608" s="85" t="str">
        <f aca="false">SRC_Harness!$A61&amp;""</f>
        <v/>
      </c>
      <c r="B608" s="54" t="s">
        <v>5971</v>
      </c>
      <c r="C608" s="53" t="n">
        <v>61</v>
      </c>
      <c r="D608" s="85" t="n">
        <f aca="false">SRC_Harness!$O61</f>
        <v>0</v>
      </c>
      <c r="E608" s="85" t="n">
        <f aca="false">SRC_Harness!$K61</f>
        <v>0</v>
      </c>
    </row>
    <row r="609" customFormat="false" ht="15" hidden="false" customHeight="false" outlineLevel="0" collapsed="false">
      <c r="A609" s="85" t="str">
        <f aca="false">SRC_Harness!$A62&amp;""</f>
        <v/>
      </c>
      <c r="B609" s="54" t="s">
        <v>5971</v>
      </c>
      <c r="C609" s="53" t="n">
        <v>62</v>
      </c>
      <c r="D609" s="85" t="n">
        <f aca="false">SRC_Harness!$O62</f>
        <v>0</v>
      </c>
      <c r="E609" s="85" t="n">
        <f aca="false">SRC_Harness!$K62</f>
        <v>0</v>
      </c>
    </row>
    <row r="610" customFormat="false" ht="15" hidden="false" customHeight="false" outlineLevel="0" collapsed="false">
      <c r="A610" s="85" t="str">
        <f aca="false">SRC_Harness!$A63&amp;""</f>
        <v/>
      </c>
      <c r="B610" s="54" t="s">
        <v>5971</v>
      </c>
      <c r="C610" s="53" t="n">
        <v>63</v>
      </c>
      <c r="D610" s="85" t="n">
        <f aca="false">SRC_Harness!$O63</f>
        <v>0</v>
      </c>
      <c r="E610" s="85" t="n">
        <f aca="false">SRC_Harness!$K63</f>
        <v>0</v>
      </c>
    </row>
    <row r="611" customFormat="false" ht="15" hidden="false" customHeight="false" outlineLevel="0" collapsed="false">
      <c r="A611" s="85" t="str">
        <f aca="false">SRC_Harness!$A64&amp;""</f>
        <v/>
      </c>
      <c r="B611" s="54" t="s">
        <v>5971</v>
      </c>
      <c r="C611" s="53" t="n">
        <v>64</v>
      </c>
      <c r="D611" s="85" t="n">
        <f aca="false">SRC_Harness!$O64</f>
        <v>0</v>
      </c>
      <c r="E611" s="85" t="n">
        <f aca="false">SRC_Harness!$K64</f>
        <v>0</v>
      </c>
    </row>
    <row r="612" customFormat="false" ht="15" hidden="false" customHeight="false" outlineLevel="0" collapsed="false">
      <c r="A612" s="85" t="str">
        <f aca="false">SRC_Harness!$A65&amp;""</f>
        <v/>
      </c>
      <c r="B612" s="54" t="s">
        <v>5971</v>
      </c>
      <c r="C612" s="53" t="n">
        <v>65</v>
      </c>
      <c r="D612" s="85" t="n">
        <f aca="false">SRC_Harness!$O65</f>
        <v>0</v>
      </c>
      <c r="E612" s="85" t="n">
        <f aca="false">SRC_Harness!$K65</f>
        <v>0</v>
      </c>
    </row>
    <row r="613" customFormat="false" ht="15" hidden="false" customHeight="false" outlineLevel="0" collapsed="false">
      <c r="A613" s="85" t="str">
        <f aca="false">SRC_Harness!$A66&amp;""</f>
        <v/>
      </c>
      <c r="B613" s="54" t="s">
        <v>5971</v>
      </c>
      <c r="C613" s="53" t="n">
        <v>66</v>
      </c>
      <c r="D613" s="85" t="n">
        <f aca="false">SRC_Harness!$O66</f>
        <v>0</v>
      </c>
      <c r="E613" s="85" t="n">
        <f aca="false">SRC_Harness!$K66</f>
        <v>0</v>
      </c>
    </row>
    <row r="614" customFormat="false" ht="15" hidden="false" customHeight="false" outlineLevel="0" collapsed="false">
      <c r="A614" s="85" t="str">
        <f aca="false">SRC_Harness!$A67&amp;""</f>
        <v/>
      </c>
      <c r="B614" s="54" t="s">
        <v>5971</v>
      </c>
      <c r="C614" s="53" t="n">
        <v>67</v>
      </c>
      <c r="D614" s="85" t="n">
        <f aca="false">SRC_Harness!$O67</f>
        <v>0</v>
      </c>
      <c r="E614" s="85" t="n">
        <f aca="false">SRC_Harness!$K67</f>
        <v>0</v>
      </c>
    </row>
    <row r="615" customFormat="false" ht="15" hidden="false" customHeight="false" outlineLevel="0" collapsed="false">
      <c r="A615" s="85" t="str">
        <f aca="false">SRC_Harness!$A68&amp;""</f>
        <v/>
      </c>
      <c r="B615" s="54" t="s">
        <v>5971</v>
      </c>
      <c r="C615" s="53" t="n">
        <v>68</v>
      </c>
      <c r="D615" s="85" t="n">
        <f aca="false">SRC_Harness!$O68</f>
        <v>0</v>
      </c>
      <c r="E615" s="85" t="n">
        <f aca="false">SRC_Harness!$K68</f>
        <v>0</v>
      </c>
    </row>
    <row r="616" customFormat="false" ht="15" hidden="false" customHeight="false" outlineLevel="0" collapsed="false">
      <c r="A616" s="85" t="str">
        <f aca="false">SRC_Harness!$A69&amp;""</f>
        <v/>
      </c>
      <c r="B616" s="54" t="s">
        <v>5971</v>
      </c>
      <c r="C616" s="53" t="n">
        <v>69</v>
      </c>
      <c r="D616" s="85" t="n">
        <f aca="false">SRC_Harness!$O69</f>
        <v>0</v>
      </c>
      <c r="E616" s="85" t="n">
        <f aca="false">SRC_Harness!$K69</f>
        <v>0</v>
      </c>
    </row>
    <row r="617" customFormat="false" ht="15" hidden="false" customHeight="false" outlineLevel="0" collapsed="false">
      <c r="A617" s="85" t="str">
        <f aca="false">SRC_Demand!$A5&amp;""</f>
        <v>SRC_DEM_001</v>
      </c>
      <c r="B617" s="54" t="s">
        <v>5972</v>
      </c>
      <c r="C617" s="53" t="n">
        <v>5</v>
      </c>
      <c r="D617" s="85" t="str">
        <f aca="false">SRC_Demand!$O5</f>
        <v>Active</v>
      </c>
      <c r="E617" s="85" t="n">
        <f aca="false">SRC_Demand!$K5</f>
        <v>1</v>
      </c>
    </row>
    <row r="618" customFormat="false" ht="15" hidden="false" customHeight="false" outlineLevel="0" collapsed="false">
      <c r="A618" s="85" t="str">
        <f aca="false">SRC_Demand!$A6&amp;""</f>
        <v>SRC_DEM_002</v>
      </c>
      <c r="B618" s="54" t="s">
        <v>5972</v>
      </c>
      <c r="C618" s="53" t="n">
        <v>6</v>
      </c>
      <c r="D618" s="85" t="str">
        <f aca="false">SRC_Demand!$O6</f>
        <v>Active</v>
      </c>
      <c r="E618" s="85" t="n">
        <f aca="false">SRC_Demand!$K6</f>
        <v>1</v>
      </c>
    </row>
    <row r="619" customFormat="false" ht="15" hidden="false" customHeight="false" outlineLevel="0" collapsed="false">
      <c r="A619" s="85" t="str">
        <f aca="false">SRC_Demand!$A7&amp;""</f>
        <v>SRC_DEM_003</v>
      </c>
      <c r="B619" s="54" t="s">
        <v>5972</v>
      </c>
      <c r="C619" s="53" t="n">
        <v>7</v>
      </c>
      <c r="D619" s="85" t="str">
        <f aca="false">SRC_Demand!$O7</f>
        <v>Active</v>
      </c>
      <c r="E619" s="85" t="n">
        <f aca="false">SRC_Demand!$K7</f>
        <v>1</v>
      </c>
    </row>
    <row r="620" customFormat="false" ht="15" hidden="false" customHeight="false" outlineLevel="0" collapsed="false">
      <c r="A620" s="85" t="str">
        <f aca="false">SRC_Demand!$A8&amp;""</f>
        <v>SRC_DEM_004</v>
      </c>
      <c r="B620" s="54" t="s">
        <v>5972</v>
      </c>
      <c r="C620" s="53" t="n">
        <v>8</v>
      </c>
      <c r="D620" s="85" t="str">
        <f aca="false">SRC_Demand!$O8</f>
        <v>Active</v>
      </c>
      <c r="E620" s="85" t="n">
        <f aca="false">SRC_Demand!$K8</f>
        <v>2</v>
      </c>
    </row>
    <row r="621" customFormat="false" ht="15" hidden="false" customHeight="false" outlineLevel="0" collapsed="false">
      <c r="A621" s="85" t="str">
        <f aca="false">SRC_Demand!$A9&amp;""</f>
        <v>SRC_DEM_005</v>
      </c>
      <c r="B621" s="54" t="s">
        <v>5972</v>
      </c>
      <c r="C621" s="53" t="n">
        <v>9</v>
      </c>
      <c r="D621" s="85" t="str">
        <f aca="false">SRC_Demand!$O9</f>
        <v>Active</v>
      </c>
      <c r="E621" s="85" t="n">
        <f aca="false">SRC_Demand!$K9</f>
        <v>2</v>
      </c>
    </row>
    <row r="622" customFormat="false" ht="15" hidden="false" customHeight="false" outlineLevel="0" collapsed="false">
      <c r="A622" s="85" t="str">
        <f aca="false">SRC_Demand!$A10&amp;""</f>
        <v>SRC_DEM_006</v>
      </c>
      <c r="B622" s="54" t="s">
        <v>5972</v>
      </c>
      <c r="C622" s="53" t="n">
        <v>10</v>
      </c>
      <c r="D622" s="85" t="str">
        <f aca="false">SRC_Demand!$O10</f>
        <v>Active</v>
      </c>
      <c r="E622" s="85" t="n">
        <f aca="false">SRC_Demand!$K10</f>
        <v>2</v>
      </c>
    </row>
    <row r="623" customFormat="false" ht="15" hidden="false" customHeight="false" outlineLevel="0" collapsed="false">
      <c r="A623" s="85" t="str">
        <f aca="false">SRC_Demand!$A11&amp;""</f>
        <v>SRC_DEM_007</v>
      </c>
      <c r="B623" s="54" t="s">
        <v>5972</v>
      </c>
      <c r="C623" s="53" t="n">
        <v>11</v>
      </c>
      <c r="D623" s="85" t="str">
        <f aca="false">SRC_Demand!$O11</f>
        <v>Active</v>
      </c>
      <c r="E623" s="85" t="n">
        <f aca="false">SRC_Demand!$K11</f>
        <v>2</v>
      </c>
    </row>
    <row r="624" customFormat="false" ht="15" hidden="false" customHeight="false" outlineLevel="0" collapsed="false">
      <c r="A624" s="85" t="str">
        <f aca="false">SRC_Demand!$A12&amp;""</f>
        <v>SRC_DEM_008</v>
      </c>
      <c r="B624" s="54" t="s">
        <v>5972</v>
      </c>
      <c r="C624" s="53" t="n">
        <v>12</v>
      </c>
      <c r="D624" s="85" t="str">
        <f aca="false">SRC_Demand!$O12</f>
        <v>Active</v>
      </c>
      <c r="E624" s="85" t="n">
        <f aca="false">SRC_Demand!$K12</f>
        <v>2</v>
      </c>
    </row>
    <row r="625" customFormat="false" ht="15" hidden="false" customHeight="false" outlineLevel="0" collapsed="false">
      <c r="A625" s="85" t="str">
        <f aca="false">SRC_Demand!$A13&amp;""</f>
        <v>SRC_DEM_009</v>
      </c>
      <c r="B625" s="54" t="s">
        <v>5972</v>
      </c>
      <c r="C625" s="53" t="n">
        <v>13</v>
      </c>
      <c r="D625" s="85" t="str">
        <f aca="false">SRC_Demand!$O13</f>
        <v>Active</v>
      </c>
      <c r="E625" s="85" t="n">
        <f aca="false">SRC_Demand!$K13</f>
        <v>2</v>
      </c>
    </row>
    <row r="626" customFormat="false" ht="15" hidden="false" customHeight="false" outlineLevel="0" collapsed="false">
      <c r="A626" s="85" t="str">
        <f aca="false">SRC_Demand!$A14&amp;""</f>
        <v>SRC_DEM_010</v>
      </c>
      <c r="B626" s="54" t="s">
        <v>5972</v>
      </c>
      <c r="C626" s="53" t="n">
        <v>14</v>
      </c>
      <c r="D626" s="85" t="str">
        <f aca="false">SRC_Demand!$O14</f>
        <v>Active</v>
      </c>
      <c r="E626" s="85" t="n">
        <f aca="false">SRC_Demand!$K14</f>
        <v>2</v>
      </c>
    </row>
    <row r="627" customFormat="false" ht="15" hidden="false" customHeight="false" outlineLevel="0" collapsed="false">
      <c r="A627" s="85" t="str">
        <f aca="false">SRC_Demand!$A15&amp;""</f>
        <v>SRC_DEM_011</v>
      </c>
      <c r="B627" s="54" t="s">
        <v>5972</v>
      </c>
      <c r="C627" s="53" t="n">
        <v>15</v>
      </c>
      <c r="D627" s="85" t="str">
        <f aca="false">SRC_Demand!$O15</f>
        <v>Active</v>
      </c>
      <c r="E627" s="85" t="n">
        <f aca="false">SRC_Demand!$K15</f>
        <v>1</v>
      </c>
    </row>
    <row r="628" customFormat="false" ht="15" hidden="false" customHeight="false" outlineLevel="0" collapsed="false">
      <c r="A628" s="85" t="str">
        <f aca="false">SRC_Demand!$A16&amp;""</f>
        <v>SRC_DEM_012</v>
      </c>
      <c r="B628" s="54" t="s">
        <v>5972</v>
      </c>
      <c r="C628" s="53" t="n">
        <v>16</v>
      </c>
      <c r="D628" s="85" t="str">
        <f aca="false">SRC_Demand!$O16</f>
        <v>Active</v>
      </c>
      <c r="E628" s="85" t="n">
        <f aca="false">SRC_Demand!$K16</f>
        <v>2</v>
      </c>
    </row>
    <row r="629" customFormat="false" ht="15" hidden="false" customHeight="false" outlineLevel="0" collapsed="false">
      <c r="A629" s="85" t="str">
        <f aca="false">SRC_Demand!$A17&amp;""</f>
        <v>SRC_DEM_013</v>
      </c>
      <c r="B629" s="54" t="s">
        <v>5972</v>
      </c>
      <c r="C629" s="53" t="n">
        <v>17</v>
      </c>
      <c r="D629" s="85" t="str">
        <f aca="false">SRC_Demand!$O17</f>
        <v>Active</v>
      </c>
      <c r="E629" s="85" t="n">
        <f aca="false">SRC_Demand!$K17</f>
        <v>1</v>
      </c>
    </row>
    <row r="630" customFormat="false" ht="15" hidden="false" customHeight="false" outlineLevel="0" collapsed="false">
      <c r="A630" s="85" t="str">
        <f aca="false">SRC_Demand!$A18&amp;""</f>
        <v/>
      </c>
      <c r="B630" s="54" t="s">
        <v>5972</v>
      </c>
      <c r="C630" s="53" t="n">
        <v>18</v>
      </c>
      <c r="D630" s="85" t="n">
        <f aca="false">SRC_Demand!$O18</f>
        <v>0</v>
      </c>
      <c r="E630" s="85" t="n">
        <f aca="false">SRC_Demand!$K18</f>
        <v>0</v>
      </c>
    </row>
    <row r="631" customFormat="false" ht="15" hidden="false" customHeight="false" outlineLevel="0" collapsed="false">
      <c r="A631" s="85" t="str">
        <f aca="false">SRC_Demand!$A19&amp;""</f>
        <v/>
      </c>
      <c r="B631" s="54" t="s">
        <v>5972</v>
      </c>
      <c r="C631" s="53" t="n">
        <v>19</v>
      </c>
      <c r="D631" s="85" t="n">
        <f aca="false">SRC_Demand!$O19</f>
        <v>0</v>
      </c>
      <c r="E631" s="85" t="n">
        <f aca="false">SRC_Demand!$K19</f>
        <v>0</v>
      </c>
    </row>
    <row r="632" customFormat="false" ht="15" hidden="false" customHeight="false" outlineLevel="0" collapsed="false">
      <c r="A632" s="85" t="str">
        <f aca="false">SRC_Demand!$A20&amp;""</f>
        <v/>
      </c>
      <c r="B632" s="54" t="s">
        <v>5972</v>
      </c>
      <c r="C632" s="53" t="n">
        <v>20</v>
      </c>
      <c r="D632" s="85" t="n">
        <f aca="false">SRC_Demand!$O20</f>
        <v>0</v>
      </c>
      <c r="E632" s="85" t="n">
        <f aca="false">SRC_Demand!$K20</f>
        <v>0</v>
      </c>
    </row>
    <row r="633" customFormat="false" ht="15" hidden="false" customHeight="false" outlineLevel="0" collapsed="false">
      <c r="A633" s="85" t="str">
        <f aca="false">SRC_Demand!$A21&amp;""</f>
        <v/>
      </c>
      <c r="B633" s="54" t="s">
        <v>5972</v>
      </c>
      <c r="C633" s="53" t="n">
        <v>21</v>
      </c>
      <c r="D633" s="85" t="n">
        <f aca="false">SRC_Demand!$O21</f>
        <v>0</v>
      </c>
      <c r="E633" s="85" t="n">
        <f aca="false">SRC_Demand!$K21</f>
        <v>0</v>
      </c>
    </row>
    <row r="634" customFormat="false" ht="15" hidden="false" customHeight="false" outlineLevel="0" collapsed="false">
      <c r="A634" s="85" t="str">
        <f aca="false">SRC_Demand!$A22&amp;""</f>
        <v/>
      </c>
      <c r="B634" s="54" t="s">
        <v>5972</v>
      </c>
      <c r="C634" s="53" t="n">
        <v>22</v>
      </c>
      <c r="D634" s="85" t="n">
        <f aca="false">SRC_Demand!$O22</f>
        <v>0</v>
      </c>
      <c r="E634" s="85" t="n">
        <f aca="false">SRC_Demand!$K22</f>
        <v>0</v>
      </c>
    </row>
    <row r="635" customFormat="false" ht="15" hidden="false" customHeight="false" outlineLevel="0" collapsed="false">
      <c r="A635" s="85" t="str">
        <f aca="false">SRC_Demand!$A23&amp;""</f>
        <v/>
      </c>
      <c r="B635" s="54" t="s">
        <v>5972</v>
      </c>
      <c r="C635" s="53" t="n">
        <v>23</v>
      </c>
      <c r="D635" s="85" t="n">
        <f aca="false">SRC_Demand!$O23</f>
        <v>0</v>
      </c>
      <c r="E635" s="85" t="n">
        <f aca="false">SRC_Demand!$K23</f>
        <v>0</v>
      </c>
    </row>
    <row r="636" customFormat="false" ht="15" hidden="false" customHeight="false" outlineLevel="0" collapsed="false">
      <c r="A636" s="85" t="str">
        <f aca="false">SRC_Demand!$A24&amp;""</f>
        <v/>
      </c>
      <c r="B636" s="54" t="s">
        <v>5972</v>
      </c>
      <c r="C636" s="53" t="n">
        <v>24</v>
      </c>
      <c r="D636" s="85" t="n">
        <f aca="false">SRC_Demand!$O24</f>
        <v>0</v>
      </c>
      <c r="E636" s="85" t="n">
        <f aca="false">SRC_Demand!$K24</f>
        <v>0</v>
      </c>
    </row>
    <row r="637" customFormat="false" ht="15" hidden="false" customHeight="false" outlineLevel="0" collapsed="false">
      <c r="A637" s="85" t="str">
        <f aca="false">SRC_Demand!$A25&amp;""</f>
        <v/>
      </c>
      <c r="B637" s="54" t="s">
        <v>5972</v>
      </c>
      <c r="C637" s="53" t="n">
        <v>25</v>
      </c>
      <c r="D637" s="85" t="n">
        <f aca="false">SRC_Demand!$O25</f>
        <v>0</v>
      </c>
      <c r="E637" s="85" t="n">
        <f aca="false">SRC_Demand!$K25</f>
        <v>0</v>
      </c>
    </row>
    <row r="638" customFormat="false" ht="15" hidden="false" customHeight="false" outlineLevel="0" collapsed="false">
      <c r="A638" s="85" t="str">
        <f aca="false">SRC_Demand!$A26&amp;""</f>
        <v/>
      </c>
      <c r="B638" s="54" t="s">
        <v>5972</v>
      </c>
      <c r="C638" s="53" t="n">
        <v>26</v>
      </c>
      <c r="D638" s="85" t="n">
        <f aca="false">SRC_Demand!$O26</f>
        <v>0</v>
      </c>
      <c r="E638" s="85" t="n">
        <f aca="false">SRC_Demand!$K26</f>
        <v>0</v>
      </c>
    </row>
    <row r="639" customFormat="false" ht="15" hidden="false" customHeight="false" outlineLevel="0" collapsed="false">
      <c r="A639" s="85" t="str">
        <f aca="false">SRC_Demand!$A27&amp;""</f>
        <v/>
      </c>
      <c r="B639" s="54" t="s">
        <v>5972</v>
      </c>
      <c r="C639" s="53" t="n">
        <v>27</v>
      </c>
      <c r="D639" s="85" t="n">
        <f aca="false">SRC_Demand!$O27</f>
        <v>0</v>
      </c>
      <c r="E639" s="85" t="n">
        <f aca="false">SRC_Demand!$K27</f>
        <v>0</v>
      </c>
    </row>
    <row r="640" customFormat="false" ht="15" hidden="false" customHeight="false" outlineLevel="0" collapsed="false">
      <c r="A640" s="85" t="str">
        <f aca="false">SRC_Demand!$A28&amp;""</f>
        <v/>
      </c>
      <c r="B640" s="54" t="s">
        <v>5972</v>
      </c>
      <c r="C640" s="53" t="n">
        <v>28</v>
      </c>
      <c r="D640" s="85" t="n">
        <f aca="false">SRC_Demand!$O28</f>
        <v>0</v>
      </c>
      <c r="E640" s="85" t="n">
        <f aca="false">SRC_Demand!$K28</f>
        <v>0</v>
      </c>
    </row>
    <row r="641" customFormat="false" ht="15" hidden="false" customHeight="false" outlineLevel="0" collapsed="false">
      <c r="A641" s="85" t="str">
        <f aca="false">SRC_Demand!$A29&amp;""</f>
        <v/>
      </c>
      <c r="B641" s="54" t="s">
        <v>5972</v>
      </c>
      <c r="C641" s="53" t="n">
        <v>29</v>
      </c>
      <c r="D641" s="85" t="n">
        <f aca="false">SRC_Demand!$O29</f>
        <v>0</v>
      </c>
      <c r="E641" s="85" t="n">
        <f aca="false">SRC_Demand!$K29</f>
        <v>0</v>
      </c>
    </row>
    <row r="642" customFormat="false" ht="15" hidden="false" customHeight="false" outlineLevel="0" collapsed="false">
      <c r="A642" s="85" t="str">
        <f aca="false">SRC_Demand!$A30&amp;""</f>
        <v/>
      </c>
      <c r="B642" s="54" t="s">
        <v>5972</v>
      </c>
      <c r="C642" s="53" t="n">
        <v>30</v>
      </c>
      <c r="D642" s="85" t="n">
        <f aca="false">SRC_Demand!$O30</f>
        <v>0</v>
      </c>
      <c r="E642" s="85" t="n">
        <f aca="false">SRC_Demand!$K30</f>
        <v>0</v>
      </c>
    </row>
    <row r="643" customFormat="false" ht="15" hidden="false" customHeight="false" outlineLevel="0" collapsed="false">
      <c r="A643" s="85" t="str">
        <f aca="false">SRC_Demand!$A31&amp;""</f>
        <v/>
      </c>
      <c r="B643" s="54" t="s">
        <v>5972</v>
      </c>
      <c r="C643" s="53" t="n">
        <v>31</v>
      </c>
      <c r="D643" s="85" t="n">
        <f aca="false">SRC_Demand!$O31</f>
        <v>0</v>
      </c>
      <c r="E643" s="85" t="n">
        <f aca="false">SRC_Demand!$K31</f>
        <v>0</v>
      </c>
    </row>
    <row r="644" customFormat="false" ht="15" hidden="false" customHeight="false" outlineLevel="0" collapsed="false">
      <c r="A644" s="85" t="str">
        <f aca="false">SRC_Demand!$A32&amp;""</f>
        <v/>
      </c>
      <c r="B644" s="54" t="s">
        <v>5972</v>
      </c>
      <c r="C644" s="53" t="n">
        <v>32</v>
      </c>
      <c r="D644" s="85" t="n">
        <f aca="false">SRC_Demand!$O32</f>
        <v>0</v>
      </c>
      <c r="E644" s="85" t="n">
        <f aca="false">SRC_Demand!$K32</f>
        <v>0</v>
      </c>
    </row>
    <row r="645" customFormat="false" ht="15" hidden="false" customHeight="false" outlineLevel="0" collapsed="false">
      <c r="A645" s="85" t="str">
        <f aca="false">SRC_Demand!$A33&amp;""</f>
        <v/>
      </c>
      <c r="B645" s="54" t="s">
        <v>5972</v>
      </c>
      <c r="C645" s="53" t="n">
        <v>33</v>
      </c>
      <c r="D645" s="85" t="n">
        <f aca="false">SRC_Demand!$O33</f>
        <v>0</v>
      </c>
      <c r="E645" s="85" t="n">
        <f aca="false">SRC_Demand!$K33</f>
        <v>0</v>
      </c>
    </row>
    <row r="646" customFormat="false" ht="15" hidden="false" customHeight="false" outlineLevel="0" collapsed="false">
      <c r="A646" s="85" t="str">
        <f aca="false">SRC_Demand!$A34&amp;""</f>
        <v/>
      </c>
      <c r="B646" s="54" t="s">
        <v>5972</v>
      </c>
      <c r="C646" s="53" t="n">
        <v>34</v>
      </c>
      <c r="D646" s="85" t="n">
        <f aca="false">SRC_Demand!$O34</f>
        <v>0</v>
      </c>
      <c r="E646" s="85" t="n">
        <f aca="false">SRC_Demand!$K34</f>
        <v>0</v>
      </c>
    </row>
    <row r="647" customFormat="false" ht="15" hidden="false" customHeight="false" outlineLevel="0" collapsed="false">
      <c r="A647" s="85" t="str">
        <f aca="false">SRC_Demand!$A35&amp;""</f>
        <v/>
      </c>
      <c r="B647" s="54" t="s">
        <v>5972</v>
      </c>
      <c r="C647" s="53" t="n">
        <v>35</v>
      </c>
      <c r="D647" s="85" t="n">
        <f aca="false">SRC_Demand!$O35</f>
        <v>0</v>
      </c>
      <c r="E647" s="85" t="n">
        <f aca="false">SRC_Demand!$K35</f>
        <v>0</v>
      </c>
    </row>
    <row r="648" customFormat="false" ht="15" hidden="false" customHeight="false" outlineLevel="0" collapsed="false">
      <c r="A648" s="85" t="str">
        <f aca="false">SRC_Demand!$A36&amp;""</f>
        <v/>
      </c>
      <c r="B648" s="54" t="s">
        <v>5972</v>
      </c>
      <c r="C648" s="53" t="n">
        <v>36</v>
      </c>
      <c r="D648" s="85" t="n">
        <f aca="false">SRC_Demand!$O36</f>
        <v>0</v>
      </c>
      <c r="E648" s="85" t="n">
        <f aca="false">SRC_Demand!$K36</f>
        <v>0</v>
      </c>
    </row>
    <row r="649" customFormat="false" ht="15" hidden="false" customHeight="false" outlineLevel="0" collapsed="false">
      <c r="A649" s="85" t="str">
        <f aca="false">SRC_Demand!$A37&amp;""</f>
        <v/>
      </c>
      <c r="B649" s="54" t="s">
        <v>5972</v>
      </c>
      <c r="C649" s="53" t="n">
        <v>37</v>
      </c>
      <c r="D649" s="85" t="n">
        <f aca="false">SRC_Demand!$O37</f>
        <v>0</v>
      </c>
      <c r="E649" s="85" t="n">
        <f aca="false">SRC_Demand!$K37</f>
        <v>0</v>
      </c>
    </row>
    <row r="650" customFormat="false" ht="15" hidden="false" customHeight="false" outlineLevel="0" collapsed="false">
      <c r="A650" s="85" t="str">
        <f aca="false">SRC_Demand!$A38&amp;""</f>
        <v/>
      </c>
      <c r="B650" s="54" t="s">
        <v>5972</v>
      </c>
      <c r="C650" s="53" t="n">
        <v>38</v>
      </c>
      <c r="D650" s="85" t="n">
        <f aca="false">SRC_Demand!$O38</f>
        <v>0</v>
      </c>
      <c r="E650" s="85" t="n">
        <f aca="false">SRC_Demand!$K38</f>
        <v>0</v>
      </c>
    </row>
    <row r="651" customFormat="false" ht="15" hidden="false" customHeight="false" outlineLevel="0" collapsed="false">
      <c r="A651" s="85" t="str">
        <f aca="false">SRC_Demand!$A39&amp;""</f>
        <v/>
      </c>
      <c r="B651" s="54" t="s">
        <v>5972</v>
      </c>
      <c r="C651" s="53" t="n">
        <v>39</v>
      </c>
      <c r="D651" s="85" t="n">
        <f aca="false">SRC_Demand!$O39</f>
        <v>0</v>
      </c>
      <c r="E651" s="85" t="n">
        <f aca="false">SRC_Demand!$K39</f>
        <v>0</v>
      </c>
    </row>
    <row r="652" customFormat="false" ht="15" hidden="false" customHeight="false" outlineLevel="0" collapsed="false">
      <c r="A652" s="85" t="str">
        <f aca="false">SRC_Demand!$A40&amp;""</f>
        <v/>
      </c>
      <c r="B652" s="54" t="s">
        <v>5972</v>
      </c>
      <c r="C652" s="53" t="n">
        <v>40</v>
      </c>
      <c r="D652" s="85" t="n">
        <f aca="false">SRC_Demand!$O40</f>
        <v>0</v>
      </c>
      <c r="E652" s="85" t="n">
        <f aca="false">SRC_Demand!$K40</f>
        <v>0</v>
      </c>
    </row>
    <row r="653" customFormat="false" ht="15" hidden="false" customHeight="false" outlineLevel="0" collapsed="false">
      <c r="A653" s="85" t="str">
        <f aca="false">SRC_Demand!$A41&amp;""</f>
        <v/>
      </c>
      <c r="B653" s="54" t="s">
        <v>5972</v>
      </c>
      <c r="C653" s="53" t="n">
        <v>41</v>
      </c>
      <c r="D653" s="85" t="n">
        <f aca="false">SRC_Demand!$O41</f>
        <v>0</v>
      </c>
      <c r="E653" s="85" t="n">
        <f aca="false">SRC_Demand!$K41</f>
        <v>0</v>
      </c>
    </row>
    <row r="654" customFormat="false" ht="15" hidden="false" customHeight="false" outlineLevel="0" collapsed="false">
      <c r="A654" s="85" t="str">
        <f aca="false">SRC_Demand!$A42&amp;""</f>
        <v/>
      </c>
      <c r="B654" s="54" t="s">
        <v>5972</v>
      </c>
      <c r="C654" s="53" t="n">
        <v>42</v>
      </c>
      <c r="D654" s="85" t="n">
        <f aca="false">SRC_Demand!$O42</f>
        <v>0</v>
      </c>
      <c r="E654" s="85" t="n">
        <f aca="false">SRC_Demand!$K42</f>
        <v>0</v>
      </c>
    </row>
    <row r="655" customFormat="false" ht="15" hidden="false" customHeight="false" outlineLevel="0" collapsed="false">
      <c r="A655" s="85" t="str">
        <f aca="false">SRC_Demand!$A43&amp;""</f>
        <v/>
      </c>
      <c r="B655" s="54" t="s">
        <v>5972</v>
      </c>
      <c r="C655" s="53" t="n">
        <v>43</v>
      </c>
      <c r="D655" s="85" t="n">
        <f aca="false">SRC_Demand!$O43</f>
        <v>0</v>
      </c>
      <c r="E655" s="85" t="n">
        <f aca="false">SRC_Demand!$K43</f>
        <v>0</v>
      </c>
    </row>
    <row r="656" customFormat="false" ht="15" hidden="false" customHeight="false" outlineLevel="0" collapsed="false">
      <c r="A656" s="85" t="str">
        <f aca="false">SRC_Demand!$A44&amp;""</f>
        <v/>
      </c>
      <c r="B656" s="54" t="s">
        <v>5972</v>
      </c>
      <c r="C656" s="53" t="n">
        <v>44</v>
      </c>
      <c r="D656" s="85" t="n">
        <f aca="false">SRC_Demand!$O44</f>
        <v>0</v>
      </c>
      <c r="E656" s="85" t="n">
        <f aca="false">SRC_Demand!$K44</f>
        <v>0</v>
      </c>
    </row>
    <row r="657" customFormat="false" ht="15" hidden="false" customHeight="false" outlineLevel="0" collapsed="false">
      <c r="A657" s="85" t="str">
        <f aca="false">SRC_Demand!$A45&amp;""</f>
        <v/>
      </c>
      <c r="B657" s="54" t="s">
        <v>5972</v>
      </c>
      <c r="C657" s="53" t="n">
        <v>45</v>
      </c>
      <c r="D657" s="85" t="n">
        <f aca="false">SRC_Demand!$O45</f>
        <v>0</v>
      </c>
      <c r="E657" s="85" t="n">
        <f aca="false">SRC_Demand!$K45</f>
        <v>0</v>
      </c>
    </row>
    <row r="658" customFormat="false" ht="15" hidden="false" customHeight="false" outlineLevel="0" collapsed="false">
      <c r="A658" s="85" t="str">
        <f aca="false">SRC_Demand!$A46&amp;""</f>
        <v/>
      </c>
      <c r="B658" s="54" t="s">
        <v>5972</v>
      </c>
      <c r="C658" s="53" t="n">
        <v>46</v>
      </c>
      <c r="D658" s="85" t="n">
        <f aca="false">SRC_Demand!$O46</f>
        <v>0</v>
      </c>
      <c r="E658" s="85" t="n">
        <f aca="false">SRC_Demand!$K46</f>
        <v>0</v>
      </c>
    </row>
    <row r="659" customFormat="false" ht="15" hidden="false" customHeight="false" outlineLevel="0" collapsed="false">
      <c r="A659" s="85" t="str">
        <f aca="false">SRC_Demand!$A47&amp;""</f>
        <v/>
      </c>
      <c r="B659" s="54" t="s">
        <v>5972</v>
      </c>
      <c r="C659" s="53" t="n">
        <v>47</v>
      </c>
      <c r="D659" s="85" t="n">
        <f aca="false">SRC_Demand!$O47</f>
        <v>0</v>
      </c>
      <c r="E659" s="85" t="n">
        <f aca="false">SRC_Demand!$K47</f>
        <v>0</v>
      </c>
    </row>
    <row r="660" customFormat="false" ht="15" hidden="false" customHeight="false" outlineLevel="0" collapsed="false">
      <c r="A660" s="85" t="str">
        <f aca="false">SRC_Demand!$A48&amp;""</f>
        <v/>
      </c>
      <c r="B660" s="54" t="s">
        <v>5972</v>
      </c>
      <c r="C660" s="53" t="n">
        <v>48</v>
      </c>
      <c r="D660" s="85" t="n">
        <f aca="false">SRC_Demand!$O48</f>
        <v>0</v>
      </c>
      <c r="E660" s="85" t="n">
        <f aca="false">SRC_Demand!$K48</f>
        <v>0</v>
      </c>
    </row>
    <row r="661" customFormat="false" ht="15" hidden="false" customHeight="false" outlineLevel="0" collapsed="false">
      <c r="A661" s="85" t="str">
        <f aca="false">SRC_Demand!$A49&amp;""</f>
        <v/>
      </c>
      <c r="B661" s="54" t="s">
        <v>5972</v>
      </c>
      <c r="C661" s="53" t="n">
        <v>49</v>
      </c>
      <c r="D661" s="85" t="n">
        <f aca="false">SRC_Demand!$O49</f>
        <v>0</v>
      </c>
      <c r="E661" s="85" t="n">
        <f aca="false">SRC_Demand!$K49</f>
        <v>0</v>
      </c>
    </row>
    <row r="662" customFormat="false" ht="15" hidden="false" customHeight="false" outlineLevel="0" collapsed="false">
      <c r="A662" s="85" t="str">
        <f aca="false">SRC_Demand!$A50&amp;""</f>
        <v/>
      </c>
      <c r="B662" s="54" t="s">
        <v>5972</v>
      </c>
      <c r="C662" s="53" t="n">
        <v>50</v>
      </c>
      <c r="D662" s="85" t="n">
        <f aca="false">SRC_Demand!$O50</f>
        <v>0</v>
      </c>
      <c r="E662" s="85" t="n">
        <f aca="false">SRC_Demand!$K50</f>
        <v>0</v>
      </c>
    </row>
    <row r="663" customFormat="false" ht="15" hidden="false" customHeight="false" outlineLevel="0" collapsed="false">
      <c r="A663" s="85" t="str">
        <f aca="false">SRC_Demand!$A51&amp;""</f>
        <v/>
      </c>
      <c r="B663" s="54" t="s">
        <v>5972</v>
      </c>
      <c r="C663" s="53" t="n">
        <v>51</v>
      </c>
      <c r="D663" s="85" t="n">
        <f aca="false">SRC_Demand!$O51</f>
        <v>0</v>
      </c>
      <c r="E663" s="85" t="n">
        <f aca="false">SRC_Demand!$K51</f>
        <v>0</v>
      </c>
    </row>
    <row r="664" customFormat="false" ht="15" hidden="false" customHeight="false" outlineLevel="0" collapsed="false">
      <c r="A664" s="85" t="str">
        <f aca="false">SRC_Demand!$A52&amp;""</f>
        <v/>
      </c>
      <c r="B664" s="54" t="s">
        <v>5972</v>
      </c>
      <c r="C664" s="53" t="n">
        <v>52</v>
      </c>
      <c r="D664" s="85" t="n">
        <f aca="false">SRC_Demand!$O52</f>
        <v>0</v>
      </c>
      <c r="E664" s="85" t="n">
        <f aca="false">SRC_Demand!$K52</f>
        <v>0</v>
      </c>
    </row>
    <row r="665" customFormat="false" ht="15" hidden="false" customHeight="false" outlineLevel="0" collapsed="false">
      <c r="A665" s="85" t="str">
        <f aca="false">SRC_Demand!$A53&amp;""</f>
        <v/>
      </c>
      <c r="B665" s="54" t="s">
        <v>5972</v>
      </c>
      <c r="C665" s="53" t="n">
        <v>53</v>
      </c>
      <c r="D665" s="85" t="n">
        <f aca="false">SRC_Demand!$O53</f>
        <v>0</v>
      </c>
      <c r="E665" s="85" t="n">
        <f aca="false">SRC_Demand!$K53</f>
        <v>0</v>
      </c>
    </row>
    <row r="666" customFormat="false" ht="15" hidden="false" customHeight="false" outlineLevel="0" collapsed="false">
      <c r="A666" s="85" t="str">
        <f aca="false">SRC_Demand!$A54&amp;""</f>
        <v/>
      </c>
      <c r="B666" s="54" t="s">
        <v>5972</v>
      </c>
      <c r="C666" s="53" t="n">
        <v>54</v>
      </c>
      <c r="D666" s="85" t="n">
        <f aca="false">SRC_Demand!$O54</f>
        <v>0</v>
      </c>
      <c r="E666" s="85" t="n">
        <f aca="false">SRC_Demand!$K54</f>
        <v>0</v>
      </c>
    </row>
    <row r="667" customFormat="false" ht="15" hidden="false" customHeight="false" outlineLevel="0" collapsed="false">
      <c r="A667" s="85" t="str">
        <f aca="false">SRC_Demand!$A55&amp;""</f>
        <v/>
      </c>
      <c r="B667" s="54" t="s">
        <v>5972</v>
      </c>
      <c r="C667" s="53" t="n">
        <v>55</v>
      </c>
      <c r="D667" s="85" t="n">
        <f aca="false">SRC_Demand!$O55</f>
        <v>0</v>
      </c>
      <c r="E667" s="85" t="n">
        <f aca="false">SRC_Demand!$K55</f>
        <v>0</v>
      </c>
    </row>
    <row r="668" customFormat="false" ht="15" hidden="false" customHeight="false" outlineLevel="0" collapsed="false">
      <c r="A668" s="85" t="str">
        <f aca="false">SRC_Demand!$A56&amp;""</f>
        <v/>
      </c>
      <c r="B668" s="54" t="s">
        <v>5972</v>
      </c>
      <c r="C668" s="53" t="n">
        <v>56</v>
      </c>
      <c r="D668" s="85" t="n">
        <f aca="false">SRC_Demand!$O56</f>
        <v>0</v>
      </c>
      <c r="E668" s="85" t="n">
        <f aca="false">SRC_Demand!$K56</f>
        <v>0</v>
      </c>
    </row>
    <row r="669" customFormat="false" ht="15" hidden="false" customHeight="false" outlineLevel="0" collapsed="false">
      <c r="A669" s="85" t="str">
        <f aca="false">SRC_Demand!$A57&amp;""</f>
        <v/>
      </c>
      <c r="B669" s="54" t="s">
        <v>5972</v>
      </c>
      <c r="C669" s="53" t="n">
        <v>57</v>
      </c>
      <c r="D669" s="85" t="n">
        <f aca="false">SRC_Demand!$O57</f>
        <v>0</v>
      </c>
      <c r="E669" s="85" t="n">
        <f aca="false">SRC_Demand!$K57</f>
        <v>0</v>
      </c>
    </row>
    <row r="670" customFormat="false" ht="15" hidden="false" customHeight="false" outlineLevel="0" collapsed="false">
      <c r="A670" s="85" t="str">
        <f aca="false">SRC_Demand!$A58&amp;""</f>
        <v/>
      </c>
      <c r="B670" s="54" t="s">
        <v>5972</v>
      </c>
      <c r="C670" s="53" t="n">
        <v>58</v>
      </c>
      <c r="D670" s="85" t="n">
        <f aca="false">SRC_Demand!$O58</f>
        <v>0</v>
      </c>
      <c r="E670" s="85" t="n">
        <f aca="false">SRC_Demand!$K58</f>
        <v>0</v>
      </c>
    </row>
    <row r="671" customFormat="false" ht="15" hidden="false" customHeight="false" outlineLevel="0" collapsed="false">
      <c r="A671" s="85" t="str">
        <f aca="false">SRC_Demand!$A59&amp;""</f>
        <v/>
      </c>
      <c r="B671" s="54" t="s">
        <v>5972</v>
      </c>
      <c r="C671" s="53" t="n">
        <v>59</v>
      </c>
      <c r="D671" s="85" t="n">
        <f aca="false">SRC_Demand!$O59</f>
        <v>0</v>
      </c>
      <c r="E671" s="85" t="n">
        <f aca="false">SRC_Demand!$K59</f>
        <v>0</v>
      </c>
    </row>
    <row r="672" customFormat="false" ht="15" hidden="false" customHeight="false" outlineLevel="0" collapsed="false">
      <c r="A672" s="85" t="str">
        <f aca="false">SRC_Demand!$A60&amp;""</f>
        <v/>
      </c>
      <c r="B672" s="54" t="s">
        <v>5972</v>
      </c>
      <c r="C672" s="53" t="n">
        <v>60</v>
      </c>
      <c r="D672" s="85" t="n">
        <f aca="false">SRC_Demand!$O60</f>
        <v>0</v>
      </c>
      <c r="E672" s="85" t="n">
        <f aca="false">SRC_Demand!$K60</f>
        <v>0</v>
      </c>
    </row>
    <row r="673" customFormat="false" ht="15" hidden="false" customHeight="false" outlineLevel="0" collapsed="false">
      <c r="A673" s="85" t="str">
        <f aca="false">SRC_Demand!$A61&amp;""</f>
        <v/>
      </c>
      <c r="B673" s="54" t="s">
        <v>5972</v>
      </c>
      <c r="C673" s="53" t="n">
        <v>61</v>
      </c>
      <c r="D673" s="85" t="n">
        <f aca="false">SRC_Demand!$O61</f>
        <v>0</v>
      </c>
      <c r="E673" s="85" t="n">
        <f aca="false">SRC_Demand!$K61</f>
        <v>0</v>
      </c>
    </row>
    <row r="674" customFormat="false" ht="15" hidden="false" customHeight="false" outlineLevel="0" collapsed="false">
      <c r="A674" s="85" t="str">
        <f aca="false">SRC_Demand!$A62&amp;""</f>
        <v/>
      </c>
      <c r="B674" s="54" t="s">
        <v>5972</v>
      </c>
      <c r="C674" s="53" t="n">
        <v>62</v>
      </c>
      <c r="D674" s="85" t="n">
        <f aca="false">SRC_Demand!$O62</f>
        <v>0</v>
      </c>
      <c r="E674" s="85" t="n">
        <f aca="false">SRC_Demand!$K62</f>
        <v>0</v>
      </c>
    </row>
    <row r="675" customFormat="false" ht="15" hidden="false" customHeight="false" outlineLevel="0" collapsed="false">
      <c r="A675" s="85" t="str">
        <f aca="false">SRC_Demand!$A63&amp;""</f>
        <v/>
      </c>
      <c r="B675" s="54" t="s">
        <v>5972</v>
      </c>
      <c r="C675" s="53" t="n">
        <v>63</v>
      </c>
      <c r="D675" s="85" t="n">
        <f aca="false">SRC_Demand!$O63</f>
        <v>0</v>
      </c>
      <c r="E675" s="85" t="n">
        <f aca="false">SRC_Demand!$K63</f>
        <v>0</v>
      </c>
    </row>
    <row r="676" customFormat="false" ht="15" hidden="false" customHeight="false" outlineLevel="0" collapsed="false">
      <c r="A676" s="85" t="str">
        <f aca="false">SRC_Demand!$A64&amp;""</f>
        <v/>
      </c>
      <c r="B676" s="54" t="s">
        <v>5972</v>
      </c>
      <c r="C676" s="53" t="n">
        <v>64</v>
      </c>
      <c r="D676" s="85" t="n">
        <f aca="false">SRC_Demand!$O64</f>
        <v>0</v>
      </c>
      <c r="E676" s="85" t="n">
        <f aca="false">SRC_Demand!$K64</f>
        <v>0</v>
      </c>
    </row>
    <row r="677" customFormat="false" ht="15" hidden="false" customHeight="false" outlineLevel="0" collapsed="false">
      <c r="A677" s="85" t="str">
        <f aca="false">SRC_Demand!$A65&amp;""</f>
        <v/>
      </c>
      <c r="B677" s="54" t="s">
        <v>5972</v>
      </c>
      <c r="C677" s="53" t="n">
        <v>65</v>
      </c>
      <c r="D677" s="85" t="n">
        <f aca="false">SRC_Demand!$O65</f>
        <v>0</v>
      </c>
      <c r="E677" s="85" t="n">
        <f aca="false">SRC_Demand!$K65</f>
        <v>0</v>
      </c>
    </row>
    <row r="678" customFormat="false" ht="15" hidden="false" customHeight="false" outlineLevel="0" collapsed="false">
      <c r="A678" s="85" t="str">
        <f aca="false">SRC_Demand!$A66&amp;""</f>
        <v/>
      </c>
      <c r="B678" s="54" t="s">
        <v>5972</v>
      </c>
      <c r="C678" s="53" t="n">
        <v>66</v>
      </c>
      <c r="D678" s="85" t="n">
        <f aca="false">SRC_Demand!$O66</f>
        <v>0</v>
      </c>
      <c r="E678" s="85" t="n">
        <f aca="false">SRC_Demand!$K66</f>
        <v>0</v>
      </c>
    </row>
    <row r="679" customFormat="false" ht="15" hidden="false" customHeight="false" outlineLevel="0" collapsed="false">
      <c r="A679" s="85" t="str">
        <f aca="false">SRC_Demand!$A67&amp;""</f>
        <v/>
      </c>
      <c r="B679" s="54" t="s">
        <v>5972</v>
      </c>
      <c r="C679" s="53" t="n">
        <v>67</v>
      </c>
      <c r="D679" s="85" t="n">
        <f aca="false">SRC_Demand!$O67</f>
        <v>0</v>
      </c>
      <c r="E679" s="85" t="n">
        <f aca="false">SRC_Demand!$K67</f>
        <v>0</v>
      </c>
    </row>
    <row r="680" customFormat="false" ht="15" hidden="false" customHeight="false" outlineLevel="0" collapsed="false">
      <c r="A680" s="85" t="str">
        <f aca="false">Gov_Map!$H5&amp;""</f>
        <v>—</v>
      </c>
      <c r="B680" s="66" t="s">
        <v>5973</v>
      </c>
      <c r="C680" s="53" t="n">
        <v>5</v>
      </c>
      <c r="D680" s="53" t="s">
        <v>5974</v>
      </c>
      <c r="E680" s="53" t="s">
        <v>5974</v>
      </c>
    </row>
    <row r="681" customFormat="false" ht="15" hidden="false" customHeight="false" outlineLevel="0" collapsed="false">
      <c r="A681" s="85" t="str">
        <f aca="false">Gov_Map!$H6&amp;""</f>
        <v>—</v>
      </c>
      <c r="B681" s="66" t="s">
        <v>5973</v>
      </c>
      <c r="C681" s="53" t="n">
        <v>6</v>
      </c>
      <c r="D681" s="53" t="s">
        <v>5974</v>
      </c>
      <c r="E681" s="53" t="s">
        <v>5974</v>
      </c>
    </row>
    <row r="682" customFormat="false" ht="15" hidden="false" customHeight="false" outlineLevel="0" collapsed="false">
      <c r="A682" s="85" t="str">
        <f aca="false">Gov_Map!$H7&amp;""</f>
        <v>—</v>
      </c>
      <c r="B682" s="66" t="s">
        <v>5973</v>
      </c>
      <c r="C682" s="53" t="n">
        <v>7</v>
      </c>
      <c r="D682" s="53" t="s">
        <v>5974</v>
      </c>
      <c r="E682" s="53" t="s">
        <v>5974</v>
      </c>
    </row>
    <row r="683" customFormat="false" ht="15" hidden="false" customHeight="false" outlineLevel="0" collapsed="false">
      <c r="A683" s="85" t="str">
        <f aca="false">Gov_Map!$H8&amp;""</f>
        <v>—</v>
      </c>
      <c r="B683" s="66" t="s">
        <v>5973</v>
      </c>
      <c r="C683" s="53" t="n">
        <v>8</v>
      </c>
      <c r="D683" s="53" t="s">
        <v>5974</v>
      </c>
      <c r="E683" s="53" t="s">
        <v>5974</v>
      </c>
    </row>
    <row r="684" customFormat="false" ht="15" hidden="false" customHeight="false" outlineLevel="0" collapsed="false">
      <c r="A684" s="85" t="str">
        <f aca="false">Gov_Map!$H9&amp;""</f>
        <v>—</v>
      </c>
      <c r="B684" s="66" t="s">
        <v>5973</v>
      </c>
      <c r="C684" s="53" t="n">
        <v>9</v>
      </c>
      <c r="D684" s="53" t="s">
        <v>5974</v>
      </c>
      <c r="E684" s="53" t="s">
        <v>5974</v>
      </c>
    </row>
    <row r="685" customFormat="false" ht="15" hidden="false" customHeight="false" outlineLevel="0" collapsed="false">
      <c r="A685" s="85" t="str">
        <f aca="false">Gov_Map!$H10&amp;""</f>
        <v>—</v>
      </c>
      <c r="B685" s="66" t="s">
        <v>5973</v>
      </c>
      <c r="C685" s="53" t="n">
        <v>10</v>
      </c>
      <c r="D685" s="53" t="s">
        <v>5974</v>
      </c>
      <c r="E685" s="53" t="s">
        <v>5974</v>
      </c>
    </row>
    <row r="686" customFormat="false" ht="15" hidden="false" customHeight="false" outlineLevel="0" collapsed="false">
      <c r="A686" s="85" t="str">
        <f aca="false">Gov_Map!$H11&amp;""</f>
        <v>—</v>
      </c>
      <c r="B686" s="66" t="s">
        <v>5973</v>
      </c>
      <c r="C686" s="53" t="n">
        <v>11</v>
      </c>
      <c r="D686" s="53" t="s">
        <v>5974</v>
      </c>
      <c r="E686" s="53" t="s">
        <v>5974</v>
      </c>
    </row>
    <row r="687" customFormat="false" ht="15" hidden="false" customHeight="false" outlineLevel="0" collapsed="false">
      <c r="A687" s="85" t="str">
        <f aca="false">Gov_Map!$H12&amp;""</f>
        <v>—</v>
      </c>
      <c r="B687" s="66" t="s">
        <v>5973</v>
      </c>
      <c r="C687" s="53" t="n">
        <v>12</v>
      </c>
      <c r="D687" s="53" t="s">
        <v>5974</v>
      </c>
      <c r="E687" s="53" t="s">
        <v>5974</v>
      </c>
    </row>
    <row r="688" customFormat="false" ht="15" hidden="false" customHeight="false" outlineLevel="0" collapsed="false">
      <c r="A688" s="85" t="str">
        <f aca="false">Gov_Map!$H13&amp;""</f>
        <v>—</v>
      </c>
      <c r="B688" s="66" t="s">
        <v>5973</v>
      </c>
      <c r="C688" s="53" t="n">
        <v>13</v>
      </c>
      <c r="D688" s="53" t="s">
        <v>5974</v>
      </c>
      <c r="E688" s="53" t="s">
        <v>5974</v>
      </c>
    </row>
    <row r="689" customFormat="false" ht="15" hidden="false" customHeight="false" outlineLevel="0" collapsed="false">
      <c r="A689" s="85" t="str">
        <f aca="false">Gov_Map!$H14&amp;""</f>
        <v>SRC_DC_006</v>
      </c>
      <c r="B689" s="66" t="s">
        <v>5973</v>
      </c>
      <c r="C689" s="53" t="n">
        <v>14</v>
      </c>
      <c r="D689" s="53" t="s">
        <v>5974</v>
      </c>
      <c r="E689" s="53" t="s">
        <v>5974</v>
      </c>
    </row>
    <row r="690" customFormat="false" ht="15" hidden="false" customHeight="false" outlineLevel="0" collapsed="false">
      <c r="A690" s="85" t="str">
        <f aca="false">Gov_Map!$H15&amp;""</f>
        <v>SRC_DC_006</v>
      </c>
      <c r="B690" s="66" t="s">
        <v>5973</v>
      </c>
      <c r="C690" s="53" t="n">
        <v>15</v>
      </c>
      <c r="D690" s="53" t="s">
        <v>5974</v>
      </c>
      <c r="E690" s="53" t="s">
        <v>5974</v>
      </c>
    </row>
    <row r="691" customFormat="false" ht="15" hidden="false" customHeight="false" outlineLevel="0" collapsed="false">
      <c r="A691" s="85" t="str">
        <f aca="false">Gov_Map!$H16&amp;""</f>
        <v>SRC_DC_006</v>
      </c>
      <c r="B691" s="66" t="s">
        <v>5973</v>
      </c>
      <c r="C691" s="53" t="n">
        <v>16</v>
      </c>
      <c r="D691" s="53" t="s">
        <v>5974</v>
      </c>
      <c r="E691" s="53" t="s">
        <v>5974</v>
      </c>
    </row>
    <row r="692" customFormat="false" ht="15" hidden="false" customHeight="false" outlineLevel="0" collapsed="false">
      <c r="A692" s="85" t="str">
        <f aca="false">Gov_Map!$H17&amp;""</f>
        <v>SRC_DC_001</v>
      </c>
      <c r="B692" s="66" t="s">
        <v>5973</v>
      </c>
      <c r="C692" s="53" t="n">
        <v>17</v>
      </c>
      <c r="D692" s="53" t="s">
        <v>5974</v>
      </c>
      <c r="E692" s="53" t="s">
        <v>5974</v>
      </c>
    </row>
    <row r="693" customFormat="false" ht="15" hidden="false" customHeight="false" outlineLevel="0" collapsed="false">
      <c r="A693" s="85" t="str">
        <f aca="false">Gov_Map!$H18&amp;""</f>
        <v>SRC_DC_001</v>
      </c>
      <c r="B693" s="66" t="s">
        <v>5973</v>
      </c>
      <c r="C693" s="53" t="n">
        <v>18</v>
      </c>
      <c r="D693" s="53" t="s">
        <v>5974</v>
      </c>
      <c r="E693" s="53" t="s">
        <v>5974</v>
      </c>
    </row>
    <row r="694" customFormat="false" ht="15" hidden="false" customHeight="false" outlineLevel="0" collapsed="false">
      <c r="A694" s="85" t="str">
        <f aca="false">Gov_Map!$H19&amp;""</f>
        <v>SRC_DC_002</v>
      </c>
      <c r="B694" s="66" t="s">
        <v>5973</v>
      </c>
      <c r="C694" s="53" t="n">
        <v>19</v>
      </c>
      <c r="D694" s="53" t="s">
        <v>5974</v>
      </c>
      <c r="E694" s="53" t="s">
        <v>5974</v>
      </c>
    </row>
    <row r="695" customFormat="false" ht="15" hidden="false" customHeight="false" outlineLevel="0" collapsed="false">
      <c r="A695" s="85" t="str">
        <f aca="false">Gov_Map!$H20&amp;""</f>
        <v>—</v>
      </c>
      <c r="B695" s="66" t="s">
        <v>5973</v>
      </c>
      <c r="C695" s="53" t="n">
        <v>20</v>
      </c>
      <c r="D695" s="53" t="s">
        <v>5974</v>
      </c>
      <c r="E695" s="53" t="s">
        <v>5974</v>
      </c>
    </row>
    <row r="696" customFormat="false" ht="15" hidden="false" customHeight="false" outlineLevel="0" collapsed="false">
      <c r="A696" s="85" t="str">
        <f aca="false">Gov_Map!$H21&amp;""</f>
        <v>—</v>
      </c>
      <c r="B696" s="66" t="s">
        <v>5973</v>
      </c>
      <c r="C696" s="53" t="n">
        <v>21</v>
      </c>
      <c r="D696" s="53" t="s">
        <v>5974</v>
      </c>
      <c r="E696" s="53" t="s">
        <v>5974</v>
      </c>
    </row>
    <row r="697" customFormat="false" ht="15" hidden="false" customHeight="false" outlineLevel="0" collapsed="false">
      <c r="A697" s="85" t="str">
        <f aca="false">Gov_Map!$H22&amp;""</f>
        <v>—</v>
      </c>
      <c r="B697" s="66" t="s">
        <v>5973</v>
      </c>
      <c r="C697" s="53" t="n">
        <v>22</v>
      </c>
      <c r="D697" s="53" t="s">
        <v>5974</v>
      </c>
      <c r="E697" s="53" t="s">
        <v>5974</v>
      </c>
    </row>
    <row r="698" customFormat="false" ht="15" hidden="false" customHeight="false" outlineLevel="0" collapsed="false">
      <c r="A698" s="85" t="str">
        <f aca="false">Gov_Map!$H23&amp;""</f>
        <v>—</v>
      </c>
      <c r="B698" s="66" t="s">
        <v>5973</v>
      </c>
      <c r="C698" s="53" t="n">
        <v>23</v>
      </c>
      <c r="D698" s="53" t="s">
        <v>5974</v>
      </c>
      <c r="E698" s="53" t="s">
        <v>5974</v>
      </c>
    </row>
    <row r="699" customFormat="false" ht="15" hidden="false" customHeight="false" outlineLevel="0" collapsed="false">
      <c r="A699" s="85" t="str">
        <f aca="false">Gov_Map!$H24&amp;""</f>
        <v>—</v>
      </c>
      <c r="B699" s="66" t="s">
        <v>5973</v>
      </c>
      <c r="C699" s="53" t="n">
        <v>24</v>
      </c>
      <c r="D699" s="53" t="s">
        <v>5974</v>
      </c>
      <c r="E699" s="53" t="s">
        <v>5974</v>
      </c>
    </row>
    <row r="700" customFormat="false" ht="15" hidden="false" customHeight="false" outlineLevel="0" collapsed="false">
      <c r="A700" s="85" t="str">
        <f aca="false">Gov_Map!$H25&amp;""</f>
        <v>—</v>
      </c>
      <c r="B700" s="66" t="s">
        <v>5973</v>
      </c>
      <c r="C700" s="53" t="n">
        <v>25</v>
      </c>
      <c r="D700" s="53" t="s">
        <v>5974</v>
      </c>
      <c r="E700" s="53" t="s">
        <v>5974</v>
      </c>
    </row>
    <row r="701" customFormat="false" ht="15" hidden="false" customHeight="false" outlineLevel="0" collapsed="false">
      <c r="A701" s="85" t="str">
        <f aca="false">Gov_Map!$H26&amp;""</f>
        <v>—</v>
      </c>
      <c r="B701" s="66" t="s">
        <v>5973</v>
      </c>
      <c r="C701" s="53" t="n">
        <v>26</v>
      </c>
      <c r="D701" s="53" t="s">
        <v>5974</v>
      </c>
      <c r="E701" s="53" t="s">
        <v>5974</v>
      </c>
    </row>
    <row r="702" customFormat="false" ht="15" hidden="false" customHeight="false" outlineLevel="0" collapsed="false">
      <c r="A702" s="85" t="str">
        <f aca="false">Gov_Map!$H27&amp;""</f>
        <v>—</v>
      </c>
      <c r="B702" s="66" t="s">
        <v>5973</v>
      </c>
      <c r="C702" s="53" t="n">
        <v>27</v>
      </c>
      <c r="D702" s="53" t="s">
        <v>5974</v>
      </c>
      <c r="E702" s="53" t="s">
        <v>5974</v>
      </c>
    </row>
    <row r="703" customFormat="false" ht="15" hidden="false" customHeight="false" outlineLevel="0" collapsed="false">
      <c r="A703" s="85" t="str">
        <f aca="false">Gov_Map!$H28&amp;""</f>
        <v>—</v>
      </c>
      <c r="B703" s="66" t="s">
        <v>5973</v>
      </c>
      <c r="C703" s="53" t="n">
        <v>28</v>
      </c>
      <c r="D703" s="53" t="s">
        <v>5974</v>
      </c>
      <c r="E703" s="53" t="s">
        <v>5974</v>
      </c>
    </row>
    <row r="704" customFormat="false" ht="15" hidden="false" customHeight="false" outlineLevel="0" collapsed="false">
      <c r="A704" s="85" t="str">
        <f aca="false">Gov_Map!$H29&amp;""</f>
        <v>—</v>
      </c>
      <c r="B704" s="66" t="s">
        <v>5973</v>
      </c>
      <c r="C704" s="53" t="n">
        <v>29</v>
      </c>
      <c r="D704" s="53" t="s">
        <v>5974</v>
      </c>
      <c r="E704" s="53" t="s">
        <v>5974</v>
      </c>
    </row>
    <row r="705" customFormat="false" ht="15" hidden="false" customHeight="false" outlineLevel="0" collapsed="false">
      <c r="A705" s="85" t="str">
        <f aca="false">Gov_Map!$H30&amp;""</f>
        <v>—</v>
      </c>
      <c r="B705" s="66" t="s">
        <v>5973</v>
      </c>
      <c r="C705" s="53" t="n">
        <v>30</v>
      </c>
      <c r="D705" s="53" t="s">
        <v>5974</v>
      </c>
      <c r="E705" s="53" t="s">
        <v>5974</v>
      </c>
    </row>
    <row r="706" customFormat="false" ht="15" hidden="false" customHeight="false" outlineLevel="0" collapsed="false">
      <c r="A706" s="85" t="str">
        <f aca="false">Gov_Map!$H31&amp;""</f>
        <v>—</v>
      </c>
      <c r="B706" s="66" t="s">
        <v>5973</v>
      </c>
      <c r="C706" s="53" t="n">
        <v>31</v>
      </c>
      <c r="D706" s="53" t="s">
        <v>5974</v>
      </c>
      <c r="E706" s="53" t="s">
        <v>5974</v>
      </c>
    </row>
    <row r="707" customFormat="false" ht="15" hidden="false" customHeight="false" outlineLevel="0" collapsed="false">
      <c r="A707" s="85" t="str">
        <f aca="false">Gov_Map!$H32&amp;""</f>
        <v>—</v>
      </c>
      <c r="B707" s="66" t="s">
        <v>5973</v>
      </c>
      <c r="C707" s="53" t="n">
        <v>32</v>
      </c>
      <c r="D707" s="53" t="s">
        <v>5974</v>
      </c>
      <c r="E707" s="53" t="s">
        <v>5974</v>
      </c>
    </row>
    <row r="708" customFormat="false" ht="15" hidden="false" customHeight="false" outlineLevel="0" collapsed="false">
      <c r="A708" s="85" t="str">
        <f aca="false">Gov_Map!$H33&amp;""</f>
        <v>—</v>
      </c>
      <c r="B708" s="66" t="s">
        <v>5973</v>
      </c>
      <c r="C708" s="53" t="n">
        <v>33</v>
      </c>
      <c r="D708" s="53" t="s">
        <v>5974</v>
      </c>
      <c r="E708" s="53" t="s">
        <v>5974</v>
      </c>
    </row>
    <row r="709" customFormat="false" ht="15" hidden="false" customHeight="false" outlineLevel="0" collapsed="false">
      <c r="A709" s="85" t="str">
        <f aca="false">Gov_Map!$H34&amp;""</f>
        <v>—</v>
      </c>
      <c r="B709" s="66" t="s">
        <v>5973</v>
      </c>
      <c r="C709" s="53" t="n">
        <v>34</v>
      </c>
      <c r="D709" s="53" t="s">
        <v>5974</v>
      </c>
      <c r="E709" s="53" t="s">
        <v>5974</v>
      </c>
    </row>
    <row r="710" customFormat="false" ht="15" hidden="false" customHeight="false" outlineLevel="0" collapsed="false">
      <c r="A710" s="85" t="str">
        <f aca="false">Gov_Map!$H35&amp;""</f>
        <v>—</v>
      </c>
      <c r="B710" s="66" t="s">
        <v>5973</v>
      </c>
      <c r="C710" s="53" t="n">
        <v>35</v>
      </c>
      <c r="D710" s="53" t="s">
        <v>5974</v>
      </c>
      <c r="E710" s="53" t="s">
        <v>5974</v>
      </c>
    </row>
    <row r="711" customFormat="false" ht="15" hidden="false" customHeight="false" outlineLevel="0" collapsed="false">
      <c r="A711" s="85" t="str">
        <f aca="false">Gov_Map!$H36&amp;""</f>
        <v>—</v>
      </c>
      <c r="B711" s="66" t="s">
        <v>5973</v>
      </c>
      <c r="C711" s="53" t="n">
        <v>36</v>
      </c>
      <c r="D711" s="53" t="s">
        <v>5974</v>
      </c>
      <c r="E711" s="53" t="s">
        <v>5974</v>
      </c>
    </row>
    <row r="712" customFormat="false" ht="15" hidden="false" customHeight="false" outlineLevel="0" collapsed="false">
      <c r="A712" s="85" t="str">
        <f aca="false">Gov_Map!$H37&amp;""</f>
        <v>—</v>
      </c>
      <c r="B712" s="66" t="s">
        <v>5973</v>
      </c>
      <c r="C712" s="53" t="n">
        <v>37</v>
      </c>
      <c r="D712" s="53" t="s">
        <v>5974</v>
      </c>
      <c r="E712" s="53" t="s">
        <v>5974</v>
      </c>
    </row>
    <row r="713" customFormat="false" ht="15" hidden="false" customHeight="false" outlineLevel="0" collapsed="false">
      <c r="A713" s="85" t="str">
        <f aca="false">Gov_Map!$H38&amp;""</f>
        <v>—</v>
      </c>
      <c r="B713" s="66" t="s">
        <v>5973</v>
      </c>
      <c r="C713" s="53" t="n">
        <v>38</v>
      </c>
      <c r="D713" s="53" t="s">
        <v>5974</v>
      </c>
      <c r="E713" s="53" t="s">
        <v>5974</v>
      </c>
    </row>
    <row r="714" customFormat="false" ht="15" hidden="false" customHeight="false" outlineLevel="0" collapsed="false">
      <c r="A714" s="85" t="str">
        <f aca="false">Gov_Map!$H39&amp;""</f>
        <v>—</v>
      </c>
      <c r="B714" s="66" t="s">
        <v>5973</v>
      </c>
      <c r="C714" s="53" t="n">
        <v>39</v>
      </c>
      <c r="D714" s="53" t="s">
        <v>5974</v>
      </c>
      <c r="E714" s="53" t="s">
        <v>5974</v>
      </c>
    </row>
    <row r="715" customFormat="false" ht="15" hidden="false" customHeight="false" outlineLevel="0" collapsed="false">
      <c r="A715" s="85" t="str">
        <f aca="false">Gov_Map!$H40&amp;""</f>
        <v>—</v>
      </c>
      <c r="B715" s="66" t="s">
        <v>5973</v>
      </c>
      <c r="C715" s="53" t="n">
        <v>40</v>
      </c>
      <c r="D715" s="53" t="s">
        <v>5974</v>
      </c>
      <c r="E715" s="53" t="s">
        <v>5974</v>
      </c>
    </row>
    <row r="716" customFormat="false" ht="15" hidden="false" customHeight="false" outlineLevel="0" collapsed="false">
      <c r="A716" s="85" t="str">
        <f aca="false">Gov_Map!$H41&amp;""</f>
        <v>—</v>
      </c>
      <c r="B716" s="66" t="s">
        <v>5973</v>
      </c>
      <c r="C716" s="53" t="n">
        <v>41</v>
      </c>
      <c r="D716" s="53" t="s">
        <v>5974</v>
      </c>
      <c r="E716" s="53" t="s">
        <v>5974</v>
      </c>
    </row>
    <row r="717" customFormat="false" ht="15" hidden="false" customHeight="false" outlineLevel="0" collapsed="false">
      <c r="A717" s="85" t="str">
        <f aca="false">Gov_Map!$H42&amp;""</f>
        <v>—</v>
      </c>
      <c r="B717" s="66" t="s">
        <v>5973</v>
      </c>
      <c r="C717" s="53" t="n">
        <v>42</v>
      </c>
      <c r="D717" s="53" t="s">
        <v>5974</v>
      </c>
      <c r="E717" s="53" t="s">
        <v>5974</v>
      </c>
    </row>
    <row r="718" customFormat="false" ht="15" hidden="false" customHeight="false" outlineLevel="0" collapsed="false">
      <c r="A718" s="85" t="str">
        <f aca="false">Gov_Map!$H43&amp;""</f>
        <v>—</v>
      </c>
      <c r="B718" s="66" t="s">
        <v>5973</v>
      </c>
      <c r="C718" s="53" t="n">
        <v>43</v>
      </c>
      <c r="D718" s="53" t="s">
        <v>5974</v>
      </c>
      <c r="E718" s="53" t="s">
        <v>5974</v>
      </c>
    </row>
    <row r="719" customFormat="false" ht="15" hidden="false" customHeight="false" outlineLevel="0" collapsed="false">
      <c r="A719" s="85" t="str">
        <f aca="false">Gov_Map!$H44&amp;""</f>
        <v>—</v>
      </c>
      <c r="B719" s="66" t="s">
        <v>5973</v>
      </c>
      <c r="C719" s="53" t="n">
        <v>44</v>
      </c>
      <c r="D719" s="53" t="s">
        <v>5974</v>
      </c>
      <c r="E719" s="53" t="s">
        <v>5974</v>
      </c>
    </row>
    <row r="720" customFormat="false" ht="15" hidden="false" customHeight="false" outlineLevel="0" collapsed="false">
      <c r="A720" s="85" t="str">
        <f aca="false">Gov_Map!$H45&amp;""</f>
        <v>—</v>
      </c>
      <c r="B720" s="66" t="s">
        <v>5973</v>
      </c>
      <c r="C720" s="53" t="n">
        <v>45</v>
      </c>
      <c r="D720" s="53" t="s">
        <v>5974</v>
      </c>
      <c r="E720" s="53" t="s">
        <v>5974</v>
      </c>
    </row>
    <row r="721" customFormat="false" ht="15" hidden="false" customHeight="false" outlineLevel="0" collapsed="false">
      <c r="A721" s="85" t="str">
        <f aca="false">Gov_Map!$H46&amp;""</f>
        <v>—</v>
      </c>
      <c r="B721" s="66" t="s">
        <v>5973</v>
      </c>
      <c r="C721" s="53" t="n">
        <v>46</v>
      </c>
      <c r="D721" s="53" t="s">
        <v>5974</v>
      </c>
      <c r="E721" s="53" t="s">
        <v>5974</v>
      </c>
    </row>
    <row r="722" customFormat="false" ht="15" hidden="false" customHeight="false" outlineLevel="0" collapsed="false">
      <c r="A722" s="85" t="str">
        <f aca="false">Gov_Map!$H47&amp;""</f>
        <v>—</v>
      </c>
      <c r="B722" s="66" t="s">
        <v>5973</v>
      </c>
      <c r="C722" s="53" t="n">
        <v>47</v>
      </c>
      <c r="D722" s="53" t="s">
        <v>5974</v>
      </c>
      <c r="E722" s="53" t="s">
        <v>5974</v>
      </c>
    </row>
    <row r="723" customFormat="false" ht="15" hidden="false" customHeight="false" outlineLevel="0" collapsed="false">
      <c r="A723" s="85" t="str">
        <f aca="false">Gov_Map!$H48&amp;""</f>
        <v>—</v>
      </c>
      <c r="B723" s="66" t="s">
        <v>5973</v>
      </c>
      <c r="C723" s="53" t="n">
        <v>48</v>
      </c>
      <c r="D723" s="53" t="s">
        <v>5974</v>
      </c>
      <c r="E723" s="53" t="s">
        <v>5974</v>
      </c>
    </row>
    <row r="724" customFormat="false" ht="15" hidden="false" customHeight="false" outlineLevel="0" collapsed="false">
      <c r="A724" s="85" t="str">
        <f aca="false">Gov_Map!$H49&amp;""</f>
        <v>—</v>
      </c>
      <c r="B724" s="66" t="s">
        <v>5973</v>
      </c>
      <c r="C724" s="53" t="n">
        <v>49</v>
      </c>
      <c r="D724" s="53" t="s">
        <v>5974</v>
      </c>
      <c r="E724" s="53" t="s">
        <v>5974</v>
      </c>
    </row>
    <row r="725" customFormat="false" ht="15" hidden="false" customHeight="false" outlineLevel="0" collapsed="false">
      <c r="A725" s="85" t="str">
        <f aca="false">Gov_Map!$H50&amp;""</f>
        <v>—</v>
      </c>
      <c r="B725" s="66" t="s">
        <v>5973</v>
      </c>
      <c r="C725" s="53" t="n">
        <v>50</v>
      </c>
      <c r="D725" s="53" t="s">
        <v>5974</v>
      </c>
      <c r="E725" s="53" t="s">
        <v>5974</v>
      </c>
    </row>
    <row r="726" customFormat="false" ht="15" hidden="false" customHeight="false" outlineLevel="0" collapsed="false">
      <c r="A726" s="85" t="str">
        <f aca="false">Gov_Map!$H51&amp;""</f>
        <v>—</v>
      </c>
      <c r="B726" s="66" t="s">
        <v>5973</v>
      </c>
      <c r="C726" s="53" t="n">
        <v>51</v>
      </c>
      <c r="D726" s="53" t="s">
        <v>5974</v>
      </c>
      <c r="E726" s="53" t="s">
        <v>5974</v>
      </c>
    </row>
    <row r="727" customFormat="false" ht="15" hidden="false" customHeight="false" outlineLevel="0" collapsed="false">
      <c r="A727" s="85" t="str">
        <f aca="false">Gov_Map!$H52&amp;""</f>
        <v>—</v>
      </c>
      <c r="B727" s="66" t="s">
        <v>5973</v>
      </c>
      <c r="C727" s="53" t="n">
        <v>52</v>
      </c>
      <c r="D727" s="53" t="s">
        <v>5974</v>
      </c>
      <c r="E727" s="53" t="s">
        <v>5974</v>
      </c>
    </row>
    <row r="728" customFormat="false" ht="15" hidden="false" customHeight="false" outlineLevel="0" collapsed="false">
      <c r="A728" s="85" t="str">
        <f aca="false">Gov_Map!$H53&amp;""</f>
        <v>—</v>
      </c>
      <c r="B728" s="66" t="s">
        <v>5973</v>
      </c>
      <c r="C728" s="53" t="n">
        <v>53</v>
      </c>
      <c r="D728" s="53" t="s">
        <v>5974</v>
      </c>
      <c r="E728" s="53" t="s">
        <v>5974</v>
      </c>
    </row>
    <row r="729" customFormat="false" ht="15" hidden="false" customHeight="false" outlineLevel="0" collapsed="false">
      <c r="A729" s="85" t="str">
        <f aca="false">Gov_Map!$H54&amp;""</f>
        <v>—</v>
      </c>
      <c r="B729" s="66" t="s">
        <v>5973</v>
      </c>
      <c r="C729" s="53" t="n">
        <v>54</v>
      </c>
      <c r="D729" s="53" t="s">
        <v>5974</v>
      </c>
      <c r="E729" s="53" t="s">
        <v>5974</v>
      </c>
    </row>
    <row r="730" customFormat="false" ht="15" hidden="false" customHeight="false" outlineLevel="0" collapsed="false">
      <c r="A730" s="85" t="str">
        <f aca="false">Gov_Map!$H55&amp;""</f>
        <v>—</v>
      </c>
      <c r="B730" s="66" t="s">
        <v>5973</v>
      </c>
      <c r="C730" s="53" t="n">
        <v>55</v>
      </c>
      <c r="D730" s="53" t="s">
        <v>5974</v>
      </c>
      <c r="E730" s="53" t="s">
        <v>5974</v>
      </c>
    </row>
    <row r="731" customFormat="false" ht="15" hidden="false" customHeight="false" outlineLevel="0" collapsed="false">
      <c r="A731" s="85" t="str">
        <f aca="false">Gov_Map!$H56&amp;""</f>
        <v>—</v>
      </c>
      <c r="B731" s="66" t="s">
        <v>5973</v>
      </c>
      <c r="C731" s="53" t="n">
        <v>56</v>
      </c>
      <c r="D731" s="53" t="s">
        <v>5974</v>
      </c>
      <c r="E731" s="53" t="s">
        <v>5974</v>
      </c>
    </row>
    <row r="732" customFormat="false" ht="15" hidden="false" customHeight="false" outlineLevel="0" collapsed="false">
      <c r="A732" s="85" t="str">
        <f aca="false">Gov_Map!$H57&amp;""</f>
        <v>—</v>
      </c>
      <c r="B732" s="66" t="s">
        <v>5973</v>
      </c>
      <c r="C732" s="53" t="n">
        <v>57</v>
      </c>
      <c r="D732" s="53" t="s">
        <v>5974</v>
      </c>
      <c r="E732" s="53" t="s">
        <v>5974</v>
      </c>
    </row>
    <row r="733" customFormat="false" ht="15" hidden="false" customHeight="false" outlineLevel="0" collapsed="false">
      <c r="A733" s="85" t="str">
        <f aca="false">Gov_Map!$H58&amp;""</f>
        <v>—</v>
      </c>
      <c r="B733" s="66" t="s">
        <v>5973</v>
      </c>
      <c r="C733" s="53" t="n">
        <v>58</v>
      </c>
      <c r="D733" s="53" t="s">
        <v>5974</v>
      </c>
      <c r="E733" s="53" t="s">
        <v>5974</v>
      </c>
    </row>
    <row r="734" customFormat="false" ht="15" hidden="false" customHeight="false" outlineLevel="0" collapsed="false">
      <c r="A734" s="85" t="str">
        <f aca="false">Gov_Map!$H59&amp;""</f>
        <v>—</v>
      </c>
      <c r="B734" s="66" t="s">
        <v>5973</v>
      </c>
      <c r="C734" s="53" t="n">
        <v>59</v>
      </c>
      <c r="D734" s="53" t="s">
        <v>5974</v>
      </c>
      <c r="E734" s="53" t="s">
        <v>5974</v>
      </c>
    </row>
    <row r="735" customFormat="false" ht="15" hidden="false" customHeight="false" outlineLevel="0" collapsed="false">
      <c r="A735" s="85" t="str">
        <f aca="false">Gov_Map!$H60&amp;""</f>
        <v>—</v>
      </c>
      <c r="B735" s="66" t="s">
        <v>5973</v>
      </c>
      <c r="C735" s="53" t="n">
        <v>60</v>
      </c>
      <c r="D735" s="53" t="s">
        <v>5974</v>
      </c>
      <c r="E735" s="53" t="s">
        <v>5974</v>
      </c>
    </row>
    <row r="736" customFormat="false" ht="15" hidden="false" customHeight="false" outlineLevel="0" collapsed="false">
      <c r="A736" s="85" t="str">
        <f aca="false">Gov_Map!$H61&amp;""</f>
        <v>—</v>
      </c>
      <c r="B736" s="66" t="s">
        <v>5973</v>
      </c>
      <c r="C736" s="53" t="n">
        <v>61</v>
      </c>
      <c r="D736" s="53" t="s">
        <v>5974</v>
      </c>
      <c r="E736" s="53" t="s">
        <v>5974</v>
      </c>
    </row>
    <row r="737" customFormat="false" ht="15" hidden="false" customHeight="false" outlineLevel="0" collapsed="false">
      <c r="A737" s="85" t="str">
        <f aca="false">Gov_Map!$H62&amp;""</f>
        <v>SRC_DC_007</v>
      </c>
      <c r="B737" s="66" t="s">
        <v>5973</v>
      </c>
      <c r="C737" s="53" t="n">
        <v>62</v>
      </c>
      <c r="D737" s="53" t="s">
        <v>5974</v>
      </c>
      <c r="E737" s="53" t="s">
        <v>5974</v>
      </c>
    </row>
    <row r="738" customFormat="false" ht="15" hidden="false" customHeight="false" outlineLevel="0" collapsed="false">
      <c r="A738" s="85" t="str">
        <f aca="false">Gov_Map!$H63&amp;""</f>
        <v>SRC_DC_007</v>
      </c>
      <c r="B738" s="66" t="s">
        <v>5973</v>
      </c>
      <c r="C738" s="53" t="n">
        <v>63</v>
      </c>
      <c r="D738" s="53" t="s">
        <v>5974</v>
      </c>
      <c r="E738" s="53" t="s">
        <v>5974</v>
      </c>
    </row>
    <row r="739" customFormat="false" ht="15" hidden="false" customHeight="false" outlineLevel="0" collapsed="false">
      <c r="A739" s="85" t="str">
        <f aca="false">Gov_Map!$H64&amp;""</f>
        <v>SRC_DC_008</v>
      </c>
      <c r="B739" s="66" t="s">
        <v>5973</v>
      </c>
      <c r="C739" s="53" t="n">
        <v>64</v>
      </c>
      <c r="D739" s="53" t="s">
        <v>5974</v>
      </c>
      <c r="E739" s="53" t="s">
        <v>5974</v>
      </c>
    </row>
    <row r="740" customFormat="false" ht="15" hidden="false" customHeight="false" outlineLevel="0" collapsed="false">
      <c r="A740" s="85" t="str">
        <f aca="false">Gov_Map!$H65&amp;""</f>
        <v>—</v>
      </c>
      <c r="B740" s="66" t="s">
        <v>5973</v>
      </c>
      <c r="C740" s="53" t="n">
        <v>65</v>
      </c>
      <c r="D740" s="53" t="s">
        <v>5974</v>
      </c>
      <c r="E740" s="53" t="s">
        <v>5974</v>
      </c>
    </row>
    <row r="741" customFormat="false" ht="15" hidden="false" customHeight="false" outlineLevel="0" collapsed="false">
      <c r="A741" s="85" t="str">
        <f aca="false">Gov_Map!$H66&amp;""</f>
        <v>—</v>
      </c>
      <c r="B741" s="66" t="s">
        <v>5973</v>
      </c>
      <c r="C741" s="53" t="n">
        <v>66</v>
      </c>
      <c r="D741" s="53" t="s">
        <v>5974</v>
      </c>
      <c r="E741" s="53" t="s">
        <v>5974</v>
      </c>
    </row>
    <row r="742" customFormat="false" ht="15" hidden="false" customHeight="false" outlineLevel="0" collapsed="false">
      <c r="A742" s="85" t="str">
        <f aca="false">Gov_Map!$H67&amp;""</f>
        <v>—</v>
      </c>
      <c r="B742" s="66" t="s">
        <v>5973</v>
      </c>
      <c r="C742" s="53" t="n">
        <v>67</v>
      </c>
      <c r="D742" s="53" t="s">
        <v>5974</v>
      </c>
      <c r="E742" s="53" t="s">
        <v>5974</v>
      </c>
    </row>
    <row r="743" customFormat="false" ht="15" hidden="false" customHeight="false" outlineLevel="0" collapsed="false">
      <c r="A743" s="85" t="str">
        <f aca="false">Gov_Map!$H68&amp;""</f>
        <v>—</v>
      </c>
      <c r="B743" s="66" t="s">
        <v>5973</v>
      </c>
      <c r="C743" s="53" t="n">
        <v>68</v>
      </c>
      <c r="D743" s="53" t="s">
        <v>5974</v>
      </c>
      <c r="E743" s="53" t="s">
        <v>5974</v>
      </c>
    </row>
    <row r="744" customFormat="false" ht="15" hidden="false" customHeight="false" outlineLevel="0" collapsed="false">
      <c r="A744" s="85" t="str">
        <f aca="false">Gov_Map!$H69&amp;""</f>
        <v>—</v>
      </c>
      <c r="B744" s="66" t="s">
        <v>5973</v>
      </c>
      <c r="C744" s="53" t="n">
        <v>69</v>
      </c>
      <c r="D744" s="53" t="s">
        <v>5974</v>
      </c>
      <c r="E744" s="53" t="s">
        <v>5974</v>
      </c>
    </row>
    <row r="745" customFormat="false" ht="15" hidden="false" customHeight="false" outlineLevel="0" collapsed="false">
      <c r="A745" s="85" t="str">
        <f aca="false">Gov_Map!$H70&amp;""</f>
        <v>SRC_HW_047</v>
      </c>
      <c r="B745" s="66" t="s">
        <v>5973</v>
      </c>
      <c r="C745" s="53" t="n">
        <v>70</v>
      </c>
      <c r="D745" s="53" t="s">
        <v>5974</v>
      </c>
      <c r="E745" s="53" t="s">
        <v>5974</v>
      </c>
    </row>
    <row r="746" customFormat="false" ht="15" hidden="false" customHeight="false" outlineLevel="0" collapsed="false">
      <c r="A746" s="85" t="str">
        <f aca="false">Gov_Map!$H71&amp;""</f>
        <v>SRC_HW_047</v>
      </c>
      <c r="B746" s="66" t="s">
        <v>5973</v>
      </c>
      <c r="C746" s="53" t="n">
        <v>71</v>
      </c>
      <c r="D746" s="53" t="s">
        <v>5974</v>
      </c>
      <c r="E746" s="53" t="s">
        <v>5974</v>
      </c>
    </row>
    <row r="747" customFormat="false" ht="15" hidden="false" customHeight="false" outlineLevel="0" collapsed="false">
      <c r="A747" s="85" t="str">
        <f aca="false">Gov_Map!$H72&amp;""</f>
        <v>SRC_HW_047</v>
      </c>
      <c r="B747" s="66" t="s">
        <v>5973</v>
      </c>
      <c r="C747" s="53" t="n">
        <v>72</v>
      </c>
      <c r="D747" s="53" t="s">
        <v>5974</v>
      </c>
      <c r="E747" s="53" t="s">
        <v>5974</v>
      </c>
    </row>
    <row r="748" customFormat="false" ht="15" hidden="false" customHeight="false" outlineLevel="0" collapsed="false">
      <c r="A748" s="85" t="str">
        <f aca="false">Gov_Map!$H73&amp;""</f>
        <v>SRC_HW_061</v>
      </c>
      <c r="B748" s="66" t="s">
        <v>5973</v>
      </c>
      <c r="C748" s="53" t="n">
        <v>73</v>
      </c>
      <c r="D748" s="53" t="s">
        <v>5974</v>
      </c>
      <c r="E748" s="53" t="s">
        <v>5974</v>
      </c>
    </row>
    <row r="749" customFormat="false" ht="15" hidden="false" customHeight="false" outlineLevel="0" collapsed="false">
      <c r="A749" s="85" t="str">
        <f aca="false">Gov_Map!$H74&amp;""</f>
        <v>—</v>
      </c>
      <c r="B749" s="66" t="s">
        <v>5973</v>
      </c>
      <c r="C749" s="53" t="n">
        <v>74</v>
      </c>
      <c r="D749" s="53" t="s">
        <v>5974</v>
      </c>
      <c r="E749" s="53" t="s">
        <v>5974</v>
      </c>
    </row>
    <row r="750" customFormat="false" ht="15" hidden="false" customHeight="false" outlineLevel="0" collapsed="false">
      <c r="A750" s="85" t="str">
        <f aca="false">Gov_Map!$H75&amp;""</f>
        <v>SRC_HW_004</v>
      </c>
      <c r="B750" s="66" t="s">
        <v>5973</v>
      </c>
      <c r="C750" s="53" t="n">
        <v>75</v>
      </c>
      <c r="D750" s="53" t="s">
        <v>5974</v>
      </c>
      <c r="E750" s="53" t="s">
        <v>5974</v>
      </c>
    </row>
    <row r="751" customFormat="false" ht="15" hidden="false" customHeight="false" outlineLevel="0" collapsed="false">
      <c r="A751" s="85" t="str">
        <f aca="false">Gov_Map!$H76&amp;""</f>
        <v>SRC_HW_005</v>
      </c>
      <c r="B751" s="66" t="s">
        <v>5973</v>
      </c>
      <c r="C751" s="53" t="n">
        <v>76</v>
      </c>
      <c r="D751" s="53" t="s">
        <v>5974</v>
      </c>
      <c r="E751" s="53" t="s">
        <v>5974</v>
      </c>
    </row>
    <row r="752" customFormat="false" ht="15" hidden="false" customHeight="false" outlineLevel="0" collapsed="false">
      <c r="A752" s="85" t="str">
        <f aca="false">Gov_Map!$H77&amp;""</f>
        <v>SRC_HW_011</v>
      </c>
      <c r="B752" s="66" t="s">
        <v>5973</v>
      </c>
      <c r="C752" s="53" t="n">
        <v>77</v>
      </c>
      <c r="D752" s="53" t="s">
        <v>5974</v>
      </c>
      <c r="E752" s="53" t="s">
        <v>5974</v>
      </c>
    </row>
    <row r="753" customFormat="false" ht="15" hidden="false" customHeight="false" outlineLevel="0" collapsed="false">
      <c r="A753" s="85" t="str">
        <f aca="false">Gov_Map!$H78&amp;""</f>
        <v>—</v>
      </c>
      <c r="B753" s="66" t="s">
        <v>5973</v>
      </c>
      <c r="C753" s="53" t="n">
        <v>78</v>
      </c>
      <c r="D753" s="53" t="s">
        <v>5974</v>
      </c>
      <c r="E753" s="53" t="s">
        <v>5974</v>
      </c>
    </row>
    <row r="754" customFormat="false" ht="15" hidden="false" customHeight="false" outlineLevel="0" collapsed="false">
      <c r="A754" s="85" t="str">
        <f aca="false">Gov_Map!$H79&amp;""</f>
        <v>SRC_HW_001</v>
      </c>
      <c r="B754" s="66" t="s">
        <v>5973</v>
      </c>
      <c r="C754" s="53" t="n">
        <v>79</v>
      </c>
      <c r="D754" s="53" t="s">
        <v>5974</v>
      </c>
      <c r="E754" s="53" t="s">
        <v>5974</v>
      </c>
    </row>
    <row r="755" customFormat="false" ht="15" hidden="false" customHeight="false" outlineLevel="0" collapsed="false">
      <c r="A755" s="85" t="str">
        <f aca="false">Gov_Map!$H80&amp;""</f>
        <v>SRC_HW_004</v>
      </c>
      <c r="B755" s="66" t="s">
        <v>5973</v>
      </c>
      <c r="C755" s="53" t="n">
        <v>80</v>
      </c>
      <c r="D755" s="53" t="s">
        <v>5974</v>
      </c>
      <c r="E755" s="53" t="s">
        <v>5974</v>
      </c>
    </row>
    <row r="756" customFormat="false" ht="15" hidden="false" customHeight="false" outlineLevel="0" collapsed="false">
      <c r="A756" s="85" t="str">
        <f aca="false">Gov_Map!$H81&amp;""</f>
        <v>SRC_HW_005</v>
      </c>
      <c r="B756" s="66" t="s">
        <v>5973</v>
      </c>
      <c r="C756" s="53" t="n">
        <v>81</v>
      </c>
      <c r="D756" s="53" t="s">
        <v>5974</v>
      </c>
      <c r="E756" s="53" t="s">
        <v>5974</v>
      </c>
    </row>
    <row r="757" customFormat="false" ht="15" hidden="false" customHeight="false" outlineLevel="0" collapsed="false">
      <c r="A757" s="85" t="str">
        <f aca="false">Gov_Map!$H82&amp;""</f>
        <v>SRC_HW_014</v>
      </c>
      <c r="B757" s="66" t="s">
        <v>5973</v>
      </c>
      <c r="C757" s="53" t="n">
        <v>82</v>
      </c>
      <c r="D757" s="53" t="s">
        <v>5974</v>
      </c>
      <c r="E757" s="53" t="s">
        <v>5974</v>
      </c>
    </row>
    <row r="758" customFormat="false" ht="15" hidden="false" customHeight="false" outlineLevel="0" collapsed="false">
      <c r="A758" s="85" t="str">
        <f aca="false">Gov_Map!$H83&amp;""</f>
        <v>—</v>
      </c>
      <c r="B758" s="66" t="s">
        <v>5973</v>
      </c>
      <c r="C758" s="53" t="n">
        <v>83</v>
      </c>
      <c r="D758" s="53" t="s">
        <v>5974</v>
      </c>
      <c r="E758" s="53" t="s">
        <v>5974</v>
      </c>
    </row>
    <row r="759" customFormat="false" ht="15" hidden="false" customHeight="false" outlineLevel="0" collapsed="false">
      <c r="A759" s="85" t="str">
        <f aca="false">Gov_Map!$H84&amp;""</f>
        <v>—</v>
      </c>
      <c r="B759" s="66" t="s">
        <v>5973</v>
      </c>
      <c r="C759" s="53" t="n">
        <v>84</v>
      </c>
      <c r="D759" s="53" t="s">
        <v>5974</v>
      </c>
      <c r="E759" s="53" t="s">
        <v>5974</v>
      </c>
    </row>
    <row r="760" customFormat="false" ht="15" hidden="false" customHeight="false" outlineLevel="0" collapsed="false">
      <c r="A760" s="85" t="str">
        <f aca="false">Gov_Map!$H85&amp;""</f>
        <v>—</v>
      </c>
      <c r="B760" s="66" t="s">
        <v>5973</v>
      </c>
      <c r="C760" s="53" t="n">
        <v>85</v>
      </c>
      <c r="D760" s="53" t="s">
        <v>5974</v>
      </c>
      <c r="E760" s="53" t="s">
        <v>5974</v>
      </c>
    </row>
    <row r="761" customFormat="false" ht="15" hidden="false" customHeight="false" outlineLevel="0" collapsed="false">
      <c r="A761" s="85" t="str">
        <f aca="false">Gov_Map!$H86&amp;""</f>
        <v>SRC_HW_005</v>
      </c>
      <c r="B761" s="66" t="s">
        <v>5973</v>
      </c>
      <c r="C761" s="53" t="n">
        <v>86</v>
      </c>
      <c r="D761" s="53" t="s">
        <v>5974</v>
      </c>
      <c r="E761" s="53" t="s">
        <v>5974</v>
      </c>
    </row>
    <row r="762" customFormat="false" ht="15" hidden="false" customHeight="false" outlineLevel="0" collapsed="false">
      <c r="A762" s="85" t="str">
        <f aca="false">Gov_Map!$H87&amp;""</f>
        <v>SRC_HW_012</v>
      </c>
      <c r="B762" s="66" t="s">
        <v>5973</v>
      </c>
      <c r="C762" s="53" t="n">
        <v>87</v>
      </c>
      <c r="D762" s="53" t="s">
        <v>5974</v>
      </c>
      <c r="E762" s="53" t="s">
        <v>5974</v>
      </c>
    </row>
    <row r="763" customFormat="false" ht="15" hidden="false" customHeight="false" outlineLevel="0" collapsed="false">
      <c r="A763" s="85" t="str">
        <f aca="false">Gov_Map!$H88&amp;""</f>
        <v>—</v>
      </c>
      <c r="B763" s="66" t="s">
        <v>5973</v>
      </c>
      <c r="C763" s="53" t="n">
        <v>88</v>
      </c>
      <c r="D763" s="53" t="s">
        <v>5974</v>
      </c>
      <c r="E763" s="53" t="s">
        <v>5974</v>
      </c>
    </row>
    <row r="764" customFormat="false" ht="15" hidden="false" customHeight="false" outlineLevel="0" collapsed="false">
      <c r="A764" s="85" t="str">
        <f aca="false">Gov_Map!$H89&amp;""</f>
        <v>SRC_HW_003</v>
      </c>
      <c r="B764" s="66" t="s">
        <v>5973</v>
      </c>
      <c r="C764" s="53" t="n">
        <v>89</v>
      </c>
      <c r="D764" s="53" t="s">
        <v>5974</v>
      </c>
      <c r="E764" s="53" t="s">
        <v>5974</v>
      </c>
    </row>
    <row r="765" customFormat="false" ht="15" hidden="false" customHeight="false" outlineLevel="0" collapsed="false">
      <c r="A765" s="85" t="str">
        <f aca="false">Gov_Map!$H90&amp;""</f>
        <v>SRC_HW_006</v>
      </c>
      <c r="B765" s="66" t="s">
        <v>5973</v>
      </c>
      <c r="C765" s="53" t="n">
        <v>90</v>
      </c>
      <c r="D765" s="53" t="s">
        <v>5974</v>
      </c>
      <c r="E765" s="53" t="s">
        <v>5974</v>
      </c>
    </row>
    <row r="766" customFormat="false" ht="15" hidden="false" customHeight="false" outlineLevel="0" collapsed="false">
      <c r="A766" s="85" t="str">
        <f aca="false">Gov_Map!$H91&amp;""</f>
        <v>SRC_HW_052</v>
      </c>
      <c r="B766" s="66" t="s">
        <v>5973</v>
      </c>
      <c r="C766" s="53" t="n">
        <v>91</v>
      </c>
      <c r="D766" s="53" t="s">
        <v>5974</v>
      </c>
      <c r="E766" s="53" t="s">
        <v>5974</v>
      </c>
    </row>
    <row r="767" customFormat="false" ht="15" hidden="false" customHeight="false" outlineLevel="0" collapsed="false">
      <c r="A767" s="85" t="str">
        <f aca="false">Gov_Map!$H92&amp;""</f>
        <v>SRC_HW_015</v>
      </c>
      <c r="B767" s="66" t="s">
        <v>5973</v>
      </c>
      <c r="C767" s="53" t="n">
        <v>92</v>
      </c>
      <c r="D767" s="53" t="s">
        <v>5974</v>
      </c>
      <c r="E767" s="53" t="s">
        <v>5974</v>
      </c>
    </row>
    <row r="768" customFormat="false" ht="15" hidden="false" customHeight="false" outlineLevel="0" collapsed="false">
      <c r="A768" s="85" t="str">
        <f aca="false">Gov_Map!$H93&amp;""</f>
        <v>—</v>
      </c>
      <c r="B768" s="66" t="s">
        <v>5973</v>
      </c>
      <c r="C768" s="53" t="n">
        <v>93</v>
      </c>
      <c r="D768" s="53" t="s">
        <v>5974</v>
      </c>
      <c r="E768" s="53" t="s">
        <v>5974</v>
      </c>
    </row>
    <row r="769" customFormat="false" ht="15" hidden="false" customHeight="false" outlineLevel="0" collapsed="false">
      <c r="A769" s="85" t="str">
        <f aca="false">Gov_Map!$H94&amp;""</f>
        <v>SRC_HW_003</v>
      </c>
      <c r="B769" s="66" t="s">
        <v>5973</v>
      </c>
      <c r="C769" s="53" t="n">
        <v>94</v>
      </c>
      <c r="D769" s="53" t="s">
        <v>5974</v>
      </c>
      <c r="E769" s="53" t="s">
        <v>5974</v>
      </c>
    </row>
    <row r="770" customFormat="false" ht="15" hidden="false" customHeight="false" outlineLevel="0" collapsed="false">
      <c r="A770" s="85" t="str">
        <f aca="false">Gov_Map!$H95&amp;""</f>
        <v>SRC_HW_006</v>
      </c>
      <c r="B770" s="66" t="s">
        <v>5973</v>
      </c>
      <c r="C770" s="53" t="n">
        <v>95</v>
      </c>
      <c r="D770" s="53" t="s">
        <v>5974</v>
      </c>
      <c r="E770" s="53" t="s">
        <v>5974</v>
      </c>
    </row>
    <row r="771" customFormat="false" ht="15" hidden="false" customHeight="false" outlineLevel="0" collapsed="false">
      <c r="A771" s="85" t="str">
        <f aca="false">Gov_Map!$H96&amp;""</f>
        <v>SRC_HW_010</v>
      </c>
      <c r="B771" s="66" t="s">
        <v>5973</v>
      </c>
      <c r="C771" s="53" t="n">
        <v>96</v>
      </c>
      <c r="D771" s="53" t="s">
        <v>5974</v>
      </c>
      <c r="E771" s="53" t="s">
        <v>5974</v>
      </c>
    </row>
    <row r="772" customFormat="false" ht="15" hidden="false" customHeight="false" outlineLevel="0" collapsed="false">
      <c r="A772" s="85" t="str">
        <f aca="false">Gov_Map!$H97&amp;""</f>
        <v>SRC_HW_015</v>
      </c>
      <c r="B772" s="66" t="s">
        <v>5973</v>
      </c>
      <c r="C772" s="53" t="n">
        <v>97</v>
      </c>
      <c r="D772" s="53" t="s">
        <v>5974</v>
      </c>
      <c r="E772" s="53" t="s">
        <v>5974</v>
      </c>
    </row>
    <row r="773" customFormat="false" ht="15" hidden="false" customHeight="false" outlineLevel="0" collapsed="false">
      <c r="A773" s="85" t="str">
        <f aca="false">Gov_Map!$H98&amp;""</f>
        <v>—</v>
      </c>
      <c r="B773" s="66" t="s">
        <v>5973</v>
      </c>
      <c r="C773" s="53" t="n">
        <v>98</v>
      </c>
      <c r="D773" s="53" t="s">
        <v>5974</v>
      </c>
      <c r="E773" s="53" t="s">
        <v>5974</v>
      </c>
    </row>
    <row r="774" customFormat="false" ht="15" hidden="false" customHeight="false" outlineLevel="0" collapsed="false">
      <c r="A774" s="85" t="str">
        <f aca="false">Gov_Map!$H99&amp;""</f>
        <v>SRC_HW_003</v>
      </c>
      <c r="B774" s="66" t="s">
        <v>5973</v>
      </c>
      <c r="C774" s="53" t="n">
        <v>99</v>
      </c>
      <c r="D774" s="53" t="s">
        <v>5974</v>
      </c>
      <c r="E774" s="53" t="s">
        <v>5974</v>
      </c>
    </row>
    <row r="775" customFormat="false" ht="15" hidden="false" customHeight="false" outlineLevel="0" collapsed="false">
      <c r="A775" s="85" t="str">
        <f aca="false">Gov_Map!$H100&amp;""</f>
        <v>SRC_HW_006</v>
      </c>
      <c r="B775" s="66" t="s">
        <v>5973</v>
      </c>
      <c r="C775" s="53" t="n">
        <v>100</v>
      </c>
      <c r="D775" s="53" t="s">
        <v>5974</v>
      </c>
      <c r="E775" s="53" t="s">
        <v>5974</v>
      </c>
    </row>
    <row r="776" customFormat="false" ht="15" hidden="false" customHeight="false" outlineLevel="0" collapsed="false">
      <c r="A776" s="85" t="str">
        <f aca="false">Gov_Map!$H101&amp;""</f>
        <v>SRC_HW_007</v>
      </c>
      <c r="B776" s="66" t="s">
        <v>5973</v>
      </c>
      <c r="C776" s="53" t="n">
        <v>101</v>
      </c>
      <c r="D776" s="53" t="s">
        <v>5974</v>
      </c>
      <c r="E776" s="53" t="s">
        <v>5974</v>
      </c>
    </row>
    <row r="777" customFormat="false" ht="15" hidden="false" customHeight="false" outlineLevel="0" collapsed="false">
      <c r="A777" s="85" t="str">
        <f aca="false">Gov_Map!$H102&amp;""</f>
        <v>SRC_HW_017</v>
      </c>
      <c r="B777" s="66" t="s">
        <v>5973</v>
      </c>
      <c r="C777" s="53" t="n">
        <v>102</v>
      </c>
      <c r="D777" s="53" t="s">
        <v>5974</v>
      </c>
      <c r="E777" s="53" t="s">
        <v>5974</v>
      </c>
    </row>
    <row r="778" customFormat="false" ht="15" hidden="false" customHeight="false" outlineLevel="0" collapsed="false">
      <c r="A778" s="85" t="str">
        <f aca="false">Gov_Map!$H103&amp;""</f>
        <v>—</v>
      </c>
      <c r="B778" s="66" t="s">
        <v>5973</v>
      </c>
      <c r="C778" s="53" t="n">
        <v>103</v>
      </c>
      <c r="D778" s="53" t="s">
        <v>5974</v>
      </c>
      <c r="E778" s="53" t="s">
        <v>5974</v>
      </c>
    </row>
    <row r="779" customFormat="false" ht="15" hidden="false" customHeight="false" outlineLevel="0" collapsed="false">
      <c r="A779" s="85" t="str">
        <f aca="false">Gov_Map!$H104&amp;""</f>
        <v>SRC_HW_040</v>
      </c>
      <c r="B779" s="66" t="s">
        <v>5973</v>
      </c>
      <c r="C779" s="53" t="n">
        <v>104</v>
      </c>
      <c r="D779" s="53" t="s">
        <v>5974</v>
      </c>
      <c r="E779" s="53" t="s">
        <v>5974</v>
      </c>
    </row>
    <row r="780" customFormat="false" ht="15" hidden="false" customHeight="false" outlineLevel="0" collapsed="false">
      <c r="A780" s="85" t="str">
        <f aca="false">Gov_Map!$H105&amp;""</f>
        <v>SRC_HW_022</v>
      </c>
      <c r="B780" s="66" t="s">
        <v>5973</v>
      </c>
      <c r="C780" s="53" t="n">
        <v>105</v>
      </c>
      <c r="D780" s="53" t="s">
        <v>5974</v>
      </c>
      <c r="E780" s="53" t="s">
        <v>5974</v>
      </c>
    </row>
    <row r="781" customFormat="false" ht="15" hidden="false" customHeight="false" outlineLevel="0" collapsed="false">
      <c r="A781" s="85" t="str">
        <f aca="false">Gov_Map!$H106&amp;""</f>
        <v>SRC_HW_025</v>
      </c>
      <c r="B781" s="66" t="s">
        <v>5973</v>
      </c>
      <c r="C781" s="53" t="n">
        <v>106</v>
      </c>
      <c r="D781" s="53" t="s">
        <v>5974</v>
      </c>
      <c r="E781" s="53" t="s">
        <v>5974</v>
      </c>
    </row>
    <row r="782" customFormat="false" ht="15" hidden="false" customHeight="false" outlineLevel="0" collapsed="false">
      <c r="A782" s="85" t="str">
        <f aca="false">Gov_Map!$H107&amp;""</f>
        <v>SRC_HW_028</v>
      </c>
      <c r="B782" s="66" t="s">
        <v>5973</v>
      </c>
      <c r="C782" s="53" t="n">
        <v>107</v>
      </c>
      <c r="D782" s="53" t="s">
        <v>5974</v>
      </c>
      <c r="E782" s="53" t="s">
        <v>5974</v>
      </c>
    </row>
    <row r="783" customFormat="false" ht="15" hidden="false" customHeight="false" outlineLevel="0" collapsed="false">
      <c r="A783" s="85" t="str">
        <f aca="false">Gov_Map!$H108&amp;""</f>
        <v>SRC_HW_063</v>
      </c>
      <c r="B783" s="66" t="s">
        <v>5973</v>
      </c>
      <c r="C783" s="53" t="n">
        <v>108</v>
      </c>
      <c r="D783" s="53" t="s">
        <v>5974</v>
      </c>
      <c r="E783" s="53" t="s">
        <v>5974</v>
      </c>
    </row>
    <row r="784" customFormat="false" ht="15" hidden="false" customHeight="false" outlineLevel="0" collapsed="false">
      <c r="A784" s="85" t="str">
        <f aca="false">Gov_Map!$H109&amp;""</f>
        <v>—</v>
      </c>
      <c r="B784" s="66" t="s">
        <v>5973</v>
      </c>
      <c r="C784" s="53" t="n">
        <v>109</v>
      </c>
      <c r="D784" s="53" t="s">
        <v>5974</v>
      </c>
      <c r="E784" s="53" t="s">
        <v>5974</v>
      </c>
    </row>
    <row r="785" customFormat="false" ht="15" hidden="false" customHeight="false" outlineLevel="0" collapsed="false">
      <c r="A785" s="85" t="str">
        <f aca="false">Gov_Map!$H110&amp;""</f>
        <v>SRC_HW_022</v>
      </c>
      <c r="B785" s="66" t="s">
        <v>5973</v>
      </c>
      <c r="C785" s="53" t="n">
        <v>110</v>
      </c>
      <c r="D785" s="53" t="s">
        <v>5974</v>
      </c>
      <c r="E785" s="53" t="s">
        <v>5974</v>
      </c>
    </row>
    <row r="786" customFormat="false" ht="15" hidden="false" customHeight="false" outlineLevel="0" collapsed="false">
      <c r="A786" s="85" t="str">
        <f aca="false">Gov_Map!$H111&amp;""</f>
        <v>SRC_HW_025</v>
      </c>
      <c r="B786" s="66" t="s">
        <v>5973</v>
      </c>
      <c r="C786" s="53" t="n">
        <v>111</v>
      </c>
      <c r="D786" s="53" t="s">
        <v>5974</v>
      </c>
      <c r="E786" s="53" t="s">
        <v>5974</v>
      </c>
    </row>
    <row r="787" customFormat="false" ht="15" hidden="false" customHeight="false" outlineLevel="0" collapsed="false">
      <c r="A787" s="85" t="str">
        <f aca="false">Gov_Map!$H112&amp;""</f>
        <v>SRC_HW_027</v>
      </c>
      <c r="B787" s="66" t="s">
        <v>5973</v>
      </c>
      <c r="C787" s="53" t="n">
        <v>112</v>
      </c>
      <c r="D787" s="53" t="s">
        <v>5974</v>
      </c>
      <c r="E787" s="53" t="s">
        <v>5974</v>
      </c>
    </row>
    <row r="788" customFormat="false" ht="15" hidden="false" customHeight="false" outlineLevel="0" collapsed="false">
      <c r="A788" s="85" t="str">
        <f aca="false">Gov_Map!$H113&amp;""</f>
        <v>SRC_HW_063</v>
      </c>
      <c r="B788" s="66" t="s">
        <v>5973</v>
      </c>
      <c r="C788" s="53" t="n">
        <v>113</v>
      </c>
      <c r="D788" s="53" t="s">
        <v>5974</v>
      </c>
      <c r="E788" s="53" t="s">
        <v>5974</v>
      </c>
    </row>
    <row r="789" customFormat="false" ht="15" hidden="false" customHeight="false" outlineLevel="0" collapsed="false">
      <c r="A789" s="85" t="str">
        <f aca="false">Gov_Map!$H114&amp;""</f>
        <v>SRC_HW_020</v>
      </c>
      <c r="B789" s="66" t="s">
        <v>5973</v>
      </c>
      <c r="C789" s="53" t="n">
        <v>114</v>
      </c>
      <c r="D789" s="53" t="s">
        <v>5974</v>
      </c>
      <c r="E789" s="53" t="s">
        <v>5974</v>
      </c>
    </row>
    <row r="790" customFormat="false" ht="15" hidden="false" customHeight="false" outlineLevel="0" collapsed="false">
      <c r="A790" s="85" t="str">
        <f aca="false">Gov_Map!$H115&amp;""</f>
        <v>SRC_HW_041</v>
      </c>
      <c r="B790" s="66" t="s">
        <v>5973</v>
      </c>
      <c r="C790" s="53" t="n">
        <v>115</v>
      </c>
      <c r="D790" s="53" t="s">
        <v>5974</v>
      </c>
      <c r="E790" s="53" t="s">
        <v>5974</v>
      </c>
    </row>
    <row r="791" customFormat="false" ht="15" hidden="false" customHeight="false" outlineLevel="0" collapsed="false">
      <c r="A791" s="85" t="str">
        <f aca="false">Gov_Map!$H116&amp;""</f>
        <v>SRC_HW_026</v>
      </c>
      <c r="B791" s="66" t="s">
        <v>5973</v>
      </c>
      <c r="C791" s="53" t="n">
        <v>116</v>
      </c>
      <c r="D791" s="53" t="s">
        <v>5974</v>
      </c>
      <c r="E791" s="53" t="s">
        <v>5974</v>
      </c>
    </row>
    <row r="792" customFormat="false" ht="15" hidden="false" customHeight="false" outlineLevel="0" collapsed="false">
      <c r="A792" s="85" t="str">
        <f aca="false">Gov_Map!$H117&amp;""</f>
        <v>SRC_HW_029</v>
      </c>
      <c r="B792" s="66" t="s">
        <v>5973</v>
      </c>
      <c r="C792" s="53" t="n">
        <v>117</v>
      </c>
      <c r="D792" s="53" t="s">
        <v>5974</v>
      </c>
      <c r="E792" s="53" t="s">
        <v>5974</v>
      </c>
    </row>
    <row r="793" customFormat="false" ht="15" hidden="false" customHeight="false" outlineLevel="0" collapsed="false">
      <c r="A793" s="85" t="str">
        <f aca="false">Gov_Map!$H118&amp;""</f>
        <v>—</v>
      </c>
      <c r="B793" s="66" t="s">
        <v>5973</v>
      </c>
      <c r="C793" s="53" t="n">
        <v>118</v>
      </c>
      <c r="D793" s="53" t="s">
        <v>5974</v>
      </c>
      <c r="E793" s="53" t="s">
        <v>5974</v>
      </c>
    </row>
    <row r="794" customFormat="false" ht="15" hidden="false" customHeight="false" outlineLevel="0" collapsed="false">
      <c r="A794" s="85" t="str">
        <f aca="false">Gov_Map!$H119&amp;""</f>
        <v>SRC_HW_021</v>
      </c>
      <c r="B794" s="66" t="s">
        <v>5973</v>
      </c>
      <c r="C794" s="53" t="n">
        <v>119</v>
      </c>
      <c r="D794" s="53" t="s">
        <v>5974</v>
      </c>
      <c r="E794" s="53" t="s">
        <v>5974</v>
      </c>
    </row>
    <row r="795" customFormat="false" ht="15" hidden="false" customHeight="false" outlineLevel="0" collapsed="false">
      <c r="A795" s="85" t="str">
        <f aca="false">Gov_Map!$H120&amp;""</f>
        <v>SRC_HW_023</v>
      </c>
      <c r="B795" s="66" t="s">
        <v>5973</v>
      </c>
      <c r="C795" s="53" t="n">
        <v>120</v>
      </c>
      <c r="D795" s="53" t="s">
        <v>5974</v>
      </c>
      <c r="E795" s="53" t="s">
        <v>5974</v>
      </c>
    </row>
    <row r="796" customFormat="false" ht="15" hidden="false" customHeight="false" outlineLevel="0" collapsed="false">
      <c r="A796" s="85" t="str">
        <f aca="false">Gov_Map!$H121&amp;""</f>
        <v>SRC_HW_059</v>
      </c>
      <c r="B796" s="66" t="s">
        <v>5973</v>
      </c>
      <c r="C796" s="53" t="n">
        <v>121</v>
      </c>
      <c r="D796" s="53" t="s">
        <v>5974</v>
      </c>
      <c r="E796" s="53" t="s">
        <v>5974</v>
      </c>
    </row>
    <row r="797" customFormat="false" ht="15" hidden="false" customHeight="false" outlineLevel="0" collapsed="false">
      <c r="A797" s="85" t="str">
        <f aca="false">Gov_Map!$H122&amp;""</f>
        <v>SRC_HW_030</v>
      </c>
      <c r="B797" s="66" t="s">
        <v>5973</v>
      </c>
      <c r="C797" s="53" t="n">
        <v>122</v>
      </c>
      <c r="D797" s="53" t="s">
        <v>5974</v>
      </c>
      <c r="E797" s="53" t="s">
        <v>5974</v>
      </c>
    </row>
    <row r="798" customFormat="false" ht="15" hidden="false" customHeight="false" outlineLevel="0" collapsed="false">
      <c r="A798" s="85" t="str">
        <f aca="false">Gov_Map!$H123&amp;""</f>
        <v>SRC_HW_044</v>
      </c>
      <c r="B798" s="66" t="s">
        <v>5973</v>
      </c>
      <c r="C798" s="53" t="n">
        <v>123</v>
      </c>
      <c r="D798" s="53" t="s">
        <v>5974</v>
      </c>
      <c r="E798" s="53" t="s">
        <v>5974</v>
      </c>
    </row>
    <row r="799" customFormat="false" ht="15" hidden="false" customHeight="false" outlineLevel="0" collapsed="false">
      <c r="A799" s="85" t="str">
        <f aca="false">Gov_Map!$H124&amp;""</f>
        <v>SRC_HW_060</v>
      </c>
      <c r="B799" s="66" t="s">
        <v>5973</v>
      </c>
      <c r="C799" s="53" t="n">
        <v>124</v>
      </c>
      <c r="D799" s="53" t="s">
        <v>5974</v>
      </c>
      <c r="E799" s="53" t="s">
        <v>5974</v>
      </c>
    </row>
    <row r="800" customFormat="false" ht="15" hidden="false" customHeight="false" outlineLevel="0" collapsed="false">
      <c r="A800" s="85" t="str">
        <f aca="false">Gov_Map!$H125&amp;""</f>
        <v>SRC_HW_048</v>
      </c>
      <c r="B800" s="66" t="s">
        <v>5973</v>
      </c>
      <c r="C800" s="53" t="n">
        <v>125</v>
      </c>
      <c r="D800" s="53" t="s">
        <v>5974</v>
      </c>
      <c r="E800" s="53" t="s">
        <v>5974</v>
      </c>
    </row>
    <row r="801" customFormat="false" ht="15" hidden="false" customHeight="false" outlineLevel="0" collapsed="false">
      <c r="A801" s="85" t="str">
        <f aca="false">Gov_Map!$H126&amp;""</f>
        <v>SRC_HW_048</v>
      </c>
      <c r="B801" s="66" t="s">
        <v>5973</v>
      </c>
      <c r="C801" s="53" t="n">
        <v>126</v>
      </c>
      <c r="D801" s="53" t="s">
        <v>5974</v>
      </c>
      <c r="E801" s="53" t="s">
        <v>5974</v>
      </c>
    </row>
    <row r="802" customFormat="false" ht="15" hidden="false" customHeight="false" outlineLevel="0" collapsed="false">
      <c r="A802" s="85" t="str">
        <f aca="false">Gov_Map!$H127&amp;""</f>
        <v>SRC_HW_049</v>
      </c>
      <c r="B802" s="66" t="s">
        <v>5973</v>
      </c>
      <c r="C802" s="53" t="n">
        <v>127</v>
      </c>
      <c r="D802" s="53" t="s">
        <v>5974</v>
      </c>
      <c r="E802" s="53" t="s">
        <v>5974</v>
      </c>
    </row>
    <row r="803" customFormat="false" ht="15" hidden="false" customHeight="false" outlineLevel="0" collapsed="false">
      <c r="A803" s="85" t="str">
        <f aca="false">Gov_Map!$H128&amp;""</f>
        <v>—</v>
      </c>
      <c r="B803" s="66" t="s">
        <v>5973</v>
      </c>
      <c r="C803" s="53" t="n">
        <v>128</v>
      </c>
      <c r="D803" s="53" t="s">
        <v>5974</v>
      </c>
      <c r="E803" s="53" t="s">
        <v>5974</v>
      </c>
    </row>
    <row r="804" customFormat="false" ht="15" hidden="false" customHeight="false" outlineLevel="0" collapsed="false">
      <c r="A804" s="85" t="str">
        <f aca="false">Gov_Map!$H129&amp;""</f>
        <v>SRC_HW_053</v>
      </c>
      <c r="B804" s="66" t="s">
        <v>5973</v>
      </c>
      <c r="C804" s="53" t="n">
        <v>129</v>
      </c>
      <c r="D804" s="53" t="s">
        <v>5974</v>
      </c>
      <c r="E804" s="53" t="s">
        <v>5974</v>
      </c>
    </row>
    <row r="805" customFormat="false" ht="15" hidden="false" customHeight="false" outlineLevel="0" collapsed="false">
      <c r="A805" s="85" t="str">
        <f aca="false">Gov_Map!$H130&amp;""</f>
        <v>SRC_HW_047</v>
      </c>
      <c r="B805" s="66" t="s">
        <v>5973</v>
      </c>
      <c r="C805" s="53" t="n">
        <v>130</v>
      </c>
      <c r="D805" s="53" t="s">
        <v>5974</v>
      </c>
      <c r="E805" s="53" t="s">
        <v>5974</v>
      </c>
    </row>
    <row r="806" customFormat="false" ht="15" hidden="false" customHeight="false" outlineLevel="0" collapsed="false">
      <c r="A806" s="85" t="str">
        <f aca="false">Gov_Map!$H131&amp;""</f>
        <v>SRC_HW_047</v>
      </c>
      <c r="B806" s="66" t="s">
        <v>5973</v>
      </c>
      <c r="C806" s="53" t="n">
        <v>131</v>
      </c>
      <c r="D806" s="53" t="s">
        <v>5974</v>
      </c>
      <c r="E806" s="53" t="s">
        <v>5974</v>
      </c>
    </row>
    <row r="807" customFormat="false" ht="15" hidden="false" customHeight="false" outlineLevel="0" collapsed="false">
      <c r="A807" s="85" t="str">
        <f aca="false">Gov_Map!$H132&amp;""</f>
        <v>SRC_HW_047</v>
      </c>
      <c r="B807" s="66" t="s">
        <v>5973</v>
      </c>
      <c r="C807" s="53" t="n">
        <v>132</v>
      </c>
      <c r="D807" s="53" t="s">
        <v>5974</v>
      </c>
      <c r="E807" s="53" t="s">
        <v>5974</v>
      </c>
    </row>
    <row r="808" customFormat="false" ht="15" hidden="false" customHeight="false" outlineLevel="0" collapsed="false">
      <c r="A808" s="85" t="str">
        <f aca="false">Gov_Map!$H133&amp;""</f>
        <v>SRC_HW_062</v>
      </c>
      <c r="B808" s="66" t="s">
        <v>5973</v>
      </c>
      <c r="C808" s="53" t="n">
        <v>133</v>
      </c>
      <c r="D808" s="53" t="s">
        <v>5974</v>
      </c>
      <c r="E808" s="53" t="s">
        <v>5974</v>
      </c>
    </row>
    <row r="809" customFormat="false" ht="15" hidden="false" customHeight="false" outlineLevel="0" collapsed="false">
      <c r="A809" s="85" t="str">
        <f aca="false">Gov_Map!$H134&amp;""</f>
        <v>SRC_PERF_051</v>
      </c>
      <c r="B809" s="66" t="s">
        <v>5973</v>
      </c>
      <c r="C809" s="53" t="n">
        <v>134</v>
      </c>
      <c r="D809" s="53" t="s">
        <v>5974</v>
      </c>
      <c r="E809" s="53" t="s">
        <v>5974</v>
      </c>
    </row>
    <row r="810" customFormat="false" ht="15" hidden="false" customHeight="false" outlineLevel="0" collapsed="false">
      <c r="A810" s="85" t="str">
        <f aca="false">Gov_Map!$H135&amp;""</f>
        <v>SRC_PERF_008</v>
      </c>
      <c r="B810" s="66" t="s">
        <v>5973</v>
      </c>
      <c r="C810" s="53" t="n">
        <v>135</v>
      </c>
      <c r="D810" s="53" t="s">
        <v>5974</v>
      </c>
      <c r="E810" s="53" t="s">
        <v>5974</v>
      </c>
    </row>
    <row r="811" customFormat="false" ht="15" hidden="false" customHeight="false" outlineLevel="0" collapsed="false">
      <c r="A811" s="85" t="str">
        <f aca="false">Gov_Map!$H136&amp;""</f>
        <v>SRC_PERF_008</v>
      </c>
      <c r="B811" s="66" t="s">
        <v>5973</v>
      </c>
      <c r="C811" s="53" t="n">
        <v>136</v>
      </c>
      <c r="D811" s="53" t="s">
        <v>5974</v>
      </c>
      <c r="E811" s="53" t="s">
        <v>5974</v>
      </c>
    </row>
    <row r="812" customFormat="false" ht="15" hidden="false" customHeight="false" outlineLevel="0" collapsed="false">
      <c r="A812" s="85" t="str">
        <f aca="false">Gov_Map!$H137&amp;""</f>
        <v>SRC_PERF_008</v>
      </c>
      <c r="B812" s="66" t="s">
        <v>5973</v>
      </c>
      <c r="C812" s="53" t="n">
        <v>137</v>
      </c>
      <c r="D812" s="53" t="s">
        <v>5974</v>
      </c>
      <c r="E812" s="53" t="s">
        <v>5974</v>
      </c>
    </row>
    <row r="813" customFormat="false" ht="15" hidden="false" customHeight="false" outlineLevel="0" collapsed="false">
      <c r="A813" s="85" t="str">
        <f aca="false">Gov_Map!$H138&amp;""</f>
        <v>—</v>
      </c>
      <c r="B813" s="66" t="s">
        <v>5973</v>
      </c>
      <c r="C813" s="53" t="n">
        <v>138</v>
      </c>
      <c r="D813" s="53" t="s">
        <v>5974</v>
      </c>
      <c r="E813" s="53" t="s">
        <v>5974</v>
      </c>
    </row>
    <row r="814" customFormat="false" ht="15" hidden="false" customHeight="false" outlineLevel="0" collapsed="false">
      <c r="A814" s="85" t="str">
        <f aca="false">Gov_Map!$H139&amp;""</f>
        <v>SRC_HW_055</v>
      </c>
      <c r="B814" s="66" t="s">
        <v>5973</v>
      </c>
      <c r="C814" s="53" t="n">
        <v>139</v>
      </c>
      <c r="D814" s="53" t="s">
        <v>5974</v>
      </c>
      <c r="E814" s="53" t="s">
        <v>5974</v>
      </c>
    </row>
    <row r="815" customFormat="false" ht="15" hidden="false" customHeight="false" outlineLevel="0" collapsed="false">
      <c r="A815" s="85" t="str">
        <f aca="false">Gov_Map!$H140&amp;""</f>
        <v>SRC_HW_050</v>
      </c>
      <c r="B815" s="66" t="s">
        <v>5973</v>
      </c>
      <c r="C815" s="53" t="n">
        <v>140</v>
      </c>
      <c r="D815" s="53" t="s">
        <v>5974</v>
      </c>
      <c r="E815" s="53" t="s">
        <v>5974</v>
      </c>
    </row>
    <row r="816" customFormat="false" ht="15" hidden="false" customHeight="false" outlineLevel="0" collapsed="false">
      <c r="A816" s="85" t="str">
        <f aca="false">Gov_Map!$H141&amp;""</f>
        <v>SRC_HW_050</v>
      </c>
      <c r="B816" s="66" t="s">
        <v>5973</v>
      </c>
      <c r="C816" s="53" t="n">
        <v>141</v>
      </c>
      <c r="D816" s="53" t="s">
        <v>5974</v>
      </c>
      <c r="E816" s="53" t="s">
        <v>5974</v>
      </c>
    </row>
    <row r="817" customFormat="false" ht="15" hidden="false" customHeight="false" outlineLevel="0" collapsed="false">
      <c r="A817" s="85" t="str">
        <f aca="false">Gov_Map!$H142&amp;""</f>
        <v>SRC_HW_050</v>
      </c>
      <c r="B817" s="66" t="s">
        <v>5973</v>
      </c>
      <c r="C817" s="53" t="n">
        <v>142</v>
      </c>
      <c r="D817" s="53" t="s">
        <v>5974</v>
      </c>
      <c r="E817" s="53" t="s">
        <v>5974</v>
      </c>
    </row>
    <row r="818" customFormat="false" ht="15" hidden="false" customHeight="false" outlineLevel="0" collapsed="false">
      <c r="A818" s="85" t="str">
        <f aca="false">Gov_Map!$H143&amp;""</f>
        <v>SRC_HW_050</v>
      </c>
      <c r="B818" s="66" t="s">
        <v>5973</v>
      </c>
      <c r="C818" s="53" t="n">
        <v>143</v>
      </c>
      <c r="D818" s="53" t="s">
        <v>5974</v>
      </c>
      <c r="E818" s="53" t="s">
        <v>5974</v>
      </c>
    </row>
    <row r="819" customFormat="false" ht="15" hidden="false" customHeight="false" outlineLevel="0" collapsed="false">
      <c r="A819" s="85" t="str">
        <f aca="false">Gov_Map!$H144&amp;""</f>
        <v>—</v>
      </c>
      <c r="B819" s="66" t="s">
        <v>5973</v>
      </c>
      <c r="C819" s="53" t="n">
        <v>144</v>
      </c>
      <c r="D819" s="53" t="s">
        <v>5974</v>
      </c>
      <c r="E819" s="53" t="s">
        <v>5974</v>
      </c>
    </row>
    <row r="820" customFormat="false" ht="15" hidden="false" customHeight="false" outlineLevel="0" collapsed="false">
      <c r="A820" s="85" t="str">
        <f aca="false">Gov_Map!$H145&amp;""</f>
        <v>—</v>
      </c>
      <c r="B820" s="66" t="s">
        <v>5973</v>
      </c>
      <c r="C820" s="53" t="n">
        <v>145</v>
      </c>
      <c r="D820" s="53" t="s">
        <v>5974</v>
      </c>
      <c r="E820" s="53" t="s">
        <v>5974</v>
      </c>
    </row>
    <row r="821" customFormat="false" ht="15" hidden="false" customHeight="false" outlineLevel="0" collapsed="false">
      <c r="A821" s="85" t="str">
        <f aca="false">Gov_Map!$H146&amp;""</f>
        <v>—</v>
      </c>
      <c r="B821" s="66" t="s">
        <v>5973</v>
      </c>
      <c r="C821" s="53" t="n">
        <v>146</v>
      </c>
      <c r="D821" s="53" t="s">
        <v>5974</v>
      </c>
      <c r="E821" s="53" t="s">
        <v>5974</v>
      </c>
    </row>
    <row r="822" customFormat="false" ht="15" hidden="false" customHeight="false" outlineLevel="0" collapsed="false">
      <c r="A822" s="85" t="str">
        <f aca="false">Gov_Map!$H147&amp;""</f>
        <v>—</v>
      </c>
      <c r="B822" s="66" t="s">
        <v>5973</v>
      </c>
      <c r="C822" s="53" t="n">
        <v>147</v>
      </c>
      <c r="D822" s="53" t="s">
        <v>5974</v>
      </c>
      <c r="E822" s="53" t="s">
        <v>5974</v>
      </c>
    </row>
    <row r="823" customFormat="false" ht="15" hidden="false" customHeight="false" outlineLevel="0" collapsed="false">
      <c r="A823" s="85" t="str">
        <f aca="false">Gov_Map!$H148&amp;""</f>
        <v>—</v>
      </c>
      <c r="B823" s="66" t="s">
        <v>5973</v>
      </c>
      <c r="C823" s="53" t="n">
        <v>148</v>
      </c>
      <c r="D823" s="53" t="s">
        <v>5974</v>
      </c>
      <c r="E823" s="53" t="s">
        <v>5974</v>
      </c>
    </row>
    <row r="824" customFormat="false" ht="15" hidden="false" customHeight="false" outlineLevel="0" collapsed="false">
      <c r="A824" s="85" t="str">
        <f aca="false">Gov_Map!$H149&amp;""</f>
        <v>—</v>
      </c>
      <c r="B824" s="66" t="s">
        <v>5973</v>
      </c>
      <c r="C824" s="53" t="n">
        <v>149</v>
      </c>
      <c r="D824" s="53" t="s">
        <v>5974</v>
      </c>
      <c r="E824" s="53" t="s">
        <v>5974</v>
      </c>
    </row>
    <row r="825" customFormat="false" ht="15" hidden="false" customHeight="false" outlineLevel="0" collapsed="false">
      <c r="A825" s="85" t="str">
        <f aca="false">Gov_Map!$H150&amp;""</f>
        <v>SRC_PERF_007</v>
      </c>
      <c r="B825" s="66" t="s">
        <v>5973</v>
      </c>
      <c r="C825" s="53" t="n">
        <v>150</v>
      </c>
      <c r="D825" s="53" t="s">
        <v>5974</v>
      </c>
      <c r="E825" s="53" t="s">
        <v>5974</v>
      </c>
    </row>
    <row r="826" customFormat="false" ht="15" hidden="false" customHeight="false" outlineLevel="0" collapsed="false">
      <c r="A826" s="85" t="str">
        <f aca="false">Gov_Map!$H151&amp;""</f>
        <v>SRC_PERF_007</v>
      </c>
      <c r="B826" s="66" t="s">
        <v>5973</v>
      </c>
      <c r="C826" s="53" t="n">
        <v>151</v>
      </c>
      <c r="D826" s="53" t="s">
        <v>5974</v>
      </c>
      <c r="E826" s="53" t="s">
        <v>5974</v>
      </c>
    </row>
    <row r="827" customFormat="false" ht="15" hidden="false" customHeight="false" outlineLevel="0" collapsed="false">
      <c r="A827" s="85" t="str">
        <f aca="false">Gov_Map!$H152&amp;""</f>
        <v>SRC_PERF_007</v>
      </c>
      <c r="B827" s="66" t="s">
        <v>5973</v>
      </c>
      <c r="C827" s="53" t="n">
        <v>152</v>
      </c>
      <c r="D827" s="53" t="s">
        <v>5974</v>
      </c>
      <c r="E827" s="53" t="s">
        <v>5974</v>
      </c>
    </row>
    <row r="828" customFormat="false" ht="15" hidden="false" customHeight="false" outlineLevel="0" collapsed="false">
      <c r="A828" s="85" t="str">
        <f aca="false">Gov_Map!$H153&amp;""</f>
        <v>—</v>
      </c>
      <c r="B828" s="66" t="s">
        <v>5973</v>
      </c>
      <c r="C828" s="53" t="n">
        <v>153</v>
      </c>
      <c r="D828" s="53" t="s">
        <v>5974</v>
      </c>
      <c r="E828" s="53" t="s">
        <v>5974</v>
      </c>
    </row>
    <row r="829" customFormat="false" ht="15" hidden="false" customHeight="false" outlineLevel="0" collapsed="false">
      <c r="A829" s="85" t="str">
        <f aca="false">Gov_Map!$H154&amp;""</f>
        <v>SRC_HW_056</v>
      </c>
      <c r="B829" s="66" t="s">
        <v>5973</v>
      </c>
      <c r="C829" s="53" t="n">
        <v>154</v>
      </c>
      <c r="D829" s="53" t="s">
        <v>5974</v>
      </c>
      <c r="E829" s="53" t="s">
        <v>5974</v>
      </c>
    </row>
    <row r="830" customFormat="false" ht="15" hidden="false" customHeight="false" outlineLevel="0" collapsed="false">
      <c r="A830" s="85" t="str">
        <f aca="false">Gov_Map!$H155&amp;""</f>
        <v>SRC_HW_057</v>
      </c>
      <c r="B830" s="66" t="s">
        <v>5973</v>
      </c>
      <c r="C830" s="53" t="n">
        <v>155</v>
      </c>
      <c r="D830" s="53" t="s">
        <v>5974</v>
      </c>
      <c r="E830" s="53" t="s">
        <v>5974</v>
      </c>
    </row>
    <row r="831" customFormat="false" ht="15" hidden="false" customHeight="false" outlineLevel="0" collapsed="false">
      <c r="A831" s="85" t="str">
        <f aca="false">Gov_Map!$H156&amp;""</f>
        <v>SRC_HW_058</v>
      </c>
      <c r="B831" s="66" t="s">
        <v>5973</v>
      </c>
      <c r="C831" s="53" t="n">
        <v>156</v>
      </c>
      <c r="D831" s="53" t="s">
        <v>5974</v>
      </c>
      <c r="E831" s="53" t="s">
        <v>5974</v>
      </c>
    </row>
    <row r="832" customFormat="false" ht="15" hidden="false" customHeight="false" outlineLevel="0" collapsed="false">
      <c r="A832" s="85" t="str">
        <f aca="false">Gov_Map!$H157&amp;""</f>
        <v>SRC_HW_046</v>
      </c>
      <c r="B832" s="66" t="s">
        <v>5973</v>
      </c>
      <c r="C832" s="53" t="n">
        <v>157</v>
      </c>
      <c r="D832" s="53" t="s">
        <v>5974</v>
      </c>
      <c r="E832" s="53" t="s">
        <v>5974</v>
      </c>
    </row>
    <row r="833" customFormat="false" ht="15" hidden="false" customHeight="false" outlineLevel="0" collapsed="false">
      <c r="A833" s="85" t="str">
        <f aca="false">Gov_Map!$H158&amp;""</f>
        <v>—</v>
      </c>
      <c r="B833" s="66" t="s">
        <v>5973</v>
      </c>
      <c r="C833" s="53" t="n">
        <v>158</v>
      </c>
      <c r="D833" s="53" t="s">
        <v>5974</v>
      </c>
      <c r="E833" s="53" t="s">
        <v>5974</v>
      </c>
    </row>
    <row r="834" customFormat="false" ht="15" hidden="false" customHeight="false" outlineLevel="0" collapsed="false">
      <c r="A834" s="85" t="str">
        <f aca="false">Gov_Map!$H159&amp;""</f>
        <v>SRC_HW_032</v>
      </c>
      <c r="B834" s="66" t="s">
        <v>5973</v>
      </c>
      <c r="C834" s="53" t="n">
        <v>159</v>
      </c>
      <c r="D834" s="53" t="s">
        <v>5974</v>
      </c>
      <c r="E834" s="53" t="s">
        <v>5974</v>
      </c>
    </row>
    <row r="835" customFormat="false" ht="15" hidden="false" customHeight="false" outlineLevel="0" collapsed="false">
      <c r="A835" s="85" t="str">
        <f aca="false">Gov_Map!$H160&amp;""</f>
        <v>SRC_HW_033</v>
      </c>
      <c r="B835" s="66" t="s">
        <v>5973</v>
      </c>
      <c r="C835" s="53" t="n">
        <v>160</v>
      </c>
      <c r="D835" s="53" t="s">
        <v>5974</v>
      </c>
      <c r="E835" s="53" t="s">
        <v>5974</v>
      </c>
    </row>
    <row r="836" customFormat="false" ht="15" hidden="false" customHeight="false" outlineLevel="0" collapsed="false">
      <c r="A836" s="85" t="str">
        <f aca="false">Gov_Map!$H161&amp;""</f>
        <v>SRC_HW_033</v>
      </c>
      <c r="B836" s="66" t="s">
        <v>5973</v>
      </c>
      <c r="C836" s="53" t="n">
        <v>161</v>
      </c>
      <c r="D836" s="53" t="s">
        <v>5974</v>
      </c>
      <c r="E836" s="53" t="s">
        <v>5974</v>
      </c>
    </row>
    <row r="837" customFormat="false" ht="15" hidden="false" customHeight="false" outlineLevel="0" collapsed="false">
      <c r="A837" s="85" t="str">
        <f aca="false">Gov_Map!$H162&amp;""</f>
        <v>SRC_HW_034</v>
      </c>
      <c r="B837" s="66" t="s">
        <v>5973</v>
      </c>
      <c r="C837" s="53" t="n">
        <v>162</v>
      </c>
      <c r="D837" s="53" t="s">
        <v>5974</v>
      </c>
      <c r="E837" s="53" t="s">
        <v>5974</v>
      </c>
    </row>
    <row r="838" customFormat="false" ht="15" hidden="false" customHeight="false" outlineLevel="0" collapsed="false">
      <c r="A838" s="85" t="str">
        <f aca="false">Gov_Map!$H163&amp;""</f>
        <v>—</v>
      </c>
      <c r="B838" s="66" t="s">
        <v>5973</v>
      </c>
      <c r="C838" s="53" t="n">
        <v>163</v>
      </c>
      <c r="D838" s="53" t="s">
        <v>5974</v>
      </c>
      <c r="E838" s="53" t="s">
        <v>5974</v>
      </c>
    </row>
    <row r="839" customFormat="false" ht="15" hidden="false" customHeight="false" outlineLevel="0" collapsed="false">
      <c r="A839" s="85" t="str">
        <f aca="false">Gov_Map!$H164&amp;""</f>
        <v>SRC_HW_019</v>
      </c>
      <c r="B839" s="66" t="s">
        <v>5973</v>
      </c>
      <c r="C839" s="53" t="n">
        <v>164</v>
      </c>
      <c r="D839" s="53" t="s">
        <v>5974</v>
      </c>
      <c r="E839" s="53" t="s">
        <v>5974</v>
      </c>
    </row>
    <row r="840" customFormat="false" ht="15" hidden="false" customHeight="false" outlineLevel="0" collapsed="false">
      <c r="A840" s="85" t="str">
        <f aca="false">Gov_Map!$H165&amp;""</f>
        <v>SRC_HW_042</v>
      </c>
      <c r="B840" s="66" t="s">
        <v>5973</v>
      </c>
      <c r="C840" s="53" t="n">
        <v>165</v>
      </c>
      <c r="D840" s="53" t="s">
        <v>5974</v>
      </c>
      <c r="E840" s="53" t="s">
        <v>5974</v>
      </c>
    </row>
    <row r="841" customFormat="false" ht="15" hidden="false" customHeight="false" outlineLevel="0" collapsed="false">
      <c r="A841" s="85" t="str">
        <f aca="false">Gov_Map!$H166&amp;""</f>
        <v>SRC_HW_042</v>
      </c>
      <c r="B841" s="66" t="s">
        <v>5973</v>
      </c>
      <c r="C841" s="53" t="n">
        <v>166</v>
      </c>
      <c r="D841" s="53" t="s">
        <v>5974</v>
      </c>
      <c r="E841" s="53" t="s">
        <v>5974</v>
      </c>
    </row>
    <row r="842" customFormat="false" ht="15" hidden="false" customHeight="false" outlineLevel="0" collapsed="false">
      <c r="A842" s="85" t="str">
        <f aca="false">Gov_Map!$H167&amp;""</f>
        <v>SRC_HW_039</v>
      </c>
      <c r="B842" s="66" t="s">
        <v>5973</v>
      </c>
      <c r="C842" s="53" t="n">
        <v>167</v>
      </c>
      <c r="D842" s="53" t="s">
        <v>5974</v>
      </c>
      <c r="E842" s="53" t="s">
        <v>5974</v>
      </c>
    </row>
    <row r="843" customFormat="false" ht="15" hidden="false" customHeight="false" outlineLevel="0" collapsed="false">
      <c r="A843" s="85" t="str">
        <f aca="false">Gov_Map!$H168&amp;""</f>
        <v>—</v>
      </c>
      <c r="B843" s="66" t="s">
        <v>5973</v>
      </c>
      <c r="C843" s="53" t="n">
        <v>168</v>
      </c>
      <c r="D843" s="53" t="s">
        <v>5974</v>
      </c>
      <c r="E843" s="53" t="s">
        <v>5974</v>
      </c>
    </row>
    <row r="844" customFormat="false" ht="15" hidden="false" customHeight="false" outlineLevel="0" collapsed="false">
      <c r="A844" s="85" t="str">
        <f aca="false">Gov_Map!$H169&amp;""</f>
        <v>SRC_HW_040</v>
      </c>
      <c r="B844" s="66" t="s">
        <v>5973</v>
      </c>
      <c r="C844" s="53" t="n">
        <v>169</v>
      </c>
      <c r="D844" s="53" t="s">
        <v>5974</v>
      </c>
      <c r="E844" s="53" t="s">
        <v>5974</v>
      </c>
    </row>
    <row r="845" customFormat="false" ht="15" hidden="false" customHeight="false" outlineLevel="0" collapsed="false">
      <c r="A845" s="85" t="str">
        <f aca="false">Gov_Map!$H170&amp;""</f>
        <v>SRC_HW_043</v>
      </c>
      <c r="B845" s="66" t="s">
        <v>5973</v>
      </c>
      <c r="C845" s="53" t="n">
        <v>170</v>
      </c>
      <c r="D845" s="53" t="s">
        <v>5974</v>
      </c>
      <c r="E845" s="53" t="s">
        <v>5974</v>
      </c>
    </row>
    <row r="846" customFormat="false" ht="15" hidden="false" customHeight="false" outlineLevel="0" collapsed="false">
      <c r="A846" s="85" t="str">
        <f aca="false">Gov_Map!$H171&amp;""</f>
        <v>SRC_HW_043</v>
      </c>
      <c r="B846" s="66" t="s">
        <v>5973</v>
      </c>
      <c r="C846" s="53" t="n">
        <v>171</v>
      </c>
      <c r="D846" s="53" t="s">
        <v>5974</v>
      </c>
      <c r="E846" s="53" t="s">
        <v>5974</v>
      </c>
    </row>
    <row r="847" customFormat="false" ht="15" hidden="false" customHeight="false" outlineLevel="0" collapsed="false">
      <c r="A847" s="85" t="str">
        <f aca="false">Gov_Map!$H172&amp;""</f>
        <v>SRC_HW_038</v>
      </c>
      <c r="B847" s="66" t="s">
        <v>5973</v>
      </c>
      <c r="C847" s="53" t="n">
        <v>172</v>
      </c>
      <c r="D847" s="53" t="s">
        <v>5974</v>
      </c>
      <c r="E847" s="53" t="s">
        <v>5974</v>
      </c>
    </row>
    <row r="848" customFormat="false" ht="15" hidden="false" customHeight="false" outlineLevel="0" collapsed="false">
      <c r="A848" s="85" t="str">
        <f aca="false">Gov_Map!$H173&amp;""</f>
        <v>SRC_HW_063</v>
      </c>
      <c r="B848" s="66" t="s">
        <v>5973</v>
      </c>
      <c r="C848" s="53" t="n">
        <v>173</v>
      </c>
      <c r="D848" s="53" t="s">
        <v>5974</v>
      </c>
      <c r="E848" s="53" t="s">
        <v>5974</v>
      </c>
    </row>
    <row r="849" customFormat="false" ht="15" hidden="false" customHeight="false" outlineLevel="0" collapsed="false">
      <c r="A849" s="85" t="str">
        <f aca="false">Gov_Map!$H174&amp;""</f>
        <v>—</v>
      </c>
      <c r="B849" s="66" t="s">
        <v>5973</v>
      </c>
      <c r="C849" s="53" t="n">
        <v>174</v>
      </c>
      <c r="D849" s="53" t="s">
        <v>5974</v>
      </c>
      <c r="E849" s="53" t="s">
        <v>5974</v>
      </c>
    </row>
    <row r="850" customFormat="false" ht="15" hidden="false" customHeight="false" outlineLevel="0" collapsed="false">
      <c r="A850" s="85" t="str">
        <f aca="false">Gov_Map!$H175&amp;""</f>
        <v>SRC_HW_037</v>
      </c>
      <c r="B850" s="66" t="s">
        <v>5973</v>
      </c>
      <c r="C850" s="53" t="n">
        <v>175</v>
      </c>
      <c r="D850" s="53" t="s">
        <v>5974</v>
      </c>
      <c r="E850" s="53" t="s">
        <v>5974</v>
      </c>
    </row>
    <row r="851" customFormat="false" ht="15" hidden="false" customHeight="false" outlineLevel="0" collapsed="false">
      <c r="A851" s="85" t="str">
        <f aca="false">Gov_Map!$H176&amp;""</f>
        <v>—</v>
      </c>
      <c r="B851" s="66" t="s">
        <v>5973</v>
      </c>
      <c r="C851" s="53" t="n">
        <v>176</v>
      </c>
      <c r="D851" s="53" t="s">
        <v>5974</v>
      </c>
      <c r="E851" s="53" t="s">
        <v>5974</v>
      </c>
    </row>
    <row r="852" customFormat="false" ht="15" hidden="false" customHeight="false" outlineLevel="0" collapsed="false">
      <c r="A852" s="85" t="str">
        <f aca="false">Gov_Map!$H177&amp;""</f>
        <v>SRC_HW_037</v>
      </c>
      <c r="B852" s="66" t="s">
        <v>5973</v>
      </c>
      <c r="C852" s="53" t="n">
        <v>177</v>
      </c>
      <c r="D852" s="53" t="s">
        <v>5974</v>
      </c>
      <c r="E852" s="53" t="s">
        <v>5974</v>
      </c>
    </row>
    <row r="853" customFormat="false" ht="15" hidden="false" customHeight="false" outlineLevel="0" collapsed="false">
      <c r="A853" s="85" t="str">
        <f aca="false">Gov_Map!$H178&amp;""</f>
        <v>—</v>
      </c>
      <c r="B853" s="66" t="s">
        <v>5973</v>
      </c>
      <c r="C853" s="53" t="n">
        <v>178</v>
      </c>
      <c r="D853" s="53" t="s">
        <v>5974</v>
      </c>
      <c r="E853" s="53" t="s">
        <v>5974</v>
      </c>
    </row>
    <row r="854" customFormat="false" ht="15" hidden="false" customHeight="false" outlineLevel="0" collapsed="false">
      <c r="A854" s="85" t="str">
        <f aca="false">Gov_Map!$H179&amp;""</f>
        <v>SRC_MOD_005</v>
      </c>
      <c r="B854" s="66" t="s">
        <v>5973</v>
      </c>
      <c r="C854" s="53" t="n">
        <v>179</v>
      </c>
      <c r="D854" s="53" t="s">
        <v>5974</v>
      </c>
      <c r="E854" s="53" t="s">
        <v>5974</v>
      </c>
    </row>
    <row r="855" customFormat="false" ht="15" hidden="false" customHeight="false" outlineLevel="0" collapsed="false">
      <c r="A855" s="85" t="str">
        <f aca="false">Gov_Map!$H180&amp;""</f>
        <v>SRC_MOD_001</v>
      </c>
      <c r="B855" s="66" t="s">
        <v>5973</v>
      </c>
      <c r="C855" s="53" t="n">
        <v>180</v>
      </c>
      <c r="D855" s="53" t="s">
        <v>5974</v>
      </c>
      <c r="E855" s="53" t="s">
        <v>5974</v>
      </c>
    </row>
    <row r="856" customFormat="false" ht="15" hidden="false" customHeight="false" outlineLevel="0" collapsed="false">
      <c r="A856" s="85" t="str">
        <f aca="false">Gov_Map!$H181&amp;""</f>
        <v>SRC_MOD_006</v>
      </c>
      <c r="B856" s="66" t="s">
        <v>5973</v>
      </c>
      <c r="C856" s="53" t="n">
        <v>181</v>
      </c>
      <c r="D856" s="53" t="s">
        <v>5974</v>
      </c>
      <c r="E856" s="53" t="s">
        <v>5974</v>
      </c>
    </row>
    <row r="857" customFormat="false" ht="15" hidden="false" customHeight="false" outlineLevel="0" collapsed="false">
      <c r="A857" s="85" t="str">
        <f aca="false">Gov_Map!$H182&amp;""</f>
        <v>SRC_MOD_002</v>
      </c>
      <c r="B857" s="66" t="s">
        <v>5973</v>
      </c>
      <c r="C857" s="53" t="n">
        <v>182</v>
      </c>
      <c r="D857" s="53" t="s">
        <v>5974</v>
      </c>
      <c r="E857" s="53" t="s">
        <v>5974</v>
      </c>
    </row>
    <row r="858" customFormat="false" ht="15" hidden="false" customHeight="false" outlineLevel="0" collapsed="false">
      <c r="A858" s="85" t="str">
        <f aca="false">Gov_Map!$H183&amp;""</f>
        <v>SRC_MOD_007</v>
      </c>
      <c r="B858" s="66" t="s">
        <v>5973</v>
      </c>
      <c r="C858" s="53" t="n">
        <v>183</v>
      </c>
      <c r="D858" s="53" t="s">
        <v>5974</v>
      </c>
      <c r="E858" s="53" t="s">
        <v>5974</v>
      </c>
    </row>
    <row r="859" customFormat="false" ht="15" hidden="false" customHeight="false" outlineLevel="0" collapsed="false">
      <c r="A859" s="85" t="str">
        <f aca="false">Gov_Map!$H184&amp;""</f>
        <v>SRC_MOD_003</v>
      </c>
      <c r="B859" s="66" t="s">
        <v>5973</v>
      </c>
      <c r="C859" s="53" t="n">
        <v>184</v>
      </c>
      <c r="D859" s="53" t="s">
        <v>5974</v>
      </c>
      <c r="E859" s="53" t="s">
        <v>5974</v>
      </c>
    </row>
    <row r="860" customFormat="false" ht="15" hidden="false" customHeight="false" outlineLevel="0" collapsed="false">
      <c r="A860" s="85" t="str">
        <f aca="false">Gov_Map!$H185&amp;""</f>
        <v>SRC_MOD_009</v>
      </c>
      <c r="B860" s="66" t="s">
        <v>5973</v>
      </c>
      <c r="C860" s="53" t="n">
        <v>185</v>
      </c>
      <c r="D860" s="53" t="s">
        <v>5974</v>
      </c>
      <c r="E860" s="53" t="s">
        <v>5974</v>
      </c>
    </row>
    <row r="861" customFormat="false" ht="15" hidden="false" customHeight="false" outlineLevel="0" collapsed="false">
      <c r="A861" s="85" t="str">
        <f aca="false">Gov_Map!$H186&amp;""</f>
        <v>SRC_MOD_009</v>
      </c>
      <c r="B861" s="66" t="s">
        <v>5973</v>
      </c>
      <c r="C861" s="53" t="n">
        <v>186</v>
      </c>
      <c r="D861" s="53" t="s">
        <v>5974</v>
      </c>
      <c r="E861" s="53" t="s">
        <v>5974</v>
      </c>
    </row>
    <row r="862" customFormat="false" ht="15" hidden="false" customHeight="false" outlineLevel="0" collapsed="false">
      <c r="A862" s="85" t="str">
        <f aca="false">Gov_Map!$H187&amp;""</f>
        <v>SRC_MOD_010</v>
      </c>
      <c r="B862" s="66" t="s">
        <v>5973</v>
      </c>
      <c r="C862" s="53" t="n">
        <v>187</v>
      </c>
      <c r="D862" s="53" t="s">
        <v>5974</v>
      </c>
      <c r="E862" s="53" t="s">
        <v>5974</v>
      </c>
    </row>
    <row r="863" customFormat="false" ht="15" hidden="false" customHeight="false" outlineLevel="0" collapsed="false">
      <c r="A863" s="85" t="str">
        <f aca="false">Gov_Map!$H188&amp;""</f>
        <v>SRC_MOD_011</v>
      </c>
      <c r="B863" s="66" t="s">
        <v>5973</v>
      </c>
      <c r="C863" s="53" t="n">
        <v>188</v>
      </c>
      <c r="D863" s="53" t="s">
        <v>5974</v>
      </c>
      <c r="E863" s="53" t="s">
        <v>5974</v>
      </c>
    </row>
    <row r="864" customFormat="false" ht="15" hidden="false" customHeight="false" outlineLevel="0" collapsed="false">
      <c r="A864" s="85" t="str">
        <f aca="false">Gov_Map!$H189&amp;""</f>
        <v>SRC_MOD_012</v>
      </c>
      <c r="B864" s="66" t="s">
        <v>5973</v>
      </c>
      <c r="C864" s="53" t="n">
        <v>189</v>
      </c>
      <c r="D864" s="53" t="s">
        <v>5974</v>
      </c>
      <c r="E864" s="53" t="s">
        <v>5974</v>
      </c>
    </row>
    <row r="865" customFormat="false" ht="15" hidden="false" customHeight="false" outlineLevel="0" collapsed="false">
      <c r="A865" s="85" t="str">
        <f aca="false">Gov_Map!$H190&amp;""</f>
        <v>SRC_MOD_012</v>
      </c>
      <c r="B865" s="66" t="s">
        <v>5973</v>
      </c>
      <c r="C865" s="53" t="n">
        <v>190</v>
      </c>
      <c r="D865" s="53" t="s">
        <v>5974</v>
      </c>
      <c r="E865" s="53" t="s">
        <v>5974</v>
      </c>
    </row>
    <row r="866" customFormat="false" ht="15" hidden="false" customHeight="false" outlineLevel="0" collapsed="false">
      <c r="A866" s="85" t="str">
        <f aca="false">Gov_Map!$H191&amp;""</f>
        <v>SRC_MOD_013</v>
      </c>
      <c r="B866" s="66" t="s">
        <v>5973</v>
      </c>
      <c r="C866" s="53" t="n">
        <v>191</v>
      </c>
      <c r="D866" s="53" t="s">
        <v>5974</v>
      </c>
      <c r="E866" s="53" t="s">
        <v>5974</v>
      </c>
    </row>
    <row r="867" customFormat="false" ht="15" hidden="false" customHeight="false" outlineLevel="0" collapsed="false">
      <c r="A867" s="85" t="str">
        <f aca="false">Gov_Map!$H192&amp;""</f>
        <v>SRC_MOD_013</v>
      </c>
      <c r="B867" s="66" t="s">
        <v>5973</v>
      </c>
      <c r="C867" s="53" t="n">
        <v>192</v>
      </c>
      <c r="D867" s="53" t="s">
        <v>5974</v>
      </c>
      <c r="E867" s="53" t="s">
        <v>5974</v>
      </c>
    </row>
    <row r="868" customFormat="false" ht="15" hidden="false" customHeight="false" outlineLevel="0" collapsed="false">
      <c r="A868" s="85" t="str">
        <f aca="false">Gov_Map!$H193&amp;""</f>
        <v>SRC_MOD_014</v>
      </c>
      <c r="B868" s="66" t="s">
        <v>5973</v>
      </c>
      <c r="C868" s="53" t="n">
        <v>193</v>
      </c>
      <c r="D868" s="53" t="s">
        <v>5974</v>
      </c>
      <c r="E868" s="53" t="s">
        <v>5974</v>
      </c>
    </row>
    <row r="869" customFormat="false" ht="15" hidden="false" customHeight="false" outlineLevel="0" collapsed="false">
      <c r="A869" s="85" t="str">
        <f aca="false">Gov_Map!$H194&amp;""</f>
        <v>SRC_MOD_014</v>
      </c>
      <c r="B869" s="66" t="s">
        <v>5973</v>
      </c>
      <c r="C869" s="53" t="n">
        <v>194</v>
      </c>
      <c r="D869" s="53" t="s">
        <v>5974</v>
      </c>
      <c r="E869" s="53" t="s">
        <v>5974</v>
      </c>
    </row>
    <row r="870" customFormat="false" ht="15" hidden="false" customHeight="false" outlineLevel="0" collapsed="false">
      <c r="A870" s="85" t="str">
        <f aca="false">Gov_Map!$H195&amp;""</f>
        <v>SRC_MOD_015</v>
      </c>
      <c r="B870" s="66" t="s">
        <v>5973</v>
      </c>
      <c r="C870" s="53" t="n">
        <v>195</v>
      </c>
      <c r="D870" s="53" t="s">
        <v>5974</v>
      </c>
      <c r="E870" s="53" t="s">
        <v>5974</v>
      </c>
    </row>
    <row r="871" customFormat="false" ht="15" hidden="false" customHeight="false" outlineLevel="0" collapsed="false">
      <c r="A871" s="85" t="str">
        <f aca="false">Gov_Map!$H196&amp;""</f>
        <v>SRC_MOD_015</v>
      </c>
      <c r="B871" s="66" t="s">
        <v>5973</v>
      </c>
      <c r="C871" s="53" t="n">
        <v>196</v>
      </c>
      <c r="D871" s="53" t="s">
        <v>5974</v>
      </c>
      <c r="E871" s="53" t="s">
        <v>5974</v>
      </c>
    </row>
    <row r="872" customFormat="false" ht="15" hidden="false" customHeight="false" outlineLevel="0" collapsed="false">
      <c r="A872" s="85" t="str">
        <f aca="false">Gov_Map!$H197&amp;""</f>
        <v>SRC_MOD_016</v>
      </c>
      <c r="B872" s="66" t="s">
        <v>5973</v>
      </c>
      <c r="C872" s="53" t="n">
        <v>197</v>
      </c>
      <c r="D872" s="53" t="s">
        <v>5974</v>
      </c>
      <c r="E872" s="53" t="s">
        <v>5974</v>
      </c>
    </row>
    <row r="873" customFormat="false" ht="15" hidden="false" customHeight="false" outlineLevel="0" collapsed="false">
      <c r="A873" s="85" t="str">
        <f aca="false">Gov_Map!$H198&amp;""</f>
        <v>SRC_MOD_016</v>
      </c>
      <c r="B873" s="66" t="s">
        <v>5973</v>
      </c>
      <c r="C873" s="53" t="n">
        <v>198</v>
      </c>
      <c r="D873" s="53" t="s">
        <v>5974</v>
      </c>
      <c r="E873" s="53" t="s">
        <v>5974</v>
      </c>
    </row>
    <row r="874" customFormat="false" ht="15" hidden="false" customHeight="false" outlineLevel="0" collapsed="false">
      <c r="A874" s="85" t="str">
        <f aca="false">Gov_Map!$H199&amp;""</f>
        <v>SRC_MOD_017</v>
      </c>
      <c r="B874" s="66" t="s">
        <v>5973</v>
      </c>
      <c r="C874" s="53" t="n">
        <v>199</v>
      </c>
      <c r="D874" s="53" t="s">
        <v>5974</v>
      </c>
      <c r="E874" s="53" t="s">
        <v>5974</v>
      </c>
    </row>
    <row r="875" customFormat="false" ht="15" hidden="false" customHeight="false" outlineLevel="0" collapsed="false">
      <c r="A875" s="85" t="str">
        <f aca="false">Gov_Map!$H200&amp;""</f>
        <v>SRC_MOD_017</v>
      </c>
      <c r="B875" s="66" t="s">
        <v>5973</v>
      </c>
      <c r="C875" s="53" t="n">
        <v>200</v>
      </c>
      <c r="D875" s="53" t="s">
        <v>5974</v>
      </c>
      <c r="E875" s="53" t="s">
        <v>5974</v>
      </c>
    </row>
    <row r="876" customFormat="false" ht="15" hidden="false" customHeight="false" outlineLevel="0" collapsed="false">
      <c r="A876" s="85" t="str">
        <f aca="false">Gov_Map!$H201&amp;""</f>
        <v>SRC_MOD_004</v>
      </c>
      <c r="B876" s="66" t="s">
        <v>5973</v>
      </c>
      <c r="C876" s="53" t="n">
        <v>201</v>
      </c>
      <c r="D876" s="53" t="s">
        <v>5974</v>
      </c>
      <c r="E876" s="53" t="s">
        <v>5974</v>
      </c>
    </row>
    <row r="877" customFormat="false" ht="15" hidden="false" customHeight="false" outlineLevel="0" collapsed="false">
      <c r="A877" s="85" t="str">
        <f aca="false">Gov_Map!$H202&amp;""</f>
        <v>SRC_MOD_008</v>
      </c>
      <c r="B877" s="66" t="s">
        <v>5973</v>
      </c>
      <c r="C877" s="53" t="n">
        <v>202</v>
      </c>
      <c r="D877" s="53" t="s">
        <v>5974</v>
      </c>
      <c r="E877" s="53" t="s">
        <v>5974</v>
      </c>
    </row>
    <row r="878" customFormat="false" ht="15" hidden="false" customHeight="false" outlineLevel="0" collapsed="false">
      <c r="A878" s="85" t="str">
        <f aca="false">Gov_Map!$H203&amp;""</f>
        <v>SRC_MOD_052</v>
      </c>
      <c r="B878" s="66" t="s">
        <v>5973</v>
      </c>
      <c r="C878" s="53" t="n">
        <v>203</v>
      </c>
      <c r="D878" s="53" t="s">
        <v>5974</v>
      </c>
      <c r="E878" s="53" t="s">
        <v>5974</v>
      </c>
    </row>
    <row r="879" customFormat="false" ht="15" hidden="false" customHeight="false" outlineLevel="0" collapsed="false">
      <c r="A879" s="85" t="str">
        <f aca="false">Gov_Map!$H204&amp;""</f>
        <v>SRC_MOD_053</v>
      </c>
      <c r="B879" s="66" t="s">
        <v>5973</v>
      </c>
      <c r="C879" s="53" t="n">
        <v>204</v>
      </c>
      <c r="D879" s="53" t="s">
        <v>5974</v>
      </c>
      <c r="E879" s="53" t="s">
        <v>5974</v>
      </c>
    </row>
    <row r="880" customFormat="false" ht="15" hidden="false" customHeight="false" outlineLevel="0" collapsed="false">
      <c r="A880" s="85" t="str">
        <f aca="false">Gov_Map!$H205&amp;""</f>
        <v>SRC_MOD_018</v>
      </c>
      <c r="B880" s="66" t="s">
        <v>5973</v>
      </c>
      <c r="C880" s="53" t="n">
        <v>205</v>
      </c>
      <c r="D880" s="53" t="s">
        <v>5974</v>
      </c>
      <c r="E880" s="53" t="s">
        <v>5974</v>
      </c>
    </row>
    <row r="881" customFormat="false" ht="15" hidden="false" customHeight="false" outlineLevel="0" collapsed="false">
      <c r="A881" s="85" t="str">
        <f aca="false">Gov_Map!$H206&amp;""</f>
        <v>SRC_MOD_018</v>
      </c>
      <c r="B881" s="66" t="s">
        <v>5973</v>
      </c>
      <c r="C881" s="53" t="n">
        <v>206</v>
      </c>
      <c r="D881" s="53" t="s">
        <v>5974</v>
      </c>
      <c r="E881" s="53" t="s">
        <v>5974</v>
      </c>
    </row>
    <row r="882" customFormat="false" ht="15" hidden="false" customHeight="false" outlineLevel="0" collapsed="false">
      <c r="A882" s="85" t="str">
        <f aca="false">Gov_Map!$H207&amp;""</f>
        <v>—</v>
      </c>
      <c r="B882" s="66" t="s">
        <v>5973</v>
      </c>
      <c r="C882" s="53" t="n">
        <v>207</v>
      </c>
      <c r="D882" s="53" t="s">
        <v>5974</v>
      </c>
      <c r="E882" s="53" t="s">
        <v>5974</v>
      </c>
    </row>
    <row r="883" customFormat="false" ht="15" hidden="false" customHeight="false" outlineLevel="0" collapsed="false">
      <c r="A883" s="85" t="str">
        <f aca="false">Gov_Map!$H208&amp;""</f>
        <v>—</v>
      </c>
      <c r="B883" s="66" t="s">
        <v>5973</v>
      </c>
      <c r="C883" s="53" t="n">
        <v>208</v>
      </c>
      <c r="D883" s="53" t="s">
        <v>5974</v>
      </c>
      <c r="E883" s="53" t="s">
        <v>5974</v>
      </c>
    </row>
    <row r="884" customFormat="false" ht="15" hidden="false" customHeight="false" outlineLevel="0" collapsed="false">
      <c r="A884" s="85" t="str">
        <f aca="false">Gov_Map!$H209&amp;""</f>
        <v>—</v>
      </c>
      <c r="B884" s="66" t="s">
        <v>5973</v>
      </c>
      <c r="C884" s="53" t="n">
        <v>209</v>
      </c>
      <c r="D884" s="53" t="s">
        <v>5974</v>
      </c>
      <c r="E884" s="53" t="s">
        <v>5974</v>
      </c>
    </row>
    <row r="885" customFormat="false" ht="15" hidden="false" customHeight="false" outlineLevel="0" collapsed="false">
      <c r="A885" s="85" t="str">
        <f aca="false">Gov_Map!$H210&amp;""</f>
        <v>—</v>
      </c>
      <c r="B885" s="66" t="s">
        <v>5973</v>
      </c>
      <c r="C885" s="53" t="n">
        <v>210</v>
      </c>
      <c r="D885" s="53" t="s">
        <v>5974</v>
      </c>
      <c r="E885" s="53" t="s">
        <v>5974</v>
      </c>
    </row>
    <row r="886" customFormat="false" ht="15" hidden="false" customHeight="false" outlineLevel="0" collapsed="false">
      <c r="A886" s="85" t="str">
        <f aca="false">Gov_Map!$H211&amp;""</f>
        <v>—</v>
      </c>
      <c r="B886" s="66" t="s">
        <v>5973</v>
      </c>
      <c r="C886" s="53" t="n">
        <v>211</v>
      </c>
      <c r="D886" s="53" t="s">
        <v>5974</v>
      </c>
      <c r="E886" s="53" t="s">
        <v>5974</v>
      </c>
    </row>
    <row r="887" customFormat="false" ht="15" hidden="false" customHeight="false" outlineLevel="0" collapsed="false">
      <c r="A887" s="85" t="str">
        <f aca="false">Gov_Map!$H212&amp;""</f>
        <v>—</v>
      </c>
      <c r="B887" s="66" t="s">
        <v>5973</v>
      </c>
      <c r="C887" s="53" t="n">
        <v>212</v>
      </c>
      <c r="D887" s="53" t="s">
        <v>5974</v>
      </c>
      <c r="E887" s="53" t="s">
        <v>5974</v>
      </c>
    </row>
    <row r="888" customFormat="false" ht="15" hidden="false" customHeight="false" outlineLevel="0" collapsed="false">
      <c r="A888" s="85" t="str">
        <f aca="false">Gov_Map!$H213&amp;""</f>
        <v>—</v>
      </c>
      <c r="B888" s="66" t="s">
        <v>5973</v>
      </c>
      <c r="C888" s="53" t="n">
        <v>213</v>
      </c>
      <c r="D888" s="53" t="s">
        <v>5974</v>
      </c>
      <c r="E888" s="53" t="s">
        <v>5974</v>
      </c>
    </row>
    <row r="889" customFormat="false" ht="15" hidden="false" customHeight="false" outlineLevel="0" collapsed="false">
      <c r="A889" s="85" t="str">
        <f aca="false">Gov_Map!$H214&amp;""</f>
        <v>—</v>
      </c>
      <c r="B889" s="66" t="s">
        <v>5973</v>
      </c>
      <c r="C889" s="53" t="n">
        <v>214</v>
      </c>
      <c r="D889" s="53" t="s">
        <v>5974</v>
      </c>
      <c r="E889" s="53" t="s">
        <v>5974</v>
      </c>
    </row>
    <row r="890" customFormat="false" ht="15" hidden="false" customHeight="false" outlineLevel="0" collapsed="false">
      <c r="A890" s="85" t="str">
        <f aca="false">Gov_Map!$H215&amp;""</f>
        <v>—</v>
      </c>
      <c r="B890" s="66" t="s">
        <v>5973</v>
      </c>
      <c r="C890" s="53" t="n">
        <v>215</v>
      </c>
      <c r="D890" s="53" t="s">
        <v>5974</v>
      </c>
      <c r="E890" s="53" t="s">
        <v>5974</v>
      </c>
    </row>
    <row r="891" customFormat="false" ht="15" hidden="false" customHeight="false" outlineLevel="0" collapsed="false">
      <c r="A891" s="85" t="str">
        <f aca="false">Gov_Map!$H216&amp;""</f>
        <v>—</v>
      </c>
      <c r="B891" s="66" t="s">
        <v>5973</v>
      </c>
      <c r="C891" s="53" t="n">
        <v>216</v>
      </c>
      <c r="D891" s="53" t="s">
        <v>5974</v>
      </c>
      <c r="E891" s="53" t="s">
        <v>5974</v>
      </c>
    </row>
    <row r="892" customFormat="false" ht="15" hidden="false" customHeight="false" outlineLevel="0" collapsed="false">
      <c r="A892" s="85" t="str">
        <f aca="false">Gov_Map!$H217&amp;""</f>
        <v>—</v>
      </c>
      <c r="B892" s="66" t="s">
        <v>5973</v>
      </c>
      <c r="C892" s="53" t="n">
        <v>217</v>
      </c>
      <c r="D892" s="53" t="s">
        <v>5974</v>
      </c>
      <c r="E892" s="53" t="s">
        <v>5974</v>
      </c>
    </row>
    <row r="893" customFormat="false" ht="15" hidden="false" customHeight="false" outlineLevel="0" collapsed="false">
      <c r="A893" s="85" t="str">
        <f aca="false">Gov_Map!$H218&amp;""</f>
        <v>—</v>
      </c>
      <c r="B893" s="66" t="s">
        <v>5973</v>
      </c>
      <c r="C893" s="53" t="n">
        <v>218</v>
      </c>
      <c r="D893" s="53" t="s">
        <v>5974</v>
      </c>
      <c r="E893" s="53" t="s">
        <v>5974</v>
      </c>
    </row>
    <row r="894" customFormat="false" ht="15" hidden="false" customHeight="false" outlineLevel="0" collapsed="false">
      <c r="A894" s="85" t="str">
        <f aca="false">Gov_Map!$H219&amp;""</f>
        <v>—</v>
      </c>
      <c r="B894" s="66" t="s">
        <v>5973</v>
      </c>
      <c r="C894" s="53" t="n">
        <v>219</v>
      </c>
      <c r="D894" s="53" t="s">
        <v>5974</v>
      </c>
      <c r="E894" s="53" t="s">
        <v>5974</v>
      </c>
    </row>
    <row r="895" customFormat="false" ht="15" hidden="false" customHeight="false" outlineLevel="0" collapsed="false">
      <c r="A895" s="85" t="str">
        <f aca="false">Gov_Map!$H220&amp;""</f>
        <v>—</v>
      </c>
      <c r="B895" s="66" t="s">
        <v>5973</v>
      </c>
      <c r="C895" s="53" t="n">
        <v>220</v>
      </c>
      <c r="D895" s="53" t="s">
        <v>5974</v>
      </c>
      <c r="E895" s="53" t="s">
        <v>5974</v>
      </c>
    </row>
    <row r="896" customFormat="false" ht="15" hidden="false" customHeight="false" outlineLevel="0" collapsed="false">
      <c r="A896" s="85" t="str">
        <f aca="false">Gov_Map!$H221&amp;""</f>
        <v>—</v>
      </c>
      <c r="B896" s="66" t="s">
        <v>5973</v>
      </c>
      <c r="C896" s="53" t="n">
        <v>221</v>
      </c>
      <c r="D896" s="53" t="s">
        <v>5974</v>
      </c>
      <c r="E896" s="53" t="s">
        <v>5974</v>
      </c>
    </row>
    <row r="897" customFormat="false" ht="15" hidden="false" customHeight="false" outlineLevel="0" collapsed="false">
      <c r="A897" s="85" t="str">
        <f aca="false">Gov_Map!$H222&amp;""</f>
        <v>—</v>
      </c>
      <c r="B897" s="66" t="s">
        <v>5973</v>
      </c>
      <c r="C897" s="53" t="n">
        <v>222</v>
      </c>
      <c r="D897" s="53" t="s">
        <v>5974</v>
      </c>
      <c r="E897" s="53" t="s">
        <v>5974</v>
      </c>
    </row>
    <row r="898" customFormat="false" ht="15" hidden="false" customHeight="false" outlineLevel="0" collapsed="false">
      <c r="A898" s="85" t="str">
        <f aca="false">Gov_Map!$H223&amp;""</f>
        <v>—</v>
      </c>
      <c r="B898" s="66" t="s">
        <v>5973</v>
      </c>
      <c r="C898" s="53" t="n">
        <v>223</v>
      </c>
      <c r="D898" s="53" t="s">
        <v>5974</v>
      </c>
      <c r="E898" s="53" t="s">
        <v>5974</v>
      </c>
    </row>
    <row r="899" customFormat="false" ht="15" hidden="false" customHeight="false" outlineLevel="0" collapsed="false">
      <c r="A899" s="85" t="str">
        <f aca="false">Gov_Map!$H224&amp;""</f>
        <v>—</v>
      </c>
      <c r="B899" s="66" t="s">
        <v>5973</v>
      </c>
      <c r="C899" s="53" t="n">
        <v>224</v>
      </c>
      <c r="D899" s="53" t="s">
        <v>5974</v>
      </c>
      <c r="E899" s="53" t="s">
        <v>5974</v>
      </c>
    </row>
    <row r="900" customFormat="false" ht="15" hidden="false" customHeight="false" outlineLevel="0" collapsed="false">
      <c r="A900" s="85" t="str">
        <f aca="false">Gov_Map!$H225&amp;""</f>
        <v>—</v>
      </c>
      <c r="B900" s="66" t="s">
        <v>5973</v>
      </c>
      <c r="C900" s="53" t="n">
        <v>225</v>
      </c>
      <c r="D900" s="53" t="s">
        <v>5974</v>
      </c>
      <c r="E900" s="53" t="s">
        <v>5974</v>
      </c>
    </row>
    <row r="901" customFormat="false" ht="15" hidden="false" customHeight="false" outlineLevel="0" collapsed="false">
      <c r="A901" s="85" t="str">
        <f aca="false">Gov_Map!$H226&amp;""</f>
        <v>—</v>
      </c>
      <c r="B901" s="66" t="s">
        <v>5973</v>
      </c>
      <c r="C901" s="53" t="n">
        <v>226</v>
      </c>
      <c r="D901" s="53" t="s">
        <v>5974</v>
      </c>
      <c r="E901" s="53" t="s">
        <v>5974</v>
      </c>
    </row>
    <row r="902" customFormat="false" ht="15" hidden="false" customHeight="false" outlineLevel="0" collapsed="false">
      <c r="A902" s="85" t="str">
        <f aca="false">Gov_Map!$H227&amp;""</f>
        <v>—</v>
      </c>
      <c r="B902" s="66" t="s">
        <v>5973</v>
      </c>
      <c r="C902" s="53" t="n">
        <v>227</v>
      </c>
      <c r="D902" s="53" t="s">
        <v>5974</v>
      </c>
      <c r="E902" s="53" t="s">
        <v>5974</v>
      </c>
    </row>
    <row r="903" customFormat="false" ht="15" hidden="false" customHeight="false" outlineLevel="0" collapsed="false">
      <c r="A903" s="85" t="str">
        <f aca="false">Gov_Map!$H228&amp;""</f>
        <v>—</v>
      </c>
      <c r="B903" s="66" t="s">
        <v>5973</v>
      </c>
      <c r="C903" s="53" t="n">
        <v>228</v>
      </c>
      <c r="D903" s="53" t="s">
        <v>5974</v>
      </c>
      <c r="E903" s="53" t="s">
        <v>5974</v>
      </c>
    </row>
    <row r="904" customFormat="false" ht="15" hidden="false" customHeight="false" outlineLevel="0" collapsed="false">
      <c r="A904" s="85" t="str">
        <f aca="false">Gov_Map!$H229&amp;""</f>
        <v>—</v>
      </c>
      <c r="B904" s="66" t="s">
        <v>5973</v>
      </c>
      <c r="C904" s="53" t="n">
        <v>229</v>
      </c>
      <c r="D904" s="53" t="s">
        <v>5974</v>
      </c>
      <c r="E904" s="53" t="s">
        <v>5974</v>
      </c>
    </row>
    <row r="905" customFormat="false" ht="15" hidden="false" customHeight="false" outlineLevel="0" collapsed="false">
      <c r="A905" s="85" t="str">
        <f aca="false">Gov_Map!$H230&amp;""</f>
        <v>—</v>
      </c>
      <c r="B905" s="66" t="s">
        <v>5973</v>
      </c>
      <c r="C905" s="53" t="n">
        <v>230</v>
      </c>
      <c r="D905" s="53" t="s">
        <v>5974</v>
      </c>
      <c r="E905" s="53" t="s">
        <v>5974</v>
      </c>
    </row>
    <row r="906" customFormat="false" ht="15" hidden="false" customHeight="false" outlineLevel="0" collapsed="false">
      <c r="A906" s="85" t="str">
        <f aca="false">Gov_Map!$H231&amp;""</f>
        <v>SRC_PERF_035</v>
      </c>
      <c r="B906" s="66" t="s">
        <v>5973</v>
      </c>
      <c r="C906" s="53" t="n">
        <v>231</v>
      </c>
      <c r="D906" s="53" t="s">
        <v>5974</v>
      </c>
      <c r="E906" s="53" t="s">
        <v>5974</v>
      </c>
    </row>
    <row r="907" customFormat="false" ht="15" hidden="false" customHeight="false" outlineLevel="0" collapsed="false">
      <c r="A907" s="85" t="str">
        <f aca="false">Gov_Map!$H232&amp;""</f>
        <v>SRC_PERF_005</v>
      </c>
      <c r="B907" s="66" t="s">
        <v>5973</v>
      </c>
      <c r="C907" s="53" t="n">
        <v>232</v>
      </c>
      <c r="D907" s="53" t="s">
        <v>5974</v>
      </c>
      <c r="E907" s="53" t="s">
        <v>5974</v>
      </c>
    </row>
    <row r="908" customFormat="false" ht="15" hidden="false" customHeight="false" outlineLevel="0" collapsed="false">
      <c r="A908" s="85" t="str">
        <f aca="false">Gov_Map!$H233&amp;""</f>
        <v>—</v>
      </c>
      <c r="B908" s="66" t="s">
        <v>5973</v>
      </c>
      <c r="C908" s="53" t="n">
        <v>233</v>
      </c>
      <c r="D908" s="53" t="s">
        <v>5974</v>
      </c>
      <c r="E908" s="53" t="s">
        <v>5974</v>
      </c>
    </row>
    <row r="909" customFormat="false" ht="15" hidden="false" customHeight="false" outlineLevel="0" collapsed="false">
      <c r="A909" s="85" t="str">
        <f aca="false">Gov_Map!$H234&amp;""</f>
        <v>—</v>
      </c>
      <c r="B909" s="66" t="s">
        <v>5973</v>
      </c>
      <c r="C909" s="53" t="n">
        <v>234</v>
      </c>
      <c r="D909" s="53" t="s">
        <v>5974</v>
      </c>
      <c r="E909" s="53" t="s">
        <v>5974</v>
      </c>
    </row>
    <row r="910" customFormat="false" ht="15" hidden="false" customHeight="false" outlineLevel="0" collapsed="false">
      <c r="A910" s="85" t="str">
        <f aca="false">Gov_Map!$H235&amp;""</f>
        <v>—</v>
      </c>
      <c r="B910" s="66" t="s">
        <v>5973</v>
      </c>
      <c r="C910" s="53" t="n">
        <v>235</v>
      </c>
      <c r="D910" s="53" t="s">
        <v>5974</v>
      </c>
      <c r="E910" s="53" t="s">
        <v>5974</v>
      </c>
    </row>
    <row r="911" customFormat="false" ht="15" hidden="false" customHeight="false" outlineLevel="0" collapsed="false">
      <c r="A911" s="85" t="str">
        <f aca="false">Gov_Map!$H236&amp;""</f>
        <v>—</v>
      </c>
      <c r="B911" s="66" t="s">
        <v>5973</v>
      </c>
      <c r="C911" s="53" t="n">
        <v>236</v>
      </c>
      <c r="D911" s="53" t="s">
        <v>5974</v>
      </c>
      <c r="E911" s="53" t="s">
        <v>5974</v>
      </c>
    </row>
    <row r="912" customFormat="false" ht="15" hidden="false" customHeight="false" outlineLevel="0" collapsed="false">
      <c r="A912" s="85" t="str">
        <f aca="false">Gov_Map!$H237&amp;""</f>
        <v>—</v>
      </c>
      <c r="B912" s="66" t="s">
        <v>5973</v>
      </c>
      <c r="C912" s="53" t="n">
        <v>237</v>
      </c>
      <c r="D912" s="53" t="s">
        <v>5974</v>
      </c>
      <c r="E912" s="53" t="s">
        <v>5974</v>
      </c>
    </row>
    <row r="913" customFormat="false" ht="15" hidden="false" customHeight="false" outlineLevel="0" collapsed="false">
      <c r="A913" s="85" t="str">
        <f aca="false">Gov_Map!$H238&amp;""</f>
        <v>—</v>
      </c>
      <c r="B913" s="66" t="s">
        <v>5973</v>
      </c>
      <c r="C913" s="53" t="n">
        <v>238</v>
      </c>
      <c r="D913" s="53" t="s">
        <v>5974</v>
      </c>
      <c r="E913" s="53" t="s">
        <v>5974</v>
      </c>
    </row>
    <row r="914" customFormat="false" ht="15" hidden="false" customHeight="false" outlineLevel="0" collapsed="false">
      <c r="A914" s="85" t="str">
        <f aca="false">Gov_Map!$H239&amp;""</f>
        <v>—</v>
      </c>
      <c r="B914" s="66" t="s">
        <v>5973</v>
      </c>
      <c r="C914" s="53" t="n">
        <v>239</v>
      </c>
      <c r="D914" s="53" t="s">
        <v>5974</v>
      </c>
      <c r="E914" s="53" t="s">
        <v>5974</v>
      </c>
    </row>
    <row r="915" customFormat="false" ht="15" hidden="false" customHeight="false" outlineLevel="0" collapsed="false">
      <c r="A915" s="85" t="str">
        <f aca="false">Gov_Map!$H240&amp;""</f>
        <v>—</v>
      </c>
      <c r="B915" s="66" t="s">
        <v>5973</v>
      </c>
      <c r="C915" s="53" t="n">
        <v>240</v>
      </c>
      <c r="D915" s="53" t="s">
        <v>5974</v>
      </c>
      <c r="E915" s="53" t="s">
        <v>5974</v>
      </c>
    </row>
    <row r="916" customFormat="false" ht="15" hidden="false" customHeight="false" outlineLevel="0" collapsed="false">
      <c r="A916" s="85" t="str">
        <f aca="false">Gov_Map!$H241&amp;""</f>
        <v>—</v>
      </c>
      <c r="B916" s="66" t="s">
        <v>5973</v>
      </c>
      <c r="C916" s="53" t="n">
        <v>241</v>
      </c>
      <c r="D916" s="53" t="s">
        <v>5974</v>
      </c>
      <c r="E916" s="53" t="s">
        <v>5974</v>
      </c>
    </row>
    <row r="917" customFormat="false" ht="15" hidden="false" customHeight="false" outlineLevel="0" collapsed="false">
      <c r="A917" s="85" t="str">
        <f aca="false">Gov_Map!$H242&amp;""</f>
        <v>—</v>
      </c>
      <c r="B917" s="66" t="s">
        <v>5973</v>
      </c>
      <c r="C917" s="53" t="n">
        <v>242</v>
      </c>
      <c r="D917" s="53" t="s">
        <v>5974</v>
      </c>
      <c r="E917" s="53" t="s">
        <v>5974</v>
      </c>
    </row>
    <row r="918" customFormat="false" ht="15" hidden="false" customHeight="false" outlineLevel="0" collapsed="false">
      <c r="A918" s="85" t="str">
        <f aca="false">Gov_Map!$H243&amp;""</f>
        <v>SRC_PERF_018</v>
      </c>
      <c r="B918" s="66" t="s">
        <v>5973</v>
      </c>
      <c r="C918" s="53" t="n">
        <v>243</v>
      </c>
      <c r="D918" s="53" t="s">
        <v>5974</v>
      </c>
      <c r="E918" s="53" t="s">
        <v>5974</v>
      </c>
    </row>
    <row r="919" customFormat="false" ht="15" hidden="false" customHeight="false" outlineLevel="0" collapsed="false">
      <c r="A919" s="85" t="str">
        <f aca="false">Gov_Map!$H244&amp;""</f>
        <v>SRC_PERF_019</v>
      </c>
      <c r="B919" s="66" t="s">
        <v>5973</v>
      </c>
      <c r="C919" s="53" t="n">
        <v>244</v>
      </c>
      <c r="D919" s="53" t="s">
        <v>5974</v>
      </c>
      <c r="E919" s="53" t="s">
        <v>5974</v>
      </c>
    </row>
    <row r="920" customFormat="false" ht="15" hidden="false" customHeight="false" outlineLevel="0" collapsed="false">
      <c r="A920" s="85" t="str">
        <f aca="false">Gov_Map!$H245&amp;""</f>
        <v>SRC_PERF_020</v>
      </c>
      <c r="B920" s="66" t="s">
        <v>5973</v>
      </c>
      <c r="C920" s="53" t="n">
        <v>245</v>
      </c>
      <c r="D920" s="53" t="s">
        <v>5974</v>
      </c>
      <c r="E920" s="53" t="s">
        <v>5974</v>
      </c>
    </row>
    <row r="921" customFormat="false" ht="15" hidden="false" customHeight="false" outlineLevel="0" collapsed="false">
      <c r="A921" s="85" t="str">
        <f aca="false">Gov_Map!$H246&amp;""</f>
        <v>—</v>
      </c>
      <c r="B921" s="66" t="s">
        <v>5973</v>
      </c>
      <c r="C921" s="53" t="n">
        <v>246</v>
      </c>
      <c r="D921" s="53" t="s">
        <v>5974</v>
      </c>
      <c r="E921" s="53" t="s">
        <v>5974</v>
      </c>
    </row>
    <row r="922" customFormat="false" ht="15" hidden="false" customHeight="false" outlineLevel="0" collapsed="false">
      <c r="A922" s="85" t="str">
        <f aca="false">Gov_Map!$H247&amp;""</f>
        <v>—</v>
      </c>
      <c r="B922" s="66" t="s">
        <v>5973</v>
      </c>
      <c r="C922" s="53" t="n">
        <v>247</v>
      </c>
      <c r="D922" s="53" t="s">
        <v>5974</v>
      </c>
      <c r="E922" s="53" t="s">
        <v>5974</v>
      </c>
    </row>
    <row r="923" customFormat="false" ht="15" hidden="false" customHeight="false" outlineLevel="0" collapsed="false">
      <c r="A923" s="85" t="str">
        <f aca="false">Gov_Map!$H248&amp;""</f>
        <v>—</v>
      </c>
      <c r="B923" s="66" t="s">
        <v>5973</v>
      </c>
      <c r="C923" s="53" t="n">
        <v>248</v>
      </c>
      <c r="D923" s="53" t="s">
        <v>5974</v>
      </c>
      <c r="E923" s="53" t="s">
        <v>5974</v>
      </c>
    </row>
    <row r="924" customFormat="false" ht="15" hidden="false" customHeight="false" outlineLevel="0" collapsed="false">
      <c r="A924" s="85" t="str">
        <f aca="false">Gov_Map!$H249&amp;""</f>
        <v>—</v>
      </c>
      <c r="B924" s="66" t="s">
        <v>5973</v>
      </c>
      <c r="C924" s="53" t="n">
        <v>249</v>
      </c>
      <c r="D924" s="53" t="s">
        <v>5974</v>
      </c>
      <c r="E924" s="53" t="s">
        <v>5974</v>
      </c>
    </row>
    <row r="925" customFormat="false" ht="15" hidden="false" customHeight="false" outlineLevel="0" collapsed="false">
      <c r="A925" s="85" t="str">
        <f aca="false">Gov_Map!$H250&amp;""</f>
        <v>—</v>
      </c>
      <c r="B925" s="66" t="s">
        <v>5973</v>
      </c>
      <c r="C925" s="53" t="n">
        <v>250</v>
      </c>
      <c r="D925" s="53" t="s">
        <v>5974</v>
      </c>
      <c r="E925" s="53" t="s">
        <v>5974</v>
      </c>
    </row>
    <row r="926" customFormat="false" ht="15" hidden="false" customHeight="false" outlineLevel="0" collapsed="false">
      <c r="A926" s="85" t="str">
        <f aca="false">Gov_Map!$H251&amp;""</f>
        <v>—</v>
      </c>
      <c r="B926" s="66" t="s">
        <v>5973</v>
      </c>
      <c r="C926" s="53" t="n">
        <v>251</v>
      </c>
      <c r="D926" s="53" t="s">
        <v>5974</v>
      </c>
      <c r="E926" s="53" t="s">
        <v>5974</v>
      </c>
    </row>
    <row r="927" customFormat="false" ht="15" hidden="false" customHeight="false" outlineLevel="0" collapsed="false">
      <c r="A927" s="85" t="str">
        <f aca="false">Gov_Map!$H252&amp;""</f>
        <v>—</v>
      </c>
      <c r="B927" s="66" t="s">
        <v>5973</v>
      </c>
      <c r="C927" s="53" t="n">
        <v>252</v>
      </c>
      <c r="D927" s="53" t="s">
        <v>5974</v>
      </c>
      <c r="E927" s="53" t="s">
        <v>5974</v>
      </c>
    </row>
    <row r="928" customFormat="false" ht="15" hidden="false" customHeight="false" outlineLevel="0" collapsed="false">
      <c r="A928" s="85" t="str">
        <f aca="false">Gov_Map!$H253&amp;""</f>
        <v>—</v>
      </c>
      <c r="B928" s="66" t="s">
        <v>5973</v>
      </c>
      <c r="C928" s="53" t="n">
        <v>253</v>
      </c>
      <c r="D928" s="53" t="s">
        <v>5974</v>
      </c>
      <c r="E928" s="53" t="s">
        <v>5974</v>
      </c>
    </row>
    <row r="929" customFormat="false" ht="15" hidden="false" customHeight="false" outlineLevel="0" collapsed="false">
      <c r="A929" s="85" t="str">
        <f aca="false">Gov_Map!$H254&amp;""</f>
        <v>—</v>
      </c>
      <c r="B929" s="66" t="s">
        <v>5973</v>
      </c>
      <c r="C929" s="53" t="n">
        <v>254</v>
      </c>
      <c r="D929" s="53" t="s">
        <v>5974</v>
      </c>
      <c r="E929" s="53" t="s">
        <v>5974</v>
      </c>
    </row>
    <row r="930" customFormat="false" ht="15" hidden="false" customHeight="false" outlineLevel="0" collapsed="false">
      <c r="A930" s="85" t="str">
        <f aca="false">Gov_Map!$H255&amp;""</f>
        <v>—</v>
      </c>
      <c r="B930" s="66" t="s">
        <v>5973</v>
      </c>
      <c r="C930" s="53" t="n">
        <v>255</v>
      </c>
      <c r="D930" s="53" t="s">
        <v>5974</v>
      </c>
      <c r="E930" s="53" t="s">
        <v>5974</v>
      </c>
    </row>
    <row r="931" customFormat="false" ht="15" hidden="false" customHeight="false" outlineLevel="0" collapsed="false">
      <c r="A931" s="85" t="str">
        <f aca="false">Gov_Map!$H256&amp;""</f>
        <v>—</v>
      </c>
      <c r="B931" s="66" t="s">
        <v>5973</v>
      </c>
      <c r="C931" s="53" t="n">
        <v>256</v>
      </c>
      <c r="D931" s="53" t="s">
        <v>5974</v>
      </c>
      <c r="E931" s="53" t="s">
        <v>5974</v>
      </c>
    </row>
    <row r="932" customFormat="false" ht="15" hidden="false" customHeight="false" outlineLevel="0" collapsed="false">
      <c r="A932" s="85" t="str">
        <f aca="false">Gov_Map!$H257&amp;""</f>
        <v>—</v>
      </c>
      <c r="B932" s="66" t="s">
        <v>5973</v>
      </c>
      <c r="C932" s="53" t="n">
        <v>257</v>
      </c>
      <c r="D932" s="53" t="s">
        <v>5974</v>
      </c>
      <c r="E932" s="53" t="s">
        <v>5974</v>
      </c>
    </row>
    <row r="933" customFormat="false" ht="15" hidden="false" customHeight="false" outlineLevel="0" collapsed="false">
      <c r="A933" s="85" t="str">
        <f aca="false">Gov_Map!$H258&amp;""</f>
        <v>—</v>
      </c>
      <c r="B933" s="66" t="s">
        <v>5973</v>
      </c>
      <c r="C933" s="53" t="n">
        <v>258</v>
      </c>
      <c r="D933" s="53" t="s">
        <v>5974</v>
      </c>
      <c r="E933" s="53" t="s">
        <v>5974</v>
      </c>
    </row>
    <row r="934" customFormat="false" ht="15" hidden="false" customHeight="false" outlineLevel="0" collapsed="false">
      <c r="A934" s="85" t="str">
        <f aca="false">Gov_Map!$H259&amp;""</f>
        <v>—</v>
      </c>
      <c r="B934" s="66" t="s">
        <v>5973</v>
      </c>
      <c r="C934" s="53" t="n">
        <v>259</v>
      </c>
      <c r="D934" s="53" t="s">
        <v>5974</v>
      </c>
      <c r="E934" s="53" t="s">
        <v>5974</v>
      </c>
    </row>
    <row r="935" customFormat="false" ht="15" hidden="false" customHeight="false" outlineLevel="0" collapsed="false">
      <c r="A935" s="85" t="str">
        <f aca="false">Gov_Map!$H260&amp;""</f>
        <v>—</v>
      </c>
      <c r="B935" s="66" t="s">
        <v>5973</v>
      </c>
      <c r="C935" s="53" t="n">
        <v>260</v>
      </c>
      <c r="D935" s="53" t="s">
        <v>5974</v>
      </c>
      <c r="E935" s="53" t="s">
        <v>5974</v>
      </c>
    </row>
    <row r="936" customFormat="false" ht="15" hidden="false" customHeight="false" outlineLevel="0" collapsed="false">
      <c r="A936" s="85" t="str">
        <f aca="false">Gov_Map!$H261&amp;""</f>
        <v>—</v>
      </c>
      <c r="B936" s="66" t="s">
        <v>5973</v>
      </c>
      <c r="C936" s="53" t="n">
        <v>261</v>
      </c>
      <c r="D936" s="53" t="s">
        <v>5974</v>
      </c>
      <c r="E936" s="53" t="s">
        <v>5974</v>
      </c>
    </row>
    <row r="937" customFormat="false" ht="15" hidden="false" customHeight="false" outlineLevel="0" collapsed="false">
      <c r="A937" s="85" t="str">
        <f aca="false">Gov_Map!$H262&amp;""</f>
        <v>—</v>
      </c>
      <c r="B937" s="66" t="s">
        <v>5973</v>
      </c>
      <c r="C937" s="53" t="n">
        <v>262</v>
      </c>
      <c r="D937" s="53" t="s">
        <v>5974</v>
      </c>
      <c r="E937" s="53" t="s">
        <v>5974</v>
      </c>
    </row>
    <row r="938" customFormat="false" ht="15" hidden="false" customHeight="false" outlineLevel="0" collapsed="false">
      <c r="A938" s="85" t="str">
        <f aca="false">Gov_Map!$H263&amp;""</f>
        <v>—</v>
      </c>
      <c r="B938" s="66" t="s">
        <v>5973</v>
      </c>
      <c r="C938" s="53" t="n">
        <v>263</v>
      </c>
      <c r="D938" s="53" t="s">
        <v>5974</v>
      </c>
      <c r="E938" s="53" t="s">
        <v>5974</v>
      </c>
    </row>
    <row r="939" customFormat="false" ht="15" hidden="false" customHeight="false" outlineLevel="0" collapsed="false">
      <c r="A939" s="85" t="str">
        <f aca="false">Gov_Map!$H264&amp;""</f>
        <v>—</v>
      </c>
      <c r="B939" s="66" t="s">
        <v>5973</v>
      </c>
      <c r="C939" s="53" t="n">
        <v>264</v>
      </c>
      <c r="D939" s="53" t="s">
        <v>5974</v>
      </c>
      <c r="E939" s="53" t="s">
        <v>5974</v>
      </c>
    </row>
    <row r="940" customFormat="false" ht="15" hidden="false" customHeight="false" outlineLevel="0" collapsed="false">
      <c r="A940" s="85" t="str">
        <f aca="false">Gov_Map!$H265&amp;""</f>
        <v>—</v>
      </c>
      <c r="B940" s="66" t="s">
        <v>5973</v>
      </c>
      <c r="C940" s="53" t="n">
        <v>265</v>
      </c>
      <c r="D940" s="53" t="s">
        <v>5974</v>
      </c>
      <c r="E940" s="53" t="s">
        <v>5974</v>
      </c>
    </row>
    <row r="941" customFormat="false" ht="15" hidden="false" customHeight="false" outlineLevel="0" collapsed="false">
      <c r="A941" s="85" t="str">
        <f aca="false">Gov_Map!$H266&amp;""</f>
        <v>—</v>
      </c>
      <c r="B941" s="66" t="s">
        <v>5973</v>
      </c>
      <c r="C941" s="53" t="n">
        <v>266</v>
      </c>
      <c r="D941" s="53" t="s">
        <v>5974</v>
      </c>
      <c r="E941" s="53" t="s">
        <v>5974</v>
      </c>
    </row>
    <row r="942" customFormat="false" ht="15" hidden="false" customHeight="false" outlineLevel="0" collapsed="false">
      <c r="A942" s="85" t="str">
        <f aca="false">Gov_Map!$H267&amp;""</f>
        <v>—</v>
      </c>
      <c r="B942" s="66" t="s">
        <v>5973</v>
      </c>
      <c r="C942" s="53" t="n">
        <v>267</v>
      </c>
      <c r="D942" s="53" t="s">
        <v>5974</v>
      </c>
      <c r="E942" s="53" t="s">
        <v>5974</v>
      </c>
    </row>
    <row r="943" customFormat="false" ht="15" hidden="false" customHeight="false" outlineLevel="0" collapsed="false">
      <c r="A943" s="85" t="str">
        <f aca="false">Gov_Map!$H268&amp;""</f>
        <v>—</v>
      </c>
      <c r="B943" s="66" t="s">
        <v>5973</v>
      </c>
      <c r="C943" s="53" t="n">
        <v>268</v>
      </c>
      <c r="D943" s="53" t="s">
        <v>5974</v>
      </c>
      <c r="E943" s="53" t="s">
        <v>5974</v>
      </c>
    </row>
    <row r="944" customFormat="false" ht="15" hidden="false" customHeight="false" outlineLevel="0" collapsed="false">
      <c r="A944" s="85" t="str">
        <f aca="false">Gov_Map!$H269&amp;""</f>
        <v>—</v>
      </c>
      <c r="B944" s="66" t="s">
        <v>5973</v>
      </c>
      <c r="C944" s="53" t="n">
        <v>269</v>
      </c>
      <c r="D944" s="53" t="s">
        <v>5974</v>
      </c>
      <c r="E944" s="53" t="s">
        <v>5974</v>
      </c>
    </row>
    <row r="945" customFormat="false" ht="15" hidden="false" customHeight="false" outlineLevel="0" collapsed="false">
      <c r="A945" s="85" t="str">
        <f aca="false">Gov_Map!$H270&amp;""</f>
        <v>—</v>
      </c>
      <c r="B945" s="66" t="s">
        <v>5973</v>
      </c>
      <c r="C945" s="53" t="n">
        <v>270</v>
      </c>
      <c r="D945" s="53" t="s">
        <v>5974</v>
      </c>
      <c r="E945" s="53" t="s">
        <v>5974</v>
      </c>
    </row>
    <row r="946" customFormat="false" ht="15" hidden="false" customHeight="false" outlineLevel="0" collapsed="false">
      <c r="A946" s="85" t="str">
        <f aca="false">Gov_Map!$H271&amp;""</f>
        <v>—</v>
      </c>
      <c r="B946" s="66" t="s">
        <v>5973</v>
      </c>
      <c r="C946" s="53" t="n">
        <v>271</v>
      </c>
      <c r="D946" s="53" t="s">
        <v>5974</v>
      </c>
      <c r="E946" s="53" t="s">
        <v>5974</v>
      </c>
    </row>
    <row r="947" customFormat="false" ht="15" hidden="false" customHeight="false" outlineLevel="0" collapsed="false">
      <c r="A947" s="85" t="str">
        <f aca="false">Gov_Map!$H272&amp;""</f>
        <v>—</v>
      </c>
      <c r="B947" s="66" t="s">
        <v>5973</v>
      </c>
      <c r="C947" s="53" t="n">
        <v>272</v>
      </c>
      <c r="D947" s="53" t="s">
        <v>5974</v>
      </c>
      <c r="E947" s="53" t="s">
        <v>5974</v>
      </c>
    </row>
    <row r="948" customFormat="false" ht="15" hidden="false" customHeight="false" outlineLevel="0" collapsed="false">
      <c r="A948" s="85" t="str">
        <f aca="false">Gov_Map!$H273&amp;""</f>
        <v>—</v>
      </c>
      <c r="B948" s="66" t="s">
        <v>5973</v>
      </c>
      <c r="C948" s="53" t="n">
        <v>273</v>
      </c>
      <c r="D948" s="53" t="s">
        <v>5974</v>
      </c>
      <c r="E948" s="53" t="s">
        <v>5974</v>
      </c>
    </row>
    <row r="949" customFormat="false" ht="15" hidden="false" customHeight="false" outlineLevel="0" collapsed="false">
      <c r="A949" s="85" t="str">
        <f aca="false">Gov_Map!$H274&amp;""</f>
        <v>—</v>
      </c>
      <c r="B949" s="66" t="s">
        <v>5973</v>
      </c>
      <c r="C949" s="53" t="n">
        <v>274</v>
      </c>
      <c r="D949" s="53" t="s">
        <v>5974</v>
      </c>
      <c r="E949" s="53" t="s">
        <v>5974</v>
      </c>
    </row>
    <row r="950" customFormat="false" ht="15" hidden="false" customHeight="false" outlineLevel="0" collapsed="false">
      <c r="A950" s="85" t="str">
        <f aca="false">Gov_Map!$H275&amp;""</f>
        <v>—</v>
      </c>
      <c r="B950" s="66" t="s">
        <v>5973</v>
      </c>
      <c r="C950" s="53" t="n">
        <v>275</v>
      </c>
      <c r="D950" s="53" t="s">
        <v>5974</v>
      </c>
      <c r="E950" s="53" t="s">
        <v>5974</v>
      </c>
    </row>
    <row r="951" customFormat="false" ht="15" hidden="false" customHeight="false" outlineLevel="0" collapsed="false">
      <c r="A951" s="85" t="str">
        <f aca="false">Gov_Map!$H276&amp;""</f>
        <v>—</v>
      </c>
      <c r="B951" s="66" t="s">
        <v>5973</v>
      </c>
      <c r="C951" s="53" t="n">
        <v>276</v>
      </c>
      <c r="D951" s="53" t="s">
        <v>5974</v>
      </c>
      <c r="E951" s="53" t="s">
        <v>5974</v>
      </c>
    </row>
    <row r="952" customFormat="false" ht="15" hidden="false" customHeight="false" outlineLevel="0" collapsed="false">
      <c r="A952" s="85" t="str">
        <f aca="false">Gov_Map!$H277&amp;""</f>
        <v>—</v>
      </c>
      <c r="B952" s="66" t="s">
        <v>5973</v>
      </c>
      <c r="C952" s="53" t="n">
        <v>277</v>
      </c>
      <c r="D952" s="53" t="s">
        <v>5974</v>
      </c>
      <c r="E952" s="53" t="s">
        <v>5974</v>
      </c>
    </row>
    <row r="953" customFormat="false" ht="15" hidden="false" customHeight="false" outlineLevel="0" collapsed="false">
      <c r="A953" s="85" t="str">
        <f aca="false">Gov_Map!$H278&amp;""</f>
        <v>—</v>
      </c>
      <c r="B953" s="66" t="s">
        <v>5973</v>
      </c>
      <c r="C953" s="53" t="n">
        <v>278</v>
      </c>
      <c r="D953" s="53" t="s">
        <v>5974</v>
      </c>
      <c r="E953" s="53" t="s">
        <v>5974</v>
      </c>
    </row>
    <row r="954" customFormat="false" ht="15" hidden="false" customHeight="false" outlineLevel="0" collapsed="false">
      <c r="A954" s="85" t="str">
        <f aca="false">Gov_Map!$H279&amp;""</f>
        <v>—</v>
      </c>
      <c r="B954" s="66" t="s">
        <v>5973</v>
      </c>
      <c r="C954" s="53" t="n">
        <v>279</v>
      </c>
      <c r="D954" s="53" t="s">
        <v>5974</v>
      </c>
      <c r="E954" s="53" t="s">
        <v>5974</v>
      </c>
    </row>
    <row r="955" customFormat="false" ht="15" hidden="false" customHeight="false" outlineLevel="0" collapsed="false">
      <c r="A955" s="85" t="str">
        <f aca="false">Gov_Map!$H280&amp;""</f>
        <v>—</v>
      </c>
      <c r="B955" s="66" t="s">
        <v>5973</v>
      </c>
      <c r="C955" s="53" t="n">
        <v>280</v>
      </c>
      <c r="D955" s="53" t="s">
        <v>5974</v>
      </c>
      <c r="E955" s="53" t="s">
        <v>5974</v>
      </c>
    </row>
    <row r="956" customFormat="false" ht="15" hidden="false" customHeight="false" outlineLevel="0" collapsed="false">
      <c r="A956" s="85" t="str">
        <f aca="false">Gov_Map!$H281&amp;""</f>
        <v>—</v>
      </c>
      <c r="B956" s="66" t="s">
        <v>5973</v>
      </c>
      <c r="C956" s="53" t="n">
        <v>281</v>
      </c>
      <c r="D956" s="53" t="s">
        <v>5974</v>
      </c>
      <c r="E956" s="53" t="s">
        <v>5974</v>
      </c>
    </row>
    <row r="957" customFormat="false" ht="15" hidden="false" customHeight="false" outlineLevel="0" collapsed="false">
      <c r="A957" s="85" t="str">
        <f aca="false">Gov_Map!$H282&amp;""</f>
        <v>—</v>
      </c>
      <c r="B957" s="66" t="s">
        <v>5973</v>
      </c>
      <c r="C957" s="53" t="n">
        <v>282</v>
      </c>
      <c r="D957" s="53" t="s">
        <v>5974</v>
      </c>
      <c r="E957" s="53" t="s">
        <v>5974</v>
      </c>
    </row>
    <row r="958" customFormat="false" ht="15" hidden="false" customHeight="false" outlineLevel="0" collapsed="false">
      <c r="A958" s="85" t="str">
        <f aca="false">Gov_Map!$H283&amp;""</f>
        <v>—</v>
      </c>
      <c r="B958" s="66" t="s">
        <v>5973</v>
      </c>
      <c r="C958" s="53" t="n">
        <v>283</v>
      </c>
      <c r="D958" s="53" t="s">
        <v>5974</v>
      </c>
      <c r="E958" s="53" t="s">
        <v>5974</v>
      </c>
    </row>
    <row r="959" customFormat="false" ht="15" hidden="false" customHeight="false" outlineLevel="0" collapsed="false">
      <c r="A959" s="85" t="str">
        <f aca="false">Gov_Map!$H284&amp;""</f>
        <v>—</v>
      </c>
      <c r="B959" s="66" t="s">
        <v>5973</v>
      </c>
      <c r="C959" s="53" t="n">
        <v>284</v>
      </c>
      <c r="D959" s="53" t="s">
        <v>5974</v>
      </c>
      <c r="E959" s="53" t="s">
        <v>5974</v>
      </c>
    </row>
    <row r="960" customFormat="false" ht="15" hidden="false" customHeight="false" outlineLevel="0" collapsed="false">
      <c r="A960" s="85" t="str">
        <f aca="false">Gov_Map!$H285&amp;""</f>
        <v>—</v>
      </c>
      <c r="B960" s="66" t="s">
        <v>5973</v>
      </c>
      <c r="C960" s="53" t="n">
        <v>285</v>
      </c>
      <c r="D960" s="53" t="s">
        <v>5974</v>
      </c>
      <c r="E960" s="53" t="s">
        <v>5974</v>
      </c>
    </row>
    <row r="961" customFormat="false" ht="15" hidden="false" customHeight="false" outlineLevel="0" collapsed="false">
      <c r="A961" s="85" t="str">
        <f aca="false">Gov_Map!$H286&amp;""</f>
        <v>—</v>
      </c>
      <c r="B961" s="66" t="s">
        <v>5973</v>
      </c>
      <c r="C961" s="53" t="n">
        <v>286</v>
      </c>
      <c r="D961" s="53" t="s">
        <v>5974</v>
      </c>
      <c r="E961" s="53" t="s">
        <v>5974</v>
      </c>
    </row>
    <row r="962" customFormat="false" ht="15" hidden="false" customHeight="false" outlineLevel="0" collapsed="false">
      <c r="A962" s="85" t="str">
        <f aca="false">Gov_Map!$H287&amp;""</f>
        <v>—</v>
      </c>
      <c r="B962" s="66" t="s">
        <v>5973</v>
      </c>
      <c r="C962" s="53" t="n">
        <v>287</v>
      </c>
      <c r="D962" s="53" t="s">
        <v>5974</v>
      </c>
      <c r="E962" s="53" t="s">
        <v>5974</v>
      </c>
    </row>
    <row r="963" customFormat="false" ht="15" hidden="false" customHeight="false" outlineLevel="0" collapsed="false">
      <c r="A963" s="85" t="str">
        <f aca="false">Gov_Map!$H288&amp;""</f>
        <v>—</v>
      </c>
      <c r="B963" s="66" t="s">
        <v>5973</v>
      </c>
      <c r="C963" s="53" t="n">
        <v>288</v>
      </c>
      <c r="D963" s="53" t="s">
        <v>5974</v>
      </c>
      <c r="E963" s="53" t="s">
        <v>5974</v>
      </c>
    </row>
    <row r="964" customFormat="false" ht="15" hidden="false" customHeight="false" outlineLevel="0" collapsed="false">
      <c r="A964" s="85" t="str">
        <f aca="false">Gov_Map!$H289&amp;""</f>
        <v>—</v>
      </c>
      <c r="B964" s="66" t="s">
        <v>5973</v>
      </c>
      <c r="C964" s="53" t="n">
        <v>289</v>
      </c>
      <c r="D964" s="53" t="s">
        <v>5974</v>
      </c>
      <c r="E964" s="53" t="s">
        <v>5974</v>
      </c>
    </row>
    <row r="965" customFormat="false" ht="15" hidden="false" customHeight="false" outlineLevel="0" collapsed="false">
      <c r="A965" s="85" t="str">
        <f aca="false">Gov_Map!$H290&amp;""</f>
        <v>—</v>
      </c>
      <c r="B965" s="66" t="s">
        <v>5973</v>
      </c>
      <c r="C965" s="53" t="n">
        <v>290</v>
      </c>
      <c r="D965" s="53" t="s">
        <v>5974</v>
      </c>
      <c r="E965" s="53" t="s">
        <v>5974</v>
      </c>
    </row>
    <row r="966" customFormat="false" ht="15" hidden="false" customHeight="false" outlineLevel="0" collapsed="false">
      <c r="A966" s="85" t="str">
        <f aca="false">Gov_Map!$H291&amp;""</f>
        <v>—</v>
      </c>
      <c r="B966" s="66" t="s">
        <v>5973</v>
      </c>
      <c r="C966" s="53" t="n">
        <v>291</v>
      </c>
      <c r="D966" s="53" t="s">
        <v>5974</v>
      </c>
      <c r="E966" s="53" t="s">
        <v>5974</v>
      </c>
    </row>
    <row r="967" customFormat="false" ht="15" hidden="false" customHeight="false" outlineLevel="0" collapsed="false">
      <c r="A967" s="85" t="str">
        <f aca="false">Gov_Map!$H292&amp;""</f>
        <v>—</v>
      </c>
      <c r="B967" s="66" t="s">
        <v>5973</v>
      </c>
      <c r="C967" s="53" t="n">
        <v>292</v>
      </c>
      <c r="D967" s="53" t="s">
        <v>5974</v>
      </c>
      <c r="E967" s="53" t="s">
        <v>5974</v>
      </c>
    </row>
    <row r="968" customFormat="false" ht="15" hidden="false" customHeight="false" outlineLevel="0" collapsed="false">
      <c r="A968" s="85" t="str">
        <f aca="false">Gov_Map!$H293&amp;""</f>
        <v>—</v>
      </c>
      <c r="B968" s="66" t="s">
        <v>5973</v>
      </c>
      <c r="C968" s="53" t="n">
        <v>293</v>
      </c>
      <c r="D968" s="53" t="s">
        <v>5974</v>
      </c>
      <c r="E968" s="53" t="s">
        <v>5974</v>
      </c>
    </row>
    <row r="969" customFormat="false" ht="15" hidden="false" customHeight="false" outlineLevel="0" collapsed="false">
      <c r="A969" s="85" t="str">
        <f aca="false">Gov_Map!$H294&amp;""</f>
        <v>—</v>
      </c>
      <c r="B969" s="66" t="s">
        <v>5973</v>
      </c>
      <c r="C969" s="53" t="n">
        <v>294</v>
      </c>
      <c r="D969" s="53" t="s">
        <v>5974</v>
      </c>
      <c r="E969" s="53" t="s">
        <v>5974</v>
      </c>
    </row>
    <row r="970" customFormat="false" ht="15" hidden="false" customHeight="false" outlineLevel="0" collapsed="false">
      <c r="A970" s="85" t="str">
        <f aca="false">Gov_Map!$H295&amp;""</f>
        <v>—</v>
      </c>
      <c r="B970" s="66" t="s">
        <v>5973</v>
      </c>
      <c r="C970" s="53" t="n">
        <v>295</v>
      </c>
      <c r="D970" s="53" t="s">
        <v>5974</v>
      </c>
      <c r="E970" s="53" t="s">
        <v>5974</v>
      </c>
    </row>
    <row r="971" customFormat="false" ht="15" hidden="false" customHeight="false" outlineLevel="0" collapsed="false">
      <c r="A971" s="85" t="str">
        <f aca="false">Gov_Map!$H296&amp;""</f>
        <v>—</v>
      </c>
      <c r="B971" s="66" t="s">
        <v>5973</v>
      </c>
      <c r="C971" s="53" t="n">
        <v>296</v>
      </c>
      <c r="D971" s="53" t="s">
        <v>5974</v>
      </c>
      <c r="E971" s="53" t="s">
        <v>5974</v>
      </c>
    </row>
    <row r="972" customFormat="false" ht="15" hidden="false" customHeight="false" outlineLevel="0" collapsed="false">
      <c r="A972" s="85" t="str">
        <f aca="false">Gov_Map!$H297&amp;""</f>
        <v>—</v>
      </c>
      <c r="B972" s="66" t="s">
        <v>5973</v>
      </c>
      <c r="C972" s="53" t="n">
        <v>297</v>
      </c>
      <c r="D972" s="53" t="s">
        <v>5974</v>
      </c>
      <c r="E972" s="53" t="s">
        <v>5974</v>
      </c>
    </row>
    <row r="973" customFormat="false" ht="15" hidden="false" customHeight="false" outlineLevel="0" collapsed="false">
      <c r="A973" s="85" t="str">
        <f aca="false">Gov_Map!$H298&amp;""</f>
        <v>—</v>
      </c>
      <c r="B973" s="66" t="s">
        <v>5973</v>
      </c>
      <c r="C973" s="53" t="n">
        <v>298</v>
      </c>
      <c r="D973" s="53" t="s">
        <v>5974</v>
      </c>
      <c r="E973" s="53" t="s">
        <v>5974</v>
      </c>
    </row>
    <row r="974" customFormat="false" ht="15" hidden="false" customHeight="false" outlineLevel="0" collapsed="false">
      <c r="A974" s="85" t="str">
        <f aca="false">Gov_Map!$H299&amp;""</f>
        <v>—</v>
      </c>
      <c r="B974" s="66" t="s">
        <v>5973</v>
      </c>
      <c r="C974" s="53" t="n">
        <v>299</v>
      </c>
      <c r="D974" s="53" t="s">
        <v>5974</v>
      </c>
      <c r="E974" s="53" t="s">
        <v>5974</v>
      </c>
    </row>
    <row r="975" customFormat="false" ht="15" hidden="false" customHeight="false" outlineLevel="0" collapsed="false">
      <c r="A975" s="85" t="str">
        <f aca="false">Gov_Map!$H300&amp;""</f>
        <v>—</v>
      </c>
      <c r="B975" s="66" t="s">
        <v>5973</v>
      </c>
      <c r="C975" s="53" t="n">
        <v>300</v>
      </c>
      <c r="D975" s="53" t="s">
        <v>5974</v>
      </c>
      <c r="E975" s="53" t="s">
        <v>5974</v>
      </c>
    </row>
    <row r="976" customFormat="false" ht="15" hidden="false" customHeight="false" outlineLevel="0" collapsed="false">
      <c r="A976" s="85" t="str">
        <f aca="false">Gov_Map!$H301&amp;""</f>
        <v>—</v>
      </c>
      <c r="B976" s="66" t="s">
        <v>5973</v>
      </c>
      <c r="C976" s="53" t="n">
        <v>301</v>
      </c>
      <c r="D976" s="53" t="s">
        <v>5974</v>
      </c>
      <c r="E976" s="53" t="s">
        <v>5974</v>
      </c>
    </row>
    <row r="977" customFormat="false" ht="15" hidden="false" customHeight="false" outlineLevel="0" collapsed="false">
      <c r="A977" s="85" t="str">
        <f aca="false">Gov_Map!$H302&amp;""</f>
        <v>—</v>
      </c>
      <c r="B977" s="66" t="s">
        <v>5973</v>
      </c>
      <c r="C977" s="53" t="n">
        <v>302</v>
      </c>
      <c r="D977" s="53" t="s">
        <v>5974</v>
      </c>
      <c r="E977" s="53" t="s">
        <v>5974</v>
      </c>
    </row>
    <row r="978" customFormat="false" ht="15" hidden="false" customHeight="false" outlineLevel="0" collapsed="false">
      <c r="A978" s="85" t="str">
        <f aca="false">Gov_Map!$H303&amp;""</f>
        <v>—</v>
      </c>
      <c r="B978" s="66" t="s">
        <v>5973</v>
      </c>
      <c r="C978" s="53" t="n">
        <v>303</v>
      </c>
      <c r="D978" s="53" t="s">
        <v>5974</v>
      </c>
      <c r="E978" s="53" t="s">
        <v>5974</v>
      </c>
    </row>
    <row r="979" customFormat="false" ht="15" hidden="false" customHeight="false" outlineLevel="0" collapsed="false">
      <c r="A979" s="85" t="str">
        <f aca="false">Gov_Map!$H304&amp;""</f>
        <v>—</v>
      </c>
      <c r="B979" s="66" t="s">
        <v>5973</v>
      </c>
      <c r="C979" s="53" t="n">
        <v>304</v>
      </c>
      <c r="D979" s="53" t="s">
        <v>5974</v>
      </c>
      <c r="E979" s="53" t="s">
        <v>5974</v>
      </c>
    </row>
    <row r="980" customFormat="false" ht="15" hidden="false" customHeight="false" outlineLevel="0" collapsed="false">
      <c r="A980" s="85" t="str">
        <f aca="false">Gov_Map!$H305&amp;""</f>
        <v>—</v>
      </c>
      <c r="B980" s="66" t="s">
        <v>5973</v>
      </c>
      <c r="C980" s="53" t="n">
        <v>305</v>
      </c>
      <c r="D980" s="53" t="s">
        <v>5974</v>
      </c>
      <c r="E980" s="53" t="s">
        <v>5974</v>
      </c>
    </row>
    <row r="981" customFormat="false" ht="15" hidden="false" customHeight="false" outlineLevel="0" collapsed="false">
      <c r="A981" s="85" t="str">
        <f aca="false">Gov_Map!$H306&amp;""</f>
        <v>SRC_HAR_001</v>
      </c>
      <c r="B981" s="66" t="s">
        <v>5973</v>
      </c>
      <c r="C981" s="53" t="n">
        <v>306</v>
      </c>
      <c r="D981" s="53" t="s">
        <v>5974</v>
      </c>
      <c r="E981" s="53" t="s">
        <v>5974</v>
      </c>
    </row>
    <row r="982" customFormat="false" ht="15" hidden="false" customHeight="false" outlineLevel="0" collapsed="false">
      <c r="A982" s="85" t="str">
        <f aca="false">Gov_Map!$H307&amp;""</f>
        <v>SRC_HAR_002</v>
      </c>
      <c r="B982" s="66" t="s">
        <v>5973</v>
      </c>
      <c r="C982" s="53" t="n">
        <v>307</v>
      </c>
      <c r="D982" s="53" t="s">
        <v>5974</v>
      </c>
      <c r="E982" s="53" t="s">
        <v>5974</v>
      </c>
    </row>
    <row r="983" customFormat="false" ht="15" hidden="false" customHeight="false" outlineLevel="0" collapsed="false">
      <c r="A983" s="85" t="str">
        <f aca="false">Gov_Map!$H308&amp;""</f>
        <v>SRC_PERF_041</v>
      </c>
      <c r="B983" s="66" t="s">
        <v>5973</v>
      </c>
      <c r="C983" s="53" t="n">
        <v>308</v>
      </c>
      <c r="D983" s="53" t="s">
        <v>5974</v>
      </c>
      <c r="E983" s="53" t="s">
        <v>5974</v>
      </c>
    </row>
    <row r="984" customFormat="false" ht="15" hidden="false" customHeight="false" outlineLevel="0" collapsed="false">
      <c r="A984" s="85" t="str">
        <f aca="false">Gov_Map!$H309&amp;""</f>
        <v>—</v>
      </c>
      <c r="B984" s="66" t="s">
        <v>5973</v>
      </c>
      <c r="C984" s="53" t="n">
        <v>309</v>
      </c>
      <c r="D984" s="53" t="s">
        <v>5974</v>
      </c>
      <c r="E984" s="53" t="s">
        <v>5974</v>
      </c>
    </row>
    <row r="985" customFormat="false" ht="15" hidden="false" customHeight="false" outlineLevel="0" collapsed="false">
      <c r="A985" s="85" t="str">
        <f aca="false">Gov_Map!$H310&amp;""</f>
        <v>SRC_PERF_009</v>
      </c>
      <c r="B985" s="66" t="s">
        <v>5973</v>
      </c>
      <c r="C985" s="53" t="n">
        <v>310</v>
      </c>
      <c r="D985" s="53" t="s">
        <v>5974</v>
      </c>
      <c r="E985" s="53" t="s">
        <v>5974</v>
      </c>
    </row>
    <row r="986" customFormat="false" ht="15" hidden="false" customHeight="false" outlineLevel="0" collapsed="false">
      <c r="A986" s="85" t="str">
        <f aca="false">Gov_Map!$H311&amp;""</f>
        <v>SRC_PERF_009</v>
      </c>
      <c r="B986" s="66" t="s">
        <v>5973</v>
      </c>
      <c r="C986" s="53" t="n">
        <v>311</v>
      </c>
      <c r="D986" s="53" t="s">
        <v>5974</v>
      </c>
      <c r="E986" s="53" t="s">
        <v>5974</v>
      </c>
    </row>
    <row r="987" customFormat="false" ht="15" hidden="false" customHeight="false" outlineLevel="0" collapsed="false">
      <c r="A987" s="85" t="str">
        <f aca="false">Gov_Map!$H312&amp;""</f>
        <v>SRC_PERF_009</v>
      </c>
      <c r="B987" s="66" t="s">
        <v>5973</v>
      </c>
      <c r="C987" s="53" t="n">
        <v>312</v>
      </c>
      <c r="D987" s="53" t="s">
        <v>5974</v>
      </c>
      <c r="E987" s="53" t="s">
        <v>5974</v>
      </c>
    </row>
    <row r="988" customFormat="false" ht="15" hidden="false" customHeight="false" outlineLevel="0" collapsed="false">
      <c r="A988" s="85" t="str">
        <f aca="false">Gov_Map!$H313&amp;""</f>
        <v>SRC_PERF_009</v>
      </c>
      <c r="B988" s="66" t="s">
        <v>5973</v>
      </c>
      <c r="C988" s="53" t="n">
        <v>313</v>
      </c>
      <c r="D988" s="53" t="s">
        <v>5974</v>
      </c>
      <c r="E988" s="53" t="s">
        <v>5974</v>
      </c>
    </row>
    <row r="989" customFormat="false" ht="15" hidden="false" customHeight="false" outlineLevel="0" collapsed="false">
      <c r="A989" s="85" t="str">
        <f aca="false">Gov_Map!$H314&amp;""</f>
        <v>SRC_PERF_009</v>
      </c>
      <c r="B989" s="66" t="s">
        <v>5973</v>
      </c>
      <c r="C989" s="53" t="n">
        <v>314</v>
      </c>
      <c r="D989" s="53" t="s">
        <v>5974</v>
      </c>
      <c r="E989" s="53" t="s">
        <v>5974</v>
      </c>
    </row>
    <row r="990" customFormat="false" ht="15" hidden="false" customHeight="false" outlineLevel="0" collapsed="false">
      <c r="A990" s="85" t="str">
        <f aca="false">Gov_Map!$H315&amp;""</f>
        <v>SRC_PERF_010</v>
      </c>
      <c r="B990" s="66" t="s">
        <v>5973</v>
      </c>
      <c r="C990" s="53" t="n">
        <v>315</v>
      </c>
      <c r="D990" s="53" t="s">
        <v>5974</v>
      </c>
      <c r="E990" s="53" t="s">
        <v>5974</v>
      </c>
    </row>
    <row r="991" customFormat="false" ht="15" hidden="false" customHeight="false" outlineLevel="0" collapsed="false">
      <c r="A991" s="85" t="str">
        <f aca="false">Gov_Map!$H316&amp;""</f>
        <v>SRC_PERF_010</v>
      </c>
      <c r="B991" s="66" t="s">
        <v>5973</v>
      </c>
      <c r="C991" s="53" t="n">
        <v>316</v>
      </c>
      <c r="D991" s="53" t="s">
        <v>5974</v>
      </c>
      <c r="E991" s="53" t="s">
        <v>5974</v>
      </c>
    </row>
    <row r="992" customFormat="false" ht="15" hidden="false" customHeight="false" outlineLevel="0" collapsed="false">
      <c r="A992" s="85" t="str">
        <f aca="false">Gov_Map!$H317&amp;""</f>
        <v>SRC_PERF_010</v>
      </c>
      <c r="B992" s="66" t="s">
        <v>5973</v>
      </c>
      <c r="C992" s="53" t="n">
        <v>317</v>
      </c>
      <c r="D992" s="53" t="s">
        <v>5974</v>
      </c>
      <c r="E992" s="53" t="s">
        <v>5974</v>
      </c>
    </row>
    <row r="993" customFormat="false" ht="15" hidden="false" customHeight="false" outlineLevel="0" collapsed="false">
      <c r="A993" s="85" t="str">
        <f aca="false">Gov_Map!$H318&amp;""</f>
        <v>SRC_PERF_010</v>
      </c>
      <c r="B993" s="66" t="s">
        <v>5973</v>
      </c>
      <c r="C993" s="53" t="n">
        <v>318</v>
      </c>
      <c r="D993" s="53" t="s">
        <v>5974</v>
      </c>
      <c r="E993" s="53" t="s">
        <v>5974</v>
      </c>
    </row>
    <row r="994" customFormat="false" ht="15" hidden="false" customHeight="false" outlineLevel="0" collapsed="false">
      <c r="A994" s="85" t="str">
        <f aca="false">Gov_Map!$H319&amp;""</f>
        <v>SRC_PERF_010</v>
      </c>
      <c r="B994" s="66" t="s">
        <v>5973</v>
      </c>
      <c r="C994" s="53" t="n">
        <v>319</v>
      </c>
      <c r="D994" s="53" t="s">
        <v>5974</v>
      </c>
      <c r="E994" s="53" t="s">
        <v>5974</v>
      </c>
    </row>
    <row r="995" customFormat="false" ht="15" hidden="false" customHeight="false" outlineLevel="0" collapsed="false">
      <c r="A995" s="85" t="str">
        <f aca="false">Gov_Map!$H320&amp;""</f>
        <v>SRC_PERF_004</v>
      </c>
      <c r="B995" s="66" t="s">
        <v>5973</v>
      </c>
      <c r="C995" s="53" t="n">
        <v>320</v>
      </c>
      <c r="D995" s="53" t="s">
        <v>5974</v>
      </c>
      <c r="E995" s="53" t="s">
        <v>5974</v>
      </c>
    </row>
    <row r="996" customFormat="false" ht="15" hidden="false" customHeight="false" outlineLevel="0" collapsed="false">
      <c r="A996" s="85" t="str">
        <f aca="false">Gov_Map!$H321&amp;""</f>
        <v>SRC_PERF_004</v>
      </c>
      <c r="B996" s="66" t="s">
        <v>5973</v>
      </c>
      <c r="C996" s="53" t="n">
        <v>321</v>
      </c>
      <c r="D996" s="53" t="s">
        <v>5974</v>
      </c>
      <c r="E996" s="53" t="s">
        <v>5974</v>
      </c>
    </row>
    <row r="997" customFormat="false" ht="15" hidden="false" customHeight="false" outlineLevel="0" collapsed="false">
      <c r="A997" s="85" t="str">
        <f aca="false">Gov_Map!$H322&amp;""</f>
        <v>SRC_PERF_004</v>
      </c>
      <c r="B997" s="66" t="s">
        <v>5973</v>
      </c>
      <c r="C997" s="53" t="n">
        <v>322</v>
      </c>
      <c r="D997" s="53" t="s">
        <v>5974</v>
      </c>
      <c r="E997" s="53" t="s">
        <v>5974</v>
      </c>
    </row>
    <row r="998" customFormat="false" ht="15" hidden="false" customHeight="false" outlineLevel="0" collapsed="false">
      <c r="A998" s="85" t="str">
        <f aca="false">Gov_Map!$H323&amp;""</f>
        <v>SRC_PERF_004</v>
      </c>
      <c r="B998" s="66" t="s">
        <v>5973</v>
      </c>
      <c r="C998" s="53" t="n">
        <v>323</v>
      </c>
      <c r="D998" s="53" t="s">
        <v>5974</v>
      </c>
      <c r="E998" s="53" t="s">
        <v>5974</v>
      </c>
    </row>
    <row r="999" customFormat="false" ht="15" hidden="false" customHeight="false" outlineLevel="0" collapsed="false">
      <c r="A999" s="85" t="str">
        <f aca="false">Gov_Map!$H324&amp;""</f>
        <v>SRC_PERF_004</v>
      </c>
      <c r="B999" s="66" t="s">
        <v>5973</v>
      </c>
      <c r="C999" s="53" t="n">
        <v>324</v>
      </c>
      <c r="D999" s="53" t="s">
        <v>5974</v>
      </c>
      <c r="E999" s="53" t="s">
        <v>5974</v>
      </c>
    </row>
    <row r="1000" customFormat="false" ht="15" hidden="false" customHeight="false" outlineLevel="0" collapsed="false">
      <c r="A1000" s="85" t="str">
        <f aca="false">Gov_Map!$H325&amp;""</f>
        <v>SRC_PERF_001</v>
      </c>
      <c r="B1000" s="66" t="s">
        <v>5973</v>
      </c>
      <c r="C1000" s="53" t="n">
        <v>325</v>
      </c>
      <c r="D1000" s="53" t="s">
        <v>5974</v>
      </c>
      <c r="E1000" s="53" t="s">
        <v>5974</v>
      </c>
    </row>
    <row r="1001" customFormat="false" ht="15" hidden="false" customHeight="false" outlineLevel="0" collapsed="false">
      <c r="A1001" s="85" t="str">
        <f aca="false">Gov_Map!$H326&amp;""</f>
        <v>SRC_PERF_001</v>
      </c>
      <c r="B1001" s="66" t="s">
        <v>5973</v>
      </c>
      <c r="C1001" s="53" t="n">
        <v>326</v>
      </c>
      <c r="D1001" s="53" t="s">
        <v>5974</v>
      </c>
      <c r="E1001" s="53" t="s">
        <v>5974</v>
      </c>
    </row>
    <row r="1002" customFormat="false" ht="15" hidden="false" customHeight="false" outlineLevel="0" collapsed="false">
      <c r="A1002" s="85" t="str">
        <f aca="false">Gov_Map!$H327&amp;""</f>
        <v>SRC_PERF_001</v>
      </c>
      <c r="B1002" s="66" t="s">
        <v>5973</v>
      </c>
      <c r="C1002" s="53" t="n">
        <v>327</v>
      </c>
      <c r="D1002" s="53" t="s">
        <v>5974</v>
      </c>
      <c r="E1002" s="53" t="s">
        <v>5974</v>
      </c>
    </row>
    <row r="1003" customFormat="false" ht="15" hidden="false" customHeight="false" outlineLevel="0" collapsed="false">
      <c r="A1003" s="85" t="str">
        <f aca="false">Gov_Map!$H328&amp;""</f>
        <v>SRC_PERF_001</v>
      </c>
      <c r="B1003" s="66" t="s">
        <v>5973</v>
      </c>
      <c r="C1003" s="53" t="n">
        <v>328</v>
      </c>
      <c r="D1003" s="53" t="s">
        <v>5974</v>
      </c>
      <c r="E1003" s="53" t="s">
        <v>5974</v>
      </c>
    </row>
    <row r="1004" customFormat="false" ht="15" hidden="false" customHeight="false" outlineLevel="0" collapsed="false">
      <c r="A1004" s="85" t="str">
        <f aca="false">Gov_Map!$H329&amp;""</f>
        <v>SRC_PERF_001</v>
      </c>
      <c r="B1004" s="66" t="s">
        <v>5973</v>
      </c>
      <c r="C1004" s="53" t="n">
        <v>329</v>
      </c>
      <c r="D1004" s="53" t="s">
        <v>5974</v>
      </c>
      <c r="E1004" s="53" t="s">
        <v>5974</v>
      </c>
    </row>
    <row r="1005" customFormat="false" ht="15" hidden="false" customHeight="false" outlineLevel="0" collapsed="false">
      <c r="A1005" s="85" t="str">
        <f aca="false">Gov_Map!$H330&amp;""</f>
        <v>SRC_PERF_002</v>
      </c>
      <c r="B1005" s="66" t="s">
        <v>5973</v>
      </c>
      <c r="C1005" s="53" t="n">
        <v>330</v>
      </c>
      <c r="D1005" s="53" t="s">
        <v>5974</v>
      </c>
      <c r="E1005" s="53" t="s">
        <v>5974</v>
      </c>
    </row>
    <row r="1006" customFormat="false" ht="15" hidden="false" customHeight="false" outlineLevel="0" collapsed="false">
      <c r="A1006" s="85" t="str">
        <f aca="false">Gov_Map!$H331&amp;""</f>
        <v>SRC_PERF_002</v>
      </c>
      <c r="B1006" s="66" t="s">
        <v>5973</v>
      </c>
      <c r="C1006" s="53" t="n">
        <v>331</v>
      </c>
      <c r="D1006" s="53" t="s">
        <v>5974</v>
      </c>
      <c r="E1006" s="53" t="s">
        <v>5974</v>
      </c>
    </row>
    <row r="1007" customFormat="false" ht="15" hidden="false" customHeight="false" outlineLevel="0" collapsed="false">
      <c r="A1007" s="85" t="str">
        <f aca="false">Gov_Map!$H332&amp;""</f>
        <v>SRC_PERF_002</v>
      </c>
      <c r="B1007" s="66" t="s">
        <v>5973</v>
      </c>
      <c r="C1007" s="53" t="n">
        <v>332</v>
      </c>
      <c r="D1007" s="53" t="s">
        <v>5974</v>
      </c>
      <c r="E1007" s="53" t="s">
        <v>5974</v>
      </c>
    </row>
    <row r="1008" customFormat="false" ht="15" hidden="false" customHeight="false" outlineLevel="0" collapsed="false">
      <c r="A1008" s="85" t="str">
        <f aca="false">Gov_Map!$H333&amp;""</f>
        <v>SRC_PERF_002</v>
      </c>
      <c r="B1008" s="66" t="s">
        <v>5973</v>
      </c>
      <c r="C1008" s="53" t="n">
        <v>333</v>
      </c>
      <c r="D1008" s="53" t="s">
        <v>5974</v>
      </c>
      <c r="E1008" s="53" t="s">
        <v>5974</v>
      </c>
    </row>
    <row r="1009" customFormat="false" ht="15" hidden="false" customHeight="false" outlineLevel="0" collapsed="false">
      <c r="A1009" s="85" t="str">
        <f aca="false">Gov_Map!$H334&amp;""</f>
        <v>SRC_PERF_002</v>
      </c>
      <c r="B1009" s="66" t="s">
        <v>5973</v>
      </c>
      <c r="C1009" s="53" t="n">
        <v>334</v>
      </c>
      <c r="D1009" s="53" t="s">
        <v>5974</v>
      </c>
      <c r="E1009" s="53" t="s">
        <v>5974</v>
      </c>
    </row>
    <row r="1010" customFormat="false" ht="15" hidden="false" customHeight="false" outlineLevel="0" collapsed="false">
      <c r="A1010" s="85" t="str">
        <f aca="false">Gov_Map!$H335&amp;""</f>
        <v>SRC_PERF_014</v>
      </c>
      <c r="B1010" s="66" t="s">
        <v>5973</v>
      </c>
      <c r="C1010" s="53" t="n">
        <v>335</v>
      </c>
      <c r="D1010" s="53" t="s">
        <v>5974</v>
      </c>
      <c r="E1010" s="53" t="s">
        <v>5974</v>
      </c>
    </row>
    <row r="1011" customFormat="false" ht="15" hidden="false" customHeight="false" outlineLevel="0" collapsed="false">
      <c r="A1011" s="85" t="str">
        <f aca="false">Gov_Map!$H336&amp;""</f>
        <v>SRC_PERF_014</v>
      </c>
      <c r="B1011" s="66" t="s">
        <v>5973</v>
      </c>
      <c r="C1011" s="53" t="n">
        <v>336</v>
      </c>
      <c r="D1011" s="53" t="s">
        <v>5974</v>
      </c>
      <c r="E1011" s="53" t="s">
        <v>5974</v>
      </c>
    </row>
    <row r="1012" customFormat="false" ht="15" hidden="false" customHeight="false" outlineLevel="0" collapsed="false">
      <c r="A1012" s="85" t="str">
        <f aca="false">Gov_Map!$H337&amp;""</f>
        <v>SRC_PERF_014</v>
      </c>
      <c r="B1012" s="66" t="s">
        <v>5973</v>
      </c>
      <c r="C1012" s="53" t="n">
        <v>337</v>
      </c>
      <c r="D1012" s="53" t="s">
        <v>5974</v>
      </c>
      <c r="E1012" s="53" t="s">
        <v>5974</v>
      </c>
    </row>
    <row r="1013" customFormat="false" ht="15" hidden="false" customHeight="false" outlineLevel="0" collapsed="false">
      <c r="A1013" s="85" t="str">
        <f aca="false">Gov_Map!$H338&amp;""</f>
        <v>SRC_PERF_014</v>
      </c>
      <c r="B1013" s="66" t="s">
        <v>5973</v>
      </c>
      <c r="C1013" s="53" t="n">
        <v>338</v>
      </c>
      <c r="D1013" s="53" t="s">
        <v>5974</v>
      </c>
      <c r="E1013" s="53" t="s">
        <v>5974</v>
      </c>
    </row>
    <row r="1014" customFormat="false" ht="15" hidden="false" customHeight="false" outlineLevel="0" collapsed="false">
      <c r="A1014" s="85" t="str">
        <f aca="false">Gov_Map!$H339&amp;""</f>
        <v>SRC_PERF_014</v>
      </c>
      <c r="B1014" s="66" t="s">
        <v>5973</v>
      </c>
      <c r="C1014" s="53" t="n">
        <v>339</v>
      </c>
      <c r="D1014" s="53" t="s">
        <v>5974</v>
      </c>
      <c r="E1014" s="53" t="s">
        <v>5974</v>
      </c>
    </row>
    <row r="1015" customFormat="false" ht="15" hidden="false" customHeight="false" outlineLevel="0" collapsed="false">
      <c r="A1015" s="85" t="str">
        <f aca="false">Gov_Map!$H340&amp;""</f>
        <v>SRC_PERF_015</v>
      </c>
      <c r="B1015" s="66" t="s">
        <v>5973</v>
      </c>
      <c r="C1015" s="53" t="n">
        <v>340</v>
      </c>
      <c r="D1015" s="53" t="s">
        <v>5974</v>
      </c>
      <c r="E1015" s="53" t="s">
        <v>5974</v>
      </c>
    </row>
    <row r="1016" customFormat="false" ht="15" hidden="false" customHeight="false" outlineLevel="0" collapsed="false">
      <c r="A1016" s="85" t="str">
        <f aca="false">Gov_Map!$H341&amp;""</f>
        <v>SRC_PERF_015</v>
      </c>
      <c r="B1016" s="66" t="s">
        <v>5973</v>
      </c>
      <c r="C1016" s="53" t="n">
        <v>341</v>
      </c>
      <c r="D1016" s="53" t="s">
        <v>5974</v>
      </c>
      <c r="E1016" s="53" t="s">
        <v>5974</v>
      </c>
    </row>
    <row r="1017" customFormat="false" ht="15" hidden="false" customHeight="false" outlineLevel="0" collapsed="false">
      <c r="A1017" s="85" t="str">
        <f aca="false">Gov_Map!$H342&amp;""</f>
        <v>SRC_PERF_015</v>
      </c>
      <c r="B1017" s="66" t="s">
        <v>5973</v>
      </c>
      <c r="C1017" s="53" t="n">
        <v>342</v>
      </c>
      <c r="D1017" s="53" t="s">
        <v>5974</v>
      </c>
      <c r="E1017" s="53" t="s">
        <v>5974</v>
      </c>
    </row>
    <row r="1018" customFormat="false" ht="15" hidden="false" customHeight="false" outlineLevel="0" collapsed="false">
      <c r="A1018" s="85" t="str">
        <f aca="false">Gov_Map!$H343&amp;""</f>
        <v>SRC_PERF_015</v>
      </c>
      <c r="B1018" s="66" t="s">
        <v>5973</v>
      </c>
      <c r="C1018" s="53" t="n">
        <v>343</v>
      </c>
      <c r="D1018" s="53" t="s">
        <v>5974</v>
      </c>
      <c r="E1018" s="53" t="s">
        <v>5974</v>
      </c>
    </row>
    <row r="1019" customFormat="false" ht="15" hidden="false" customHeight="false" outlineLevel="0" collapsed="false">
      <c r="A1019" s="85" t="str">
        <f aca="false">Gov_Map!$H344&amp;""</f>
        <v>SRC_PERF_015</v>
      </c>
      <c r="B1019" s="66" t="s">
        <v>5973</v>
      </c>
      <c r="C1019" s="53" t="n">
        <v>344</v>
      </c>
      <c r="D1019" s="53" t="s">
        <v>5974</v>
      </c>
      <c r="E1019" s="53" t="s">
        <v>5974</v>
      </c>
    </row>
    <row r="1020" customFormat="false" ht="15" hidden="false" customHeight="false" outlineLevel="0" collapsed="false">
      <c r="A1020" s="85" t="str">
        <f aca="false">Gov_Map!$H345&amp;""</f>
        <v>SRC_PERF_042</v>
      </c>
      <c r="B1020" s="66" t="s">
        <v>5973</v>
      </c>
      <c r="C1020" s="53" t="n">
        <v>345</v>
      </c>
      <c r="D1020" s="53" t="s">
        <v>5974</v>
      </c>
      <c r="E1020" s="53" t="s">
        <v>5974</v>
      </c>
    </row>
    <row r="1021" customFormat="false" ht="15" hidden="false" customHeight="false" outlineLevel="0" collapsed="false">
      <c r="A1021" s="85" t="str">
        <f aca="false">Gov_Map!$H346&amp;""</f>
        <v>SRC_PERF_009</v>
      </c>
      <c r="B1021" s="66" t="s">
        <v>5973</v>
      </c>
      <c r="C1021" s="53" t="n">
        <v>346</v>
      </c>
      <c r="D1021" s="53" t="s">
        <v>5974</v>
      </c>
      <c r="E1021" s="53" t="s">
        <v>5974</v>
      </c>
    </row>
    <row r="1022" customFormat="false" ht="15" hidden="false" customHeight="false" outlineLevel="0" collapsed="false">
      <c r="A1022" s="85" t="str">
        <f aca="false">Gov_Map!$H347&amp;""</f>
        <v>SRC_PERF_009</v>
      </c>
      <c r="B1022" s="66" t="s">
        <v>5973</v>
      </c>
      <c r="C1022" s="53" t="n">
        <v>347</v>
      </c>
      <c r="D1022" s="53" t="s">
        <v>5974</v>
      </c>
      <c r="E1022" s="53" t="s">
        <v>5974</v>
      </c>
    </row>
    <row r="1023" customFormat="false" ht="15" hidden="false" customHeight="false" outlineLevel="0" collapsed="false">
      <c r="A1023" s="85" t="str">
        <f aca="false">Gov_Map!$H348&amp;""</f>
        <v>SRC_PERF_009</v>
      </c>
      <c r="B1023" s="66" t="s">
        <v>5973</v>
      </c>
      <c r="C1023" s="53" t="n">
        <v>348</v>
      </c>
      <c r="D1023" s="53" t="s">
        <v>5974</v>
      </c>
      <c r="E1023" s="53" t="s">
        <v>5974</v>
      </c>
    </row>
    <row r="1024" customFormat="false" ht="15" hidden="false" customHeight="false" outlineLevel="0" collapsed="false">
      <c r="A1024" s="85" t="str">
        <f aca="false">Gov_Map!$H349&amp;""</f>
        <v>SRC_PERF_009</v>
      </c>
      <c r="B1024" s="66" t="s">
        <v>5973</v>
      </c>
      <c r="C1024" s="53" t="n">
        <v>349</v>
      </c>
      <c r="D1024" s="53" t="s">
        <v>5974</v>
      </c>
      <c r="E1024" s="53" t="s">
        <v>5974</v>
      </c>
    </row>
    <row r="1025" customFormat="false" ht="15" hidden="false" customHeight="false" outlineLevel="0" collapsed="false">
      <c r="A1025" s="85" t="str">
        <f aca="false">Gov_Map!$H350&amp;""</f>
        <v>—</v>
      </c>
      <c r="B1025" s="66" t="s">
        <v>5973</v>
      </c>
      <c r="C1025" s="53" t="n">
        <v>350</v>
      </c>
      <c r="D1025" s="53" t="s">
        <v>5974</v>
      </c>
      <c r="E1025" s="53" t="s">
        <v>5974</v>
      </c>
    </row>
    <row r="1026" customFormat="false" ht="15" hidden="false" customHeight="false" outlineLevel="0" collapsed="false">
      <c r="A1026" s="85" t="str">
        <f aca="false">Gov_Map!$H351&amp;""</f>
        <v>—</v>
      </c>
      <c r="B1026" s="66" t="s">
        <v>5973</v>
      </c>
      <c r="C1026" s="53" t="n">
        <v>351</v>
      </c>
      <c r="D1026" s="53" t="s">
        <v>5974</v>
      </c>
      <c r="E1026" s="53" t="s">
        <v>5974</v>
      </c>
    </row>
    <row r="1027" customFormat="false" ht="15" hidden="false" customHeight="false" outlineLevel="0" collapsed="false">
      <c r="A1027" s="85" t="str">
        <f aca="false">Gov_Map!$H352&amp;""</f>
        <v>—</v>
      </c>
      <c r="B1027" s="66" t="s">
        <v>5973</v>
      </c>
      <c r="C1027" s="53" t="n">
        <v>352</v>
      </c>
      <c r="D1027" s="53" t="s">
        <v>5974</v>
      </c>
      <c r="E1027" s="53" t="s">
        <v>5974</v>
      </c>
    </row>
    <row r="1028" customFormat="false" ht="15" hidden="false" customHeight="false" outlineLevel="0" collapsed="false">
      <c r="A1028" s="85" t="str">
        <f aca="false">Gov_Map!$H353&amp;""</f>
        <v>—</v>
      </c>
      <c r="B1028" s="66" t="s">
        <v>5973</v>
      </c>
      <c r="C1028" s="53" t="n">
        <v>353</v>
      </c>
      <c r="D1028" s="53" t="s">
        <v>5974</v>
      </c>
      <c r="E1028" s="53" t="s">
        <v>5974</v>
      </c>
    </row>
    <row r="1029" customFormat="false" ht="15" hidden="false" customHeight="false" outlineLevel="0" collapsed="false">
      <c r="A1029" s="85" t="str">
        <f aca="false">Gov_Map!$H354&amp;""</f>
        <v>—</v>
      </c>
      <c r="B1029" s="66" t="s">
        <v>5973</v>
      </c>
      <c r="C1029" s="53" t="n">
        <v>354</v>
      </c>
      <c r="D1029" s="53" t="s">
        <v>5974</v>
      </c>
      <c r="E1029" s="53" t="s">
        <v>5974</v>
      </c>
    </row>
    <row r="1030" customFormat="false" ht="15" hidden="false" customHeight="false" outlineLevel="0" collapsed="false">
      <c r="A1030" s="85" t="str">
        <f aca="false">Gov_Map!$H355&amp;""</f>
        <v>—</v>
      </c>
      <c r="B1030" s="66" t="s">
        <v>5973</v>
      </c>
      <c r="C1030" s="53" t="n">
        <v>355</v>
      </c>
      <c r="D1030" s="53" t="s">
        <v>5974</v>
      </c>
      <c r="E1030" s="53" t="s">
        <v>5974</v>
      </c>
    </row>
    <row r="1031" customFormat="false" ht="15" hidden="false" customHeight="false" outlineLevel="0" collapsed="false">
      <c r="A1031" s="85" t="str">
        <f aca="false">Gov_Map!$H356&amp;""</f>
        <v>—</v>
      </c>
      <c r="B1031" s="66" t="s">
        <v>5973</v>
      </c>
      <c r="C1031" s="53" t="n">
        <v>356</v>
      </c>
      <c r="D1031" s="53" t="s">
        <v>5974</v>
      </c>
      <c r="E1031" s="53" t="s">
        <v>5974</v>
      </c>
    </row>
    <row r="1032" customFormat="false" ht="15" hidden="false" customHeight="false" outlineLevel="0" collapsed="false">
      <c r="A1032" s="85" t="str">
        <f aca="false">Gov_Map!$H357&amp;""</f>
        <v>—</v>
      </c>
      <c r="B1032" s="66" t="s">
        <v>5973</v>
      </c>
      <c r="C1032" s="53" t="n">
        <v>357</v>
      </c>
      <c r="D1032" s="53" t="s">
        <v>5974</v>
      </c>
      <c r="E1032" s="53" t="s">
        <v>5974</v>
      </c>
    </row>
    <row r="1033" customFormat="false" ht="15" hidden="false" customHeight="false" outlineLevel="0" collapsed="false">
      <c r="A1033" s="85" t="str">
        <f aca="false">Gov_Map!$H358&amp;""</f>
        <v>—</v>
      </c>
      <c r="B1033" s="66" t="s">
        <v>5973</v>
      </c>
      <c r="C1033" s="53" t="n">
        <v>358</v>
      </c>
      <c r="D1033" s="53" t="s">
        <v>5974</v>
      </c>
      <c r="E1033" s="53" t="s">
        <v>5974</v>
      </c>
    </row>
    <row r="1034" customFormat="false" ht="15" hidden="false" customHeight="false" outlineLevel="0" collapsed="false">
      <c r="A1034" s="85" t="str">
        <f aca="false">Gov_Map!$H359&amp;""</f>
        <v>—</v>
      </c>
      <c r="B1034" s="66" t="s">
        <v>5973</v>
      </c>
      <c r="C1034" s="53" t="n">
        <v>359</v>
      </c>
      <c r="D1034" s="53" t="s">
        <v>5974</v>
      </c>
      <c r="E1034" s="53" t="s">
        <v>5974</v>
      </c>
    </row>
    <row r="1035" customFormat="false" ht="15" hidden="false" customHeight="false" outlineLevel="0" collapsed="false">
      <c r="A1035" s="85" t="str">
        <f aca="false">Gov_Map!$H360&amp;""</f>
        <v>—</v>
      </c>
      <c r="B1035" s="66" t="s">
        <v>5973</v>
      </c>
      <c r="C1035" s="53" t="n">
        <v>360</v>
      </c>
      <c r="D1035" s="53" t="s">
        <v>5974</v>
      </c>
      <c r="E1035" s="53" t="s">
        <v>5974</v>
      </c>
    </row>
    <row r="1036" customFormat="false" ht="15" hidden="false" customHeight="false" outlineLevel="0" collapsed="false">
      <c r="A1036" s="85" t="str">
        <f aca="false">Gov_Map!$H361&amp;""</f>
        <v>SRC_MOD_020</v>
      </c>
      <c r="B1036" s="66" t="s">
        <v>5973</v>
      </c>
      <c r="C1036" s="53" t="n">
        <v>361</v>
      </c>
      <c r="D1036" s="53" t="s">
        <v>5974</v>
      </c>
      <c r="E1036" s="53" t="s">
        <v>5974</v>
      </c>
    </row>
    <row r="1037" customFormat="false" ht="15" hidden="false" customHeight="false" outlineLevel="0" collapsed="false">
      <c r="A1037" s="85" t="str">
        <f aca="false">Gov_Map!$H362&amp;""</f>
        <v>SRC_MOD_021</v>
      </c>
      <c r="B1037" s="66" t="s">
        <v>5973</v>
      </c>
      <c r="C1037" s="53" t="n">
        <v>362</v>
      </c>
      <c r="D1037" s="53" t="s">
        <v>5974</v>
      </c>
      <c r="E1037" s="53" t="s">
        <v>5974</v>
      </c>
    </row>
    <row r="1038" customFormat="false" ht="15" hidden="false" customHeight="false" outlineLevel="0" collapsed="false">
      <c r="A1038" s="85" t="str">
        <f aca="false">Gov_Map!$H363&amp;""</f>
        <v>SRC_MOD_022</v>
      </c>
      <c r="B1038" s="66" t="s">
        <v>5973</v>
      </c>
      <c r="C1038" s="53" t="n">
        <v>363</v>
      </c>
      <c r="D1038" s="53" t="s">
        <v>5974</v>
      </c>
      <c r="E1038" s="53" t="s">
        <v>5974</v>
      </c>
    </row>
    <row r="1039" customFormat="false" ht="15" hidden="false" customHeight="false" outlineLevel="0" collapsed="false">
      <c r="A1039" s="85" t="str">
        <f aca="false">Gov_Map!$H364&amp;""</f>
        <v>SRC_MOD_023</v>
      </c>
      <c r="B1039" s="66" t="s">
        <v>5973</v>
      </c>
      <c r="C1039" s="53" t="n">
        <v>364</v>
      </c>
      <c r="D1039" s="53" t="s">
        <v>5974</v>
      </c>
      <c r="E1039" s="53" t="s">
        <v>5974</v>
      </c>
    </row>
    <row r="1040" customFormat="false" ht="15" hidden="false" customHeight="false" outlineLevel="0" collapsed="false">
      <c r="A1040" s="85" t="str">
        <f aca="false">Gov_Map!$H365&amp;""</f>
        <v>SRC_MOD_024</v>
      </c>
      <c r="B1040" s="66" t="s">
        <v>5973</v>
      </c>
      <c r="C1040" s="53" t="n">
        <v>365</v>
      </c>
      <c r="D1040" s="53" t="s">
        <v>5974</v>
      </c>
      <c r="E1040" s="53" t="s">
        <v>5974</v>
      </c>
    </row>
    <row r="1041" customFormat="false" ht="15" hidden="false" customHeight="false" outlineLevel="0" collapsed="false">
      <c r="A1041" s="85" t="str">
        <f aca="false">Gov_Map!$H366&amp;""</f>
        <v>SRC_MOD_025</v>
      </c>
      <c r="B1041" s="66" t="s">
        <v>5973</v>
      </c>
      <c r="C1041" s="53" t="n">
        <v>366</v>
      </c>
      <c r="D1041" s="53" t="s">
        <v>5974</v>
      </c>
      <c r="E1041" s="53" t="s">
        <v>5974</v>
      </c>
    </row>
    <row r="1042" customFormat="false" ht="15" hidden="false" customHeight="false" outlineLevel="0" collapsed="false">
      <c r="A1042" s="85" t="str">
        <f aca="false">Gov_Map!$H367&amp;""</f>
        <v>SRC_MOD_026</v>
      </c>
      <c r="B1042" s="66" t="s">
        <v>5973</v>
      </c>
      <c r="C1042" s="53" t="n">
        <v>367</v>
      </c>
      <c r="D1042" s="53" t="s">
        <v>5974</v>
      </c>
      <c r="E1042" s="53" t="s">
        <v>5974</v>
      </c>
    </row>
    <row r="1043" customFormat="false" ht="15" hidden="false" customHeight="false" outlineLevel="0" collapsed="false">
      <c r="A1043" s="85" t="str">
        <f aca="false">Gov_Map!$H368&amp;""</f>
        <v>SRC_MOD_027</v>
      </c>
      <c r="B1043" s="66" t="s">
        <v>5973</v>
      </c>
      <c r="C1043" s="53" t="n">
        <v>368</v>
      </c>
      <c r="D1043" s="53" t="s">
        <v>5974</v>
      </c>
      <c r="E1043" s="53" t="s">
        <v>5974</v>
      </c>
    </row>
    <row r="1044" customFormat="false" ht="15" hidden="false" customHeight="false" outlineLevel="0" collapsed="false">
      <c r="A1044" s="85" t="str">
        <f aca="false">Gov_Map!$H369&amp;""</f>
        <v>SRC_MOD_028</v>
      </c>
      <c r="B1044" s="66" t="s">
        <v>5973</v>
      </c>
      <c r="C1044" s="53" t="n">
        <v>369</v>
      </c>
      <c r="D1044" s="53" t="s">
        <v>5974</v>
      </c>
      <c r="E1044" s="53" t="s">
        <v>5974</v>
      </c>
    </row>
    <row r="1045" customFormat="false" ht="15" hidden="false" customHeight="false" outlineLevel="0" collapsed="false">
      <c r="A1045" s="85" t="str">
        <f aca="false">Gov_Map!$H370&amp;""</f>
        <v>SRC_MOD_049</v>
      </c>
      <c r="B1045" s="66" t="s">
        <v>5973</v>
      </c>
      <c r="C1045" s="53" t="n">
        <v>370</v>
      </c>
      <c r="D1045" s="53" t="s">
        <v>5974</v>
      </c>
      <c r="E1045" s="53" t="s">
        <v>5974</v>
      </c>
    </row>
    <row r="1046" customFormat="false" ht="15" hidden="false" customHeight="false" outlineLevel="0" collapsed="false">
      <c r="A1046" s="85" t="str">
        <f aca="false">Gov_Map!$H371&amp;""</f>
        <v>SRC_PERF_029</v>
      </c>
      <c r="B1046" s="66" t="s">
        <v>5973</v>
      </c>
      <c r="C1046" s="53" t="n">
        <v>371</v>
      </c>
      <c r="D1046" s="53" t="s">
        <v>5974</v>
      </c>
      <c r="E1046" s="53" t="s">
        <v>5974</v>
      </c>
    </row>
    <row r="1047" customFormat="false" ht="15" hidden="false" customHeight="false" outlineLevel="0" collapsed="false">
      <c r="A1047" s="85" t="str">
        <f aca="false">Gov_Map!$H372&amp;""</f>
        <v>SRC_PERF_030</v>
      </c>
      <c r="B1047" s="66" t="s">
        <v>5973</v>
      </c>
      <c r="C1047" s="53" t="n">
        <v>372</v>
      </c>
      <c r="D1047" s="53" t="s">
        <v>5974</v>
      </c>
      <c r="E1047" s="53" t="s">
        <v>5974</v>
      </c>
    </row>
    <row r="1048" customFormat="false" ht="15" hidden="false" customHeight="false" outlineLevel="0" collapsed="false">
      <c r="A1048" s="85" t="str">
        <f aca="false">Gov_Map!$H373&amp;""</f>
        <v>—</v>
      </c>
      <c r="B1048" s="66" t="s">
        <v>5973</v>
      </c>
      <c r="C1048" s="53" t="n">
        <v>373</v>
      </c>
      <c r="D1048" s="53" t="s">
        <v>5974</v>
      </c>
      <c r="E1048" s="53" t="s">
        <v>5974</v>
      </c>
    </row>
    <row r="1049" customFormat="false" ht="15" hidden="false" customHeight="false" outlineLevel="0" collapsed="false">
      <c r="A1049" s="85" t="str">
        <f aca="false">Gov_Map!$H374&amp;""</f>
        <v>SRC_PERF_031</v>
      </c>
      <c r="B1049" s="66" t="s">
        <v>5973</v>
      </c>
      <c r="C1049" s="53" t="n">
        <v>374</v>
      </c>
      <c r="D1049" s="53" t="s">
        <v>5974</v>
      </c>
      <c r="E1049" s="53" t="s">
        <v>5974</v>
      </c>
    </row>
    <row r="1050" customFormat="false" ht="15" hidden="false" customHeight="false" outlineLevel="0" collapsed="false">
      <c r="A1050" s="85" t="str">
        <f aca="false">Gov_Map!$H375&amp;""</f>
        <v>SRC_PERF_031</v>
      </c>
      <c r="B1050" s="66" t="s">
        <v>5973</v>
      </c>
      <c r="C1050" s="53" t="n">
        <v>375</v>
      </c>
      <c r="D1050" s="53" t="s">
        <v>5974</v>
      </c>
      <c r="E1050" s="53" t="s">
        <v>5974</v>
      </c>
    </row>
    <row r="1051" customFormat="false" ht="15" hidden="false" customHeight="false" outlineLevel="0" collapsed="false">
      <c r="A1051" s="85" t="str">
        <f aca="false">Gov_Map!$H376&amp;""</f>
        <v>SRC_PERF_031</v>
      </c>
      <c r="B1051" s="66" t="s">
        <v>5973</v>
      </c>
      <c r="C1051" s="53" t="n">
        <v>376</v>
      </c>
      <c r="D1051" s="53" t="s">
        <v>5974</v>
      </c>
      <c r="E1051" s="53" t="s">
        <v>5974</v>
      </c>
    </row>
    <row r="1052" customFormat="false" ht="15" hidden="false" customHeight="false" outlineLevel="0" collapsed="false">
      <c r="A1052" s="85" t="str">
        <f aca="false">Gov_Map!$H377&amp;""</f>
        <v>SRC_PERF_032</v>
      </c>
      <c r="B1052" s="66" t="s">
        <v>5973</v>
      </c>
      <c r="C1052" s="53" t="n">
        <v>377</v>
      </c>
      <c r="D1052" s="53" t="s">
        <v>5974</v>
      </c>
      <c r="E1052" s="53" t="s">
        <v>5974</v>
      </c>
    </row>
    <row r="1053" customFormat="false" ht="15" hidden="false" customHeight="false" outlineLevel="0" collapsed="false">
      <c r="A1053" s="85" t="str">
        <f aca="false">Gov_Map!$H378&amp;""</f>
        <v>SRC_PERF_035</v>
      </c>
      <c r="B1053" s="66" t="s">
        <v>5973</v>
      </c>
      <c r="C1053" s="53" t="n">
        <v>378</v>
      </c>
      <c r="D1053" s="53" t="s">
        <v>5974</v>
      </c>
      <c r="E1053" s="53" t="s">
        <v>5974</v>
      </c>
    </row>
    <row r="1054" customFormat="false" ht="15" hidden="false" customHeight="false" outlineLevel="0" collapsed="false">
      <c r="A1054" s="85" t="str">
        <f aca="false">Gov_Map!$H379&amp;""</f>
        <v>SRC_PERF_035</v>
      </c>
      <c r="B1054" s="66" t="s">
        <v>5973</v>
      </c>
      <c r="C1054" s="53" t="n">
        <v>379</v>
      </c>
      <c r="D1054" s="53" t="s">
        <v>5974</v>
      </c>
      <c r="E1054" s="53" t="s">
        <v>5974</v>
      </c>
    </row>
    <row r="1055" customFormat="false" ht="15" hidden="false" customHeight="false" outlineLevel="0" collapsed="false">
      <c r="A1055" s="85" t="str">
        <f aca="false">Gov_Map!$H380&amp;""</f>
        <v>SRC_PERF_035</v>
      </c>
      <c r="B1055" s="66" t="s">
        <v>5973</v>
      </c>
      <c r="C1055" s="53" t="n">
        <v>380</v>
      </c>
      <c r="D1055" s="53" t="s">
        <v>5974</v>
      </c>
      <c r="E1055" s="53" t="s">
        <v>5974</v>
      </c>
    </row>
    <row r="1056" customFormat="false" ht="15" hidden="false" customHeight="false" outlineLevel="0" collapsed="false">
      <c r="A1056" s="85" t="str">
        <f aca="false">Gov_Map!$H381&amp;""</f>
        <v>SRC_PERF_035</v>
      </c>
      <c r="B1056" s="66" t="s">
        <v>5973</v>
      </c>
      <c r="C1056" s="53" t="n">
        <v>381</v>
      </c>
      <c r="D1056" s="53" t="s">
        <v>5974</v>
      </c>
      <c r="E1056" s="53" t="s">
        <v>5974</v>
      </c>
    </row>
    <row r="1057" customFormat="false" ht="15" hidden="false" customHeight="false" outlineLevel="0" collapsed="false">
      <c r="A1057" s="85" t="str">
        <f aca="false">Gov_Map!$H382&amp;""</f>
        <v>SRC_PERF_028</v>
      </c>
      <c r="B1057" s="66" t="s">
        <v>5973</v>
      </c>
      <c r="C1057" s="53" t="n">
        <v>382</v>
      </c>
      <c r="D1057" s="53" t="s">
        <v>5974</v>
      </c>
      <c r="E1057" s="53" t="s">
        <v>5974</v>
      </c>
    </row>
    <row r="1058" customFormat="false" ht="15" hidden="false" customHeight="false" outlineLevel="0" collapsed="false">
      <c r="A1058" s="85" t="str">
        <f aca="false">Gov_Map!$H383&amp;""</f>
        <v>SRC_PERF_025</v>
      </c>
      <c r="B1058" s="66" t="s">
        <v>5973</v>
      </c>
      <c r="C1058" s="53" t="n">
        <v>383</v>
      </c>
      <c r="D1058" s="53" t="s">
        <v>5974</v>
      </c>
      <c r="E1058" s="53" t="s">
        <v>5974</v>
      </c>
    </row>
    <row r="1059" customFormat="false" ht="15" hidden="false" customHeight="false" outlineLevel="0" collapsed="false">
      <c r="A1059" s="85" t="str">
        <f aca="false">Gov_Map!$H384&amp;""</f>
        <v>SRC_PERF_027</v>
      </c>
      <c r="B1059" s="66" t="s">
        <v>5973</v>
      </c>
      <c r="C1059" s="53" t="n">
        <v>384</v>
      </c>
      <c r="D1059" s="53" t="s">
        <v>5974</v>
      </c>
      <c r="E1059" s="53" t="s">
        <v>5974</v>
      </c>
    </row>
    <row r="1060" customFormat="false" ht="15" hidden="false" customHeight="false" outlineLevel="0" collapsed="false">
      <c r="A1060" s="85" t="str">
        <f aca="false">Gov_Map!$H385&amp;""</f>
        <v>SRC_PERF_026</v>
      </c>
      <c r="B1060" s="66" t="s">
        <v>5973</v>
      </c>
      <c r="C1060" s="53" t="n">
        <v>385</v>
      </c>
      <c r="D1060" s="53" t="s">
        <v>5974</v>
      </c>
      <c r="E1060" s="53" t="s">
        <v>5974</v>
      </c>
    </row>
    <row r="1061" customFormat="false" ht="15" hidden="false" customHeight="false" outlineLevel="0" collapsed="false">
      <c r="A1061" s="85" t="str">
        <f aca="false">Gov_Map!$H386&amp;""</f>
        <v>—</v>
      </c>
      <c r="B1061" s="66" t="s">
        <v>5973</v>
      </c>
      <c r="C1061" s="53" t="n">
        <v>386</v>
      </c>
      <c r="D1061" s="53" t="s">
        <v>5974</v>
      </c>
      <c r="E1061" s="53" t="s">
        <v>5974</v>
      </c>
    </row>
    <row r="1062" customFormat="false" ht="15" hidden="false" customHeight="false" outlineLevel="0" collapsed="false">
      <c r="A1062" s="85" t="str">
        <f aca="false">Gov_Map!$H387&amp;""</f>
        <v>SRC_HW_035</v>
      </c>
      <c r="B1062" s="66" t="s">
        <v>5973</v>
      </c>
      <c r="C1062" s="53" t="n">
        <v>387</v>
      </c>
      <c r="D1062" s="53" t="s">
        <v>5974</v>
      </c>
      <c r="E1062" s="53" t="s">
        <v>5974</v>
      </c>
    </row>
    <row r="1063" customFormat="false" ht="15" hidden="false" customHeight="false" outlineLevel="0" collapsed="false">
      <c r="A1063" s="85" t="str">
        <f aca="false">Gov_Map!$H388&amp;""</f>
        <v>—</v>
      </c>
      <c r="B1063" s="66" t="s">
        <v>5973</v>
      </c>
      <c r="C1063" s="53" t="n">
        <v>388</v>
      </c>
      <c r="D1063" s="53" t="s">
        <v>5974</v>
      </c>
      <c r="E1063" s="53" t="s">
        <v>5974</v>
      </c>
    </row>
    <row r="1064" customFormat="false" ht="15" hidden="false" customHeight="false" outlineLevel="0" collapsed="false">
      <c r="A1064" s="85" t="str">
        <f aca="false">Gov_Map!$H389&amp;""</f>
        <v>—</v>
      </c>
      <c r="B1064" s="66" t="s">
        <v>5973</v>
      </c>
      <c r="C1064" s="53" t="n">
        <v>389</v>
      </c>
      <c r="D1064" s="53" t="s">
        <v>5974</v>
      </c>
      <c r="E1064" s="53" t="s">
        <v>5974</v>
      </c>
    </row>
    <row r="1065" customFormat="false" ht="15" hidden="false" customHeight="false" outlineLevel="0" collapsed="false">
      <c r="A1065" s="85" t="str">
        <f aca="false">Gov_Map!$H390&amp;""</f>
        <v>—</v>
      </c>
      <c r="B1065" s="66" t="s">
        <v>5973</v>
      </c>
      <c r="C1065" s="53" t="n">
        <v>390</v>
      </c>
      <c r="D1065" s="53" t="s">
        <v>5974</v>
      </c>
      <c r="E1065" s="53" t="s">
        <v>5974</v>
      </c>
    </row>
    <row r="1066" customFormat="false" ht="15" hidden="false" customHeight="false" outlineLevel="0" collapsed="false">
      <c r="A1066" s="85" t="str">
        <f aca="false">Gov_Map!$H391&amp;""</f>
        <v>—</v>
      </c>
      <c r="B1066" s="66" t="s">
        <v>5973</v>
      </c>
      <c r="C1066" s="53" t="n">
        <v>391</v>
      </c>
      <c r="D1066" s="53" t="s">
        <v>5974</v>
      </c>
      <c r="E1066" s="53" t="s">
        <v>5974</v>
      </c>
    </row>
    <row r="1067" customFormat="false" ht="15" hidden="false" customHeight="false" outlineLevel="0" collapsed="false">
      <c r="A1067" s="85" t="str">
        <f aca="false">Gov_Map!$H392&amp;""</f>
        <v>—</v>
      </c>
      <c r="B1067" s="66" t="s">
        <v>5973</v>
      </c>
      <c r="C1067" s="53" t="n">
        <v>392</v>
      </c>
      <c r="D1067" s="53" t="s">
        <v>5974</v>
      </c>
      <c r="E1067" s="53" t="s">
        <v>5974</v>
      </c>
    </row>
    <row r="1068" customFormat="false" ht="15" hidden="false" customHeight="false" outlineLevel="0" collapsed="false">
      <c r="A1068" s="85" t="str">
        <f aca="false">Gov_Map!$H393&amp;""</f>
        <v>—</v>
      </c>
      <c r="B1068" s="66" t="s">
        <v>5973</v>
      </c>
      <c r="C1068" s="53" t="n">
        <v>393</v>
      </c>
      <c r="D1068" s="53" t="s">
        <v>5974</v>
      </c>
      <c r="E1068" s="53" t="s">
        <v>5974</v>
      </c>
    </row>
    <row r="1069" customFormat="false" ht="15" hidden="false" customHeight="false" outlineLevel="0" collapsed="false">
      <c r="A1069" s="85" t="str">
        <f aca="false">Gov_Map!$H394&amp;""</f>
        <v>—</v>
      </c>
      <c r="B1069" s="66" t="s">
        <v>5973</v>
      </c>
      <c r="C1069" s="53" t="n">
        <v>394</v>
      </c>
      <c r="D1069" s="53" t="s">
        <v>5974</v>
      </c>
      <c r="E1069" s="53" t="s">
        <v>5974</v>
      </c>
    </row>
    <row r="1070" customFormat="false" ht="15" hidden="false" customHeight="false" outlineLevel="0" collapsed="false">
      <c r="A1070" s="85" t="str">
        <f aca="false">Gov_Map!$H395&amp;""</f>
        <v>—</v>
      </c>
      <c r="B1070" s="66" t="s">
        <v>5973</v>
      </c>
      <c r="C1070" s="53" t="n">
        <v>395</v>
      </c>
      <c r="D1070" s="53" t="s">
        <v>5974</v>
      </c>
      <c r="E1070" s="53" t="s">
        <v>5974</v>
      </c>
    </row>
    <row r="1071" customFormat="false" ht="15" hidden="false" customHeight="false" outlineLevel="0" collapsed="false">
      <c r="A1071" s="85" t="str">
        <f aca="false">Gov_Map!$H396&amp;""</f>
        <v>—</v>
      </c>
      <c r="B1071" s="66" t="s">
        <v>5973</v>
      </c>
      <c r="C1071" s="53" t="n">
        <v>396</v>
      </c>
      <c r="D1071" s="53" t="s">
        <v>5974</v>
      </c>
      <c r="E1071" s="53" t="s">
        <v>5974</v>
      </c>
    </row>
    <row r="1072" customFormat="false" ht="15" hidden="false" customHeight="false" outlineLevel="0" collapsed="false">
      <c r="A1072" s="85" t="str">
        <f aca="false">Gov_Map!$H397&amp;""</f>
        <v>—</v>
      </c>
      <c r="B1072" s="66" t="s">
        <v>5973</v>
      </c>
      <c r="C1072" s="53" t="n">
        <v>397</v>
      </c>
      <c r="D1072" s="53" t="s">
        <v>5974</v>
      </c>
      <c r="E1072" s="53" t="s">
        <v>5974</v>
      </c>
    </row>
    <row r="1073" customFormat="false" ht="15" hidden="false" customHeight="false" outlineLevel="0" collapsed="false">
      <c r="A1073" s="85" t="str">
        <f aca="false">Gov_Map!$H398&amp;""</f>
        <v>—</v>
      </c>
      <c r="B1073" s="66" t="s">
        <v>5973</v>
      </c>
      <c r="C1073" s="53" t="n">
        <v>398</v>
      </c>
      <c r="D1073" s="53" t="s">
        <v>5974</v>
      </c>
      <c r="E1073" s="53" t="s">
        <v>5974</v>
      </c>
    </row>
    <row r="1074" customFormat="false" ht="15" hidden="false" customHeight="false" outlineLevel="0" collapsed="false">
      <c r="A1074" s="85" t="str">
        <f aca="false">Gov_Map!$H399&amp;""</f>
        <v>—</v>
      </c>
      <c r="B1074" s="66" t="s">
        <v>5973</v>
      </c>
      <c r="C1074" s="53" t="n">
        <v>399</v>
      </c>
      <c r="D1074" s="53" t="s">
        <v>5974</v>
      </c>
      <c r="E1074" s="53" t="s">
        <v>5974</v>
      </c>
    </row>
    <row r="1075" customFormat="false" ht="15" hidden="false" customHeight="false" outlineLevel="0" collapsed="false">
      <c r="A1075" s="85" t="str">
        <f aca="false">Gov_Map!$H400&amp;""</f>
        <v>—</v>
      </c>
      <c r="B1075" s="66" t="s">
        <v>5973</v>
      </c>
      <c r="C1075" s="53" t="n">
        <v>400</v>
      </c>
      <c r="D1075" s="53" t="s">
        <v>5974</v>
      </c>
      <c r="E1075" s="53" t="s">
        <v>5974</v>
      </c>
    </row>
    <row r="1076" customFormat="false" ht="15" hidden="false" customHeight="false" outlineLevel="0" collapsed="false">
      <c r="A1076" s="85" t="str">
        <f aca="false">Gov_Map!$H401&amp;""</f>
        <v>—</v>
      </c>
      <c r="B1076" s="66" t="s">
        <v>5973</v>
      </c>
      <c r="C1076" s="53" t="n">
        <v>401</v>
      </c>
      <c r="D1076" s="53" t="s">
        <v>5974</v>
      </c>
      <c r="E1076" s="53" t="s">
        <v>5974</v>
      </c>
    </row>
    <row r="1077" customFormat="false" ht="15" hidden="false" customHeight="false" outlineLevel="0" collapsed="false">
      <c r="A1077" s="85" t="str">
        <f aca="false">Gov_Map!$H402&amp;""</f>
        <v>—</v>
      </c>
      <c r="B1077" s="66" t="s">
        <v>5973</v>
      </c>
      <c r="C1077" s="53" t="n">
        <v>402</v>
      </c>
      <c r="D1077" s="53" t="s">
        <v>5974</v>
      </c>
      <c r="E1077" s="53" t="s">
        <v>5974</v>
      </c>
    </row>
    <row r="1078" customFormat="false" ht="15" hidden="false" customHeight="false" outlineLevel="0" collapsed="false">
      <c r="A1078" s="85" t="str">
        <f aca="false">Gov_Map!$H403&amp;""</f>
        <v>—</v>
      </c>
      <c r="B1078" s="66" t="s">
        <v>5973</v>
      </c>
      <c r="C1078" s="53" t="n">
        <v>403</v>
      </c>
      <c r="D1078" s="53" t="s">
        <v>5974</v>
      </c>
      <c r="E1078" s="53" t="s">
        <v>5974</v>
      </c>
    </row>
    <row r="1079" customFormat="false" ht="15" hidden="false" customHeight="false" outlineLevel="0" collapsed="false">
      <c r="A1079" s="85" t="str">
        <f aca="false">Gov_Map!$H404&amp;""</f>
        <v>—</v>
      </c>
      <c r="B1079" s="66" t="s">
        <v>5973</v>
      </c>
      <c r="C1079" s="53" t="n">
        <v>404</v>
      </c>
      <c r="D1079" s="53" t="s">
        <v>5974</v>
      </c>
      <c r="E1079" s="53" t="s">
        <v>5974</v>
      </c>
    </row>
    <row r="1080" customFormat="false" ht="15" hidden="false" customHeight="false" outlineLevel="0" collapsed="false">
      <c r="A1080" s="85" t="str">
        <f aca="false">Gov_Map!$H405&amp;""</f>
        <v>—</v>
      </c>
      <c r="B1080" s="66" t="s">
        <v>5973</v>
      </c>
      <c r="C1080" s="53" t="n">
        <v>405</v>
      </c>
      <c r="D1080" s="53" t="s">
        <v>5974</v>
      </c>
      <c r="E1080" s="53" t="s">
        <v>5974</v>
      </c>
    </row>
    <row r="1081" customFormat="false" ht="15" hidden="false" customHeight="false" outlineLevel="0" collapsed="false">
      <c r="A1081" s="85" t="str">
        <f aca="false">Gov_Map!$H406&amp;""</f>
        <v>—</v>
      </c>
      <c r="B1081" s="66" t="s">
        <v>5973</v>
      </c>
      <c r="C1081" s="53" t="n">
        <v>406</v>
      </c>
      <c r="D1081" s="53" t="s">
        <v>5974</v>
      </c>
      <c r="E1081" s="53" t="s">
        <v>5974</v>
      </c>
    </row>
    <row r="1082" customFormat="false" ht="15" hidden="false" customHeight="false" outlineLevel="0" collapsed="false">
      <c r="A1082" s="85" t="str">
        <f aca="false">Gov_Map!$H407&amp;""</f>
        <v>—</v>
      </c>
      <c r="B1082" s="66" t="s">
        <v>5973</v>
      </c>
      <c r="C1082" s="53" t="n">
        <v>407</v>
      </c>
      <c r="D1082" s="53" t="s">
        <v>5974</v>
      </c>
      <c r="E1082" s="53" t="s">
        <v>5974</v>
      </c>
    </row>
    <row r="1083" customFormat="false" ht="15" hidden="false" customHeight="false" outlineLevel="0" collapsed="false">
      <c r="A1083" s="85" t="str">
        <f aca="false">Gov_Map!$H408&amp;""</f>
        <v>—</v>
      </c>
      <c r="B1083" s="66" t="s">
        <v>5973</v>
      </c>
      <c r="C1083" s="53" t="n">
        <v>408</v>
      </c>
      <c r="D1083" s="53" t="s">
        <v>5974</v>
      </c>
      <c r="E1083" s="53" t="s">
        <v>5974</v>
      </c>
    </row>
    <row r="1084" customFormat="false" ht="15" hidden="false" customHeight="false" outlineLevel="0" collapsed="false">
      <c r="A1084" s="85" t="str">
        <f aca="false">Gov_Map!$H409&amp;""</f>
        <v>—</v>
      </c>
      <c r="B1084" s="66" t="s">
        <v>5973</v>
      </c>
      <c r="C1084" s="53" t="n">
        <v>409</v>
      </c>
      <c r="D1084" s="53" t="s">
        <v>5974</v>
      </c>
      <c r="E1084" s="53" t="s">
        <v>5974</v>
      </c>
    </row>
    <row r="1085" customFormat="false" ht="15" hidden="false" customHeight="false" outlineLevel="0" collapsed="false">
      <c r="A1085" s="85" t="str">
        <f aca="false">Gov_Map!$H410&amp;""</f>
        <v>—</v>
      </c>
      <c r="B1085" s="66" t="s">
        <v>5973</v>
      </c>
      <c r="C1085" s="53" t="n">
        <v>410</v>
      </c>
      <c r="D1085" s="53" t="s">
        <v>5974</v>
      </c>
      <c r="E1085" s="53" t="s">
        <v>5974</v>
      </c>
    </row>
    <row r="1086" customFormat="false" ht="15" hidden="false" customHeight="false" outlineLevel="0" collapsed="false">
      <c r="A1086" s="85" t="str">
        <f aca="false">Gov_Map!$H411&amp;""</f>
        <v>—</v>
      </c>
      <c r="B1086" s="66" t="s">
        <v>5973</v>
      </c>
      <c r="C1086" s="53" t="n">
        <v>411</v>
      </c>
      <c r="D1086" s="53" t="s">
        <v>5974</v>
      </c>
      <c r="E1086" s="53" t="s">
        <v>5974</v>
      </c>
    </row>
    <row r="1087" customFormat="false" ht="15" hidden="false" customHeight="false" outlineLevel="0" collapsed="false">
      <c r="A1087" s="85" t="str">
        <f aca="false">Gov_Map!$H412&amp;""</f>
        <v>—</v>
      </c>
      <c r="B1087" s="66" t="s">
        <v>5973</v>
      </c>
      <c r="C1087" s="53" t="n">
        <v>412</v>
      </c>
      <c r="D1087" s="53" t="s">
        <v>5974</v>
      </c>
      <c r="E1087" s="53" t="s">
        <v>5974</v>
      </c>
    </row>
    <row r="1088" customFormat="false" ht="15" hidden="false" customHeight="false" outlineLevel="0" collapsed="false">
      <c r="A1088" s="85" t="str">
        <f aca="false">Gov_Map!$H413&amp;""</f>
        <v>—</v>
      </c>
      <c r="B1088" s="66" t="s">
        <v>5973</v>
      </c>
      <c r="C1088" s="53" t="n">
        <v>413</v>
      </c>
      <c r="D1088" s="53" t="s">
        <v>5974</v>
      </c>
      <c r="E1088" s="53" t="s">
        <v>5974</v>
      </c>
    </row>
    <row r="1089" customFormat="false" ht="15" hidden="false" customHeight="false" outlineLevel="0" collapsed="false">
      <c r="A1089" s="85" t="str">
        <f aca="false">Gov_Map!$H414&amp;""</f>
        <v>—</v>
      </c>
      <c r="B1089" s="66" t="s">
        <v>5973</v>
      </c>
      <c r="C1089" s="53" t="n">
        <v>414</v>
      </c>
      <c r="D1089" s="53" t="s">
        <v>5974</v>
      </c>
      <c r="E1089" s="53" t="s">
        <v>5974</v>
      </c>
    </row>
    <row r="1090" customFormat="false" ht="15" hidden="false" customHeight="false" outlineLevel="0" collapsed="false">
      <c r="A1090" s="85" t="str">
        <f aca="false">Gov_Map!$H415&amp;""</f>
        <v>—</v>
      </c>
      <c r="B1090" s="66" t="s">
        <v>5973</v>
      </c>
      <c r="C1090" s="53" t="n">
        <v>415</v>
      </c>
      <c r="D1090" s="53" t="s">
        <v>5974</v>
      </c>
      <c r="E1090" s="53" t="s">
        <v>5974</v>
      </c>
    </row>
    <row r="1091" customFormat="false" ht="15" hidden="false" customHeight="false" outlineLevel="0" collapsed="false">
      <c r="A1091" s="85" t="str">
        <f aca="false">Gov_Map!$H416&amp;""</f>
        <v>—</v>
      </c>
      <c r="B1091" s="66" t="s">
        <v>5973</v>
      </c>
      <c r="C1091" s="53" t="n">
        <v>416</v>
      </c>
      <c r="D1091" s="53" t="s">
        <v>5974</v>
      </c>
      <c r="E1091" s="53" t="s">
        <v>5974</v>
      </c>
    </row>
    <row r="1092" customFormat="false" ht="15" hidden="false" customHeight="false" outlineLevel="0" collapsed="false">
      <c r="A1092" s="85" t="str">
        <f aca="false">Gov_Map!$H417&amp;""</f>
        <v>—</v>
      </c>
      <c r="B1092" s="66" t="s">
        <v>5973</v>
      </c>
      <c r="C1092" s="53" t="n">
        <v>417</v>
      </c>
      <c r="D1092" s="53" t="s">
        <v>5974</v>
      </c>
      <c r="E1092" s="53" t="s">
        <v>5974</v>
      </c>
    </row>
    <row r="1093" customFormat="false" ht="15" hidden="false" customHeight="false" outlineLevel="0" collapsed="false">
      <c r="A1093" s="85" t="str">
        <f aca="false">Gov_Map!$H418&amp;""</f>
        <v>—</v>
      </c>
      <c r="B1093" s="66" t="s">
        <v>5973</v>
      </c>
      <c r="C1093" s="53" t="n">
        <v>418</v>
      </c>
      <c r="D1093" s="53" t="s">
        <v>5974</v>
      </c>
      <c r="E1093" s="53" t="s">
        <v>5974</v>
      </c>
    </row>
    <row r="1094" customFormat="false" ht="15" hidden="false" customHeight="false" outlineLevel="0" collapsed="false">
      <c r="A1094" s="85" t="str">
        <f aca="false">Gov_Map!$H419&amp;""</f>
        <v>—</v>
      </c>
      <c r="B1094" s="66" t="s">
        <v>5973</v>
      </c>
      <c r="C1094" s="53" t="n">
        <v>419</v>
      </c>
      <c r="D1094" s="53" t="s">
        <v>5974</v>
      </c>
      <c r="E1094" s="53" t="s">
        <v>5974</v>
      </c>
    </row>
    <row r="1095" customFormat="false" ht="15" hidden="false" customHeight="false" outlineLevel="0" collapsed="false">
      <c r="A1095" s="85" t="str">
        <f aca="false">Gov_Map!$H420&amp;""</f>
        <v>—</v>
      </c>
      <c r="B1095" s="66" t="s">
        <v>5973</v>
      </c>
      <c r="C1095" s="53" t="n">
        <v>420</v>
      </c>
      <c r="D1095" s="53" t="s">
        <v>5974</v>
      </c>
      <c r="E1095" s="53" t="s">
        <v>5974</v>
      </c>
    </row>
    <row r="1096" customFormat="false" ht="15" hidden="false" customHeight="false" outlineLevel="0" collapsed="false">
      <c r="A1096" s="85" t="str">
        <f aca="false">Gov_Map!$H421&amp;""</f>
        <v>—</v>
      </c>
      <c r="B1096" s="66" t="s">
        <v>5973</v>
      </c>
      <c r="C1096" s="53" t="n">
        <v>421</v>
      </c>
      <c r="D1096" s="53" t="s">
        <v>5974</v>
      </c>
      <c r="E1096" s="53" t="s">
        <v>5974</v>
      </c>
    </row>
    <row r="1097" customFormat="false" ht="15" hidden="false" customHeight="false" outlineLevel="0" collapsed="false">
      <c r="A1097" s="85" t="str">
        <f aca="false">Gov_Map!$H422&amp;""</f>
        <v>—</v>
      </c>
      <c r="B1097" s="66" t="s">
        <v>5973</v>
      </c>
      <c r="C1097" s="53" t="n">
        <v>422</v>
      </c>
      <c r="D1097" s="53" t="s">
        <v>5974</v>
      </c>
      <c r="E1097" s="53" t="s">
        <v>5974</v>
      </c>
    </row>
    <row r="1098" customFormat="false" ht="15" hidden="false" customHeight="false" outlineLevel="0" collapsed="false">
      <c r="A1098" s="85" t="str">
        <f aca="false">Gov_Map!$H423&amp;""</f>
        <v>—</v>
      </c>
      <c r="B1098" s="66" t="s">
        <v>5973</v>
      </c>
      <c r="C1098" s="53" t="n">
        <v>423</v>
      </c>
      <c r="D1098" s="53" t="s">
        <v>5974</v>
      </c>
      <c r="E1098" s="53" t="s">
        <v>5974</v>
      </c>
    </row>
    <row r="1099" customFormat="false" ht="15" hidden="false" customHeight="false" outlineLevel="0" collapsed="false">
      <c r="A1099" s="85" t="str">
        <f aca="false">Gov_Map!$H424&amp;""</f>
        <v>—</v>
      </c>
      <c r="B1099" s="66" t="s">
        <v>5973</v>
      </c>
      <c r="C1099" s="53" t="n">
        <v>424</v>
      </c>
      <c r="D1099" s="53" t="s">
        <v>5974</v>
      </c>
      <c r="E1099" s="53" t="s">
        <v>5974</v>
      </c>
    </row>
    <row r="1100" customFormat="false" ht="15" hidden="false" customHeight="false" outlineLevel="0" collapsed="false">
      <c r="A1100" s="85" t="str">
        <f aca="false">Gov_Map!$H425&amp;""</f>
        <v>—</v>
      </c>
      <c r="B1100" s="66" t="s">
        <v>5973</v>
      </c>
      <c r="C1100" s="53" t="n">
        <v>425</v>
      </c>
      <c r="D1100" s="53" t="s">
        <v>5974</v>
      </c>
      <c r="E1100" s="53" t="s">
        <v>5974</v>
      </c>
    </row>
    <row r="1101" customFormat="false" ht="15" hidden="false" customHeight="false" outlineLevel="0" collapsed="false">
      <c r="A1101" s="85" t="str">
        <f aca="false">Gov_Map!$H426&amp;""</f>
        <v>—</v>
      </c>
      <c r="B1101" s="66" t="s">
        <v>5973</v>
      </c>
      <c r="C1101" s="53" t="n">
        <v>426</v>
      </c>
      <c r="D1101" s="53" t="s">
        <v>5974</v>
      </c>
      <c r="E1101" s="53" t="s">
        <v>5974</v>
      </c>
    </row>
    <row r="1102" customFormat="false" ht="15" hidden="false" customHeight="false" outlineLevel="0" collapsed="false">
      <c r="A1102" s="85" t="str">
        <f aca="false">Gov_Map!$H427&amp;""</f>
        <v>—</v>
      </c>
      <c r="B1102" s="66" t="s">
        <v>5973</v>
      </c>
      <c r="C1102" s="53" t="n">
        <v>427</v>
      </c>
      <c r="D1102" s="53" t="s">
        <v>5974</v>
      </c>
      <c r="E1102" s="53" t="s">
        <v>5974</v>
      </c>
    </row>
    <row r="1103" customFormat="false" ht="15" hidden="false" customHeight="false" outlineLevel="0" collapsed="false">
      <c r="A1103" s="85" t="str">
        <f aca="false">Gov_Map!$H428&amp;""</f>
        <v>—</v>
      </c>
      <c r="B1103" s="66" t="s">
        <v>5973</v>
      </c>
      <c r="C1103" s="53" t="n">
        <v>428</v>
      </c>
      <c r="D1103" s="53" t="s">
        <v>5974</v>
      </c>
      <c r="E1103" s="53" t="s">
        <v>5974</v>
      </c>
    </row>
    <row r="1104" customFormat="false" ht="15" hidden="false" customHeight="false" outlineLevel="0" collapsed="false">
      <c r="A1104" s="85" t="str">
        <f aca="false">Gov_Map!$H429&amp;""</f>
        <v>—</v>
      </c>
      <c r="B1104" s="66" t="s">
        <v>5973</v>
      </c>
      <c r="C1104" s="53" t="n">
        <v>429</v>
      </c>
      <c r="D1104" s="53" t="s">
        <v>5974</v>
      </c>
      <c r="E1104" s="53" t="s">
        <v>5974</v>
      </c>
    </row>
    <row r="1105" customFormat="false" ht="15" hidden="false" customHeight="false" outlineLevel="0" collapsed="false">
      <c r="A1105" s="85" t="str">
        <f aca="false">Gov_Map!$H430&amp;""</f>
        <v>—</v>
      </c>
      <c r="B1105" s="66" t="s">
        <v>5973</v>
      </c>
      <c r="C1105" s="53" t="n">
        <v>430</v>
      </c>
      <c r="D1105" s="53" t="s">
        <v>5974</v>
      </c>
      <c r="E1105" s="53" t="s">
        <v>5974</v>
      </c>
    </row>
    <row r="1106" customFormat="false" ht="15" hidden="false" customHeight="false" outlineLevel="0" collapsed="false">
      <c r="A1106" s="85" t="str">
        <f aca="false">Gov_Map!$H431&amp;""</f>
        <v>SRC_MOD_029</v>
      </c>
      <c r="B1106" s="66" t="s">
        <v>5973</v>
      </c>
      <c r="C1106" s="53" t="n">
        <v>431</v>
      </c>
      <c r="D1106" s="53" t="s">
        <v>5974</v>
      </c>
      <c r="E1106" s="53" t="s">
        <v>5974</v>
      </c>
    </row>
    <row r="1107" customFormat="false" ht="15" hidden="false" customHeight="false" outlineLevel="0" collapsed="false">
      <c r="A1107" s="85" t="str">
        <f aca="false">Gov_Map!$H432&amp;""</f>
        <v>SRC_MOD_030</v>
      </c>
      <c r="B1107" s="66" t="s">
        <v>5973</v>
      </c>
      <c r="C1107" s="53" t="n">
        <v>432</v>
      </c>
      <c r="D1107" s="53" t="s">
        <v>5974</v>
      </c>
      <c r="E1107" s="53" t="s">
        <v>5974</v>
      </c>
    </row>
    <row r="1108" customFormat="false" ht="15" hidden="false" customHeight="false" outlineLevel="0" collapsed="false">
      <c r="A1108" s="85" t="str">
        <f aca="false">Gov_Map!$H433&amp;""</f>
        <v>SRC_MOD_031</v>
      </c>
      <c r="B1108" s="66" t="s">
        <v>5973</v>
      </c>
      <c r="C1108" s="53" t="n">
        <v>433</v>
      </c>
      <c r="D1108" s="53" t="s">
        <v>5974</v>
      </c>
      <c r="E1108" s="53" t="s">
        <v>5974</v>
      </c>
    </row>
    <row r="1109" customFormat="false" ht="15" hidden="false" customHeight="false" outlineLevel="0" collapsed="false">
      <c r="A1109" s="85" t="str">
        <f aca="false">Gov_Map!$H434&amp;""</f>
        <v>SRC_MOD_031</v>
      </c>
      <c r="B1109" s="66" t="s">
        <v>5973</v>
      </c>
      <c r="C1109" s="53" t="n">
        <v>434</v>
      </c>
      <c r="D1109" s="53" t="s">
        <v>5974</v>
      </c>
      <c r="E1109" s="53" t="s">
        <v>5974</v>
      </c>
    </row>
    <row r="1110" customFormat="false" ht="15" hidden="false" customHeight="false" outlineLevel="0" collapsed="false">
      <c r="A1110" s="85" t="str">
        <f aca="false">Gov_Map!$H435&amp;""</f>
        <v>SRC_MOD_039</v>
      </c>
      <c r="B1110" s="66" t="s">
        <v>5973</v>
      </c>
      <c r="C1110" s="53" t="n">
        <v>435</v>
      </c>
      <c r="D1110" s="53" t="s">
        <v>5974</v>
      </c>
      <c r="E1110" s="53" t="s">
        <v>5974</v>
      </c>
    </row>
    <row r="1111" customFormat="false" ht="15" hidden="false" customHeight="false" outlineLevel="0" collapsed="false">
      <c r="A1111" s="85" t="str">
        <f aca="false">Gov_Map!$H436&amp;""</f>
        <v>SRC_MOD_040</v>
      </c>
      <c r="B1111" s="66" t="s">
        <v>5973</v>
      </c>
      <c r="C1111" s="53" t="n">
        <v>436</v>
      </c>
      <c r="D1111" s="53" t="s">
        <v>5974</v>
      </c>
      <c r="E1111" s="53" t="s">
        <v>5974</v>
      </c>
    </row>
    <row r="1112" customFormat="false" ht="15" hidden="false" customHeight="false" outlineLevel="0" collapsed="false">
      <c r="A1112" s="85" t="str">
        <f aca="false">Gov_Map!$H437&amp;""</f>
        <v>SRC_MOD_042</v>
      </c>
      <c r="B1112" s="66" t="s">
        <v>5973</v>
      </c>
      <c r="C1112" s="53" t="n">
        <v>437</v>
      </c>
      <c r="D1112" s="53" t="s">
        <v>5974</v>
      </c>
      <c r="E1112" s="53" t="s">
        <v>5974</v>
      </c>
    </row>
    <row r="1113" customFormat="false" ht="15" hidden="false" customHeight="false" outlineLevel="0" collapsed="false">
      <c r="A1113" s="85" t="str">
        <f aca="false">Gov_Map!$H438&amp;""</f>
        <v>SRC_MOD_036</v>
      </c>
      <c r="B1113" s="66" t="s">
        <v>5973</v>
      </c>
      <c r="C1113" s="53" t="n">
        <v>438</v>
      </c>
      <c r="D1113" s="53" t="s">
        <v>5974</v>
      </c>
      <c r="E1113" s="53" t="s">
        <v>5974</v>
      </c>
    </row>
    <row r="1114" customFormat="false" ht="15" hidden="false" customHeight="false" outlineLevel="0" collapsed="false">
      <c r="A1114" s="85" t="str">
        <f aca="false">Gov_Map!$H439&amp;""</f>
        <v>SRC_MOD_043</v>
      </c>
      <c r="B1114" s="66" t="s">
        <v>5973</v>
      </c>
      <c r="C1114" s="53" t="n">
        <v>439</v>
      </c>
      <c r="D1114" s="53" t="s">
        <v>5974</v>
      </c>
      <c r="E1114" s="53" t="s">
        <v>5974</v>
      </c>
    </row>
    <row r="1115" customFormat="false" ht="15" hidden="false" customHeight="false" outlineLevel="0" collapsed="false">
      <c r="A1115" s="85" t="str">
        <f aca="false">Gov_Map!$H440&amp;""</f>
        <v>—</v>
      </c>
      <c r="B1115" s="66" t="s">
        <v>5973</v>
      </c>
      <c r="C1115" s="53" t="n">
        <v>440</v>
      </c>
      <c r="D1115" s="53" t="s">
        <v>5974</v>
      </c>
      <c r="E1115" s="53" t="s">
        <v>5974</v>
      </c>
    </row>
    <row r="1116" customFormat="false" ht="15" hidden="false" customHeight="false" outlineLevel="0" collapsed="false">
      <c r="A1116" s="85" t="str">
        <f aca="false">Gov_Map!$H441&amp;""</f>
        <v>—</v>
      </c>
      <c r="B1116" s="66" t="s">
        <v>5973</v>
      </c>
      <c r="C1116" s="53" t="n">
        <v>441</v>
      </c>
      <c r="D1116" s="53" t="s">
        <v>5974</v>
      </c>
      <c r="E1116" s="53" t="s">
        <v>5974</v>
      </c>
    </row>
    <row r="1117" customFormat="false" ht="15" hidden="false" customHeight="false" outlineLevel="0" collapsed="false">
      <c r="A1117" s="85" t="str">
        <f aca="false">Gov_Map!$H442&amp;""</f>
        <v>—</v>
      </c>
      <c r="B1117" s="66" t="s">
        <v>5973</v>
      </c>
      <c r="C1117" s="53" t="n">
        <v>442</v>
      </c>
      <c r="D1117" s="53" t="s">
        <v>5974</v>
      </c>
      <c r="E1117" s="53" t="s">
        <v>5974</v>
      </c>
    </row>
    <row r="1118" customFormat="false" ht="15" hidden="false" customHeight="false" outlineLevel="0" collapsed="false">
      <c r="A1118" s="85" t="str">
        <f aca="false">Gov_Map!$H443&amp;""</f>
        <v>—</v>
      </c>
      <c r="B1118" s="66" t="s">
        <v>5973</v>
      </c>
      <c r="C1118" s="53" t="n">
        <v>443</v>
      </c>
      <c r="D1118" s="53" t="s">
        <v>5974</v>
      </c>
      <c r="E1118" s="53" t="s">
        <v>5974</v>
      </c>
    </row>
    <row r="1119" customFormat="false" ht="15" hidden="false" customHeight="false" outlineLevel="0" collapsed="false">
      <c r="A1119" s="85" t="str">
        <f aca="false">Gov_Map!$H444&amp;""</f>
        <v>—</v>
      </c>
      <c r="B1119" s="66" t="s">
        <v>5973</v>
      </c>
      <c r="C1119" s="53" t="n">
        <v>444</v>
      </c>
      <c r="D1119" s="53" t="s">
        <v>5974</v>
      </c>
      <c r="E1119" s="53" t="s">
        <v>5974</v>
      </c>
    </row>
    <row r="1120" customFormat="false" ht="15" hidden="false" customHeight="false" outlineLevel="0" collapsed="false">
      <c r="A1120" s="85" t="str">
        <f aca="false">Gov_Map!$H445&amp;""</f>
        <v>—</v>
      </c>
      <c r="B1120" s="66" t="s">
        <v>5973</v>
      </c>
      <c r="C1120" s="53" t="n">
        <v>445</v>
      </c>
      <c r="D1120" s="53" t="s">
        <v>5974</v>
      </c>
      <c r="E1120" s="53" t="s">
        <v>5974</v>
      </c>
    </row>
    <row r="1121" customFormat="false" ht="15" hidden="false" customHeight="false" outlineLevel="0" collapsed="false">
      <c r="A1121" s="85" t="str">
        <f aca="false">Gov_Map!$H446&amp;""</f>
        <v>—</v>
      </c>
      <c r="B1121" s="66" t="s">
        <v>5973</v>
      </c>
      <c r="C1121" s="53" t="n">
        <v>446</v>
      </c>
      <c r="D1121" s="53" t="s">
        <v>5974</v>
      </c>
      <c r="E1121" s="53" t="s">
        <v>5974</v>
      </c>
    </row>
    <row r="1122" customFormat="false" ht="15" hidden="false" customHeight="false" outlineLevel="0" collapsed="false">
      <c r="A1122" s="85" t="str">
        <f aca="false">Gov_Map!$H447&amp;""</f>
        <v>—</v>
      </c>
      <c r="B1122" s="66" t="s">
        <v>5973</v>
      </c>
      <c r="C1122" s="53" t="n">
        <v>447</v>
      </c>
      <c r="D1122" s="53" t="s">
        <v>5974</v>
      </c>
      <c r="E1122" s="53" t="s">
        <v>5974</v>
      </c>
    </row>
    <row r="1123" customFormat="false" ht="15" hidden="false" customHeight="false" outlineLevel="0" collapsed="false">
      <c r="A1123" s="85" t="str">
        <f aca="false">Gov_Map!$H448&amp;""</f>
        <v>—</v>
      </c>
      <c r="B1123" s="66" t="s">
        <v>5973</v>
      </c>
      <c r="C1123" s="53" t="n">
        <v>448</v>
      </c>
      <c r="D1123" s="53" t="s">
        <v>5974</v>
      </c>
      <c r="E1123" s="53" t="s">
        <v>5974</v>
      </c>
    </row>
    <row r="1124" customFormat="false" ht="15" hidden="false" customHeight="false" outlineLevel="0" collapsed="false">
      <c r="A1124" s="85" t="str">
        <f aca="false">Gov_Map!$H449&amp;""</f>
        <v>—</v>
      </c>
      <c r="B1124" s="66" t="s">
        <v>5973</v>
      </c>
      <c r="C1124" s="53" t="n">
        <v>449</v>
      </c>
      <c r="D1124" s="53" t="s">
        <v>5974</v>
      </c>
      <c r="E1124" s="53" t="s">
        <v>5974</v>
      </c>
    </row>
    <row r="1125" customFormat="false" ht="15" hidden="false" customHeight="false" outlineLevel="0" collapsed="false">
      <c r="A1125" s="85" t="str">
        <f aca="false">Gov_Map!$H450&amp;""</f>
        <v>—</v>
      </c>
      <c r="B1125" s="66" t="s">
        <v>5973</v>
      </c>
      <c r="C1125" s="53" t="n">
        <v>450</v>
      </c>
      <c r="D1125" s="53" t="s">
        <v>5974</v>
      </c>
      <c r="E1125" s="53" t="s">
        <v>5974</v>
      </c>
    </row>
    <row r="1126" customFormat="false" ht="15" hidden="false" customHeight="false" outlineLevel="0" collapsed="false">
      <c r="A1126" s="85" t="str">
        <f aca="false">Gov_Map!$H451&amp;""</f>
        <v>—</v>
      </c>
      <c r="B1126" s="66" t="s">
        <v>5973</v>
      </c>
      <c r="C1126" s="53" t="n">
        <v>451</v>
      </c>
      <c r="D1126" s="53" t="s">
        <v>5974</v>
      </c>
      <c r="E1126" s="53" t="s">
        <v>5974</v>
      </c>
    </row>
    <row r="1127" customFormat="false" ht="15" hidden="false" customHeight="false" outlineLevel="0" collapsed="false">
      <c r="A1127" s="85" t="str">
        <f aca="false">Gov_Map!$H452&amp;""</f>
        <v>—</v>
      </c>
      <c r="B1127" s="66" t="s">
        <v>5973</v>
      </c>
      <c r="C1127" s="53" t="n">
        <v>452</v>
      </c>
      <c r="D1127" s="53" t="s">
        <v>5974</v>
      </c>
      <c r="E1127" s="53" t="s">
        <v>5974</v>
      </c>
    </row>
    <row r="1128" customFormat="false" ht="15" hidden="false" customHeight="false" outlineLevel="0" collapsed="false">
      <c r="A1128" s="85" t="str">
        <f aca="false">Gov_Map!$H453&amp;""</f>
        <v>—</v>
      </c>
      <c r="B1128" s="66" t="s">
        <v>5973</v>
      </c>
      <c r="C1128" s="53" t="n">
        <v>453</v>
      </c>
      <c r="D1128" s="53" t="s">
        <v>5974</v>
      </c>
      <c r="E1128" s="53" t="s">
        <v>5974</v>
      </c>
    </row>
    <row r="1129" customFormat="false" ht="15" hidden="false" customHeight="false" outlineLevel="0" collapsed="false">
      <c r="A1129" s="85" t="str">
        <f aca="false">Gov_Map!$H454&amp;""</f>
        <v>—</v>
      </c>
      <c r="B1129" s="66" t="s">
        <v>5973</v>
      </c>
      <c r="C1129" s="53" t="n">
        <v>454</v>
      </c>
      <c r="D1129" s="53" t="s">
        <v>5974</v>
      </c>
      <c r="E1129" s="53" t="s">
        <v>5974</v>
      </c>
    </row>
    <row r="1130" customFormat="false" ht="15" hidden="false" customHeight="false" outlineLevel="0" collapsed="false">
      <c r="A1130" s="85" t="str">
        <f aca="false">Gov_Map!$H455&amp;""</f>
        <v>—</v>
      </c>
      <c r="B1130" s="66" t="s">
        <v>5973</v>
      </c>
      <c r="C1130" s="53" t="n">
        <v>455</v>
      </c>
      <c r="D1130" s="53" t="s">
        <v>5974</v>
      </c>
      <c r="E1130" s="53" t="s">
        <v>5974</v>
      </c>
    </row>
    <row r="1131" customFormat="false" ht="15" hidden="false" customHeight="false" outlineLevel="0" collapsed="false">
      <c r="A1131" s="85" t="str">
        <f aca="false">Gov_Map!$H456&amp;""</f>
        <v>—</v>
      </c>
      <c r="B1131" s="66" t="s">
        <v>5973</v>
      </c>
      <c r="C1131" s="53" t="n">
        <v>456</v>
      </c>
      <c r="D1131" s="53" t="s">
        <v>5974</v>
      </c>
      <c r="E1131" s="53" t="s">
        <v>5974</v>
      </c>
    </row>
    <row r="1132" customFormat="false" ht="15" hidden="false" customHeight="false" outlineLevel="0" collapsed="false">
      <c r="A1132" s="85" t="str">
        <f aca="false">Gov_Map!$H457&amp;""</f>
        <v>SRC_DEM_004</v>
      </c>
      <c r="B1132" s="66" t="s">
        <v>5973</v>
      </c>
      <c r="C1132" s="53" t="n">
        <v>457</v>
      </c>
      <c r="D1132" s="53" t="s">
        <v>5974</v>
      </c>
      <c r="E1132" s="53" t="s">
        <v>5974</v>
      </c>
    </row>
    <row r="1133" customFormat="false" ht="15" hidden="false" customHeight="false" outlineLevel="0" collapsed="false">
      <c r="A1133" s="85" t="str">
        <f aca="false">Gov_Map!$H458&amp;""</f>
        <v>—</v>
      </c>
      <c r="B1133" s="66" t="s">
        <v>5973</v>
      </c>
      <c r="C1133" s="53" t="n">
        <v>458</v>
      </c>
      <c r="D1133" s="53" t="s">
        <v>5974</v>
      </c>
      <c r="E1133" s="53" t="s">
        <v>5974</v>
      </c>
    </row>
    <row r="1134" customFormat="false" ht="15" hidden="false" customHeight="false" outlineLevel="0" collapsed="false">
      <c r="A1134" s="85" t="str">
        <f aca="false">Gov_Map!$H459&amp;""</f>
        <v>SRC_DEM_005</v>
      </c>
      <c r="B1134" s="66" t="s">
        <v>5973</v>
      </c>
      <c r="C1134" s="53" t="n">
        <v>459</v>
      </c>
      <c r="D1134" s="53" t="s">
        <v>5974</v>
      </c>
      <c r="E1134" s="53" t="s">
        <v>5974</v>
      </c>
    </row>
    <row r="1135" customFormat="false" ht="15" hidden="false" customHeight="false" outlineLevel="0" collapsed="false">
      <c r="A1135" s="85" t="str">
        <f aca="false">Gov_Map!$H460&amp;""</f>
        <v>—</v>
      </c>
      <c r="B1135" s="66" t="s">
        <v>5973</v>
      </c>
      <c r="C1135" s="53" t="n">
        <v>460</v>
      </c>
      <c r="D1135" s="53" t="s">
        <v>5974</v>
      </c>
      <c r="E1135" s="53" t="s">
        <v>5974</v>
      </c>
    </row>
    <row r="1136" customFormat="false" ht="15" hidden="false" customHeight="false" outlineLevel="0" collapsed="false">
      <c r="A1136" s="85" t="str">
        <f aca="false">Gov_Map!$H461&amp;""</f>
        <v>—</v>
      </c>
      <c r="B1136" s="66" t="s">
        <v>5973</v>
      </c>
      <c r="C1136" s="53" t="n">
        <v>461</v>
      </c>
      <c r="D1136" s="53" t="s">
        <v>5974</v>
      </c>
      <c r="E1136" s="53" t="s">
        <v>5974</v>
      </c>
    </row>
    <row r="1137" customFormat="false" ht="15" hidden="false" customHeight="false" outlineLevel="0" collapsed="false">
      <c r="A1137" s="85" t="str">
        <f aca="false">Gov_Map!$H462&amp;""</f>
        <v>—</v>
      </c>
      <c r="B1137" s="66" t="s">
        <v>5973</v>
      </c>
      <c r="C1137" s="53" t="n">
        <v>462</v>
      </c>
      <c r="D1137" s="53" t="s">
        <v>5974</v>
      </c>
      <c r="E1137" s="53" t="s">
        <v>5974</v>
      </c>
    </row>
    <row r="1138" customFormat="false" ht="15" hidden="false" customHeight="false" outlineLevel="0" collapsed="false">
      <c r="A1138" s="85" t="str">
        <f aca="false">Gov_Map!$H463&amp;""</f>
        <v>—</v>
      </c>
      <c r="B1138" s="66" t="s">
        <v>5973</v>
      </c>
      <c r="C1138" s="53" t="n">
        <v>463</v>
      </c>
      <c r="D1138" s="53" t="s">
        <v>5974</v>
      </c>
      <c r="E1138" s="53" t="s">
        <v>5974</v>
      </c>
    </row>
    <row r="1139" customFormat="false" ht="15" hidden="false" customHeight="false" outlineLevel="0" collapsed="false">
      <c r="A1139" s="85" t="str">
        <f aca="false">Gov_Map!$H464&amp;""</f>
        <v>—</v>
      </c>
      <c r="B1139" s="66" t="s">
        <v>5973</v>
      </c>
      <c r="C1139" s="53" t="n">
        <v>464</v>
      </c>
      <c r="D1139" s="53" t="s">
        <v>5974</v>
      </c>
      <c r="E1139" s="53" t="s">
        <v>5974</v>
      </c>
    </row>
    <row r="1140" customFormat="false" ht="15" hidden="false" customHeight="false" outlineLevel="0" collapsed="false">
      <c r="A1140" s="85" t="str">
        <f aca="false">Gov_Map!$H465&amp;""</f>
        <v>—</v>
      </c>
      <c r="B1140" s="66" t="s">
        <v>5973</v>
      </c>
      <c r="C1140" s="53" t="n">
        <v>465</v>
      </c>
      <c r="D1140" s="53" t="s">
        <v>5974</v>
      </c>
      <c r="E1140" s="53" t="s">
        <v>5974</v>
      </c>
    </row>
    <row r="1141" customFormat="false" ht="15" hidden="false" customHeight="false" outlineLevel="0" collapsed="false">
      <c r="A1141" s="85" t="str">
        <f aca="false">Gov_Map!$H466&amp;""</f>
        <v>—</v>
      </c>
      <c r="B1141" s="66" t="s">
        <v>5973</v>
      </c>
      <c r="C1141" s="53" t="n">
        <v>466</v>
      </c>
      <c r="D1141" s="53" t="s">
        <v>5974</v>
      </c>
      <c r="E1141" s="53" t="s">
        <v>5974</v>
      </c>
    </row>
    <row r="1142" customFormat="false" ht="15" hidden="false" customHeight="false" outlineLevel="0" collapsed="false">
      <c r="A1142" s="85" t="str">
        <f aca="false">Gov_Map!$H467&amp;""</f>
        <v>—</v>
      </c>
      <c r="B1142" s="66" t="s">
        <v>5973</v>
      </c>
      <c r="C1142" s="53" t="n">
        <v>467</v>
      </c>
      <c r="D1142" s="53" t="s">
        <v>5974</v>
      </c>
      <c r="E1142" s="53" t="s">
        <v>5974</v>
      </c>
    </row>
    <row r="1143" customFormat="false" ht="15" hidden="false" customHeight="false" outlineLevel="0" collapsed="false">
      <c r="A1143" s="85" t="str">
        <f aca="false">Gov_Map!$H468&amp;""</f>
        <v>—</v>
      </c>
      <c r="B1143" s="66" t="s">
        <v>5973</v>
      </c>
      <c r="C1143" s="53" t="n">
        <v>468</v>
      </c>
      <c r="D1143" s="53" t="s">
        <v>5974</v>
      </c>
      <c r="E1143" s="53" t="s">
        <v>5974</v>
      </c>
    </row>
    <row r="1144" customFormat="false" ht="15" hidden="false" customHeight="false" outlineLevel="0" collapsed="false">
      <c r="A1144" s="85" t="str">
        <f aca="false">Gov_Map!$H469&amp;""</f>
        <v>—</v>
      </c>
      <c r="B1144" s="66" t="s">
        <v>5973</v>
      </c>
      <c r="C1144" s="53" t="n">
        <v>469</v>
      </c>
      <c r="D1144" s="53" t="s">
        <v>5974</v>
      </c>
      <c r="E1144" s="53" t="s">
        <v>5974</v>
      </c>
    </row>
    <row r="1145" customFormat="false" ht="15" hidden="false" customHeight="false" outlineLevel="0" collapsed="false">
      <c r="A1145" s="85" t="str">
        <f aca="false">Gov_Map!$H470&amp;""</f>
        <v>—</v>
      </c>
      <c r="B1145" s="66" t="s">
        <v>5973</v>
      </c>
      <c r="C1145" s="53" t="n">
        <v>470</v>
      </c>
      <c r="D1145" s="53" t="s">
        <v>5974</v>
      </c>
      <c r="E1145" s="53" t="s">
        <v>5974</v>
      </c>
    </row>
    <row r="1146" customFormat="false" ht="15" hidden="false" customHeight="false" outlineLevel="0" collapsed="false">
      <c r="A1146" s="85" t="str">
        <f aca="false">Gov_Map!$H471&amp;""</f>
        <v>—</v>
      </c>
      <c r="B1146" s="66" t="s">
        <v>5973</v>
      </c>
      <c r="C1146" s="53" t="n">
        <v>471</v>
      </c>
      <c r="D1146" s="53" t="s">
        <v>5974</v>
      </c>
      <c r="E1146" s="53" t="s">
        <v>5974</v>
      </c>
    </row>
    <row r="1147" customFormat="false" ht="15" hidden="false" customHeight="false" outlineLevel="0" collapsed="false">
      <c r="A1147" s="85" t="str">
        <f aca="false">Gov_Map!$H472&amp;""</f>
        <v>—</v>
      </c>
      <c r="B1147" s="66" t="s">
        <v>5973</v>
      </c>
      <c r="C1147" s="53" t="n">
        <v>472</v>
      </c>
      <c r="D1147" s="53" t="s">
        <v>5974</v>
      </c>
      <c r="E1147" s="53" t="s">
        <v>5974</v>
      </c>
    </row>
    <row r="1148" customFormat="false" ht="15" hidden="false" customHeight="false" outlineLevel="0" collapsed="false">
      <c r="A1148" s="85" t="str">
        <f aca="false">Gov_Map!$H473&amp;""</f>
        <v>—</v>
      </c>
      <c r="B1148" s="66" t="s">
        <v>5973</v>
      </c>
      <c r="C1148" s="53" t="n">
        <v>473</v>
      </c>
      <c r="D1148" s="53" t="s">
        <v>5974</v>
      </c>
      <c r="E1148" s="53" t="s">
        <v>5974</v>
      </c>
    </row>
    <row r="1149" customFormat="false" ht="15" hidden="false" customHeight="false" outlineLevel="0" collapsed="false">
      <c r="A1149" s="85" t="str">
        <f aca="false">Gov_Map!$H474&amp;""</f>
        <v>—</v>
      </c>
      <c r="B1149" s="66" t="s">
        <v>5973</v>
      </c>
      <c r="C1149" s="53" t="n">
        <v>474</v>
      </c>
      <c r="D1149" s="53" t="s">
        <v>5974</v>
      </c>
      <c r="E1149" s="53" t="s">
        <v>5974</v>
      </c>
    </row>
    <row r="1150" customFormat="false" ht="15" hidden="false" customHeight="false" outlineLevel="0" collapsed="false">
      <c r="A1150" s="85" t="str">
        <f aca="false">Gov_Map!$H475&amp;""</f>
        <v>—</v>
      </c>
      <c r="B1150" s="66" t="s">
        <v>5973</v>
      </c>
      <c r="C1150" s="53" t="n">
        <v>475</v>
      </c>
      <c r="D1150" s="53" t="s">
        <v>5974</v>
      </c>
      <c r="E1150" s="53" t="s">
        <v>5974</v>
      </c>
    </row>
    <row r="1151" customFormat="false" ht="15" hidden="false" customHeight="false" outlineLevel="0" collapsed="false">
      <c r="A1151" s="85" t="str">
        <f aca="false">Gov_Map!$H476&amp;""</f>
        <v>—</v>
      </c>
      <c r="B1151" s="66" t="s">
        <v>5973</v>
      </c>
      <c r="C1151" s="53" t="n">
        <v>476</v>
      </c>
      <c r="D1151" s="53" t="s">
        <v>5974</v>
      </c>
      <c r="E1151" s="53" t="s">
        <v>5974</v>
      </c>
    </row>
    <row r="1152" customFormat="false" ht="15" hidden="false" customHeight="false" outlineLevel="0" collapsed="false">
      <c r="A1152" s="85" t="str">
        <f aca="false">Gov_Map!$H477&amp;""</f>
        <v>SRC_PRC_027</v>
      </c>
      <c r="B1152" s="66" t="s">
        <v>5973</v>
      </c>
      <c r="C1152" s="53" t="n">
        <v>477</v>
      </c>
      <c r="D1152" s="53" t="s">
        <v>5974</v>
      </c>
      <c r="E1152" s="53" t="s">
        <v>5974</v>
      </c>
    </row>
    <row r="1153" customFormat="false" ht="15" hidden="false" customHeight="false" outlineLevel="0" collapsed="false">
      <c r="A1153" s="85" t="str">
        <f aca="false">Gov_Map!$H478&amp;""</f>
        <v>—</v>
      </c>
      <c r="B1153" s="66" t="s">
        <v>5973</v>
      </c>
      <c r="C1153" s="53" t="n">
        <v>478</v>
      </c>
      <c r="D1153" s="53" t="s">
        <v>5974</v>
      </c>
      <c r="E1153" s="53" t="s">
        <v>5974</v>
      </c>
    </row>
    <row r="1154" customFormat="false" ht="15" hidden="false" customHeight="false" outlineLevel="0" collapsed="false">
      <c r="A1154" s="85" t="str">
        <f aca="false">Gov_Map!$H479&amp;""</f>
        <v>—</v>
      </c>
      <c r="B1154" s="66" t="s">
        <v>5973</v>
      </c>
      <c r="C1154" s="53" t="n">
        <v>479</v>
      </c>
      <c r="D1154" s="53" t="s">
        <v>5974</v>
      </c>
      <c r="E1154" s="53" t="s">
        <v>5974</v>
      </c>
    </row>
    <row r="1155" customFormat="false" ht="15" hidden="false" customHeight="false" outlineLevel="0" collapsed="false">
      <c r="A1155" s="85" t="str">
        <f aca="false">Gov_Map!$H480&amp;""</f>
        <v>—</v>
      </c>
      <c r="B1155" s="66" t="s">
        <v>5973</v>
      </c>
      <c r="C1155" s="53" t="n">
        <v>480</v>
      </c>
      <c r="D1155" s="53" t="s">
        <v>5974</v>
      </c>
      <c r="E1155" s="53" t="s">
        <v>5974</v>
      </c>
    </row>
    <row r="1156" customFormat="false" ht="15" hidden="false" customHeight="false" outlineLevel="0" collapsed="false">
      <c r="A1156" s="85" t="str">
        <f aca="false">Gov_Map!$H481&amp;""</f>
        <v>SRC_CAP_007</v>
      </c>
      <c r="B1156" s="66" t="s">
        <v>5973</v>
      </c>
      <c r="C1156" s="53" t="n">
        <v>481</v>
      </c>
      <c r="D1156" s="53" t="s">
        <v>5974</v>
      </c>
      <c r="E1156" s="53" t="s">
        <v>5974</v>
      </c>
    </row>
    <row r="1157" customFormat="false" ht="15" hidden="false" customHeight="false" outlineLevel="0" collapsed="false">
      <c r="A1157" s="85" t="str">
        <f aca="false">Gov_Map!$H482&amp;""</f>
        <v>SRC_CAP_006</v>
      </c>
      <c r="B1157" s="66" t="s">
        <v>5973</v>
      </c>
      <c r="C1157" s="53" t="n">
        <v>482</v>
      </c>
      <c r="D1157" s="53" t="s">
        <v>5974</v>
      </c>
      <c r="E1157" s="53" t="s">
        <v>5974</v>
      </c>
    </row>
    <row r="1158" customFormat="false" ht="15" hidden="false" customHeight="false" outlineLevel="0" collapsed="false">
      <c r="A1158" s="85" t="str">
        <f aca="false">Gov_Map!$H483&amp;""</f>
        <v>—</v>
      </c>
      <c r="B1158" s="66" t="s">
        <v>5973</v>
      </c>
      <c r="C1158" s="53" t="n">
        <v>483</v>
      </c>
      <c r="D1158" s="53" t="s">
        <v>5974</v>
      </c>
      <c r="E1158" s="53" t="s">
        <v>5974</v>
      </c>
    </row>
    <row r="1159" customFormat="false" ht="15" hidden="false" customHeight="false" outlineLevel="0" collapsed="false">
      <c r="A1159" s="85" t="str">
        <f aca="false">Gov_Map!$H484&amp;""</f>
        <v>—</v>
      </c>
      <c r="B1159" s="66" t="s">
        <v>5973</v>
      </c>
      <c r="C1159" s="53" t="n">
        <v>484</v>
      </c>
      <c r="D1159" s="53" t="s">
        <v>5974</v>
      </c>
      <c r="E1159" s="53" t="s">
        <v>5974</v>
      </c>
    </row>
    <row r="1160" customFormat="false" ht="15" hidden="false" customHeight="false" outlineLevel="0" collapsed="false">
      <c r="A1160" s="85" t="str">
        <f aca="false">Gov_Map!$H485&amp;""</f>
        <v>—</v>
      </c>
      <c r="B1160" s="66" t="s">
        <v>5973</v>
      </c>
      <c r="C1160" s="53" t="n">
        <v>485</v>
      </c>
      <c r="D1160" s="53" t="s">
        <v>5974</v>
      </c>
      <c r="E1160" s="53" t="s">
        <v>5974</v>
      </c>
    </row>
    <row r="1161" customFormat="false" ht="15" hidden="false" customHeight="false" outlineLevel="0" collapsed="false">
      <c r="A1161" s="85" t="str">
        <f aca="false">Gov_Map!$H486&amp;""</f>
        <v>—</v>
      </c>
      <c r="B1161" s="66" t="s">
        <v>5973</v>
      </c>
      <c r="C1161" s="53" t="n">
        <v>486</v>
      </c>
      <c r="D1161" s="53" t="s">
        <v>5974</v>
      </c>
      <c r="E1161" s="53" t="s">
        <v>5974</v>
      </c>
    </row>
    <row r="1162" customFormat="false" ht="15" hidden="false" customHeight="false" outlineLevel="0" collapsed="false">
      <c r="A1162" s="85" t="str">
        <f aca="false">Gov_Map!$H487&amp;""</f>
        <v>—</v>
      </c>
      <c r="B1162" s="66" t="s">
        <v>5973</v>
      </c>
      <c r="C1162" s="53" t="n">
        <v>487</v>
      </c>
      <c r="D1162" s="53" t="s">
        <v>5974</v>
      </c>
      <c r="E1162" s="53" t="s">
        <v>5974</v>
      </c>
    </row>
    <row r="1163" customFormat="false" ht="15" hidden="false" customHeight="false" outlineLevel="0" collapsed="false">
      <c r="A1163" s="85" t="str">
        <f aca="false">Gov_Map!$H488&amp;""</f>
        <v>—</v>
      </c>
      <c r="B1163" s="66" t="s">
        <v>5973</v>
      </c>
      <c r="C1163" s="53" t="n">
        <v>488</v>
      </c>
      <c r="D1163" s="53" t="s">
        <v>5974</v>
      </c>
      <c r="E1163" s="53" t="s">
        <v>5974</v>
      </c>
    </row>
    <row r="1164" customFormat="false" ht="15" hidden="false" customHeight="false" outlineLevel="0" collapsed="false">
      <c r="A1164" s="85" t="str">
        <f aca="false">Gov_Map!$H489&amp;""</f>
        <v>—</v>
      </c>
      <c r="B1164" s="66" t="s">
        <v>5973</v>
      </c>
      <c r="C1164" s="53" t="n">
        <v>489</v>
      </c>
      <c r="D1164" s="53" t="s">
        <v>5974</v>
      </c>
      <c r="E1164" s="53" t="s">
        <v>5974</v>
      </c>
    </row>
    <row r="1165" customFormat="false" ht="15" hidden="false" customHeight="false" outlineLevel="0" collapsed="false">
      <c r="A1165" s="85" t="str">
        <f aca="false">Gov_Map!$H490&amp;""</f>
        <v>—</v>
      </c>
      <c r="B1165" s="66" t="s">
        <v>5973</v>
      </c>
      <c r="C1165" s="53" t="n">
        <v>490</v>
      </c>
      <c r="D1165" s="53" t="s">
        <v>5974</v>
      </c>
      <c r="E1165" s="53" t="s">
        <v>5974</v>
      </c>
    </row>
    <row r="1166" customFormat="false" ht="15" hidden="false" customHeight="false" outlineLevel="0" collapsed="false">
      <c r="A1166" s="85" t="str">
        <f aca="false">Gov_Map!$H491&amp;""</f>
        <v>—</v>
      </c>
      <c r="B1166" s="66" t="s">
        <v>5973</v>
      </c>
      <c r="C1166" s="53" t="n">
        <v>491</v>
      </c>
      <c r="D1166" s="53" t="s">
        <v>5974</v>
      </c>
      <c r="E1166" s="53" t="s">
        <v>5974</v>
      </c>
    </row>
    <row r="1167" customFormat="false" ht="15" hidden="false" customHeight="false" outlineLevel="0" collapsed="false">
      <c r="A1167" s="85" t="str">
        <f aca="false">Gov_Map!$H492&amp;""</f>
        <v>SRC_HAR_003</v>
      </c>
      <c r="B1167" s="66" t="s">
        <v>5973</v>
      </c>
      <c r="C1167" s="53" t="n">
        <v>492</v>
      </c>
      <c r="D1167" s="53" t="s">
        <v>5974</v>
      </c>
      <c r="E1167" s="53" t="s">
        <v>5974</v>
      </c>
    </row>
    <row r="1168" customFormat="false" ht="15" hidden="false" customHeight="false" outlineLevel="0" collapsed="false">
      <c r="A1168" s="85" t="str">
        <f aca="false">Gov_Map!$H493&amp;""</f>
        <v>—</v>
      </c>
      <c r="B1168" s="66" t="s">
        <v>5973</v>
      </c>
      <c r="C1168" s="53" t="n">
        <v>493</v>
      </c>
      <c r="D1168" s="53" t="s">
        <v>5974</v>
      </c>
      <c r="E1168" s="53" t="s">
        <v>5974</v>
      </c>
    </row>
    <row r="1169" customFormat="false" ht="15" hidden="false" customHeight="false" outlineLevel="0" collapsed="false">
      <c r="A1169" s="85" t="str">
        <f aca="false">Gov_Map!$H494&amp;""</f>
        <v>—</v>
      </c>
      <c r="B1169" s="66" t="s">
        <v>5973</v>
      </c>
      <c r="C1169" s="53" t="n">
        <v>494</v>
      </c>
      <c r="D1169" s="53" t="s">
        <v>5974</v>
      </c>
      <c r="E1169" s="53" t="s">
        <v>5974</v>
      </c>
    </row>
    <row r="1170" customFormat="false" ht="15" hidden="false" customHeight="false" outlineLevel="0" collapsed="false">
      <c r="A1170" s="85" t="str">
        <f aca="false">Gov_Map!$H495&amp;""</f>
        <v>—</v>
      </c>
      <c r="B1170" s="66" t="s">
        <v>5973</v>
      </c>
      <c r="C1170" s="53" t="n">
        <v>495</v>
      </c>
      <c r="D1170" s="53" t="s">
        <v>5974</v>
      </c>
      <c r="E1170" s="53" t="s">
        <v>5974</v>
      </c>
    </row>
    <row r="1171" customFormat="false" ht="15" hidden="false" customHeight="false" outlineLevel="0" collapsed="false">
      <c r="A1171" s="85" t="str">
        <f aca="false">Gov_Map!$H496&amp;""</f>
        <v>—</v>
      </c>
      <c r="B1171" s="66" t="s">
        <v>5973</v>
      </c>
      <c r="C1171" s="53" t="n">
        <v>496</v>
      </c>
      <c r="D1171" s="53" t="s">
        <v>5974</v>
      </c>
      <c r="E1171" s="53" t="s">
        <v>5974</v>
      </c>
    </row>
    <row r="1172" customFormat="false" ht="15" hidden="false" customHeight="false" outlineLevel="0" collapsed="false">
      <c r="A1172" s="85" t="str">
        <f aca="false">Gov_Map!$H497&amp;""</f>
        <v>—</v>
      </c>
      <c r="B1172" s="66" t="s">
        <v>5973</v>
      </c>
      <c r="C1172" s="53" t="n">
        <v>497</v>
      </c>
      <c r="D1172" s="53" t="s">
        <v>5974</v>
      </c>
      <c r="E1172" s="53" t="s">
        <v>5974</v>
      </c>
    </row>
    <row r="1173" customFormat="false" ht="15" hidden="false" customHeight="false" outlineLevel="0" collapsed="false">
      <c r="A1173" s="85" t="str">
        <f aca="false">Gov_Map!$H498&amp;""</f>
        <v>—</v>
      </c>
      <c r="B1173" s="66" t="s">
        <v>5973</v>
      </c>
      <c r="C1173" s="53" t="n">
        <v>498</v>
      </c>
      <c r="D1173" s="53" t="s">
        <v>5974</v>
      </c>
      <c r="E1173" s="53" t="s">
        <v>5974</v>
      </c>
    </row>
    <row r="1174" customFormat="false" ht="15" hidden="false" customHeight="false" outlineLevel="0" collapsed="false">
      <c r="A1174" s="85" t="str">
        <f aca="false">Gov_Map!$H499&amp;""</f>
        <v>—</v>
      </c>
      <c r="B1174" s="66" t="s">
        <v>5973</v>
      </c>
      <c r="C1174" s="53" t="n">
        <v>499</v>
      </c>
      <c r="D1174" s="53" t="s">
        <v>5974</v>
      </c>
      <c r="E1174" s="53" t="s">
        <v>5974</v>
      </c>
    </row>
    <row r="1175" customFormat="false" ht="15" hidden="false" customHeight="false" outlineLevel="0" collapsed="false">
      <c r="A1175" s="85" t="str">
        <f aca="false">Gov_Map!$H500&amp;""</f>
        <v>—</v>
      </c>
      <c r="B1175" s="66" t="s">
        <v>5973</v>
      </c>
      <c r="C1175" s="53" t="n">
        <v>500</v>
      </c>
      <c r="D1175" s="53" t="s">
        <v>5974</v>
      </c>
      <c r="E1175" s="53" t="s">
        <v>5974</v>
      </c>
    </row>
    <row r="1176" customFormat="false" ht="15" hidden="false" customHeight="false" outlineLevel="0" collapsed="false">
      <c r="A1176" s="85" t="str">
        <f aca="false">Gov_Map!$H501&amp;""</f>
        <v>—</v>
      </c>
      <c r="B1176" s="66" t="s">
        <v>5973</v>
      </c>
      <c r="C1176" s="53" t="n">
        <v>501</v>
      </c>
      <c r="D1176" s="53" t="s">
        <v>5974</v>
      </c>
      <c r="E1176" s="53" t="s">
        <v>5974</v>
      </c>
    </row>
    <row r="1177" customFormat="false" ht="15" hidden="false" customHeight="false" outlineLevel="0" collapsed="false">
      <c r="A1177" s="85" t="str">
        <f aca="false">Gov_Map!$H502&amp;""</f>
        <v>SRC_HAR_002</v>
      </c>
      <c r="B1177" s="66" t="s">
        <v>5973</v>
      </c>
      <c r="C1177" s="53" t="n">
        <v>502</v>
      </c>
      <c r="D1177" s="53" t="s">
        <v>5974</v>
      </c>
      <c r="E1177" s="53" t="s">
        <v>5974</v>
      </c>
    </row>
    <row r="1178" customFormat="false" ht="15" hidden="false" customHeight="false" outlineLevel="0" collapsed="false">
      <c r="A1178" s="85" t="str">
        <f aca="false">Gov_Map!$H503&amp;""</f>
        <v>SRC_CAP_020</v>
      </c>
      <c r="B1178" s="66" t="s">
        <v>5973</v>
      </c>
      <c r="C1178" s="53" t="n">
        <v>503</v>
      </c>
      <c r="D1178" s="53" t="s">
        <v>5974</v>
      </c>
      <c r="E1178" s="53" t="s">
        <v>5974</v>
      </c>
    </row>
    <row r="1179" customFormat="false" ht="15" hidden="false" customHeight="false" outlineLevel="0" collapsed="false">
      <c r="A1179" s="85" t="str">
        <f aca="false">Gov_Map!$H504&amp;""</f>
        <v>SRC_CAP_020</v>
      </c>
      <c r="B1179" s="66" t="s">
        <v>5973</v>
      </c>
      <c r="C1179" s="53" t="n">
        <v>504</v>
      </c>
      <c r="D1179" s="53" t="s">
        <v>5974</v>
      </c>
      <c r="E1179" s="53" t="s">
        <v>5974</v>
      </c>
    </row>
    <row r="1180" customFormat="false" ht="15" hidden="false" customHeight="false" outlineLevel="0" collapsed="false">
      <c r="A1180" s="85" t="str">
        <f aca="false">Gov_Map!$H505&amp;""</f>
        <v>SRC_CAP_021</v>
      </c>
      <c r="B1180" s="66" t="s">
        <v>5973</v>
      </c>
      <c r="C1180" s="53" t="n">
        <v>505</v>
      </c>
      <c r="D1180" s="53" t="s">
        <v>5974</v>
      </c>
      <c r="E1180" s="53" t="s">
        <v>5974</v>
      </c>
    </row>
    <row r="1181" customFormat="false" ht="15" hidden="false" customHeight="false" outlineLevel="0" collapsed="false">
      <c r="A1181" s="85" t="str">
        <f aca="false">Gov_Map!$H506&amp;""</f>
        <v>SRC_CAP_012</v>
      </c>
      <c r="B1181" s="66" t="s">
        <v>5973</v>
      </c>
      <c r="C1181" s="53" t="n">
        <v>506</v>
      </c>
      <c r="D1181" s="53" t="s">
        <v>5974</v>
      </c>
      <c r="E1181" s="53" t="s">
        <v>5974</v>
      </c>
    </row>
    <row r="1182" customFormat="false" ht="15" hidden="false" customHeight="false" outlineLevel="0" collapsed="false">
      <c r="A1182" s="85" t="str">
        <f aca="false">Gov_Map!$H507&amp;""</f>
        <v>SRC_CAP_012</v>
      </c>
      <c r="B1182" s="66" t="s">
        <v>5973</v>
      </c>
      <c r="C1182" s="53" t="n">
        <v>507</v>
      </c>
      <c r="D1182" s="53" t="s">
        <v>5974</v>
      </c>
      <c r="E1182" s="53" t="s">
        <v>5974</v>
      </c>
    </row>
    <row r="1183" customFormat="false" ht="15" hidden="false" customHeight="false" outlineLevel="0" collapsed="false">
      <c r="A1183" s="85" t="str">
        <f aca="false">Gov_Map!$H508&amp;""</f>
        <v>—</v>
      </c>
      <c r="B1183" s="66" t="s">
        <v>5973</v>
      </c>
      <c r="C1183" s="53" t="n">
        <v>508</v>
      </c>
      <c r="D1183" s="53" t="s">
        <v>5974</v>
      </c>
      <c r="E1183" s="53" t="s">
        <v>5974</v>
      </c>
    </row>
    <row r="1184" customFormat="false" ht="15" hidden="false" customHeight="false" outlineLevel="0" collapsed="false">
      <c r="A1184" s="85" t="str">
        <f aca="false">Gov_Map!$H509&amp;""</f>
        <v>—</v>
      </c>
      <c r="B1184" s="66" t="s">
        <v>5973</v>
      </c>
      <c r="C1184" s="53" t="n">
        <v>509</v>
      </c>
      <c r="D1184" s="53" t="s">
        <v>5974</v>
      </c>
      <c r="E1184" s="53" t="s">
        <v>5974</v>
      </c>
    </row>
    <row r="1185" customFormat="false" ht="15" hidden="false" customHeight="false" outlineLevel="0" collapsed="false">
      <c r="A1185" s="85" t="str">
        <f aca="false">Gov_Map!$H510&amp;""</f>
        <v>—</v>
      </c>
      <c r="B1185" s="66" t="s">
        <v>5973</v>
      </c>
      <c r="C1185" s="53" t="n">
        <v>510</v>
      </c>
      <c r="D1185" s="53" t="s">
        <v>5974</v>
      </c>
      <c r="E1185" s="53" t="s">
        <v>5974</v>
      </c>
    </row>
    <row r="1186" customFormat="false" ht="15" hidden="false" customHeight="false" outlineLevel="0" collapsed="false">
      <c r="A1186" s="85" t="str">
        <f aca="false">Gov_Map!$H511&amp;""</f>
        <v>—</v>
      </c>
      <c r="B1186" s="66" t="s">
        <v>5973</v>
      </c>
      <c r="C1186" s="53" t="n">
        <v>511</v>
      </c>
      <c r="D1186" s="53" t="s">
        <v>5974</v>
      </c>
      <c r="E1186" s="53" t="s">
        <v>5974</v>
      </c>
    </row>
    <row r="1187" customFormat="false" ht="15" hidden="false" customHeight="false" outlineLevel="0" collapsed="false">
      <c r="A1187" s="85" t="str">
        <f aca="false">Gov_Map!$H512&amp;""</f>
        <v>SRC_HW_037</v>
      </c>
      <c r="B1187" s="66" t="s">
        <v>5973</v>
      </c>
      <c r="C1187" s="53" t="n">
        <v>512</v>
      </c>
      <c r="D1187" s="53" t="s">
        <v>5974</v>
      </c>
      <c r="E1187" s="53" t="s">
        <v>5974</v>
      </c>
    </row>
    <row r="1188" customFormat="false" ht="15" hidden="false" customHeight="false" outlineLevel="0" collapsed="false">
      <c r="A1188" s="85" t="str">
        <f aca="false">Gov_Map!$H513&amp;""</f>
        <v>—</v>
      </c>
      <c r="B1188" s="66" t="s">
        <v>5973</v>
      </c>
      <c r="C1188" s="53" t="n">
        <v>513</v>
      </c>
      <c r="D1188" s="53" t="s">
        <v>5974</v>
      </c>
      <c r="E1188" s="53" t="s">
        <v>5974</v>
      </c>
    </row>
    <row r="1189" customFormat="false" ht="15" hidden="false" customHeight="false" outlineLevel="0" collapsed="false">
      <c r="A1189" s="85" t="str">
        <f aca="false">Gov_Map!$H514&amp;""</f>
        <v>—</v>
      </c>
      <c r="B1189" s="66" t="s">
        <v>5973</v>
      </c>
      <c r="C1189" s="53" t="n">
        <v>514</v>
      </c>
      <c r="D1189" s="53" t="s">
        <v>5974</v>
      </c>
      <c r="E1189" s="53" t="s">
        <v>5974</v>
      </c>
    </row>
    <row r="1190" customFormat="false" ht="15" hidden="false" customHeight="false" outlineLevel="0" collapsed="false">
      <c r="A1190" s="85" t="str">
        <f aca="false">Gov_Map!$H515&amp;""</f>
        <v>SRC_MOD_046</v>
      </c>
      <c r="B1190" s="66" t="s">
        <v>5973</v>
      </c>
      <c r="C1190" s="53" t="n">
        <v>515</v>
      </c>
      <c r="D1190" s="53" t="s">
        <v>5974</v>
      </c>
      <c r="E1190" s="53" t="s">
        <v>5974</v>
      </c>
    </row>
    <row r="1191" customFormat="false" ht="15" hidden="false" customHeight="false" outlineLevel="0" collapsed="false">
      <c r="A1191" s="85" t="str">
        <f aca="false">Gov_Map!$H516&amp;""</f>
        <v>—</v>
      </c>
      <c r="B1191" s="66" t="s">
        <v>5973</v>
      </c>
      <c r="C1191" s="53" t="n">
        <v>516</v>
      </c>
      <c r="D1191" s="53" t="s">
        <v>5974</v>
      </c>
      <c r="E1191" s="53" t="s">
        <v>5974</v>
      </c>
    </row>
    <row r="1192" customFormat="false" ht="15" hidden="false" customHeight="false" outlineLevel="0" collapsed="false">
      <c r="A1192" s="85" t="str">
        <f aca="false">Gov_Map!$H517&amp;""</f>
        <v>—</v>
      </c>
      <c r="B1192" s="66" t="s">
        <v>5973</v>
      </c>
      <c r="C1192" s="53" t="n">
        <v>517</v>
      </c>
      <c r="D1192" s="53" t="s">
        <v>5974</v>
      </c>
      <c r="E1192" s="53" t="s">
        <v>5974</v>
      </c>
    </row>
    <row r="1193" customFormat="false" ht="15" hidden="false" customHeight="false" outlineLevel="0" collapsed="false">
      <c r="A1193" s="85" t="str">
        <f aca="false">Gov_Map!$H518&amp;""</f>
        <v>—</v>
      </c>
      <c r="B1193" s="66" t="s">
        <v>5973</v>
      </c>
      <c r="C1193" s="53" t="n">
        <v>518</v>
      </c>
      <c r="D1193" s="53" t="s">
        <v>5974</v>
      </c>
      <c r="E1193" s="53" t="s">
        <v>5974</v>
      </c>
    </row>
    <row r="1194" customFormat="false" ht="15" hidden="false" customHeight="false" outlineLevel="0" collapsed="false">
      <c r="A1194" s="85" t="str">
        <f aca="false">Gov_Map!$H519&amp;""</f>
        <v>—</v>
      </c>
      <c r="B1194" s="66" t="s">
        <v>5973</v>
      </c>
      <c r="C1194" s="53" t="n">
        <v>519</v>
      </c>
      <c r="D1194" s="53" t="s">
        <v>5974</v>
      </c>
      <c r="E1194" s="53" t="s">
        <v>5974</v>
      </c>
    </row>
    <row r="1195" customFormat="false" ht="15" hidden="false" customHeight="false" outlineLevel="0" collapsed="false">
      <c r="A1195" s="85" t="str">
        <f aca="false">Gov_Map!$H520&amp;""</f>
        <v>—</v>
      </c>
      <c r="B1195" s="66" t="s">
        <v>5973</v>
      </c>
      <c r="C1195" s="53" t="n">
        <v>520</v>
      </c>
      <c r="D1195" s="53" t="s">
        <v>5974</v>
      </c>
      <c r="E1195" s="53" t="s">
        <v>5974</v>
      </c>
    </row>
    <row r="1196" customFormat="false" ht="15" hidden="false" customHeight="false" outlineLevel="0" collapsed="false">
      <c r="A1196" s="85" t="str">
        <f aca="false">Gov_Map!$H521&amp;""</f>
        <v>—</v>
      </c>
      <c r="B1196" s="66" t="s">
        <v>5973</v>
      </c>
      <c r="C1196" s="53" t="n">
        <v>521</v>
      </c>
      <c r="D1196" s="53" t="s">
        <v>5974</v>
      </c>
      <c r="E1196" s="53" t="s">
        <v>5974</v>
      </c>
    </row>
    <row r="1197" customFormat="false" ht="15" hidden="false" customHeight="false" outlineLevel="0" collapsed="false">
      <c r="A1197" s="85" t="str">
        <f aca="false">Gov_Map!$H522&amp;""</f>
        <v>—</v>
      </c>
      <c r="B1197" s="66" t="s">
        <v>5973</v>
      </c>
      <c r="C1197" s="53" t="n">
        <v>522</v>
      </c>
      <c r="D1197" s="53" t="s">
        <v>5974</v>
      </c>
      <c r="E1197" s="53" t="s">
        <v>5974</v>
      </c>
    </row>
    <row r="1198" customFormat="false" ht="15" hidden="false" customHeight="false" outlineLevel="0" collapsed="false">
      <c r="A1198" s="85" t="str">
        <f aca="false">Gov_Map!$H523&amp;""</f>
        <v>SRC_PERF_036</v>
      </c>
      <c r="B1198" s="66" t="s">
        <v>5973</v>
      </c>
      <c r="C1198" s="53" t="n">
        <v>523</v>
      </c>
      <c r="D1198" s="53" t="s">
        <v>5974</v>
      </c>
      <c r="E1198" s="53" t="s">
        <v>5974</v>
      </c>
    </row>
    <row r="1199" customFormat="false" ht="15" hidden="false" customHeight="false" outlineLevel="0" collapsed="false">
      <c r="A1199" s="85" t="str">
        <f aca="false">Gov_Map!$H524&amp;""</f>
        <v>SRC_PERF_037</v>
      </c>
      <c r="B1199" s="66" t="s">
        <v>5973</v>
      </c>
      <c r="C1199" s="53" t="n">
        <v>524</v>
      </c>
      <c r="D1199" s="53" t="s">
        <v>5974</v>
      </c>
      <c r="E1199" s="53" t="s">
        <v>5974</v>
      </c>
    </row>
    <row r="1200" customFormat="false" ht="15" hidden="false" customHeight="false" outlineLevel="0" collapsed="false">
      <c r="A1200" s="85" t="str">
        <f aca="false">Gov_Map!$H525&amp;""</f>
        <v>—</v>
      </c>
      <c r="B1200" s="66" t="s">
        <v>5973</v>
      </c>
      <c r="C1200" s="53" t="n">
        <v>525</v>
      </c>
      <c r="D1200" s="53" t="s">
        <v>5974</v>
      </c>
      <c r="E1200" s="53" t="s">
        <v>5974</v>
      </c>
    </row>
    <row r="1201" customFormat="false" ht="15" hidden="false" customHeight="false" outlineLevel="0" collapsed="false">
      <c r="A1201" s="85" t="str">
        <f aca="false">Gov_Map!$H526&amp;""</f>
        <v>—</v>
      </c>
      <c r="B1201" s="66" t="s">
        <v>5973</v>
      </c>
      <c r="C1201" s="53" t="n">
        <v>526</v>
      </c>
      <c r="D1201" s="53" t="s">
        <v>5974</v>
      </c>
      <c r="E1201" s="53" t="s">
        <v>5974</v>
      </c>
    </row>
    <row r="1202" customFormat="false" ht="15" hidden="false" customHeight="false" outlineLevel="0" collapsed="false">
      <c r="A1202" s="85" t="str">
        <f aca="false">Gov_Map!$H527&amp;""</f>
        <v>—</v>
      </c>
      <c r="B1202" s="66" t="s">
        <v>5973</v>
      </c>
      <c r="C1202" s="53" t="n">
        <v>527</v>
      </c>
      <c r="D1202" s="53" t="s">
        <v>5974</v>
      </c>
      <c r="E1202" s="53" t="s">
        <v>5974</v>
      </c>
    </row>
    <row r="1203" customFormat="false" ht="15" hidden="false" customHeight="false" outlineLevel="0" collapsed="false">
      <c r="A1203" s="85" t="str">
        <f aca="false">Gov_Map!$H528&amp;""</f>
        <v>SRC_MOD_046</v>
      </c>
      <c r="B1203" s="66" t="s">
        <v>5973</v>
      </c>
      <c r="C1203" s="53" t="n">
        <v>528</v>
      </c>
      <c r="D1203" s="53" t="s">
        <v>5974</v>
      </c>
      <c r="E1203" s="53" t="s">
        <v>5974</v>
      </c>
    </row>
    <row r="1204" customFormat="false" ht="15" hidden="false" customHeight="false" outlineLevel="0" collapsed="false">
      <c r="A1204" s="85" t="str">
        <f aca="false">Gov_Map!$H529&amp;""</f>
        <v>—</v>
      </c>
      <c r="B1204" s="66" t="s">
        <v>5973</v>
      </c>
      <c r="C1204" s="53" t="n">
        <v>529</v>
      </c>
      <c r="D1204" s="53" t="s">
        <v>5974</v>
      </c>
      <c r="E1204" s="53" t="s">
        <v>5974</v>
      </c>
    </row>
    <row r="1205" customFormat="false" ht="15" hidden="false" customHeight="false" outlineLevel="0" collapsed="false">
      <c r="A1205" s="85" t="str">
        <f aca="false">Gov_Map!$H530&amp;""</f>
        <v>SRC_DEM_001</v>
      </c>
      <c r="B1205" s="66" t="s">
        <v>5973</v>
      </c>
      <c r="C1205" s="53" t="n">
        <v>530</v>
      </c>
      <c r="D1205" s="53" t="s">
        <v>5974</v>
      </c>
      <c r="E1205" s="53" t="s">
        <v>5974</v>
      </c>
    </row>
    <row r="1206" customFormat="false" ht="15" hidden="false" customHeight="false" outlineLevel="0" collapsed="false">
      <c r="A1206" s="85" t="str">
        <f aca="false">Gov_Map!$H531&amp;""</f>
        <v>—</v>
      </c>
      <c r="B1206" s="66" t="s">
        <v>5973</v>
      </c>
      <c r="C1206" s="53" t="n">
        <v>531</v>
      </c>
      <c r="D1206" s="53" t="s">
        <v>5974</v>
      </c>
      <c r="E1206" s="53" t="s">
        <v>5974</v>
      </c>
    </row>
    <row r="1207" customFormat="false" ht="15" hidden="false" customHeight="false" outlineLevel="0" collapsed="false">
      <c r="A1207" s="85" t="str">
        <f aca="false">Gov_Map!$H532&amp;""</f>
        <v>—</v>
      </c>
      <c r="B1207" s="66" t="s">
        <v>5973</v>
      </c>
      <c r="C1207" s="53" t="n">
        <v>532</v>
      </c>
      <c r="D1207" s="53" t="s">
        <v>5974</v>
      </c>
      <c r="E1207" s="53" t="s">
        <v>5974</v>
      </c>
    </row>
    <row r="1208" customFormat="false" ht="15" hidden="false" customHeight="false" outlineLevel="0" collapsed="false">
      <c r="A1208" s="85" t="str">
        <f aca="false">Gov_Map!$H533&amp;""</f>
        <v>—</v>
      </c>
      <c r="B1208" s="66" t="s">
        <v>5973</v>
      </c>
      <c r="C1208" s="53" t="n">
        <v>533</v>
      </c>
      <c r="D1208" s="53" t="s">
        <v>5974</v>
      </c>
      <c r="E1208" s="53" t="s">
        <v>5974</v>
      </c>
    </row>
    <row r="1209" customFormat="false" ht="15" hidden="false" customHeight="false" outlineLevel="0" collapsed="false">
      <c r="A1209" s="85" t="str">
        <f aca="false">Gov_Map!$H534&amp;""</f>
        <v>—</v>
      </c>
      <c r="B1209" s="66" t="s">
        <v>5973</v>
      </c>
      <c r="C1209" s="53" t="n">
        <v>534</v>
      </c>
      <c r="D1209" s="53" t="s">
        <v>5974</v>
      </c>
      <c r="E1209" s="53" t="s">
        <v>5974</v>
      </c>
    </row>
    <row r="1210" customFormat="false" ht="15" hidden="false" customHeight="false" outlineLevel="0" collapsed="false">
      <c r="A1210" s="85" t="str">
        <f aca="false">Gov_Map!$H535&amp;""</f>
        <v>—</v>
      </c>
      <c r="B1210" s="66" t="s">
        <v>5973</v>
      </c>
      <c r="C1210" s="53" t="n">
        <v>535</v>
      </c>
      <c r="D1210" s="53" t="s">
        <v>5974</v>
      </c>
      <c r="E1210" s="53" t="s">
        <v>5974</v>
      </c>
    </row>
    <row r="1211" customFormat="false" ht="15" hidden="false" customHeight="false" outlineLevel="0" collapsed="false">
      <c r="A1211" s="85" t="str">
        <f aca="false">Gov_Map!$H536&amp;""</f>
        <v>SRC_MOD_031</v>
      </c>
      <c r="B1211" s="66" t="s">
        <v>5973</v>
      </c>
      <c r="C1211" s="53" t="n">
        <v>536</v>
      </c>
      <c r="D1211" s="53" t="s">
        <v>5974</v>
      </c>
      <c r="E1211" s="53" t="s">
        <v>5974</v>
      </c>
    </row>
    <row r="1212" customFormat="false" ht="15" hidden="false" customHeight="false" outlineLevel="0" collapsed="false">
      <c r="A1212" s="85" t="str">
        <f aca="false">Gov_Map!$H537&amp;""</f>
        <v>—</v>
      </c>
      <c r="B1212" s="66" t="s">
        <v>5973</v>
      </c>
      <c r="C1212" s="53" t="n">
        <v>537</v>
      </c>
      <c r="D1212" s="53" t="s">
        <v>5974</v>
      </c>
      <c r="E1212" s="53" t="s">
        <v>5974</v>
      </c>
    </row>
    <row r="1213" customFormat="false" ht="15" hidden="false" customHeight="false" outlineLevel="0" collapsed="false">
      <c r="A1213" s="85" t="str">
        <f aca="false">Gov_Map!$H538&amp;""</f>
        <v>—</v>
      </c>
      <c r="B1213" s="66" t="s">
        <v>5973</v>
      </c>
      <c r="C1213" s="53" t="n">
        <v>538</v>
      </c>
      <c r="D1213" s="53" t="s">
        <v>5974</v>
      </c>
      <c r="E1213" s="53" t="s">
        <v>5974</v>
      </c>
    </row>
    <row r="1214" customFormat="false" ht="15" hidden="false" customHeight="false" outlineLevel="0" collapsed="false">
      <c r="A1214" s="85" t="str">
        <f aca="false">Gov_Map!$H539&amp;""</f>
        <v>—</v>
      </c>
      <c r="B1214" s="66" t="s">
        <v>5973</v>
      </c>
      <c r="C1214" s="53" t="n">
        <v>539</v>
      </c>
      <c r="D1214" s="53" t="s">
        <v>5974</v>
      </c>
      <c r="E1214" s="53" t="s">
        <v>5974</v>
      </c>
    </row>
    <row r="1215" customFormat="false" ht="15" hidden="false" customHeight="false" outlineLevel="0" collapsed="false">
      <c r="A1215" s="85" t="str">
        <f aca="false">Gov_Map!$H540&amp;""</f>
        <v>—</v>
      </c>
      <c r="B1215" s="66" t="s">
        <v>5973</v>
      </c>
      <c r="C1215" s="53" t="n">
        <v>540</v>
      </c>
      <c r="D1215" s="53" t="s">
        <v>5974</v>
      </c>
      <c r="E1215" s="53" t="s">
        <v>5974</v>
      </c>
    </row>
    <row r="1216" customFormat="false" ht="15" hidden="false" customHeight="false" outlineLevel="0" collapsed="false">
      <c r="A1216" s="85" t="str">
        <f aca="false">Gov_Map!$H541&amp;""</f>
        <v>—</v>
      </c>
      <c r="B1216" s="66" t="s">
        <v>5973</v>
      </c>
      <c r="C1216" s="53" t="n">
        <v>541</v>
      </c>
      <c r="D1216" s="53" t="s">
        <v>5974</v>
      </c>
      <c r="E1216" s="53" t="s">
        <v>5974</v>
      </c>
    </row>
    <row r="1217" customFormat="false" ht="15" hidden="false" customHeight="false" outlineLevel="0" collapsed="false">
      <c r="A1217" s="85" t="str">
        <f aca="false">Gov_Map!$H542&amp;""</f>
        <v>—</v>
      </c>
      <c r="B1217" s="66" t="s">
        <v>5973</v>
      </c>
      <c r="C1217" s="53" t="n">
        <v>542</v>
      </c>
      <c r="D1217" s="53" t="s">
        <v>5974</v>
      </c>
      <c r="E1217" s="53" t="s">
        <v>5974</v>
      </c>
    </row>
    <row r="1218" customFormat="false" ht="15" hidden="false" customHeight="false" outlineLevel="0" collapsed="false">
      <c r="A1218" s="85" t="str">
        <f aca="false">Gov_Map!$H543&amp;""</f>
        <v>—</v>
      </c>
      <c r="B1218" s="66" t="s">
        <v>5973</v>
      </c>
      <c r="C1218" s="53" t="n">
        <v>543</v>
      </c>
      <c r="D1218" s="53" t="s">
        <v>5974</v>
      </c>
      <c r="E1218" s="53" t="s">
        <v>5974</v>
      </c>
    </row>
    <row r="1219" customFormat="false" ht="15" hidden="false" customHeight="false" outlineLevel="0" collapsed="false">
      <c r="A1219" s="85" t="str">
        <f aca="false">Gov_Map!$H544&amp;""</f>
        <v>—</v>
      </c>
      <c r="B1219" s="66" t="s">
        <v>5973</v>
      </c>
      <c r="C1219" s="53" t="n">
        <v>544</v>
      </c>
      <c r="D1219" s="53" t="s">
        <v>5974</v>
      </c>
      <c r="E1219" s="53" t="s">
        <v>5974</v>
      </c>
    </row>
    <row r="1220" customFormat="false" ht="15" hidden="false" customHeight="false" outlineLevel="0" collapsed="false">
      <c r="A1220" s="85" t="str">
        <f aca="false">Gov_Map!$H545&amp;""</f>
        <v>—</v>
      </c>
      <c r="B1220" s="66" t="s">
        <v>5973</v>
      </c>
      <c r="C1220" s="53" t="n">
        <v>545</v>
      </c>
      <c r="D1220" s="53" t="s">
        <v>5974</v>
      </c>
      <c r="E1220" s="53" t="s">
        <v>5974</v>
      </c>
    </row>
    <row r="1221" customFormat="false" ht="15" hidden="false" customHeight="false" outlineLevel="0" collapsed="false">
      <c r="A1221" s="85" t="str">
        <f aca="false">Gov_Map!$H546&amp;""</f>
        <v>—</v>
      </c>
      <c r="B1221" s="66" t="s">
        <v>5973</v>
      </c>
      <c r="C1221" s="53" t="n">
        <v>546</v>
      </c>
      <c r="D1221" s="53" t="s">
        <v>5974</v>
      </c>
      <c r="E1221" s="53" t="s">
        <v>5974</v>
      </c>
    </row>
    <row r="1222" customFormat="false" ht="15" hidden="false" customHeight="false" outlineLevel="0" collapsed="false">
      <c r="A1222" s="85" t="str">
        <f aca="false">Gov_Map!$H547&amp;""</f>
        <v>—</v>
      </c>
      <c r="B1222" s="66" t="s">
        <v>5973</v>
      </c>
      <c r="C1222" s="53" t="n">
        <v>547</v>
      </c>
      <c r="D1222" s="53" t="s">
        <v>5974</v>
      </c>
      <c r="E1222" s="53" t="s">
        <v>5974</v>
      </c>
    </row>
    <row r="1223" customFormat="false" ht="15" hidden="false" customHeight="false" outlineLevel="0" collapsed="false">
      <c r="A1223" s="85" t="str">
        <f aca="false">Gov_Map!$H548&amp;""</f>
        <v>—</v>
      </c>
      <c r="B1223" s="66" t="s">
        <v>5973</v>
      </c>
      <c r="C1223" s="53" t="n">
        <v>548</v>
      </c>
      <c r="D1223" s="53" t="s">
        <v>5974</v>
      </c>
      <c r="E1223" s="53" t="s">
        <v>5974</v>
      </c>
    </row>
    <row r="1224" customFormat="false" ht="15" hidden="false" customHeight="false" outlineLevel="0" collapsed="false">
      <c r="A1224" s="85" t="str">
        <f aca="false">Gov_Map!$H549&amp;""</f>
        <v>SRC_MOD_034</v>
      </c>
      <c r="B1224" s="66" t="s">
        <v>5973</v>
      </c>
      <c r="C1224" s="53" t="n">
        <v>549</v>
      </c>
      <c r="D1224" s="53" t="s">
        <v>5974</v>
      </c>
      <c r="E1224" s="53" t="s">
        <v>5974</v>
      </c>
    </row>
    <row r="1225" customFormat="false" ht="15" hidden="false" customHeight="false" outlineLevel="0" collapsed="false">
      <c r="A1225" s="85" t="str">
        <f aca="false">Gov_Map!$H550&amp;""</f>
        <v>SRC_MOD_033</v>
      </c>
      <c r="B1225" s="66" t="s">
        <v>5973</v>
      </c>
      <c r="C1225" s="53" t="n">
        <v>550</v>
      </c>
      <c r="D1225" s="53" t="s">
        <v>5974</v>
      </c>
      <c r="E1225" s="53" t="s">
        <v>5974</v>
      </c>
    </row>
    <row r="1226" customFormat="false" ht="15" hidden="false" customHeight="false" outlineLevel="0" collapsed="false">
      <c r="A1226" s="85" t="str">
        <f aca="false">Gov_Map!$H551&amp;""</f>
        <v>SRC_MOD_033</v>
      </c>
      <c r="B1226" s="66" t="s">
        <v>5973</v>
      </c>
      <c r="C1226" s="53" t="n">
        <v>551</v>
      </c>
      <c r="D1226" s="53" t="s">
        <v>5974</v>
      </c>
      <c r="E1226" s="53" t="s">
        <v>5974</v>
      </c>
    </row>
    <row r="1227" customFormat="false" ht="15" hidden="false" customHeight="false" outlineLevel="0" collapsed="false">
      <c r="A1227" s="85" t="str">
        <f aca="false">Gov_Map!$H552&amp;""</f>
        <v>SRC_MOD_033</v>
      </c>
      <c r="B1227" s="66" t="s">
        <v>5973</v>
      </c>
      <c r="C1227" s="53" t="n">
        <v>552</v>
      </c>
      <c r="D1227" s="53" t="s">
        <v>5974</v>
      </c>
      <c r="E1227" s="53" t="s">
        <v>5974</v>
      </c>
    </row>
    <row r="1228" customFormat="false" ht="15" hidden="false" customHeight="false" outlineLevel="0" collapsed="false">
      <c r="A1228" s="85" t="str">
        <f aca="false">Gov_Map!$H553&amp;""</f>
        <v>—</v>
      </c>
      <c r="B1228" s="66" t="s">
        <v>5973</v>
      </c>
      <c r="C1228" s="53" t="n">
        <v>553</v>
      </c>
      <c r="D1228" s="53" t="s">
        <v>5974</v>
      </c>
      <c r="E1228" s="53" t="s">
        <v>5974</v>
      </c>
    </row>
    <row r="1229" customFormat="false" ht="15" hidden="false" customHeight="false" outlineLevel="0" collapsed="false">
      <c r="A1229" s="85" t="str">
        <f aca="false">Gov_Map!$H554&amp;""</f>
        <v>—</v>
      </c>
      <c r="B1229" s="66" t="s">
        <v>5973</v>
      </c>
      <c r="C1229" s="53" t="n">
        <v>554</v>
      </c>
      <c r="D1229" s="53" t="s">
        <v>5974</v>
      </c>
      <c r="E1229" s="53" t="s">
        <v>5974</v>
      </c>
    </row>
    <row r="1230" customFormat="false" ht="15" hidden="false" customHeight="false" outlineLevel="0" collapsed="false">
      <c r="A1230" s="85" t="str">
        <f aca="false">Gov_Map!$H555&amp;""</f>
        <v>—</v>
      </c>
      <c r="B1230" s="66" t="s">
        <v>5973</v>
      </c>
      <c r="C1230" s="53" t="n">
        <v>555</v>
      </c>
      <c r="D1230" s="53" t="s">
        <v>5974</v>
      </c>
      <c r="E1230" s="53" t="s">
        <v>5974</v>
      </c>
    </row>
    <row r="1231" customFormat="false" ht="15" hidden="false" customHeight="false" outlineLevel="0" collapsed="false">
      <c r="A1231" s="85" t="str">
        <f aca="false">Gov_Map!$H556&amp;""</f>
        <v>—</v>
      </c>
      <c r="B1231" s="66" t="s">
        <v>5973</v>
      </c>
      <c r="C1231" s="53" t="n">
        <v>556</v>
      </c>
      <c r="D1231" s="53" t="s">
        <v>5974</v>
      </c>
      <c r="E1231" s="53" t="s">
        <v>5974</v>
      </c>
    </row>
    <row r="1232" customFormat="false" ht="15" hidden="false" customHeight="false" outlineLevel="0" collapsed="false">
      <c r="A1232" s="85" t="str">
        <f aca="false">Gov_Map!$H557&amp;""</f>
        <v>—</v>
      </c>
      <c r="B1232" s="66" t="s">
        <v>5973</v>
      </c>
      <c r="C1232" s="53" t="n">
        <v>557</v>
      </c>
      <c r="D1232" s="53" t="s">
        <v>5974</v>
      </c>
      <c r="E1232" s="53" t="s">
        <v>5974</v>
      </c>
    </row>
    <row r="1233" customFormat="false" ht="15" hidden="false" customHeight="false" outlineLevel="0" collapsed="false">
      <c r="A1233" s="85" t="str">
        <f aca="false">Gov_Map!$H558&amp;""</f>
        <v>—</v>
      </c>
      <c r="B1233" s="66" t="s">
        <v>5973</v>
      </c>
      <c r="C1233" s="53" t="n">
        <v>558</v>
      </c>
      <c r="D1233" s="53" t="s">
        <v>5974</v>
      </c>
      <c r="E1233" s="53" t="s">
        <v>5974</v>
      </c>
    </row>
    <row r="1234" customFormat="false" ht="15" hidden="false" customHeight="false" outlineLevel="0" collapsed="false">
      <c r="A1234" s="85" t="str">
        <f aca="false">Gov_Map!$H559&amp;""</f>
        <v>—</v>
      </c>
      <c r="B1234" s="66" t="s">
        <v>5973</v>
      </c>
      <c r="C1234" s="53" t="n">
        <v>559</v>
      </c>
      <c r="D1234" s="53" t="s">
        <v>5974</v>
      </c>
      <c r="E1234" s="53" t="s">
        <v>5974</v>
      </c>
    </row>
    <row r="1235" customFormat="false" ht="15" hidden="false" customHeight="false" outlineLevel="0" collapsed="false">
      <c r="A1235" s="85" t="str">
        <f aca="false">Gov_Map!$H560&amp;""</f>
        <v>—</v>
      </c>
      <c r="B1235" s="66" t="s">
        <v>5973</v>
      </c>
      <c r="C1235" s="53" t="n">
        <v>560</v>
      </c>
      <c r="D1235" s="53" t="s">
        <v>5974</v>
      </c>
      <c r="E1235" s="53" t="s">
        <v>5974</v>
      </c>
    </row>
    <row r="1236" customFormat="false" ht="15" hidden="false" customHeight="false" outlineLevel="0" collapsed="false">
      <c r="A1236" s="85" t="str">
        <f aca="false">Gov_Map!$H561&amp;""</f>
        <v>—</v>
      </c>
      <c r="B1236" s="66" t="s">
        <v>5973</v>
      </c>
      <c r="C1236" s="53" t="n">
        <v>561</v>
      </c>
      <c r="D1236" s="53" t="s">
        <v>5974</v>
      </c>
      <c r="E1236" s="53" t="s">
        <v>5974</v>
      </c>
    </row>
    <row r="1237" customFormat="false" ht="15" hidden="false" customHeight="false" outlineLevel="0" collapsed="false">
      <c r="A1237" s="85" t="str">
        <f aca="false">Gov_Map!$H562&amp;""</f>
        <v>—</v>
      </c>
      <c r="B1237" s="66" t="s">
        <v>5973</v>
      </c>
      <c r="C1237" s="53" t="n">
        <v>562</v>
      </c>
      <c r="D1237" s="53" t="s">
        <v>5974</v>
      </c>
      <c r="E1237" s="53" t="s">
        <v>5974</v>
      </c>
    </row>
    <row r="1238" customFormat="false" ht="15" hidden="false" customHeight="false" outlineLevel="0" collapsed="false">
      <c r="A1238" s="85" t="str">
        <f aca="false">Gov_Map!$H563&amp;""</f>
        <v>—</v>
      </c>
      <c r="B1238" s="66" t="s">
        <v>5973</v>
      </c>
      <c r="C1238" s="53" t="n">
        <v>563</v>
      </c>
      <c r="D1238" s="53" t="s">
        <v>5974</v>
      </c>
      <c r="E1238" s="53" t="s">
        <v>5974</v>
      </c>
    </row>
    <row r="1239" customFormat="false" ht="15" hidden="false" customHeight="false" outlineLevel="0" collapsed="false">
      <c r="A1239" s="85" t="str">
        <f aca="false">Gov_Map!$H564&amp;""</f>
        <v>—</v>
      </c>
      <c r="B1239" s="66" t="s">
        <v>5973</v>
      </c>
      <c r="C1239" s="53" t="n">
        <v>564</v>
      </c>
      <c r="D1239" s="53" t="s">
        <v>5974</v>
      </c>
      <c r="E1239" s="53" t="s">
        <v>5974</v>
      </c>
    </row>
    <row r="1240" customFormat="false" ht="15" hidden="false" customHeight="false" outlineLevel="0" collapsed="false">
      <c r="A1240" s="85" t="str">
        <f aca="false">Gov_Map!$H565&amp;""</f>
        <v>—</v>
      </c>
      <c r="B1240" s="66" t="s">
        <v>5973</v>
      </c>
      <c r="C1240" s="53" t="n">
        <v>565</v>
      </c>
      <c r="D1240" s="53" t="s">
        <v>5974</v>
      </c>
      <c r="E1240" s="53" t="s">
        <v>5974</v>
      </c>
    </row>
    <row r="1241" customFormat="false" ht="15" hidden="false" customHeight="false" outlineLevel="0" collapsed="false">
      <c r="A1241" s="85" t="str">
        <f aca="false">Gov_Map!$H566&amp;""</f>
        <v>—</v>
      </c>
      <c r="B1241" s="66" t="s">
        <v>5973</v>
      </c>
      <c r="C1241" s="53" t="n">
        <v>566</v>
      </c>
      <c r="D1241" s="53" t="s">
        <v>5974</v>
      </c>
      <c r="E1241" s="53" t="s">
        <v>5974</v>
      </c>
    </row>
    <row r="1242" customFormat="false" ht="15" hidden="false" customHeight="false" outlineLevel="0" collapsed="false">
      <c r="A1242" s="85" t="str">
        <f aca="false">Gov_Map!$H567&amp;""</f>
        <v>—</v>
      </c>
      <c r="B1242" s="66" t="s">
        <v>5973</v>
      </c>
      <c r="C1242" s="53" t="n">
        <v>567</v>
      </c>
      <c r="D1242" s="53" t="s">
        <v>5974</v>
      </c>
      <c r="E1242" s="53" t="s">
        <v>5974</v>
      </c>
    </row>
    <row r="1243" customFormat="false" ht="15" hidden="false" customHeight="false" outlineLevel="0" collapsed="false">
      <c r="A1243" s="85" t="str">
        <f aca="false">Gov_Map!$H568&amp;""</f>
        <v>—</v>
      </c>
      <c r="B1243" s="66" t="s">
        <v>5973</v>
      </c>
      <c r="C1243" s="53" t="n">
        <v>568</v>
      </c>
      <c r="D1243" s="53" t="s">
        <v>5974</v>
      </c>
      <c r="E1243" s="53" t="s">
        <v>5974</v>
      </c>
    </row>
    <row r="1244" customFormat="false" ht="15" hidden="false" customHeight="false" outlineLevel="0" collapsed="false">
      <c r="A1244" s="85" t="str">
        <f aca="false">Gov_Map!$H569&amp;""</f>
        <v>—</v>
      </c>
      <c r="B1244" s="66" t="s">
        <v>5973</v>
      </c>
      <c r="C1244" s="53" t="n">
        <v>569</v>
      </c>
      <c r="D1244" s="53" t="s">
        <v>5974</v>
      </c>
      <c r="E1244" s="53" t="s">
        <v>5974</v>
      </c>
    </row>
    <row r="1245" customFormat="false" ht="15" hidden="false" customHeight="false" outlineLevel="0" collapsed="false">
      <c r="A1245" s="85" t="str">
        <f aca="false">Gov_Map!$H570&amp;""</f>
        <v>—</v>
      </c>
      <c r="B1245" s="66" t="s">
        <v>5973</v>
      </c>
      <c r="C1245" s="53" t="n">
        <v>570</v>
      </c>
      <c r="D1245" s="53" t="s">
        <v>5974</v>
      </c>
      <c r="E1245" s="53" t="s">
        <v>5974</v>
      </c>
    </row>
    <row r="1246" customFormat="false" ht="15" hidden="false" customHeight="false" outlineLevel="0" collapsed="false">
      <c r="A1246" s="85" t="str">
        <f aca="false">Gov_Map!$H571&amp;""</f>
        <v>—</v>
      </c>
      <c r="B1246" s="66" t="s">
        <v>5973</v>
      </c>
      <c r="C1246" s="53" t="n">
        <v>571</v>
      </c>
      <c r="D1246" s="53" t="s">
        <v>5974</v>
      </c>
      <c r="E1246" s="53" t="s">
        <v>5974</v>
      </c>
    </row>
    <row r="1247" customFormat="false" ht="15" hidden="false" customHeight="false" outlineLevel="0" collapsed="false">
      <c r="A1247" s="85" t="str">
        <f aca="false">Gov_Map!$H572&amp;""</f>
        <v>—</v>
      </c>
      <c r="B1247" s="66" t="s">
        <v>5973</v>
      </c>
      <c r="C1247" s="53" t="n">
        <v>572</v>
      </c>
      <c r="D1247" s="53" t="s">
        <v>5974</v>
      </c>
      <c r="E1247" s="53" t="s">
        <v>5974</v>
      </c>
    </row>
    <row r="1248" customFormat="false" ht="15" hidden="false" customHeight="false" outlineLevel="0" collapsed="false">
      <c r="A1248" s="85" t="str">
        <f aca="false">Gov_Map!$H573&amp;""</f>
        <v>—</v>
      </c>
      <c r="B1248" s="66" t="s">
        <v>5973</v>
      </c>
      <c r="C1248" s="53" t="n">
        <v>573</v>
      </c>
      <c r="D1248" s="53" t="s">
        <v>5974</v>
      </c>
      <c r="E1248" s="53" t="s">
        <v>5974</v>
      </c>
    </row>
    <row r="1249" customFormat="false" ht="15" hidden="false" customHeight="false" outlineLevel="0" collapsed="false">
      <c r="A1249" s="85" t="str">
        <f aca="false">Gov_Map!$H574&amp;""</f>
        <v>—</v>
      </c>
      <c r="B1249" s="66" t="s">
        <v>5973</v>
      </c>
      <c r="C1249" s="53" t="n">
        <v>574</v>
      </c>
      <c r="D1249" s="53" t="s">
        <v>5974</v>
      </c>
      <c r="E1249" s="53" t="s">
        <v>5974</v>
      </c>
    </row>
    <row r="1250" customFormat="false" ht="15" hidden="false" customHeight="false" outlineLevel="0" collapsed="false">
      <c r="A1250" s="85" t="str">
        <f aca="false">Gov_Map!$H575&amp;""</f>
        <v>SRC_MOD_028</v>
      </c>
      <c r="B1250" s="66" t="s">
        <v>5973</v>
      </c>
      <c r="C1250" s="53" t="n">
        <v>575</v>
      </c>
      <c r="D1250" s="53" t="s">
        <v>5974</v>
      </c>
      <c r="E1250" s="53" t="s">
        <v>5974</v>
      </c>
    </row>
    <row r="1251" customFormat="false" ht="15" hidden="false" customHeight="false" outlineLevel="0" collapsed="false">
      <c r="A1251" s="85" t="str">
        <f aca="false">Gov_Map!$H576&amp;""</f>
        <v>—</v>
      </c>
      <c r="B1251" s="66" t="s">
        <v>5973</v>
      </c>
      <c r="C1251" s="53" t="n">
        <v>576</v>
      </c>
      <c r="D1251" s="53" t="s">
        <v>5974</v>
      </c>
      <c r="E1251" s="53" t="s">
        <v>5974</v>
      </c>
    </row>
    <row r="1252" customFormat="false" ht="15" hidden="false" customHeight="false" outlineLevel="0" collapsed="false">
      <c r="A1252" s="85" t="str">
        <f aca="false">Gov_Map!$H577&amp;""</f>
        <v>—</v>
      </c>
      <c r="B1252" s="66" t="s">
        <v>5973</v>
      </c>
      <c r="C1252" s="53" t="n">
        <v>577</v>
      </c>
      <c r="D1252" s="53" t="s">
        <v>5974</v>
      </c>
      <c r="E1252" s="53" t="s">
        <v>5974</v>
      </c>
    </row>
    <row r="1253" customFormat="false" ht="15" hidden="false" customHeight="false" outlineLevel="0" collapsed="false">
      <c r="A1253" s="85" t="str">
        <f aca="false">Gov_Map!$H578&amp;""</f>
        <v>SRC_HW_055</v>
      </c>
      <c r="B1253" s="66" t="s">
        <v>5973</v>
      </c>
      <c r="C1253" s="53" t="n">
        <v>578</v>
      </c>
      <c r="D1253" s="53" t="s">
        <v>5974</v>
      </c>
      <c r="E1253" s="53" t="s">
        <v>5974</v>
      </c>
    </row>
    <row r="1254" customFormat="false" ht="15" hidden="false" customHeight="false" outlineLevel="0" collapsed="false">
      <c r="A1254" s="85" t="str">
        <f aca="false">Gov_Map!$H579&amp;""</f>
        <v>—</v>
      </c>
      <c r="B1254" s="66" t="s">
        <v>5973</v>
      </c>
      <c r="C1254" s="53" t="n">
        <v>579</v>
      </c>
      <c r="D1254" s="53" t="s">
        <v>5974</v>
      </c>
      <c r="E1254" s="53" t="s">
        <v>5974</v>
      </c>
    </row>
    <row r="1255" customFormat="false" ht="15" hidden="false" customHeight="false" outlineLevel="0" collapsed="false">
      <c r="A1255" s="85" t="str">
        <f aca="false">Gov_Map!$H580&amp;""</f>
        <v>—</v>
      </c>
      <c r="B1255" s="66" t="s">
        <v>5973</v>
      </c>
      <c r="C1255" s="53" t="n">
        <v>580</v>
      </c>
      <c r="D1255" s="53" t="s">
        <v>5974</v>
      </c>
      <c r="E1255" s="53" t="s">
        <v>5974</v>
      </c>
    </row>
    <row r="1256" customFormat="false" ht="15" hidden="false" customHeight="false" outlineLevel="0" collapsed="false">
      <c r="A1256" s="85" t="str">
        <f aca="false">Gov_Map!$H581&amp;""</f>
        <v>—</v>
      </c>
      <c r="B1256" s="66" t="s">
        <v>5973</v>
      </c>
      <c r="C1256" s="53" t="n">
        <v>581</v>
      </c>
      <c r="D1256" s="53" t="s">
        <v>5974</v>
      </c>
      <c r="E1256" s="53" t="s">
        <v>5974</v>
      </c>
    </row>
    <row r="1257" customFormat="false" ht="15" hidden="false" customHeight="false" outlineLevel="0" collapsed="false">
      <c r="A1257" s="85" t="str">
        <f aca="false">Gov_Map!$H582&amp;""</f>
        <v>—</v>
      </c>
      <c r="B1257" s="66" t="s">
        <v>5973</v>
      </c>
      <c r="C1257" s="53" t="n">
        <v>582</v>
      </c>
      <c r="D1257" s="53" t="s">
        <v>5974</v>
      </c>
      <c r="E1257" s="53" t="s">
        <v>5974</v>
      </c>
    </row>
    <row r="1258" customFormat="false" ht="15" hidden="false" customHeight="false" outlineLevel="0" collapsed="false">
      <c r="A1258" s="85" t="str">
        <f aca="false">Gov_Map!$H583&amp;""</f>
        <v>—</v>
      </c>
      <c r="B1258" s="66" t="s">
        <v>5973</v>
      </c>
      <c r="C1258" s="53" t="n">
        <v>583</v>
      </c>
      <c r="D1258" s="53" t="s">
        <v>5974</v>
      </c>
      <c r="E1258" s="53" t="s">
        <v>5974</v>
      </c>
    </row>
    <row r="1259" customFormat="false" ht="15" hidden="false" customHeight="false" outlineLevel="0" collapsed="false">
      <c r="A1259" s="85" t="str">
        <f aca="false">Gov_Map!$H584&amp;""</f>
        <v>—</v>
      </c>
      <c r="B1259" s="66" t="s">
        <v>5973</v>
      </c>
      <c r="C1259" s="53" t="n">
        <v>584</v>
      </c>
      <c r="D1259" s="53" t="s">
        <v>5974</v>
      </c>
      <c r="E1259" s="53" t="s">
        <v>5974</v>
      </c>
    </row>
    <row r="1260" customFormat="false" ht="15" hidden="false" customHeight="false" outlineLevel="0" collapsed="false">
      <c r="A1260" s="85" t="str">
        <f aca="false">Gov_Map!$H585&amp;""</f>
        <v>—</v>
      </c>
      <c r="B1260" s="66" t="s">
        <v>5973</v>
      </c>
      <c r="C1260" s="53" t="n">
        <v>585</v>
      </c>
      <c r="D1260" s="53" t="s">
        <v>5974</v>
      </c>
      <c r="E1260" s="53" t="s">
        <v>5974</v>
      </c>
    </row>
    <row r="1261" customFormat="false" ht="15" hidden="false" customHeight="false" outlineLevel="0" collapsed="false">
      <c r="A1261" s="85" t="str">
        <f aca="false">Gov_Map!$H586&amp;""</f>
        <v>—</v>
      </c>
      <c r="B1261" s="66" t="s">
        <v>5973</v>
      </c>
      <c r="C1261" s="53" t="n">
        <v>586</v>
      </c>
      <c r="D1261" s="53" t="s">
        <v>5974</v>
      </c>
      <c r="E1261" s="53" t="s">
        <v>5974</v>
      </c>
    </row>
    <row r="1262" customFormat="false" ht="15" hidden="false" customHeight="false" outlineLevel="0" collapsed="false">
      <c r="A1262" s="85" t="str">
        <f aca="false">Gov_Map!$H587&amp;""</f>
        <v>—</v>
      </c>
      <c r="B1262" s="66" t="s">
        <v>5973</v>
      </c>
      <c r="C1262" s="53" t="n">
        <v>587</v>
      </c>
      <c r="D1262" s="53" t="s">
        <v>5974</v>
      </c>
      <c r="E1262" s="53" t="s">
        <v>5974</v>
      </c>
    </row>
    <row r="1263" customFormat="false" ht="15" hidden="false" customHeight="false" outlineLevel="0" collapsed="false">
      <c r="A1263" s="85" t="str">
        <f aca="false">Gov_Map!$H588&amp;""</f>
        <v>SRC_DEM_010</v>
      </c>
      <c r="B1263" s="66" t="s">
        <v>5973</v>
      </c>
      <c r="C1263" s="53" t="n">
        <v>588</v>
      </c>
      <c r="D1263" s="53" t="s">
        <v>5974</v>
      </c>
      <c r="E1263" s="53" t="s">
        <v>5974</v>
      </c>
    </row>
    <row r="1264" customFormat="false" ht="15" hidden="false" customHeight="false" outlineLevel="0" collapsed="false">
      <c r="A1264" s="85" t="str">
        <f aca="false">Gov_Map!$H589&amp;""</f>
        <v>—</v>
      </c>
      <c r="B1264" s="66" t="s">
        <v>5973</v>
      </c>
      <c r="C1264" s="53" t="n">
        <v>589</v>
      </c>
      <c r="D1264" s="53" t="s">
        <v>5974</v>
      </c>
      <c r="E1264" s="53" t="s">
        <v>5974</v>
      </c>
    </row>
    <row r="1265" customFormat="false" ht="15" hidden="false" customHeight="false" outlineLevel="0" collapsed="false">
      <c r="A1265" s="85" t="str">
        <f aca="false">Gov_Map!$H590&amp;""</f>
        <v>SRC_DEM_012</v>
      </c>
      <c r="B1265" s="66" t="s">
        <v>5973</v>
      </c>
      <c r="C1265" s="53" t="n">
        <v>590</v>
      </c>
      <c r="D1265" s="53" t="s">
        <v>5974</v>
      </c>
      <c r="E1265" s="53" t="s">
        <v>5974</v>
      </c>
    </row>
    <row r="1266" customFormat="false" ht="15" hidden="false" customHeight="false" outlineLevel="0" collapsed="false">
      <c r="A1266" s="85" t="str">
        <f aca="false">Gov_Map!$H591&amp;""</f>
        <v>—</v>
      </c>
      <c r="B1266" s="66" t="s">
        <v>5973</v>
      </c>
      <c r="C1266" s="53" t="n">
        <v>591</v>
      </c>
      <c r="D1266" s="53" t="s">
        <v>5974</v>
      </c>
      <c r="E1266" s="53" t="s">
        <v>5974</v>
      </c>
    </row>
    <row r="1267" customFormat="false" ht="15" hidden="false" customHeight="false" outlineLevel="0" collapsed="false">
      <c r="A1267" s="85" t="str">
        <f aca="false">Gov_Map!$H592&amp;""</f>
        <v>SRC_DEM_005</v>
      </c>
      <c r="B1267" s="66" t="s">
        <v>5973</v>
      </c>
      <c r="C1267" s="53" t="n">
        <v>592</v>
      </c>
      <c r="D1267" s="53" t="s">
        <v>5974</v>
      </c>
      <c r="E1267" s="53" t="s">
        <v>5974</v>
      </c>
    </row>
    <row r="1268" customFormat="false" ht="15" hidden="false" customHeight="false" outlineLevel="0" collapsed="false">
      <c r="A1268" s="85" t="str">
        <f aca="false">Gov_Map!$H593&amp;""</f>
        <v>—</v>
      </c>
      <c r="B1268" s="66" t="s">
        <v>5973</v>
      </c>
      <c r="C1268" s="53" t="n">
        <v>593</v>
      </c>
      <c r="D1268" s="53" t="s">
        <v>5974</v>
      </c>
      <c r="E1268" s="53" t="s">
        <v>5974</v>
      </c>
    </row>
    <row r="1269" customFormat="false" ht="15" hidden="false" customHeight="false" outlineLevel="0" collapsed="false">
      <c r="A1269" s="85" t="str">
        <f aca="false">Gov_Map!$H594&amp;""</f>
        <v>—</v>
      </c>
      <c r="B1269" s="66" t="s">
        <v>5973</v>
      </c>
      <c r="C1269" s="53" t="n">
        <v>594</v>
      </c>
      <c r="D1269" s="53" t="s">
        <v>5974</v>
      </c>
      <c r="E1269" s="53" t="s">
        <v>5974</v>
      </c>
    </row>
    <row r="1270" customFormat="false" ht="15" hidden="false" customHeight="false" outlineLevel="0" collapsed="false">
      <c r="A1270" s="85" t="str">
        <f aca="false">Gov_Map!$H595&amp;""</f>
        <v>—</v>
      </c>
      <c r="B1270" s="66" t="s">
        <v>5973</v>
      </c>
      <c r="C1270" s="53" t="n">
        <v>595</v>
      </c>
      <c r="D1270" s="53" t="s">
        <v>5974</v>
      </c>
      <c r="E1270" s="53" t="s">
        <v>5974</v>
      </c>
    </row>
    <row r="1271" customFormat="false" ht="15" hidden="false" customHeight="false" outlineLevel="0" collapsed="false">
      <c r="A1271" s="85" t="str">
        <f aca="false">Gov_Map!$H596&amp;""</f>
        <v/>
      </c>
      <c r="B1271" s="66" t="s">
        <v>5973</v>
      </c>
      <c r="C1271" s="53" t="n">
        <v>596</v>
      </c>
      <c r="D1271" s="53" t="s">
        <v>5974</v>
      </c>
      <c r="E1271" s="53" t="s">
        <v>5974</v>
      </c>
    </row>
    <row r="1272" customFormat="false" ht="15" hidden="false" customHeight="false" outlineLevel="0" collapsed="false">
      <c r="A1272" s="85" t="str">
        <f aca="false">Gov_Map!$H597&amp;""</f>
        <v/>
      </c>
      <c r="B1272" s="66" t="s">
        <v>5973</v>
      </c>
      <c r="C1272" s="53" t="n">
        <v>597</v>
      </c>
      <c r="D1272" s="53" t="s">
        <v>5974</v>
      </c>
      <c r="E1272" s="53" t="s">
        <v>5974</v>
      </c>
    </row>
    <row r="1273" customFormat="false" ht="15" hidden="false" customHeight="false" outlineLevel="0" collapsed="false">
      <c r="A1273" s="85" t="str">
        <f aca="false">Gov_Map!$H598&amp;""</f>
        <v/>
      </c>
      <c r="B1273" s="66" t="s">
        <v>5973</v>
      </c>
      <c r="C1273" s="53" t="n">
        <v>598</v>
      </c>
      <c r="D1273" s="53" t="s">
        <v>5974</v>
      </c>
      <c r="E1273" s="53" t="s">
        <v>5974</v>
      </c>
    </row>
    <row r="1274" customFormat="false" ht="15" hidden="false" customHeight="false" outlineLevel="0" collapsed="false">
      <c r="A1274" s="85" t="str">
        <f aca="false">Gov_Map!$H599&amp;""</f>
        <v/>
      </c>
      <c r="B1274" s="66" t="s">
        <v>5973</v>
      </c>
      <c r="C1274" s="53" t="n">
        <v>599</v>
      </c>
      <c r="D1274" s="53" t="s">
        <v>5974</v>
      </c>
      <c r="E1274" s="53" t="s">
        <v>5974</v>
      </c>
    </row>
    <row r="1275" customFormat="false" ht="15" hidden="false" customHeight="false" outlineLevel="0" collapsed="false">
      <c r="A1275" s="85" t="str">
        <f aca="false">Gov_Map!$H600&amp;""</f>
        <v/>
      </c>
      <c r="B1275" s="66" t="s">
        <v>5973</v>
      </c>
      <c r="C1275" s="53" t="n">
        <v>600</v>
      </c>
      <c r="D1275" s="53" t="s">
        <v>5974</v>
      </c>
      <c r="E1275" s="53" t="s">
        <v>5974</v>
      </c>
    </row>
    <row r="1276" customFormat="false" ht="15" hidden="false" customHeight="false" outlineLevel="0" collapsed="false">
      <c r="A1276" s="85" t="str">
        <f aca="false">Gov_Map!$H601&amp;""</f>
        <v/>
      </c>
      <c r="B1276" s="66" t="s">
        <v>5973</v>
      </c>
      <c r="C1276" s="53" t="n">
        <v>601</v>
      </c>
      <c r="D1276" s="53" t="s">
        <v>5974</v>
      </c>
      <c r="E1276" s="53" t="s">
        <v>5974</v>
      </c>
    </row>
    <row r="1277" customFormat="false" ht="15" hidden="false" customHeight="false" outlineLevel="0" collapsed="false">
      <c r="A1277" s="85" t="str">
        <f aca="false">Gov_Map!$H602&amp;""</f>
        <v/>
      </c>
      <c r="B1277" s="66" t="s">
        <v>5973</v>
      </c>
      <c r="C1277" s="53" t="n">
        <v>602</v>
      </c>
      <c r="D1277" s="53" t="s">
        <v>5974</v>
      </c>
      <c r="E1277" s="53" t="s">
        <v>5974</v>
      </c>
    </row>
    <row r="1278" customFormat="false" ht="15" hidden="false" customHeight="false" outlineLevel="0" collapsed="false">
      <c r="A1278" s="85" t="str">
        <f aca="false">Gov_Map!$H603&amp;""</f>
        <v/>
      </c>
      <c r="B1278" s="66" t="s">
        <v>5973</v>
      </c>
      <c r="C1278" s="53" t="n">
        <v>603</v>
      </c>
      <c r="D1278" s="53" t="s">
        <v>5974</v>
      </c>
      <c r="E1278" s="53" t="s">
        <v>5974</v>
      </c>
    </row>
    <row r="1279" customFormat="false" ht="15" hidden="false" customHeight="false" outlineLevel="0" collapsed="false">
      <c r="A1279" s="85" t="str">
        <f aca="false">Gov_Map!$H604&amp;""</f>
        <v/>
      </c>
      <c r="B1279" s="66" t="s">
        <v>5973</v>
      </c>
      <c r="C1279" s="53" t="n">
        <v>604</v>
      </c>
      <c r="D1279" s="53" t="s">
        <v>5974</v>
      </c>
      <c r="E1279" s="53" t="s">
        <v>5974</v>
      </c>
    </row>
    <row r="1280" customFormat="false" ht="15" hidden="false" customHeight="false" outlineLevel="0" collapsed="false">
      <c r="A1280" s="85" t="str">
        <f aca="false">Gov_Map!$H605&amp;""</f>
        <v/>
      </c>
      <c r="B1280" s="66" t="s">
        <v>5973</v>
      </c>
      <c r="C1280" s="53" t="n">
        <v>605</v>
      </c>
      <c r="D1280" s="53" t="s">
        <v>5974</v>
      </c>
      <c r="E1280" s="53" t="s">
        <v>5974</v>
      </c>
    </row>
    <row r="1281" customFormat="false" ht="15" hidden="false" customHeight="false" outlineLevel="0" collapsed="false">
      <c r="A1281" s="85" t="str">
        <f aca="false">Gov_Map!$H606&amp;""</f>
        <v/>
      </c>
      <c r="B1281" s="66" t="s">
        <v>5973</v>
      </c>
      <c r="C1281" s="53" t="n">
        <v>606</v>
      </c>
      <c r="D1281" s="53" t="s">
        <v>5974</v>
      </c>
      <c r="E1281" s="53" t="s">
        <v>5974</v>
      </c>
    </row>
    <row r="1282" customFormat="false" ht="15" hidden="false" customHeight="false" outlineLevel="0" collapsed="false">
      <c r="A1282" s="85" t="str">
        <f aca="false">Gov_Map!$H607&amp;""</f>
        <v/>
      </c>
      <c r="B1282" s="66" t="s">
        <v>5973</v>
      </c>
      <c r="C1282" s="53" t="n">
        <v>607</v>
      </c>
      <c r="D1282" s="53" t="s">
        <v>5974</v>
      </c>
      <c r="E1282" s="53" t="s">
        <v>5974</v>
      </c>
    </row>
    <row r="1283" customFormat="false" ht="15" hidden="false" customHeight="false" outlineLevel="0" collapsed="false">
      <c r="A1283" s="85" t="str">
        <f aca="false">Gov_Map!$H608&amp;""</f>
        <v/>
      </c>
      <c r="B1283" s="66" t="s">
        <v>5973</v>
      </c>
      <c r="C1283" s="53" t="n">
        <v>608</v>
      </c>
      <c r="D1283" s="53" t="s">
        <v>5974</v>
      </c>
      <c r="E1283" s="53" t="s">
        <v>5974</v>
      </c>
    </row>
    <row r="1284" customFormat="false" ht="15" hidden="false" customHeight="false" outlineLevel="0" collapsed="false">
      <c r="A1284" s="85" t="str">
        <f aca="false">Gov_Map!$H609&amp;""</f>
        <v/>
      </c>
      <c r="B1284" s="66" t="s">
        <v>5973</v>
      </c>
      <c r="C1284" s="53" t="n">
        <v>609</v>
      </c>
      <c r="D1284" s="53" t="s">
        <v>5974</v>
      </c>
      <c r="E1284" s="53" t="s">
        <v>5974</v>
      </c>
    </row>
    <row r="1285" customFormat="false" ht="15" hidden="false" customHeight="false" outlineLevel="0" collapsed="false">
      <c r="A1285" s="85" t="str">
        <f aca="false">Gov_Map!$H610&amp;""</f>
        <v/>
      </c>
      <c r="B1285" s="66" t="s">
        <v>5973</v>
      </c>
      <c r="C1285" s="53" t="n">
        <v>610</v>
      </c>
      <c r="D1285" s="53" t="s">
        <v>5974</v>
      </c>
      <c r="E1285" s="53" t="s">
        <v>5974</v>
      </c>
    </row>
    <row r="1286" customFormat="false" ht="15" hidden="false" customHeight="false" outlineLevel="0" collapsed="false">
      <c r="A1286" s="85" t="str">
        <f aca="false">Gov_Map!$H611&amp;""</f>
        <v/>
      </c>
      <c r="B1286" s="66" t="s">
        <v>5973</v>
      </c>
      <c r="C1286" s="53" t="n">
        <v>611</v>
      </c>
      <c r="D1286" s="53" t="s">
        <v>5974</v>
      </c>
      <c r="E1286" s="53" t="s">
        <v>5974</v>
      </c>
    </row>
    <row r="1287" customFormat="false" ht="15" hidden="false" customHeight="false" outlineLevel="0" collapsed="false">
      <c r="A1287" s="85" t="str">
        <f aca="false">Gov_Map!$H612&amp;""</f>
        <v/>
      </c>
      <c r="B1287" s="66" t="s">
        <v>5973</v>
      </c>
      <c r="C1287" s="53" t="n">
        <v>612</v>
      </c>
      <c r="D1287" s="53" t="s">
        <v>5974</v>
      </c>
      <c r="E1287" s="53" t="s">
        <v>5974</v>
      </c>
    </row>
    <row r="1288" customFormat="false" ht="15" hidden="false" customHeight="false" outlineLevel="0" collapsed="false">
      <c r="A1288" s="85" t="str">
        <f aca="false">Gov_Map!$H613&amp;""</f>
        <v/>
      </c>
      <c r="B1288" s="66" t="s">
        <v>5973</v>
      </c>
      <c r="C1288" s="53" t="n">
        <v>613</v>
      </c>
      <c r="D1288" s="53" t="s">
        <v>5974</v>
      </c>
      <c r="E1288" s="53" t="s">
        <v>5974</v>
      </c>
    </row>
    <row r="1289" customFormat="false" ht="15" hidden="false" customHeight="false" outlineLevel="0" collapsed="false">
      <c r="A1289" s="85" t="str">
        <f aca="false">Gov_Map!$H614&amp;""</f>
        <v/>
      </c>
      <c r="B1289" s="66" t="s">
        <v>5973</v>
      </c>
      <c r="C1289" s="53" t="n">
        <v>614</v>
      </c>
      <c r="D1289" s="53" t="s">
        <v>5974</v>
      </c>
      <c r="E1289" s="53" t="s">
        <v>5974</v>
      </c>
    </row>
    <row r="1290" customFormat="false" ht="15" hidden="false" customHeight="false" outlineLevel="0" collapsed="false">
      <c r="A1290" s="85" t="str">
        <f aca="false">Gov_Map!$H615&amp;""</f>
        <v/>
      </c>
      <c r="B1290" s="66" t="s">
        <v>5973</v>
      </c>
      <c r="C1290" s="53" t="n">
        <v>615</v>
      </c>
      <c r="D1290" s="53" t="s">
        <v>5974</v>
      </c>
      <c r="E1290" s="53" t="s">
        <v>5974</v>
      </c>
    </row>
    <row r="1291" customFormat="false" ht="15" hidden="false" customHeight="false" outlineLevel="0" collapsed="false">
      <c r="A1291" s="85" t="str">
        <f aca="false">Gov_Map!$H616&amp;""</f>
        <v/>
      </c>
      <c r="B1291" s="66" t="s">
        <v>5973</v>
      </c>
      <c r="C1291" s="53" t="n">
        <v>616</v>
      </c>
      <c r="D1291" s="53" t="s">
        <v>5974</v>
      </c>
      <c r="E1291" s="53" t="s">
        <v>5974</v>
      </c>
    </row>
    <row r="1292" customFormat="false" ht="15" hidden="false" customHeight="false" outlineLevel="0" collapsed="false">
      <c r="A1292" s="85" t="str">
        <f aca="false">Gov_Map!$H617&amp;""</f>
        <v/>
      </c>
      <c r="B1292" s="66" t="s">
        <v>5973</v>
      </c>
      <c r="C1292" s="53" t="n">
        <v>617</v>
      </c>
      <c r="D1292" s="53" t="s">
        <v>5974</v>
      </c>
      <c r="E1292" s="53" t="s">
        <v>5974</v>
      </c>
    </row>
    <row r="1293" customFormat="false" ht="15" hidden="false" customHeight="false" outlineLevel="0" collapsed="false">
      <c r="A1293" s="85" t="str">
        <f aca="false">Gov_Map!$H618&amp;""</f>
        <v/>
      </c>
      <c r="B1293" s="66" t="s">
        <v>5973</v>
      </c>
      <c r="C1293" s="53" t="n">
        <v>618</v>
      </c>
      <c r="D1293" s="53" t="s">
        <v>5974</v>
      </c>
      <c r="E1293" s="53" t="s">
        <v>5974</v>
      </c>
    </row>
    <row r="1294" customFormat="false" ht="15" hidden="false" customHeight="false" outlineLevel="0" collapsed="false">
      <c r="A1294" s="85" t="str">
        <f aca="false">Gov_Map!$H619&amp;""</f>
        <v/>
      </c>
      <c r="B1294" s="66" t="s">
        <v>5973</v>
      </c>
      <c r="C1294" s="53" t="n">
        <v>619</v>
      </c>
      <c r="D1294" s="53" t="s">
        <v>5974</v>
      </c>
      <c r="E1294" s="53" t="s">
        <v>5974</v>
      </c>
    </row>
    <row r="1295" customFormat="false" ht="15" hidden="false" customHeight="false" outlineLevel="0" collapsed="false">
      <c r="A1295" s="85" t="str">
        <f aca="false">Gov_Map!$H620&amp;""</f>
        <v/>
      </c>
      <c r="B1295" s="66" t="s">
        <v>5973</v>
      </c>
      <c r="C1295" s="53" t="n">
        <v>620</v>
      </c>
      <c r="D1295" s="53" t="s">
        <v>5974</v>
      </c>
      <c r="E1295" s="53" t="s">
        <v>5974</v>
      </c>
    </row>
    <row r="1296" customFormat="false" ht="15" hidden="false" customHeight="false" outlineLevel="0" collapsed="false">
      <c r="A1296" s="85" t="str">
        <f aca="false">Gov_Map!$H621&amp;""</f>
        <v/>
      </c>
      <c r="B1296" s="66" t="s">
        <v>5973</v>
      </c>
      <c r="C1296" s="53" t="n">
        <v>621</v>
      </c>
      <c r="D1296" s="53" t="s">
        <v>5974</v>
      </c>
      <c r="E1296" s="53" t="s">
        <v>5974</v>
      </c>
    </row>
    <row r="1297" customFormat="false" ht="15" hidden="false" customHeight="false" outlineLevel="0" collapsed="false">
      <c r="A1297" s="85" t="str">
        <f aca="false">Gov_Map!$H622&amp;""</f>
        <v/>
      </c>
      <c r="B1297" s="66" t="s">
        <v>5973</v>
      </c>
      <c r="C1297" s="53" t="n">
        <v>622</v>
      </c>
      <c r="D1297" s="53" t="s">
        <v>5974</v>
      </c>
      <c r="E1297" s="53" t="s">
        <v>5974</v>
      </c>
    </row>
    <row r="1298" customFormat="false" ht="15" hidden="false" customHeight="false" outlineLevel="0" collapsed="false">
      <c r="A1298" s="85" t="str">
        <f aca="false">Gov_Map!$H623&amp;""</f>
        <v/>
      </c>
      <c r="B1298" s="66" t="s">
        <v>5973</v>
      </c>
      <c r="C1298" s="53" t="n">
        <v>623</v>
      </c>
      <c r="D1298" s="53" t="s">
        <v>5974</v>
      </c>
      <c r="E1298" s="53" t="s">
        <v>5974</v>
      </c>
    </row>
    <row r="1299" customFormat="false" ht="15" hidden="false" customHeight="false" outlineLevel="0" collapsed="false">
      <c r="A1299" s="85" t="str">
        <f aca="false">Gov_Map!$H624&amp;""</f>
        <v/>
      </c>
      <c r="B1299" s="66" t="s">
        <v>5973</v>
      </c>
      <c r="C1299" s="53" t="n">
        <v>624</v>
      </c>
      <c r="D1299" s="53" t="s">
        <v>5974</v>
      </c>
      <c r="E1299" s="53" t="s">
        <v>5974</v>
      </c>
    </row>
    <row r="1300" customFormat="false" ht="15" hidden="false" customHeight="false" outlineLevel="0" collapsed="false">
      <c r="A1300" s="85" t="str">
        <f aca="false">Gov_Map!$H625&amp;""</f>
        <v/>
      </c>
      <c r="B1300" s="66" t="s">
        <v>5973</v>
      </c>
      <c r="C1300" s="53" t="n">
        <v>625</v>
      </c>
      <c r="D1300" s="53" t="s">
        <v>5974</v>
      </c>
      <c r="E1300" s="53" t="s">
        <v>5974</v>
      </c>
    </row>
    <row r="1301" customFormat="false" ht="15" hidden="false" customHeight="false" outlineLevel="0" collapsed="false">
      <c r="A1301" s="85" t="str">
        <f aca="false">Gov_Map!$H626&amp;""</f>
        <v/>
      </c>
      <c r="B1301" s="66" t="s">
        <v>5973</v>
      </c>
      <c r="C1301" s="53" t="n">
        <v>626</v>
      </c>
      <c r="D1301" s="53" t="s">
        <v>5974</v>
      </c>
      <c r="E1301" s="53" t="s">
        <v>5974</v>
      </c>
    </row>
    <row r="1302" customFormat="false" ht="15" hidden="false" customHeight="false" outlineLevel="0" collapsed="false">
      <c r="A1302" s="85" t="str">
        <f aca="false">Gov_Map!$H627&amp;""</f>
        <v/>
      </c>
      <c r="B1302" s="66" t="s">
        <v>5973</v>
      </c>
      <c r="C1302" s="53" t="n">
        <v>627</v>
      </c>
      <c r="D1302" s="53" t="s">
        <v>5974</v>
      </c>
      <c r="E1302" s="53" t="s">
        <v>5974</v>
      </c>
    </row>
    <row r="1303" customFormat="false" ht="15" hidden="false" customHeight="false" outlineLevel="0" collapsed="false">
      <c r="A1303" s="85" t="str">
        <f aca="false">Gov_Map!$H628&amp;""</f>
        <v/>
      </c>
      <c r="B1303" s="66" t="s">
        <v>5973</v>
      </c>
      <c r="C1303" s="53" t="n">
        <v>628</v>
      </c>
      <c r="D1303" s="53" t="s">
        <v>5974</v>
      </c>
      <c r="E1303" s="53" t="s">
        <v>5974</v>
      </c>
    </row>
    <row r="1304" customFormat="false" ht="15" hidden="false" customHeight="false" outlineLevel="0" collapsed="false">
      <c r="A1304" s="85" t="str">
        <f aca="false">Gov_Map!$H629&amp;""</f>
        <v/>
      </c>
      <c r="B1304" s="66" t="s">
        <v>5973</v>
      </c>
      <c r="C1304" s="53" t="n">
        <v>629</v>
      </c>
      <c r="D1304" s="53" t="s">
        <v>5974</v>
      </c>
      <c r="E1304" s="53" t="s">
        <v>5974</v>
      </c>
    </row>
    <row r="1305" customFormat="false" ht="15" hidden="false" customHeight="false" outlineLevel="0" collapsed="false">
      <c r="A1305" s="85" t="str">
        <f aca="false">Gov_Map!$H630&amp;""</f>
        <v/>
      </c>
      <c r="B1305" s="66" t="s">
        <v>5973</v>
      </c>
      <c r="C1305" s="53" t="n">
        <v>630</v>
      </c>
      <c r="D1305" s="53" t="s">
        <v>5974</v>
      </c>
      <c r="E1305" s="53" t="s">
        <v>5974</v>
      </c>
    </row>
    <row r="1306" customFormat="false" ht="15" hidden="false" customHeight="false" outlineLevel="0" collapsed="false">
      <c r="A1306" s="85" t="str">
        <f aca="false">Gov_Map!$H631&amp;""</f>
        <v/>
      </c>
      <c r="B1306" s="66" t="s">
        <v>5973</v>
      </c>
      <c r="C1306" s="53" t="n">
        <v>631</v>
      </c>
      <c r="D1306" s="53" t="s">
        <v>5974</v>
      </c>
      <c r="E1306" s="53" t="s">
        <v>5974</v>
      </c>
    </row>
    <row r="1307" customFormat="false" ht="15" hidden="false" customHeight="false" outlineLevel="0" collapsed="false">
      <c r="A1307" s="85" t="str">
        <f aca="false">Gov_Map!$H632&amp;""</f>
        <v/>
      </c>
      <c r="B1307" s="66" t="s">
        <v>5973</v>
      </c>
      <c r="C1307" s="53" t="n">
        <v>632</v>
      </c>
      <c r="D1307" s="53" t="s">
        <v>5974</v>
      </c>
      <c r="E1307" s="53" t="s">
        <v>5974</v>
      </c>
    </row>
    <row r="1308" customFormat="false" ht="15" hidden="false" customHeight="false" outlineLevel="0" collapsed="false">
      <c r="A1308" s="85" t="str">
        <f aca="false">Gov_Map!$H633&amp;""</f>
        <v/>
      </c>
      <c r="B1308" s="66" t="s">
        <v>5973</v>
      </c>
      <c r="C1308" s="53" t="n">
        <v>633</v>
      </c>
      <c r="D1308" s="53" t="s">
        <v>5974</v>
      </c>
      <c r="E1308" s="53" t="s">
        <v>5974</v>
      </c>
    </row>
    <row r="1309" customFormat="false" ht="15" hidden="false" customHeight="false" outlineLevel="0" collapsed="false">
      <c r="A1309" s="85" t="str">
        <f aca="false">Gov_Map!$H634&amp;""</f>
        <v/>
      </c>
      <c r="B1309" s="66" t="s">
        <v>5973</v>
      </c>
      <c r="C1309" s="53" t="n">
        <v>634</v>
      </c>
      <c r="D1309" s="53" t="s">
        <v>5974</v>
      </c>
      <c r="E1309" s="53" t="s">
        <v>5974</v>
      </c>
    </row>
    <row r="1310" customFormat="false" ht="15" hidden="false" customHeight="false" outlineLevel="0" collapsed="false">
      <c r="A1310" s="85" t="str">
        <f aca="false">Gov_Map!$H635&amp;""</f>
        <v/>
      </c>
      <c r="B1310" s="66" t="s">
        <v>5973</v>
      </c>
      <c r="C1310" s="53" t="n">
        <v>635</v>
      </c>
      <c r="D1310" s="53" t="s">
        <v>5974</v>
      </c>
      <c r="E1310" s="53" t="s">
        <v>5974</v>
      </c>
    </row>
    <row r="1311" customFormat="false" ht="15" hidden="false" customHeight="false" outlineLevel="0" collapsed="false">
      <c r="A1311" s="85" t="str">
        <f aca="false">Gov_Map!$H636&amp;""</f>
        <v/>
      </c>
      <c r="B1311" s="66" t="s">
        <v>5973</v>
      </c>
      <c r="C1311" s="53" t="n">
        <v>636</v>
      </c>
      <c r="D1311" s="53" t="s">
        <v>5974</v>
      </c>
      <c r="E1311" s="53" t="s">
        <v>5974</v>
      </c>
    </row>
    <row r="1312" customFormat="false" ht="15" hidden="false" customHeight="false" outlineLevel="0" collapsed="false">
      <c r="A1312" s="85" t="str">
        <f aca="false">Gov_Map!$H637&amp;""</f>
        <v/>
      </c>
      <c r="B1312" s="66" t="s">
        <v>5973</v>
      </c>
      <c r="C1312" s="53" t="n">
        <v>637</v>
      </c>
      <c r="D1312" s="53" t="s">
        <v>5974</v>
      </c>
      <c r="E1312" s="53" t="s">
        <v>5974</v>
      </c>
    </row>
    <row r="1313" customFormat="false" ht="15" hidden="false" customHeight="false" outlineLevel="0" collapsed="false">
      <c r="A1313" s="85" t="str">
        <f aca="false">Gov_Map!$H638&amp;""</f>
        <v/>
      </c>
      <c r="B1313" s="66" t="s">
        <v>5973</v>
      </c>
      <c r="C1313" s="53" t="n">
        <v>638</v>
      </c>
      <c r="D1313" s="53" t="s">
        <v>5974</v>
      </c>
      <c r="E1313" s="53" t="s">
        <v>5974</v>
      </c>
    </row>
    <row r="1314" customFormat="false" ht="15" hidden="false" customHeight="false" outlineLevel="0" collapsed="false">
      <c r="A1314" s="85" t="str">
        <f aca="false">Gov_Map!$H639&amp;""</f>
        <v/>
      </c>
      <c r="B1314" s="66" t="s">
        <v>5973</v>
      </c>
      <c r="C1314" s="53" t="n">
        <v>639</v>
      </c>
      <c r="D1314" s="53" t="s">
        <v>5974</v>
      </c>
      <c r="E1314" s="53" t="s">
        <v>5974</v>
      </c>
    </row>
    <row r="1315" customFormat="false" ht="15" hidden="false" customHeight="false" outlineLevel="0" collapsed="false">
      <c r="A1315" s="85" t="str">
        <f aca="false">Gov_Map!$H640&amp;""</f>
        <v/>
      </c>
      <c r="B1315" s="66" t="s">
        <v>5973</v>
      </c>
      <c r="C1315" s="53" t="n">
        <v>640</v>
      </c>
      <c r="D1315" s="53" t="s">
        <v>5974</v>
      </c>
      <c r="E1315" s="53" t="s">
        <v>5974</v>
      </c>
    </row>
    <row r="1316" customFormat="false" ht="15" hidden="false" customHeight="false" outlineLevel="0" collapsed="false">
      <c r="A1316" s="85" t="str">
        <f aca="false">Gov_Map!$H641&amp;""</f>
        <v/>
      </c>
      <c r="B1316" s="66" t="s">
        <v>5973</v>
      </c>
      <c r="C1316" s="53" t="n">
        <v>641</v>
      </c>
      <c r="D1316" s="53" t="s">
        <v>5974</v>
      </c>
      <c r="E1316" s="53" t="s">
        <v>5974</v>
      </c>
    </row>
    <row r="1317" customFormat="false" ht="15" hidden="false" customHeight="false" outlineLevel="0" collapsed="false">
      <c r="A1317" s="85" t="str">
        <f aca="false">Gov_Map!$H642&amp;""</f>
        <v/>
      </c>
      <c r="B1317" s="66" t="s">
        <v>5973</v>
      </c>
      <c r="C1317" s="53" t="n">
        <v>642</v>
      </c>
      <c r="D1317" s="53" t="s">
        <v>5974</v>
      </c>
      <c r="E1317" s="53" t="s">
        <v>5974</v>
      </c>
    </row>
    <row r="1318" customFormat="false" ht="15" hidden="false" customHeight="false" outlineLevel="0" collapsed="false">
      <c r="A1318" s="85" t="str">
        <f aca="false">Gov_Map!$H643&amp;""</f>
        <v/>
      </c>
      <c r="B1318" s="66" t="s">
        <v>5973</v>
      </c>
      <c r="C1318" s="53" t="n">
        <v>643</v>
      </c>
      <c r="D1318" s="53" t="s">
        <v>5974</v>
      </c>
      <c r="E1318" s="53" t="s">
        <v>5974</v>
      </c>
    </row>
    <row r="1319" customFormat="false" ht="15" hidden="false" customHeight="false" outlineLevel="0" collapsed="false">
      <c r="A1319" s="85" t="str">
        <f aca="false">Gov_Map!$H644&amp;""</f>
        <v/>
      </c>
      <c r="B1319" s="66" t="s">
        <v>5973</v>
      </c>
      <c r="C1319" s="53" t="n">
        <v>644</v>
      </c>
      <c r="D1319" s="53" t="s">
        <v>5974</v>
      </c>
      <c r="E1319" s="53" t="s">
        <v>5974</v>
      </c>
    </row>
    <row r="1320" customFormat="false" ht="15" hidden="false" customHeight="false" outlineLevel="0" collapsed="false">
      <c r="A1320" s="85" t="str">
        <f aca="false">Gov_Map!$H645&amp;""</f>
        <v/>
      </c>
      <c r="B1320" s="66" t="s">
        <v>5973</v>
      </c>
      <c r="C1320" s="53" t="n">
        <v>645</v>
      </c>
      <c r="D1320" s="53" t="s">
        <v>5974</v>
      </c>
      <c r="E1320" s="53" t="s">
        <v>5974</v>
      </c>
    </row>
    <row r="1321" customFormat="false" ht="15" hidden="false" customHeight="false" outlineLevel="0" collapsed="false">
      <c r="A1321" s="85" t="str">
        <f aca="false">Gov_Map!$H646&amp;""</f>
        <v/>
      </c>
      <c r="B1321" s="66" t="s">
        <v>5973</v>
      </c>
      <c r="C1321" s="53" t="n">
        <v>646</v>
      </c>
      <c r="D1321" s="53" t="s">
        <v>5974</v>
      </c>
      <c r="E1321" s="53" t="s">
        <v>5974</v>
      </c>
    </row>
    <row r="1322" customFormat="false" ht="15" hidden="false" customHeight="false" outlineLevel="0" collapsed="false">
      <c r="A1322" s="85" t="str">
        <f aca="false">Gov_Map!$H647&amp;""</f>
        <v/>
      </c>
      <c r="B1322" s="66" t="s">
        <v>5973</v>
      </c>
      <c r="C1322" s="53" t="n">
        <v>647</v>
      </c>
      <c r="D1322" s="53" t="s">
        <v>5974</v>
      </c>
      <c r="E1322" s="53" t="s">
        <v>5974</v>
      </c>
    </row>
    <row r="1323" customFormat="false" ht="15" hidden="false" customHeight="false" outlineLevel="0" collapsed="false">
      <c r="A1323" s="85" t="str">
        <f aca="false">Gov_Map!$H648&amp;""</f>
        <v/>
      </c>
      <c r="B1323" s="66" t="s">
        <v>5973</v>
      </c>
      <c r="C1323" s="53" t="n">
        <v>648</v>
      </c>
      <c r="D1323" s="53" t="s">
        <v>5974</v>
      </c>
      <c r="E1323" s="53" t="s">
        <v>5974</v>
      </c>
    </row>
    <row r="1324" customFormat="false" ht="15" hidden="false" customHeight="false" outlineLevel="0" collapsed="false">
      <c r="A1324" s="85" t="str">
        <f aca="false">Gov_Map!$H649&amp;""</f>
        <v/>
      </c>
      <c r="B1324" s="66" t="s">
        <v>5973</v>
      </c>
      <c r="C1324" s="53" t="n">
        <v>649</v>
      </c>
      <c r="D1324" s="53" t="s">
        <v>5974</v>
      </c>
      <c r="E1324" s="53" t="s">
        <v>5974</v>
      </c>
    </row>
    <row r="1325" customFormat="false" ht="15" hidden="false" customHeight="false" outlineLevel="0" collapsed="false">
      <c r="A1325" s="85" t="str">
        <f aca="false">Gov_Map!$H650&amp;""</f>
        <v/>
      </c>
      <c r="B1325" s="66" t="s">
        <v>5973</v>
      </c>
      <c r="C1325" s="53" t="n">
        <v>650</v>
      </c>
      <c r="D1325" s="53" t="s">
        <v>5974</v>
      </c>
      <c r="E1325" s="53" t="s">
        <v>5974</v>
      </c>
    </row>
    <row r="1326" customFormat="false" ht="15" hidden="false" customHeight="false" outlineLevel="0" collapsed="false">
      <c r="A1326" s="85" t="str">
        <f aca="false">Gov_Map!$H651&amp;""</f>
        <v/>
      </c>
      <c r="B1326" s="66" t="s">
        <v>5973</v>
      </c>
      <c r="C1326" s="53" t="n">
        <v>651</v>
      </c>
      <c r="D1326" s="53" t="s">
        <v>5974</v>
      </c>
      <c r="E1326" s="53" t="s">
        <v>5974</v>
      </c>
    </row>
    <row r="1327" customFormat="false" ht="15" hidden="false" customHeight="false" outlineLevel="0" collapsed="false">
      <c r="A1327" s="85" t="str">
        <f aca="false">Gov_Map!$H652&amp;""</f>
        <v/>
      </c>
      <c r="B1327" s="66" t="s">
        <v>5973</v>
      </c>
      <c r="C1327" s="53" t="n">
        <v>652</v>
      </c>
      <c r="D1327" s="53" t="s">
        <v>5974</v>
      </c>
      <c r="E1327" s="53" t="s">
        <v>5974</v>
      </c>
    </row>
    <row r="1328" customFormat="false" ht="15" hidden="false" customHeight="false" outlineLevel="0" collapsed="false">
      <c r="A1328" s="85" t="str">
        <f aca="false">Gov_Map!$H653&amp;""</f>
        <v/>
      </c>
      <c r="B1328" s="66" t="s">
        <v>5973</v>
      </c>
      <c r="C1328" s="53" t="n">
        <v>653</v>
      </c>
      <c r="D1328" s="53" t="s">
        <v>5974</v>
      </c>
      <c r="E1328" s="53" t="s">
        <v>5974</v>
      </c>
    </row>
    <row r="1329" customFormat="false" ht="15" hidden="false" customHeight="false" outlineLevel="0" collapsed="false">
      <c r="A1329" s="85" t="str">
        <f aca="false">Gov_Map!$H654&amp;""</f>
        <v/>
      </c>
      <c r="B1329" s="66" t="s">
        <v>5973</v>
      </c>
      <c r="C1329" s="53" t="n">
        <v>654</v>
      </c>
      <c r="D1329" s="53" t="s">
        <v>5974</v>
      </c>
      <c r="E1329" s="53" t="s">
        <v>5974</v>
      </c>
    </row>
    <row r="1330" customFormat="false" ht="15" hidden="false" customHeight="false" outlineLevel="0" collapsed="false">
      <c r="A1330" s="85" t="str">
        <f aca="false">Gov_Map!$H655&amp;""</f>
        <v/>
      </c>
      <c r="B1330" s="66" t="s">
        <v>5973</v>
      </c>
      <c r="C1330" s="53" t="n">
        <v>655</v>
      </c>
      <c r="D1330" s="53" t="s">
        <v>5974</v>
      </c>
      <c r="E1330" s="53" t="s">
        <v>5974</v>
      </c>
    </row>
    <row r="1331" customFormat="false" ht="15" hidden="false" customHeight="false" outlineLevel="0" collapsed="false">
      <c r="A1331" s="85" t="str">
        <f aca="false">Gov_Map!$H656&amp;""</f>
        <v/>
      </c>
      <c r="B1331" s="66" t="s">
        <v>5973</v>
      </c>
      <c r="C1331" s="53" t="n">
        <v>656</v>
      </c>
      <c r="D1331" s="53" t="s">
        <v>5974</v>
      </c>
      <c r="E1331" s="53" t="s">
        <v>5974</v>
      </c>
    </row>
    <row r="1332" customFormat="false" ht="15" hidden="false" customHeight="false" outlineLevel="0" collapsed="false">
      <c r="A1332" s="85" t="str">
        <f aca="false">Gov_Map!$H657&amp;""</f>
        <v/>
      </c>
      <c r="B1332" s="66" t="s">
        <v>5973</v>
      </c>
      <c r="C1332" s="53" t="n">
        <v>657</v>
      </c>
      <c r="D1332" s="53" t="s">
        <v>5974</v>
      </c>
      <c r="E1332" s="53" t="s">
        <v>5974</v>
      </c>
    </row>
    <row r="1333" customFormat="false" ht="15" hidden="false" customHeight="false" outlineLevel="0" collapsed="false">
      <c r="A1333" s="85" t="str">
        <f aca="false">Gov_Map!$H658&amp;""</f>
        <v/>
      </c>
      <c r="B1333" s="66" t="s">
        <v>5973</v>
      </c>
      <c r="C1333" s="53" t="n">
        <v>658</v>
      </c>
      <c r="D1333" s="53" t="s">
        <v>5974</v>
      </c>
      <c r="E1333" s="53" t="s">
        <v>5974</v>
      </c>
    </row>
    <row r="1334" customFormat="false" ht="15" hidden="false" customHeight="false" outlineLevel="0" collapsed="false">
      <c r="A1334" s="85" t="str">
        <f aca="false">Gov_Map!$H659&amp;""</f>
        <v/>
      </c>
      <c r="B1334" s="66" t="s">
        <v>5973</v>
      </c>
      <c r="C1334" s="53" t="n">
        <v>659</v>
      </c>
      <c r="D1334" s="53" t="s">
        <v>5974</v>
      </c>
      <c r="E1334" s="53" t="s">
        <v>5974</v>
      </c>
    </row>
    <row r="1335" customFormat="false" ht="15" hidden="false" customHeight="false" outlineLevel="0" collapsed="false">
      <c r="A1335" s="85" t="str">
        <f aca="false">Gov_Map!$H660&amp;""</f>
        <v/>
      </c>
      <c r="B1335" s="66" t="s">
        <v>5973</v>
      </c>
      <c r="C1335" s="53" t="n">
        <v>660</v>
      </c>
      <c r="D1335" s="53" t="s">
        <v>5974</v>
      </c>
      <c r="E1335" s="53" t="s">
        <v>5974</v>
      </c>
    </row>
    <row r="1336" customFormat="false" ht="15" hidden="false" customHeight="false" outlineLevel="0" collapsed="false">
      <c r="A1336" s="85" t="str">
        <f aca="false">Gov_Map!$H661&amp;""</f>
        <v/>
      </c>
      <c r="B1336" s="66" t="s">
        <v>5973</v>
      </c>
      <c r="C1336" s="53" t="n">
        <v>661</v>
      </c>
      <c r="D1336" s="53" t="s">
        <v>5974</v>
      </c>
      <c r="E1336" s="53" t="s">
        <v>5974</v>
      </c>
    </row>
    <row r="1337" customFormat="false" ht="15" hidden="false" customHeight="false" outlineLevel="0" collapsed="false">
      <c r="A1337" s="85" t="str">
        <f aca="false">Gov_Map!$H662&amp;""</f>
        <v/>
      </c>
      <c r="B1337" s="66" t="s">
        <v>5973</v>
      </c>
      <c r="C1337" s="53" t="n">
        <v>662</v>
      </c>
      <c r="D1337" s="53" t="s">
        <v>5974</v>
      </c>
      <c r="E1337" s="53" t="s">
        <v>5974</v>
      </c>
    </row>
    <row r="1338" customFormat="false" ht="15" hidden="false" customHeight="false" outlineLevel="0" collapsed="false">
      <c r="A1338" s="85" t="str">
        <f aca="false">Gov_Map!$H663&amp;""</f>
        <v/>
      </c>
      <c r="B1338" s="66" t="s">
        <v>5973</v>
      </c>
      <c r="C1338" s="53" t="n">
        <v>663</v>
      </c>
      <c r="D1338" s="53" t="s">
        <v>5974</v>
      </c>
      <c r="E1338" s="53" t="s">
        <v>5974</v>
      </c>
    </row>
    <row r="1339" customFormat="false" ht="15" hidden="false" customHeight="false" outlineLevel="0" collapsed="false">
      <c r="A1339" s="85" t="str">
        <f aca="false">Gov_Map!$H664&amp;""</f>
        <v/>
      </c>
      <c r="B1339" s="66" t="s">
        <v>5973</v>
      </c>
      <c r="C1339" s="53" t="n">
        <v>664</v>
      </c>
      <c r="D1339" s="53" t="s">
        <v>5974</v>
      </c>
      <c r="E1339" s="53" t="s">
        <v>5974</v>
      </c>
    </row>
    <row r="1340" customFormat="false" ht="15" hidden="false" customHeight="false" outlineLevel="0" collapsed="false">
      <c r="A1340" s="85" t="str">
        <f aca="false">Gov_Map!$H665&amp;""</f>
        <v/>
      </c>
      <c r="B1340" s="66" t="s">
        <v>5973</v>
      </c>
      <c r="C1340" s="53" t="n">
        <v>665</v>
      </c>
      <c r="D1340" s="53" t="s">
        <v>5974</v>
      </c>
      <c r="E1340" s="53" t="s">
        <v>5974</v>
      </c>
    </row>
    <row r="1341" customFormat="false" ht="15" hidden="false" customHeight="false" outlineLevel="0" collapsed="false">
      <c r="A1341" s="85" t="str">
        <f aca="false">Gov_Map!$H666&amp;""</f>
        <v/>
      </c>
      <c r="B1341" s="66" t="s">
        <v>5973</v>
      </c>
      <c r="C1341" s="53" t="n">
        <v>666</v>
      </c>
      <c r="D1341" s="53" t="s">
        <v>5974</v>
      </c>
      <c r="E1341" s="53" t="s">
        <v>5974</v>
      </c>
    </row>
    <row r="1342" customFormat="false" ht="15" hidden="false" customHeight="false" outlineLevel="0" collapsed="false">
      <c r="A1342" s="85" t="str">
        <f aca="false">Gov_Map!$H667&amp;""</f>
        <v/>
      </c>
      <c r="B1342" s="66" t="s">
        <v>5973</v>
      </c>
      <c r="C1342" s="53" t="n">
        <v>667</v>
      </c>
      <c r="D1342" s="53" t="s">
        <v>5974</v>
      </c>
      <c r="E1342" s="53" t="s">
        <v>5974</v>
      </c>
    </row>
    <row r="1343" customFormat="false" ht="15" hidden="false" customHeight="false" outlineLevel="0" collapsed="false">
      <c r="A1343" s="85" t="str">
        <f aca="false">Gov_Map!$H668&amp;""</f>
        <v/>
      </c>
      <c r="B1343" s="66" t="s">
        <v>5973</v>
      </c>
      <c r="C1343" s="53" t="n">
        <v>668</v>
      </c>
      <c r="D1343" s="53" t="s">
        <v>5974</v>
      </c>
      <c r="E1343" s="53" t="s">
        <v>5974</v>
      </c>
    </row>
    <row r="1344" customFormat="false" ht="15" hidden="false" customHeight="false" outlineLevel="0" collapsed="false">
      <c r="A1344" s="85" t="str">
        <f aca="false">Gov_Map!$H669&amp;""</f>
        <v/>
      </c>
      <c r="B1344" s="66" t="s">
        <v>5973</v>
      </c>
      <c r="C1344" s="53" t="n">
        <v>669</v>
      </c>
      <c r="D1344" s="53" t="s">
        <v>5974</v>
      </c>
      <c r="E1344" s="53" t="s">
        <v>5974</v>
      </c>
    </row>
    <row r="1345" customFormat="false" ht="15" hidden="false" customHeight="false" outlineLevel="0" collapsed="false">
      <c r="A1345" s="85" t="str">
        <f aca="false">Gov_Map!$H670&amp;""</f>
        <v/>
      </c>
      <c r="B1345" s="66" t="s">
        <v>5973</v>
      </c>
      <c r="C1345" s="53" t="n">
        <v>670</v>
      </c>
      <c r="D1345" s="53" t="s">
        <v>5974</v>
      </c>
      <c r="E1345" s="53" t="s">
        <v>5974</v>
      </c>
    </row>
    <row r="1346" customFormat="false" ht="15" hidden="false" customHeight="false" outlineLevel="0" collapsed="false">
      <c r="A1346" s="85" t="str">
        <f aca="false">Gov_Map!$H671&amp;""</f>
        <v/>
      </c>
      <c r="B1346" s="66" t="s">
        <v>5973</v>
      </c>
      <c r="C1346" s="53" t="n">
        <v>671</v>
      </c>
      <c r="D1346" s="53" t="s">
        <v>5974</v>
      </c>
      <c r="E1346" s="53" t="s">
        <v>5974</v>
      </c>
    </row>
    <row r="1347" customFormat="false" ht="15" hidden="false" customHeight="false" outlineLevel="0" collapsed="false">
      <c r="A1347" s="85" t="str">
        <f aca="false">Gov_Map!$H672&amp;""</f>
        <v/>
      </c>
      <c r="B1347" s="66" t="s">
        <v>5973</v>
      </c>
      <c r="C1347" s="53" t="n">
        <v>672</v>
      </c>
      <c r="D1347" s="53" t="s">
        <v>5974</v>
      </c>
      <c r="E1347" s="53" t="s">
        <v>5974</v>
      </c>
    </row>
    <row r="1348" customFormat="false" ht="15" hidden="false" customHeight="false" outlineLevel="0" collapsed="false">
      <c r="A1348" s="85" t="str">
        <f aca="false">Gov_Map!$H673&amp;""</f>
        <v/>
      </c>
      <c r="B1348" s="66" t="s">
        <v>5973</v>
      </c>
      <c r="C1348" s="53" t="n">
        <v>673</v>
      </c>
      <c r="D1348" s="53" t="s">
        <v>5974</v>
      </c>
      <c r="E1348" s="53" t="s">
        <v>5974</v>
      </c>
    </row>
    <row r="1349" customFormat="false" ht="15" hidden="false" customHeight="false" outlineLevel="0" collapsed="false">
      <c r="A1349" s="85" t="str">
        <f aca="false">Gov_Map!$H674&amp;""</f>
        <v/>
      </c>
      <c r="B1349" s="66" t="s">
        <v>5973</v>
      </c>
      <c r="C1349" s="53" t="n">
        <v>674</v>
      </c>
      <c r="D1349" s="53" t="s">
        <v>5974</v>
      </c>
      <c r="E1349" s="53" t="s">
        <v>5974</v>
      </c>
    </row>
    <row r="1350" customFormat="false" ht="15" hidden="false" customHeight="false" outlineLevel="0" collapsed="false">
      <c r="A1350" s="85" t="str">
        <f aca="false">Gov_Map!$H675&amp;""</f>
        <v/>
      </c>
      <c r="B1350" s="66" t="s">
        <v>5973</v>
      </c>
      <c r="C1350" s="53" t="n">
        <v>675</v>
      </c>
      <c r="D1350" s="53" t="s">
        <v>5974</v>
      </c>
      <c r="E1350" s="53" t="s">
        <v>5974</v>
      </c>
    </row>
    <row r="1351" customFormat="false" ht="15" hidden="false" customHeight="false" outlineLevel="0" collapsed="false">
      <c r="A1351" s="85" t="str">
        <f aca="false">Gov_Map!$H676&amp;""</f>
        <v/>
      </c>
      <c r="B1351" s="66" t="s">
        <v>5973</v>
      </c>
      <c r="C1351" s="53" t="n">
        <v>676</v>
      </c>
      <c r="D1351" s="53" t="s">
        <v>5974</v>
      </c>
      <c r="E1351" s="53" t="s">
        <v>5974</v>
      </c>
    </row>
    <row r="1352" customFormat="false" ht="15" hidden="false" customHeight="false" outlineLevel="0" collapsed="false">
      <c r="A1352" s="85" t="str">
        <f aca="false">Gov_Map!$H677&amp;""</f>
        <v/>
      </c>
      <c r="B1352" s="66" t="s">
        <v>5973</v>
      </c>
      <c r="C1352" s="53" t="n">
        <v>677</v>
      </c>
      <c r="D1352" s="53" t="s">
        <v>5974</v>
      </c>
      <c r="E1352" s="53" t="s">
        <v>5974</v>
      </c>
    </row>
    <row r="1353" customFormat="false" ht="15" hidden="false" customHeight="false" outlineLevel="0" collapsed="false">
      <c r="A1353" s="85" t="str">
        <f aca="false">Gov_Map!$H678&amp;""</f>
        <v/>
      </c>
      <c r="B1353" s="66" t="s">
        <v>5973</v>
      </c>
      <c r="C1353" s="53" t="n">
        <v>678</v>
      </c>
      <c r="D1353" s="53" t="s">
        <v>5974</v>
      </c>
      <c r="E1353" s="53" t="s">
        <v>5974</v>
      </c>
    </row>
    <row r="1354" customFormat="false" ht="15" hidden="false" customHeight="false" outlineLevel="0" collapsed="false">
      <c r="A1354" s="85" t="str">
        <f aca="false">Gov_Map!$H679&amp;""</f>
        <v/>
      </c>
      <c r="B1354" s="66" t="s">
        <v>5973</v>
      </c>
      <c r="C1354" s="53" t="n">
        <v>679</v>
      </c>
      <c r="D1354" s="53" t="s">
        <v>5974</v>
      </c>
      <c r="E1354" s="53" t="s">
        <v>5974</v>
      </c>
    </row>
    <row r="1355" customFormat="false" ht="15" hidden="false" customHeight="false" outlineLevel="0" collapsed="false">
      <c r="A1355" s="85" t="str">
        <f aca="false">Gov_Map!$H680&amp;""</f>
        <v/>
      </c>
      <c r="B1355" s="66" t="s">
        <v>5973</v>
      </c>
      <c r="C1355" s="53" t="n">
        <v>680</v>
      </c>
      <c r="D1355" s="53" t="s">
        <v>5974</v>
      </c>
      <c r="E1355" s="53" t="s">
        <v>5974</v>
      </c>
    </row>
    <row r="1356" customFormat="false" ht="15" hidden="false" customHeight="false" outlineLevel="0" collapsed="false">
      <c r="A1356" s="85" t="str">
        <f aca="false">Gov_Map!$H681&amp;""</f>
        <v/>
      </c>
      <c r="B1356" s="66" t="s">
        <v>5973</v>
      </c>
      <c r="C1356" s="53" t="n">
        <v>681</v>
      </c>
      <c r="D1356" s="53" t="s">
        <v>5974</v>
      </c>
      <c r="E1356" s="53" t="s">
        <v>5974</v>
      </c>
    </row>
    <row r="1357" customFormat="false" ht="15" hidden="false" customHeight="false" outlineLevel="0" collapsed="false">
      <c r="A1357" s="85" t="str">
        <f aca="false">Gov_Map!$H682&amp;""</f>
        <v/>
      </c>
      <c r="B1357" s="66" t="s">
        <v>5973</v>
      </c>
      <c r="C1357" s="53" t="n">
        <v>682</v>
      </c>
      <c r="D1357" s="53" t="s">
        <v>5974</v>
      </c>
      <c r="E1357" s="53" t="s">
        <v>5974</v>
      </c>
    </row>
    <row r="1358" customFormat="false" ht="15" hidden="false" customHeight="false" outlineLevel="0" collapsed="false">
      <c r="A1358" s="85" t="str">
        <f aca="false">Gov_Map!$H683&amp;""</f>
        <v/>
      </c>
      <c r="B1358" s="66" t="s">
        <v>5973</v>
      </c>
      <c r="C1358" s="53" t="n">
        <v>683</v>
      </c>
      <c r="D1358" s="53" t="s">
        <v>5974</v>
      </c>
      <c r="E1358" s="53" t="s">
        <v>5974</v>
      </c>
    </row>
    <row r="1359" customFormat="false" ht="15" hidden="false" customHeight="false" outlineLevel="0" collapsed="false">
      <c r="A1359" s="85" t="str">
        <f aca="false">Gov_Map!$H684&amp;""</f>
        <v/>
      </c>
      <c r="B1359" s="66" t="s">
        <v>5973</v>
      </c>
      <c r="C1359" s="53" t="n">
        <v>684</v>
      </c>
      <c r="D1359" s="53" t="s">
        <v>5974</v>
      </c>
      <c r="E1359" s="53" t="s">
        <v>5974</v>
      </c>
    </row>
    <row r="1360" customFormat="false" ht="15" hidden="false" customHeight="false" outlineLevel="0" collapsed="false">
      <c r="A1360" s="85" t="str">
        <f aca="false">Gov_Map!$H685&amp;""</f>
        <v/>
      </c>
      <c r="B1360" s="66" t="s">
        <v>5973</v>
      </c>
      <c r="C1360" s="53" t="n">
        <v>685</v>
      </c>
      <c r="D1360" s="53" t="s">
        <v>5974</v>
      </c>
      <c r="E1360" s="53" t="s">
        <v>5974</v>
      </c>
    </row>
    <row r="1361" customFormat="false" ht="15" hidden="false" customHeight="false" outlineLevel="0" collapsed="false">
      <c r="A1361" s="85" t="str">
        <f aca="false">Gov_Map!$H686&amp;""</f>
        <v/>
      </c>
      <c r="B1361" s="66" t="s">
        <v>5973</v>
      </c>
      <c r="C1361" s="53" t="n">
        <v>686</v>
      </c>
      <c r="D1361" s="53" t="s">
        <v>5974</v>
      </c>
      <c r="E1361" s="53" t="s">
        <v>5974</v>
      </c>
    </row>
    <row r="1362" customFormat="false" ht="15" hidden="false" customHeight="false" outlineLevel="0" collapsed="false">
      <c r="A1362" s="85" t="str">
        <f aca="false">Gov_Map!$H687&amp;""</f>
        <v/>
      </c>
      <c r="B1362" s="66" t="s">
        <v>5973</v>
      </c>
      <c r="C1362" s="53" t="n">
        <v>687</v>
      </c>
      <c r="D1362" s="53" t="s">
        <v>5974</v>
      </c>
      <c r="E1362" s="53" t="s">
        <v>5974</v>
      </c>
    </row>
    <row r="1363" customFormat="false" ht="15" hidden="false" customHeight="false" outlineLevel="0" collapsed="false">
      <c r="A1363" s="85" t="str">
        <f aca="false">Gov_Map!$H688&amp;""</f>
        <v/>
      </c>
      <c r="B1363" s="66" t="s">
        <v>5973</v>
      </c>
      <c r="C1363" s="53" t="n">
        <v>688</v>
      </c>
      <c r="D1363" s="53" t="s">
        <v>5974</v>
      </c>
      <c r="E1363" s="53" t="s">
        <v>5974</v>
      </c>
    </row>
    <row r="1364" customFormat="false" ht="15" hidden="false" customHeight="false" outlineLevel="0" collapsed="false">
      <c r="A1364" s="85" t="str">
        <f aca="false">Gov_Map!$H689&amp;""</f>
        <v/>
      </c>
      <c r="B1364" s="66" t="s">
        <v>5973</v>
      </c>
      <c r="C1364" s="53" t="n">
        <v>689</v>
      </c>
      <c r="D1364" s="53" t="s">
        <v>5974</v>
      </c>
      <c r="E1364" s="53" t="s">
        <v>5974</v>
      </c>
    </row>
    <row r="1365" customFormat="false" ht="15" hidden="false" customHeight="false" outlineLevel="0" collapsed="false">
      <c r="A1365" s="85" t="str">
        <f aca="false">Gov_Map!$H690&amp;""</f>
        <v/>
      </c>
      <c r="B1365" s="66" t="s">
        <v>5973</v>
      </c>
      <c r="C1365" s="53" t="n">
        <v>690</v>
      </c>
      <c r="D1365" s="53" t="s">
        <v>5974</v>
      </c>
      <c r="E1365" s="53" t="s">
        <v>5974</v>
      </c>
    </row>
    <row r="1366" customFormat="false" ht="15" hidden="false" customHeight="false" outlineLevel="0" collapsed="false">
      <c r="A1366" s="85" t="str">
        <f aca="false">Gov_Map!$H691&amp;""</f>
        <v/>
      </c>
      <c r="B1366" s="66" t="s">
        <v>5973</v>
      </c>
      <c r="C1366" s="53" t="n">
        <v>691</v>
      </c>
      <c r="D1366" s="53" t="s">
        <v>5974</v>
      </c>
      <c r="E1366" s="53" t="s">
        <v>5974</v>
      </c>
    </row>
    <row r="1367" customFormat="false" ht="15" hidden="false" customHeight="false" outlineLevel="0" collapsed="false">
      <c r="A1367" s="85" t="str">
        <f aca="false">Gov_Map!$H692&amp;""</f>
        <v/>
      </c>
      <c r="B1367" s="66" t="s">
        <v>5973</v>
      </c>
      <c r="C1367" s="53" t="n">
        <v>692</v>
      </c>
      <c r="D1367" s="53" t="s">
        <v>5974</v>
      </c>
      <c r="E1367" s="53" t="s">
        <v>5974</v>
      </c>
    </row>
    <row r="1368" customFormat="false" ht="15" hidden="false" customHeight="false" outlineLevel="0" collapsed="false">
      <c r="A1368" s="85" t="str">
        <f aca="false">Gov_Map!$H693&amp;""</f>
        <v/>
      </c>
      <c r="B1368" s="66" t="s">
        <v>5973</v>
      </c>
      <c r="C1368" s="53" t="n">
        <v>693</v>
      </c>
      <c r="D1368" s="53" t="s">
        <v>5974</v>
      </c>
      <c r="E1368" s="53" t="s">
        <v>5974</v>
      </c>
    </row>
    <row r="1369" customFormat="false" ht="15" hidden="false" customHeight="false" outlineLevel="0" collapsed="false">
      <c r="A1369" s="85" t="str">
        <f aca="false">Gov_Map!$H694&amp;""</f>
        <v/>
      </c>
      <c r="B1369" s="66" t="s">
        <v>5973</v>
      </c>
      <c r="C1369" s="53" t="n">
        <v>694</v>
      </c>
      <c r="D1369" s="53" t="s">
        <v>5974</v>
      </c>
      <c r="E1369" s="53" t="s">
        <v>5974</v>
      </c>
    </row>
    <row r="1370" customFormat="false" ht="15" hidden="false" customHeight="false" outlineLevel="0" collapsed="false">
      <c r="A1370" s="85" t="str">
        <f aca="false">Gov_Map!$H695&amp;""</f>
        <v/>
      </c>
      <c r="B1370" s="66" t="s">
        <v>5973</v>
      </c>
      <c r="C1370" s="53" t="n">
        <v>695</v>
      </c>
      <c r="D1370" s="53" t="s">
        <v>5974</v>
      </c>
      <c r="E1370" s="53" t="s">
        <v>5974</v>
      </c>
    </row>
    <row r="1371" customFormat="false" ht="15" hidden="false" customHeight="false" outlineLevel="0" collapsed="false">
      <c r="A1371" s="85" t="str">
        <f aca="false">Gov_Map!$H696&amp;""</f>
        <v/>
      </c>
      <c r="B1371" s="66" t="s">
        <v>5973</v>
      </c>
      <c r="C1371" s="53" t="n">
        <v>696</v>
      </c>
      <c r="D1371" s="53" t="s">
        <v>5974</v>
      </c>
      <c r="E1371" s="53" t="s">
        <v>5974</v>
      </c>
    </row>
    <row r="1372" customFormat="false" ht="15" hidden="false" customHeight="false" outlineLevel="0" collapsed="false">
      <c r="A1372" s="85" t="str">
        <f aca="false">Gov_Map!$H697&amp;""</f>
        <v/>
      </c>
      <c r="B1372" s="66" t="s">
        <v>5973</v>
      </c>
      <c r="C1372" s="53" t="n">
        <v>697</v>
      </c>
      <c r="D1372" s="53" t="s">
        <v>5974</v>
      </c>
      <c r="E1372" s="53" t="s">
        <v>5974</v>
      </c>
    </row>
    <row r="1373" customFormat="false" ht="15" hidden="false" customHeight="false" outlineLevel="0" collapsed="false">
      <c r="A1373" s="85" t="str">
        <f aca="false">Gov_Map!$H698&amp;""</f>
        <v/>
      </c>
      <c r="B1373" s="66" t="s">
        <v>5973</v>
      </c>
      <c r="C1373" s="53" t="n">
        <v>698</v>
      </c>
      <c r="D1373" s="53" t="s">
        <v>5974</v>
      </c>
      <c r="E1373" s="53" t="s">
        <v>5974</v>
      </c>
    </row>
    <row r="1374" customFormat="false" ht="15" hidden="false" customHeight="false" outlineLevel="0" collapsed="false">
      <c r="A1374" s="85" t="str">
        <f aca="false">Gov_Map!$H699&amp;""</f>
        <v/>
      </c>
      <c r="B1374" s="66" t="s">
        <v>5973</v>
      </c>
      <c r="C1374" s="53" t="n">
        <v>699</v>
      </c>
      <c r="D1374" s="53" t="s">
        <v>5974</v>
      </c>
      <c r="E1374" s="53" t="s">
        <v>5974</v>
      </c>
    </row>
    <row r="1375" customFormat="false" ht="15" hidden="false" customHeight="false" outlineLevel="0" collapsed="false">
      <c r="A1375" s="85" t="str">
        <f aca="false">Gov_Map!$H700&amp;""</f>
        <v/>
      </c>
      <c r="B1375" s="66" t="s">
        <v>5973</v>
      </c>
      <c r="C1375" s="53" t="n">
        <v>700</v>
      </c>
      <c r="D1375" s="53" t="s">
        <v>5974</v>
      </c>
      <c r="E1375" s="53" t="s">
        <v>5974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5975</v>
      </c>
    </row>
    <row r="2" customFormat="false" ht="15" hidden="false" customHeight="true" outlineLevel="0" collapsed="false">
      <c r="A2" s="10"/>
    </row>
    <row r="3" customFormat="false" ht="15" hidden="false" customHeight="true" outlineLevel="0" collapsed="false">
      <c r="A3" s="219" t="s">
        <v>550</v>
      </c>
      <c r="B3" s="11" t="s">
        <v>328</v>
      </c>
      <c r="C3" s="11" t="s">
        <v>5976</v>
      </c>
      <c r="D3" s="11" t="s">
        <v>59</v>
      </c>
      <c r="E3" s="11" t="s">
        <v>4294</v>
      </c>
      <c r="F3" s="11" t="s">
        <v>418</v>
      </c>
      <c r="G3" s="11" t="s">
        <v>5977</v>
      </c>
    </row>
    <row r="4" customFormat="false" ht="29.25" hidden="false" customHeight="true" outlineLevel="0" collapsed="false">
      <c r="A4" s="14" t="s">
        <v>4595</v>
      </c>
      <c r="B4" s="14" t="s">
        <v>5978</v>
      </c>
      <c r="C4" s="18" t="s">
        <v>5979</v>
      </c>
      <c r="D4" s="14" t="s">
        <v>107</v>
      </c>
      <c r="E4" s="14" t="s">
        <v>4661</v>
      </c>
      <c r="F4" s="6" t="s">
        <v>4662</v>
      </c>
      <c r="G4" s="19" t="s">
        <v>5980</v>
      </c>
    </row>
    <row r="5" customFormat="false" ht="15" hidden="false" customHeight="true" outlineLevel="0" collapsed="false">
      <c r="A5" s="14" t="s">
        <v>4604</v>
      </c>
      <c r="B5" s="14" t="s">
        <v>5981</v>
      </c>
      <c r="C5" s="18" t="s">
        <v>5982</v>
      </c>
      <c r="D5" s="14" t="s">
        <v>76</v>
      </c>
      <c r="E5" s="14" t="s">
        <v>4673</v>
      </c>
      <c r="F5" s="6" t="s">
        <v>4674</v>
      </c>
      <c r="G5" s="19" t="s">
        <v>5980</v>
      </c>
    </row>
    <row r="6" customFormat="false" ht="15" hidden="false" customHeight="true" outlineLevel="0" collapsed="false">
      <c r="A6" s="14" t="s">
        <v>4691</v>
      </c>
      <c r="B6" s="14" t="s">
        <v>5983</v>
      </c>
      <c r="C6" s="6" t="s">
        <v>5984</v>
      </c>
      <c r="D6" s="14" t="s">
        <v>177</v>
      </c>
      <c r="E6" s="14" t="s">
        <v>4687</v>
      </c>
      <c r="F6" s="6" t="s">
        <v>4696</v>
      </c>
      <c r="G6" s="19" t="s">
        <v>5980</v>
      </c>
    </row>
    <row r="7" customFormat="false" ht="15" hidden="false" customHeight="true" outlineLevel="0" collapsed="false">
      <c r="A7" s="14" t="s">
        <v>4707</v>
      </c>
      <c r="B7" s="14" t="s">
        <v>5985</v>
      </c>
      <c r="C7" s="6" t="s">
        <v>5986</v>
      </c>
      <c r="D7" s="14" t="s">
        <v>177</v>
      </c>
      <c r="E7" s="14" t="s">
        <v>4703</v>
      </c>
      <c r="F7" s="6" t="s">
        <v>4704</v>
      </c>
      <c r="G7" s="19" t="s">
        <v>5980</v>
      </c>
    </row>
    <row r="8" customFormat="false" ht="15" hidden="false" customHeight="true" outlineLevel="0" collapsed="false">
      <c r="A8" s="14" t="s">
        <v>4723</v>
      </c>
      <c r="B8" s="14" t="s">
        <v>5987</v>
      </c>
      <c r="C8" s="6" t="s">
        <v>5988</v>
      </c>
      <c r="D8" s="14" t="s">
        <v>177</v>
      </c>
      <c r="E8" s="14" t="s">
        <v>1176</v>
      </c>
      <c r="F8" s="6" t="s">
        <v>4720</v>
      </c>
      <c r="G8" s="19" t="s">
        <v>5980</v>
      </c>
    </row>
    <row r="9" customFormat="false" ht="15" hidden="false" customHeight="true" outlineLevel="0" collapsed="false">
      <c r="A9" s="14" t="s">
        <v>4730</v>
      </c>
      <c r="B9" s="14" t="s">
        <v>5989</v>
      </c>
      <c r="C9" s="6" t="s">
        <v>5990</v>
      </c>
      <c r="D9" s="14" t="s">
        <v>177</v>
      </c>
      <c r="E9" s="14" t="s">
        <v>1176</v>
      </c>
      <c r="F9" s="6" t="s">
        <v>4727</v>
      </c>
      <c r="G9" s="19" t="s">
        <v>5980</v>
      </c>
    </row>
    <row r="10" customFormat="false" ht="29.25" hidden="false" customHeight="true" outlineLevel="0" collapsed="false">
      <c r="A10" s="14" t="s">
        <v>4738</v>
      </c>
      <c r="B10" s="14" t="s">
        <v>5991</v>
      </c>
      <c r="C10" s="6" t="s">
        <v>5992</v>
      </c>
      <c r="D10" s="14" t="s">
        <v>177</v>
      </c>
      <c r="E10" s="14" t="s">
        <v>4673</v>
      </c>
      <c r="F10" s="6" t="s">
        <v>4743</v>
      </c>
      <c r="G10" s="19" t="s">
        <v>5980</v>
      </c>
    </row>
    <row r="11" customFormat="false" ht="15" hidden="false" customHeight="true" outlineLevel="0" collapsed="false">
      <c r="A11" s="14" t="s">
        <v>4760</v>
      </c>
      <c r="B11" s="14" t="s">
        <v>4754</v>
      </c>
      <c r="C11" s="6" t="s">
        <v>5993</v>
      </c>
      <c r="D11" s="14" t="s">
        <v>177</v>
      </c>
      <c r="E11" s="14" t="s">
        <v>1173</v>
      </c>
      <c r="F11" s="6" t="s">
        <v>5994</v>
      </c>
      <c r="G11" s="19" t="s">
        <v>5980</v>
      </c>
    </row>
    <row r="12" customFormat="false" ht="15" hidden="false" customHeight="true" outlineLevel="0" collapsed="false">
      <c r="A12" s="14" t="s">
        <v>4770</v>
      </c>
      <c r="B12" s="14" t="s">
        <v>5995</v>
      </c>
      <c r="C12" s="6" t="s">
        <v>5996</v>
      </c>
      <c r="D12" s="14" t="s">
        <v>177</v>
      </c>
      <c r="E12" s="14" t="s">
        <v>5997</v>
      </c>
      <c r="F12" s="6" t="s">
        <v>4766</v>
      </c>
      <c r="G12" s="19" t="s">
        <v>5980</v>
      </c>
    </row>
    <row r="13" customFormat="false" ht="15" hidden="false" customHeight="true" outlineLevel="0" collapsed="false">
      <c r="A13" s="14" t="s">
        <v>5003</v>
      </c>
      <c r="B13" s="19" t="s">
        <v>5998</v>
      </c>
      <c r="C13" s="6" t="s">
        <v>5999</v>
      </c>
      <c r="D13" s="14" t="s">
        <v>76</v>
      </c>
      <c r="E13" s="14" t="s">
        <v>4673</v>
      </c>
      <c r="F13" s="6" t="s">
        <v>5000</v>
      </c>
      <c r="G13" s="19" t="s">
        <v>5980</v>
      </c>
    </row>
    <row r="14" customFormat="false" ht="15" hidden="false" customHeight="true" outlineLevel="0" collapsed="false">
      <c r="A14" s="14" t="s">
        <v>4788</v>
      </c>
      <c r="B14" s="14" t="s">
        <v>6000</v>
      </c>
      <c r="C14" s="18" t="s">
        <v>6001</v>
      </c>
      <c r="D14" s="14" t="s">
        <v>177</v>
      </c>
      <c r="E14" s="14" t="s">
        <v>4673</v>
      </c>
      <c r="F14" s="6" t="s">
        <v>4785</v>
      </c>
      <c r="G14" s="19" t="s">
        <v>6002</v>
      </c>
    </row>
    <row r="15" customFormat="false" ht="29.25" hidden="false" customHeight="true" outlineLevel="0" collapsed="false">
      <c r="A15" s="14" t="s">
        <v>5015</v>
      </c>
      <c r="B15" s="19" t="s">
        <v>6003</v>
      </c>
      <c r="C15" s="6" t="s">
        <v>6004</v>
      </c>
      <c r="D15" s="14" t="s">
        <v>76</v>
      </c>
      <c r="E15" s="14" t="s">
        <v>4673</v>
      </c>
      <c r="F15" s="6" t="s">
        <v>5013</v>
      </c>
      <c r="G15" s="19" t="s">
        <v>5980</v>
      </c>
    </row>
    <row r="16" customFormat="false" ht="26.25" hidden="false" customHeight="true" outlineLevel="0" collapsed="false">
      <c r="A16" s="14" t="s">
        <v>5028</v>
      </c>
      <c r="B16" s="19" t="s">
        <v>6005</v>
      </c>
      <c r="C16" s="6" t="s">
        <v>6006</v>
      </c>
      <c r="D16" s="14" t="s">
        <v>107</v>
      </c>
      <c r="E16" s="14" t="s">
        <v>4765</v>
      </c>
      <c r="F16" s="6" t="s">
        <v>5025</v>
      </c>
      <c r="G16" s="19" t="s">
        <v>6007</v>
      </c>
    </row>
    <row r="17" customFormat="false" ht="15" hidden="false" customHeight="true" outlineLevel="0" collapsed="false">
      <c r="A17" s="14" t="s">
        <v>6008</v>
      </c>
      <c r="B17" s="14" t="s">
        <v>74</v>
      </c>
      <c r="C17" s="18" t="s">
        <v>6009</v>
      </c>
      <c r="D17" s="14" t="s">
        <v>76</v>
      </c>
      <c r="E17" s="14" t="s">
        <v>571</v>
      </c>
      <c r="F17" s="6" t="s">
        <v>6010</v>
      </c>
      <c r="G17" s="19" t="s">
        <v>5980</v>
      </c>
    </row>
    <row r="18" customFormat="false" ht="29.25" hidden="false" customHeight="true" outlineLevel="0" collapsed="false">
      <c r="A18" s="14" t="s">
        <v>5037</v>
      </c>
      <c r="B18" s="14" t="s">
        <v>6011</v>
      </c>
      <c r="C18" s="6" t="s">
        <v>6012</v>
      </c>
      <c r="D18" s="14" t="s">
        <v>107</v>
      </c>
      <c r="E18" s="14" t="s">
        <v>4792</v>
      </c>
      <c r="F18" s="6" t="s">
        <v>5035</v>
      </c>
      <c r="G18" s="19" t="s">
        <v>6013</v>
      </c>
    </row>
    <row r="19" customFormat="false" ht="15" hidden="false" customHeight="true" outlineLevel="0" collapsed="false">
      <c r="A19" s="14" t="s">
        <v>5052</v>
      </c>
      <c r="B19" s="19" t="s">
        <v>6014</v>
      </c>
      <c r="C19" s="18" t="s">
        <v>6015</v>
      </c>
      <c r="D19" s="14" t="s">
        <v>177</v>
      </c>
      <c r="E19" s="14" t="s">
        <v>5048</v>
      </c>
      <c r="F19" s="6" t="s">
        <v>5049</v>
      </c>
      <c r="G19" s="19" t="s">
        <v>6016</v>
      </c>
    </row>
    <row r="20" customFormat="false" ht="15" hidden="false" customHeight="true" outlineLevel="0" collapsed="false">
      <c r="A20" s="14" t="s">
        <v>5062</v>
      </c>
      <c r="B20" s="14" t="s">
        <v>6017</v>
      </c>
      <c r="C20" s="6" t="s">
        <v>6018</v>
      </c>
      <c r="D20" s="14" t="s">
        <v>177</v>
      </c>
      <c r="E20" s="14" t="s">
        <v>4765</v>
      </c>
      <c r="F20" s="6" t="s">
        <v>5058</v>
      </c>
      <c r="G20" s="19" t="s">
        <v>5057</v>
      </c>
    </row>
    <row r="21" customFormat="false" ht="15" hidden="false" customHeight="true" outlineLevel="0" collapsed="false">
      <c r="A21" s="14" t="s">
        <v>5570</v>
      </c>
      <c r="B21" s="14" t="s">
        <v>6019</v>
      </c>
      <c r="C21" s="6" t="s">
        <v>6020</v>
      </c>
      <c r="D21" s="14" t="s">
        <v>107</v>
      </c>
      <c r="E21" s="14" t="s">
        <v>4765</v>
      </c>
      <c r="F21" s="6" t="s">
        <v>5567</v>
      </c>
      <c r="G21" s="19" t="s">
        <v>5980</v>
      </c>
    </row>
    <row r="22" customFormat="false" ht="15" hidden="false" customHeight="true" outlineLevel="0" collapsed="false">
      <c r="A22" s="14" t="s">
        <v>5580</v>
      </c>
      <c r="B22" s="19" t="s">
        <v>6021</v>
      </c>
      <c r="C22" s="6" t="s">
        <v>6022</v>
      </c>
      <c r="D22" s="14" t="s">
        <v>250</v>
      </c>
      <c r="E22" s="14" t="s">
        <v>1173</v>
      </c>
      <c r="F22" s="6" t="s">
        <v>5576</v>
      </c>
      <c r="G22" s="19" t="s">
        <v>5575</v>
      </c>
    </row>
    <row r="23" customFormat="false" ht="54.75" hidden="false" customHeight="true" outlineLevel="0" collapsed="false">
      <c r="A23" s="6" t="s">
        <v>421</v>
      </c>
      <c r="B23" s="6" t="s">
        <v>6023</v>
      </c>
      <c r="C23" s="6" t="s">
        <v>6024</v>
      </c>
      <c r="D23" s="6" t="s">
        <v>6025</v>
      </c>
      <c r="E23" s="6" t="s">
        <v>4765</v>
      </c>
      <c r="F23" s="6" t="s">
        <v>5319</v>
      </c>
      <c r="G23" s="5" t="s">
        <v>6026</v>
      </c>
    </row>
    <row r="24" customFormat="false" ht="43.5" hidden="false" customHeight="true" outlineLevel="0" collapsed="false">
      <c r="A24" s="6" t="s">
        <v>420</v>
      </c>
      <c r="B24" s="6" t="s">
        <v>6027</v>
      </c>
      <c r="C24" s="6" t="s">
        <v>6028</v>
      </c>
      <c r="D24" s="6" t="s">
        <v>6029</v>
      </c>
      <c r="E24" s="6" t="s">
        <v>5333</v>
      </c>
      <c r="F24" s="6" t="s">
        <v>5334</v>
      </c>
      <c r="G24" s="5" t="s">
        <v>6030</v>
      </c>
    </row>
    <row r="25" customFormat="false" ht="29.25" hidden="false" customHeight="true" outlineLevel="0" collapsed="false">
      <c r="A25" s="6" t="s">
        <v>419</v>
      </c>
      <c r="B25" s="6" t="s">
        <v>6031</v>
      </c>
      <c r="C25" s="6" t="s">
        <v>6032</v>
      </c>
      <c r="D25" s="6" t="s">
        <v>6033</v>
      </c>
      <c r="E25" s="5" t="s">
        <v>6034</v>
      </c>
      <c r="F25" s="6" t="s">
        <v>5357</v>
      </c>
      <c r="G25" s="5" t="s">
        <v>6035</v>
      </c>
    </row>
    <row r="26" customFormat="false" ht="29.25" hidden="false" customHeight="true" outlineLevel="0" collapsed="false">
      <c r="A26" s="6" t="s">
        <v>422</v>
      </c>
      <c r="B26" s="6" t="s">
        <v>6036</v>
      </c>
      <c r="C26" s="6" t="s">
        <v>6037</v>
      </c>
      <c r="D26" s="6" t="s">
        <v>6038</v>
      </c>
      <c r="E26" s="6" t="s">
        <v>5379</v>
      </c>
      <c r="F26" s="6" t="s">
        <v>5380</v>
      </c>
      <c r="G26" s="5" t="s">
        <v>6039</v>
      </c>
    </row>
    <row r="27" customFormat="false" ht="29.25" hidden="false" customHeight="true" outlineLevel="0" collapsed="false">
      <c r="A27" s="6" t="s">
        <v>5393</v>
      </c>
      <c r="B27" s="6" t="s">
        <v>6040</v>
      </c>
      <c r="C27" s="6" t="s">
        <v>6041</v>
      </c>
      <c r="D27" s="6" t="s">
        <v>6038</v>
      </c>
      <c r="E27" s="6" t="s">
        <v>1176</v>
      </c>
      <c r="F27" s="6" t="s">
        <v>5390</v>
      </c>
      <c r="G27" s="5" t="s">
        <v>6042</v>
      </c>
    </row>
    <row r="28" customFormat="false" ht="29.25" hidden="false" customHeight="true" outlineLevel="0" collapsed="false">
      <c r="A28" s="6" t="s">
        <v>5831</v>
      </c>
      <c r="B28" s="6" t="s">
        <v>6043</v>
      </c>
      <c r="C28" s="6" t="s">
        <v>6044</v>
      </c>
      <c r="D28" s="6" t="s">
        <v>6045</v>
      </c>
      <c r="E28" s="6" t="s">
        <v>5190</v>
      </c>
      <c r="F28" s="6" t="s">
        <v>5828</v>
      </c>
      <c r="G28" s="5" t="s">
        <v>6046</v>
      </c>
    </row>
    <row r="29" customFormat="false" ht="54.75" hidden="false" customHeight="true" outlineLevel="0" collapsed="false">
      <c r="A29" s="6" t="s">
        <v>5404</v>
      </c>
      <c r="B29" s="6" t="s">
        <v>6047</v>
      </c>
      <c r="C29" s="6" t="s">
        <v>6048</v>
      </c>
      <c r="D29" s="6" t="s">
        <v>6049</v>
      </c>
      <c r="E29" s="6" t="s">
        <v>1173</v>
      </c>
      <c r="F29" s="6" t="s">
        <v>5401</v>
      </c>
      <c r="G29" s="5" t="s">
        <v>6050</v>
      </c>
    </row>
    <row r="30" customFormat="false" ht="29.25" hidden="false" customHeight="true" outlineLevel="0" collapsed="false">
      <c r="A30" s="6" t="s">
        <v>2454</v>
      </c>
      <c r="B30" s="6" t="s">
        <v>6051</v>
      </c>
      <c r="C30" s="6" t="s">
        <v>6052</v>
      </c>
      <c r="D30" s="6" t="s">
        <v>107</v>
      </c>
      <c r="E30" s="6" t="s">
        <v>4673</v>
      </c>
      <c r="F30" s="6" t="s">
        <v>5070</v>
      </c>
      <c r="G30" s="5" t="s">
        <v>6053</v>
      </c>
    </row>
    <row r="31" customFormat="false" ht="43.5" hidden="false" customHeight="true" outlineLevel="0" collapsed="false">
      <c r="A31" s="6" t="s">
        <v>4797</v>
      </c>
      <c r="B31" s="6" t="s">
        <v>6054</v>
      </c>
      <c r="C31" s="6" t="s">
        <v>6055</v>
      </c>
      <c r="D31" s="6" t="s">
        <v>6056</v>
      </c>
      <c r="E31" s="6" t="s">
        <v>4792</v>
      </c>
      <c r="F31" s="5" t="s">
        <v>4793</v>
      </c>
      <c r="G31" s="5" t="s">
        <v>6057</v>
      </c>
    </row>
    <row r="32" customFormat="false" ht="15" hidden="false" customHeight="true" outlineLevel="0" collapsed="false">
      <c r="A32" s="6" t="s">
        <v>4846</v>
      </c>
      <c r="B32" s="5" t="s">
        <v>6058</v>
      </c>
      <c r="C32" s="6" t="s">
        <v>6059</v>
      </c>
      <c r="D32" s="6" t="s">
        <v>76</v>
      </c>
      <c r="E32" s="6" t="s">
        <v>571</v>
      </c>
      <c r="F32" s="5" t="s">
        <v>4843</v>
      </c>
      <c r="G32" s="5" t="s">
        <v>5980</v>
      </c>
    </row>
    <row r="33" customFormat="false" ht="29.25" hidden="false" customHeight="true" outlineLevel="0" collapsed="false">
      <c r="A33" s="6" t="s">
        <v>5437</v>
      </c>
      <c r="B33" s="6" t="s">
        <v>6060</v>
      </c>
      <c r="C33" s="6" t="s">
        <v>6061</v>
      </c>
      <c r="D33" s="6" t="s">
        <v>6062</v>
      </c>
      <c r="E33" s="6" t="s">
        <v>5432</v>
      </c>
      <c r="F33" s="6" t="s">
        <v>5433</v>
      </c>
      <c r="G33" s="5" t="s">
        <v>6046</v>
      </c>
    </row>
    <row r="34" customFormat="false" ht="69" hidden="false" customHeight="true" outlineLevel="0" collapsed="false">
      <c r="A34" s="6" t="s">
        <v>2440</v>
      </c>
      <c r="B34" s="6" t="s">
        <v>6063</v>
      </c>
      <c r="C34" s="6" t="s">
        <v>6064</v>
      </c>
      <c r="D34" s="6" t="s">
        <v>6065</v>
      </c>
      <c r="E34" s="6" t="s">
        <v>5448</v>
      </c>
      <c r="F34" s="6" t="s">
        <v>5449</v>
      </c>
      <c r="G34" s="5" t="s">
        <v>6066</v>
      </c>
    </row>
    <row r="35" customFormat="false" ht="29.25" hidden="false" customHeight="true" outlineLevel="0" collapsed="false">
      <c r="A35" s="6" t="s">
        <v>5464</v>
      </c>
      <c r="B35" s="6" t="s">
        <v>6067</v>
      </c>
      <c r="C35" s="5" t="s">
        <v>6068</v>
      </c>
      <c r="D35" s="6" t="s">
        <v>107</v>
      </c>
      <c r="E35" s="6" t="s">
        <v>6069</v>
      </c>
      <c r="F35" s="6" t="s">
        <v>5461</v>
      </c>
      <c r="G35" s="5" t="s">
        <v>6050</v>
      </c>
    </row>
    <row r="36" customFormat="false" ht="29.25" hidden="false" customHeight="true" outlineLevel="0" collapsed="false">
      <c r="A36" s="6" t="s">
        <v>6070</v>
      </c>
      <c r="B36" s="6" t="s">
        <v>6071</v>
      </c>
      <c r="C36" s="6" t="s">
        <v>6072</v>
      </c>
      <c r="D36" s="6" t="s">
        <v>6073</v>
      </c>
      <c r="E36" s="6" t="s">
        <v>4703</v>
      </c>
      <c r="F36" s="6" t="s">
        <v>6074</v>
      </c>
      <c r="G36" s="5" t="s">
        <v>6075</v>
      </c>
    </row>
    <row r="37" customFormat="false" ht="29.25" hidden="false" customHeight="true" outlineLevel="0" collapsed="false">
      <c r="A37" s="6" t="s">
        <v>5177</v>
      </c>
      <c r="B37" s="6" t="s">
        <v>6076</v>
      </c>
      <c r="C37" s="6" t="s">
        <v>6077</v>
      </c>
      <c r="D37" s="6" t="s">
        <v>6078</v>
      </c>
      <c r="E37" s="6" t="s">
        <v>4687</v>
      </c>
      <c r="F37" s="6" t="s">
        <v>5173</v>
      </c>
      <c r="G37" s="5" t="s">
        <v>6079</v>
      </c>
    </row>
    <row r="38" customFormat="false" ht="29.25" hidden="false" customHeight="true" outlineLevel="0" collapsed="false">
      <c r="A38" s="6" t="s">
        <v>4865</v>
      </c>
      <c r="B38" s="6" t="s">
        <v>6080</v>
      </c>
      <c r="C38" s="6" t="s">
        <v>6081</v>
      </c>
      <c r="D38" s="6" t="s">
        <v>6056</v>
      </c>
      <c r="E38" s="6" t="s">
        <v>4673</v>
      </c>
      <c r="F38" s="6" t="s">
        <v>4861</v>
      </c>
      <c r="G38" s="5" t="s">
        <v>6082</v>
      </c>
    </row>
    <row r="39" customFormat="false" ht="29.25" hidden="false" customHeight="true" outlineLevel="0" collapsed="false">
      <c r="A39" s="6" t="s">
        <v>5490</v>
      </c>
      <c r="B39" s="6" t="s">
        <v>6083</v>
      </c>
      <c r="C39" s="6" t="s">
        <v>6084</v>
      </c>
      <c r="D39" s="6" t="s">
        <v>6085</v>
      </c>
      <c r="E39" s="6" t="s">
        <v>5486</v>
      </c>
      <c r="F39" s="6" t="s">
        <v>5487</v>
      </c>
      <c r="G39" s="5" t="s">
        <v>5980</v>
      </c>
    </row>
    <row r="40" customFormat="false" ht="57.75" hidden="false" customHeight="true" outlineLevel="0" collapsed="false">
      <c r="A40" s="6" t="s">
        <v>5898</v>
      </c>
      <c r="B40" s="6" t="s">
        <v>6086</v>
      </c>
      <c r="C40" s="5" t="s">
        <v>6087</v>
      </c>
      <c r="D40" s="6" t="s">
        <v>6088</v>
      </c>
      <c r="E40" s="6" t="s">
        <v>4703</v>
      </c>
      <c r="F40" s="6" t="s">
        <v>5895</v>
      </c>
      <c r="G40" s="5" t="s">
        <v>6050</v>
      </c>
    </row>
    <row r="41" customFormat="false" ht="29.25" hidden="false" customHeight="true" outlineLevel="0" collapsed="false">
      <c r="A41" s="6" t="s">
        <v>5195</v>
      </c>
      <c r="B41" s="6" t="s">
        <v>6089</v>
      </c>
      <c r="C41" s="6" t="s">
        <v>6090</v>
      </c>
      <c r="D41" s="6" t="s">
        <v>6091</v>
      </c>
      <c r="E41" s="6" t="s">
        <v>5190</v>
      </c>
      <c r="F41" s="6" t="s">
        <v>5191</v>
      </c>
      <c r="G41" s="5" t="s">
        <v>6050</v>
      </c>
    </row>
    <row r="42" customFormat="false" ht="43.5" hidden="false" customHeight="true" outlineLevel="0" collapsed="false">
      <c r="A42" s="6" t="s">
        <v>5206</v>
      </c>
      <c r="B42" s="6" t="s">
        <v>6092</v>
      </c>
      <c r="C42" s="6" t="s">
        <v>6093</v>
      </c>
      <c r="D42" s="6" t="s">
        <v>6094</v>
      </c>
      <c r="E42" s="6" t="s">
        <v>6095</v>
      </c>
      <c r="F42" s="6" t="s">
        <v>5203</v>
      </c>
      <c r="G42" s="5" t="s">
        <v>6096</v>
      </c>
    </row>
    <row r="43" customFormat="false" ht="29.25" hidden="false" customHeight="true" outlineLevel="0" collapsed="false">
      <c r="A43" s="6" t="s">
        <v>5218</v>
      </c>
      <c r="B43" s="6" t="s">
        <v>6097</v>
      </c>
      <c r="C43" s="6" t="s">
        <v>6098</v>
      </c>
      <c r="D43" s="6" t="s">
        <v>6099</v>
      </c>
      <c r="E43" s="6" t="s">
        <v>5214</v>
      </c>
      <c r="F43" s="6" t="s">
        <v>5215</v>
      </c>
      <c r="G43" s="5" t="s">
        <v>6050</v>
      </c>
    </row>
    <row r="44" customFormat="false" ht="40.5" hidden="false" customHeight="true" outlineLevel="0" collapsed="false">
      <c r="A44" s="6" t="s">
        <v>5226</v>
      </c>
      <c r="B44" s="6" t="s">
        <v>6100</v>
      </c>
      <c r="C44" s="5" t="s">
        <v>6101</v>
      </c>
      <c r="D44" s="6" t="s">
        <v>6102</v>
      </c>
      <c r="E44" s="6" t="s">
        <v>5222</v>
      </c>
      <c r="F44" s="6" t="s">
        <v>5223</v>
      </c>
      <c r="G44" s="5" t="s">
        <v>6103</v>
      </c>
    </row>
    <row r="45" customFormat="false" ht="29.25" hidden="false" customHeight="true" outlineLevel="0" collapsed="false">
      <c r="A45" s="6" t="s">
        <v>6104</v>
      </c>
      <c r="B45" s="6" t="s">
        <v>6105</v>
      </c>
      <c r="C45" s="6" t="s">
        <v>6106</v>
      </c>
      <c r="D45" s="6" t="s">
        <v>6107</v>
      </c>
      <c r="E45" s="6" t="s">
        <v>4673</v>
      </c>
      <c r="F45" s="6" t="s">
        <v>6108</v>
      </c>
      <c r="G45" s="5" t="s">
        <v>6109</v>
      </c>
    </row>
    <row r="46" customFormat="false" ht="29.25" hidden="false" customHeight="true" outlineLevel="0" collapsed="false">
      <c r="A46" s="6" t="s">
        <v>935</v>
      </c>
      <c r="B46" s="6" t="s">
        <v>6110</v>
      </c>
      <c r="C46" s="5" t="s">
        <v>6111</v>
      </c>
      <c r="D46" s="6" t="s">
        <v>6078</v>
      </c>
      <c r="E46" s="6" t="s">
        <v>5236</v>
      </c>
      <c r="F46" s="6" t="s">
        <v>5237</v>
      </c>
      <c r="G46" s="6" t="s">
        <v>6112</v>
      </c>
    </row>
    <row r="47" customFormat="false" ht="29.25" hidden="false" customHeight="true" outlineLevel="0" collapsed="false">
      <c r="A47" s="6" t="s">
        <v>5255</v>
      </c>
      <c r="B47" s="6" t="s">
        <v>6113</v>
      </c>
      <c r="C47" s="5" t="s">
        <v>6114</v>
      </c>
      <c r="D47" s="6" t="s">
        <v>6078</v>
      </c>
      <c r="E47" s="6" t="s">
        <v>1173</v>
      </c>
      <c r="F47" s="6" t="s">
        <v>5253</v>
      </c>
      <c r="G47" s="5" t="s">
        <v>6079</v>
      </c>
    </row>
    <row r="48" customFormat="false" ht="29.25" hidden="false" customHeight="true" outlineLevel="0" collapsed="false">
      <c r="A48" s="6" t="s">
        <v>5265</v>
      </c>
      <c r="B48" s="6" t="s">
        <v>6115</v>
      </c>
      <c r="C48" s="5" t="s">
        <v>6116</v>
      </c>
      <c r="D48" s="6" t="s">
        <v>6117</v>
      </c>
      <c r="E48" s="6" t="s">
        <v>5261</v>
      </c>
      <c r="F48" s="6" t="s">
        <v>5262</v>
      </c>
      <c r="G48" s="5" t="s">
        <v>6079</v>
      </c>
    </row>
    <row r="49" customFormat="false" ht="29.25" hidden="false" customHeight="true" outlineLevel="0" collapsed="false">
      <c r="A49" s="6" t="s">
        <v>5270</v>
      </c>
      <c r="B49" s="6" t="s">
        <v>6118</v>
      </c>
      <c r="C49" s="5" t="s">
        <v>6119</v>
      </c>
      <c r="D49" s="6" t="s">
        <v>6120</v>
      </c>
      <c r="E49" s="6" t="s">
        <v>5202</v>
      </c>
      <c r="F49" s="6" t="s">
        <v>5268</v>
      </c>
      <c r="G49" s="5" t="s">
        <v>6096</v>
      </c>
    </row>
    <row r="50" customFormat="false" ht="29.25" hidden="false" customHeight="true" outlineLevel="0" collapsed="false">
      <c r="A50" s="6" t="s">
        <v>5279</v>
      </c>
      <c r="B50" s="6" t="s">
        <v>6121</v>
      </c>
      <c r="C50" s="6" t="s">
        <v>6122</v>
      </c>
      <c r="D50" s="6" t="s">
        <v>6085</v>
      </c>
      <c r="E50" s="6" t="s">
        <v>5222</v>
      </c>
      <c r="F50" s="6" t="s">
        <v>5276</v>
      </c>
      <c r="G50" s="5" t="s">
        <v>6050</v>
      </c>
    </row>
    <row r="51" customFormat="false" ht="29.25" hidden="false" customHeight="true" outlineLevel="0" collapsed="false">
      <c r="A51" s="6" t="s">
        <v>5504</v>
      </c>
      <c r="B51" s="6" t="s">
        <v>6123</v>
      </c>
      <c r="C51" s="6" t="s">
        <v>6124</v>
      </c>
      <c r="D51" s="6" t="s">
        <v>6125</v>
      </c>
      <c r="E51" s="6" t="s">
        <v>6126</v>
      </c>
      <c r="F51" s="6" t="s">
        <v>5501</v>
      </c>
      <c r="G51" s="5" t="s">
        <v>6127</v>
      </c>
    </row>
    <row r="52" customFormat="false" ht="29.25" hidden="false" customHeight="true" outlineLevel="0" collapsed="false">
      <c r="A52" s="6" t="s">
        <v>5426</v>
      </c>
      <c r="B52" s="6" t="s">
        <v>6128</v>
      </c>
      <c r="C52" s="6" t="s">
        <v>6129</v>
      </c>
      <c r="D52" s="6" t="s">
        <v>6078</v>
      </c>
      <c r="E52" s="6" t="s">
        <v>5422</v>
      </c>
      <c r="F52" s="6" t="s">
        <v>5423</v>
      </c>
      <c r="G52" s="5" t="s">
        <v>5980</v>
      </c>
    </row>
    <row r="53" customFormat="false" ht="29.25" hidden="false" customHeight="true" outlineLevel="0" collapsed="false">
      <c r="A53" s="6" t="s">
        <v>5589</v>
      </c>
      <c r="B53" s="6" t="s">
        <v>6130</v>
      </c>
      <c r="C53" s="6" t="s">
        <v>6131</v>
      </c>
      <c r="D53" s="6" t="s">
        <v>107</v>
      </c>
      <c r="E53" s="6" t="s">
        <v>1164</v>
      </c>
      <c r="F53" s="6" t="s">
        <v>5586</v>
      </c>
      <c r="G53" s="5" t="s">
        <v>6050</v>
      </c>
    </row>
    <row r="54" customFormat="false" ht="72" hidden="false" customHeight="true" outlineLevel="0" collapsed="false">
      <c r="A54" s="6" t="s">
        <v>5620</v>
      </c>
      <c r="B54" s="6" t="s">
        <v>6132</v>
      </c>
      <c r="C54" s="6" t="s">
        <v>6133</v>
      </c>
      <c r="D54" s="6" t="s">
        <v>6134</v>
      </c>
      <c r="E54" s="6" t="s">
        <v>6135</v>
      </c>
      <c r="F54" s="6" t="s">
        <v>5617</v>
      </c>
      <c r="G54" s="5" t="s">
        <v>6136</v>
      </c>
    </row>
    <row r="55" customFormat="false" ht="29.25" hidden="false" customHeight="true" outlineLevel="0" collapsed="false">
      <c r="A55" s="6" t="s">
        <v>2494</v>
      </c>
      <c r="B55" s="6" t="s">
        <v>6137</v>
      </c>
      <c r="C55" s="6" t="s">
        <v>6138</v>
      </c>
      <c r="D55" s="6" t="s">
        <v>107</v>
      </c>
      <c r="E55" s="6" t="s">
        <v>1185</v>
      </c>
      <c r="F55" s="6" t="s">
        <v>5652</v>
      </c>
      <c r="G55" s="5" t="s">
        <v>6139</v>
      </c>
    </row>
    <row r="56" customFormat="false" ht="29.25" hidden="false" customHeight="true" outlineLevel="0" collapsed="false">
      <c r="A56" s="6" t="s">
        <v>5685</v>
      </c>
      <c r="B56" s="6" t="s">
        <v>6140</v>
      </c>
      <c r="C56" s="6" t="s">
        <v>6141</v>
      </c>
      <c r="D56" s="6" t="s">
        <v>107</v>
      </c>
      <c r="E56" s="6" t="s">
        <v>1185</v>
      </c>
      <c r="F56" s="6" t="s">
        <v>5682</v>
      </c>
      <c r="G56" s="5" t="s">
        <v>6030</v>
      </c>
    </row>
    <row r="57" customFormat="false" ht="43.5" hidden="false" customHeight="true" outlineLevel="0" collapsed="false">
      <c r="A57" s="6" t="s">
        <v>5707</v>
      </c>
      <c r="B57" s="6" t="s">
        <v>6142</v>
      </c>
      <c r="C57" s="6" t="s">
        <v>6143</v>
      </c>
      <c r="D57" s="6" t="s">
        <v>6144</v>
      </c>
      <c r="E57" s="6" t="s">
        <v>6135</v>
      </c>
      <c r="F57" s="6" t="s">
        <v>5704</v>
      </c>
      <c r="G57" s="5" t="s">
        <v>6145</v>
      </c>
    </row>
    <row r="58" customFormat="false" ht="54.75" hidden="false" customHeight="true" outlineLevel="0" collapsed="false">
      <c r="A58" s="6" t="s">
        <v>5744</v>
      </c>
      <c r="B58" s="6" t="s">
        <v>6146</v>
      </c>
      <c r="C58" s="6" t="s">
        <v>6147</v>
      </c>
      <c r="D58" s="6" t="s">
        <v>6148</v>
      </c>
      <c r="E58" s="6" t="s">
        <v>1173</v>
      </c>
      <c r="F58" s="6" t="s">
        <v>5741</v>
      </c>
      <c r="G58" s="5" t="s">
        <v>6149</v>
      </c>
    </row>
    <row r="59" customFormat="false" ht="29.25" hidden="false" customHeight="true" outlineLevel="0" collapsed="false">
      <c r="A59" s="6" t="s">
        <v>5770</v>
      </c>
      <c r="B59" s="6" t="s">
        <v>6150</v>
      </c>
      <c r="C59" s="6" t="s">
        <v>6151</v>
      </c>
      <c r="D59" s="6" t="s">
        <v>303</v>
      </c>
      <c r="E59" s="6" t="s">
        <v>1173</v>
      </c>
      <c r="F59" s="6" t="s">
        <v>5767</v>
      </c>
      <c r="G59" s="5" t="s">
        <v>6152</v>
      </c>
    </row>
    <row r="60" customFormat="false" ht="72" hidden="false" customHeight="true" outlineLevel="0" collapsed="false">
      <c r="A60" s="6" t="s">
        <v>5910</v>
      </c>
      <c r="B60" s="6" t="s">
        <v>6153</v>
      </c>
      <c r="C60" s="5" t="s">
        <v>6154</v>
      </c>
      <c r="D60" s="6" t="s">
        <v>6155</v>
      </c>
      <c r="E60" s="6" t="s">
        <v>4673</v>
      </c>
      <c r="F60" s="6" t="s">
        <v>5907</v>
      </c>
      <c r="G60" s="5" t="s">
        <v>6156</v>
      </c>
    </row>
    <row r="61" customFormat="false" ht="83.25" hidden="false" customHeight="true" outlineLevel="0" collapsed="false">
      <c r="A61" s="6" t="s">
        <v>1496</v>
      </c>
      <c r="B61" s="6" t="s">
        <v>6157</v>
      </c>
      <c r="C61" s="6" t="s">
        <v>6158</v>
      </c>
      <c r="D61" s="6" t="s">
        <v>6159</v>
      </c>
      <c r="E61" s="6" t="s">
        <v>1173</v>
      </c>
      <c r="F61" s="6" t="s">
        <v>5838</v>
      </c>
      <c r="G61" s="6" t="s">
        <v>6160</v>
      </c>
    </row>
    <row r="62" customFormat="false" ht="57.75" hidden="false" customHeight="true" outlineLevel="0" collapsed="false">
      <c r="A62" s="6" t="s">
        <v>1515</v>
      </c>
      <c r="B62" s="6" t="s">
        <v>6161</v>
      </c>
      <c r="C62" s="6" t="s">
        <v>6162</v>
      </c>
      <c r="D62" s="6" t="s">
        <v>6163</v>
      </c>
      <c r="E62" s="6" t="s">
        <v>6164</v>
      </c>
      <c r="F62" s="6" t="s">
        <v>5789</v>
      </c>
      <c r="G62" s="6" t="s">
        <v>6165</v>
      </c>
    </row>
    <row r="63" customFormat="false" ht="40.5" hidden="false" customHeight="true" outlineLevel="0" collapsed="false">
      <c r="A63" s="6" t="s">
        <v>5879</v>
      </c>
      <c r="B63" s="6" t="s">
        <v>6166</v>
      </c>
      <c r="C63" s="6" t="s">
        <v>6167</v>
      </c>
      <c r="D63" s="6" t="s">
        <v>6168</v>
      </c>
      <c r="E63" s="6" t="s">
        <v>1173</v>
      </c>
      <c r="F63" s="6" t="s">
        <v>5876</v>
      </c>
      <c r="G63" s="5" t="s">
        <v>6169</v>
      </c>
    </row>
    <row r="64" customFormat="false" ht="29.25" hidden="false" customHeight="true" outlineLevel="0" collapsed="false">
      <c r="A64" s="6" t="s">
        <v>5889</v>
      </c>
      <c r="B64" s="6" t="s">
        <v>6170</v>
      </c>
      <c r="C64" s="6" t="s">
        <v>6171</v>
      </c>
      <c r="D64" s="6" t="s">
        <v>6172</v>
      </c>
      <c r="E64" s="6" t="s">
        <v>1173</v>
      </c>
      <c r="F64" s="6" t="s">
        <v>5886</v>
      </c>
      <c r="G64" s="5" t="s">
        <v>6173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</cols>
  <sheetData>
    <row r="1" customFormat="false" ht="19.5" hidden="false" customHeight="true" outlineLevel="0" collapsed="false">
      <c r="A1" s="207" t="s">
        <v>6174</v>
      </c>
    </row>
    <row r="2" customFormat="false" ht="15" hidden="false" customHeight="true" outlineLevel="0" collapsed="false">
      <c r="A2" s="218" t="s">
        <v>6175</v>
      </c>
    </row>
    <row r="3" customFormat="false" ht="15" hidden="false" customHeight="true" outlineLevel="0" collapsed="false">
      <c r="A3" s="36" t="s">
        <v>6176</v>
      </c>
    </row>
    <row r="4" customFormat="false" ht="15" hidden="false" customHeight="true" outlineLevel="0" collapsed="false">
      <c r="A4" s="77" t="s">
        <v>550</v>
      </c>
      <c r="B4" s="208" t="s">
        <v>4294</v>
      </c>
      <c r="C4" s="208" t="s">
        <v>6177</v>
      </c>
      <c r="D4" s="208" t="s">
        <v>6178</v>
      </c>
      <c r="E4" s="208" t="s">
        <v>59</v>
      </c>
      <c r="F4" s="208" t="s">
        <v>6179</v>
      </c>
      <c r="G4" s="77" t="s">
        <v>6180</v>
      </c>
      <c r="H4" s="208" t="s">
        <v>6181</v>
      </c>
      <c r="I4" s="208" t="s">
        <v>6182</v>
      </c>
      <c r="J4" s="208" t="s">
        <v>6183</v>
      </c>
      <c r="K4" s="208" t="s">
        <v>4652</v>
      </c>
      <c r="L4" s="208" t="s">
        <v>6184</v>
      </c>
      <c r="M4" s="208" t="s">
        <v>6185</v>
      </c>
      <c r="N4" s="208" t="s">
        <v>4645</v>
      </c>
      <c r="O4" s="208" t="s">
        <v>6186</v>
      </c>
      <c r="P4" s="208" t="s">
        <v>4472</v>
      </c>
      <c r="Q4" s="208" t="s">
        <v>4642</v>
      </c>
    </row>
    <row r="5" customFormat="false" ht="30" hidden="false" customHeight="true" outlineLevel="0" collapsed="false">
      <c r="A5" s="211" t="s">
        <v>4881</v>
      </c>
      <c r="B5" s="211" t="s">
        <v>4355</v>
      </c>
      <c r="C5" s="220" t="s">
        <v>6187</v>
      </c>
      <c r="D5" s="211" t="s">
        <v>6188</v>
      </c>
      <c r="E5" s="211" t="s">
        <v>177</v>
      </c>
      <c r="F5" s="220" t="s">
        <v>6189</v>
      </c>
      <c r="G5" s="211" t="s">
        <v>6190</v>
      </c>
      <c r="H5" s="211" t="s">
        <v>6191</v>
      </c>
      <c r="I5" s="221" t="s">
        <v>6192</v>
      </c>
      <c r="J5" s="211" t="s">
        <v>6193</v>
      </c>
      <c r="K5" s="220" t="s">
        <v>6194</v>
      </c>
      <c r="L5" s="209" t="s">
        <v>6195</v>
      </c>
      <c r="M5" s="6" t="s">
        <v>6196</v>
      </c>
      <c r="N5" s="35" t="s">
        <v>571</v>
      </c>
      <c r="O5" s="35" t="s">
        <v>571</v>
      </c>
      <c r="P5" s="35" t="s">
        <v>571</v>
      </c>
      <c r="Q5" s="6" t="s">
        <v>571</v>
      </c>
    </row>
    <row r="6" customFormat="false" ht="30" hidden="false" customHeight="true" outlineLevel="0" collapsed="false">
      <c r="A6" s="211" t="s">
        <v>6197</v>
      </c>
      <c r="B6" s="211" t="s">
        <v>4355</v>
      </c>
      <c r="C6" s="220" t="s">
        <v>6198</v>
      </c>
      <c r="D6" s="211" t="s">
        <v>5177</v>
      </c>
      <c r="E6" s="211" t="s">
        <v>107</v>
      </c>
      <c r="F6" s="220" t="s">
        <v>6199</v>
      </c>
      <c r="G6" s="221" t="s">
        <v>6200</v>
      </c>
      <c r="H6" s="211" t="s">
        <v>6201</v>
      </c>
      <c r="I6" s="221" t="s">
        <v>6192</v>
      </c>
      <c r="J6" s="211" t="s">
        <v>6193</v>
      </c>
      <c r="K6" s="220"/>
      <c r="L6" s="209" t="s">
        <v>6195</v>
      </c>
      <c r="M6" s="6" t="s">
        <v>6202</v>
      </c>
      <c r="N6" s="35" t="s">
        <v>571</v>
      </c>
      <c r="O6" s="35" t="s">
        <v>571</v>
      </c>
      <c r="P6" s="35" t="s">
        <v>571</v>
      </c>
      <c r="Q6" s="6" t="s">
        <v>571</v>
      </c>
    </row>
    <row r="7" customFormat="false" ht="30" hidden="false" customHeight="true" outlineLevel="0" collapsed="false">
      <c r="A7" s="211" t="s">
        <v>6203</v>
      </c>
      <c r="B7" s="211" t="s">
        <v>4355</v>
      </c>
      <c r="C7" s="220" t="s">
        <v>6204</v>
      </c>
      <c r="D7" s="211" t="s">
        <v>4865</v>
      </c>
      <c r="E7" s="211" t="s">
        <v>177</v>
      </c>
      <c r="F7" s="220" t="s">
        <v>6205</v>
      </c>
      <c r="G7" s="221" t="s">
        <v>6200</v>
      </c>
      <c r="H7" s="211" t="s">
        <v>6206</v>
      </c>
      <c r="I7" s="221" t="s">
        <v>6192</v>
      </c>
      <c r="J7" s="211" t="s">
        <v>6193</v>
      </c>
      <c r="K7" s="220"/>
      <c r="L7" s="209" t="s">
        <v>6195</v>
      </c>
      <c r="M7" s="6" t="s">
        <v>6207</v>
      </c>
      <c r="N7" s="35" t="s">
        <v>571</v>
      </c>
      <c r="O7" s="35" t="s">
        <v>571</v>
      </c>
      <c r="P7" s="35" t="s">
        <v>571</v>
      </c>
      <c r="Q7" s="6" t="s">
        <v>571</v>
      </c>
    </row>
    <row r="8" customFormat="false" ht="30" hidden="false" customHeight="true" outlineLevel="0" collapsed="false">
      <c r="A8" s="211" t="s">
        <v>6208</v>
      </c>
      <c r="B8" s="211" t="s">
        <v>4355</v>
      </c>
      <c r="C8" s="222" t="s">
        <v>6209</v>
      </c>
      <c r="D8" s="211" t="s">
        <v>5898</v>
      </c>
      <c r="E8" s="211" t="s">
        <v>76</v>
      </c>
      <c r="F8" s="220" t="s">
        <v>6210</v>
      </c>
      <c r="G8" s="221" t="s">
        <v>6200</v>
      </c>
      <c r="H8" s="211" t="s">
        <v>6211</v>
      </c>
      <c r="I8" s="221" t="s">
        <v>6212</v>
      </c>
      <c r="J8" s="211" t="s">
        <v>6193</v>
      </c>
      <c r="K8" s="222" t="s">
        <v>6213</v>
      </c>
      <c r="L8" s="209" t="s">
        <v>6195</v>
      </c>
      <c r="M8" s="6" t="s">
        <v>6214</v>
      </c>
      <c r="N8" s="35" t="s">
        <v>571</v>
      </c>
      <c r="O8" s="35" t="s">
        <v>571</v>
      </c>
      <c r="P8" s="35" t="s">
        <v>571</v>
      </c>
      <c r="Q8" s="6" t="s">
        <v>571</v>
      </c>
    </row>
    <row r="9" customFormat="false" ht="30" hidden="false" customHeight="true" outlineLevel="0" collapsed="false">
      <c r="A9" s="211" t="s">
        <v>6215</v>
      </c>
      <c r="B9" s="211" t="s">
        <v>4355</v>
      </c>
      <c r="C9" s="220" t="s">
        <v>6216</v>
      </c>
      <c r="D9" s="211" t="s">
        <v>5226</v>
      </c>
      <c r="E9" s="211" t="s">
        <v>177</v>
      </c>
      <c r="F9" s="220" t="s">
        <v>6217</v>
      </c>
      <c r="G9" s="211" t="s">
        <v>571</v>
      </c>
      <c r="H9" s="211" t="s">
        <v>6218</v>
      </c>
      <c r="I9" s="221" t="s">
        <v>6219</v>
      </c>
      <c r="J9" s="211" t="s">
        <v>6193</v>
      </c>
      <c r="K9" s="222" t="s">
        <v>6220</v>
      </c>
      <c r="L9" s="209" t="s">
        <v>6195</v>
      </c>
      <c r="M9" s="6" t="s">
        <v>6221</v>
      </c>
      <c r="N9" s="35" t="s">
        <v>571</v>
      </c>
      <c r="O9" s="35" t="s">
        <v>571</v>
      </c>
      <c r="P9" s="35" t="s">
        <v>571</v>
      </c>
      <c r="Q9" s="6" t="s">
        <v>571</v>
      </c>
    </row>
    <row r="10" customFormat="false" ht="30" hidden="false" customHeight="true" outlineLevel="0" collapsed="false">
      <c r="A10" s="211" t="s">
        <v>6222</v>
      </c>
      <c r="B10" s="211" t="s">
        <v>4355</v>
      </c>
      <c r="C10" s="222" t="s">
        <v>6223</v>
      </c>
      <c r="D10" s="211" t="s">
        <v>5195</v>
      </c>
      <c r="E10" s="211" t="s">
        <v>76</v>
      </c>
      <c r="F10" s="220" t="s">
        <v>6224</v>
      </c>
      <c r="G10" s="211" t="s">
        <v>6225</v>
      </c>
      <c r="H10" s="221" t="s">
        <v>6226</v>
      </c>
      <c r="I10" s="221" t="s">
        <v>1179</v>
      </c>
      <c r="J10" s="211" t="s">
        <v>571</v>
      </c>
      <c r="K10" s="220" t="s">
        <v>6227</v>
      </c>
      <c r="L10" s="209" t="s">
        <v>6228</v>
      </c>
      <c r="M10" s="6" t="s">
        <v>2197</v>
      </c>
      <c r="N10" s="35" t="s">
        <v>571</v>
      </c>
      <c r="O10" s="35" t="s">
        <v>571</v>
      </c>
      <c r="P10" s="35" t="s">
        <v>571</v>
      </c>
      <c r="Q10" s="6" t="s">
        <v>571</v>
      </c>
    </row>
    <row r="11" customFormat="false" ht="30" hidden="false" customHeight="true" outlineLevel="0" collapsed="false">
      <c r="A11" s="211" t="s">
        <v>6229</v>
      </c>
      <c r="B11" s="211" t="s">
        <v>1185</v>
      </c>
      <c r="C11" s="222" t="s">
        <v>6230</v>
      </c>
      <c r="D11" s="211" t="s">
        <v>6231</v>
      </c>
      <c r="E11" s="211" t="s">
        <v>177</v>
      </c>
      <c r="F11" s="220" t="s">
        <v>6232</v>
      </c>
      <c r="G11" s="211" t="s">
        <v>6233</v>
      </c>
      <c r="H11" s="211" t="s">
        <v>6234</v>
      </c>
      <c r="I11" s="221" t="s">
        <v>6192</v>
      </c>
      <c r="J11" s="211" t="s">
        <v>6235</v>
      </c>
      <c r="K11" s="220" t="s">
        <v>6236</v>
      </c>
      <c r="L11" s="209" t="s">
        <v>6195</v>
      </c>
      <c r="M11" s="6" t="s">
        <v>6237</v>
      </c>
      <c r="N11" s="35" t="s">
        <v>571</v>
      </c>
      <c r="O11" s="35" t="s">
        <v>571</v>
      </c>
      <c r="P11" s="35" t="s">
        <v>571</v>
      </c>
      <c r="Q11" s="6" t="s">
        <v>571</v>
      </c>
    </row>
    <row r="12" customFormat="false" ht="30" hidden="false" customHeight="true" outlineLevel="0" collapsed="false">
      <c r="A12" s="211" t="s">
        <v>6238</v>
      </c>
      <c r="B12" s="211" t="s">
        <v>1185</v>
      </c>
      <c r="C12" s="222" t="s">
        <v>6239</v>
      </c>
      <c r="D12" s="211" t="s">
        <v>6104</v>
      </c>
      <c r="E12" s="211" t="s">
        <v>107</v>
      </c>
      <c r="F12" s="220" t="s">
        <v>6240</v>
      </c>
      <c r="G12" s="211" t="s">
        <v>6241</v>
      </c>
      <c r="H12" s="211" t="s">
        <v>182</v>
      </c>
      <c r="I12" s="221" t="s">
        <v>6242</v>
      </c>
      <c r="J12" s="211" t="s">
        <v>6193</v>
      </c>
      <c r="K12" s="222" t="s">
        <v>6243</v>
      </c>
      <c r="L12" s="209" t="s">
        <v>6195</v>
      </c>
      <c r="M12" s="6" t="s">
        <v>571</v>
      </c>
      <c r="N12" s="35" t="s">
        <v>571</v>
      </c>
      <c r="O12" s="35" t="s">
        <v>571</v>
      </c>
      <c r="P12" s="35" t="s">
        <v>571</v>
      </c>
      <c r="Q12" s="18" t="s">
        <v>6244</v>
      </c>
    </row>
    <row r="13" customFormat="false" ht="30" hidden="false" customHeight="true" outlineLevel="0" collapsed="false">
      <c r="A13" s="211" t="s">
        <v>6245</v>
      </c>
      <c r="B13" s="211" t="s">
        <v>1185</v>
      </c>
      <c r="C13" s="220" t="s">
        <v>6246</v>
      </c>
      <c r="D13" s="211" t="s">
        <v>5504</v>
      </c>
      <c r="E13" s="211" t="s">
        <v>76</v>
      </c>
      <c r="F13" s="220" t="s">
        <v>6247</v>
      </c>
      <c r="G13" s="211" t="s">
        <v>571</v>
      </c>
      <c r="H13" s="221" t="s">
        <v>6248</v>
      </c>
      <c r="I13" s="221" t="s">
        <v>6219</v>
      </c>
      <c r="J13" s="211" t="s">
        <v>6235</v>
      </c>
      <c r="K13" s="222" t="s">
        <v>6249</v>
      </c>
      <c r="L13" s="209" t="s">
        <v>6195</v>
      </c>
      <c r="M13" s="6" t="s">
        <v>6250</v>
      </c>
      <c r="N13" s="35" t="s">
        <v>571</v>
      </c>
      <c r="O13" s="35" t="s">
        <v>571</v>
      </c>
      <c r="P13" s="35" t="s">
        <v>571</v>
      </c>
      <c r="Q13" s="6" t="s">
        <v>571</v>
      </c>
    </row>
    <row r="14" customFormat="false" ht="30" hidden="false" customHeight="true" outlineLevel="0" collapsed="false">
      <c r="A14" s="211" t="s">
        <v>6251</v>
      </c>
      <c r="B14" s="211" t="s">
        <v>1185</v>
      </c>
      <c r="C14" s="220" t="s">
        <v>6252</v>
      </c>
      <c r="D14" s="211" t="s">
        <v>5910</v>
      </c>
      <c r="E14" s="211" t="s">
        <v>177</v>
      </c>
      <c r="F14" s="220" t="s">
        <v>6253</v>
      </c>
      <c r="G14" s="221" t="s">
        <v>6200</v>
      </c>
      <c r="H14" s="211" t="s">
        <v>6254</v>
      </c>
      <c r="I14" s="221" t="s">
        <v>6192</v>
      </c>
      <c r="J14" s="211" t="s">
        <v>6255</v>
      </c>
      <c r="K14" s="222" t="s">
        <v>6256</v>
      </c>
      <c r="L14" s="209" t="s">
        <v>6195</v>
      </c>
      <c r="M14" s="6" t="s">
        <v>6257</v>
      </c>
      <c r="N14" s="35" t="s">
        <v>571</v>
      </c>
      <c r="O14" s="35" t="s">
        <v>571</v>
      </c>
      <c r="P14" s="35" t="s">
        <v>571</v>
      </c>
      <c r="Q14" s="6" t="s">
        <v>571</v>
      </c>
    </row>
    <row r="15" customFormat="false" ht="30" hidden="false" customHeight="true" outlineLevel="0" collapsed="false">
      <c r="A15" s="211" t="s">
        <v>6258</v>
      </c>
      <c r="B15" s="211" t="s">
        <v>1185</v>
      </c>
      <c r="C15" s="220" t="s">
        <v>6259</v>
      </c>
      <c r="D15" s="211" t="s">
        <v>2494</v>
      </c>
      <c r="E15" s="211" t="s">
        <v>107</v>
      </c>
      <c r="F15" s="220" t="s">
        <v>6260</v>
      </c>
      <c r="G15" s="221" t="s">
        <v>6261</v>
      </c>
      <c r="H15" s="221" t="s">
        <v>6262</v>
      </c>
      <c r="I15" s="221" t="s">
        <v>6192</v>
      </c>
      <c r="J15" s="211" t="s">
        <v>6255</v>
      </c>
      <c r="K15" s="222" t="s">
        <v>6263</v>
      </c>
      <c r="L15" s="209" t="s">
        <v>6195</v>
      </c>
      <c r="M15" s="6" t="s">
        <v>6264</v>
      </c>
      <c r="N15" s="35" t="s">
        <v>571</v>
      </c>
      <c r="O15" s="35" t="s">
        <v>571</v>
      </c>
      <c r="P15" s="35" t="s">
        <v>571</v>
      </c>
      <c r="Q15" s="6" t="s">
        <v>571</v>
      </c>
    </row>
    <row r="16" customFormat="false" ht="30" hidden="false" customHeight="true" outlineLevel="0" collapsed="false">
      <c r="A16" s="211" t="s">
        <v>6265</v>
      </c>
      <c r="B16" s="211" t="s">
        <v>1185</v>
      </c>
      <c r="C16" s="222" t="s">
        <v>6266</v>
      </c>
      <c r="D16" s="211" t="s">
        <v>6267</v>
      </c>
      <c r="E16" s="211" t="s">
        <v>177</v>
      </c>
      <c r="F16" s="220" t="s">
        <v>6268</v>
      </c>
      <c r="G16" s="211" t="s">
        <v>571</v>
      </c>
      <c r="H16" s="221" t="s">
        <v>6269</v>
      </c>
      <c r="I16" s="221" t="s">
        <v>6219</v>
      </c>
      <c r="J16" s="211" t="s">
        <v>6255</v>
      </c>
      <c r="K16" s="222" t="s">
        <v>6270</v>
      </c>
      <c r="L16" s="209" t="s">
        <v>6195</v>
      </c>
      <c r="M16" s="6" t="s">
        <v>6271</v>
      </c>
      <c r="N16" s="35" t="s">
        <v>571</v>
      </c>
      <c r="O16" s="35" t="s">
        <v>571</v>
      </c>
      <c r="P16" s="35" t="s">
        <v>571</v>
      </c>
      <c r="Q16" s="6" t="s">
        <v>571</v>
      </c>
    </row>
    <row r="17" customFormat="false" ht="30" hidden="false" customHeight="true" outlineLevel="0" collapsed="false">
      <c r="A17" s="211" t="s">
        <v>6272</v>
      </c>
      <c r="B17" s="211" t="s">
        <v>1185</v>
      </c>
      <c r="C17" s="220" t="s">
        <v>6273</v>
      </c>
      <c r="D17" s="211" t="s">
        <v>5744</v>
      </c>
      <c r="E17" s="211" t="s">
        <v>303</v>
      </c>
      <c r="F17" s="220" t="s">
        <v>6274</v>
      </c>
      <c r="G17" s="211" t="s">
        <v>571</v>
      </c>
      <c r="H17" s="211" t="s">
        <v>6275</v>
      </c>
      <c r="I17" s="221" t="s">
        <v>6219</v>
      </c>
      <c r="J17" s="211" t="s">
        <v>6255</v>
      </c>
      <c r="K17" s="222" t="s">
        <v>6276</v>
      </c>
      <c r="L17" s="209" t="s">
        <v>6195</v>
      </c>
      <c r="M17" s="6" t="s">
        <v>6277</v>
      </c>
      <c r="N17" s="35" t="s">
        <v>571</v>
      </c>
      <c r="O17" s="35" t="s">
        <v>571</v>
      </c>
      <c r="P17" s="35" t="s">
        <v>571</v>
      </c>
      <c r="Q17" s="6" t="s">
        <v>571</v>
      </c>
    </row>
    <row r="18" customFormat="false" ht="30" hidden="false" customHeight="true" outlineLevel="0" collapsed="false">
      <c r="A18" s="211" t="s">
        <v>6278</v>
      </c>
      <c r="B18" s="211" t="s">
        <v>1185</v>
      </c>
      <c r="C18" s="220" t="s">
        <v>6279</v>
      </c>
      <c r="D18" s="211" t="s">
        <v>5620</v>
      </c>
      <c r="E18" s="211" t="s">
        <v>177</v>
      </c>
      <c r="F18" s="220" t="s">
        <v>6280</v>
      </c>
      <c r="G18" s="211" t="s">
        <v>571</v>
      </c>
      <c r="H18" s="221" t="s">
        <v>6281</v>
      </c>
      <c r="I18" s="221" t="s">
        <v>1179</v>
      </c>
      <c r="J18" s="211" t="s">
        <v>571</v>
      </c>
      <c r="K18" s="222" t="s">
        <v>6282</v>
      </c>
      <c r="L18" s="209" t="s">
        <v>6228</v>
      </c>
      <c r="M18" s="6" t="s">
        <v>6283</v>
      </c>
      <c r="N18" s="35" t="s">
        <v>571</v>
      </c>
      <c r="O18" s="35" t="s">
        <v>571</v>
      </c>
      <c r="P18" s="35" t="s">
        <v>571</v>
      </c>
      <c r="Q18" s="6" t="s">
        <v>571</v>
      </c>
    </row>
    <row r="19" customFormat="false" ht="30" hidden="false" customHeight="true" outlineLevel="0" collapsed="false">
      <c r="A19" s="211" t="s">
        <v>6284</v>
      </c>
      <c r="B19" s="211" t="s">
        <v>1185</v>
      </c>
      <c r="C19" s="220" t="s">
        <v>6285</v>
      </c>
      <c r="D19" s="211" t="s">
        <v>5707</v>
      </c>
      <c r="E19" s="211" t="s">
        <v>177</v>
      </c>
      <c r="F19" s="220" t="s">
        <v>6286</v>
      </c>
      <c r="G19" s="211" t="s">
        <v>571</v>
      </c>
      <c r="H19" s="221" t="s">
        <v>1201</v>
      </c>
      <c r="I19" s="221" t="s">
        <v>1179</v>
      </c>
      <c r="J19" s="211" t="s">
        <v>571</v>
      </c>
      <c r="K19" s="220"/>
      <c r="L19" s="209" t="s">
        <v>6228</v>
      </c>
      <c r="M19" s="6" t="s">
        <v>6287</v>
      </c>
      <c r="N19" s="35" t="s">
        <v>571</v>
      </c>
      <c r="O19" s="35" t="s">
        <v>571</v>
      </c>
      <c r="P19" s="35" t="s">
        <v>571</v>
      </c>
      <c r="Q19" s="6" t="s">
        <v>571</v>
      </c>
    </row>
    <row r="20" customFormat="false" ht="30" hidden="false" customHeight="true" outlineLevel="0" collapsed="false">
      <c r="A20" s="211" t="s">
        <v>6288</v>
      </c>
      <c r="B20" s="211" t="s">
        <v>1185</v>
      </c>
      <c r="C20" s="220" t="s">
        <v>6289</v>
      </c>
      <c r="D20" s="211" t="s">
        <v>1496</v>
      </c>
      <c r="E20" s="211" t="s">
        <v>6290</v>
      </c>
      <c r="F20" s="220" t="s">
        <v>6291</v>
      </c>
      <c r="G20" s="221" t="s">
        <v>6200</v>
      </c>
      <c r="H20" s="211" t="s">
        <v>6292</v>
      </c>
      <c r="I20" s="221" t="s">
        <v>6219</v>
      </c>
      <c r="J20" s="211" t="s">
        <v>6293</v>
      </c>
      <c r="K20" s="222" t="s">
        <v>6294</v>
      </c>
      <c r="L20" s="209" t="s">
        <v>6195</v>
      </c>
      <c r="M20" s="6" t="s">
        <v>6295</v>
      </c>
      <c r="N20" s="35" t="s">
        <v>571</v>
      </c>
      <c r="O20" s="35" t="s">
        <v>571</v>
      </c>
      <c r="P20" s="35" t="s">
        <v>571</v>
      </c>
      <c r="Q20" s="6" t="s">
        <v>571</v>
      </c>
    </row>
    <row r="21" customFormat="false" ht="30" hidden="false" customHeight="true" outlineLevel="0" collapsed="false">
      <c r="A21" s="211" t="s">
        <v>6296</v>
      </c>
      <c r="B21" s="211" t="s">
        <v>1185</v>
      </c>
      <c r="C21" s="220" t="s">
        <v>6297</v>
      </c>
      <c r="D21" s="211" t="s">
        <v>5831</v>
      </c>
      <c r="E21" s="211" t="s">
        <v>177</v>
      </c>
      <c r="F21" s="220" t="s">
        <v>6298</v>
      </c>
      <c r="G21" s="211" t="s">
        <v>571</v>
      </c>
      <c r="H21" s="211" t="s">
        <v>6299</v>
      </c>
      <c r="I21" s="221" t="s">
        <v>6219</v>
      </c>
      <c r="J21" s="211" t="s">
        <v>6293</v>
      </c>
      <c r="K21" s="220" t="s">
        <v>6300</v>
      </c>
      <c r="L21" s="209" t="s">
        <v>6195</v>
      </c>
      <c r="M21" s="6" t="s">
        <v>6301</v>
      </c>
      <c r="N21" s="35" t="s">
        <v>571</v>
      </c>
      <c r="O21" s="35" t="s">
        <v>571</v>
      </c>
      <c r="P21" s="35" t="s">
        <v>571</v>
      </c>
      <c r="Q21" s="6" t="s">
        <v>571</v>
      </c>
    </row>
    <row r="22" customFormat="false" ht="30" hidden="false" customHeight="true" outlineLevel="0" collapsed="false">
      <c r="A22" s="211" t="s">
        <v>6302</v>
      </c>
      <c r="B22" s="211" t="s">
        <v>1185</v>
      </c>
      <c r="C22" s="220" t="s">
        <v>6303</v>
      </c>
      <c r="D22" s="211" t="s">
        <v>1515</v>
      </c>
      <c r="E22" s="211" t="s">
        <v>303</v>
      </c>
      <c r="F22" s="220" t="s">
        <v>6304</v>
      </c>
      <c r="G22" s="211" t="s">
        <v>571</v>
      </c>
      <c r="H22" s="211" t="s">
        <v>6305</v>
      </c>
      <c r="I22" s="221" t="s">
        <v>6219</v>
      </c>
      <c r="J22" s="211" t="s">
        <v>6293</v>
      </c>
      <c r="K22" s="220" t="s">
        <v>6306</v>
      </c>
      <c r="L22" s="209" t="s">
        <v>6195</v>
      </c>
      <c r="M22" s="6" t="s">
        <v>6307</v>
      </c>
      <c r="N22" s="35" t="s">
        <v>571</v>
      </c>
      <c r="O22" s="35" t="s">
        <v>571</v>
      </c>
      <c r="P22" s="35" t="s">
        <v>571</v>
      </c>
      <c r="Q22" s="6" t="s">
        <v>571</v>
      </c>
    </row>
    <row r="23" customFormat="false" ht="30" hidden="false" customHeight="true" outlineLevel="0" collapsed="false">
      <c r="A23" s="211" t="s">
        <v>6308</v>
      </c>
      <c r="B23" s="211" t="s">
        <v>1185</v>
      </c>
      <c r="C23" s="220" t="s">
        <v>6309</v>
      </c>
      <c r="D23" s="211" t="s">
        <v>1515</v>
      </c>
      <c r="E23" s="211" t="s">
        <v>303</v>
      </c>
      <c r="F23" s="220" t="s">
        <v>6310</v>
      </c>
      <c r="G23" s="211" t="s">
        <v>571</v>
      </c>
      <c r="H23" s="211" t="s">
        <v>6311</v>
      </c>
      <c r="I23" s="221" t="s">
        <v>6192</v>
      </c>
      <c r="J23" s="211" t="s">
        <v>6293</v>
      </c>
      <c r="K23" s="220"/>
      <c r="L23" s="209" t="s">
        <v>6195</v>
      </c>
      <c r="M23" s="6" t="s">
        <v>6307</v>
      </c>
      <c r="N23" s="35" t="s">
        <v>571</v>
      </c>
      <c r="O23" s="35" t="s">
        <v>571</v>
      </c>
      <c r="P23" s="35" t="s">
        <v>571</v>
      </c>
      <c r="Q23" s="6" t="s">
        <v>571</v>
      </c>
    </row>
    <row r="24" customFormat="false" ht="30" hidden="false" customHeight="true" outlineLevel="0" collapsed="false">
      <c r="A24" s="211" t="s">
        <v>6312</v>
      </c>
      <c r="B24" s="211" t="s">
        <v>1185</v>
      </c>
      <c r="C24" s="220" t="s">
        <v>6313</v>
      </c>
      <c r="D24" s="211" t="s">
        <v>5889</v>
      </c>
      <c r="E24" s="211" t="s">
        <v>177</v>
      </c>
      <c r="F24" s="220" t="s">
        <v>6314</v>
      </c>
      <c r="G24" s="211" t="s">
        <v>6315</v>
      </c>
      <c r="H24" s="211" t="s">
        <v>6316</v>
      </c>
      <c r="I24" s="221" t="s">
        <v>1179</v>
      </c>
      <c r="J24" s="211" t="s">
        <v>571</v>
      </c>
      <c r="K24" s="222" t="s">
        <v>6317</v>
      </c>
      <c r="L24" s="209" t="s">
        <v>6228</v>
      </c>
      <c r="M24" s="6" t="s">
        <v>5883</v>
      </c>
      <c r="N24" s="35" t="s">
        <v>571</v>
      </c>
      <c r="O24" s="35" t="s">
        <v>571</v>
      </c>
      <c r="P24" s="35" t="s">
        <v>571</v>
      </c>
      <c r="Q24" s="6" t="s">
        <v>571</v>
      </c>
    </row>
    <row r="25" customFormat="false" ht="29.25" hidden="false" customHeight="true" outlineLevel="0" collapsed="false">
      <c r="A25" s="211" t="s">
        <v>6318</v>
      </c>
      <c r="B25" s="211" t="s">
        <v>4422</v>
      </c>
      <c r="C25" s="220" t="s">
        <v>6319</v>
      </c>
      <c r="D25" s="211" t="s">
        <v>4595</v>
      </c>
      <c r="E25" s="221" t="s">
        <v>6320</v>
      </c>
      <c r="F25" s="221" t="s">
        <v>6321</v>
      </c>
      <c r="G25" s="211" t="s">
        <v>571</v>
      </c>
      <c r="H25" s="211" t="s">
        <v>571</v>
      </c>
      <c r="I25" s="221" t="s">
        <v>6322</v>
      </c>
      <c r="J25" s="211" t="s">
        <v>6323</v>
      </c>
      <c r="K25" s="220" t="s">
        <v>6324</v>
      </c>
      <c r="L25" s="209" t="s">
        <v>6195</v>
      </c>
      <c r="M25" s="6" t="s">
        <v>2865</v>
      </c>
      <c r="N25" s="35" t="s">
        <v>571</v>
      </c>
      <c r="O25" s="35" t="s">
        <v>571</v>
      </c>
      <c r="P25" s="35" t="s">
        <v>6325</v>
      </c>
      <c r="Q25" s="209" t="s">
        <v>4663</v>
      </c>
    </row>
    <row r="26" customFormat="false" ht="29.25" hidden="false" customHeight="true" outlineLevel="0" collapsed="false">
      <c r="A26" s="211" t="s">
        <v>4677</v>
      </c>
      <c r="B26" s="211" t="s">
        <v>4422</v>
      </c>
      <c r="C26" s="220" t="s">
        <v>6326</v>
      </c>
      <c r="D26" s="211" t="s">
        <v>4604</v>
      </c>
      <c r="E26" s="221" t="s">
        <v>6320</v>
      </c>
      <c r="F26" s="221" t="s">
        <v>6321</v>
      </c>
      <c r="G26" s="211" t="s">
        <v>571</v>
      </c>
      <c r="H26" s="211" t="s">
        <v>571</v>
      </c>
      <c r="I26" s="221" t="s">
        <v>6322</v>
      </c>
      <c r="J26" s="211" t="s">
        <v>6323</v>
      </c>
      <c r="K26" s="220" t="s">
        <v>6324</v>
      </c>
      <c r="L26" s="209" t="s">
        <v>6195</v>
      </c>
      <c r="M26" s="6" t="s">
        <v>6327</v>
      </c>
      <c r="N26" s="35" t="s">
        <v>571</v>
      </c>
      <c r="O26" s="35" t="s">
        <v>571</v>
      </c>
      <c r="P26" s="35" t="s">
        <v>6325</v>
      </c>
      <c r="Q26" s="209" t="s">
        <v>4663</v>
      </c>
    </row>
    <row r="27" customFormat="false" ht="29.25" hidden="false" customHeight="true" outlineLevel="0" collapsed="false">
      <c r="A27" s="211" t="s">
        <v>6328</v>
      </c>
      <c r="B27" s="211" t="s">
        <v>4422</v>
      </c>
      <c r="C27" s="220" t="s">
        <v>6329</v>
      </c>
      <c r="D27" s="211" t="s">
        <v>4691</v>
      </c>
      <c r="E27" s="221" t="s">
        <v>6320</v>
      </c>
      <c r="F27" s="221" t="s">
        <v>6321</v>
      </c>
      <c r="G27" s="211" t="s">
        <v>571</v>
      </c>
      <c r="H27" s="211" t="s">
        <v>571</v>
      </c>
      <c r="I27" s="221" t="s">
        <v>6322</v>
      </c>
      <c r="J27" s="211" t="s">
        <v>6323</v>
      </c>
      <c r="K27" s="220" t="s">
        <v>6324</v>
      </c>
      <c r="L27" s="209" t="s">
        <v>6195</v>
      </c>
      <c r="M27" s="6" t="s">
        <v>6330</v>
      </c>
      <c r="N27" s="35" t="s">
        <v>571</v>
      </c>
      <c r="O27" s="35" t="s">
        <v>571</v>
      </c>
      <c r="P27" s="35" t="s">
        <v>6325</v>
      </c>
      <c r="Q27" s="209" t="s">
        <v>4663</v>
      </c>
    </row>
    <row r="28" customFormat="false" ht="29.25" hidden="false" customHeight="true" outlineLevel="0" collapsed="false">
      <c r="A28" s="211" t="s">
        <v>4711</v>
      </c>
      <c r="B28" s="211" t="s">
        <v>4422</v>
      </c>
      <c r="C28" s="220" t="s">
        <v>6331</v>
      </c>
      <c r="D28" s="211" t="s">
        <v>4707</v>
      </c>
      <c r="E28" s="221" t="s">
        <v>6320</v>
      </c>
      <c r="F28" s="221" t="s">
        <v>6321</v>
      </c>
      <c r="G28" s="211" t="s">
        <v>571</v>
      </c>
      <c r="H28" s="211" t="s">
        <v>571</v>
      </c>
      <c r="I28" s="221" t="s">
        <v>6322</v>
      </c>
      <c r="J28" s="211" t="s">
        <v>6323</v>
      </c>
      <c r="K28" s="220" t="s">
        <v>6324</v>
      </c>
      <c r="L28" s="209" t="s">
        <v>6195</v>
      </c>
      <c r="M28" s="6" t="s">
        <v>6332</v>
      </c>
      <c r="N28" s="35" t="s">
        <v>571</v>
      </c>
      <c r="O28" s="35" t="s">
        <v>571</v>
      </c>
      <c r="P28" s="35" t="s">
        <v>6325</v>
      </c>
      <c r="Q28" s="209" t="s">
        <v>4663</v>
      </c>
    </row>
    <row r="29" customFormat="false" ht="29.25" hidden="false" customHeight="true" outlineLevel="0" collapsed="false">
      <c r="A29" s="211" t="s">
        <v>4722</v>
      </c>
      <c r="B29" s="211" t="s">
        <v>4422</v>
      </c>
      <c r="C29" s="220" t="s">
        <v>6333</v>
      </c>
      <c r="D29" s="211" t="s">
        <v>4723</v>
      </c>
      <c r="E29" s="221" t="s">
        <v>6320</v>
      </c>
      <c r="F29" s="221" t="s">
        <v>6321</v>
      </c>
      <c r="G29" s="211" t="s">
        <v>571</v>
      </c>
      <c r="H29" s="211" t="s">
        <v>571</v>
      </c>
      <c r="I29" s="221" t="s">
        <v>6322</v>
      </c>
      <c r="J29" s="211" t="s">
        <v>6323</v>
      </c>
      <c r="K29" s="220" t="s">
        <v>6324</v>
      </c>
      <c r="L29" s="209" t="s">
        <v>6195</v>
      </c>
      <c r="M29" s="6" t="s">
        <v>4717</v>
      </c>
      <c r="N29" s="35" t="s">
        <v>571</v>
      </c>
      <c r="O29" s="35" t="s">
        <v>571</v>
      </c>
      <c r="P29" s="35" t="s">
        <v>6325</v>
      </c>
      <c r="Q29" s="209" t="s">
        <v>4663</v>
      </c>
    </row>
    <row r="30" customFormat="false" ht="29.25" hidden="false" customHeight="true" outlineLevel="0" collapsed="false">
      <c r="A30" s="211" t="s">
        <v>6334</v>
      </c>
      <c r="B30" s="211" t="s">
        <v>4422</v>
      </c>
      <c r="C30" s="220" t="s">
        <v>6335</v>
      </c>
      <c r="D30" s="211" t="s">
        <v>4730</v>
      </c>
      <c r="E30" s="221" t="s">
        <v>6320</v>
      </c>
      <c r="F30" s="221" t="s">
        <v>6321</v>
      </c>
      <c r="G30" s="211" t="s">
        <v>571</v>
      </c>
      <c r="H30" s="211" t="s">
        <v>571</v>
      </c>
      <c r="I30" s="221" t="s">
        <v>6322</v>
      </c>
      <c r="J30" s="211" t="s">
        <v>6323</v>
      </c>
      <c r="K30" s="220" t="s">
        <v>6324</v>
      </c>
      <c r="L30" s="209" t="s">
        <v>6195</v>
      </c>
      <c r="M30" s="6" t="s">
        <v>2922</v>
      </c>
      <c r="N30" s="35" t="s">
        <v>571</v>
      </c>
      <c r="O30" s="35" t="s">
        <v>571</v>
      </c>
      <c r="P30" s="35" t="s">
        <v>6325</v>
      </c>
      <c r="Q30" s="209" t="s">
        <v>4663</v>
      </c>
    </row>
    <row r="31" customFormat="false" ht="29.25" hidden="false" customHeight="true" outlineLevel="0" collapsed="false">
      <c r="A31" s="211" t="s">
        <v>4744</v>
      </c>
      <c r="B31" s="211" t="s">
        <v>4422</v>
      </c>
      <c r="C31" s="220" t="s">
        <v>6336</v>
      </c>
      <c r="D31" s="211" t="s">
        <v>4738</v>
      </c>
      <c r="E31" s="221" t="s">
        <v>6320</v>
      </c>
      <c r="F31" s="221" t="s">
        <v>6321</v>
      </c>
      <c r="G31" s="211" t="s">
        <v>571</v>
      </c>
      <c r="H31" s="211" t="s">
        <v>571</v>
      </c>
      <c r="I31" s="221" t="s">
        <v>6322</v>
      </c>
      <c r="J31" s="211" t="s">
        <v>6323</v>
      </c>
      <c r="K31" s="220" t="s">
        <v>6324</v>
      </c>
      <c r="L31" s="209" t="s">
        <v>6195</v>
      </c>
      <c r="M31" s="6" t="s">
        <v>6337</v>
      </c>
      <c r="N31" s="35" t="s">
        <v>571</v>
      </c>
      <c r="O31" s="35" t="s">
        <v>571</v>
      </c>
      <c r="P31" s="35" t="s">
        <v>6325</v>
      </c>
      <c r="Q31" s="209" t="s">
        <v>4663</v>
      </c>
    </row>
    <row r="32" customFormat="false" ht="29.25" hidden="false" customHeight="true" outlineLevel="0" collapsed="false">
      <c r="A32" s="211" t="s">
        <v>6338</v>
      </c>
      <c r="B32" s="211" t="s">
        <v>4422</v>
      </c>
      <c r="C32" s="220" t="s">
        <v>6339</v>
      </c>
      <c r="D32" s="211" t="s">
        <v>4760</v>
      </c>
      <c r="E32" s="221" t="s">
        <v>6320</v>
      </c>
      <c r="F32" s="221" t="s">
        <v>6321</v>
      </c>
      <c r="G32" s="211" t="s">
        <v>571</v>
      </c>
      <c r="H32" s="211" t="s">
        <v>571</v>
      </c>
      <c r="I32" s="221" t="s">
        <v>6322</v>
      </c>
      <c r="J32" s="211" t="s">
        <v>6323</v>
      </c>
      <c r="K32" s="220" t="s">
        <v>6324</v>
      </c>
      <c r="L32" s="209" t="s">
        <v>6195</v>
      </c>
      <c r="M32" s="6" t="s">
        <v>2876</v>
      </c>
      <c r="N32" s="35" t="s">
        <v>571</v>
      </c>
      <c r="O32" s="35" t="s">
        <v>571</v>
      </c>
      <c r="P32" s="35" t="s">
        <v>6325</v>
      </c>
      <c r="Q32" s="209" t="s">
        <v>4663</v>
      </c>
    </row>
    <row r="33" customFormat="false" ht="29.25" hidden="false" customHeight="true" outlineLevel="0" collapsed="false">
      <c r="A33" s="211" t="s">
        <v>4777</v>
      </c>
      <c r="B33" s="211" t="s">
        <v>4422</v>
      </c>
      <c r="C33" s="220" t="s">
        <v>6340</v>
      </c>
      <c r="D33" s="211" t="s">
        <v>4770</v>
      </c>
      <c r="E33" s="221" t="s">
        <v>6320</v>
      </c>
      <c r="F33" s="221" t="s">
        <v>6321</v>
      </c>
      <c r="G33" s="211" t="s">
        <v>571</v>
      </c>
      <c r="H33" s="211" t="s">
        <v>571</v>
      </c>
      <c r="I33" s="221" t="s">
        <v>6322</v>
      </c>
      <c r="J33" s="211" t="s">
        <v>6323</v>
      </c>
      <c r="K33" s="220" t="s">
        <v>6324</v>
      </c>
      <c r="L33" s="209" t="s">
        <v>6195</v>
      </c>
      <c r="M33" s="6" t="s">
        <v>6341</v>
      </c>
      <c r="N33" s="35" t="s">
        <v>571</v>
      </c>
      <c r="O33" s="35" t="s">
        <v>571</v>
      </c>
      <c r="P33" s="35" t="s">
        <v>6325</v>
      </c>
      <c r="Q33" s="209" t="s">
        <v>4767</v>
      </c>
    </row>
    <row r="34" customFormat="false" ht="29.25" hidden="false" customHeight="true" outlineLevel="0" collapsed="false">
      <c r="A34" s="211" t="s">
        <v>4787</v>
      </c>
      <c r="B34" s="211" t="s">
        <v>4422</v>
      </c>
      <c r="C34" s="220" t="s">
        <v>6342</v>
      </c>
      <c r="D34" s="211" t="s">
        <v>4788</v>
      </c>
      <c r="E34" s="221" t="s">
        <v>6320</v>
      </c>
      <c r="F34" s="221" t="s">
        <v>6321</v>
      </c>
      <c r="G34" s="211" t="s">
        <v>571</v>
      </c>
      <c r="H34" s="211" t="s">
        <v>571</v>
      </c>
      <c r="I34" s="221" t="s">
        <v>6322</v>
      </c>
      <c r="J34" s="211" t="s">
        <v>6323</v>
      </c>
      <c r="K34" s="220" t="s">
        <v>6324</v>
      </c>
      <c r="L34" s="209" t="s">
        <v>6195</v>
      </c>
      <c r="M34" s="6" t="s">
        <v>4783</v>
      </c>
      <c r="N34" s="35" t="s">
        <v>571</v>
      </c>
      <c r="O34" s="35" t="s">
        <v>571</v>
      </c>
      <c r="P34" s="35" t="s">
        <v>6325</v>
      </c>
      <c r="Q34" s="209" t="s">
        <v>4663</v>
      </c>
    </row>
    <row r="35" customFormat="false" ht="97.5" hidden="false" customHeight="true" outlineLevel="0" collapsed="false">
      <c r="A35" s="211" t="s">
        <v>4796</v>
      </c>
      <c r="B35" s="211" t="s">
        <v>4422</v>
      </c>
      <c r="C35" s="220" t="s">
        <v>6343</v>
      </c>
      <c r="D35" s="211" t="s">
        <v>4797</v>
      </c>
      <c r="E35" s="221" t="s">
        <v>6320</v>
      </c>
      <c r="F35" s="221" t="s">
        <v>6321</v>
      </c>
      <c r="G35" s="211" t="s">
        <v>571</v>
      </c>
      <c r="H35" s="211" t="s">
        <v>571</v>
      </c>
      <c r="I35" s="221" t="s">
        <v>6322</v>
      </c>
      <c r="J35" s="211" t="s">
        <v>6323</v>
      </c>
      <c r="K35" s="220" t="s">
        <v>6324</v>
      </c>
      <c r="L35" s="209" t="s">
        <v>6195</v>
      </c>
      <c r="M35" s="6" t="s">
        <v>6344</v>
      </c>
      <c r="N35" s="35" t="s">
        <v>571</v>
      </c>
      <c r="O35" s="35" t="s">
        <v>571</v>
      </c>
      <c r="P35" s="35" t="s">
        <v>6325</v>
      </c>
      <c r="Q35" s="209" t="s">
        <v>4663</v>
      </c>
    </row>
    <row r="36" customFormat="false" ht="29.25" hidden="false" customHeight="true" outlineLevel="0" collapsed="false">
      <c r="A36" s="211" t="s">
        <v>4845</v>
      </c>
      <c r="B36" s="211" t="s">
        <v>4422</v>
      </c>
      <c r="C36" s="220" t="s">
        <v>6345</v>
      </c>
      <c r="D36" s="211" t="s">
        <v>4846</v>
      </c>
      <c r="E36" s="221" t="s">
        <v>6320</v>
      </c>
      <c r="F36" s="221" t="s">
        <v>6321</v>
      </c>
      <c r="G36" s="211" t="s">
        <v>571</v>
      </c>
      <c r="H36" s="211" t="s">
        <v>571</v>
      </c>
      <c r="I36" s="221" t="s">
        <v>6322</v>
      </c>
      <c r="J36" s="211" t="s">
        <v>6323</v>
      </c>
      <c r="K36" s="220" t="s">
        <v>6324</v>
      </c>
      <c r="L36" s="209" t="s">
        <v>6195</v>
      </c>
      <c r="M36" s="6" t="s">
        <v>6346</v>
      </c>
      <c r="N36" s="35" t="s">
        <v>571</v>
      </c>
      <c r="O36" s="35" t="s">
        <v>571</v>
      </c>
      <c r="P36" s="35" t="s">
        <v>6325</v>
      </c>
      <c r="Q36" s="209" t="s">
        <v>4767</v>
      </c>
    </row>
    <row r="37" customFormat="false" ht="29.25" hidden="false" customHeight="true" outlineLevel="0" collapsed="false">
      <c r="A37" s="211" t="s">
        <v>6347</v>
      </c>
      <c r="B37" s="211" t="s">
        <v>4422</v>
      </c>
      <c r="C37" s="220" t="s">
        <v>6348</v>
      </c>
      <c r="D37" s="211" t="s">
        <v>4865</v>
      </c>
      <c r="E37" s="221" t="s">
        <v>6320</v>
      </c>
      <c r="F37" s="221" t="s">
        <v>6321</v>
      </c>
      <c r="G37" s="211" t="s">
        <v>571</v>
      </c>
      <c r="H37" s="211" t="s">
        <v>571</v>
      </c>
      <c r="I37" s="221" t="s">
        <v>6322</v>
      </c>
      <c r="J37" s="211" t="s">
        <v>6323</v>
      </c>
      <c r="K37" s="220" t="s">
        <v>6324</v>
      </c>
      <c r="L37" s="209" t="s">
        <v>6195</v>
      </c>
      <c r="M37" s="6" t="s">
        <v>6207</v>
      </c>
      <c r="N37" s="35" t="s">
        <v>571</v>
      </c>
      <c r="O37" s="35" t="s">
        <v>571</v>
      </c>
      <c r="P37" s="35" t="s">
        <v>6349</v>
      </c>
      <c r="Q37" s="209" t="s">
        <v>4663</v>
      </c>
    </row>
    <row r="38" customFormat="false" ht="29.25" hidden="false" customHeight="true" outlineLevel="0" collapsed="false">
      <c r="A38" s="211" t="s">
        <v>6350</v>
      </c>
      <c r="B38" s="211" t="s">
        <v>4422</v>
      </c>
      <c r="C38" s="220" t="s">
        <v>6351</v>
      </c>
      <c r="D38" s="211" t="s">
        <v>4881</v>
      </c>
      <c r="E38" s="221" t="s">
        <v>6320</v>
      </c>
      <c r="F38" s="221" t="s">
        <v>6321</v>
      </c>
      <c r="G38" s="211" t="s">
        <v>571</v>
      </c>
      <c r="H38" s="211" t="s">
        <v>571</v>
      </c>
      <c r="I38" s="221" t="s">
        <v>6322</v>
      </c>
      <c r="J38" s="211" t="s">
        <v>6323</v>
      </c>
      <c r="K38" s="220" t="s">
        <v>6324</v>
      </c>
      <c r="L38" s="209" t="s">
        <v>6195</v>
      </c>
      <c r="M38" s="6" t="s">
        <v>2948</v>
      </c>
      <c r="N38" s="35" t="s">
        <v>571</v>
      </c>
      <c r="O38" s="35" t="s">
        <v>571</v>
      </c>
      <c r="P38" s="35" t="s">
        <v>6325</v>
      </c>
      <c r="Q38" s="209" t="s">
        <v>4663</v>
      </c>
    </row>
    <row r="39" customFormat="false" ht="72" hidden="false" customHeight="true" outlineLevel="0" collapsed="false">
      <c r="A39" s="211" t="s">
        <v>4888</v>
      </c>
      <c r="B39" s="211" t="s">
        <v>4422</v>
      </c>
      <c r="C39" s="220" t="s">
        <v>6352</v>
      </c>
      <c r="D39" s="211" t="s">
        <v>4889</v>
      </c>
      <c r="E39" s="221" t="s">
        <v>6320</v>
      </c>
      <c r="F39" s="221" t="s">
        <v>6321</v>
      </c>
      <c r="G39" s="211" t="s">
        <v>571</v>
      </c>
      <c r="H39" s="211" t="s">
        <v>571</v>
      </c>
      <c r="I39" s="221" t="s">
        <v>6322</v>
      </c>
      <c r="J39" s="211" t="s">
        <v>6323</v>
      </c>
      <c r="K39" s="220" t="s">
        <v>6324</v>
      </c>
      <c r="L39" s="209" t="s">
        <v>6195</v>
      </c>
      <c r="M39" s="6" t="s">
        <v>6353</v>
      </c>
      <c r="N39" s="35" t="s">
        <v>571</v>
      </c>
      <c r="O39" s="35" t="s">
        <v>571</v>
      </c>
      <c r="P39" s="35" t="s">
        <v>6325</v>
      </c>
      <c r="Q39" s="209" t="s">
        <v>4663</v>
      </c>
    </row>
    <row r="40" customFormat="false" ht="29.25" hidden="false" customHeight="true" outlineLevel="0" collapsed="false">
      <c r="A40" s="211" t="s">
        <v>4933</v>
      </c>
      <c r="B40" s="211" t="s">
        <v>4422</v>
      </c>
      <c r="C40" s="220" t="s">
        <v>6354</v>
      </c>
      <c r="D40" s="211" t="s">
        <v>4934</v>
      </c>
      <c r="E40" s="221" t="s">
        <v>6320</v>
      </c>
      <c r="F40" s="221" t="s">
        <v>6321</v>
      </c>
      <c r="G40" s="211" t="s">
        <v>571</v>
      </c>
      <c r="H40" s="211" t="s">
        <v>571</v>
      </c>
      <c r="I40" s="221" t="s">
        <v>6322</v>
      </c>
      <c r="J40" s="211" t="s">
        <v>6323</v>
      </c>
      <c r="K40" s="220" t="s">
        <v>6324</v>
      </c>
      <c r="L40" s="209" t="s">
        <v>6195</v>
      </c>
      <c r="M40" s="6" t="s">
        <v>6355</v>
      </c>
      <c r="N40" s="35" t="s">
        <v>571</v>
      </c>
      <c r="O40" s="35" t="s">
        <v>571</v>
      </c>
      <c r="P40" s="35" t="s">
        <v>6325</v>
      </c>
      <c r="Q40" s="209" t="s">
        <v>4767</v>
      </c>
    </row>
    <row r="41" customFormat="false" ht="29.25" hidden="false" customHeight="true" outlineLevel="0" collapsed="false">
      <c r="A41" s="211" t="s">
        <v>5002</v>
      </c>
      <c r="B41" s="211" t="s">
        <v>4422</v>
      </c>
      <c r="C41" s="220" t="s">
        <v>6356</v>
      </c>
      <c r="D41" s="211" t="s">
        <v>5003</v>
      </c>
      <c r="E41" s="221" t="s">
        <v>6320</v>
      </c>
      <c r="F41" s="221" t="s">
        <v>6321</v>
      </c>
      <c r="G41" s="211" t="s">
        <v>571</v>
      </c>
      <c r="H41" s="211" t="s">
        <v>571</v>
      </c>
      <c r="I41" s="221" t="s">
        <v>6322</v>
      </c>
      <c r="J41" s="211" t="s">
        <v>6323</v>
      </c>
      <c r="K41" s="220" t="s">
        <v>6324</v>
      </c>
      <c r="L41" s="209" t="s">
        <v>6195</v>
      </c>
      <c r="M41" s="6" t="s">
        <v>6357</v>
      </c>
      <c r="N41" s="35" t="s">
        <v>571</v>
      </c>
      <c r="O41" s="35" t="s">
        <v>571</v>
      </c>
      <c r="P41" s="35" t="s">
        <v>6325</v>
      </c>
      <c r="Q41" s="209" t="s">
        <v>4663</v>
      </c>
    </row>
    <row r="42" customFormat="false" ht="29.25" hidden="false" customHeight="true" outlineLevel="0" collapsed="false">
      <c r="A42" s="211" t="s">
        <v>3581</v>
      </c>
      <c r="B42" s="211" t="s">
        <v>4422</v>
      </c>
      <c r="C42" s="220" t="s">
        <v>6358</v>
      </c>
      <c r="D42" s="211" t="s">
        <v>5015</v>
      </c>
      <c r="E42" s="221" t="s">
        <v>6320</v>
      </c>
      <c r="F42" s="221" t="s">
        <v>6321</v>
      </c>
      <c r="G42" s="211" t="s">
        <v>571</v>
      </c>
      <c r="H42" s="211" t="s">
        <v>571</v>
      </c>
      <c r="I42" s="221" t="s">
        <v>6322</v>
      </c>
      <c r="J42" s="211" t="s">
        <v>6323</v>
      </c>
      <c r="K42" s="220" t="s">
        <v>6324</v>
      </c>
      <c r="L42" s="209" t="s">
        <v>6195</v>
      </c>
      <c r="M42" s="6" t="s">
        <v>6359</v>
      </c>
      <c r="N42" s="35" t="s">
        <v>571</v>
      </c>
      <c r="O42" s="35" t="s">
        <v>571</v>
      </c>
      <c r="P42" s="35" t="s">
        <v>6325</v>
      </c>
      <c r="Q42" s="209" t="s">
        <v>4767</v>
      </c>
    </row>
    <row r="43" customFormat="false" ht="29.25" hidden="false" customHeight="true" outlineLevel="0" collapsed="false">
      <c r="A43" s="211" t="s">
        <v>3593</v>
      </c>
      <c r="B43" s="211" t="s">
        <v>4422</v>
      </c>
      <c r="C43" s="220" t="s">
        <v>6360</v>
      </c>
      <c r="D43" s="211" t="s">
        <v>5028</v>
      </c>
      <c r="E43" s="221" t="s">
        <v>6320</v>
      </c>
      <c r="F43" s="221" t="s">
        <v>6321</v>
      </c>
      <c r="G43" s="211" t="s">
        <v>571</v>
      </c>
      <c r="H43" s="211" t="s">
        <v>571</v>
      </c>
      <c r="I43" s="221" t="s">
        <v>6322</v>
      </c>
      <c r="J43" s="211" t="s">
        <v>6323</v>
      </c>
      <c r="K43" s="220" t="s">
        <v>6324</v>
      </c>
      <c r="L43" s="209" t="s">
        <v>6195</v>
      </c>
      <c r="M43" s="6" t="s">
        <v>6361</v>
      </c>
      <c r="N43" s="35" t="s">
        <v>571</v>
      </c>
      <c r="O43" s="35" t="s">
        <v>571</v>
      </c>
      <c r="P43" s="35" t="s">
        <v>6349</v>
      </c>
      <c r="Q43" s="209" t="s">
        <v>4767</v>
      </c>
    </row>
    <row r="44" customFormat="false" ht="29.25" hidden="false" customHeight="true" outlineLevel="0" collapsed="false">
      <c r="A44" s="211" t="s">
        <v>3605</v>
      </c>
      <c r="B44" s="211" t="s">
        <v>4422</v>
      </c>
      <c r="C44" s="220" t="s">
        <v>6362</v>
      </c>
      <c r="D44" s="211" t="s">
        <v>5037</v>
      </c>
      <c r="E44" s="221" t="s">
        <v>6320</v>
      </c>
      <c r="F44" s="221" t="s">
        <v>6321</v>
      </c>
      <c r="G44" s="211" t="s">
        <v>571</v>
      </c>
      <c r="H44" s="211" t="s">
        <v>571</v>
      </c>
      <c r="I44" s="221" t="s">
        <v>6322</v>
      </c>
      <c r="J44" s="211" t="s">
        <v>6323</v>
      </c>
      <c r="K44" s="220" t="s">
        <v>6324</v>
      </c>
      <c r="L44" s="209" t="s">
        <v>6195</v>
      </c>
      <c r="M44" s="6" t="s">
        <v>6363</v>
      </c>
      <c r="N44" s="35" t="s">
        <v>571</v>
      </c>
      <c r="O44" s="35" t="s">
        <v>571</v>
      </c>
      <c r="P44" s="35" t="s">
        <v>6349</v>
      </c>
      <c r="Q44" s="209" t="s">
        <v>4663</v>
      </c>
    </row>
    <row r="45" customFormat="false" ht="29.25" hidden="false" customHeight="true" outlineLevel="0" collapsed="false">
      <c r="A45" s="211" t="s">
        <v>5051</v>
      </c>
      <c r="B45" s="211" t="s">
        <v>4422</v>
      </c>
      <c r="C45" s="220" t="s">
        <v>6364</v>
      </c>
      <c r="D45" s="211" t="s">
        <v>5052</v>
      </c>
      <c r="E45" s="221" t="s">
        <v>6320</v>
      </c>
      <c r="F45" s="221" t="s">
        <v>6321</v>
      </c>
      <c r="G45" s="211" t="s">
        <v>571</v>
      </c>
      <c r="H45" s="211" t="s">
        <v>571</v>
      </c>
      <c r="I45" s="221" t="s">
        <v>6322</v>
      </c>
      <c r="J45" s="211" t="s">
        <v>6323</v>
      </c>
      <c r="K45" s="220" t="s">
        <v>6324</v>
      </c>
      <c r="L45" s="209" t="s">
        <v>6195</v>
      </c>
      <c r="M45" s="6" t="s">
        <v>6365</v>
      </c>
      <c r="N45" s="35" t="s">
        <v>571</v>
      </c>
      <c r="O45" s="35" t="s">
        <v>571</v>
      </c>
      <c r="P45" s="35" t="s">
        <v>6325</v>
      </c>
      <c r="Q45" s="209" t="s">
        <v>4663</v>
      </c>
    </row>
    <row r="46" customFormat="false" ht="29.25" hidden="false" customHeight="true" outlineLevel="0" collapsed="false">
      <c r="A46" s="211" t="s">
        <v>5061</v>
      </c>
      <c r="B46" s="211" t="s">
        <v>4422</v>
      </c>
      <c r="C46" s="220" t="s">
        <v>6366</v>
      </c>
      <c r="D46" s="211" t="s">
        <v>5062</v>
      </c>
      <c r="E46" s="221" t="s">
        <v>6320</v>
      </c>
      <c r="F46" s="221" t="s">
        <v>6321</v>
      </c>
      <c r="G46" s="211" t="s">
        <v>571</v>
      </c>
      <c r="H46" s="211" t="s">
        <v>571</v>
      </c>
      <c r="I46" s="221" t="s">
        <v>6322</v>
      </c>
      <c r="J46" s="211" t="s">
        <v>6323</v>
      </c>
      <c r="K46" s="220" t="s">
        <v>6324</v>
      </c>
      <c r="L46" s="209" t="s">
        <v>6195</v>
      </c>
      <c r="M46" s="6" t="s">
        <v>6367</v>
      </c>
      <c r="N46" s="35" t="s">
        <v>571</v>
      </c>
      <c r="O46" s="35" t="s">
        <v>571</v>
      </c>
      <c r="P46" s="35" t="s">
        <v>6349</v>
      </c>
      <c r="Q46" s="209" t="s">
        <v>4663</v>
      </c>
    </row>
    <row r="47" customFormat="false" ht="54.75" hidden="false" customHeight="true" outlineLevel="0" collapsed="false">
      <c r="A47" s="211" t="s">
        <v>5072</v>
      </c>
      <c r="B47" s="211" t="s">
        <v>4422</v>
      </c>
      <c r="C47" s="220" t="s">
        <v>6368</v>
      </c>
      <c r="D47" s="211" t="s">
        <v>2454</v>
      </c>
      <c r="E47" s="221" t="s">
        <v>6320</v>
      </c>
      <c r="F47" s="221" t="s">
        <v>6321</v>
      </c>
      <c r="G47" s="211" t="s">
        <v>571</v>
      </c>
      <c r="H47" s="211" t="s">
        <v>571</v>
      </c>
      <c r="I47" s="221" t="s">
        <v>6322</v>
      </c>
      <c r="J47" s="211" t="s">
        <v>6323</v>
      </c>
      <c r="K47" s="220" t="s">
        <v>6324</v>
      </c>
      <c r="L47" s="209" t="s">
        <v>6195</v>
      </c>
      <c r="M47" s="6" t="s">
        <v>6369</v>
      </c>
      <c r="N47" s="35" t="s">
        <v>571</v>
      </c>
      <c r="O47" s="35" t="s">
        <v>571</v>
      </c>
      <c r="P47" s="35" t="s">
        <v>6325</v>
      </c>
      <c r="Q47" s="209" t="s">
        <v>4663</v>
      </c>
    </row>
    <row r="48" customFormat="false" ht="168" hidden="false" customHeight="true" outlineLevel="0" collapsed="false">
      <c r="A48" s="211" t="s">
        <v>5101</v>
      </c>
      <c r="B48" s="211" t="s">
        <v>4422</v>
      </c>
      <c r="C48" s="220" t="s">
        <v>6370</v>
      </c>
      <c r="D48" s="211" t="s">
        <v>5096</v>
      </c>
      <c r="E48" s="221" t="s">
        <v>6320</v>
      </c>
      <c r="F48" s="221" t="s">
        <v>6321</v>
      </c>
      <c r="G48" s="211" t="s">
        <v>571</v>
      </c>
      <c r="H48" s="211" t="s">
        <v>571</v>
      </c>
      <c r="I48" s="221" t="s">
        <v>6322</v>
      </c>
      <c r="J48" s="211" t="s">
        <v>6323</v>
      </c>
      <c r="K48" s="220" t="s">
        <v>6324</v>
      </c>
      <c r="L48" s="209" t="s">
        <v>6195</v>
      </c>
      <c r="M48" s="6" t="s">
        <v>6371</v>
      </c>
      <c r="N48" s="35" t="s">
        <v>571</v>
      </c>
      <c r="O48" s="35" t="s">
        <v>571</v>
      </c>
      <c r="P48" s="35" t="s">
        <v>6325</v>
      </c>
      <c r="Q48" s="209" t="s">
        <v>4663</v>
      </c>
    </row>
    <row r="49" customFormat="false" ht="40.5" hidden="false" customHeight="true" outlineLevel="0" collapsed="false">
      <c r="A49" s="211" t="s">
        <v>6372</v>
      </c>
      <c r="B49" s="211" t="s">
        <v>4422</v>
      </c>
      <c r="C49" s="220" t="s">
        <v>6373</v>
      </c>
      <c r="D49" s="211" t="s">
        <v>5177</v>
      </c>
      <c r="E49" s="221" t="s">
        <v>6320</v>
      </c>
      <c r="F49" s="221" t="s">
        <v>6321</v>
      </c>
      <c r="G49" s="211" t="s">
        <v>571</v>
      </c>
      <c r="H49" s="211" t="s">
        <v>571</v>
      </c>
      <c r="I49" s="221" t="s">
        <v>6322</v>
      </c>
      <c r="J49" s="211" t="s">
        <v>6323</v>
      </c>
      <c r="K49" s="220" t="s">
        <v>6324</v>
      </c>
      <c r="L49" s="209" t="s">
        <v>6195</v>
      </c>
      <c r="M49" s="6" t="s">
        <v>6202</v>
      </c>
      <c r="N49" s="35" t="s">
        <v>571</v>
      </c>
      <c r="O49" s="35" t="s">
        <v>571</v>
      </c>
      <c r="P49" s="35" t="s">
        <v>6374</v>
      </c>
      <c r="Q49" s="209" t="s">
        <v>4663</v>
      </c>
    </row>
    <row r="50" customFormat="false" ht="29.25" hidden="false" customHeight="true" outlineLevel="0" collapsed="false">
      <c r="A50" s="211" t="s">
        <v>6375</v>
      </c>
      <c r="B50" s="211" t="s">
        <v>4422</v>
      </c>
      <c r="C50" s="220" t="s">
        <v>6376</v>
      </c>
      <c r="D50" s="211" t="s">
        <v>5195</v>
      </c>
      <c r="E50" s="221" t="s">
        <v>6320</v>
      </c>
      <c r="F50" s="221" t="s">
        <v>6321</v>
      </c>
      <c r="G50" s="211" t="s">
        <v>571</v>
      </c>
      <c r="H50" s="211" t="s">
        <v>571</v>
      </c>
      <c r="I50" s="221" t="s">
        <v>6322</v>
      </c>
      <c r="J50" s="211" t="s">
        <v>6323</v>
      </c>
      <c r="K50" s="220" t="s">
        <v>6324</v>
      </c>
      <c r="L50" s="209" t="s">
        <v>6195</v>
      </c>
      <c r="M50" s="6" t="s">
        <v>2197</v>
      </c>
      <c r="N50" s="35" t="s">
        <v>571</v>
      </c>
      <c r="O50" s="35" t="s">
        <v>571</v>
      </c>
      <c r="P50" s="35" t="s">
        <v>6374</v>
      </c>
      <c r="Q50" s="209" t="s">
        <v>4767</v>
      </c>
    </row>
    <row r="51" customFormat="false" ht="29.25" hidden="false" customHeight="true" outlineLevel="0" collapsed="false">
      <c r="A51" s="211" t="s">
        <v>5205</v>
      </c>
      <c r="B51" s="211" t="s">
        <v>4422</v>
      </c>
      <c r="C51" s="220" t="s">
        <v>6377</v>
      </c>
      <c r="D51" s="211" t="s">
        <v>5206</v>
      </c>
      <c r="E51" s="221" t="s">
        <v>6320</v>
      </c>
      <c r="F51" s="221" t="s">
        <v>6321</v>
      </c>
      <c r="G51" s="211" t="s">
        <v>571</v>
      </c>
      <c r="H51" s="211" t="s">
        <v>571</v>
      </c>
      <c r="I51" s="221" t="s">
        <v>6322</v>
      </c>
      <c r="J51" s="211" t="s">
        <v>6323</v>
      </c>
      <c r="K51" s="220" t="s">
        <v>6324</v>
      </c>
      <c r="L51" s="209" t="s">
        <v>6195</v>
      </c>
      <c r="M51" s="6" t="s">
        <v>2161</v>
      </c>
      <c r="N51" s="35" t="s">
        <v>571</v>
      </c>
      <c r="O51" s="35" t="s">
        <v>571</v>
      </c>
      <c r="P51" s="35" t="s">
        <v>6349</v>
      </c>
      <c r="Q51" s="209" t="s">
        <v>4663</v>
      </c>
    </row>
    <row r="52" customFormat="false" ht="29.25" hidden="false" customHeight="true" outlineLevel="0" collapsed="false">
      <c r="A52" s="211" t="s">
        <v>5217</v>
      </c>
      <c r="B52" s="211" t="s">
        <v>4422</v>
      </c>
      <c r="C52" s="220" t="s">
        <v>6378</v>
      </c>
      <c r="D52" s="211" t="s">
        <v>5218</v>
      </c>
      <c r="E52" s="221" t="s">
        <v>6320</v>
      </c>
      <c r="F52" s="221" t="s">
        <v>6321</v>
      </c>
      <c r="G52" s="211" t="s">
        <v>571</v>
      </c>
      <c r="H52" s="211" t="s">
        <v>571</v>
      </c>
      <c r="I52" s="221" t="s">
        <v>6322</v>
      </c>
      <c r="J52" s="211" t="s">
        <v>6323</v>
      </c>
      <c r="K52" s="220" t="s">
        <v>6324</v>
      </c>
      <c r="L52" s="209" t="s">
        <v>6195</v>
      </c>
      <c r="M52" s="6" t="s">
        <v>5209</v>
      </c>
      <c r="N52" s="35" t="s">
        <v>571</v>
      </c>
      <c r="O52" s="35" t="s">
        <v>571</v>
      </c>
      <c r="P52" s="35" t="s">
        <v>6349</v>
      </c>
      <c r="Q52" s="209" t="s">
        <v>4663</v>
      </c>
    </row>
    <row r="53" customFormat="false" ht="29.25" hidden="false" customHeight="true" outlineLevel="0" collapsed="false">
      <c r="A53" s="211" t="s">
        <v>6379</v>
      </c>
      <c r="B53" s="211" t="s">
        <v>4422</v>
      </c>
      <c r="C53" s="220" t="s">
        <v>6380</v>
      </c>
      <c r="D53" s="211" t="s">
        <v>5226</v>
      </c>
      <c r="E53" s="221" t="s">
        <v>6320</v>
      </c>
      <c r="F53" s="221" t="s">
        <v>6321</v>
      </c>
      <c r="G53" s="211" t="s">
        <v>571</v>
      </c>
      <c r="H53" s="211" t="s">
        <v>571</v>
      </c>
      <c r="I53" s="221" t="s">
        <v>6322</v>
      </c>
      <c r="J53" s="211" t="s">
        <v>6323</v>
      </c>
      <c r="K53" s="220" t="s">
        <v>6324</v>
      </c>
      <c r="L53" s="209" t="s">
        <v>6195</v>
      </c>
      <c r="M53" s="6" t="s">
        <v>6221</v>
      </c>
      <c r="N53" s="35" t="s">
        <v>571</v>
      </c>
      <c r="O53" s="35" t="s">
        <v>571</v>
      </c>
      <c r="P53" s="35" t="s">
        <v>6374</v>
      </c>
      <c r="Q53" s="209" t="s">
        <v>4663</v>
      </c>
    </row>
    <row r="54" customFormat="false" ht="40.5" hidden="false" customHeight="true" outlineLevel="0" collapsed="false">
      <c r="A54" s="211" t="s">
        <v>5239</v>
      </c>
      <c r="B54" s="211" t="s">
        <v>4422</v>
      </c>
      <c r="C54" s="220" t="s">
        <v>6381</v>
      </c>
      <c r="D54" s="211" t="s">
        <v>935</v>
      </c>
      <c r="E54" s="221" t="s">
        <v>6320</v>
      </c>
      <c r="F54" s="221" t="s">
        <v>6321</v>
      </c>
      <c r="G54" s="211" t="s">
        <v>571</v>
      </c>
      <c r="H54" s="211" t="s">
        <v>571</v>
      </c>
      <c r="I54" s="221" t="s">
        <v>6322</v>
      </c>
      <c r="J54" s="211" t="s">
        <v>6323</v>
      </c>
      <c r="K54" s="220" t="s">
        <v>6324</v>
      </c>
      <c r="L54" s="209" t="s">
        <v>6195</v>
      </c>
      <c r="M54" s="6" t="s">
        <v>6382</v>
      </c>
      <c r="N54" s="35" t="s">
        <v>571</v>
      </c>
      <c r="O54" s="35" t="s">
        <v>571</v>
      </c>
      <c r="P54" s="35" t="s">
        <v>6325</v>
      </c>
      <c r="Q54" s="209" t="s">
        <v>4663</v>
      </c>
    </row>
    <row r="55" customFormat="false" ht="29.25" hidden="false" customHeight="true" outlineLevel="0" collapsed="false">
      <c r="A55" s="211" t="s">
        <v>6383</v>
      </c>
      <c r="B55" s="211" t="s">
        <v>4422</v>
      </c>
      <c r="C55" s="220" t="s">
        <v>6384</v>
      </c>
      <c r="D55" s="211" t="s">
        <v>5255</v>
      </c>
      <c r="E55" s="221" t="s">
        <v>6320</v>
      </c>
      <c r="F55" s="221" t="s">
        <v>6321</v>
      </c>
      <c r="G55" s="211" t="s">
        <v>571</v>
      </c>
      <c r="H55" s="211" t="s">
        <v>571</v>
      </c>
      <c r="I55" s="221" t="s">
        <v>6322</v>
      </c>
      <c r="J55" s="211" t="s">
        <v>6323</v>
      </c>
      <c r="K55" s="220" t="s">
        <v>6324</v>
      </c>
      <c r="L55" s="209" t="s">
        <v>6195</v>
      </c>
      <c r="M55" s="6" t="s">
        <v>3707</v>
      </c>
      <c r="N55" s="35" t="s">
        <v>571</v>
      </c>
      <c r="O55" s="35" t="s">
        <v>571</v>
      </c>
      <c r="P55" s="35" t="s">
        <v>6374</v>
      </c>
      <c r="Q55" s="209" t="s">
        <v>4663</v>
      </c>
    </row>
    <row r="56" customFormat="false" ht="29.25" hidden="false" customHeight="true" outlineLevel="0" collapsed="false">
      <c r="A56" s="211" t="s">
        <v>6385</v>
      </c>
      <c r="B56" s="211" t="s">
        <v>4422</v>
      </c>
      <c r="C56" s="220" t="s">
        <v>6386</v>
      </c>
      <c r="D56" s="211" t="s">
        <v>5265</v>
      </c>
      <c r="E56" s="221" t="s">
        <v>6320</v>
      </c>
      <c r="F56" s="221" t="s">
        <v>6321</v>
      </c>
      <c r="G56" s="211" t="s">
        <v>571</v>
      </c>
      <c r="H56" s="211" t="s">
        <v>571</v>
      </c>
      <c r="I56" s="221" t="s">
        <v>6322</v>
      </c>
      <c r="J56" s="211" t="s">
        <v>6323</v>
      </c>
      <c r="K56" s="220" t="s">
        <v>6324</v>
      </c>
      <c r="L56" s="209" t="s">
        <v>6195</v>
      </c>
      <c r="M56" s="6" t="s">
        <v>5258</v>
      </c>
      <c r="N56" s="35" t="s">
        <v>571</v>
      </c>
      <c r="O56" s="35" t="s">
        <v>571</v>
      </c>
      <c r="P56" s="35" t="s">
        <v>6374</v>
      </c>
      <c r="Q56" s="209" t="s">
        <v>4663</v>
      </c>
    </row>
    <row r="57" customFormat="false" ht="29.25" hidden="false" customHeight="true" outlineLevel="0" collapsed="false">
      <c r="A57" s="211" t="s">
        <v>6387</v>
      </c>
      <c r="B57" s="211" t="s">
        <v>4422</v>
      </c>
      <c r="C57" s="220" t="s">
        <v>6388</v>
      </c>
      <c r="D57" s="211" t="s">
        <v>5270</v>
      </c>
      <c r="E57" s="221" t="s">
        <v>6320</v>
      </c>
      <c r="F57" s="221" t="s">
        <v>6321</v>
      </c>
      <c r="G57" s="211" t="s">
        <v>571</v>
      </c>
      <c r="H57" s="211" t="s">
        <v>571</v>
      </c>
      <c r="I57" s="221" t="s">
        <v>6322</v>
      </c>
      <c r="J57" s="211" t="s">
        <v>6323</v>
      </c>
      <c r="K57" s="220" t="s">
        <v>6324</v>
      </c>
      <c r="L57" s="209" t="s">
        <v>6195</v>
      </c>
      <c r="M57" s="6" t="s">
        <v>6389</v>
      </c>
      <c r="N57" s="35" t="s">
        <v>571</v>
      </c>
      <c r="O57" s="35" t="s">
        <v>571</v>
      </c>
      <c r="P57" s="35" t="s">
        <v>6349</v>
      </c>
      <c r="Q57" s="209" t="s">
        <v>4663</v>
      </c>
    </row>
    <row r="58" customFormat="false" ht="29.25" hidden="false" customHeight="true" outlineLevel="0" collapsed="false">
      <c r="A58" s="211" t="s">
        <v>6390</v>
      </c>
      <c r="B58" s="211" t="s">
        <v>4422</v>
      </c>
      <c r="C58" s="220" t="s">
        <v>6391</v>
      </c>
      <c r="D58" s="211" t="s">
        <v>5279</v>
      </c>
      <c r="E58" s="221" t="s">
        <v>6320</v>
      </c>
      <c r="F58" s="221" t="s">
        <v>6321</v>
      </c>
      <c r="G58" s="211" t="s">
        <v>571</v>
      </c>
      <c r="H58" s="211" t="s">
        <v>571</v>
      </c>
      <c r="I58" s="221" t="s">
        <v>6322</v>
      </c>
      <c r="J58" s="211" t="s">
        <v>6323</v>
      </c>
      <c r="K58" s="220" t="s">
        <v>6324</v>
      </c>
      <c r="L58" s="209" t="s">
        <v>6195</v>
      </c>
      <c r="M58" s="6" t="s">
        <v>6392</v>
      </c>
      <c r="N58" s="35" t="s">
        <v>571</v>
      </c>
      <c r="O58" s="35" t="s">
        <v>571</v>
      </c>
      <c r="P58" s="35" t="s">
        <v>6374</v>
      </c>
      <c r="Q58" s="209" t="s">
        <v>4663</v>
      </c>
    </row>
    <row r="59" customFormat="false" ht="29.25" hidden="false" customHeight="true" outlineLevel="0" collapsed="false">
      <c r="A59" s="211" t="s">
        <v>5321</v>
      </c>
      <c r="B59" s="211" t="s">
        <v>4422</v>
      </c>
      <c r="C59" s="220" t="s">
        <v>6393</v>
      </c>
      <c r="D59" s="211" t="s">
        <v>421</v>
      </c>
      <c r="E59" s="221" t="s">
        <v>6320</v>
      </c>
      <c r="F59" s="221" t="s">
        <v>6321</v>
      </c>
      <c r="G59" s="211" t="s">
        <v>571</v>
      </c>
      <c r="H59" s="211" t="s">
        <v>571</v>
      </c>
      <c r="I59" s="221" t="s">
        <v>6322</v>
      </c>
      <c r="J59" s="211" t="s">
        <v>6323</v>
      </c>
      <c r="K59" s="220" t="s">
        <v>6324</v>
      </c>
      <c r="L59" s="209" t="s">
        <v>6195</v>
      </c>
      <c r="M59" s="6" t="s">
        <v>6394</v>
      </c>
      <c r="N59" s="35" t="s">
        <v>571</v>
      </c>
      <c r="O59" s="35" t="s">
        <v>571</v>
      </c>
      <c r="P59" s="35" t="s">
        <v>6374</v>
      </c>
      <c r="Q59" s="209" t="s">
        <v>4663</v>
      </c>
    </row>
    <row r="60" customFormat="false" ht="43.5" hidden="false" customHeight="true" outlineLevel="0" collapsed="false">
      <c r="A60" s="211" t="s">
        <v>5336</v>
      </c>
      <c r="B60" s="211" t="s">
        <v>4422</v>
      </c>
      <c r="C60" s="220" t="s">
        <v>6395</v>
      </c>
      <c r="D60" s="211" t="s">
        <v>420</v>
      </c>
      <c r="E60" s="221" t="s">
        <v>6320</v>
      </c>
      <c r="F60" s="221" t="s">
        <v>6321</v>
      </c>
      <c r="G60" s="211" t="s">
        <v>571</v>
      </c>
      <c r="H60" s="211" t="s">
        <v>571</v>
      </c>
      <c r="I60" s="221" t="s">
        <v>6322</v>
      </c>
      <c r="J60" s="211" t="s">
        <v>6323</v>
      </c>
      <c r="K60" s="220" t="s">
        <v>6324</v>
      </c>
      <c r="L60" s="209" t="s">
        <v>6195</v>
      </c>
      <c r="M60" s="6" t="s">
        <v>6396</v>
      </c>
      <c r="N60" s="35" t="s">
        <v>571</v>
      </c>
      <c r="O60" s="35" t="s">
        <v>571</v>
      </c>
      <c r="P60" s="35" t="s">
        <v>6374</v>
      </c>
      <c r="Q60" s="209" t="s">
        <v>4663</v>
      </c>
    </row>
    <row r="61" customFormat="false" ht="43.5" hidden="false" customHeight="true" outlineLevel="0" collapsed="false">
      <c r="A61" s="211" t="s">
        <v>5371</v>
      </c>
      <c r="B61" s="211" t="s">
        <v>4422</v>
      </c>
      <c r="C61" s="220" t="s">
        <v>6397</v>
      </c>
      <c r="D61" s="211" t="s">
        <v>419</v>
      </c>
      <c r="E61" s="221" t="s">
        <v>6320</v>
      </c>
      <c r="F61" s="221" t="s">
        <v>6321</v>
      </c>
      <c r="G61" s="211" t="s">
        <v>571</v>
      </c>
      <c r="H61" s="211" t="s">
        <v>571</v>
      </c>
      <c r="I61" s="221" t="s">
        <v>6322</v>
      </c>
      <c r="J61" s="211" t="s">
        <v>6323</v>
      </c>
      <c r="K61" s="220" t="s">
        <v>6324</v>
      </c>
      <c r="L61" s="209" t="s">
        <v>6195</v>
      </c>
      <c r="M61" s="6" t="s">
        <v>6398</v>
      </c>
      <c r="N61" s="35" t="s">
        <v>571</v>
      </c>
      <c r="O61" s="35" t="s">
        <v>571</v>
      </c>
      <c r="P61" s="35" t="s">
        <v>6325</v>
      </c>
      <c r="Q61" s="209" t="s">
        <v>4663</v>
      </c>
    </row>
    <row r="62" customFormat="false" ht="29.25" hidden="false" customHeight="true" outlineLevel="0" collapsed="false">
      <c r="A62" s="211" t="s">
        <v>5382</v>
      </c>
      <c r="B62" s="211" t="s">
        <v>4422</v>
      </c>
      <c r="C62" s="220" t="s">
        <v>6399</v>
      </c>
      <c r="D62" s="211" t="s">
        <v>422</v>
      </c>
      <c r="E62" s="221" t="s">
        <v>6320</v>
      </c>
      <c r="F62" s="221" t="s">
        <v>6321</v>
      </c>
      <c r="G62" s="211" t="s">
        <v>571</v>
      </c>
      <c r="H62" s="211" t="s">
        <v>571</v>
      </c>
      <c r="I62" s="221" t="s">
        <v>6322</v>
      </c>
      <c r="J62" s="211" t="s">
        <v>6323</v>
      </c>
      <c r="K62" s="220" t="s">
        <v>6324</v>
      </c>
      <c r="L62" s="209" t="s">
        <v>6195</v>
      </c>
      <c r="M62" s="6" t="s">
        <v>6400</v>
      </c>
      <c r="N62" s="35" t="s">
        <v>571</v>
      </c>
      <c r="O62" s="35" t="s">
        <v>571</v>
      </c>
      <c r="P62" s="35" t="s">
        <v>6374</v>
      </c>
      <c r="Q62" s="209" t="s">
        <v>4663</v>
      </c>
    </row>
    <row r="63" customFormat="false" ht="29.25" hidden="false" customHeight="true" outlineLevel="0" collapsed="false">
      <c r="A63" s="211" t="s">
        <v>5392</v>
      </c>
      <c r="B63" s="211" t="s">
        <v>4422</v>
      </c>
      <c r="C63" s="220" t="s">
        <v>6401</v>
      </c>
      <c r="D63" s="211" t="s">
        <v>5393</v>
      </c>
      <c r="E63" s="221" t="s">
        <v>6320</v>
      </c>
      <c r="F63" s="221" t="s">
        <v>6321</v>
      </c>
      <c r="G63" s="211" t="s">
        <v>571</v>
      </c>
      <c r="H63" s="211" t="s">
        <v>571</v>
      </c>
      <c r="I63" s="221" t="s">
        <v>6322</v>
      </c>
      <c r="J63" s="211" t="s">
        <v>6323</v>
      </c>
      <c r="K63" s="220" t="s">
        <v>6324</v>
      </c>
      <c r="L63" s="209" t="s">
        <v>6195</v>
      </c>
      <c r="M63" s="6" t="s">
        <v>6402</v>
      </c>
      <c r="N63" s="35" t="s">
        <v>571</v>
      </c>
      <c r="O63" s="35" t="s">
        <v>571</v>
      </c>
      <c r="P63" s="35" t="s">
        <v>6374</v>
      </c>
      <c r="Q63" s="209" t="s">
        <v>4663</v>
      </c>
    </row>
    <row r="64" customFormat="false" ht="43.5" hidden="false" customHeight="true" outlineLevel="0" collapsed="false">
      <c r="A64" s="211" t="s">
        <v>5403</v>
      </c>
      <c r="B64" s="211" t="s">
        <v>4422</v>
      </c>
      <c r="C64" s="220" t="s">
        <v>6403</v>
      </c>
      <c r="D64" s="211" t="s">
        <v>5404</v>
      </c>
      <c r="E64" s="221" t="s">
        <v>6320</v>
      </c>
      <c r="F64" s="221" t="s">
        <v>6321</v>
      </c>
      <c r="G64" s="211" t="s">
        <v>571</v>
      </c>
      <c r="H64" s="211" t="s">
        <v>571</v>
      </c>
      <c r="I64" s="221" t="s">
        <v>6322</v>
      </c>
      <c r="J64" s="211" t="s">
        <v>6323</v>
      </c>
      <c r="K64" s="220" t="s">
        <v>6324</v>
      </c>
      <c r="L64" s="209" t="s">
        <v>6195</v>
      </c>
      <c r="M64" s="6" t="s">
        <v>6404</v>
      </c>
      <c r="N64" s="35" t="s">
        <v>571</v>
      </c>
      <c r="O64" s="35" t="s">
        <v>571</v>
      </c>
      <c r="P64" s="35" t="s">
        <v>6374</v>
      </c>
      <c r="Q64" s="209" t="s">
        <v>4767</v>
      </c>
    </row>
    <row r="65" customFormat="false" ht="29.25" hidden="false" customHeight="true" outlineLevel="0" collapsed="false">
      <c r="A65" s="211" t="s">
        <v>5425</v>
      </c>
      <c r="B65" s="211" t="s">
        <v>4422</v>
      </c>
      <c r="C65" s="220" t="s">
        <v>6405</v>
      </c>
      <c r="D65" s="211" t="s">
        <v>5426</v>
      </c>
      <c r="E65" s="221" t="s">
        <v>6320</v>
      </c>
      <c r="F65" s="221" t="s">
        <v>6321</v>
      </c>
      <c r="G65" s="211" t="s">
        <v>571</v>
      </c>
      <c r="H65" s="211" t="s">
        <v>571</v>
      </c>
      <c r="I65" s="221" t="s">
        <v>6322</v>
      </c>
      <c r="J65" s="211" t="s">
        <v>6323</v>
      </c>
      <c r="K65" s="220" t="s">
        <v>6324</v>
      </c>
      <c r="L65" s="209" t="s">
        <v>6195</v>
      </c>
      <c r="M65" s="6" t="s">
        <v>5418</v>
      </c>
      <c r="N65" s="35" t="s">
        <v>571</v>
      </c>
      <c r="O65" s="35" t="s">
        <v>571</v>
      </c>
      <c r="P65" s="35" t="s">
        <v>6325</v>
      </c>
      <c r="Q65" s="209" t="s">
        <v>4663</v>
      </c>
    </row>
    <row r="66" customFormat="false" ht="29.25" hidden="false" customHeight="true" outlineLevel="0" collapsed="false">
      <c r="A66" s="211" t="s">
        <v>5436</v>
      </c>
      <c r="B66" s="211" t="s">
        <v>4422</v>
      </c>
      <c r="C66" s="220" t="s">
        <v>6406</v>
      </c>
      <c r="D66" s="211" t="s">
        <v>5437</v>
      </c>
      <c r="E66" s="221" t="s">
        <v>6320</v>
      </c>
      <c r="F66" s="221" t="s">
        <v>6321</v>
      </c>
      <c r="G66" s="211" t="s">
        <v>571</v>
      </c>
      <c r="H66" s="211" t="s">
        <v>571</v>
      </c>
      <c r="I66" s="221" t="s">
        <v>6322</v>
      </c>
      <c r="J66" s="211" t="s">
        <v>6323</v>
      </c>
      <c r="K66" s="220" t="s">
        <v>6324</v>
      </c>
      <c r="L66" s="209" t="s">
        <v>6195</v>
      </c>
      <c r="M66" s="6" t="s">
        <v>6407</v>
      </c>
      <c r="N66" s="35" t="s">
        <v>571</v>
      </c>
      <c r="O66" s="35" t="s">
        <v>571</v>
      </c>
      <c r="P66" s="35" t="s">
        <v>6349</v>
      </c>
      <c r="Q66" s="209" t="s">
        <v>4663</v>
      </c>
    </row>
    <row r="67" customFormat="false" ht="29.25" hidden="false" customHeight="true" outlineLevel="0" collapsed="false">
      <c r="A67" s="211" t="s">
        <v>5451</v>
      </c>
      <c r="B67" s="211" t="s">
        <v>4422</v>
      </c>
      <c r="C67" s="220" t="s">
        <v>6408</v>
      </c>
      <c r="D67" s="211" t="s">
        <v>2440</v>
      </c>
      <c r="E67" s="221" t="s">
        <v>6320</v>
      </c>
      <c r="F67" s="221" t="s">
        <v>6321</v>
      </c>
      <c r="G67" s="211" t="s">
        <v>571</v>
      </c>
      <c r="H67" s="211" t="s">
        <v>571</v>
      </c>
      <c r="I67" s="221" t="s">
        <v>6322</v>
      </c>
      <c r="J67" s="211" t="s">
        <v>6323</v>
      </c>
      <c r="K67" s="220" t="s">
        <v>6324</v>
      </c>
      <c r="L67" s="209" t="s">
        <v>6195</v>
      </c>
      <c r="M67" s="6" t="s">
        <v>6409</v>
      </c>
      <c r="N67" s="35" t="s">
        <v>571</v>
      </c>
      <c r="O67" s="35" t="s">
        <v>571</v>
      </c>
      <c r="P67" s="35" t="s">
        <v>6349</v>
      </c>
      <c r="Q67" s="209" t="s">
        <v>4663</v>
      </c>
    </row>
    <row r="68" customFormat="false" ht="57.75" hidden="false" customHeight="true" outlineLevel="0" collapsed="false">
      <c r="A68" s="211" t="s">
        <v>5463</v>
      </c>
      <c r="B68" s="211" t="s">
        <v>4422</v>
      </c>
      <c r="C68" s="220" t="s">
        <v>6410</v>
      </c>
      <c r="D68" s="211" t="s">
        <v>5464</v>
      </c>
      <c r="E68" s="221" t="s">
        <v>6320</v>
      </c>
      <c r="F68" s="221" t="s">
        <v>6321</v>
      </c>
      <c r="G68" s="211" t="s">
        <v>571</v>
      </c>
      <c r="H68" s="211" t="s">
        <v>571</v>
      </c>
      <c r="I68" s="221" t="s">
        <v>6322</v>
      </c>
      <c r="J68" s="211" t="s">
        <v>6323</v>
      </c>
      <c r="K68" s="220" t="s">
        <v>6324</v>
      </c>
      <c r="L68" s="209" t="s">
        <v>6195</v>
      </c>
      <c r="M68" s="6" t="s">
        <v>6411</v>
      </c>
      <c r="N68" s="35" t="s">
        <v>571</v>
      </c>
      <c r="O68" s="35" t="s">
        <v>571</v>
      </c>
      <c r="P68" s="35" t="s">
        <v>6374</v>
      </c>
      <c r="Q68" s="209" t="s">
        <v>4767</v>
      </c>
    </row>
    <row r="69" customFormat="false" ht="29.25" hidden="false" customHeight="true" outlineLevel="0" collapsed="false">
      <c r="A69" s="211" t="s">
        <v>6412</v>
      </c>
      <c r="B69" s="211" t="s">
        <v>4422</v>
      </c>
      <c r="C69" s="220" t="s">
        <v>6413</v>
      </c>
      <c r="D69" s="211" t="s">
        <v>5490</v>
      </c>
      <c r="E69" s="221" t="s">
        <v>6320</v>
      </c>
      <c r="F69" s="221" t="s">
        <v>6321</v>
      </c>
      <c r="G69" s="211" t="s">
        <v>571</v>
      </c>
      <c r="H69" s="211" t="s">
        <v>571</v>
      </c>
      <c r="I69" s="221" t="s">
        <v>6322</v>
      </c>
      <c r="J69" s="211" t="s">
        <v>6323</v>
      </c>
      <c r="K69" s="220" t="s">
        <v>6324</v>
      </c>
      <c r="L69" s="209" t="s">
        <v>6195</v>
      </c>
      <c r="M69" s="6" t="s">
        <v>6414</v>
      </c>
      <c r="N69" s="35" t="s">
        <v>571</v>
      </c>
      <c r="O69" s="35" t="s">
        <v>571</v>
      </c>
      <c r="P69" s="35" t="s">
        <v>6325</v>
      </c>
      <c r="Q69" s="209" t="s">
        <v>4663</v>
      </c>
    </row>
    <row r="70" customFormat="false" ht="29.25" hidden="false" customHeight="true" outlineLevel="0" collapsed="false">
      <c r="A70" s="211" t="s">
        <v>6415</v>
      </c>
      <c r="B70" s="211" t="s">
        <v>4422</v>
      </c>
      <c r="C70" s="220" t="s">
        <v>6416</v>
      </c>
      <c r="D70" s="211" t="s">
        <v>5504</v>
      </c>
      <c r="E70" s="221" t="s">
        <v>6320</v>
      </c>
      <c r="F70" s="221" t="s">
        <v>6321</v>
      </c>
      <c r="G70" s="211" t="s">
        <v>571</v>
      </c>
      <c r="H70" s="211" t="s">
        <v>571</v>
      </c>
      <c r="I70" s="221" t="s">
        <v>6322</v>
      </c>
      <c r="J70" s="211" t="s">
        <v>6323</v>
      </c>
      <c r="K70" s="220" t="s">
        <v>6324</v>
      </c>
      <c r="L70" s="209" t="s">
        <v>6195</v>
      </c>
      <c r="M70" s="6" t="s">
        <v>6250</v>
      </c>
      <c r="N70" s="35" t="s">
        <v>571</v>
      </c>
      <c r="O70" s="35" t="s">
        <v>571</v>
      </c>
      <c r="P70" s="35" t="s">
        <v>6374</v>
      </c>
      <c r="Q70" s="209" t="s">
        <v>4663</v>
      </c>
    </row>
    <row r="71" customFormat="false" ht="83.25" hidden="false" customHeight="true" outlineLevel="0" collapsed="false">
      <c r="A71" s="211" t="s">
        <v>4951</v>
      </c>
      <c r="B71" s="211" t="s">
        <v>4422</v>
      </c>
      <c r="C71" s="220" t="s">
        <v>6417</v>
      </c>
      <c r="D71" s="211" t="s">
        <v>4944</v>
      </c>
      <c r="E71" s="221" t="s">
        <v>6418</v>
      </c>
      <c r="F71" s="221" t="s">
        <v>6321</v>
      </c>
      <c r="G71" s="211" t="s">
        <v>571</v>
      </c>
      <c r="H71" s="211" t="s">
        <v>571</v>
      </c>
      <c r="I71" s="221" t="s">
        <v>6419</v>
      </c>
      <c r="J71" s="211" t="s">
        <v>6323</v>
      </c>
      <c r="K71" s="220" t="s">
        <v>6420</v>
      </c>
      <c r="L71" s="209" t="s">
        <v>6195</v>
      </c>
      <c r="M71" s="6" t="s">
        <v>6421</v>
      </c>
      <c r="N71" s="35" t="s">
        <v>571</v>
      </c>
      <c r="O71" s="35" t="s">
        <v>571</v>
      </c>
      <c r="P71" s="35" t="s">
        <v>6325</v>
      </c>
      <c r="Q71" s="209" t="s">
        <v>6422</v>
      </c>
    </row>
    <row r="72" customFormat="false" ht="29.25" hidden="false" customHeight="true" outlineLevel="0" collapsed="false">
      <c r="A72" s="211" t="s">
        <v>5569</v>
      </c>
      <c r="B72" s="211" t="s">
        <v>6423</v>
      </c>
      <c r="C72" s="220" t="s">
        <v>6424</v>
      </c>
      <c r="D72" s="211" t="s">
        <v>5570</v>
      </c>
      <c r="E72" s="221" t="s">
        <v>6320</v>
      </c>
      <c r="F72" s="221" t="s">
        <v>6321</v>
      </c>
      <c r="G72" s="211" t="s">
        <v>571</v>
      </c>
      <c r="H72" s="211" t="s">
        <v>571</v>
      </c>
      <c r="I72" s="221" t="s">
        <v>6322</v>
      </c>
      <c r="J72" s="211" t="s">
        <v>6425</v>
      </c>
      <c r="K72" s="220" t="s">
        <v>6324</v>
      </c>
      <c r="L72" s="209" t="s">
        <v>6195</v>
      </c>
      <c r="M72" s="6" t="s">
        <v>2144</v>
      </c>
      <c r="N72" s="35" t="s">
        <v>571</v>
      </c>
      <c r="O72" s="35" t="s">
        <v>571</v>
      </c>
      <c r="P72" s="35" t="s">
        <v>6325</v>
      </c>
      <c r="Q72" s="209" t="s">
        <v>4663</v>
      </c>
    </row>
    <row r="73" customFormat="false" ht="29.25" hidden="false" customHeight="true" outlineLevel="0" collapsed="false">
      <c r="A73" s="211" t="s">
        <v>5579</v>
      </c>
      <c r="B73" s="211" t="s">
        <v>6423</v>
      </c>
      <c r="C73" s="220" t="s">
        <v>6426</v>
      </c>
      <c r="D73" s="211" t="s">
        <v>5580</v>
      </c>
      <c r="E73" s="221" t="s">
        <v>6320</v>
      </c>
      <c r="F73" s="221" t="s">
        <v>6321</v>
      </c>
      <c r="G73" s="211" t="s">
        <v>571</v>
      </c>
      <c r="H73" s="211" t="s">
        <v>571</v>
      </c>
      <c r="I73" s="221" t="s">
        <v>6322</v>
      </c>
      <c r="J73" s="211" t="s">
        <v>6425</v>
      </c>
      <c r="K73" s="220" t="s">
        <v>6324</v>
      </c>
      <c r="L73" s="209" t="s">
        <v>6195</v>
      </c>
      <c r="M73" s="6" t="s">
        <v>2151</v>
      </c>
      <c r="N73" s="35" t="s">
        <v>571</v>
      </c>
      <c r="O73" s="35" t="s">
        <v>571</v>
      </c>
      <c r="P73" s="35" t="s">
        <v>6349</v>
      </c>
      <c r="Q73" s="209" t="s">
        <v>4767</v>
      </c>
    </row>
    <row r="74" customFormat="false" ht="29.25" hidden="false" customHeight="true" outlineLevel="0" collapsed="false">
      <c r="A74" s="211" t="s">
        <v>5830</v>
      </c>
      <c r="B74" s="211" t="s">
        <v>6423</v>
      </c>
      <c r="C74" s="220" t="s">
        <v>6427</v>
      </c>
      <c r="D74" s="211" t="s">
        <v>5831</v>
      </c>
      <c r="E74" s="221" t="s">
        <v>6320</v>
      </c>
      <c r="F74" s="221" t="s">
        <v>6321</v>
      </c>
      <c r="G74" s="211" t="s">
        <v>571</v>
      </c>
      <c r="H74" s="211" t="s">
        <v>571</v>
      </c>
      <c r="I74" s="221" t="s">
        <v>6322</v>
      </c>
      <c r="J74" s="211" t="s">
        <v>6425</v>
      </c>
      <c r="K74" s="220" t="s">
        <v>6324</v>
      </c>
      <c r="L74" s="209" t="s">
        <v>6195</v>
      </c>
      <c r="M74" s="6" t="s">
        <v>6301</v>
      </c>
      <c r="N74" s="35" t="s">
        <v>571</v>
      </c>
      <c r="O74" s="35" t="s">
        <v>571</v>
      </c>
      <c r="P74" s="35" t="s">
        <v>6349</v>
      </c>
      <c r="Q74" s="209" t="s">
        <v>4663</v>
      </c>
    </row>
    <row r="75" customFormat="false" ht="29.25" hidden="false" customHeight="true" outlineLevel="0" collapsed="false">
      <c r="A75" s="211" t="s">
        <v>5897</v>
      </c>
      <c r="B75" s="211" t="s">
        <v>6423</v>
      </c>
      <c r="C75" s="220" t="s">
        <v>6428</v>
      </c>
      <c r="D75" s="211" t="s">
        <v>5898</v>
      </c>
      <c r="E75" s="221" t="s">
        <v>6320</v>
      </c>
      <c r="F75" s="221" t="s">
        <v>6321</v>
      </c>
      <c r="G75" s="211" t="s">
        <v>571</v>
      </c>
      <c r="H75" s="211" t="s">
        <v>571</v>
      </c>
      <c r="I75" s="221" t="s">
        <v>6322</v>
      </c>
      <c r="J75" s="211" t="s">
        <v>6425</v>
      </c>
      <c r="K75" s="220" t="s">
        <v>6324</v>
      </c>
      <c r="L75" s="209" t="s">
        <v>6195</v>
      </c>
      <c r="M75" s="6" t="s">
        <v>6214</v>
      </c>
      <c r="N75" s="35" t="s">
        <v>571</v>
      </c>
      <c r="O75" s="35" t="s">
        <v>571</v>
      </c>
      <c r="P75" s="35" t="s">
        <v>6374</v>
      </c>
      <c r="Q75" s="209" t="s">
        <v>4767</v>
      </c>
    </row>
    <row r="76" customFormat="false" ht="69" hidden="false" customHeight="true" outlineLevel="0" collapsed="false">
      <c r="A76" s="211" t="s">
        <v>5588</v>
      </c>
      <c r="B76" s="211" t="s">
        <v>6423</v>
      </c>
      <c r="C76" s="220" t="s">
        <v>6429</v>
      </c>
      <c r="D76" s="211" t="s">
        <v>5589</v>
      </c>
      <c r="E76" s="221" t="s">
        <v>6320</v>
      </c>
      <c r="F76" s="221" t="s">
        <v>6321</v>
      </c>
      <c r="G76" s="211" t="s">
        <v>571</v>
      </c>
      <c r="H76" s="211" t="s">
        <v>571</v>
      </c>
      <c r="I76" s="221" t="s">
        <v>6322</v>
      </c>
      <c r="J76" s="211" t="s">
        <v>6425</v>
      </c>
      <c r="K76" s="220" t="s">
        <v>6324</v>
      </c>
      <c r="L76" s="209" t="s">
        <v>6195</v>
      </c>
      <c r="M76" s="6" t="s">
        <v>6430</v>
      </c>
      <c r="N76" s="35" t="s">
        <v>571</v>
      </c>
      <c r="O76" s="35" t="s">
        <v>571</v>
      </c>
      <c r="P76" s="35" t="s">
        <v>6374</v>
      </c>
      <c r="Q76" s="209" t="s">
        <v>4663</v>
      </c>
    </row>
    <row r="77" customFormat="false" ht="69" hidden="false" customHeight="true" outlineLevel="0" collapsed="false">
      <c r="A77" s="211" t="s">
        <v>5619</v>
      </c>
      <c r="B77" s="211" t="s">
        <v>6423</v>
      </c>
      <c r="C77" s="220" t="s">
        <v>6431</v>
      </c>
      <c r="D77" s="211" t="s">
        <v>5620</v>
      </c>
      <c r="E77" s="221" t="s">
        <v>6320</v>
      </c>
      <c r="F77" s="221" t="s">
        <v>6321</v>
      </c>
      <c r="G77" s="211" t="s">
        <v>571</v>
      </c>
      <c r="H77" s="211" t="s">
        <v>571</v>
      </c>
      <c r="I77" s="221" t="s">
        <v>6322</v>
      </c>
      <c r="J77" s="211" t="s">
        <v>6425</v>
      </c>
      <c r="K77" s="220" t="s">
        <v>6324</v>
      </c>
      <c r="L77" s="209" t="s">
        <v>6195</v>
      </c>
      <c r="M77" s="6" t="s">
        <v>6283</v>
      </c>
      <c r="N77" s="35" t="s">
        <v>571</v>
      </c>
      <c r="O77" s="35" t="s">
        <v>571</v>
      </c>
      <c r="P77" s="35" t="s">
        <v>6349</v>
      </c>
      <c r="Q77" s="209" t="s">
        <v>4663</v>
      </c>
    </row>
    <row r="78" customFormat="false" ht="57.75" hidden="false" customHeight="true" outlineLevel="0" collapsed="false">
      <c r="A78" s="211" t="s">
        <v>5654</v>
      </c>
      <c r="B78" s="211" t="s">
        <v>6423</v>
      </c>
      <c r="C78" s="220" t="s">
        <v>6432</v>
      </c>
      <c r="D78" s="211" t="s">
        <v>2494</v>
      </c>
      <c r="E78" s="221" t="s">
        <v>6320</v>
      </c>
      <c r="F78" s="221" t="s">
        <v>6321</v>
      </c>
      <c r="G78" s="211" t="s">
        <v>571</v>
      </c>
      <c r="H78" s="211" t="s">
        <v>571</v>
      </c>
      <c r="I78" s="221" t="s">
        <v>6322</v>
      </c>
      <c r="J78" s="211" t="s">
        <v>6425</v>
      </c>
      <c r="K78" s="220" t="s">
        <v>6324</v>
      </c>
      <c r="L78" s="209" t="s">
        <v>6195</v>
      </c>
      <c r="M78" s="6" t="s">
        <v>6264</v>
      </c>
      <c r="N78" s="35" t="s">
        <v>571</v>
      </c>
      <c r="O78" s="35" t="s">
        <v>571</v>
      </c>
      <c r="P78" s="35" t="s">
        <v>6374</v>
      </c>
      <c r="Q78" s="209" t="s">
        <v>4663</v>
      </c>
    </row>
    <row r="79" customFormat="false" ht="43.5" hidden="false" customHeight="true" outlineLevel="0" collapsed="false">
      <c r="A79" s="211" t="s">
        <v>5684</v>
      </c>
      <c r="B79" s="211" t="s">
        <v>6423</v>
      </c>
      <c r="C79" s="220" t="s">
        <v>6433</v>
      </c>
      <c r="D79" s="211" t="s">
        <v>5685</v>
      </c>
      <c r="E79" s="221" t="s">
        <v>6320</v>
      </c>
      <c r="F79" s="221" t="s">
        <v>6321</v>
      </c>
      <c r="G79" s="211" t="s">
        <v>571</v>
      </c>
      <c r="H79" s="211" t="s">
        <v>571</v>
      </c>
      <c r="I79" s="221" t="s">
        <v>6322</v>
      </c>
      <c r="J79" s="211" t="s">
        <v>6425</v>
      </c>
      <c r="K79" s="220" t="s">
        <v>6324</v>
      </c>
      <c r="L79" s="209" t="s">
        <v>6195</v>
      </c>
      <c r="M79" s="6" t="s">
        <v>6434</v>
      </c>
      <c r="N79" s="35" t="s">
        <v>571</v>
      </c>
      <c r="O79" s="35" t="s">
        <v>571</v>
      </c>
      <c r="P79" s="35" t="s">
        <v>6374</v>
      </c>
      <c r="Q79" s="209" t="s">
        <v>4663</v>
      </c>
    </row>
    <row r="80" customFormat="false" ht="72" hidden="false" customHeight="true" outlineLevel="0" collapsed="false">
      <c r="A80" s="211" t="s">
        <v>5706</v>
      </c>
      <c r="B80" s="211" t="s">
        <v>6423</v>
      </c>
      <c r="C80" s="220" t="s">
        <v>6435</v>
      </c>
      <c r="D80" s="211" t="s">
        <v>5707</v>
      </c>
      <c r="E80" s="221" t="s">
        <v>6320</v>
      </c>
      <c r="F80" s="221" t="s">
        <v>6321</v>
      </c>
      <c r="G80" s="211" t="s">
        <v>571</v>
      </c>
      <c r="H80" s="211" t="s">
        <v>571</v>
      </c>
      <c r="I80" s="221" t="s">
        <v>6322</v>
      </c>
      <c r="J80" s="211" t="s">
        <v>6425</v>
      </c>
      <c r="K80" s="220" t="s">
        <v>6324</v>
      </c>
      <c r="L80" s="209" t="s">
        <v>6195</v>
      </c>
      <c r="M80" s="6" t="s">
        <v>6287</v>
      </c>
      <c r="N80" s="35" t="s">
        <v>571</v>
      </c>
      <c r="O80" s="35" t="s">
        <v>571</v>
      </c>
      <c r="P80" s="35" t="s">
        <v>6349</v>
      </c>
      <c r="Q80" s="209" t="s">
        <v>4663</v>
      </c>
    </row>
    <row r="81" customFormat="false" ht="54.75" hidden="false" customHeight="true" outlineLevel="0" collapsed="false">
      <c r="A81" s="211" t="s">
        <v>5743</v>
      </c>
      <c r="B81" s="211" t="s">
        <v>6423</v>
      </c>
      <c r="C81" s="220" t="s">
        <v>6436</v>
      </c>
      <c r="D81" s="211" t="s">
        <v>5744</v>
      </c>
      <c r="E81" s="221" t="s">
        <v>6320</v>
      </c>
      <c r="F81" s="221" t="s">
        <v>6321</v>
      </c>
      <c r="G81" s="211" t="s">
        <v>571</v>
      </c>
      <c r="H81" s="211" t="s">
        <v>571</v>
      </c>
      <c r="I81" s="221" t="s">
        <v>6322</v>
      </c>
      <c r="J81" s="211" t="s">
        <v>6425</v>
      </c>
      <c r="K81" s="220" t="s">
        <v>6324</v>
      </c>
      <c r="L81" s="209" t="s">
        <v>6195</v>
      </c>
      <c r="M81" s="6" t="s">
        <v>6277</v>
      </c>
      <c r="N81" s="35" t="s">
        <v>571</v>
      </c>
      <c r="O81" s="35" t="s">
        <v>571</v>
      </c>
      <c r="P81" s="35" t="s">
        <v>6349</v>
      </c>
      <c r="Q81" s="209" t="s">
        <v>4767</v>
      </c>
    </row>
    <row r="82" customFormat="false" ht="29.25" hidden="false" customHeight="true" outlineLevel="0" collapsed="false">
      <c r="A82" s="211" t="s">
        <v>5775</v>
      </c>
      <c r="B82" s="211" t="s">
        <v>6423</v>
      </c>
      <c r="C82" s="220" t="s">
        <v>6437</v>
      </c>
      <c r="D82" s="211" t="s">
        <v>5770</v>
      </c>
      <c r="E82" s="221" t="s">
        <v>6320</v>
      </c>
      <c r="F82" s="221" t="s">
        <v>6321</v>
      </c>
      <c r="G82" s="211" t="s">
        <v>571</v>
      </c>
      <c r="H82" s="211" t="s">
        <v>571</v>
      </c>
      <c r="I82" s="221" t="s">
        <v>6322</v>
      </c>
      <c r="J82" s="211" t="s">
        <v>6425</v>
      </c>
      <c r="K82" s="220" t="s">
        <v>6324</v>
      </c>
      <c r="L82" s="209" t="s">
        <v>6195</v>
      </c>
      <c r="M82" s="6" t="s">
        <v>6438</v>
      </c>
      <c r="N82" s="35" t="s">
        <v>571</v>
      </c>
      <c r="O82" s="35" t="s">
        <v>571</v>
      </c>
      <c r="P82" s="35" t="s">
        <v>6325</v>
      </c>
      <c r="Q82" s="209" t="s">
        <v>4767</v>
      </c>
    </row>
    <row r="83" customFormat="false" ht="43.5" hidden="false" customHeight="true" outlineLevel="0" collapsed="false">
      <c r="A83" s="211" t="s">
        <v>5909</v>
      </c>
      <c r="B83" s="211" t="s">
        <v>6423</v>
      </c>
      <c r="C83" s="220" t="s">
        <v>6439</v>
      </c>
      <c r="D83" s="211" t="s">
        <v>5910</v>
      </c>
      <c r="E83" s="221" t="s">
        <v>6320</v>
      </c>
      <c r="F83" s="221" t="s">
        <v>6321</v>
      </c>
      <c r="G83" s="211" t="s">
        <v>571</v>
      </c>
      <c r="H83" s="211" t="s">
        <v>571</v>
      </c>
      <c r="I83" s="221" t="s">
        <v>6322</v>
      </c>
      <c r="J83" s="211" t="s">
        <v>6425</v>
      </c>
      <c r="K83" s="220" t="s">
        <v>6324</v>
      </c>
      <c r="L83" s="209" t="s">
        <v>6195</v>
      </c>
      <c r="M83" s="6" t="s">
        <v>6257</v>
      </c>
      <c r="N83" s="35" t="s">
        <v>571</v>
      </c>
      <c r="O83" s="35" t="s">
        <v>571</v>
      </c>
      <c r="P83" s="35" t="s">
        <v>6349</v>
      </c>
      <c r="Q83" s="209" t="s">
        <v>4663</v>
      </c>
    </row>
    <row r="84" customFormat="false" ht="72" hidden="false" customHeight="true" outlineLevel="0" collapsed="false">
      <c r="A84" s="211" t="s">
        <v>5840</v>
      </c>
      <c r="B84" s="211" t="s">
        <v>6423</v>
      </c>
      <c r="C84" s="220" t="s">
        <v>6440</v>
      </c>
      <c r="D84" s="211" t="s">
        <v>1496</v>
      </c>
      <c r="E84" s="221" t="s">
        <v>6320</v>
      </c>
      <c r="F84" s="221" t="s">
        <v>6321</v>
      </c>
      <c r="G84" s="211" t="s">
        <v>571</v>
      </c>
      <c r="H84" s="211" t="s">
        <v>571</v>
      </c>
      <c r="I84" s="221" t="s">
        <v>6322</v>
      </c>
      <c r="J84" s="211" t="s">
        <v>6425</v>
      </c>
      <c r="K84" s="220" t="s">
        <v>6324</v>
      </c>
      <c r="L84" s="209" t="s">
        <v>6195</v>
      </c>
      <c r="M84" s="6" t="s">
        <v>6295</v>
      </c>
      <c r="N84" s="35" t="s">
        <v>571</v>
      </c>
      <c r="O84" s="35" t="s">
        <v>571</v>
      </c>
      <c r="P84" s="35" t="s">
        <v>6349</v>
      </c>
      <c r="Q84" s="209" t="s">
        <v>4663</v>
      </c>
    </row>
    <row r="85" customFormat="false" ht="72" hidden="false" customHeight="true" outlineLevel="0" collapsed="false">
      <c r="A85" s="211" t="s">
        <v>5791</v>
      </c>
      <c r="B85" s="211" t="s">
        <v>6423</v>
      </c>
      <c r="C85" s="220" t="s">
        <v>6441</v>
      </c>
      <c r="D85" s="211" t="s">
        <v>1515</v>
      </c>
      <c r="E85" s="221" t="s">
        <v>6320</v>
      </c>
      <c r="F85" s="221" t="s">
        <v>6321</v>
      </c>
      <c r="G85" s="211" t="s">
        <v>571</v>
      </c>
      <c r="H85" s="211" t="s">
        <v>571</v>
      </c>
      <c r="I85" s="221" t="s">
        <v>6322</v>
      </c>
      <c r="J85" s="211" t="s">
        <v>6425</v>
      </c>
      <c r="K85" s="220" t="s">
        <v>6324</v>
      </c>
      <c r="L85" s="209" t="s">
        <v>6195</v>
      </c>
      <c r="M85" s="6" t="s">
        <v>6307</v>
      </c>
      <c r="N85" s="35" t="s">
        <v>571</v>
      </c>
      <c r="O85" s="35" t="s">
        <v>571</v>
      </c>
      <c r="P85" s="35" t="s">
        <v>6349</v>
      </c>
      <c r="Q85" s="209" t="s">
        <v>4767</v>
      </c>
    </row>
    <row r="86" customFormat="false" ht="29.25" hidden="false" customHeight="true" outlineLevel="0" collapsed="false">
      <c r="A86" s="211" t="s">
        <v>5878</v>
      </c>
      <c r="B86" s="211" t="s">
        <v>6423</v>
      </c>
      <c r="C86" s="220" t="s">
        <v>6442</v>
      </c>
      <c r="D86" s="211" t="s">
        <v>5879</v>
      </c>
      <c r="E86" s="221" t="s">
        <v>6320</v>
      </c>
      <c r="F86" s="221" t="s">
        <v>6321</v>
      </c>
      <c r="G86" s="211" t="s">
        <v>571</v>
      </c>
      <c r="H86" s="211" t="s">
        <v>571</v>
      </c>
      <c r="I86" s="221" t="s">
        <v>6322</v>
      </c>
      <c r="J86" s="211" t="s">
        <v>6425</v>
      </c>
      <c r="K86" s="220" t="s">
        <v>6324</v>
      </c>
      <c r="L86" s="209" t="s">
        <v>6195</v>
      </c>
      <c r="M86" s="6" t="s">
        <v>6443</v>
      </c>
      <c r="N86" s="35" t="s">
        <v>571</v>
      </c>
      <c r="O86" s="35" t="s">
        <v>571</v>
      </c>
      <c r="P86" s="35" t="s">
        <v>6349</v>
      </c>
      <c r="Q86" s="209" t="s">
        <v>4767</v>
      </c>
    </row>
    <row r="87" customFormat="false" ht="29.25" hidden="false" customHeight="true" outlineLevel="0" collapsed="false">
      <c r="A87" s="211" t="s">
        <v>5888</v>
      </c>
      <c r="B87" s="211" t="s">
        <v>6423</v>
      </c>
      <c r="C87" s="220" t="s">
        <v>6444</v>
      </c>
      <c r="D87" s="211" t="s">
        <v>5889</v>
      </c>
      <c r="E87" s="221" t="s">
        <v>6320</v>
      </c>
      <c r="F87" s="221" t="s">
        <v>6321</v>
      </c>
      <c r="G87" s="211" t="s">
        <v>571</v>
      </c>
      <c r="H87" s="211" t="s">
        <v>571</v>
      </c>
      <c r="I87" s="221" t="s">
        <v>6322</v>
      </c>
      <c r="J87" s="211" t="s">
        <v>6425</v>
      </c>
      <c r="K87" s="220" t="s">
        <v>6324</v>
      </c>
      <c r="L87" s="209" t="s">
        <v>6195</v>
      </c>
      <c r="M87" s="6" t="s">
        <v>5883</v>
      </c>
      <c r="N87" s="35" t="s">
        <v>571</v>
      </c>
      <c r="O87" s="35" t="s">
        <v>571</v>
      </c>
      <c r="P87" s="35" t="s">
        <v>6349</v>
      </c>
      <c r="Q87" s="209" t="s">
        <v>4663</v>
      </c>
    </row>
    <row r="88" customFormat="false" ht="86.25" hidden="false" customHeight="true" outlineLevel="0" collapsed="false">
      <c r="A88" s="211" t="s">
        <v>5518</v>
      </c>
      <c r="B88" s="211" t="s">
        <v>6423</v>
      </c>
      <c r="C88" s="220" t="s">
        <v>6445</v>
      </c>
      <c r="D88" s="211" t="s">
        <v>5426</v>
      </c>
      <c r="E88" s="221" t="s">
        <v>6446</v>
      </c>
      <c r="F88" s="211" t="s">
        <v>6447</v>
      </c>
      <c r="G88" s="211" t="s">
        <v>571</v>
      </c>
      <c r="H88" s="211" t="s">
        <v>6448</v>
      </c>
      <c r="I88" s="221" t="s">
        <v>6449</v>
      </c>
      <c r="J88" s="211" t="s">
        <v>6425</v>
      </c>
      <c r="K88" s="220" t="s">
        <v>6450</v>
      </c>
      <c r="L88" s="209" t="s">
        <v>6195</v>
      </c>
      <c r="M88" s="6" t="s">
        <v>6451</v>
      </c>
      <c r="N88" s="35" t="s">
        <v>571</v>
      </c>
      <c r="O88" s="35" t="s">
        <v>571</v>
      </c>
      <c r="P88" s="35" t="s">
        <v>6374</v>
      </c>
      <c r="Q88" s="209" t="s">
        <v>4663</v>
      </c>
    </row>
    <row r="89" customFormat="false" ht="100.5" hidden="false" customHeight="true" outlineLevel="0" collapsed="false">
      <c r="A89" s="211" t="s">
        <v>5294</v>
      </c>
      <c r="B89" s="211" t="s">
        <v>6423</v>
      </c>
      <c r="C89" s="220" t="s">
        <v>6452</v>
      </c>
      <c r="D89" s="211" t="s">
        <v>5295</v>
      </c>
      <c r="E89" s="221" t="s">
        <v>6446</v>
      </c>
      <c r="F89" s="211" t="s">
        <v>6453</v>
      </c>
      <c r="G89" s="211" t="s">
        <v>6454</v>
      </c>
      <c r="H89" s="211" t="s">
        <v>6455</v>
      </c>
      <c r="I89" s="221" t="s">
        <v>6449</v>
      </c>
      <c r="J89" s="211" t="s">
        <v>6425</v>
      </c>
      <c r="K89" s="222" t="s">
        <v>6456</v>
      </c>
      <c r="L89" s="209" t="s">
        <v>6195</v>
      </c>
      <c r="M89" s="6" t="s">
        <v>6457</v>
      </c>
      <c r="N89" s="35" t="s">
        <v>571</v>
      </c>
      <c r="O89" s="35" t="s">
        <v>571</v>
      </c>
      <c r="P89" s="35" t="s">
        <v>6374</v>
      </c>
      <c r="Q89" s="209" t="s">
        <v>4663</v>
      </c>
    </row>
    <row r="90" customFormat="false" ht="15" hidden="false" customHeight="true" outlineLevel="0" collapsed="false">
      <c r="A90" s="211" t="s">
        <v>5934</v>
      </c>
      <c r="B90" s="211" t="s">
        <v>4586</v>
      </c>
      <c r="C90" s="220" t="s">
        <v>6458</v>
      </c>
      <c r="D90" s="211" t="s">
        <v>6459</v>
      </c>
      <c r="E90" s="221" t="s">
        <v>6460</v>
      </c>
      <c r="F90" s="211" t="s">
        <v>6461</v>
      </c>
      <c r="G90" s="211" t="s">
        <v>571</v>
      </c>
      <c r="H90" s="211" t="s">
        <v>6462</v>
      </c>
      <c r="I90" s="221" t="s">
        <v>6463</v>
      </c>
      <c r="J90" s="211" t="s">
        <v>6464</v>
      </c>
      <c r="K90" s="220" t="s">
        <v>6465</v>
      </c>
      <c r="L90" s="209" t="s">
        <v>6195</v>
      </c>
      <c r="M90" s="6" t="s">
        <v>4264</v>
      </c>
      <c r="N90" s="35" t="s">
        <v>571</v>
      </c>
      <c r="O90" s="35" t="s">
        <v>6466</v>
      </c>
      <c r="P90" s="35" t="s">
        <v>6349</v>
      </c>
      <c r="Q90" s="209" t="s">
        <v>4663</v>
      </c>
    </row>
    <row r="91" customFormat="false" ht="39" hidden="false" customHeight="true" outlineLevel="0" collapsed="false">
      <c r="A91" s="211" t="s">
        <v>6467</v>
      </c>
      <c r="B91" s="211" t="s">
        <v>4586</v>
      </c>
      <c r="C91" s="220" t="s">
        <v>6468</v>
      </c>
      <c r="D91" s="211" t="s">
        <v>6469</v>
      </c>
      <c r="E91" s="221" t="s">
        <v>6460</v>
      </c>
      <c r="F91" s="221" t="s">
        <v>6470</v>
      </c>
      <c r="G91" s="211" t="s">
        <v>571</v>
      </c>
      <c r="H91" s="211" t="s">
        <v>6471</v>
      </c>
      <c r="I91" s="221" t="s">
        <v>6463</v>
      </c>
      <c r="J91" s="211" t="s">
        <v>6464</v>
      </c>
      <c r="K91" s="222" t="s">
        <v>6472</v>
      </c>
      <c r="L91" s="209" t="s">
        <v>6195</v>
      </c>
      <c r="M91" s="6" t="s">
        <v>5938</v>
      </c>
      <c r="N91" s="35" t="s">
        <v>571</v>
      </c>
      <c r="O91" s="35" t="s">
        <v>6466</v>
      </c>
      <c r="P91" s="35" t="s">
        <v>6349</v>
      </c>
      <c r="Q91" s="209" t="s">
        <v>4663</v>
      </c>
    </row>
    <row r="92" customFormat="false" ht="15" hidden="false" customHeight="true" outlineLevel="0" collapsed="false">
      <c r="A92" s="211" t="s">
        <v>5951</v>
      </c>
      <c r="B92" s="211" t="s">
        <v>4586</v>
      </c>
      <c r="C92" s="220" t="s">
        <v>6473</v>
      </c>
      <c r="D92" s="211" t="s">
        <v>6474</v>
      </c>
      <c r="E92" s="221" t="s">
        <v>6460</v>
      </c>
      <c r="F92" s="211" t="s">
        <v>6461</v>
      </c>
      <c r="G92" s="211" t="s">
        <v>571</v>
      </c>
      <c r="H92" s="211" t="s">
        <v>6475</v>
      </c>
      <c r="I92" s="221" t="s">
        <v>6463</v>
      </c>
      <c r="J92" s="211" t="s">
        <v>6464</v>
      </c>
      <c r="K92" s="222" t="s">
        <v>6476</v>
      </c>
      <c r="L92" s="209" t="s">
        <v>6195</v>
      </c>
      <c r="M92" s="6" t="s">
        <v>4271</v>
      </c>
      <c r="N92" s="35" t="s">
        <v>571</v>
      </c>
      <c r="O92" s="35" t="s">
        <v>6466</v>
      </c>
      <c r="P92" s="35" t="s">
        <v>6349</v>
      </c>
      <c r="Q92" s="209" t="s">
        <v>4663</v>
      </c>
    </row>
    <row r="93" customFormat="false" ht="26.25" hidden="false" customHeight="true" outlineLevel="0" collapsed="false">
      <c r="A93" s="211" t="s">
        <v>6477</v>
      </c>
      <c r="B93" s="211" t="s">
        <v>4586</v>
      </c>
      <c r="C93" s="222" t="s">
        <v>6478</v>
      </c>
      <c r="D93" s="211" t="s">
        <v>6479</v>
      </c>
      <c r="E93" s="221" t="s">
        <v>6460</v>
      </c>
      <c r="F93" s="211" t="s">
        <v>6480</v>
      </c>
      <c r="G93" s="211" t="s">
        <v>571</v>
      </c>
      <c r="H93" s="211" t="s">
        <v>6481</v>
      </c>
      <c r="I93" s="221" t="s">
        <v>6463</v>
      </c>
      <c r="J93" s="211" t="s">
        <v>6464</v>
      </c>
      <c r="K93" s="222" t="s">
        <v>6482</v>
      </c>
      <c r="L93" s="209" t="s">
        <v>6195</v>
      </c>
      <c r="M93" s="6" t="s">
        <v>2289</v>
      </c>
      <c r="N93" s="35" t="s">
        <v>571</v>
      </c>
      <c r="O93" s="35" t="s">
        <v>6466</v>
      </c>
      <c r="P93" s="35" t="s">
        <v>6349</v>
      </c>
      <c r="Q93" s="209" t="s">
        <v>4767</v>
      </c>
    </row>
    <row r="94" customFormat="false" ht="52.2" hidden="false" customHeight="false" outlineLevel="0" collapsed="false">
      <c r="A94" s="129" t="s">
        <v>6483</v>
      </c>
      <c r="B94" s="129" t="s">
        <v>4599</v>
      </c>
      <c r="C94" s="220" t="s">
        <v>6484</v>
      </c>
      <c r="D94" s="129" t="s">
        <v>6485</v>
      </c>
      <c r="E94" s="98" t="s">
        <v>6486</v>
      </c>
      <c r="F94" s="129" t="s">
        <v>6487</v>
      </c>
      <c r="G94" s="129" t="s">
        <v>6488</v>
      </c>
      <c r="H94" s="129" t="s">
        <v>6489</v>
      </c>
      <c r="I94" s="98" t="s">
        <v>6490</v>
      </c>
      <c r="J94" s="129" t="s">
        <v>6491</v>
      </c>
      <c r="K94" s="223" t="s">
        <v>6492</v>
      </c>
      <c r="L94" s="53" t="s">
        <v>6195</v>
      </c>
      <c r="M94" s="6" t="s">
        <v>3164</v>
      </c>
      <c r="N94" s="54" t="s">
        <v>571</v>
      </c>
      <c r="O94" s="54" t="s">
        <v>6493</v>
      </c>
      <c r="P94" s="54" t="s">
        <v>6374</v>
      </c>
      <c r="Q94" s="53" t="s">
        <v>4663</v>
      </c>
    </row>
    <row r="95" customFormat="false" ht="52.2" hidden="false" customHeight="false" outlineLevel="0" collapsed="false">
      <c r="A95" s="129" t="s">
        <v>6494</v>
      </c>
      <c r="B95" s="129" t="s">
        <v>4599</v>
      </c>
      <c r="C95" s="220" t="s">
        <v>6495</v>
      </c>
      <c r="D95" s="129" t="s">
        <v>6485</v>
      </c>
      <c r="E95" s="98" t="s">
        <v>6486</v>
      </c>
      <c r="F95" s="129" t="s">
        <v>6496</v>
      </c>
      <c r="G95" s="129" t="s">
        <v>6497</v>
      </c>
      <c r="H95" s="129" t="s">
        <v>6498</v>
      </c>
      <c r="I95" s="98" t="s">
        <v>6490</v>
      </c>
      <c r="J95" s="129" t="s">
        <v>6491</v>
      </c>
      <c r="K95" s="223" t="s">
        <v>6492</v>
      </c>
      <c r="L95" s="53" t="s">
        <v>6195</v>
      </c>
      <c r="M95" s="6" t="s">
        <v>3161</v>
      </c>
      <c r="N95" s="54" t="s">
        <v>571</v>
      </c>
      <c r="O95" s="54" t="s">
        <v>6493</v>
      </c>
      <c r="P95" s="54" t="s">
        <v>6374</v>
      </c>
      <c r="Q95" s="53" t="s">
        <v>4663</v>
      </c>
    </row>
    <row r="96" customFormat="false" ht="52.2" hidden="false" customHeight="false" outlineLevel="0" collapsed="false">
      <c r="A96" s="129" t="s">
        <v>6499</v>
      </c>
      <c r="B96" s="129" t="s">
        <v>4599</v>
      </c>
      <c r="C96" s="220" t="s">
        <v>6500</v>
      </c>
      <c r="D96" s="129" t="s">
        <v>6501</v>
      </c>
      <c r="E96" s="98" t="s">
        <v>6486</v>
      </c>
      <c r="F96" s="129" t="s">
        <v>6502</v>
      </c>
      <c r="G96" s="129" t="s">
        <v>6503</v>
      </c>
      <c r="H96" s="129" t="s">
        <v>6504</v>
      </c>
      <c r="I96" s="98" t="s">
        <v>6490</v>
      </c>
      <c r="J96" s="129" t="s">
        <v>6491</v>
      </c>
      <c r="K96" s="223" t="s">
        <v>6505</v>
      </c>
      <c r="L96" s="53" t="s">
        <v>6195</v>
      </c>
      <c r="M96" s="6" t="s">
        <v>3166</v>
      </c>
      <c r="N96" s="54" t="s">
        <v>571</v>
      </c>
      <c r="O96" s="54" t="s">
        <v>6493</v>
      </c>
      <c r="P96" s="54" t="s">
        <v>6374</v>
      </c>
      <c r="Q96" s="53" t="s">
        <v>4663</v>
      </c>
    </row>
    <row r="97" customFormat="false" ht="52.2" hidden="false" customHeight="false" outlineLevel="0" collapsed="false">
      <c r="A97" s="129" t="s">
        <v>6506</v>
      </c>
      <c r="B97" s="129" t="s">
        <v>4599</v>
      </c>
      <c r="C97" s="220" t="s">
        <v>6507</v>
      </c>
      <c r="D97" s="129" t="s">
        <v>6501</v>
      </c>
      <c r="E97" s="98" t="s">
        <v>6486</v>
      </c>
      <c r="F97" s="129" t="s">
        <v>6508</v>
      </c>
      <c r="G97" s="129" t="s">
        <v>6509</v>
      </c>
      <c r="H97" s="129" t="s">
        <v>6510</v>
      </c>
      <c r="I97" s="98" t="s">
        <v>6490</v>
      </c>
      <c r="J97" s="129" t="s">
        <v>6491</v>
      </c>
      <c r="K97" s="223" t="s">
        <v>6511</v>
      </c>
      <c r="L97" s="53" t="s">
        <v>6195</v>
      </c>
      <c r="M97" s="6" t="s">
        <v>3170</v>
      </c>
      <c r="N97" s="54" t="s">
        <v>571</v>
      </c>
      <c r="O97" s="54" t="s">
        <v>6493</v>
      </c>
      <c r="P97" s="54" t="s">
        <v>6374</v>
      </c>
      <c r="Q97" s="53" t="s">
        <v>4663</v>
      </c>
    </row>
    <row r="98" customFormat="false" ht="52.2" hidden="false" customHeight="false" outlineLevel="0" collapsed="false">
      <c r="A98" s="129" t="s">
        <v>6512</v>
      </c>
      <c r="B98" s="129" t="s">
        <v>4599</v>
      </c>
      <c r="C98" s="220" t="s">
        <v>6513</v>
      </c>
      <c r="D98" s="129" t="s">
        <v>6501</v>
      </c>
      <c r="E98" s="98" t="s">
        <v>6486</v>
      </c>
      <c r="F98" s="129" t="s">
        <v>6514</v>
      </c>
      <c r="G98" s="129" t="s">
        <v>6515</v>
      </c>
      <c r="H98" s="129" t="s">
        <v>6516</v>
      </c>
      <c r="I98" s="98" t="s">
        <v>6490</v>
      </c>
      <c r="J98" s="129" t="s">
        <v>6491</v>
      </c>
      <c r="K98" s="223" t="s">
        <v>6517</v>
      </c>
      <c r="L98" s="53" t="s">
        <v>6195</v>
      </c>
      <c r="M98" s="6" t="s">
        <v>3173</v>
      </c>
      <c r="N98" s="54" t="s">
        <v>571</v>
      </c>
      <c r="O98" s="54" t="s">
        <v>6493</v>
      </c>
      <c r="P98" s="54" t="s">
        <v>6374</v>
      </c>
      <c r="Q98" s="53" t="s">
        <v>4663</v>
      </c>
    </row>
    <row r="99" customFormat="false" ht="39.55" hidden="false" customHeight="false" outlineLevel="0" collapsed="false">
      <c r="A99" s="129" t="s">
        <v>6518</v>
      </c>
      <c r="B99" s="129" t="s">
        <v>4599</v>
      </c>
      <c r="C99" s="220" t="s">
        <v>6519</v>
      </c>
      <c r="D99" s="129" t="s">
        <v>5305</v>
      </c>
      <c r="E99" s="98" t="s">
        <v>6486</v>
      </c>
      <c r="F99" s="129" t="s">
        <v>6520</v>
      </c>
      <c r="G99" s="129" t="s">
        <v>6521</v>
      </c>
      <c r="H99" s="129" t="s">
        <v>6522</v>
      </c>
      <c r="I99" s="98" t="s">
        <v>6490</v>
      </c>
      <c r="J99" s="129" t="s">
        <v>6491</v>
      </c>
      <c r="K99" s="223" t="s">
        <v>6523</v>
      </c>
      <c r="L99" s="53" t="s">
        <v>6195</v>
      </c>
      <c r="M99" s="6" t="s">
        <v>3175</v>
      </c>
      <c r="N99" s="54" t="s">
        <v>571</v>
      </c>
      <c r="O99" s="54" t="s">
        <v>6493</v>
      </c>
      <c r="P99" s="54" t="s">
        <v>6374</v>
      </c>
      <c r="Q99" s="53" t="s">
        <v>4663</v>
      </c>
    </row>
    <row r="100" customFormat="false" ht="52.2" hidden="false" customHeight="false" outlineLevel="0" collapsed="false">
      <c r="A100" s="129" t="s">
        <v>6524</v>
      </c>
      <c r="B100" s="129" t="s">
        <v>4599</v>
      </c>
      <c r="C100" s="220" t="s">
        <v>6525</v>
      </c>
      <c r="D100" s="129" t="s">
        <v>6501</v>
      </c>
      <c r="E100" s="98" t="s">
        <v>6486</v>
      </c>
      <c r="F100" s="129" t="s">
        <v>6526</v>
      </c>
      <c r="G100" s="129" t="s">
        <v>6527</v>
      </c>
      <c r="H100" s="129" t="s">
        <v>6528</v>
      </c>
      <c r="I100" s="98" t="s">
        <v>6490</v>
      </c>
      <c r="J100" s="129" t="s">
        <v>6491</v>
      </c>
      <c r="K100" s="223" t="s">
        <v>6529</v>
      </c>
      <c r="L100" s="53" t="s">
        <v>6195</v>
      </c>
      <c r="M100" s="6" t="s">
        <v>3178</v>
      </c>
      <c r="N100" s="54" t="s">
        <v>571</v>
      </c>
      <c r="O100" s="54" t="s">
        <v>6493</v>
      </c>
      <c r="P100" s="54" t="s">
        <v>6374</v>
      </c>
      <c r="Q100" s="53" t="s">
        <v>4663</v>
      </c>
    </row>
    <row r="101" customFormat="false" ht="52.2" hidden="false" customHeight="false" outlineLevel="0" collapsed="false">
      <c r="A101" s="129" t="s">
        <v>6530</v>
      </c>
      <c r="B101" s="129" t="s">
        <v>4599</v>
      </c>
      <c r="C101" s="220" t="s">
        <v>6531</v>
      </c>
      <c r="D101" s="129" t="s">
        <v>6501</v>
      </c>
      <c r="E101" s="98" t="s">
        <v>6486</v>
      </c>
      <c r="F101" s="129" t="s">
        <v>6532</v>
      </c>
      <c r="G101" s="129" t="s">
        <v>6533</v>
      </c>
      <c r="H101" s="129" t="s">
        <v>6534</v>
      </c>
      <c r="I101" s="98" t="s">
        <v>6490</v>
      </c>
      <c r="J101" s="129" t="s">
        <v>6491</v>
      </c>
      <c r="K101" s="223" t="s">
        <v>6535</v>
      </c>
      <c r="L101" s="53" t="s">
        <v>6195</v>
      </c>
      <c r="M101" s="6" t="s">
        <v>3182</v>
      </c>
      <c r="N101" s="54" t="s">
        <v>571</v>
      </c>
      <c r="O101" s="54" t="s">
        <v>6493</v>
      </c>
      <c r="P101" s="54" t="s">
        <v>6374</v>
      </c>
      <c r="Q101" s="53" t="s">
        <v>4663</v>
      </c>
    </row>
    <row r="102" customFormat="false" ht="52.2" hidden="false" customHeight="false" outlineLevel="0" collapsed="false">
      <c r="A102" s="129" t="s">
        <v>6536</v>
      </c>
      <c r="B102" s="129" t="s">
        <v>4599</v>
      </c>
      <c r="C102" s="220" t="s">
        <v>6537</v>
      </c>
      <c r="D102" s="129" t="s">
        <v>6501</v>
      </c>
      <c r="E102" s="98" t="s">
        <v>6486</v>
      </c>
      <c r="F102" s="129" t="s">
        <v>6538</v>
      </c>
      <c r="G102" s="129" t="s">
        <v>6539</v>
      </c>
      <c r="H102" s="129" t="s">
        <v>6540</v>
      </c>
      <c r="I102" s="98" t="s">
        <v>6490</v>
      </c>
      <c r="J102" s="129" t="s">
        <v>6491</v>
      </c>
      <c r="K102" s="223" t="s">
        <v>6541</v>
      </c>
      <c r="L102" s="53" t="s">
        <v>6195</v>
      </c>
      <c r="M102" s="6" t="s">
        <v>3186</v>
      </c>
      <c r="N102" s="54" t="s">
        <v>571</v>
      </c>
      <c r="O102" s="54" t="s">
        <v>6493</v>
      </c>
      <c r="P102" s="54" t="s">
        <v>6374</v>
      </c>
      <c r="Q102" s="53" t="s">
        <v>4663</v>
      </c>
    </row>
    <row r="103" customFormat="false" ht="39.55" hidden="false" customHeight="false" outlineLevel="0" collapsed="false">
      <c r="A103" s="129" t="s">
        <v>6542</v>
      </c>
      <c r="B103" s="129" t="s">
        <v>4599</v>
      </c>
      <c r="C103" s="220" t="s">
        <v>6543</v>
      </c>
      <c r="D103" s="129" t="s">
        <v>6501</v>
      </c>
      <c r="E103" s="98" t="s">
        <v>6486</v>
      </c>
      <c r="F103" s="129" t="s">
        <v>6544</v>
      </c>
      <c r="G103" s="129" t="s">
        <v>6545</v>
      </c>
      <c r="H103" s="129" t="s">
        <v>6546</v>
      </c>
      <c r="I103" s="98" t="s">
        <v>6490</v>
      </c>
      <c r="J103" s="129" t="s">
        <v>6491</v>
      </c>
      <c r="K103" s="223" t="s">
        <v>6547</v>
      </c>
      <c r="L103" s="53" t="s">
        <v>6195</v>
      </c>
      <c r="M103" s="6" t="s">
        <v>3195</v>
      </c>
      <c r="N103" s="54" t="s">
        <v>571</v>
      </c>
      <c r="O103" s="54" t="s">
        <v>6493</v>
      </c>
      <c r="P103" s="54" t="s">
        <v>6374</v>
      </c>
      <c r="Q103" s="53" t="s">
        <v>4663</v>
      </c>
    </row>
    <row r="104" customFormat="false" ht="52.2" hidden="false" customHeight="false" outlineLevel="0" collapsed="false">
      <c r="A104" s="129" t="s">
        <v>6548</v>
      </c>
      <c r="B104" s="129" t="s">
        <v>4599</v>
      </c>
      <c r="C104" s="220" t="s">
        <v>6549</v>
      </c>
      <c r="D104" s="129" t="s">
        <v>6501</v>
      </c>
      <c r="E104" s="98" t="s">
        <v>6486</v>
      </c>
      <c r="F104" s="129" t="s">
        <v>6550</v>
      </c>
      <c r="G104" s="129" t="s">
        <v>6551</v>
      </c>
      <c r="H104" s="129" t="s">
        <v>6552</v>
      </c>
      <c r="I104" s="98" t="s">
        <v>6490</v>
      </c>
      <c r="J104" s="129" t="s">
        <v>6491</v>
      </c>
      <c r="K104" s="223" t="s">
        <v>6553</v>
      </c>
      <c r="L104" s="53" t="s">
        <v>6195</v>
      </c>
      <c r="M104" s="6" t="s">
        <v>3199</v>
      </c>
      <c r="N104" s="54" t="s">
        <v>571</v>
      </c>
      <c r="O104" s="54" t="s">
        <v>6493</v>
      </c>
      <c r="P104" s="54" t="s">
        <v>6374</v>
      </c>
      <c r="Q104" s="53" t="s">
        <v>4663</v>
      </c>
    </row>
    <row r="105" customFormat="false" ht="64.9" hidden="false" customHeight="false" outlineLevel="0" collapsed="false">
      <c r="A105" s="129" t="s">
        <v>6554</v>
      </c>
      <c r="B105" s="129" t="s">
        <v>4599</v>
      </c>
      <c r="C105" s="220" t="s">
        <v>6555</v>
      </c>
      <c r="D105" s="129" t="s">
        <v>6556</v>
      </c>
      <c r="E105" s="98" t="s">
        <v>6486</v>
      </c>
      <c r="F105" s="129" t="s">
        <v>6557</v>
      </c>
      <c r="G105" s="129" t="s">
        <v>6558</v>
      </c>
      <c r="H105" s="98" t="s">
        <v>6559</v>
      </c>
      <c r="I105" s="98" t="s">
        <v>6490</v>
      </c>
      <c r="J105" s="129" t="s">
        <v>6491</v>
      </c>
      <c r="K105" s="223" t="s">
        <v>6560</v>
      </c>
      <c r="L105" s="53" t="s">
        <v>6195</v>
      </c>
      <c r="M105" s="6" t="s">
        <v>2865</v>
      </c>
      <c r="N105" s="54" t="s">
        <v>571</v>
      </c>
      <c r="O105" s="54" t="s">
        <v>6493</v>
      </c>
      <c r="P105" s="54" t="s">
        <v>6374</v>
      </c>
      <c r="Q105" s="53" t="s">
        <v>4663</v>
      </c>
    </row>
    <row r="106" customFormat="false" ht="50.7" hidden="false" customHeight="false" outlineLevel="0" collapsed="false">
      <c r="A106" s="129" t="s">
        <v>6561</v>
      </c>
      <c r="B106" s="129" t="s">
        <v>4599</v>
      </c>
      <c r="C106" s="220" t="s">
        <v>6562</v>
      </c>
      <c r="D106" s="129" t="s">
        <v>6563</v>
      </c>
      <c r="E106" s="98" t="s">
        <v>6486</v>
      </c>
      <c r="F106" s="129" t="s">
        <v>6564</v>
      </c>
      <c r="G106" s="129" t="s">
        <v>6565</v>
      </c>
      <c r="H106" s="129" t="s">
        <v>6566</v>
      </c>
      <c r="I106" s="98" t="s">
        <v>6490</v>
      </c>
      <c r="J106" s="129" t="s">
        <v>6491</v>
      </c>
      <c r="K106" s="223" t="s">
        <v>6567</v>
      </c>
      <c r="L106" s="53" t="s">
        <v>6195</v>
      </c>
      <c r="M106" s="6" t="s">
        <v>2952</v>
      </c>
      <c r="N106" s="54" t="s">
        <v>571</v>
      </c>
      <c r="O106" s="54" t="s">
        <v>6493</v>
      </c>
      <c r="P106" s="54" t="s">
        <v>6374</v>
      </c>
      <c r="Q106" s="53" t="s">
        <v>4663</v>
      </c>
    </row>
    <row r="107" customFormat="false" ht="52.2" hidden="false" customHeight="false" outlineLevel="0" collapsed="false">
      <c r="A107" s="129" t="s">
        <v>6568</v>
      </c>
      <c r="B107" s="129" t="s">
        <v>4599</v>
      </c>
      <c r="C107" s="220" t="s">
        <v>6569</v>
      </c>
      <c r="D107" s="129" t="s">
        <v>6570</v>
      </c>
      <c r="E107" s="98" t="s">
        <v>6486</v>
      </c>
      <c r="F107" s="129" t="s">
        <v>6571</v>
      </c>
      <c r="G107" s="129" t="s">
        <v>6572</v>
      </c>
      <c r="H107" s="129" t="s">
        <v>6573</v>
      </c>
      <c r="I107" s="98" t="s">
        <v>6490</v>
      </c>
      <c r="J107" s="129" t="s">
        <v>6491</v>
      </c>
      <c r="K107" s="223" t="s">
        <v>6574</v>
      </c>
      <c r="L107" s="53" t="s">
        <v>6195</v>
      </c>
      <c r="M107" s="6" t="s">
        <v>2954</v>
      </c>
      <c r="N107" s="54" t="s">
        <v>571</v>
      </c>
      <c r="O107" s="54" t="s">
        <v>6493</v>
      </c>
      <c r="P107" s="54" t="s">
        <v>6374</v>
      </c>
      <c r="Q107" s="53" t="s">
        <v>4663</v>
      </c>
    </row>
    <row r="108" customFormat="false" ht="77.6" hidden="false" customHeight="false" outlineLevel="0" collapsed="false">
      <c r="A108" s="129" t="s">
        <v>6575</v>
      </c>
      <c r="B108" s="129" t="s">
        <v>4599</v>
      </c>
      <c r="C108" s="220" t="s">
        <v>6576</v>
      </c>
      <c r="D108" s="129" t="s">
        <v>6577</v>
      </c>
      <c r="E108" s="98" t="s">
        <v>6486</v>
      </c>
      <c r="F108" s="129" t="s">
        <v>6578</v>
      </c>
      <c r="G108" s="129" t="s">
        <v>6579</v>
      </c>
      <c r="H108" s="129" t="s">
        <v>6580</v>
      </c>
      <c r="I108" s="98" t="s">
        <v>6490</v>
      </c>
      <c r="J108" s="129" t="s">
        <v>6491</v>
      </c>
      <c r="K108" s="223" t="s">
        <v>6581</v>
      </c>
      <c r="L108" s="53" t="s">
        <v>6195</v>
      </c>
      <c r="M108" s="6" t="s">
        <v>2948</v>
      </c>
      <c r="N108" s="54" t="s">
        <v>571</v>
      </c>
      <c r="O108" s="54" t="s">
        <v>6493</v>
      </c>
      <c r="P108" s="54" t="s">
        <v>6374</v>
      </c>
      <c r="Q108" s="53" t="s">
        <v>4663</v>
      </c>
    </row>
    <row r="109" customFormat="false" ht="50.7" hidden="false" customHeight="false" outlineLevel="0" collapsed="false">
      <c r="A109" s="129" t="s">
        <v>6582</v>
      </c>
      <c r="B109" s="129" t="s">
        <v>4599</v>
      </c>
      <c r="C109" s="220" t="s">
        <v>6583</v>
      </c>
      <c r="D109" s="129" t="s">
        <v>6563</v>
      </c>
      <c r="E109" s="98" t="s">
        <v>6486</v>
      </c>
      <c r="F109" s="129" t="s">
        <v>6584</v>
      </c>
      <c r="G109" s="129" t="s">
        <v>6585</v>
      </c>
      <c r="H109" s="129" t="s">
        <v>6586</v>
      </c>
      <c r="I109" s="98" t="s">
        <v>6490</v>
      </c>
      <c r="J109" s="129" t="s">
        <v>6491</v>
      </c>
      <c r="K109" s="223" t="s">
        <v>6587</v>
      </c>
      <c r="L109" s="53" t="s">
        <v>6195</v>
      </c>
      <c r="M109" s="6" t="s">
        <v>3129</v>
      </c>
      <c r="N109" s="54" t="s">
        <v>571</v>
      </c>
      <c r="O109" s="54" t="s">
        <v>6493</v>
      </c>
      <c r="P109" s="54" t="s">
        <v>6374</v>
      </c>
      <c r="Q109" s="53" t="s">
        <v>4663</v>
      </c>
    </row>
    <row r="110" customFormat="false" ht="64.9" hidden="false" customHeight="false" outlineLevel="0" collapsed="false">
      <c r="A110" s="129" t="s">
        <v>6588</v>
      </c>
      <c r="B110" s="129" t="s">
        <v>4599</v>
      </c>
      <c r="C110" s="220" t="s">
        <v>6589</v>
      </c>
      <c r="D110" s="129" t="s">
        <v>6590</v>
      </c>
      <c r="E110" s="98" t="s">
        <v>6486</v>
      </c>
      <c r="F110" s="129" t="s">
        <v>6591</v>
      </c>
      <c r="G110" s="129" t="s">
        <v>6592</v>
      </c>
      <c r="H110" s="129" t="s">
        <v>6593</v>
      </c>
      <c r="I110" s="98" t="s">
        <v>6490</v>
      </c>
      <c r="J110" s="129" t="s">
        <v>6491</v>
      </c>
      <c r="K110" s="223" t="s">
        <v>6594</v>
      </c>
      <c r="L110" s="53" t="s">
        <v>6195</v>
      </c>
      <c r="M110" s="6" t="s">
        <v>2841</v>
      </c>
      <c r="N110" s="54" t="s">
        <v>571</v>
      </c>
      <c r="O110" s="54" t="s">
        <v>6493</v>
      </c>
      <c r="P110" s="54" t="s">
        <v>6374</v>
      </c>
      <c r="Q110" s="53" t="s">
        <v>4663</v>
      </c>
    </row>
    <row r="111" customFormat="false" ht="77.6" hidden="false" customHeight="false" outlineLevel="0" collapsed="false">
      <c r="A111" s="129" t="s">
        <v>6595</v>
      </c>
      <c r="B111" s="129" t="s">
        <v>4599</v>
      </c>
      <c r="C111" s="220" t="s">
        <v>6596</v>
      </c>
      <c r="D111" s="129" t="s">
        <v>6597</v>
      </c>
      <c r="E111" s="98" t="s">
        <v>6486</v>
      </c>
      <c r="F111" s="98" t="s">
        <v>6598</v>
      </c>
      <c r="G111" s="98" t="s">
        <v>6599</v>
      </c>
      <c r="H111" s="129" t="s">
        <v>6600</v>
      </c>
      <c r="I111" s="98" t="s">
        <v>6490</v>
      </c>
      <c r="J111" s="129" t="s">
        <v>6491</v>
      </c>
      <c r="K111" s="223" t="s">
        <v>6601</v>
      </c>
      <c r="L111" s="53" t="s">
        <v>6195</v>
      </c>
      <c r="M111" s="6" t="s">
        <v>4045</v>
      </c>
      <c r="N111" s="54" t="s">
        <v>571</v>
      </c>
      <c r="O111" s="54" t="s">
        <v>6493</v>
      </c>
      <c r="P111" s="54" t="s">
        <v>6374</v>
      </c>
      <c r="Q111" s="53" t="s">
        <v>4663</v>
      </c>
    </row>
    <row r="112" customFormat="false" ht="39.55" hidden="false" customHeight="false" outlineLevel="0" collapsed="false">
      <c r="A112" s="129" t="s">
        <v>6602</v>
      </c>
      <c r="B112" s="129" t="s">
        <v>4599</v>
      </c>
      <c r="C112" s="220" t="s">
        <v>6603</v>
      </c>
      <c r="D112" s="129" t="s">
        <v>6597</v>
      </c>
      <c r="E112" s="98" t="s">
        <v>6486</v>
      </c>
      <c r="F112" s="129" t="s">
        <v>6604</v>
      </c>
      <c r="G112" s="129" t="s">
        <v>6605</v>
      </c>
      <c r="H112" s="98" t="s">
        <v>6606</v>
      </c>
      <c r="I112" s="98" t="s">
        <v>6490</v>
      </c>
      <c r="J112" s="129" t="s">
        <v>6491</v>
      </c>
      <c r="K112" s="223" t="s">
        <v>6607</v>
      </c>
      <c r="L112" s="53" t="s">
        <v>6195</v>
      </c>
      <c r="M112" s="6" t="s">
        <v>4050</v>
      </c>
      <c r="N112" s="54" t="s">
        <v>571</v>
      </c>
      <c r="O112" s="54" t="s">
        <v>6493</v>
      </c>
      <c r="P112" s="54" t="s">
        <v>6374</v>
      </c>
      <c r="Q112" s="53" t="s">
        <v>4663</v>
      </c>
    </row>
    <row r="113" customFormat="false" ht="77.6" hidden="false" customHeight="false" outlineLevel="0" collapsed="false">
      <c r="A113" s="129" t="s">
        <v>6608</v>
      </c>
      <c r="B113" s="129" t="s">
        <v>4599</v>
      </c>
      <c r="C113" s="220" t="s">
        <v>6609</v>
      </c>
      <c r="D113" s="129" t="s">
        <v>6610</v>
      </c>
      <c r="E113" s="98" t="s">
        <v>6486</v>
      </c>
      <c r="F113" s="129" t="s">
        <v>6611</v>
      </c>
      <c r="G113" s="129" t="s">
        <v>6612</v>
      </c>
      <c r="H113" s="129" t="s">
        <v>6612</v>
      </c>
      <c r="I113" s="98" t="s">
        <v>6490</v>
      </c>
      <c r="J113" s="129" t="s">
        <v>6491</v>
      </c>
      <c r="K113" s="223" t="s">
        <v>6613</v>
      </c>
      <c r="L113" s="53" t="s">
        <v>6195</v>
      </c>
      <c r="M113" s="6" t="s">
        <v>5765</v>
      </c>
      <c r="N113" s="54" t="s">
        <v>571</v>
      </c>
      <c r="O113" s="54" t="s">
        <v>6493</v>
      </c>
      <c r="P113" s="54" t="s">
        <v>6374</v>
      </c>
      <c r="Q113" s="53" t="s">
        <v>4767</v>
      </c>
    </row>
    <row r="114" customFormat="false" ht="38.05" hidden="false" customHeight="false" outlineLevel="0" collapsed="false">
      <c r="A114" s="129" t="s">
        <v>6614</v>
      </c>
      <c r="B114" s="129" t="s">
        <v>4599</v>
      </c>
      <c r="C114" s="220" t="s">
        <v>6615</v>
      </c>
      <c r="D114" s="129" t="s">
        <v>6610</v>
      </c>
      <c r="E114" s="98" t="s">
        <v>6486</v>
      </c>
      <c r="F114" s="129" t="s">
        <v>6616</v>
      </c>
      <c r="G114" s="129" t="s">
        <v>6617</v>
      </c>
      <c r="H114" s="129" t="s">
        <v>6617</v>
      </c>
      <c r="I114" s="98" t="s">
        <v>6490</v>
      </c>
      <c r="J114" s="129" t="s">
        <v>6491</v>
      </c>
      <c r="K114" s="223" t="s">
        <v>6618</v>
      </c>
      <c r="L114" s="53" t="s">
        <v>6195</v>
      </c>
      <c r="M114" s="6" t="s">
        <v>5780</v>
      </c>
      <c r="N114" s="54" t="s">
        <v>571</v>
      </c>
      <c r="O114" s="54" t="s">
        <v>6493</v>
      </c>
      <c r="P114" s="54" t="s">
        <v>6374</v>
      </c>
      <c r="Q114" s="53" t="s">
        <v>4767</v>
      </c>
    </row>
    <row r="115" customFormat="false" ht="52.2" hidden="false" customHeight="false" outlineLevel="0" collapsed="false">
      <c r="A115" s="129" t="s">
        <v>6619</v>
      </c>
      <c r="B115" s="129" t="s">
        <v>4599</v>
      </c>
      <c r="C115" s="223" t="s">
        <v>6620</v>
      </c>
      <c r="D115" s="129" t="s">
        <v>6621</v>
      </c>
      <c r="E115" s="98" t="s">
        <v>6486</v>
      </c>
      <c r="F115" s="129" t="s">
        <v>6622</v>
      </c>
      <c r="G115" s="98" t="s">
        <v>6623</v>
      </c>
      <c r="H115" s="129" t="s">
        <v>6624</v>
      </c>
      <c r="I115" s="98" t="s">
        <v>6490</v>
      </c>
      <c r="J115" s="129" t="s">
        <v>6491</v>
      </c>
      <c r="K115" s="223" t="s">
        <v>6625</v>
      </c>
      <c r="L115" s="53" t="s">
        <v>6195</v>
      </c>
      <c r="M115" s="6" t="s">
        <v>2289</v>
      </c>
      <c r="N115" s="54" t="s">
        <v>571</v>
      </c>
      <c r="O115" s="54" t="s">
        <v>6493</v>
      </c>
      <c r="P115" s="54" t="s">
        <v>6374</v>
      </c>
      <c r="Q115" s="53" t="s">
        <v>4767</v>
      </c>
    </row>
    <row r="116" customFormat="false" ht="64.9" hidden="false" customHeight="false" outlineLevel="0" collapsed="false">
      <c r="A116" s="129" t="s">
        <v>6626</v>
      </c>
      <c r="B116" s="129" t="s">
        <v>4599</v>
      </c>
      <c r="C116" s="220" t="s">
        <v>6627</v>
      </c>
      <c r="D116" s="129" t="s">
        <v>6628</v>
      </c>
      <c r="E116" s="98" t="s">
        <v>6486</v>
      </c>
      <c r="F116" s="98" t="s">
        <v>6629</v>
      </c>
      <c r="G116" s="129" t="s">
        <v>6630</v>
      </c>
      <c r="H116" s="129" t="s">
        <v>6631</v>
      </c>
      <c r="I116" s="98" t="s">
        <v>6632</v>
      </c>
      <c r="J116" s="129" t="s">
        <v>6491</v>
      </c>
      <c r="K116" s="223" t="s">
        <v>6633</v>
      </c>
      <c r="L116" s="53" t="s">
        <v>6195</v>
      </c>
      <c r="M116" s="6" t="s">
        <v>5938</v>
      </c>
      <c r="N116" s="54" t="s">
        <v>571</v>
      </c>
      <c r="O116" s="54" t="s">
        <v>6493</v>
      </c>
      <c r="P116" s="54" t="s">
        <v>6374</v>
      </c>
      <c r="Q116" s="54" t="s">
        <v>177</v>
      </c>
    </row>
    <row r="117" customFormat="false" ht="77.6" hidden="false" customHeight="false" outlineLevel="0" collapsed="false">
      <c r="A117" s="129" t="s">
        <v>6634</v>
      </c>
      <c r="B117" s="129" t="s">
        <v>4599</v>
      </c>
      <c r="C117" s="220" t="s">
        <v>6635</v>
      </c>
      <c r="D117" s="129" t="s">
        <v>6636</v>
      </c>
      <c r="E117" s="98" t="s">
        <v>6486</v>
      </c>
      <c r="F117" s="129" t="s">
        <v>6637</v>
      </c>
      <c r="G117" s="129" t="s">
        <v>6638</v>
      </c>
      <c r="H117" s="129" t="s">
        <v>6639</v>
      </c>
      <c r="I117" s="98" t="s">
        <v>6640</v>
      </c>
      <c r="J117" s="129" t="s">
        <v>6491</v>
      </c>
      <c r="K117" s="223" t="s">
        <v>6641</v>
      </c>
      <c r="L117" s="53" t="s">
        <v>6195</v>
      </c>
      <c r="M117" s="6" t="s">
        <v>2876</v>
      </c>
      <c r="N117" s="54" t="s">
        <v>571</v>
      </c>
      <c r="O117" s="54" t="s">
        <v>6642</v>
      </c>
      <c r="P117" s="54" t="s">
        <v>6374</v>
      </c>
      <c r="Q117" s="53" t="s">
        <v>4663</v>
      </c>
    </row>
    <row r="118" customFormat="false" ht="64.9" hidden="false" customHeight="false" outlineLevel="0" collapsed="false">
      <c r="A118" s="129" t="s">
        <v>4994</v>
      </c>
      <c r="B118" s="129" t="s">
        <v>4599</v>
      </c>
      <c r="C118" s="220" t="s">
        <v>6643</v>
      </c>
      <c r="D118" s="129" t="s">
        <v>6644</v>
      </c>
      <c r="E118" s="98" t="s">
        <v>6486</v>
      </c>
      <c r="F118" s="98" t="s">
        <v>6645</v>
      </c>
      <c r="G118" s="129" t="s">
        <v>571</v>
      </c>
      <c r="H118" s="129" t="s">
        <v>6646</v>
      </c>
      <c r="I118" s="98" t="s">
        <v>6647</v>
      </c>
      <c r="J118" s="129" t="s">
        <v>6491</v>
      </c>
      <c r="K118" s="223" t="s">
        <v>6648</v>
      </c>
      <c r="L118" s="53" t="s">
        <v>6195</v>
      </c>
      <c r="M118" s="6" t="s">
        <v>4989</v>
      </c>
      <c r="N118" s="54" t="s">
        <v>571</v>
      </c>
      <c r="O118" s="54" t="s">
        <v>571</v>
      </c>
      <c r="P118" s="54" t="s">
        <v>6374</v>
      </c>
      <c r="Q118" s="53" t="s">
        <v>4663</v>
      </c>
    </row>
    <row r="119" customFormat="false" ht="64.9" hidden="false" customHeight="false" outlineLevel="0" collapsed="false">
      <c r="A119" s="129" t="s">
        <v>6649</v>
      </c>
      <c r="B119" s="129" t="s">
        <v>4599</v>
      </c>
      <c r="C119" s="220" t="s">
        <v>6650</v>
      </c>
      <c r="D119" s="129" t="s">
        <v>6651</v>
      </c>
      <c r="E119" s="98" t="s">
        <v>6486</v>
      </c>
      <c r="F119" s="129" t="s">
        <v>6652</v>
      </c>
      <c r="G119" s="129" t="s">
        <v>6653</v>
      </c>
      <c r="H119" s="129" t="s">
        <v>6654</v>
      </c>
      <c r="I119" s="98" t="s">
        <v>6655</v>
      </c>
      <c r="J119" s="129" t="s">
        <v>6491</v>
      </c>
      <c r="K119" s="223" t="s">
        <v>6656</v>
      </c>
      <c r="L119" s="53" t="s">
        <v>6195</v>
      </c>
      <c r="M119" s="6" t="s">
        <v>2853</v>
      </c>
      <c r="N119" s="54" t="s">
        <v>571</v>
      </c>
      <c r="O119" s="54" t="s">
        <v>6657</v>
      </c>
      <c r="P119" s="54" t="s">
        <v>6374</v>
      </c>
      <c r="Q119" s="53" t="s">
        <v>4663</v>
      </c>
    </row>
    <row r="120" customFormat="false" ht="64.9" hidden="false" customHeight="false" outlineLevel="0" collapsed="false">
      <c r="A120" s="129" t="s">
        <v>6658</v>
      </c>
      <c r="B120" s="129" t="s">
        <v>4620</v>
      </c>
      <c r="C120" s="220" t="s">
        <v>6659</v>
      </c>
      <c r="D120" s="129" t="s">
        <v>6660</v>
      </c>
      <c r="E120" s="98" t="s">
        <v>6661</v>
      </c>
      <c r="F120" s="129" t="s">
        <v>6662</v>
      </c>
      <c r="G120" s="129" t="s">
        <v>6663</v>
      </c>
      <c r="H120" s="98" t="s">
        <v>6664</v>
      </c>
      <c r="I120" s="98" t="s">
        <v>6665</v>
      </c>
      <c r="J120" s="129" t="s">
        <v>6491</v>
      </c>
      <c r="K120" s="223" t="s">
        <v>6666</v>
      </c>
      <c r="L120" s="53" t="s">
        <v>6195</v>
      </c>
      <c r="M120" s="6" t="s">
        <v>2895</v>
      </c>
      <c r="N120" s="54" t="s">
        <v>571</v>
      </c>
      <c r="O120" s="54" t="s">
        <v>571</v>
      </c>
      <c r="P120" s="54" t="s">
        <v>6349</v>
      </c>
      <c r="Q120" s="53" t="s">
        <v>4663</v>
      </c>
    </row>
    <row r="121" customFormat="false" ht="64.9" hidden="false" customHeight="false" outlineLevel="0" collapsed="false">
      <c r="A121" s="129" t="s">
        <v>6667</v>
      </c>
      <c r="B121" s="129" t="s">
        <v>4599</v>
      </c>
      <c r="C121" s="220" t="s">
        <v>6668</v>
      </c>
      <c r="D121" s="98" t="s">
        <v>6669</v>
      </c>
      <c r="E121" s="98" t="s">
        <v>6661</v>
      </c>
      <c r="F121" s="129" t="s">
        <v>6670</v>
      </c>
      <c r="G121" s="129" t="s">
        <v>6663</v>
      </c>
      <c r="H121" s="98" t="s">
        <v>6671</v>
      </c>
      <c r="I121" s="98" t="s">
        <v>6672</v>
      </c>
      <c r="J121" s="129" t="s">
        <v>6491</v>
      </c>
      <c r="K121" s="223" t="s">
        <v>6673</v>
      </c>
      <c r="L121" s="53" t="s">
        <v>6195</v>
      </c>
      <c r="M121" s="6" t="s">
        <v>2895</v>
      </c>
      <c r="N121" s="54" t="s">
        <v>571</v>
      </c>
      <c r="O121" s="54" t="s">
        <v>6493</v>
      </c>
      <c r="P121" s="54" t="s">
        <v>6349</v>
      </c>
      <c r="Q121" s="53" t="s">
        <v>6674</v>
      </c>
    </row>
    <row r="122" customFormat="false" ht="90.25" hidden="false" customHeight="false" outlineLevel="0" collapsed="false">
      <c r="A122" s="129" t="s">
        <v>6675</v>
      </c>
      <c r="B122" s="129" t="s">
        <v>4599</v>
      </c>
      <c r="C122" s="220" t="s">
        <v>6676</v>
      </c>
      <c r="D122" s="129" t="s">
        <v>6677</v>
      </c>
      <c r="E122" s="98" t="s">
        <v>6661</v>
      </c>
      <c r="F122" s="129" t="s">
        <v>6678</v>
      </c>
      <c r="G122" s="129" t="s">
        <v>6679</v>
      </c>
      <c r="H122" s="98" t="s">
        <v>6680</v>
      </c>
      <c r="I122" s="98" t="s">
        <v>6672</v>
      </c>
      <c r="J122" s="129" t="s">
        <v>6491</v>
      </c>
      <c r="K122" s="223" t="s">
        <v>6681</v>
      </c>
      <c r="L122" s="53" t="s">
        <v>6195</v>
      </c>
      <c r="M122" s="6" t="s">
        <v>2855</v>
      </c>
      <c r="N122" s="54" t="s">
        <v>571</v>
      </c>
      <c r="O122" s="54" t="s">
        <v>6493</v>
      </c>
      <c r="P122" s="54" t="s">
        <v>6349</v>
      </c>
      <c r="Q122" s="54" t="s">
        <v>6682</v>
      </c>
    </row>
    <row r="123" customFormat="false" ht="90.25" hidden="false" customHeight="false" outlineLevel="0" collapsed="false">
      <c r="A123" s="129" t="s">
        <v>6683</v>
      </c>
      <c r="B123" s="129" t="s">
        <v>4599</v>
      </c>
      <c r="C123" s="220" t="s">
        <v>6684</v>
      </c>
      <c r="D123" s="129" t="s">
        <v>6685</v>
      </c>
      <c r="E123" s="98" t="s">
        <v>6661</v>
      </c>
      <c r="F123" s="129" t="s">
        <v>6686</v>
      </c>
      <c r="G123" s="129" t="s">
        <v>6687</v>
      </c>
      <c r="H123" s="98" t="s">
        <v>6688</v>
      </c>
      <c r="I123" s="98" t="s">
        <v>6672</v>
      </c>
      <c r="J123" s="129" t="s">
        <v>6491</v>
      </c>
      <c r="K123" s="223" t="s">
        <v>6689</v>
      </c>
      <c r="L123" s="53" t="s">
        <v>6195</v>
      </c>
      <c r="M123" s="6" t="s">
        <v>2899</v>
      </c>
      <c r="N123" s="54" t="s">
        <v>571</v>
      </c>
      <c r="O123" s="54" t="s">
        <v>6493</v>
      </c>
      <c r="P123" s="54" t="s">
        <v>6349</v>
      </c>
      <c r="Q123" s="54" t="s">
        <v>6690</v>
      </c>
    </row>
    <row r="124" customFormat="false" ht="101.45" hidden="false" customHeight="false" outlineLevel="0" collapsed="false">
      <c r="A124" s="129" t="s">
        <v>6691</v>
      </c>
      <c r="B124" s="129" t="s">
        <v>4599</v>
      </c>
      <c r="C124" s="220" t="s">
        <v>6692</v>
      </c>
      <c r="D124" s="129" t="s">
        <v>6677</v>
      </c>
      <c r="E124" s="98" t="s">
        <v>6661</v>
      </c>
      <c r="F124" s="129" t="s">
        <v>6693</v>
      </c>
      <c r="G124" s="129" t="s">
        <v>6694</v>
      </c>
      <c r="H124" s="98" t="s">
        <v>6695</v>
      </c>
      <c r="I124" s="98" t="s">
        <v>6672</v>
      </c>
      <c r="J124" s="129" t="s">
        <v>6491</v>
      </c>
      <c r="K124" s="223" t="s">
        <v>6696</v>
      </c>
      <c r="L124" s="53" t="s">
        <v>6195</v>
      </c>
      <c r="M124" s="6" t="s">
        <v>2922</v>
      </c>
      <c r="N124" s="54" t="s">
        <v>571</v>
      </c>
      <c r="O124" s="54" t="s">
        <v>6493</v>
      </c>
      <c r="P124" s="54" t="s">
        <v>6349</v>
      </c>
      <c r="Q124" s="54" t="s">
        <v>6697</v>
      </c>
    </row>
    <row r="125" customFormat="false" ht="115.65" hidden="false" customHeight="false" outlineLevel="0" collapsed="false">
      <c r="A125" s="129" t="s">
        <v>6698</v>
      </c>
      <c r="B125" s="129" t="s">
        <v>4599</v>
      </c>
      <c r="C125" s="220" t="s">
        <v>6699</v>
      </c>
      <c r="D125" s="129" t="s">
        <v>6700</v>
      </c>
      <c r="E125" s="98" t="s">
        <v>6661</v>
      </c>
      <c r="F125" s="129" t="s">
        <v>6701</v>
      </c>
      <c r="G125" s="129" t="s">
        <v>6702</v>
      </c>
      <c r="H125" s="98" t="s">
        <v>6703</v>
      </c>
      <c r="I125" s="98" t="s">
        <v>6672</v>
      </c>
      <c r="J125" s="129" t="s">
        <v>6491</v>
      </c>
      <c r="K125" s="223" t="s">
        <v>6704</v>
      </c>
      <c r="L125" s="53" t="s">
        <v>6195</v>
      </c>
      <c r="M125" s="6" t="s">
        <v>2904</v>
      </c>
      <c r="N125" s="54" t="s">
        <v>571</v>
      </c>
      <c r="O125" s="54" t="s">
        <v>6493</v>
      </c>
      <c r="P125" s="54" t="s">
        <v>6349</v>
      </c>
      <c r="Q125" s="54" t="s">
        <v>6705</v>
      </c>
    </row>
    <row r="126" customFormat="false" ht="115.65" hidden="false" customHeight="false" outlineLevel="0" collapsed="false">
      <c r="A126" s="129" t="s">
        <v>6706</v>
      </c>
      <c r="B126" s="129" t="s">
        <v>4599</v>
      </c>
      <c r="C126" s="220" t="s">
        <v>6707</v>
      </c>
      <c r="D126" s="129" t="s">
        <v>6708</v>
      </c>
      <c r="E126" s="98" t="s">
        <v>6661</v>
      </c>
      <c r="F126" s="129" t="s">
        <v>6709</v>
      </c>
      <c r="G126" s="129" t="s">
        <v>6710</v>
      </c>
      <c r="H126" s="98" t="s">
        <v>6711</v>
      </c>
      <c r="I126" s="98" t="s">
        <v>6712</v>
      </c>
      <c r="J126" s="129" t="s">
        <v>6491</v>
      </c>
      <c r="K126" s="223" t="s">
        <v>6713</v>
      </c>
      <c r="L126" s="53" t="s">
        <v>6195</v>
      </c>
      <c r="M126" s="6" t="s">
        <v>3423</v>
      </c>
      <c r="N126" s="54" t="s">
        <v>571</v>
      </c>
      <c r="O126" s="54" t="s">
        <v>6493</v>
      </c>
      <c r="P126" s="54" t="s">
        <v>6349</v>
      </c>
      <c r="Q126" s="53" t="s">
        <v>4663</v>
      </c>
    </row>
    <row r="127" customFormat="false" ht="115.65" hidden="false" customHeight="false" outlineLevel="0" collapsed="false">
      <c r="A127" s="129" t="s">
        <v>6714</v>
      </c>
      <c r="B127" s="129" t="s">
        <v>4599</v>
      </c>
      <c r="C127" s="220" t="s">
        <v>6715</v>
      </c>
      <c r="D127" s="129" t="s">
        <v>6708</v>
      </c>
      <c r="E127" s="98" t="s">
        <v>6661</v>
      </c>
      <c r="F127" s="129" t="s">
        <v>6716</v>
      </c>
      <c r="G127" s="129" t="s">
        <v>6717</v>
      </c>
      <c r="H127" s="98" t="s">
        <v>6718</v>
      </c>
      <c r="I127" s="98" t="s">
        <v>6712</v>
      </c>
      <c r="J127" s="129" t="s">
        <v>6491</v>
      </c>
      <c r="K127" s="223" t="s">
        <v>6719</v>
      </c>
      <c r="L127" s="53" t="s">
        <v>6195</v>
      </c>
      <c r="M127" s="6" t="s">
        <v>3432</v>
      </c>
      <c r="N127" s="54" t="s">
        <v>571</v>
      </c>
      <c r="O127" s="54" t="s">
        <v>6493</v>
      </c>
      <c r="P127" s="54" t="s">
        <v>6349</v>
      </c>
      <c r="Q127" s="53" t="s">
        <v>6720</v>
      </c>
    </row>
    <row r="128" customFormat="false" ht="77.6" hidden="false" customHeight="false" outlineLevel="0" collapsed="false">
      <c r="A128" s="129" t="s">
        <v>6721</v>
      </c>
      <c r="B128" s="129" t="s">
        <v>4599</v>
      </c>
      <c r="C128" s="220" t="s">
        <v>6722</v>
      </c>
      <c r="D128" s="129" t="s">
        <v>6723</v>
      </c>
      <c r="E128" s="98" t="s">
        <v>6661</v>
      </c>
      <c r="F128" s="129" t="s">
        <v>6724</v>
      </c>
      <c r="G128" s="129" t="s">
        <v>571</v>
      </c>
      <c r="H128" s="129" t="s">
        <v>6725</v>
      </c>
      <c r="I128" s="98" t="s">
        <v>6726</v>
      </c>
      <c r="J128" s="129" t="s">
        <v>6491</v>
      </c>
      <c r="K128" s="223" t="s">
        <v>6727</v>
      </c>
      <c r="L128" s="53" t="s">
        <v>6195</v>
      </c>
      <c r="M128" s="6" t="s">
        <v>6728</v>
      </c>
      <c r="N128" s="54" t="s">
        <v>571</v>
      </c>
      <c r="O128" s="54" t="s">
        <v>571</v>
      </c>
      <c r="P128" s="54" t="s">
        <v>6349</v>
      </c>
      <c r="Q128" s="53" t="s">
        <v>4663</v>
      </c>
    </row>
    <row r="129" customFormat="false" ht="64.9" hidden="false" customHeight="false" outlineLevel="0" collapsed="false">
      <c r="A129" s="129" t="s">
        <v>5307</v>
      </c>
      <c r="B129" s="129" t="s">
        <v>4599</v>
      </c>
      <c r="C129" s="220" t="s">
        <v>6729</v>
      </c>
      <c r="D129" s="129" t="s">
        <v>6730</v>
      </c>
      <c r="E129" s="98" t="s">
        <v>6486</v>
      </c>
      <c r="F129" s="129" t="s">
        <v>6731</v>
      </c>
      <c r="G129" s="129" t="s">
        <v>6732</v>
      </c>
      <c r="H129" s="129" t="s">
        <v>6733</v>
      </c>
      <c r="I129" s="98" t="s">
        <v>6734</v>
      </c>
      <c r="J129" s="129" t="s">
        <v>6491</v>
      </c>
      <c r="K129" s="223" t="s">
        <v>6735</v>
      </c>
      <c r="L129" s="53" t="s">
        <v>6195</v>
      </c>
      <c r="M129" s="6" t="s">
        <v>6736</v>
      </c>
      <c r="N129" s="54" t="s">
        <v>571</v>
      </c>
      <c r="O129" s="54" t="s">
        <v>6737</v>
      </c>
      <c r="P129" s="54" t="s">
        <v>6374</v>
      </c>
      <c r="Q129" s="53" t="s">
        <v>4663</v>
      </c>
    </row>
    <row r="130" customFormat="false" ht="112.65" hidden="false" customHeight="false" outlineLevel="0" collapsed="false">
      <c r="A130" s="129" t="s">
        <v>4972</v>
      </c>
      <c r="B130" s="129" t="s">
        <v>4599</v>
      </c>
      <c r="C130" s="220" t="s">
        <v>6738</v>
      </c>
      <c r="D130" s="129" t="s">
        <v>6739</v>
      </c>
      <c r="E130" s="98" t="s">
        <v>6486</v>
      </c>
      <c r="F130" s="129" t="s">
        <v>6740</v>
      </c>
      <c r="G130" s="129" t="s">
        <v>6741</v>
      </c>
      <c r="H130" s="129" t="s">
        <v>6742</v>
      </c>
      <c r="I130" s="98" t="s">
        <v>6743</v>
      </c>
      <c r="J130" s="129" t="s">
        <v>6491</v>
      </c>
      <c r="K130" s="223" t="s">
        <v>6744</v>
      </c>
      <c r="L130" s="53" t="s">
        <v>6195</v>
      </c>
      <c r="M130" s="6" t="s">
        <v>6745</v>
      </c>
      <c r="N130" s="54" t="s">
        <v>6746</v>
      </c>
      <c r="O130" s="54" t="s">
        <v>6747</v>
      </c>
      <c r="P130" s="54" t="s">
        <v>6374</v>
      </c>
      <c r="Q130" s="53" t="s">
        <v>4663</v>
      </c>
    </row>
    <row r="131" customFormat="false" ht="52.2" hidden="false" customHeight="false" outlineLevel="0" collapsed="false">
      <c r="A131" s="129" t="s">
        <v>4986</v>
      </c>
      <c r="B131" s="129" t="s">
        <v>4599</v>
      </c>
      <c r="C131" s="220" t="s">
        <v>6748</v>
      </c>
      <c r="D131" s="129" t="s">
        <v>6749</v>
      </c>
      <c r="E131" s="98" t="s">
        <v>6486</v>
      </c>
      <c r="F131" s="129" t="s">
        <v>6750</v>
      </c>
      <c r="G131" s="129" t="s">
        <v>571</v>
      </c>
      <c r="H131" s="129" t="s">
        <v>6751</v>
      </c>
      <c r="I131" s="98" t="s">
        <v>6752</v>
      </c>
      <c r="J131" s="129" t="s">
        <v>6491</v>
      </c>
      <c r="K131" s="223" t="s">
        <v>6753</v>
      </c>
      <c r="L131" s="53" t="s">
        <v>6195</v>
      </c>
      <c r="M131" s="6" t="s">
        <v>2957</v>
      </c>
      <c r="N131" s="54" t="s">
        <v>571</v>
      </c>
      <c r="O131" s="54" t="s">
        <v>6754</v>
      </c>
      <c r="P131" s="54" t="s">
        <v>6374</v>
      </c>
      <c r="Q131" s="53" t="s">
        <v>4663</v>
      </c>
    </row>
    <row r="132" customFormat="false" ht="64.9" hidden="false" customHeight="false" outlineLevel="0" collapsed="false">
      <c r="A132" s="129" t="s">
        <v>6755</v>
      </c>
      <c r="B132" s="129" t="s">
        <v>4599</v>
      </c>
      <c r="C132" s="220" t="s">
        <v>6756</v>
      </c>
      <c r="D132" s="129" t="s">
        <v>6757</v>
      </c>
      <c r="E132" s="98" t="s">
        <v>6486</v>
      </c>
      <c r="F132" s="129" t="s">
        <v>6758</v>
      </c>
      <c r="G132" s="129" t="s">
        <v>6759</v>
      </c>
      <c r="H132" s="98" t="s">
        <v>6760</v>
      </c>
      <c r="I132" s="98" t="s">
        <v>6761</v>
      </c>
      <c r="J132" s="129" t="s">
        <v>6491</v>
      </c>
      <c r="K132" s="223" t="s">
        <v>6762</v>
      </c>
      <c r="L132" s="53" t="s">
        <v>6195</v>
      </c>
      <c r="M132" s="6" t="s">
        <v>571</v>
      </c>
      <c r="N132" s="54" t="s">
        <v>571</v>
      </c>
      <c r="O132" s="53" t="s">
        <v>6763</v>
      </c>
      <c r="P132" s="54" t="s">
        <v>76</v>
      </c>
      <c r="Q132" s="53" t="s">
        <v>6764</v>
      </c>
    </row>
    <row r="133" customFormat="false" ht="39.55" hidden="false" customHeight="false" outlineLevel="0" collapsed="false">
      <c r="A133" s="129" t="s">
        <v>6765</v>
      </c>
      <c r="B133" s="129" t="s">
        <v>4599</v>
      </c>
      <c r="C133" s="220" t="s">
        <v>6766</v>
      </c>
      <c r="D133" s="129" t="s">
        <v>6757</v>
      </c>
      <c r="E133" s="98" t="s">
        <v>6486</v>
      </c>
      <c r="F133" s="129" t="s">
        <v>6767</v>
      </c>
      <c r="G133" s="129" t="s">
        <v>6768</v>
      </c>
      <c r="H133" s="98" t="s">
        <v>6760</v>
      </c>
      <c r="I133" s="98" t="s">
        <v>6761</v>
      </c>
      <c r="J133" s="129" t="s">
        <v>6491</v>
      </c>
      <c r="K133" s="223" t="s">
        <v>6769</v>
      </c>
      <c r="L133" s="53" t="s">
        <v>6195</v>
      </c>
      <c r="M133" s="6" t="s">
        <v>571</v>
      </c>
      <c r="N133" s="54" t="s">
        <v>571</v>
      </c>
      <c r="O133" s="53" t="s">
        <v>6763</v>
      </c>
      <c r="P133" s="54" t="s">
        <v>76</v>
      </c>
      <c r="Q133" s="53" t="s">
        <v>6764</v>
      </c>
    </row>
    <row r="134" customFormat="false" ht="52.2" hidden="false" customHeight="false" outlineLevel="0" collapsed="false">
      <c r="A134" s="129" t="s">
        <v>6770</v>
      </c>
      <c r="B134" s="129" t="s">
        <v>4599</v>
      </c>
      <c r="C134" s="220" t="s">
        <v>6771</v>
      </c>
      <c r="D134" s="129" t="s">
        <v>6772</v>
      </c>
      <c r="E134" s="98" t="s">
        <v>6486</v>
      </c>
      <c r="F134" s="129" t="s">
        <v>6773</v>
      </c>
      <c r="G134" s="129" t="s">
        <v>6774</v>
      </c>
      <c r="H134" s="129" t="s">
        <v>6775</v>
      </c>
      <c r="I134" s="98" t="s">
        <v>6776</v>
      </c>
      <c r="J134" s="129" t="s">
        <v>6491</v>
      </c>
      <c r="K134" s="223" t="s">
        <v>6777</v>
      </c>
      <c r="L134" s="53" t="s">
        <v>6195</v>
      </c>
      <c r="M134" s="6" t="s">
        <v>571</v>
      </c>
      <c r="N134" s="54" t="s">
        <v>571</v>
      </c>
      <c r="O134" s="54" t="s">
        <v>571</v>
      </c>
      <c r="P134" s="54" t="s">
        <v>76</v>
      </c>
      <c r="Q134" s="53" t="s">
        <v>4663</v>
      </c>
    </row>
    <row r="135" customFormat="false" ht="39.55" hidden="false" customHeight="false" outlineLevel="0" collapsed="false">
      <c r="A135" s="129" t="s">
        <v>6778</v>
      </c>
      <c r="B135" s="129" t="s">
        <v>4599</v>
      </c>
      <c r="C135" s="220" t="s">
        <v>6779</v>
      </c>
      <c r="D135" s="129" t="s">
        <v>6757</v>
      </c>
      <c r="E135" s="98" t="s">
        <v>6486</v>
      </c>
      <c r="F135" s="129" t="s">
        <v>6780</v>
      </c>
      <c r="G135" s="129" t="s">
        <v>6781</v>
      </c>
      <c r="H135" s="129" t="s">
        <v>6782</v>
      </c>
      <c r="I135" s="98" t="s">
        <v>6783</v>
      </c>
      <c r="J135" s="129" t="s">
        <v>6491</v>
      </c>
      <c r="K135" s="223" t="s">
        <v>6784</v>
      </c>
      <c r="L135" s="53" t="s">
        <v>6195</v>
      </c>
      <c r="M135" s="6" t="s">
        <v>571</v>
      </c>
      <c r="N135" s="54" t="s">
        <v>571</v>
      </c>
      <c r="O135" s="53" t="s">
        <v>6785</v>
      </c>
      <c r="P135" s="54" t="s">
        <v>76</v>
      </c>
      <c r="Q135" s="53" t="s">
        <v>6764</v>
      </c>
    </row>
    <row r="136" customFormat="false" ht="52.2" hidden="false" customHeight="false" outlineLevel="0" collapsed="false">
      <c r="A136" s="129" t="s">
        <v>6786</v>
      </c>
      <c r="B136" s="129" t="s">
        <v>4599</v>
      </c>
      <c r="C136" s="220" t="s">
        <v>6787</v>
      </c>
      <c r="D136" s="129" t="s">
        <v>6757</v>
      </c>
      <c r="E136" s="98" t="s">
        <v>6486</v>
      </c>
      <c r="F136" s="129" t="s">
        <v>6788</v>
      </c>
      <c r="G136" s="129" t="s">
        <v>6789</v>
      </c>
      <c r="H136" s="98" t="s">
        <v>6790</v>
      </c>
      <c r="I136" s="98" t="s">
        <v>6791</v>
      </c>
      <c r="J136" s="129" t="s">
        <v>6491</v>
      </c>
      <c r="K136" s="223" t="s">
        <v>6792</v>
      </c>
      <c r="L136" s="53" t="s">
        <v>6195</v>
      </c>
      <c r="M136" s="6" t="s">
        <v>571</v>
      </c>
      <c r="N136" s="54" t="s">
        <v>571</v>
      </c>
      <c r="O136" s="54" t="s">
        <v>571</v>
      </c>
      <c r="P136" s="54" t="s">
        <v>571</v>
      </c>
      <c r="Q136" s="53" t="s">
        <v>6764</v>
      </c>
    </row>
    <row r="137" customFormat="false" ht="52.2" hidden="false" customHeight="false" outlineLevel="0" collapsed="false">
      <c r="A137" s="129" t="s">
        <v>6793</v>
      </c>
      <c r="B137" s="129" t="s">
        <v>4599</v>
      </c>
      <c r="C137" s="220" t="s">
        <v>6794</v>
      </c>
      <c r="D137" s="129" t="s">
        <v>6795</v>
      </c>
      <c r="E137" s="98" t="s">
        <v>6486</v>
      </c>
      <c r="F137" s="129" t="s">
        <v>6796</v>
      </c>
      <c r="G137" s="129" t="s">
        <v>6797</v>
      </c>
      <c r="H137" s="129" t="s">
        <v>571</v>
      </c>
      <c r="I137" s="98" t="s">
        <v>6791</v>
      </c>
      <c r="J137" s="129" t="s">
        <v>6491</v>
      </c>
      <c r="K137" s="223" t="s">
        <v>6798</v>
      </c>
      <c r="L137" s="53" t="s">
        <v>6195</v>
      </c>
      <c r="M137" s="6" t="s">
        <v>571</v>
      </c>
      <c r="N137" s="54" t="s">
        <v>571</v>
      </c>
      <c r="O137" s="54" t="s">
        <v>571</v>
      </c>
      <c r="P137" s="54" t="s">
        <v>76</v>
      </c>
      <c r="Q137" s="53" t="s">
        <v>4663</v>
      </c>
    </row>
    <row r="138" customFormat="false" ht="26.85" hidden="false" customHeight="false" outlineLevel="0" collapsed="false">
      <c r="A138" s="129" t="s">
        <v>6799</v>
      </c>
      <c r="B138" s="129" t="s">
        <v>4599</v>
      </c>
      <c r="C138" s="220" t="s">
        <v>6800</v>
      </c>
      <c r="D138" s="129" t="s">
        <v>6801</v>
      </c>
      <c r="E138" s="98" t="s">
        <v>6802</v>
      </c>
      <c r="F138" s="129" t="s">
        <v>6803</v>
      </c>
      <c r="G138" s="129" t="s">
        <v>571</v>
      </c>
      <c r="H138" s="129" t="s">
        <v>571</v>
      </c>
      <c r="I138" s="98" t="s">
        <v>6804</v>
      </c>
      <c r="J138" s="129" t="s">
        <v>6491</v>
      </c>
      <c r="K138" s="223" t="s">
        <v>6805</v>
      </c>
      <c r="L138" s="53" t="s">
        <v>6195</v>
      </c>
      <c r="M138" s="6" t="s">
        <v>571</v>
      </c>
      <c r="N138" s="54" t="s">
        <v>571</v>
      </c>
      <c r="O138" s="54" t="s">
        <v>571</v>
      </c>
      <c r="P138" s="54" t="s">
        <v>6325</v>
      </c>
      <c r="Q138" s="53" t="s">
        <v>4663</v>
      </c>
    </row>
    <row r="139" customFormat="false" ht="52.2" hidden="false" customHeight="false" outlineLevel="0" collapsed="false">
      <c r="A139" s="129" t="s">
        <v>6806</v>
      </c>
      <c r="B139" s="129" t="s">
        <v>4599</v>
      </c>
      <c r="C139" s="220" t="s">
        <v>6807</v>
      </c>
      <c r="D139" s="129" t="s">
        <v>6808</v>
      </c>
      <c r="E139" s="98" t="s">
        <v>6809</v>
      </c>
      <c r="F139" s="129" t="s">
        <v>6810</v>
      </c>
      <c r="G139" s="129" t="s">
        <v>571</v>
      </c>
      <c r="H139" s="129" t="s">
        <v>571</v>
      </c>
      <c r="I139" s="98" t="s">
        <v>6811</v>
      </c>
      <c r="J139" s="129" t="s">
        <v>6491</v>
      </c>
      <c r="K139" s="223" t="s">
        <v>6812</v>
      </c>
      <c r="L139" s="53" t="s">
        <v>6195</v>
      </c>
      <c r="M139" s="6" t="s">
        <v>571</v>
      </c>
      <c r="N139" s="54" t="s">
        <v>571</v>
      </c>
      <c r="O139" s="54" t="s">
        <v>571</v>
      </c>
      <c r="P139" s="54" t="s">
        <v>6325</v>
      </c>
      <c r="Q139" s="53" t="s">
        <v>4663</v>
      </c>
    </row>
    <row r="140" customFormat="false" ht="26.85" hidden="false" customHeight="false" outlineLevel="0" collapsed="false">
      <c r="A140" s="129" t="s">
        <v>6813</v>
      </c>
      <c r="B140" s="129" t="s">
        <v>4599</v>
      </c>
      <c r="C140" s="220" t="s">
        <v>6814</v>
      </c>
      <c r="D140" s="129" t="s">
        <v>6815</v>
      </c>
      <c r="E140" s="98" t="s">
        <v>6661</v>
      </c>
      <c r="F140" s="129" t="s">
        <v>6816</v>
      </c>
      <c r="G140" s="129" t="s">
        <v>6817</v>
      </c>
      <c r="H140" s="129" t="s">
        <v>6818</v>
      </c>
      <c r="I140" s="98" t="s">
        <v>6819</v>
      </c>
      <c r="J140" s="129" t="s">
        <v>6491</v>
      </c>
      <c r="K140" s="223" t="s">
        <v>6820</v>
      </c>
      <c r="L140" s="53" t="s">
        <v>6195</v>
      </c>
      <c r="M140" s="6" t="s">
        <v>571</v>
      </c>
      <c r="N140" s="54" t="s">
        <v>571</v>
      </c>
      <c r="O140" s="54" t="s">
        <v>6821</v>
      </c>
      <c r="P140" s="54" t="s">
        <v>76</v>
      </c>
      <c r="Q140" s="53" t="s">
        <v>4767</v>
      </c>
    </row>
    <row r="141" customFormat="false" ht="52.2" hidden="false" customHeight="false" outlineLevel="0" collapsed="false">
      <c r="A141" s="129" t="s">
        <v>6822</v>
      </c>
      <c r="B141" s="129" t="s">
        <v>4599</v>
      </c>
      <c r="C141" s="220" t="s">
        <v>6823</v>
      </c>
      <c r="D141" s="129" t="s">
        <v>6824</v>
      </c>
      <c r="E141" s="98" t="s">
        <v>6486</v>
      </c>
      <c r="F141" s="129" t="s">
        <v>6825</v>
      </c>
      <c r="G141" s="98" t="s">
        <v>6826</v>
      </c>
      <c r="H141" s="98" t="s">
        <v>6827</v>
      </c>
      <c r="I141" s="98" t="s">
        <v>6828</v>
      </c>
      <c r="J141" s="129" t="s">
        <v>6491</v>
      </c>
      <c r="K141" s="223" t="s">
        <v>6829</v>
      </c>
      <c r="L141" s="53" t="s">
        <v>6195</v>
      </c>
      <c r="M141" s="6" t="s">
        <v>571</v>
      </c>
      <c r="N141" s="54" t="s">
        <v>571</v>
      </c>
      <c r="O141" s="54" t="s">
        <v>6830</v>
      </c>
      <c r="P141" s="54" t="s">
        <v>571</v>
      </c>
      <c r="Q141" s="53" t="s">
        <v>4663</v>
      </c>
    </row>
    <row r="142" customFormat="false" ht="52.2" hidden="false" customHeight="false" outlineLevel="0" collapsed="false">
      <c r="A142" s="129" t="s">
        <v>6831</v>
      </c>
      <c r="B142" s="129" t="s">
        <v>4599</v>
      </c>
      <c r="C142" s="220" t="s">
        <v>6832</v>
      </c>
      <c r="D142" s="129" t="s">
        <v>6833</v>
      </c>
      <c r="E142" s="98" t="s">
        <v>6486</v>
      </c>
      <c r="F142" s="129" t="s">
        <v>6834</v>
      </c>
      <c r="G142" s="129" t="s">
        <v>6835</v>
      </c>
      <c r="H142" s="98" t="s">
        <v>6836</v>
      </c>
      <c r="I142" s="98" t="s">
        <v>6837</v>
      </c>
      <c r="J142" s="129" t="s">
        <v>6491</v>
      </c>
      <c r="K142" s="223" t="s">
        <v>6838</v>
      </c>
      <c r="L142" s="53" t="s">
        <v>6195</v>
      </c>
      <c r="M142" s="6" t="s">
        <v>571</v>
      </c>
      <c r="N142" s="54" t="s">
        <v>571</v>
      </c>
      <c r="O142" s="53" t="s">
        <v>6839</v>
      </c>
      <c r="P142" s="54" t="s">
        <v>250</v>
      </c>
      <c r="Q142" s="53" t="s">
        <v>4663</v>
      </c>
    </row>
    <row r="143" customFormat="false" ht="64.9" hidden="false" customHeight="false" outlineLevel="0" collapsed="false">
      <c r="A143" s="129" t="s">
        <v>6840</v>
      </c>
      <c r="B143" s="129" t="s">
        <v>4599</v>
      </c>
      <c r="C143" s="220" t="s">
        <v>6841</v>
      </c>
      <c r="D143" s="129" t="s">
        <v>6842</v>
      </c>
      <c r="E143" s="98" t="s">
        <v>6661</v>
      </c>
      <c r="F143" s="129" t="s">
        <v>6843</v>
      </c>
      <c r="G143" s="129" t="s">
        <v>6844</v>
      </c>
      <c r="H143" s="129" t="s">
        <v>6845</v>
      </c>
      <c r="I143" s="98" t="s">
        <v>6846</v>
      </c>
      <c r="J143" s="129" t="s">
        <v>6491</v>
      </c>
      <c r="K143" s="223" t="s">
        <v>6847</v>
      </c>
      <c r="L143" s="53" t="s">
        <v>6195</v>
      </c>
      <c r="M143" s="6" t="s">
        <v>2904</v>
      </c>
      <c r="N143" s="54" t="s">
        <v>571</v>
      </c>
      <c r="O143" s="54" t="s">
        <v>6848</v>
      </c>
      <c r="P143" s="54" t="s">
        <v>250</v>
      </c>
      <c r="Q143" s="53" t="s">
        <v>4767</v>
      </c>
    </row>
    <row r="144" customFormat="false" ht="26.85" hidden="false" customHeight="false" outlineLevel="0" collapsed="false">
      <c r="A144" s="129" t="s">
        <v>6849</v>
      </c>
      <c r="B144" s="129" t="s">
        <v>4599</v>
      </c>
      <c r="C144" s="220" t="s">
        <v>6850</v>
      </c>
      <c r="D144" s="129" t="s">
        <v>6851</v>
      </c>
      <c r="E144" s="98" t="s">
        <v>6486</v>
      </c>
      <c r="F144" s="129" t="s">
        <v>6852</v>
      </c>
      <c r="G144" s="129" t="s">
        <v>6853</v>
      </c>
      <c r="H144" s="98" t="s">
        <v>6854</v>
      </c>
      <c r="I144" s="98" t="s">
        <v>6855</v>
      </c>
      <c r="J144" s="129" t="s">
        <v>6491</v>
      </c>
      <c r="K144" s="223" t="s">
        <v>6856</v>
      </c>
      <c r="L144" s="53" t="s">
        <v>6195</v>
      </c>
      <c r="M144" s="6" t="s">
        <v>571</v>
      </c>
      <c r="N144" s="54" t="s">
        <v>571</v>
      </c>
      <c r="O144" s="54" t="s">
        <v>571</v>
      </c>
      <c r="P144" s="54" t="s">
        <v>571</v>
      </c>
      <c r="Q144" s="53" t="s">
        <v>4767</v>
      </c>
    </row>
    <row r="145" customFormat="false" ht="77.6" hidden="false" customHeight="false" outlineLevel="0" collapsed="false">
      <c r="A145" s="129" t="s">
        <v>6857</v>
      </c>
      <c r="B145" s="129" t="s">
        <v>4599</v>
      </c>
      <c r="C145" s="223" t="s">
        <v>6858</v>
      </c>
      <c r="D145" s="98" t="s">
        <v>6859</v>
      </c>
      <c r="E145" s="98" t="s">
        <v>6860</v>
      </c>
      <c r="F145" s="129" t="s">
        <v>6861</v>
      </c>
      <c r="G145" s="129" t="s">
        <v>6862</v>
      </c>
      <c r="H145" s="98" t="s">
        <v>6863</v>
      </c>
      <c r="I145" s="98" t="s">
        <v>6864</v>
      </c>
      <c r="J145" s="129" t="s">
        <v>6491</v>
      </c>
      <c r="K145" s="223" t="s">
        <v>6865</v>
      </c>
      <c r="L145" s="53" t="s">
        <v>6195</v>
      </c>
      <c r="M145" s="6" t="s">
        <v>571</v>
      </c>
      <c r="N145" s="54" t="s">
        <v>571</v>
      </c>
      <c r="O145" s="54" t="s">
        <v>571</v>
      </c>
      <c r="P145" s="54" t="s">
        <v>571</v>
      </c>
      <c r="Q145" s="54" t="s">
        <v>571</v>
      </c>
    </row>
    <row r="146" customFormat="false" ht="26.85" hidden="false" customHeight="false" outlineLevel="0" collapsed="false">
      <c r="A146" s="129" t="s">
        <v>6866</v>
      </c>
      <c r="B146" s="129" t="s">
        <v>4599</v>
      </c>
      <c r="C146" s="220" t="s">
        <v>6867</v>
      </c>
      <c r="D146" s="129" t="s">
        <v>6772</v>
      </c>
      <c r="E146" s="98" t="s">
        <v>6486</v>
      </c>
      <c r="F146" s="129" t="s">
        <v>6868</v>
      </c>
      <c r="G146" s="129" t="s">
        <v>6869</v>
      </c>
      <c r="H146" s="98" t="s">
        <v>6870</v>
      </c>
      <c r="I146" s="98" t="s">
        <v>6871</v>
      </c>
      <c r="J146" s="129" t="s">
        <v>6491</v>
      </c>
      <c r="K146" s="223" t="s">
        <v>6872</v>
      </c>
      <c r="L146" s="53" t="s">
        <v>6195</v>
      </c>
      <c r="M146" s="6" t="s">
        <v>571</v>
      </c>
      <c r="N146" s="54" t="s">
        <v>571</v>
      </c>
      <c r="O146" s="54" t="s">
        <v>571</v>
      </c>
      <c r="P146" s="54" t="s">
        <v>571</v>
      </c>
      <c r="Q146" s="54" t="s">
        <v>571</v>
      </c>
    </row>
    <row r="147" customFormat="false" ht="39.55" hidden="false" customHeight="false" outlineLevel="0" collapsed="false">
      <c r="A147" s="129" t="s">
        <v>6873</v>
      </c>
      <c r="B147" s="129" t="s">
        <v>4599</v>
      </c>
      <c r="C147" s="220" t="s">
        <v>6874</v>
      </c>
      <c r="D147" s="98" t="s">
        <v>6875</v>
      </c>
      <c r="E147" s="129" t="s">
        <v>571</v>
      </c>
      <c r="F147" s="129" t="s">
        <v>6876</v>
      </c>
      <c r="G147" s="129" t="s">
        <v>571</v>
      </c>
      <c r="H147" s="129" t="s">
        <v>571</v>
      </c>
      <c r="I147" s="98" t="s">
        <v>6877</v>
      </c>
      <c r="J147" s="129" t="s">
        <v>6491</v>
      </c>
      <c r="K147" s="223" t="s">
        <v>6878</v>
      </c>
      <c r="L147" s="53" t="s">
        <v>6195</v>
      </c>
      <c r="M147" s="6" t="s">
        <v>571</v>
      </c>
      <c r="N147" s="54" t="s">
        <v>571</v>
      </c>
      <c r="O147" s="54" t="s">
        <v>571</v>
      </c>
      <c r="P147" s="54" t="s">
        <v>571</v>
      </c>
      <c r="Q147" s="54" t="s">
        <v>571</v>
      </c>
    </row>
    <row r="148" customFormat="false" ht="64.9" hidden="false" customHeight="false" outlineLevel="0" collapsed="false">
      <c r="A148" s="129" t="s">
        <v>6879</v>
      </c>
      <c r="B148" s="129" t="s">
        <v>4599</v>
      </c>
      <c r="C148" s="220" t="s">
        <v>6880</v>
      </c>
      <c r="D148" s="129" t="s">
        <v>6563</v>
      </c>
      <c r="E148" s="98" t="s">
        <v>6486</v>
      </c>
      <c r="F148" s="129" t="s">
        <v>6881</v>
      </c>
      <c r="G148" s="129" t="s">
        <v>6882</v>
      </c>
      <c r="H148" s="129" t="s">
        <v>6883</v>
      </c>
      <c r="I148" s="98" t="s">
        <v>6884</v>
      </c>
      <c r="J148" s="129" t="s">
        <v>6491</v>
      </c>
      <c r="K148" s="223" t="s">
        <v>6885</v>
      </c>
      <c r="L148" s="53" t="s">
        <v>6195</v>
      </c>
      <c r="M148" s="6" t="s">
        <v>2950</v>
      </c>
      <c r="N148" s="54" t="s">
        <v>571</v>
      </c>
      <c r="O148" s="54" t="s">
        <v>571</v>
      </c>
      <c r="P148" s="54" t="s">
        <v>6374</v>
      </c>
      <c r="Q148" s="53" t="s">
        <v>4663</v>
      </c>
    </row>
    <row r="149" customFormat="false" ht="39.55" hidden="false" customHeight="false" outlineLevel="0" collapsed="false">
      <c r="A149" s="129" t="s">
        <v>6886</v>
      </c>
      <c r="B149" s="129" t="s">
        <v>4599</v>
      </c>
      <c r="C149" s="220" t="s">
        <v>6887</v>
      </c>
      <c r="D149" s="129" t="s">
        <v>6888</v>
      </c>
      <c r="E149" s="98" t="s">
        <v>6486</v>
      </c>
      <c r="F149" s="129" t="s">
        <v>6889</v>
      </c>
      <c r="G149" s="129" t="s">
        <v>6890</v>
      </c>
      <c r="H149" s="129" t="s">
        <v>6891</v>
      </c>
      <c r="I149" s="98" t="s">
        <v>6884</v>
      </c>
      <c r="J149" s="129" t="s">
        <v>6491</v>
      </c>
      <c r="K149" s="223" t="s">
        <v>6892</v>
      </c>
      <c r="L149" s="53" t="s">
        <v>6195</v>
      </c>
      <c r="M149" s="6" t="s">
        <v>2972</v>
      </c>
      <c r="N149" s="54" t="s">
        <v>571</v>
      </c>
      <c r="O149" s="54" t="s">
        <v>571</v>
      </c>
      <c r="P149" s="54" t="s">
        <v>6374</v>
      </c>
      <c r="Q149" s="53" t="s">
        <v>4663</v>
      </c>
    </row>
    <row r="150" customFormat="false" ht="77.6" hidden="false" customHeight="false" outlineLevel="0" collapsed="false">
      <c r="A150" s="129" t="s">
        <v>6893</v>
      </c>
      <c r="B150" s="129" t="s">
        <v>4599</v>
      </c>
      <c r="C150" s="220" t="s">
        <v>6894</v>
      </c>
      <c r="D150" s="129" t="s">
        <v>6556</v>
      </c>
      <c r="E150" s="98" t="s">
        <v>6486</v>
      </c>
      <c r="F150" s="129" t="s">
        <v>6895</v>
      </c>
      <c r="G150" s="129" t="s">
        <v>6896</v>
      </c>
      <c r="H150" s="129" t="s">
        <v>6897</v>
      </c>
      <c r="I150" s="98" t="s">
        <v>6884</v>
      </c>
      <c r="J150" s="129" t="s">
        <v>6491</v>
      </c>
      <c r="K150" s="223" t="s">
        <v>6898</v>
      </c>
      <c r="L150" s="53" t="s">
        <v>6195</v>
      </c>
      <c r="M150" s="6" t="s">
        <v>3027</v>
      </c>
      <c r="N150" s="54" t="s">
        <v>571</v>
      </c>
      <c r="O150" s="54" t="s">
        <v>571</v>
      </c>
      <c r="P150" s="54" t="s">
        <v>6374</v>
      </c>
      <c r="Q150" s="53" t="s">
        <v>4663</v>
      </c>
    </row>
    <row r="151" customFormat="false" ht="64.9" hidden="false" customHeight="false" outlineLevel="0" collapsed="false">
      <c r="A151" s="129" t="s">
        <v>6899</v>
      </c>
      <c r="B151" s="129" t="s">
        <v>4599</v>
      </c>
      <c r="C151" s="220" t="s">
        <v>6900</v>
      </c>
      <c r="D151" s="129" t="s">
        <v>6636</v>
      </c>
      <c r="E151" s="98" t="s">
        <v>6486</v>
      </c>
      <c r="F151" s="129" t="s">
        <v>6901</v>
      </c>
      <c r="G151" s="129" t="s">
        <v>6902</v>
      </c>
      <c r="H151" s="129" t="s">
        <v>6903</v>
      </c>
      <c r="I151" s="98" t="s">
        <v>6904</v>
      </c>
      <c r="J151" s="129" t="s">
        <v>6491</v>
      </c>
      <c r="K151" s="223" t="s">
        <v>6905</v>
      </c>
      <c r="L151" s="53" t="s">
        <v>6195</v>
      </c>
      <c r="M151" s="6" t="s">
        <v>2858</v>
      </c>
      <c r="N151" s="54" t="s">
        <v>571</v>
      </c>
      <c r="O151" s="53" t="s">
        <v>6906</v>
      </c>
      <c r="P151" s="54" t="s">
        <v>6374</v>
      </c>
      <c r="Q151" s="53" t="s">
        <v>4663</v>
      </c>
    </row>
    <row r="152" customFormat="false" ht="64.9" hidden="false" customHeight="false" outlineLevel="0" collapsed="false">
      <c r="A152" s="129" t="s">
        <v>6907</v>
      </c>
      <c r="B152" s="129" t="s">
        <v>4599</v>
      </c>
      <c r="C152" s="220" t="s">
        <v>6908</v>
      </c>
      <c r="D152" s="98" t="s">
        <v>6909</v>
      </c>
      <c r="E152" s="98" t="s">
        <v>6860</v>
      </c>
      <c r="F152" s="129" t="s">
        <v>6910</v>
      </c>
      <c r="G152" s="129" t="s">
        <v>6911</v>
      </c>
      <c r="H152" s="129" t="s">
        <v>6912</v>
      </c>
      <c r="I152" s="98" t="s">
        <v>6913</v>
      </c>
      <c r="J152" s="129" t="s">
        <v>6491</v>
      </c>
      <c r="K152" s="223" t="s">
        <v>6914</v>
      </c>
      <c r="L152" s="53" t="s">
        <v>6195</v>
      </c>
      <c r="M152" s="6" t="s">
        <v>571</v>
      </c>
      <c r="N152" s="54" t="s">
        <v>571</v>
      </c>
      <c r="O152" s="54" t="s">
        <v>6754</v>
      </c>
      <c r="P152" s="54" t="s">
        <v>72</v>
      </c>
      <c r="Q152" s="54" t="s">
        <v>571</v>
      </c>
    </row>
    <row r="153" customFormat="false" ht="114.15" hidden="false" customHeight="false" outlineLevel="0" collapsed="false">
      <c r="A153" s="129" t="s">
        <v>6915</v>
      </c>
      <c r="B153" s="129" t="s">
        <v>4620</v>
      </c>
      <c r="C153" s="220" t="s">
        <v>6916</v>
      </c>
      <c r="D153" s="98" t="s">
        <v>6917</v>
      </c>
      <c r="E153" s="98" t="s">
        <v>6860</v>
      </c>
      <c r="F153" s="129" t="s">
        <v>6918</v>
      </c>
      <c r="G153" s="129" t="s">
        <v>6919</v>
      </c>
      <c r="H153" s="98" t="s">
        <v>6920</v>
      </c>
      <c r="I153" s="98" t="s">
        <v>6921</v>
      </c>
      <c r="J153" s="129" t="s">
        <v>6491</v>
      </c>
      <c r="K153" s="223" t="s">
        <v>6922</v>
      </c>
      <c r="L153" s="53" t="s">
        <v>6195</v>
      </c>
      <c r="M153" s="6" t="s">
        <v>571</v>
      </c>
      <c r="N153" s="54" t="s">
        <v>571</v>
      </c>
      <c r="O153" s="54" t="s">
        <v>571</v>
      </c>
      <c r="P153" s="54" t="s">
        <v>72</v>
      </c>
      <c r="Q153" s="54" t="s">
        <v>571</v>
      </c>
    </row>
    <row r="154" customFormat="false" ht="101.45" hidden="false" customHeight="false" outlineLevel="0" collapsed="false">
      <c r="A154" s="129" t="s">
        <v>6923</v>
      </c>
      <c r="B154" s="129" t="s">
        <v>4620</v>
      </c>
      <c r="C154" s="220" t="s">
        <v>6924</v>
      </c>
      <c r="D154" s="129" t="s">
        <v>6925</v>
      </c>
      <c r="E154" s="98" t="s">
        <v>6486</v>
      </c>
      <c r="F154" s="129" t="s">
        <v>6926</v>
      </c>
      <c r="G154" s="129" t="s">
        <v>6927</v>
      </c>
      <c r="H154" s="129" t="s">
        <v>6928</v>
      </c>
      <c r="I154" s="98" t="s">
        <v>6929</v>
      </c>
      <c r="J154" s="129" t="s">
        <v>6491</v>
      </c>
      <c r="K154" s="223" t="s">
        <v>6930</v>
      </c>
      <c r="L154" s="53" t="s">
        <v>6195</v>
      </c>
      <c r="M154" s="6" t="s">
        <v>571</v>
      </c>
      <c r="N154" s="54" t="s">
        <v>571</v>
      </c>
      <c r="O154" s="54" t="s">
        <v>571</v>
      </c>
      <c r="P154" s="54" t="s">
        <v>76</v>
      </c>
      <c r="Q154" s="53" t="s">
        <v>4767</v>
      </c>
    </row>
    <row r="155" customFormat="false" ht="90.25" hidden="false" customHeight="false" outlineLevel="0" collapsed="false">
      <c r="A155" s="129" t="s">
        <v>6931</v>
      </c>
      <c r="B155" s="129" t="s">
        <v>4620</v>
      </c>
      <c r="C155" s="220" t="s">
        <v>6932</v>
      </c>
      <c r="D155" s="98" t="s">
        <v>6933</v>
      </c>
      <c r="E155" s="98" t="s">
        <v>6860</v>
      </c>
      <c r="F155" s="129" t="s">
        <v>6934</v>
      </c>
      <c r="G155" s="129" t="s">
        <v>6935</v>
      </c>
      <c r="H155" s="98" t="s">
        <v>6936</v>
      </c>
      <c r="I155" s="98" t="s">
        <v>6937</v>
      </c>
      <c r="J155" s="129" t="s">
        <v>6491</v>
      </c>
      <c r="K155" s="223" t="s">
        <v>6938</v>
      </c>
      <c r="L155" s="53" t="s">
        <v>6195</v>
      </c>
      <c r="M155" s="6" t="s">
        <v>571</v>
      </c>
      <c r="N155" s="54" t="s">
        <v>571</v>
      </c>
      <c r="O155" s="54" t="s">
        <v>571</v>
      </c>
      <c r="P155" s="54" t="s">
        <v>72</v>
      </c>
      <c r="Q155" s="53" t="s">
        <v>6939</v>
      </c>
    </row>
    <row r="156" customFormat="false" ht="90.25" hidden="false" customHeight="false" outlineLevel="0" collapsed="false">
      <c r="A156" s="129" t="s">
        <v>6940</v>
      </c>
      <c r="B156" s="129" t="s">
        <v>4620</v>
      </c>
      <c r="C156" s="220" t="s">
        <v>6941</v>
      </c>
      <c r="D156" s="129" t="s">
        <v>6942</v>
      </c>
      <c r="E156" s="98" t="s">
        <v>6486</v>
      </c>
      <c r="F156" s="129" t="s">
        <v>6943</v>
      </c>
      <c r="G156" s="129" t="s">
        <v>6944</v>
      </c>
      <c r="H156" s="98" t="s">
        <v>6945</v>
      </c>
      <c r="I156" s="98" t="s">
        <v>6946</v>
      </c>
      <c r="J156" s="129" t="s">
        <v>6491</v>
      </c>
      <c r="K156" s="223" t="s">
        <v>6947</v>
      </c>
      <c r="L156" s="53" t="s">
        <v>6195</v>
      </c>
      <c r="M156" s="6" t="s">
        <v>571</v>
      </c>
      <c r="N156" s="54" t="s">
        <v>571</v>
      </c>
      <c r="O156" s="54" t="s">
        <v>571</v>
      </c>
      <c r="P156" s="54" t="s">
        <v>76</v>
      </c>
      <c r="Q156" s="53" t="s">
        <v>4767</v>
      </c>
    </row>
    <row r="157" customFormat="false" ht="64.9" hidden="false" customHeight="false" outlineLevel="0" collapsed="false">
      <c r="A157" s="129" t="s">
        <v>6948</v>
      </c>
      <c r="B157" s="129" t="s">
        <v>4620</v>
      </c>
      <c r="C157" s="220" t="s">
        <v>6949</v>
      </c>
      <c r="D157" s="98" t="s">
        <v>6950</v>
      </c>
      <c r="E157" s="98" t="s">
        <v>6802</v>
      </c>
      <c r="F157" s="129" t="s">
        <v>6951</v>
      </c>
      <c r="G157" s="129" t="s">
        <v>6952</v>
      </c>
      <c r="H157" s="129" t="s">
        <v>6953</v>
      </c>
      <c r="I157" s="98" t="s">
        <v>6946</v>
      </c>
      <c r="J157" s="129" t="s">
        <v>6491</v>
      </c>
      <c r="K157" s="223" t="s">
        <v>6954</v>
      </c>
      <c r="L157" s="53" t="s">
        <v>6195</v>
      </c>
      <c r="M157" s="6" t="s">
        <v>571</v>
      </c>
      <c r="N157" s="54" t="s">
        <v>571</v>
      </c>
      <c r="O157" s="54" t="s">
        <v>571</v>
      </c>
      <c r="P157" s="54" t="s">
        <v>76</v>
      </c>
      <c r="Q157" s="53" t="s">
        <v>6955</v>
      </c>
    </row>
    <row r="158" customFormat="false" ht="112.65" hidden="false" customHeight="false" outlineLevel="0" collapsed="false">
      <c r="A158" s="129" t="s">
        <v>6956</v>
      </c>
      <c r="B158" s="129" t="s">
        <v>4620</v>
      </c>
      <c r="C158" s="220" t="s">
        <v>6957</v>
      </c>
      <c r="D158" s="129" t="s">
        <v>6958</v>
      </c>
      <c r="E158" s="98" t="s">
        <v>6860</v>
      </c>
      <c r="F158" s="129" t="s">
        <v>6959</v>
      </c>
      <c r="G158" s="129" t="s">
        <v>6960</v>
      </c>
      <c r="H158" s="98" t="s">
        <v>6961</v>
      </c>
      <c r="I158" s="98" t="s">
        <v>6962</v>
      </c>
      <c r="J158" s="129" t="s">
        <v>6491</v>
      </c>
      <c r="K158" s="223" t="s">
        <v>6963</v>
      </c>
      <c r="L158" s="53" t="s">
        <v>6195</v>
      </c>
      <c r="M158" s="6" t="s">
        <v>571</v>
      </c>
      <c r="N158" s="54" t="s">
        <v>571</v>
      </c>
      <c r="O158" s="54" t="s">
        <v>571</v>
      </c>
      <c r="P158" s="54" t="s">
        <v>72</v>
      </c>
      <c r="Q158" s="54" t="s">
        <v>571</v>
      </c>
    </row>
    <row r="159" customFormat="false" ht="128.35" hidden="false" customHeight="false" outlineLevel="0" collapsed="false">
      <c r="A159" s="129" t="s">
        <v>6964</v>
      </c>
      <c r="B159" s="129" t="s">
        <v>4620</v>
      </c>
      <c r="C159" s="220" t="s">
        <v>6965</v>
      </c>
      <c r="D159" s="129" t="s">
        <v>6966</v>
      </c>
      <c r="E159" s="98" t="s">
        <v>6967</v>
      </c>
      <c r="F159" s="129" t="s">
        <v>6968</v>
      </c>
      <c r="G159" s="129" t="s">
        <v>6969</v>
      </c>
      <c r="H159" s="129" t="s">
        <v>6970</v>
      </c>
      <c r="I159" s="98" t="s">
        <v>6971</v>
      </c>
      <c r="J159" s="129" t="s">
        <v>6491</v>
      </c>
      <c r="K159" s="223" t="s">
        <v>6972</v>
      </c>
      <c r="L159" s="53" t="s">
        <v>6195</v>
      </c>
      <c r="M159" s="6" t="s">
        <v>571</v>
      </c>
      <c r="N159" s="54" t="s">
        <v>571</v>
      </c>
      <c r="O159" s="53" t="s">
        <v>6973</v>
      </c>
      <c r="P159" s="54" t="s">
        <v>76</v>
      </c>
      <c r="Q159" s="53" t="s">
        <v>6974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2026-10-05T16:53:25Z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