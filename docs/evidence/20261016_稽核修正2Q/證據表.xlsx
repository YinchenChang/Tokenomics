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證據表" sheetId="1" state="visible" r:id="rId3"/>
    <sheet name="Q1計算" sheetId="2" state="visible" r:id="rId4"/>
    <sheet name="Q4計算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<sst xmlns="http://schemas.openxmlformats.org/spreadsheetml/2006/main" count="677" uniqueCount="381">
  <si>
    <t xml:space="preserve">題號</t>
  </si>
  <si>
    <t xml:space="preserve">數值</t>
  </si>
  <si>
    <t xml:space="preserve">單位與口徑</t>
  </si>
  <si>
    <t xml:space="preserve">日期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</si>
  <si>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URL</t>
    </r>
    <r>
      <rPr>
        <b val="true"/>
        <sz val="11"/>
        <rFont val="Noto Sans CJK SC"/>
        <family val="2"/>
      </rPr>
      <t xml:space="preserve">）</t>
    </r>
  </si>
  <si>
    <t xml:space="preserve">標記</t>
  </si>
  <si>
    <t xml:space="preserve">利害關係方與動機</t>
  </si>
  <si>
    <t xml:space="preserve">是否為獨立的第二來源</t>
  </si>
  <si>
    <t xml:space="preserve">讀取狀態</t>
  </si>
  <si>
    <t xml:space="preserve">來源等級</t>
  </si>
  <si>
    <t xml:space="preserve">備註</t>
  </si>
  <si>
    <t xml:space="preserve">Q1</t>
  </si>
  <si>
    <r>
      <rPr>
        <sz val="11"/>
        <color theme="1"/>
        <rFont val="Calibri"/>
        <family val="2"/>
        <charset val="1"/>
      </rPr>
      <t xml:space="preserve">gpt-4o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10.00</t>
    </r>
  </si>
  <si>
    <r>
      <rPr>
        <sz val="11"/>
        <color theme="1"/>
        <rFont val="Calibri"/>
        <family val="2"/>
        <charset val="1"/>
      </rPr>
      <t xml:space="preserve">$/M </t>
    </r>
    <r>
      <rPr>
        <sz val="11"/>
        <color theme="1"/>
        <rFont val="Noto Sans CJK SC"/>
        <family val="2"/>
      </rPr>
      <t xml:space="preserve">新鮮輸入／快取輸入／輸出；</t>
    </r>
    <r>
      <rPr>
        <sz val="11"/>
        <color theme="1"/>
        <rFont val="Calibri"/>
        <family val="2"/>
        <charset val="1"/>
      </rPr>
      <t xml:space="preserve">gpt-4o-2024-08-06 </t>
    </r>
    <r>
      <rPr>
        <sz val="11"/>
        <color theme="1"/>
        <rFont val="Noto Sans CJK SC"/>
        <family val="2"/>
      </rPr>
      <t xml:space="preserve">起之 </t>
    </r>
    <r>
      <rPr>
        <sz val="11"/>
        <color theme="1"/>
        <rFont val="Calibri"/>
        <family val="2"/>
        <charset val="1"/>
      </rPr>
      <t xml:space="preserve">Standard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全年有效</t>
    </r>
  </si>
  <si>
    <r>
      <rPr>
        <sz val="11"/>
        <color theme="1"/>
        <rFont val="Calibri"/>
        <family val="2"/>
        <charset val="1"/>
      </rPr>
      <t xml:space="preserve">2024-08-06 </t>
    </r>
    <r>
      <rPr>
        <sz val="11"/>
        <color theme="1"/>
        <rFont val="Noto Sans CJK SC"/>
        <family val="2"/>
      </rPr>
      <t xml:space="preserve">起</t>
    </r>
  </si>
  <si>
    <t xml:space="preserve">https://developers.openai.com/api/docs/models/gpt-4o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</si>
  <si>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</si>
  <si>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（賣方）；牌價事實以官方頁為準，立場為銷售方</t>
    </r>
  </si>
  <si>
    <r>
      <rPr>
        <sz val="11"/>
        <color theme="1"/>
        <rFont val="Noto Sans CJK SC"/>
        <family val="2"/>
      </rPr>
      <t xml:space="preserve">基準（第二來源：世代價格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價格點</t>
    </r>
    <r>
      <rPr>
        <sz val="11"/>
        <color theme="1"/>
        <rFont val="Calibri"/>
        <family val="2"/>
        <charset val="1"/>
      </rPr>
      <t xml:space="preserve">_b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openai.com structured outputs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</si>
  <si>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已讀（</t>
    </r>
    <r>
      <rPr>
        <sz val="11"/>
        <color theme="1"/>
        <rFont val="Calibri"/>
        <family val="2"/>
        <charset val="1"/>
      </rPr>
      <t xml:space="preserve">WebFetch </t>
    </r>
    <r>
      <rPr>
        <sz val="11"/>
        <color theme="1"/>
        <rFont val="Noto Sans CJK SC"/>
        <family val="2"/>
      </rPr>
      <t xml:space="preserve">摘要）</t>
    </r>
  </si>
  <si>
    <t xml:space="preserve">1</t>
  </si>
  <si>
    <r>
      <rPr>
        <sz val="11"/>
        <color theme="1"/>
        <rFont val="Calibri"/>
        <family val="2"/>
        <charset val="1"/>
      </rPr>
      <t xml:space="preserve">2025-01-01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2025-04-13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主力）；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預設至 </t>
    </r>
    <r>
      <rPr>
        <sz val="11"/>
        <color theme="1"/>
        <rFont val="Calibri"/>
        <family val="2"/>
        <charset val="1"/>
      </rPr>
      <t xml:space="preserve">2025-08-06</t>
    </r>
  </si>
  <si>
    <r>
      <rPr>
        <sz val="11"/>
        <color theme="1"/>
        <rFont val="Calibri"/>
        <family val="2"/>
        <charset val="1"/>
      </rPr>
      <t xml:space="preserve">gpt-4o-mini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0.60</t>
    </r>
  </si>
  <si>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Noto Sans CJK SC"/>
        <family val="2"/>
      </rPr>
      <t xml:space="preserve">，同上</t>
    </r>
  </si>
  <si>
    <r>
      <rPr>
        <sz val="11"/>
        <color theme="1"/>
        <rFont val="Calibri"/>
        <family val="2"/>
        <charset val="1"/>
      </rPr>
      <t xml:space="preserve">2024-07-18 </t>
    </r>
    <r>
      <rPr>
        <sz val="11"/>
        <color theme="1"/>
        <rFont val="Noto Sans CJK SC"/>
        <family val="2"/>
      </rPr>
      <t xml:space="preserve">起</t>
    </r>
  </si>
  <si>
    <t xml:space="preserve">https://developers.openai.com/api/docs/models/gpt-4o-mini</t>
  </si>
  <si>
    <r>
      <rPr>
        <sz val="11"/>
        <color theme="1"/>
        <rFont val="Noto Sans CJK SC"/>
        <family val="2"/>
      </rPr>
      <t xml:space="preserve">是（</t>
    </r>
    <r>
      <rPr>
        <sz val="11"/>
        <color theme="1"/>
        <rFont val="Calibri"/>
        <family val="2"/>
        <charset val="1"/>
      </rPr>
      <t xml:space="preserve">v5.36A A6-1 benchlm 0.15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，等級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</si>
  <si>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Luna </t>
    </r>
    <r>
      <rPr>
        <sz val="11"/>
        <color theme="1"/>
        <rFont val="Noto Sans CJK SC"/>
        <family val="2"/>
      </rPr>
      <t xml:space="preserve">兩種讀法在 </t>
    </r>
    <r>
      <rPr>
        <sz val="11"/>
        <color theme="1"/>
        <rFont val="Calibri"/>
        <family val="2"/>
        <charset val="1"/>
      </rPr>
      <t xml:space="preserve">2025-04-13 </t>
    </r>
    <r>
      <rPr>
        <sz val="11"/>
        <color theme="1"/>
        <rFont val="Noto Sans CJK SC"/>
        <family val="2"/>
      </rPr>
      <t xml:space="preserve">前都用它（當時無 </t>
    </r>
    <r>
      <rPr>
        <sz val="11"/>
        <color theme="1"/>
        <rFont val="Calibri"/>
        <family val="2"/>
        <charset val="1"/>
      </rPr>
      <t xml:space="preserve">nano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</si>
  <si>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gpt-4.1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8.00</t>
    </r>
  </si>
  <si>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Noto Sans CJK SC"/>
        <family val="2"/>
      </rPr>
      <t xml:space="preserve">；快取 </t>
    </r>
    <r>
      <rPr>
        <sz val="11"/>
        <color theme="1"/>
        <rFont val="Calibri"/>
        <family val="2"/>
        <charset val="1"/>
      </rPr>
      <t xml:space="preserve">0.50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Noto Sans CJK SC"/>
        <family val="2"/>
      </rPr>
      <t xml:space="preserve">家族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Noto Sans CJK SC"/>
        <family val="2"/>
      </rPr>
      <t xml:space="preserve">快取折扣推得（</t>
    </r>
    <r>
      <rPr>
        <sz val="11"/>
        <color theme="1"/>
        <rFont val="Calibri"/>
        <family val="2"/>
        <charset val="1"/>
      </rPr>
      <t xml:space="preserve">mini 0.40→0.10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nano 0.10→0.025 </t>
    </r>
    <r>
      <rPr>
        <sz val="11"/>
        <color theme="1"/>
        <rFont val="Noto Sans CJK SC"/>
        <family val="2"/>
      </rPr>
      <t xml:space="preserve">皆為官方頁）</t>
    </r>
  </si>
  <si>
    <t xml:space="preserve">2025-04-14</t>
  </si>
  <si>
    <t xml:space="preserve">https://openai.com/index/gpt-4-1/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</si>
  <si>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（快取為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</si>
  <si>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是（世代價格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已讀官方公告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v5.36A benchlm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</si>
  <si>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既有查證；官方模型頁讀取被擋</t>
    </r>
  </si>
  <si>
    <r>
      <rPr>
        <sz val="11"/>
        <color theme="1"/>
        <rFont val="Calibri"/>
        <family val="2"/>
        <charset val="1"/>
      </rPr>
      <t xml:space="preserve">developers.openai.com/api/docs/models/gpt-4.1 </t>
    </r>
    <r>
      <rPr>
        <sz val="11"/>
        <color theme="1"/>
        <rFont val="Noto Sans CJK SC"/>
        <family val="2"/>
      </rPr>
      <t xml:space="preserve">讀取被擋（權限未回應）</t>
    </r>
  </si>
  <si>
    <r>
      <rPr>
        <sz val="11"/>
        <color theme="1"/>
        <rFont val="Calibri"/>
        <family val="2"/>
        <charset val="1"/>
      </rPr>
      <t xml:space="preserve">gpt-4.1-mini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1.60</t>
    </r>
  </si>
  <si>
    <t xml:space="preserve">$/M</t>
  </si>
  <si>
    <t xml:space="preserve">https://developers.openai.com/api/docs/models/gpt-4.1-mini</t>
  </si>
  <si>
    <r>
      <rPr>
        <sz val="11"/>
        <color theme="1"/>
        <rFont val="Noto Sans CJK SC"/>
        <family val="2"/>
      </rPr>
      <t xml:space="preserve">是（</t>
    </r>
    <r>
      <rPr>
        <sz val="11"/>
        <color theme="1"/>
        <rFont val="Calibri"/>
        <family val="2"/>
        <charset val="1"/>
      </rPr>
      <t xml:space="preserve">v5.36A benchlm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</si>
  <si>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Luna </t>
    </r>
    <r>
      <rPr>
        <sz val="11"/>
        <color theme="1"/>
        <rFont val="Noto Sans CJK SC"/>
        <family val="2"/>
      </rPr>
      <t xml:space="preserve">高端讀法（</t>
    </r>
    <r>
      <rPr>
        <sz val="11"/>
        <color theme="1"/>
        <rFont val="Calibri"/>
        <family val="2"/>
        <charset val="1"/>
      </rPr>
      <t xml:space="preserve">mini </t>
    </r>
    <r>
      <rPr>
        <sz val="11"/>
        <color theme="1"/>
        <rFont val="Noto Sans CJK SC"/>
        <family val="2"/>
      </rPr>
      <t xml:space="preserve">線）</t>
    </r>
  </si>
  <si>
    <r>
      <rPr>
        <sz val="11"/>
        <color theme="1"/>
        <rFont val="Calibri"/>
        <family val="2"/>
        <charset val="1"/>
      </rPr>
      <t xml:space="preserve">gpt-4.1-nano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</si>
  <si>
    <t xml:space="preserve">https://developers.openai.com/api/docs/models/gpt-4.1-nano</t>
  </si>
  <si>
    <r>
      <rPr>
        <sz val="11"/>
        <color theme="1"/>
        <rFont val="Noto Sans CJK SC"/>
        <family val="2"/>
      </rPr>
      <t xml:space="preserve">否（第二來源：已搜尋 </t>
    </r>
    <r>
      <rPr>
        <sz val="11"/>
        <color theme="1"/>
        <rFont val="Calibri"/>
        <family val="2"/>
        <charset val="1"/>
      </rPr>
      <t xml:space="preserve">OpenRouter </t>
    </r>
    <r>
      <rPr>
        <sz val="11"/>
        <color theme="1"/>
        <rFont val="Noto Sans CJK SC"/>
        <family val="2"/>
      </rPr>
      <t xml:space="preserve">公告、</t>
    </r>
    <r>
      <rPr>
        <sz val="11"/>
        <color theme="1"/>
        <rFont val="Calibri"/>
        <family val="2"/>
        <charset val="1"/>
      </rPr>
      <t xml:space="preserve">llmreference</t>
    </r>
    <r>
      <rPr>
        <sz val="11"/>
        <color theme="1"/>
        <rFont val="Noto Sans CJK SC"/>
        <family val="2"/>
      </rPr>
      <t xml:space="preserve">，未讀）</t>
    </r>
  </si>
  <si>
    <r>
      <rPr>
        <sz val="11"/>
        <color theme="1"/>
        <rFont val="Calibri"/>
        <family val="2"/>
        <charset val="1"/>
      </rPr>
      <t xml:space="preserve">Luna </t>
    </r>
    <r>
      <rPr>
        <sz val="11"/>
        <color theme="1"/>
        <rFont val="Noto Sans CJK SC"/>
        <family val="2"/>
      </rPr>
      <t xml:space="preserve">基準讀法（</t>
    </r>
    <r>
      <rPr>
        <sz val="11"/>
        <color theme="1"/>
        <rFont val="Calibri"/>
        <family val="2"/>
        <charset val="1"/>
      </rPr>
      <t xml:space="preserve">nano </t>
    </r>
    <r>
      <rPr>
        <sz val="11"/>
        <color theme="1"/>
        <rFont val="Noto Sans CJK SC"/>
        <family val="2"/>
      </rPr>
      <t xml:space="preserve">線）</t>
    </r>
  </si>
  <si>
    <r>
      <rPr>
        <sz val="11"/>
        <color theme="1"/>
        <rFont val="Calibri"/>
        <family val="2"/>
        <charset val="1"/>
      </rPr>
      <t xml:space="preserve">gpt-5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10.00</t>
    </r>
  </si>
  <si>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Noto Sans CJK SC"/>
        <family val="2"/>
      </rPr>
      <t xml:space="preserve">；快取由 </t>
    </r>
    <r>
      <rPr>
        <sz val="11"/>
        <color theme="1"/>
        <rFont val="Calibri"/>
        <family val="2"/>
        <charset val="1"/>
      </rPr>
      <t xml:space="preserve">GPT-5 </t>
    </r>
    <r>
      <rPr>
        <sz val="11"/>
        <color theme="1"/>
        <rFont val="Noto Sans CJK SC"/>
        <family val="2"/>
      </rPr>
      <t xml:space="preserve">家族 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折扣推得（</t>
    </r>
    <r>
      <rPr>
        <sz val="11"/>
        <color theme="1"/>
        <rFont val="Calibri"/>
        <family val="2"/>
        <charset val="1"/>
      </rPr>
      <t xml:space="preserve">mini 0.25→0.025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nano 0.05→0.005 </t>
    </r>
    <r>
      <rPr>
        <sz val="11"/>
        <color theme="1"/>
        <rFont val="Noto Sans CJK SC"/>
        <family val="2"/>
      </rPr>
      <t xml:space="preserve">皆官方頁）</t>
    </r>
  </si>
  <si>
    <t xml:space="preserve">2025-08-07</t>
  </si>
  <si>
    <t xml:space="preserve">https://openai.com/index/introducing-gpt-5-for-developers/</t>
  </si>
  <si>
    <r>
      <rPr>
        <sz val="11"/>
        <color theme="1"/>
        <rFont val="Noto Sans CJK SC"/>
        <family val="2"/>
      </rPr>
      <t xml:space="preserve">是（世代價格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已讀同頁；</t>
    </r>
    <r>
      <rPr>
        <sz val="11"/>
        <color theme="1"/>
        <rFont val="Calibri"/>
        <family val="2"/>
        <charset val="1"/>
      </rPr>
      <t xml:space="preserve">v5.36A benchlm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</si>
  <si>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GPT-5.1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）同價，未另列</t>
    </r>
  </si>
  <si>
    <r>
      <rPr>
        <sz val="11"/>
        <color theme="1"/>
        <rFont val="Calibri"/>
        <family val="2"/>
        <charset val="1"/>
      </rPr>
      <t xml:space="preserve">gpt-5-mini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2.00</t>
    </r>
  </si>
  <si>
    <t xml:space="preserve">https://developers.openai.com/api/docs/models/gpt-5-mini</t>
  </si>
  <si>
    <r>
      <rPr>
        <sz val="11"/>
        <color theme="1"/>
        <rFont val="Noto Sans CJK SC"/>
        <family val="2"/>
      </rPr>
      <t xml:space="preserve">是（</t>
    </r>
    <r>
      <rPr>
        <sz val="11"/>
        <color theme="1"/>
        <rFont val="Calibri"/>
        <family val="2"/>
        <charset val="1"/>
      </rPr>
      <t xml:space="preserve">GPT-5 </t>
    </r>
    <r>
      <rPr>
        <sz val="11"/>
        <color theme="1"/>
        <rFont val="Noto Sans CJK SC"/>
        <family val="2"/>
      </rPr>
      <t xml:space="preserve">開發者公告頁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</si>
  <si>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官方頁：新工作負載建議改用 </t>
    </r>
    <r>
      <rPr>
        <sz val="11"/>
        <color theme="1"/>
        <rFont val="Calibri"/>
        <family val="2"/>
        <charset val="1"/>
      </rPr>
      <t xml:space="preserve">GPT-5.6 Terra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mini </t>
    </r>
    <r>
      <rPr>
        <sz val="11"/>
        <color theme="1"/>
        <rFont val="Noto Sans CJK SC"/>
        <family val="2"/>
      </rPr>
      <t xml:space="preserve">線的後繼是 </t>
    </r>
    <r>
      <rPr>
        <sz val="11"/>
        <color theme="1"/>
        <rFont val="Calibri"/>
        <family val="2"/>
        <charset val="1"/>
      </rPr>
      <t xml:space="preserve">Terra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</si>
  <si>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gpt-5-nano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</si>
  <si>
    <t xml:space="preserve">https://developers.openai.com/api/docs/models/gpt-5-nano</t>
  </si>
  <si>
    <r>
      <rPr>
        <sz val="11"/>
        <color theme="1"/>
        <rFont val="Noto Sans CJK SC"/>
        <family val="2"/>
      </rPr>
      <t xml:space="preserve">是（</t>
    </r>
    <r>
      <rPr>
        <sz val="11"/>
        <color theme="1"/>
        <rFont val="Calibri"/>
        <family val="2"/>
        <charset val="1"/>
      </rPr>
      <t xml:space="preserve">GPT-5 </t>
    </r>
    <r>
      <rPr>
        <sz val="11"/>
        <color theme="1"/>
        <rFont val="Noto Sans CJK SC"/>
        <family val="2"/>
      </rPr>
      <t xml:space="preserve">開發者公告頁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</si>
  <si>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官方頁：速度與成本敏感的新工作負載建議改用 </t>
    </r>
    <r>
      <rPr>
        <sz val="11"/>
        <color theme="1"/>
        <rFont val="Calibri"/>
        <family val="2"/>
        <charset val="1"/>
      </rPr>
      <t xml:space="preserve">GPT-5.6 Luna——</t>
    </r>
    <r>
      <rPr>
        <sz val="11"/>
        <color theme="1"/>
        <rFont val="Noto Sans CJK SC"/>
        <family val="2"/>
      </rPr>
      <t xml:space="preserve">這是「</t>
    </r>
    <r>
      <rPr>
        <sz val="11"/>
        <color theme="1"/>
        <rFont val="Calibri"/>
        <family val="2"/>
        <charset val="1"/>
      </rPr>
      <t xml:space="preserve">nano </t>
    </r>
    <r>
      <rPr>
        <sz val="11"/>
        <color theme="1"/>
        <rFont val="Noto Sans CJK SC"/>
        <family val="2"/>
      </rPr>
      <t xml:space="preserve">線→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」的層級對應依據</t>
    </r>
  </si>
  <si>
    <r>
      <rPr>
        <sz val="11"/>
        <color theme="1"/>
        <rFont val="Calibri"/>
        <family val="2"/>
        <charset val="1"/>
      </rPr>
      <t xml:space="preserve">gpt-5.2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14.00</t>
    </r>
  </si>
  <si>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Noto Sans CJK SC"/>
        <family val="2"/>
      </rPr>
      <t xml:space="preserve">；快取依 </t>
    </r>
    <r>
      <rPr>
        <sz val="11"/>
        <color theme="1"/>
        <rFont val="Calibri"/>
        <family val="2"/>
        <charset val="1"/>
      </rPr>
      <t xml:space="preserve">GPT-5 </t>
    </r>
    <r>
      <rPr>
        <sz val="11"/>
        <color theme="1"/>
        <rFont val="Noto Sans CJK SC"/>
        <family val="2"/>
      </rPr>
      <t xml:space="preserve">家族 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折扣推得</t>
    </r>
  </si>
  <si>
    <t xml:space="preserve">2025-12-11</t>
  </si>
  <si>
    <t xml:space="preserve">https://openai.com/index/introducing-gpt-5-2/</t>
  </si>
  <si>
    <r>
      <rPr>
        <sz val="11"/>
        <color theme="1"/>
        <rFont val="Noto Sans CJK SC"/>
        <family val="2"/>
      </rPr>
      <t xml:space="preserve">是（世代價格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已讀官方頁 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</si>
  <si>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既有查證；本段讀取被擋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</si>
  <si>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年只占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天</t>
    </r>
  </si>
  <si>
    <r>
      <rPr>
        <sz val="11"/>
        <color theme="1"/>
        <rFont val="Calibri"/>
        <family val="2"/>
        <charset val="1"/>
      </rPr>
      <t xml:space="preserve">o3-mini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4.40</t>
    </r>
  </si>
  <si>
    <t xml:space="preserve">2025-01-31</t>
  </si>
  <si>
    <t xml:space="preserve">https://developers.openai.com/api/docs/models/o3-mini</t>
  </si>
  <si>
    <t xml:space="preserve">否</t>
  </si>
  <si>
    <t xml:space="preserve">未進加權（中階推理，非任一層級主力）；備查</t>
  </si>
  <si>
    <r>
      <rPr>
        <sz val="11"/>
        <color theme="1"/>
        <rFont val="Calibri"/>
        <family val="2"/>
        <charset val="1"/>
      </rPr>
      <t xml:space="preserve">o1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</si>
  <si>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Calibri"/>
        <family val="2"/>
        <charset val="1"/>
      </rPr>
      <t xml:space="preserve">2024-12-17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全年在售</t>
    </r>
  </si>
  <si>
    <t xml:space="preserve">https://platform.openai.com/docs/models/o1</t>
  </si>
  <si>
    <r>
      <rPr>
        <sz val="11"/>
        <color theme="1"/>
        <rFont val="Noto Sans CJK SC"/>
        <family val="2"/>
      </rPr>
      <t xml:space="preserve">是（</t>
    </r>
    <r>
      <rPr>
        <sz val="11"/>
        <color theme="1"/>
        <rFont val="Calibri"/>
        <family val="2"/>
        <charset val="1"/>
      </rPr>
      <t xml:space="preserve">v5.36A benchlm 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</si>
  <si>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本段讀取被擋；沿用 </t>
    </r>
    <r>
      <rPr>
        <sz val="11"/>
        <color theme="1"/>
        <rFont val="Calibri"/>
        <family val="2"/>
        <charset val="1"/>
      </rPr>
      <t xml:space="preserve">v5.36A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</si>
  <si>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（二手彙整）＋官方頁標題</t>
    </r>
  </si>
  <si>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Noto Sans CJK SC"/>
        <family val="2"/>
      </rPr>
      <t xml:space="preserve">基準讀法 </t>
    </r>
    <r>
      <rPr>
        <sz val="11"/>
        <color theme="1"/>
        <rFont val="Calibri"/>
        <family val="2"/>
        <charset val="1"/>
      </rPr>
      <t xml:space="preserve">2025-01-01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04-15</t>
    </r>
    <r>
      <rPr>
        <sz val="11"/>
        <color theme="1"/>
        <rFont val="Noto Sans CJK SC"/>
        <family val="2"/>
      </rPr>
      <t xml:space="preserve">；高端讀法全年</t>
    </r>
  </si>
  <si>
    <r>
      <rPr>
        <sz val="11"/>
        <color theme="1"/>
        <rFont val="Calibri"/>
        <family val="2"/>
        <charset val="1"/>
      </rPr>
      <t xml:space="preserve">o3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 → 2025-06-10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</si>
  <si>
    <r>
      <rPr>
        <sz val="11"/>
        <color theme="1"/>
        <rFont val="Calibri"/>
        <family val="2"/>
        <charset val="1"/>
      </rPr>
      <t xml:space="preserve">2025-04-16</t>
    </r>
    <r>
      <rPr>
        <sz val="11"/>
        <color theme="1"/>
        <rFont val="Noto Sans CJK SC"/>
        <family val="2"/>
      </rPr>
      <t xml:space="preserve">；降價 </t>
    </r>
    <r>
      <rPr>
        <sz val="11"/>
        <color theme="1"/>
        <rFont val="Calibri"/>
        <family val="2"/>
        <charset val="1"/>
      </rPr>
      <t xml:space="preserve">2025-06-10</t>
    </r>
  </si>
  <si>
    <t xml:space="preserve">https://community.openai.com/t/o3-is-80-cheaper-and-introducing-o3-pro/1284925</t>
  </si>
  <si>
    <r>
      <rPr>
        <sz val="11"/>
        <color theme="1"/>
        <rFont val="Noto Sans CJK SC"/>
        <family val="2"/>
      </rPr>
      <t xml:space="preserve">是（</t>
    </r>
    <r>
      <rPr>
        <sz val="11"/>
        <color theme="1"/>
        <rFont val="Calibri"/>
        <family val="2"/>
        <charset val="1"/>
      </rPr>
      <t xml:space="preserve">v5.36A benchlm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</si>
  <si>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既有查證（世代價格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步驟</t>
    </r>
    <r>
      <rPr>
        <sz val="11"/>
        <color theme="1"/>
        <rFont val="Calibri"/>
        <family val="2"/>
        <charset val="1"/>
      </rPr>
      <t xml:space="preserve">3a2</t>
    </r>
    <r>
      <rPr>
        <sz val="11"/>
        <color theme="1"/>
        <rFont val="Noto Sans CJK SC"/>
        <family val="2"/>
      </rPr>
      <t xml:space="preserve">）</t>
    </r>
  </si>
  <si>
    <t xml:space="preserve">舊價見官方社群公告圖說</t>
  </si>
  <si>
    <r>
      <rPr>
        <sz val="11"/>
        <color theme="1"/>
        <rFont val="Calibri"/>
        <family val="2"/>
        <charset val="1"/>
      </rPr>
      <t xml:space="preserve">o3-pro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／—／</t>
    </r>
    <r>
      <rPr>
        <sz val="11"/>
        <color theme="1"/>
        <rFont val="Calibri"/>
        <family val="2"/>
        <charset val="1"/>
      </rPr>
      <t xml:space="preserve">80</t>
    </r>
  </si>
  <si>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Noto Sans CJK SC"/>
        <family val="2"/>
      </rPr>
      <t xml:space="preserve">；快取未列</t>
    </r>
  </si>
  <si>
    <t xml:space="preserve">2025-06-10</t>
  </si>
  <si>
    <t xml:space="preserve">https://developers.openai.com/api/docs/models/o3-pro</t>
  </si>
  <si>
    <r>
      <rPr>
        <sz val="11"/>
        <color theme="1"/>
        <rFont val="Noto Sans CJK SC"/>
        <family val="2"/>
      </rPr>
      <t xml:space="preserve">是（</t>
    </r>
    <r>
      <rPr>
        <sz val="11"/>
        <color theme="1"/>
        <rFont val="Calibri"/>
        <family val="2"/>
        <charset val="1"/>
      </rPr>
      <t xml:space="preserve">v5.36A benchlm 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</si>
  <si>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Pro </t>
    </r>
    <r>
      <rPr>
        <sz val="11"/>
        <color theme="1"/>
        <rFont val="Noto Sans CJK SC"/>
        <family val="2"/>
      </rPr>
      <t xml:space="preserve">層極端讀法（不建議）</t>
    </r>
  </si>
  <si>
    <r>
      <rPr>
        <sz val="11"/>
        <color theme="1"/>
        <rFont val="Calibri"/>
        <family val="2"/>
        <charset val="1"/>
      </rPr>
      <t xml:space="preserve">gpt-5-pro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／—／</t>
    </r>
    <r>
      <rPr>
        <sz val="11"/>
        <color theme="1"/>
        <rFont val="Calibri"/>
        <family val="2"/>
        <charset val="1"/>
      </rPr>
      <t xml:space="preserve">120</t>
    </r>
  </si>
  <si>
    <t xml:space="preserve">2025-10-06</t>
  </si>
  <si>
    <t xml:space="preserve">https://developers.openai.com/api/docs/models/gpt-5-pro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</si>
  <si>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各模型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用量占比（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ChatGPT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</si>
  <si>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</si>
  <si>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r>
      <rPr>
        <sz val="11"/>
        <color theme="1"/>
        <rFont val="Noto Sans CJK SC"/>
        <family val="2"/>
      </rPr>
      <t xml:space="preserve">已搜尋：</t>
    </r>
    <r>
      <rPr>
        <sz val="11"/>
        <color theme="1"/>
        <rFont val="Calibri"/>
        <family val="2"/>
        <charset val="1"/>
      </rPr>
      <t xml:space="preserve">v5.36A A6-2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WebSearch </t>
    </r>
    <r>
      <rPr>
        <sz val="11"/>
        <color theme="1"/>
        <rFont val="Noto Sans CJK SC"/>
        <family val="2"/>
      </rPr>
      <t xml:space="preserve">三組關鍵字、</t>
    </r>
    <r>
      <rPr>
        <sz val="11"/>
        <color theme="1"/>
        <rFont val="Calibri"/>
        <family val="2"/>
        <charset val="1"/>
      </rPr>
      <t xml:space="preserve">OpenAI Retiring GPT-4o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Sacra</t>
    </r>
    <r>
      <rPr>
        <sz val="11"/>
        <color theme="1"/>
        <rFont val="Noto Sans CJK SC"/>
        <family val="2"/>
      </rPr>
      <t xml:space="preserve">）；本段未重搜</t>
    </r>
  </si>
  <si>
    <r>
      <rPr>
        <sz val="11"/>
        <color theme="1"/>
        <rFont val="Noto Sans CJK SC"/>
        <family val="2"/>
      </rPr>
      <t xml:space="preserve">已搜尋，未找到（沿用 </t>
    </r>
    <r>
      <rPr>
        <sz val="11"/>
        <color theme="1"/>
        <rFont val="Calibri"/>
        <family val="2"/>
        <charset val="1"/>
      </rPr>
      <t xml:space="preserve">v5.36A</t>
    </r>
    <r>
      <rPr>
        <sz val="11"/>
        <color theme="1"/>
        <rFont val="Noto Sans CJK SC"/>
        <family val="2"/>
      </rPr>
      <t xml:space="preserve">）</t>
    </r>
  </si>
  <si>
    <t xml:space="preserve">因此層級內以「主力模型在售天數」時間加權，而不是用量加權</t>
  </si>
  <si>
    <r>
      <rPr>
        <sz val="11"/>
        <color theme="1"/>
        <rFont val="Noto Sans CJK SC"/>
        <family val="2"/>
      </rPr>
      <t xml:space="preserve">訂閱占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61%–82%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</si>
  <si>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</si>
  <si>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2025</t>
  </si>
  <si>
    <r>
      <rPr>
        <sz val="11"/>
        <color theme="1"/>
        <rFont val="Calibri"/>
        <family val="2"/>
        <charset val="1"/>
      </rPr>
      <t xml:space="preserve">Cap_In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SRC_DEM_039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</si>
  <si>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轉述</t>
    </r>
  </si>
  <si>
    <t xml:space="preserve">沿用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</si>
  <si>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v6.1 Cap_In C70:E70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</si>
  <si>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訂閱營收不按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牌價計費；牌價對訂閱部分只是「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等值」量尺</t>
    </r>
  </si>
  <si>
    <t xml:space="preserve">Q2</t>
  </si>
  <si>
    <r>
      <rPr>
        <sz val="11"/>
        <color theme="1"/>
        <rFont val="Calibri"/>
        <family val="2"/>
        <charset val="1"/>
      </rPr>
      <t xml:space="preserve">GPT-4</t>
    </r>
    <r>
      <rPr>
        <sz val="11"/>
        <color theme="1"/>
        <rFont val="Noto Sans CJK SC"/>
        <family val="2"/>
      </rPr>
      <t xml:space="preserve">：總約 </t>
    </r>
    <r>
      <rPr>
        <sz val="11"/>
        <color theme="1"/>
        <rFont val="Calibri"/>
        <family val="2"/>
        <charset val="1"/>
      </rPr>
      <t xml:space="preserve">1.8T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專家、每專家約 </t>
    </r>
    <r>
      <rPr>
        <sz val="11"/>
        <color theme="1"/>
        <rFont val="Calibri"/>
        <family val="2"/>
        <charset val="1"/>
      </rPr>
      <t xml:space="preserve">111B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MLP</t>
    </r>
    <r>
      <rPr>
        <sz val="11"/>
        <color theme="1"/>
        <rFont val="Noto Sans CJK SC"/>
        <family val="2"/>
      </rPr>
      <t xml:space="preserve">），每次前向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專家 → 啟用約 </t>
    </r>
    <r>
      <rPr>
        <sz val="11"/>
        <color theme="1"/>
        <rFont val="Calibri"/>
        <family val="2"/>
        <charset val="1"/>
      </rPr>
      <t xml:space="preserve">220B–280B</t>
    </r>
  </si>
  <si>
    <t xml:space="preserve">參數</t>
  </si>
  <si>
    <t xml:space="preserve">2023-07-11</t>
  </si>
  <si>
    <t xml:space="preserve">https://the-decoder.com/gpt-4-architecture-datasets-costs-and-more-leaked/</t>
  </si>
  <si>
    <t xml:space="preserve">Analogy</t>
  </si>
  <si>
    <r>
      <rPr>
        <sz val="11"/>
        <color theme="1"/>
        <rFont val="Noto Sans CJK SC"/>
        <family val="2"/>
      </rPr>
      <t xml:space="preserve">原始為 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外洩報告；</t>
    </r>
    <r>
      <rPr>
        <sz val="11"/>
        <color theme="1"/>
        <rFont val="Calibri"/>
        <family val="2"/>
        <charset val="1"/>
      </rPr>
      <t xml:space="preserve">the-decoder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George Hotz </t>
    </r>
    <r>
      <rPr>
        <sz val="11"/>
        <color theme="1"/>
        <rFont val="Noto Sans CJK SC"/>
        <family val="2"/>
      </rPr>
      <t xml:space="preserve">先前稱 </t>
    </r>
    <r>
      <rPr>
        <sz val="11"/>
        <color theme="1"/>
        <rFont val="Calibri"/>
        <family val="2"/>
        <charset val="1"/>
      </rPr>
      <t xml:space="preserve">8×220B</t>
    </r>
  </si>
  <si>
    <r>
      <rPr>
        <sz val="11"/>
        <color theme="1"/>
        <rFont val="Noto Sans CJK SC"/>
        <family val="2"/>
      </rPr>
      <t xml:space="preserve">是（</t>
    </r>
    <r>
      <rPr>
        <sz val="11"/>
        <color theme="1"/>
        <rFont val="Calibri"/>
        <family val="2"/>
        <charset val="1"/>
      </rPr>
      <t xml:space="preserve">Hotz 2023-06 </t>
    </r>
    <r>
      <rPr>
        <sz val="11"/>
        <color theme="1"/>
        <rFont val="Noto Sans CJK SC"/>
        <family val="2"/>
      </rPr>
      <t xml:space="preserve">說法與 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方向一致，兩者獨立）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</si>
  <si>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（二手轉述）</t>
    </r>
  </si>
  <si>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不單獨使用：此處以 </t>
    </r>
    <r>
      <rPr>
        <sz val="11"/>
        <color theme="1"/>
        <rFont val="Calibri"/>
        <family val="2"/>
        <charset val="1"/>
      </rPr>
      <t xml:space="preserve">Hotz </t>
    </r>
    <r>
      <rPr>
        <sz val="11"/>
        <color theme="1"/>
        <rFont val="Noto Sans CJK SC"/>
        <family val="2"/>
      </rPr>
      <t xml:space="preserve">說法為第二來源；啟用 </t>
    </r>
    <r>
      <rPr>
        <sz val="11"/>
        <color theme="1"/>
        <rFont val="Calibri"/>
        <family val="2"/>
        <charset val="1"/>
      </rPr>
      <t xml:space="preserve">280B </t>
    </r>
    <r>
      <rPr>
        <sz val="11"/>
        <color theme="1"/>
        <rFont val="Noto Sans CJK SC"/>
        <family val="2"/>
      </rPr>
      <t xml:space="preserve">為常見轉述值，本段只確認到 </t>
    </r>
    <r>
      <rPr>
        <sz val="11"/>
        <color theme="1"/>
        <rFont val="Calibri"/>
        <family val="2"/>
        <charset val="1"/>
      </rPr>
      <t xml:space="preserve">2×111B≈222B</t>
    </r>
    <r>
      <rPr>
        <sz val="11"/>
        <color theme="1"/>
        <rFont val="Noto Sans CJK SC"/>
        <family val="2"/>
      </rPr>
      <t xml:space="preserve">＋共享層</t>
    </r>
  </si>
  <si>
    <r>
      <rPr>
        <sz val="11"/>
        <color theme="1"/>
        <rFont val="Calibri"/>
        <family val="2"/>
        <charset val="1"/>
      </rPr>
      <t xml:space="preserve">GPT-4o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200B</t>
    </r>
    <r>
      <rPr>
        <sz val="11"/>
        <color theme="1"/>
        <rFont val="Noto Sans CJK SC"/>
        <family val="2"/>
      </rPr>
      <t xml:space="preserve">（總參數，誤差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倍）；</t>
    </r>
    <r>
      <rPr>
        <sz val="11"/>
        <color theme="1"/>
        <rFont val="Calibri"/>
        <family val="2"/>
        <charset val="1"/>
      </rPr>
      <t xml:space="preserve">Claude 3.5 Sonnet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400B</t>
    </r>
    <r>
      <rPr>
        <sz val="11"/>
        <color theme="1"/>
        <rFont val="Noto Sans CJK SC"/>
        <family val="2"/>
      </rPr>
      <t xml:space="preserve">（推測）</t>
    </r>
  </si>
  <si>
    <t xml:space="preserve">參數（總）</t>
  </si>
  <si>
    <t xml:space="preserve">2024-12-13</t>
  </si>
  <si>
    <t xml:space="preserve">https://epoch.ai/gradient-updates/frontier-language-models-have-become-much-smaller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</si>
  <si>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Ege Erdil</t>
    </r>
    <r>
      <rPr>
        <sz val="11"/>
        <color theme="1"/>
        <rFont val="Noto Sans CJK SC"/>
        <family val="2"/>
      </rPr>
      <t xml:space="preserve">）；以服務速度與價格反推</t>
    </r>
  </si>
  <si>
    <t xml:space="preserve">基準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</si>
  <si>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（研究機構）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</si>
  <si>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後期前沿模型比 </t>
    </r>
    <r>
      <rPr>
        <sz val="11"/>
        <color theme="1"/>
        <rFont val="Calibri"/>
        <family val="2"/>
        <charset val="1"/>
      </rPr>
      <t xml:space="preserve">GPT-4 </t>
    </r>
    <r>
      <rPr>
        <sz val="11"/>
        <color theme="1"/>
        <rFont val="Noto Sans CJK SC"/>
        <family val="2"/>
      </rPr>
      <t xml:space="preserve">小約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倍；作者預期下一代回到或略超 </t>
    </r>
    <r>
      <rPr>
        <sz val="11"/>
        <color theme="1"/>
        <rFont val="Calibri"/>
        <family val="2"/>
        <charset val="1"/>
      </rPr>
      <t xml:space="preserve">GPT-4</t>
    </r>
    <r>
      <rPr>
        <sz val="11"/>
        <color theme="1"/>
        <rFont val="Noto Sans CJK SC"/>
        <family val="2"/>
      </rPr>
      <t xml:space="preserve">，三年內成長 </t>
    </r>
    <r>
      <rPr>
        <sz val="11"/>
        <color theme="1"/>
        <rFont val="Calibri"/>
        <family val="2"/>
        <charset val="1"/>
      </rPr>
      <t xml:space="preserve">&lt;10 </t>
    </r>
    <r>
      <rPr>
        <sz val="11"/>
        <color theme="1"/>
        <rFont val="Noto Sans CJK SC"/>
        <family val="2"/>
      </rPr>
      <t xml:space="preserve">倍的機率約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</si>
  <si>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GPT-4o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GPT-4o-mini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o1-preview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o1-mini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Claude 3.5 Sonnet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175B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</si>
  <si>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arXiv 2412.19260</t>
    </r>
    <r>
      <rPr>
        <sz val="11"/>
        <color theme="1"/>
        <rFont val="Noto Sans CJK SC"/>
        <family val="2"/>
      </rPr>
      <t xml:space="preserve">）</t>
    </r>
  </si>
  <si>
    <t xml:space="preserve">https://timkellogg.me/threads/2025-04-07-a-medical-paper-from-microsoft-lists-the-previousl/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</si>
  <si>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研究者論文附註；論文自承「取自公開文章的估計」</t>
    </r>
  </si>
  <si>
    <r>
      <rPr>
        <sz val="11"/>
        <color theme="1"/>
        <rFont val="Noto Sans CJK SC"/>
        <family val="2"/>
      </rPr>
      <t xml:space="preserve">否（可能轉述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，不算獨立；</t>
    </r>
    <r>
      <rPr>
        <sz val="11"/>
        <color theme="1"/>
        <rFont val="Calibri"/>
        <family val="2"/>
        <charset val="1"/>
      </rPr>
      <t xml:space="preserve">4o-mini 8B </t>
    </r>
    <r>
      <rPr>
        <sz val="11"/>
        <color theme="1"/>
        <rFont val="Noto Sans CJK SC"/>
        <family val="2"/>
      </rPr>
      <t xml:space="preserve">為唯一來源）</t>
    </r>
  </si>
  <si>
    <r>
      <rPr>
        <sz val="11"/>
        <color theme="1"/>
        <rFont val="Noto Sans CJK SC"/>
        <family val="2"/>
      </rPr>
      <t xml:space="preserve">已讀（</t>
    </r>
    <r>
      <rPr>
        <sz val="11"/>
        <color theme="1"/>
        <rFont val="Calibri"/>
        <family val="2"/>
        <charset val="1"/>
      </rPr>
      <t xml:space="preserve">WebFetch </t>
    </r>
    <r>
      <rPr>
        <sz val="11"/>
        <color theme="1"/>
        <rFont val="Noto Sans CJK SC"/>
        <family val="2"/>
      </rPr>
      <t xml:space="preserve">摘要，二手轉述原論文表）</t>
    </r>
  </si>
  <si>
    <t xml:space="preserve">3</t>
  </si>
  <si>
    <r>
      <rPr>
        <sz val="11"/>
        <color theme="1"/>
        <rFont val="Noto Sans CJK SC"/>
        <family val="2"/>
      </rPr>
      <t xml:space="preserve">原論文 </t>
    </r>
    <r>
      <rPr>
        <sz val="11"/>
        <color theme="1"/>
        <rFont val="Calibri"/>
        <family val="2"/>
        <charset val="1"/>
      </rPr>
      <t xml:space="preserve">https://arxiv.org/pdf/2412.19260 </t>
    </r>
    <r>
      <rPr>
        <sz val="11"/>
        <color theme="1"/>
        <rFont val="Noto Sans CJK SC"/>
        <family val="2"/>
      </rPr>
      <t xml:space="preserve">未直接讀</t>
    </r>
  </si>
  <si>
    <r>
      <rPr>
        <sz val="11"/>
        <color theme="1"/>
        <rFont val="Calibri"/>
        <family val="2"/>
        <charset val="1"/>
      </rPr>
      <t xml:space="preserve">GPT-4.1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2.2T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2.1T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GPT-5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think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2.0T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GPT-5 Pro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2.1T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GPT-5.1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0.63T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GPT-5.4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GPT-5.5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4.7T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區間約 </t>
    </r>
    <r>
      <rPr>
        <sz val="11"/>
        <color theme="1"/>
        <rFont val="Calibri"/>
        <family val="2"/>
        <charset val="1"/>
      </rPr>
      <t xml:space="preserve">×÷3.2</t>
    </r>
    <r>
      <rPr>
        <sz val="11"/>
        <color theme="1"/>
        <rFont val="Noto Sans CJK SC"/>
        <family val="2"/>
      </rPr>
      <t xml:space="preserve">）</t>
    </r>
  </si>
  <si>
    <t xml:space="preserve">開放權重等效「總參數」（非啟用）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</si>
  <si>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（引用至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結果）</t>
    </r>
  </si>
  <si>
    <t xml:space="preserve">https://arxiv.org/pdf/2604.24827</t>
  </si>
  <si>
    <r>
      <rPr>
        <sz val="11"/>
        <color theme="1"/>
        <rFont val="Calibri"/>
        <family val="2"/>
        <charset val="1"/>
      </rPr>
      <t xml:space="preserve">Bojie Li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Pine AI</t>
    </r>
    <r>
      <rPr>
        <sz val="11"/>
        <color theme="1"/>
        <rFont val="Noto Sans CJK SC"/>
        <family val="2"/>
      </rPr>
      <t xml:space="preserve">）；以事實知識探針迴歸 </t>
    </r>
    <r>
      <rPr>
        <sz val="11"/>
        <color theme="1"/>
        <rFont val="Calibri"/>
        <family val="2"/>
        <charset val="1"/>
      </rPr>
      <t xml:space="preserve">93 </t>
    </r>
    <r>
      <rPr>
        <sz val="11"/>
        <color theme="1"/>
        <rFont val="Noto Sans CJK SC"/>
        <family val="2"/>
      </rPr>
      <t xml:space="preserve">個開放模型反推；作者稱只適合量級</t>
    </r>
  </si>
  <si>
    <r>
      <rPr>
        <sz val="11"/>
        <color theme="1"/>
        <rFont val="Noto Sans CJK SC"/>
        <family val="2"/>
      </rPr>
      <t xml:space="preserve">是（方法與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的速度／價格法無關）</t>
    </r>
  </si>
  <si>
    <t xml:space="preserve">2</t>
  </si>
  <si>
    <r>
      <rPr>
        <sz val="11"/>
        <color theme="1"/>
        <rFont val="Noto Sans CJK SC"/>
        <family val="2"/>
      </rPr>
      <t xml:space="preserve">安全調校重的模型可能被低估；</t>
    </r>
    <r>
      <rPr>
        <sz val="11"/>
        <color theme="1"/>
        <rFont val="Calibri"/>
        <family val="2"/>
        <charset val="1"/>
      </rPr>
      <t xml:space="preserve">GPT-4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無估計</t>
    </r>
  </si>
  <si>
    <r>
      <rPr>
        <sz val="11"/>
        <color theme="1"/>
        <rFont val="Calibri"/>
        <family val="2"/>
        <charset val="1"/>
      </rPr>
      <t xml:space="preserve">DeepSeek-V3</t>
    </r>
    <r>
      <rPr>
        <sz val="11"/>
        <color theme="1"/>
        <rFont val="Noto Sans CJK SC"/>
        <family val="2"/>
      </rPr>
      <t xml:space="preserve">：總 </t>
    </r>
    <r>
      <rPr>
        <sz val="11"/>
        <color theme="1"/>
        <rFont val="Calibri"/>
        <family val="2"/>
        <charset val="1"/>
      </rPr>
      <t xml:space="preserve">671B</t>
    </r>
    <r>
      <rPr>
        <sz val="11"/>
        <color theme="1"/>
        <rFont val="Noto Sans CJK SC"/>
        <family val="2"/>
      </rPr>
      <t xml:space="preserve">／啟用 </t>
    </r>
    <r>
      <rPr>
        <sz val="11"/>
        <color theme="1"/>
        <rFont val="Calibri"/>
        <family val="2"/>
        <charset val="1"/>
      </rPr>
      <t xml:space="preserve">37B</t>
    </r>
    <r>
      <rPr>
        <sz val="11"/>
        <color theme="1"/>
        <rFont val="Noto Sans CJK SC"/>
        <family val="2"/>
      </rPr>
      <t xml:space="preserve">；預訓練 </t>
    </r>
    <r>
      <rPr>
        <sz val="11"/>
        <color theme="1"/>
        <rFont val="Calibri"/>
        <family val="2"/>
        <charset val="1"/>
      </rPr>
      <t xml:space="preserve">14.8T token</t>
    </r>
  </si>
  <si>
    <t xml:space="preserve">2024-12</t>
  </si>
  <si>
    <t xml:space="preserve">https://arxiv.org/abs/2412.19437</t>
  </si>
  <si>
    <t xml:space="preserve">Verified</t>
  </si>
  <si>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Noto Sans CJK SC"/>
        <family val="2"/>
      </rPr>
      <t xml:space="preserve">技術報告與模型卡（同一方，事實揭露）</t>
    </r>
  </si>
  <si>
    <r>
      <rPr>
        <sz val="11"/>
        <color theme="1"/>
        <rFont val="Noto Sans CJK SC"/>
        <family val="2"/>
      </rPr>
      <t xml:space="preserve">沿用（</t>
    </r>
    <r>
      <rPr>
        <sz val="11"/>
        <color theme="1"/>
        <rFont val="Calibri"/>
        <family val="2"/>
        <charset val="1"/>
      </rPr>
      <t xml:space="preserve">Train_In C41 </t>
    </r>
    <r>
      <rPr>
        <sz val="11"/>
        <color theme="1"/>
        <rFont val="Noto Sans CJK SC"/>
        <family val="2"/>
      </rPr>
      <t xml:space="preserve">已登錄 </t>
    </r>
    <r>
      <rPr>
        <sz val="11"/>
        <color theme="1"/>
        <rFont val="Calibri"/>
        <family val="2"/>
        <charset val="1"/>
      </rPr>
      <t xml:space="preserve">14.8T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</si>
  <si>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既有（</t>
    </r>
    <r>
      <rPr>
        <sz val="11"/>
        <color theme="1"/>
        <rFont val="Calibri"/>
        <family val="2"/>
        <charset val="1"/>
      </rPr>
      <t xml:space="preserve">Train_In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SRC_Model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</si>
  <si>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Sol </t>
    </r>
    <r>
      <rPr>
        <sz val="11"/>
        <color theme="1"/>
        <rFont val="Noto Sans CJK SC"/>
        <family val="2"/>
      </rPr>
      <t xml:space="preserve">級開放權重代表</t>
    </r>
  </si>
  <si>
    <r>
      <rPr>
        <sz val="11"/>
        <color theme="1"/>
        <rFont val="Calibri"/>
        <family val="2"/>
        <charset val="1"/>
      </rPr>
      <t xml:space="preserve">Llama 3.1 405B</t>
    </r>
    <r>
      <rPr>
        <sz val="11"/>
        <color theme="1"/>
        <rFont val="Noto Sans CJK SC"/>
        <family val="2"/>
      </rPr>
      <t xml:space="preserve">（稠密，啟用＝</t>
    </r>
    <r>
      <rPr>
        <sz val="11"/>
        <color theme="1"/>
        <rFont val="Calibri"/>
        <family val="2"/>
        <charset val="1"/>
      </rPr>
      <t xml:space="preserve">405B</t>
    </r>
    <r>
      <rPr>
        <sz val="11"/>
        <color theme="1"/>
        <rFont val="Noto Sans CJK SC"/>
        <family val="2"/>
      </rPr>
      <t xml:space="preserve">）</t>
    </r>
  </si>
  <si>
    <t xml:space="preserve">2024-07</t>
  </si>
  <si>
    <t xml:space="preserve">https://ai.meta.com/blog/meta-llama-3-1/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</si>
  <si>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模型卡</t>
    </r>
  </si>
  <si>
    <t xml:space="preserve">未於本段重讀（公知規格）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</si>
  <si>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期稠密上限對照；不代表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服務模型</t>
    </r>
  </si>
  <si>
    <r>
      <rPr>
        <sz val="11"/>
        <color theme="1"/>
        <rFont val="Calibri"/>
        <family val="2"/>
        <charset val="1"/>
      </rPr>
      <t xml:space="preserve">Qwen3-235B-A22B</t>
    </r>
    <r>
      <rPr>
        <sz val="11"/>
        <color theme="1"/>
        <rFont val="Noto Sans CJK SC"/>
        <family val="2"/>
      </rPr>
      <t xml:space="preserve">：總 </t>
    </r>
    <r>
      <rPr>
        <sz val="11"/>
        <color theme="1"/>
        <rFont val="Calibri"/>
        <family val="2"/>
        <charset val="1"/>
      </rPr>
      <t xml:space="preserve">235B</t>
    </r>
    <r>
      <rPr>
        <sz val="11"/>
        <color theme="1"/>
        <rFont val="Noto Sans CJK SC"/>
        <family val="2"/>
      </rPr>
      <t xml:space="preserve">／啟用 </t>
    </r>
    <r>
      <rPr>
        <sz val="11"/>
        <color theme="1"/>
        <rFont val="Calibri"/>
        <family val="2"/>
        <charset val="1"/>
      </rPr>
      <t xml:space="preserve">22B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Qwen3-30B-A3B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3B</t>
    </r>
    <r>
      <rPr>
        <sz val="11"/>
        <color theme="1"/>
        <rFont val="Noto Sans CJK SC"/>
        <family val="2"/>
      </rPr>
      <t xml:space="preserve">；預訓練 </t>
    </r>
    <r>
      <rPr>
        <sz val="11"/>
        <color theme="1"/>
        <rFont val="Calibri"/>
        <family val="2"/>
        <charset val="1"/>
      </rPr>
      <t xml:space="preserve">36T token</t>
    </r>
  </si>
  <si>
    <r>
      <rPr>
        <sz val="11"/>
        <color theme="1"/>
        <rFont val="Noto Sans CJK SC"/>
        <family val="2"/>
      </rPr>
      <t xml:space="preserve">參數；</t>
    </r>
    <r>
      <rPr>
        <sz val="11"/>
        <color theme="1"/>
        <rFont val="Calibri"/>
        <family val="2"/>
        <charset val="1"/>
      </rPr>
      <t xml:space="preserve">token</t>
    </r>
  </si>
  <si>
    <t xml:space="preserve">2025-05-14</t>
  </si>
  <si>
    <t xml:space="preserve">https://arxiv.org/html/2505.09388v1</t>
  </si>
  <si>
    <r>
      <rPr>
        <sz val="11"/>
        <color theme="1"/>
        <rFont val="Calibri"/>
        <family val="2"/>
        <charset val="1"/>
      </rPr>
      <t xml:space="preserve">Alibaba </t>
    </r>
    <r>
      <rPr>
        <sz val="11"/>
        <color theme="1"/>
        <rFont val="Noto Sans CJK SC"/>
        <family val="2"/>
      </rPr>
      <t xml:space="preserve">技術報告</t>
    </r>
  </si>
  <si>
    <t xml:space="preserve">是</t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</si>
  <si>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Luna </t>
    </r>
    <r>
      <rPr>
        <sz val="11"/>
        <color theme="1"/>
        <rFont val="Noto Sans CJK SC"/>
        <family val="2"/>
      </rPr>
      <t xml:space="preserve">級開放權重對照</t>
    </r>
  </si>
  <si>
    <r>
      <rPr>
        <sz val="11"/>
        <color theme="1"/>
        <rFont val="Calibri"/>
        <family val="2"/>
        <charset val="1"/>
      </rPr>
      <t xml:space="preserve">Kimi K2</t>
    </r>
    <r>
      <rPr>
        <sz val="11"/>
        <color theme="1"/>
        <rFont val="Noto Sans CJK SC"/>
        <family val="2"/>
      </rPr>
      <t xml:space="preserve">：總 </t>
    </r>
    <r>
      <rPr>
        <sz val="11"/>
        <color theme="1"/>
        <rFont val="Calibri"/>
        <family val="2"/>
        <charset val="1"/>
      </rPr>
      <t xml:space="preserve">1T</t>
    </r>
    <r>
      <rPr>
        <sz val="11"/>
        <color theme="1"/>
        <rFont val="Noto Sans CJK SC"/>
        <family val="2"/>
      </rPr>
      <t xml:space="preserve">／啟用 </t>
    </r>
    <r>
      <rPr>
        <sz val="11"/>
        <color theme="1"/>
        <rFont val="Calibri"/>
        <family val="2"/>
        <charset val="1"/>
      </rPr>
      <t xml:space="preserve">32B</t>
    </r>
  </si>
  <si>
    <t xml:space="preserve">2025-07</t>
  </si>
  <si>
    <t xml:space="preserve">https://github.com/MoonshotAI/Kimi-K2</t>
  </si>
  <si>
    <r>
      <rPr>
        <sz val="11"/>
        <color theme="1"/>
        <rFont val="Calibri"/>
        <family val="2"/>
        <charset val="1"/>
      </rPr>
      <t xml:space="preserve">Moonshot </t>
    </r>
    <r>
      <rPr>
        <sz val="11"/>
        <color theme="1"/>
        <rFont val="Noto Sans CJK SC"/>
        <family val="2"/>
      </rPr>
      <t xml:space="preserve">模型卡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</si>
  <si>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Sol </t>
    </r>
    <r>
      <rPr>
        <sz val="11"/>
        <color theme="1"/>
        <rFont val="Noto Sans CJK SC"/>
        <family val="2"/>
      </rPr>
      <t xml:space="preserve">級對照</t>
    </r>
  </si>
  <si>
    <r>
      <rPr>
        <sz val="11"/>
        <color theme="1"/>
        <rFont val="Calibri"/>
        <family val="2"/>
        <charset val="1"/>
      </rPr>
      <t xml:space="preserve">gpt-oss-120b</t>
    </r>
    <r>
      <rPr>
        <sz val="11"/>
        <color theme="1"/>
        <rFont val="Noto Sans CJK SC"/>
        <family val="2"/>
      </rPr>
      <t xml:space="preserve">：總 </t>
    </r>
    <r>
      <rPr>
        <sz val="11"/>
        <color theme="1"/>
        <rFont val="Calibri"/>
        <family val="2"/>
        <charset val="1"/>
      </rPr>
      <t xml:space="preserve">117B</t>
    </r>
    <r>
      <rPr>
        <sz val="11"/>
        <color theme="1"/>
        <rFont val="Noto Sans CJK SC"/>
        <family val="2"/>
      </rPr>
      <t xml:space="preserve">／啟用 </t>
    </r>
    <r>
      <rPr>
        <sz val="11"/>
        <color theme="1"/>
        <rFont val="Calibri"/>
        <family val="2"/>
        <charset val="1"/>
      </rPr>
      <t xml:space="preserve">5.1B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gpt-oss-20b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3.6B</t>
    </r>
  </si>
  <si>
    <t xml:space="preserve">2025-08-05</t>
  </si>
  <si>
    <t xml:space="preserve">https://openai.com/index/introducing-gpt-oss/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</si>
  <si>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開放權重模型卡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</si>
  <si>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自家小模型的啟用參數量級（</t>
    </r>
    <r>
      <rPr>
        <sz val="11"/>
        <color theme="1"/>
        <rFont val="Calibri"/>
        <family val="2"/>
        <charset val="1"/>
      </rPr>
      <t xml:space="preserve">Luna </t>
    </r>
    <r>
      <rPr>
        <sz val="11"/>
        <color theme="1"/>
        <rFont val="Noto Sans CJK SC"/>
        <family val="2"/>
      </rPr>
      <t xml:space="preserve">級對照）</t>
    </r>
  </si>
  <si>
    <r>
      <rPr>
        <sz val="11"/>
        <color theme="1"/>
        <rFont val="Calibri"/>
        <family val="2"/>
        <charset val="1"/>
      </rPr>
      <t xml:space="preserve">Kimi K3</t>
    </r>
    <r>
      <rPr>
        <sz val="11"/>
        <color theme="1"/>
        <rFont val="Noto Sans CJK SC"/>
        <family val="2"/>
      </rPr>
      <t xml:space="preserve">：總 </t>
    </r>
    <r>
      <rPr>
        <sz val="11"/>
        <color theme="1"/>
        <rFont val="Calibri"/>
        <family val="2"/>
        <charset val="1"/>
      </rPr>
      <t xml:space="preserve">2.8T</t>
    </r>
    <r>
      <rPr>
        <sz val="11"/>
        <color theme="1"/>
        <rFont val="Noto Sans CJK SC"/>
        <family val="2"/>
      </rPr>
      <t xml:space="preserve">／啟用 </t>
    </r>
    <r>
      <rPr>
        <sz val="11"/>
        <color theme="1"/>
        <rFont val="Calibri"/>
        <family val="2"/>
        <charset val="1"/>
      </rPr>
      <t xml:space="preserve">104B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896 </t>
    </r>
    <r>
      <rPr>
        <sz val="11"/>
        <color theme="1"/>
        <rFont val="Noto Sans CJK SC"/>
        <family val="2"/>
      </rPr>
      <t xml:space="preserve">專家，每 </t>
    </r>
    <r>
      <rPr>
        <sz val="11"/>
        <color theme="1"/>
        <rFont val="Calibri"/>
        <family val="2"/>
        <charset val="1"/>
      </rPr>
      <t xml:space="preserve">token 16 </t>
    </r>
    <r>
      <rPr>
        <sz val="11"/>
        <color theme="1"/>
        <rFont val="Noto Sans CJK SC"/>
        <family val="2"/>
      </rPr>
      <t xml:space="preserve">路由＋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共享）</t>
    </r>
  </si>
  <si>
    <r>
      <rPr>
        <sz val="11"/>
        <color theme="1"/>
        <rFont val="Calibri"/>
        <family val="2"/>
        <charset val="1"/>
      </rPr>
      <t xml:space="preserve">2026-07-16</t>
    </r>
    <r>
      <rPr>
        <sz val="11"/>
        <color theme="1"/>
        <rFont val="Noto Sans CJK SC"/>
        <family val="2"/>
      </rPr>
      <t xml:space="preserve">（權重 </t>
    </r>
    <r>
      <rPr>
        <sz val="11"/>
        <color theme="1"/>
        <rFont val="Calibri"/>
        <family val="2"/>
        <charset val="1"/>
      </rPr>
      <t xml:space="preserve">07-27</t>
    </r>
    <r>
      <rPr>
        <sz val="11"/>
        <color theme="1"/>
        <rFont val="Noto Sans CJK SC"/>
        <family val="2"/>
      </rPr>
      <t xml:space="preserve">）</t>
    </r>
  </si>
  <si>
    <t xml:space="preserve">https://www.spheron.network/blog/deploy-kimi-k3-gpu-cloud/</t>
  </si>
  <si>
    <r>
      <rPr>
        <sz val="11"/>
        <color theme="1"/>
        <rFont val="Calibri"/>
        <family val="2"/>
        <charset val="1"/>
      </rPr>
      <t xml:space="preserve">Spheron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租賃商；有推廣部署的動機）</t>
    </r>
  </si>
  <si>
    <r>
      <rPr>
        <sz val="11"/>
        <color theme="1"/>
        <rFont val="Noto Sans CJK SC"/>
        <family val="2"/>
      </rPr>
      <t xml:space="preserve">是（</t>
    </r>
    <r>
      <rPr>
        <sz val="11"/>
        <color theme="1"/>
        <rFont val="Calibri"/>
        <family val="2"/>
        <charset val="1"/>
      </rPr>
      <t xml:space="preserve">claudelog </t>
    </r>
    <r>
      <rPr>
        <sz val="11"/>
        <color theme="1"/>
        <rFont val="Noto Sans CJK SC"/>
        <family val="2"/>
      </rPr>
      <t xml:space="preserve">也稱 </t>
    </r>
    <r>
      <rPr>
        <sz val="11"/>
        <color theme="1"/>
        <rFont val="Calibri"/>
        <family val="2"/>
        <charset val="1"/>
      </rPr>
      <t xml:space="preserve">2.8T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896 </t>
    </r>
    <r>
      <rPr>
        <sz val="11"/>
        <color theme="1"/>
        <rFont val="Noto Sans CJK SC"/>
        <family val="2"/>
      </rPr>
      <t xml:space="preserve">專家；未給啟用數）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</si>
  <si>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</si>
  <si>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期開放權重頂端：啟用參數首次明顯上升（</t>
    </r>
    <r>
      <rPr>
        <sz val="11"/>
        <color theme="1"/>
        <rFont val="Calibri"/>
        <family val="2"/>
        <charset val="1"/>
      </rPr>
      <t xml:space="preserve">49B→104B</t>
    </r>
    <r>
      <rPr>
        <sz val="11"/>
        <color theme="1"/>
        <rFont val="Noto Sans CJK SC"/>
        <family val="2"/>
      </rPr>
      <t xml:space="preserve">）；原技術報告頁 </t>
    </r>
    <r>
      <rPr>
        <sz val="11"/>
        <color theme="1"/>
        <rFont val="Calibri"/>
        <family val="2"/>
        <charset val="1"/>
      </rPr>
      <t xml:space="preserve">robots </t>
    </r>
    <r>
      <rPr>
        <sz val="11"/>
        <color theme="1"/>
        <rFont val="Noto Sans CJK SC"/>
        <family val="2"/>
      </rPr>
      <t xml:space="preserve">拒絕</t>
    </r>
  </si>
  <si>
    <r>
      <rPr>
        <sz val="11"/>
        <color theme="1"/>
        <rFont val="Calibri"/>
        <family val="2"/>
        <charset val="1"/>
      </rPr>
      <t xml:space="preserve">DeepSeek V4-Pro 1.6T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49B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V4-Flash 284B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13B</t>
    </r>
  </si>
  <si>
    <t xml:space="preserve">2026</t>
  </si>
  <si>
    <r>
      <rPr>
        <sz val="11"/>
        <color theme="1"/>
        <rFont val="Calibri"/>
        <family val="2"/>
        <charset val="1"/>
      </rPr>
      <t xml:space="preserve">Arch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6–7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S27 </t>
    </r>
    <r>
      <rPr>
        <sz val="11"/>
        <color theme="1"/>
        <rFont val="Noto Sans CJK SC"/>
        <family val="2"/>
      </rPr>
      <t xml:space="preserve">模型卡）</t>
    </r>
  </si>
  <si>
    <t xml:space="preserve">DeepSeek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</si>
  <si>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v6.1 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</si>
  <si>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Arch </t>
    </r>
    <r>
      <rPr>
        <sz val="11"/>
        <color theme="1"/>
        <rFont val="Noto Sans CJK SC"/>
        <family val="2"/>
      </rPr>
      <t xml:space="preserve">快照的錨點（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期＝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</si>
  <si>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閉源模型的啟用參數（任一世代）</t>
    </r>
  </si>
  <si>
    <r>
      <rPr>
        <sz val="11"/>
        <color theme="1"/>
        <rFont val="Noto Sans CJK SC"/>
        <family val="2"/>
      </rPr>
      <t xml:space="preserve">已搜尋：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arXiv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官方頁、</t>
    </r>
    <r>
      <rPr>
        <sz val="11"/>
        <color theme="1"/>
        <rFont val="Calibri"/>
        <family val="2"/>
        <charset val="1"/>
      </rPr>
      <t xml:space="preserve">the-decoder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lifearchitect </t>
    </r>
    <r>
      <rPr>
        <sz val="11"/>
        <color theme="1"/>
        <rFont val="Noto Sans CJK SC"/>
        <family val="2"/>
      </rPr>
      <t xml:space="preserve">列表</t>
    </r>
  </si>
  <si>
    <t xml:space="preserve">已搜尋，未找到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</si>
  <si>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從未揭露；只有 </t>
    </r>
    <r>
      <rPr>
        <sz val="11"/>
        <color theme="1"/>
        <rFont val="Calibri"/>
        <family val="2"/>
        <charset val="1"/>
      </rPr>
      <t xml:space="preserve">GPT-4 </t>
    </r>
    <r>
      <rPr>
        <sz val="11"/>
        <color theme="1"/>
        <rFont val="Noto Sans CJK SC"/>
        <family val="2"/>
      </rPr>
      <t xml:space="preserve">外洩與總參數的間接估計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</si>
  <si>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）前沿模型規模</t>
    </r>
  </si>
  <si>
    <r>
      <rPr>
        <sz val="11"/>
        <color theme="1"/>
        <rFont val="Noto Sans CJK SC"/>
        <family val="2"/>
      </rPr>
      <t xml:space="preserve">已搜尋：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預測文、上列論文</t>
    </r>
  </si>
  <si>
    <r>
      <rPr>
        <sz val="11"/>
        <color theme="1"/>
        <rFont val="Noto Sans CJK SC"/>
        <family val="2"/>
      </rPr>
      <t xml:space="preserve">已搜尋，未找到（尚未發生，只能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</si>
  <si>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Erdil 2024-12 </t>
    </r>
    <r>
      <rPr>
        <sz val="11"/>
        <color theme="1"/>
        <rFont val="Noto Sans CJK SC"/>
        <family val="2"/>
      </rPr>
      <t xml:space="preserve">的定性預測</t>
    </r>
  </si>
  <si>
    <t xml:space="preserve">Q3</t>
  </si>
  <si>
    <r>
      <rPr>
        <sz val="11"/>
        <color theme="1"/>
        <rFont val="Calibri"/>
        <family val="2"/>
        <charset val="1"/>
      </rPr>
      <t xml:space="preserve">GPT-5.2</t>
    </r>
    <r>
      <rPr>
        <sz val="11"/>
        <color theme="1"/>
        <rFont val="Noto Sans CJK SC"/>
        <family val="2"/>
      </rPr>
      <t xml:space="preserve">「在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基礎設施上訓練與部署，包括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」</t>
    </r>
  </si>
  <si>
    <t xml:space="preserve">定性</t>
  </si>
  <si>
    <t xml:space="preserve">https://blogs.nvidia.com/blog/leading-models-nvidia/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</si>
  <si>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（硬體賣方；動機：展示客戶使用）</t>
    </r>
  </si>
  <si>
    <r>
      <rPr>
        <sz val="11"/>
        <color theme="1"/>
        <rFont val="Noto Sans CJK SC"/>
        <family val="2"/>
      </rPr>
      <t xml:space="preserve">未提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</si>
  <si>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表示 </t>
    </r>
    <r>
      <rPr>
        <sz val="11"/>
        <color theme="1"/>
        <rFont val="Calibri"/>
        <family val="2"/>
        <charset val="1"/>
      </rPr>
      <t xml:space="preserve">GPT-5.2 </t>
    </r>
    <r>
      <rPr>
        <sz val="11"/>
        <color theme="1"/>
        <rFont val="Noto Sans CJK SC"/>
        <family val="2"/>
      </rPr>
      <t xml:space="preserve">訓練採用 </t>
    </r>
    <r>
      <rPr>
        <sz val="11"/>
        <color theme="1"/>
        <rFont val="Calibri"/>
        <family val="2"/>
        <charset val="1"/>
      </rPr>
      <t xml:space="preserve">GB200-NVL72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搭配；「首次使用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」</t>
    </r>
  </si>
  <si>
    <t xml:space="preserve">2025-12-12</t>
  </si>
  <si>
    <t xml:space="preserve">https://technews.tw/2025/12/12/gpt-5-2-gb200/</t>
  </si>
  <si>
    <r>
      <rPr>
        <sz val="11"/>
        <color theme="1"/>
        <rFont val="Noto Sans CJK SC"/>
        <family val="2"/>
      </rPr>
      <t xml:space="preserve">科技新報轉述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</si>
  <si>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Noto Sans CJK SC"/>
        <family val="2"/>
      </rPr>
      <t xml:space="preserve">是（轉述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不同發言者）</t>
    </r>
  </si>
  <si>
    <t xml:space="preserve">僅搜尋結果標題（全文讀取被擋）</t>
  </si>
  <si>
    <r>
      <rPr>
        <sz val="11"/>
        <color theme="1"/>
        <rFont val="Noto Sans CJK SC"/>
        <family val="2"/>
      </rPr>
      <t xml:space="preserve">「首次」若屬實，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月前的訓練（</t>
    </r>
    <r>
      <rPr>
        <sz val="11"/>
        <color theme="1"/>
        <rFont val="Calibri"/>
        <family val="2"/>
        <charset val="1"/>
      </rPr>
      <t xml:space="preserve">GPT-5 </t>
    </r>
    <r>
      <rPr>
        <sz val="11"/>
        <color theme="1"/>
        <rFont val="Noto Sans CJK SC"/>
        <family val="2"/>
      </rPr>
      <t xml:space="preserve">等）以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為主</t>
    </r>
  </si>
  <si>
    <r>
      <rPr>
        <sz val="11"/>
        <color theme="1"/>
        <rFont val="Calibri"/>
        <family val="2"/>
        <charset val="1"/>
      </rPr>
      <t xml:space="preserve">GPT-5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Noto Sans CJK SC"/>
        <family val="2"/>
      </rPr>
      <t xml:space="preserve">）訓練硬體</t>
    </r>
  </si>
  <si>
    <r>
      <rPr>
        <sz val="11"/>
        <color theme="1"/>
        <rFont val="Noto Sans CJK SC"/>
        <family val="2"/>
      </rPr>
      <t xml:space="preserve">已搜尋：</t>
    </r>
    <r>
      <rPr>
        <sz val="11"/>
        <color theme="1"/>
        <rFont val="Calibri"/>
        <family val="2"/>
        <charset val="1"/>
      </rPr>
      <t xml:space="preserve">OpenAI GPT-5 </t>
    </r>
    <r>
      <rPr>
        <sz val="11"/>
        <color theme="1"/>
        <rFont val="Noto Sans CJK SC"/>
        <family val="2"/>
      </rPr>
      <t xml:space="preserve">開發者頁、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部落格、</t>
    </r>
    <r>
      <rPr>
        <sz val="11"/>
        <color theme="1"/>
        <rFont val="Calibri"/>
        <family val="2"/>
        <charset val="1"/>
      </rPr>
      <t xml:space="preserve">Manifold </t>
    </r>
    <r>
      <rPr>
        <sz val="11"/>
        <color theme="1"/>
        <rFont val="Noto Sans CJK SC"/>
        <family val="2"/>
      </rPr>
      <t xml:space="preserve">問題頁、</t>
    </r>
    <r>
      <rPr>
        <sz val="11"/>
        <color theme="1"/>
        <rFont val="Calibri"/>
        <family val="2"/>
        <charset val="1"/>
      </rPr>
      <t xml:space="preserve">michaelparekh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</si>
  <si>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未揭露</t>
    </r>
  </si>
  <si>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起交付；</t>
    </r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Q3 105 MW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211 MW IT</t>
    </r>
  </si>
  <si>
    <t xml:space="preserve">MW IT</t>
  </si>
  <si>
    <t xml:space="preserve">https://epoch.ai/data/ai-data-centers/directory/openai-stargate-abilene</t>
  </si>
  <si>
    <t xml:space="preserve">Derived</t>
  </si>
  <si>
    <t xml:space="preserve">Epoch AI</t>
  </si>
  <si>
    <r>
      <rPr>
        <sz val="11"/>
        <color theme="1"/>
        <rFont val="Noto Sans CJK SC"/>
        <family val="2"/>
      </rPr>
      <t xml:space="preserve">是（沿用 </t>
    </r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Noto Sans CJK SC"/>
        <family val="2"/>
      </rPr>
      <t xml:space="preserve">證據表）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</si>
  <si>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3A</t>
    </r>
  </si>
  <si>
    <t xml:space="preserve">研發與服務的分配：已搜尋，未找到</t>
  </si>
  <si>
    <r>
      <rPr>
        <sz val="11"/>
        <color theme="1"/>
        <rFont val="Calibri"/>
        <family val="2"/>
        <charset val="1"/>
      </rPr>
      <t xml:space="preserve">GPT-6 Astra </t>
    </r>
    <r>
      <rPr>
        <sz val="11"/>
        <color theme="1"/>
        <rFont val="Noto Sans CJK SC"/>
        <family val="2"/>
      </rPr>
      <t xml:space="preserve">最大預訓練使用 </t>
    </r>
    <r>
      <rPr>
        <sz val="11"/>
        <color theme="1"/>
        <rFont val="Calibri"/>
        <family val="2"/>
        <charset val="1"/>
      </rPr>
      <t xml:space="preserve">&gt;10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德州），約 </t>
    </r>
    <r>
      <rPr>
        <sz val="11"/>
        <color theme="1"/>
        <rFont val="Calibri"/>
        <family val="2"/>
        <charset val="1"/>
      </rPr>
      <t xml:space="preserve">200–250 MW IT</t>
    </r>
  </si>
  <si>
    <r>
      <rPr>
        <sz val="11"/>
        <color theme="1"/>
        <rFont val="Noto Sans CJK SC"/>
        <family val="2"/>
      </rPr>
      <t xml:space="preserve">顆數；</t>
    </r>
    <r>
      <rPr>
        <sz val="11"/>
        <color theme="1"/>
        <rFont val="Calibri"/>
        <family val="2"/>
        <charset val="1"/>
      </rPr>
      <t xml:space="preserve">MW</t>
    </r>
  </si>
  <si>
    <t xml:space="preserve">2026-09-04</t>
  </si>
  <si>
    <t xml:space="preserve">https://legrandcontinent.eu/fr/2026/09/04/avec-astra-la-boite-noire-dopenai-devient-encore-plus-noire/</t>
  </si>
  <si>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研究副總 </t>
    </r>
    <r>
      <rPr>
        <sz val="11"/>
        <color theme="1"/>
        <rFont val="Calibri"/>
        <family val="2"/>
        <charset val="1"/>
      </rPr>
      <t xml:space="preserve">Aidan Clark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有展示規模的動機</t>
    </r>
  </si>
  <si>
    <r>
      <rPr>
        <sz val="11"/>
        <color theme="1"/>
        <rFont val="Noto Sans CJK SC"/>
        <family val="2"/>
      </rPr>
      <t xml:space="preserve">是（與 </t>
    </r>
    <r>
      <rPr>
        <sz val="11"/>
        <color theme="1"/>
        <rFont val="Calibri"/>
        <family val="2"/>
        <charset val="1"/>
      </rPr>
      <t xml:space="preserve">PC Gamer </t>
    </r>
    <r>
      <rPr>
        <sz val="11"/>
        <color theme="1"/>
        <rFont val="Noto Sans CJK SC"/>
        <family val="2"/>
      </rPr>
      <t xml:space="preserve">轉述的 </t>
    </r>
    <r>
      <rPr>
        <sz val="11"/>
        <color theme="1"/>
        <rFont val="Calibri"/>
        <family val="2"/>
        <charset val="1"/>
      </rPr>
      <t xml:space="preserve">Huang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Brockman </t>
    </r>
    <r>
      <rPr>
        <sz val="11"/>
        <color theme="1"/>
        <rFont val="Noto Sans CJK SC"/>
        <family val="2"/>
      </rPr>
      <t xml:space="preserve">不同發言者）</t>
    </r>
  </si>
  <si>
    <r>
      <rPr>
        <sz val="11"/>
        <color theme="1"/>
        <rFont val="Noto Sans CJK SC"/>
        <family val="2"/>
      </rPr>
      <t xml:space="preserve">表示 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至少有一段時間整批用於研發（預訓練），時點約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年底至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</si>
  <si>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~100K+ Grace Blackwell NVLink72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Brockman</t>
    </r>
    <r>
      <rPr>
        <sz val="11"/>
        <color theme="1"/>
        <rFont val="Noto Sans CJK SC"/>
        <family val="2"/>
      </rPr>
      <t xml:space="preserve">：「第一個超過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的訓練」</t>
    </r>
  </si>
  <si>
    <t xml:space="preserve">2026-09-07</t>
  </si>
  <si>
    <t xml:space="preserve">https://pcgamer.com/software/ai/jensen-huang-says-100-000-nvidia-gpus-were-used-to-train-openais-latest-model-gpt-6-astra-and-theres-already-plans-to-bring-quadruple-that-amount-of-hardware-online</t>
  </si>
  <si>
    <r>
      <rPr>
        <sz val="11"/>
        <color theme="1"/>
        <rFont val="Calibri"/>
        <family val="2"/>
        <charset val="1"/>
      </rPr>
      <t xml:space="preserve">NVIDIA CEO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總裁</t>
    </r>
  </si>
  <si>
    <t xml:space="preserve">未給訓練期間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</si>
  <si>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全年平均機隊組合 </t>
    </r>
    <r>
      <rPr>
        <sz val="11"/>
        <color theme="1"/>
        <rFont val="Calibri"/>
        <family val="2"/>
        <charset val="1"/>
      </rPr>
      <t xml:space="preserve">Hopper 59%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 36%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</si>
  <si>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docs/evidence/20261015_</t>
    </r>
    <r>
      <rPr>
        <sz val="11"/>
        <color theme="1"/>
        <rFont val="Noto Sans CJK SC"/>
        <family val="2"/>
      </rPr>
      <t xml:space="preserve">稽核修正</t>
    </r>
    <r>
      <rPr>
        <sz val="11"/>
        <color theme="1"/>
        <rFont val="Calibri"/>
        <family val="2"/>
        <charset val="1"/>
      </rPr>
      <t xml:space="preserve">3A/</t>
    </r>
    <r>
      <rPr>
        <sz val="11"/>
        <color theme="1"/>
        <rFont val="Noto Sans CJK SC"/>
        <family val="2"/>
      </rPr>
      <t xml:space="preserve">證據表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</si>
  <si>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Noto Sans CJK SC"/>
        <family val="2"/>
      </rPr>
      <t xml:space="preserve">代理推導</t>
    </r>
  </si>
  <si>
    <t xml:space="preserve">本段研發組合以此為起點，再依「最新硬體優先給訓練」調整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</si>
  <si>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premium hardware </t>
    </r>
    <r>
      <rPr>
        <sz val="11"/>
        <color theme="1"/>
        <rFont val="Noto Sans CJK SC"/>
        <family val="2"/>
      </rPr>
      <t xml:space="preserve">用於最吃能力的訓練；高流量工作用較低成本基礎設施</t>
    </r>
  </si>
  <si>
    <t xml:space="preserve">2026-01</t>
  </si>
  <si>
    <t xml:space="preserve">https://openai.com/index/a-business-that-scales-with-the-value-of-intelligence/</t>
  </si>
  <si>
    <t xml:space="preserve">OpenAI CFO</t>
  </si>
  <si>
    <t xml:space="preserve">研發偏新世代的方向依據</t>
  </si>
  <si>
    <r>
      <rPr>
        <sz val="11"/>
        <color theme="1"/>
        <rFont val="Calibri"/>
        <family val="2"/>
        <charset val="1"/>
      </rPr>
      <t xml:space="preserve">Azure GB300 NVL72 4,600 </t>
    </r>
    <r>
      <rPr>
        <sz val="11"/>
        <color theme="1"/>
        <rFont val="Noto Sans CJK SC"/>
        <family val="2"/>
      </rPr>
      <t xml:space="preserve">座以上，「</t>
    </r>
    <r>
      <rPr>
        <sz val="11"/>
        <color theme="1"/>
        <rFont val="Calibri"/>
        <family val="2"/>
        <charset val="1"/>
      </rPr>
      <t xml:space="preserve">for OpenAI workloads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</t>
    </r>
  </si>
  <si>
    <t xml:space="preserve">機架</t>
  </si>
  <si>
    <t xml:space="preserve">2025-10-09</t>
  </si>
  <si>
    <t xml:space="preserve">https://azure.microsoft.com/en-us/blog/microsoft-azure-delivers-the-first-large-scale-cluster-with-nvidia-gb300-nvl72-for-openai-workloads/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</si>
  <si>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</si>
  <si>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3A</t>
    </r>
    <r>
      <rPr>
        <sz val="11"/>
        <color theme="1"/>
        <rFont val="Noto Sans CJK SC"/>
        <family val="2"/>
      </rPr>
      <t xml:space="preserve">；本段重讀被擋</t>
    </r>
  </si>
  <si>
    <r>
      <rPr>
        <sz val="11"/>
        <color theme="1"/>
        <rFont val="Noto Sans CJK SC"/>
        <family val="2"/>
      </rPr>
      <t xml:space="preserve">用途（訓練或推論）與上線時程文章未分；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年最多只有第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</si>
  <si>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與服務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的硬體分配</t>
    </r>
  </si>
  <si>
    <r>
      <rPr>
        <sz val="11"/>
        <color theme="1"/>
        <rFont val="Noto Sans CJK SC"/>
        <family val="2"/>
      </rPr>
      <t xml:space="preserve">已搜尋：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部落格</t>
    </r>
  </si>
  <si>
    <t xml:space="preserve">Q4</t>
  </si>
  <si>
    <r>
      <rPr>
        <sz val="11"/>
        <color theme="1"/>
        <rFont val="Calibri"/>
        <family val="2"/>
        <charset val="1"/>
      </rPr>
      <t xml:space="preserve">GPT-6 Astra </t>
    </r>
    <r>
      <rPr>
        <sz val="11"/>
        <color theme="1"/>
        <rFont val="Noto Sans CJK SC"/>
        <family val="2"/>
      </rPr>
      <t xml:space="preserve">訓練算力 </t>
    </r>
    <r>
      <rPr>
        <sz val="11"/>
        <color theme="1"/>
        <rFont val="Calibri"/>
        <family val="2"/>
        <charset val="1"/>
      </rPr>
      <t xml:space="preserve">1.0001e27 FLOP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5e26–2e27</t>
    </r>
    <r>
      <rPr>
        <sz val="11"/>
        <color theme="1"/>
        <rFont val="Noto Sans CJK SC"/>
        <family val="2"/>
      </rPr>
      <t xml:space="preserve">）；≥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GB200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 </t>
    </r>
    <r>
      <rPr>
        <sz val="11"/>
        <color theme="1"/>
        <rFont val="Calibri"/>
        <family val="2"/>
        <charset val="1"/>
      </rPr>
      <t xml:space="preserve">× FP8 MFU 25%</t>
    </r>
    <r>
      <rPr>
        <sz val="11"/>
        <color theme="1"/>
        <rFont val="Noto Sans CJK SC"/>
        <family val="2"/>
      </rPr>
      <t xml:space="preserve">；信度 </t>
    </r>
    <r>
      <rPr>
        <sz val="11"/>
        <color theme="1"/>
        <rFont val="Calibri"/>
        <family val="2"/>
        <charset val="1"/>
      </rPr>
      <t xml:space="preserve">Likely</t>
    </r>
  </si>
  <si>
    <r>
      <rPr>
        <sz val="11"/>
        <color theme="1"/>
        <rFont val="Calibri"/>
        <family val="2"/>
        <charset val="1"/>
      </rPr>
      <t xml:space="preserve">FLOP</t>
    </r>
    <r>
      <rPr>
        <sz val="11"/>
        <color theme="1"/>
        <rFont val="Noto Sans CJK SC"/>
        <family val="2"/>
      </rPr>
      <t xml:space="preserve">，訓練總算力（硬體推估）</t>
    </r>
  </si>
  <si>
    <t xml:space="preserve">2026-09-03</t>
  </si>
  <si>
    <t xml:space="preserve">https://epoch.ai/data/frontier_ai_models.csv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</si>
  <si>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（獨立研究；硬體數字轉述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</si>
  <si>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v5.25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v5.27 </t>
    </r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CC 2026-10-07 </t>
    </r>
    <r>
      <rPr>
        <sz val="11"/>
        <color theme="1"/>
        <rFont val="Noto Sans CJK SC"/>
        <family val="2"/>
      </rPr>
      <t xml:space="preserve">讀 </t>
    </r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Noto Sans CJK SC"/>
        <family val="2"/>
      </rPr>
      <t xml:space="preserve">核對）；本段 </t>
    </r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Noto Sans CJK SC"/>
        <family val="2"/>
      </rPr>
      <t xml:space="preserve">讀取被擋</t>
    </r>
  </si>
  <si>
    <t xml:space="preserve">口徑是「該訓練期間整個叢集的算力」，不分預訓練與後訓練</t>
  </si>
  <si>
    <r>
      <rPr>
        <sz val="11"/>
        <color theme="1"/>
        <rFont val="Noto Sans CJK SC"/>
        <family val="2"/>
      </rPr>
      <t xml:space="preserve">重建：</t>
    </r>
    <r>
      <rPr>
        <sz val="11"/>
        <color theme="1"/>
        <rFont val="Calibri"/>
        <family val="2"/>
        <charset val="1"/>
      </rPr>
      <t xml:space="preserve">1e5 × 5e15 FLOP/s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FP8 </t>
    </r>
    <r>
      <rPr>
        <sz val="11"/>
        <color theme="1"/>
        <rFont val="Noto Sans CJK SC"/>
        <family val="2"/>
      </rPr>
      <t xml:space="preserve">稠密）</t>
    </r>
    <r>
      <rPr>
        <sz val="11"/>
        <color theme="1"/>
        <rFont val="Calibri"/>
        <family val="2"/>
        <charset val="1"/>
      </rPr>
      <t xml:space="preserve">× 0.25 × 90 </t>
    </r>
    <r>
      <rPr>
        <sz val="11"/>
        <color theme="1"/>
        <rFont val="Noto Sans CJK SC"/>
        <family val="2"/>
      </rPr>
      <t xml:space="preserve">天 </t>
    </r>
    <r>
      <rPr>
        <sz val="11"/>
        <color theme="1"/>
        <rFont val="Calibri"/>
        <family val="2"/>
        <charset val="1"/>
      </rPr>
      <t xml:space="preserve">× 86,400 </t>
    </r>
    <r>
      <rPr>
        <sz val="11"/>
        <color theme="1"/>
        <rFont val="Noto Sans CJK SC"/>
        <family val="2"/>
      </rPr>
      <t xml:space="preserve">秒＝</t>
    </r>
    <r>
      <rPr>
        <sz val="11"/>
        <color theme="1"/>
        <rFont val="Calibri"/>
        <family val="2"/>
        <charset val="1"/>
      </rPr>
      <t xml:space="preserve">9.7e26</t>
    </r>
  </si>
  <si>
    <t xml:space="preserve">FLOP</t>
  </si>
  <si>
    <r>
      <rPr>
        <sz val="11"/>
        <color theme="1"/>
        <rFont val="Noto Sans CJK SC"/>
        <family val="2"/>
      </rPr>
      <t xml:space="preserve">本報告第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</t>
    </r>
  </si>
  <si>
    <t xml:space="preserve">本代理</t>
  </si>
  <si>
    <t xml:space="preserve">不適用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</si>
  <si>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1.0e27 </t>
    </r>
    <r>
      <rPr>
        <sz val="11"/>
        <color theme="1"/>
        <rFont val="Noto Sans CJK SC"/>
        <family val="2"/>
      </rPr>
      <t xml:space="preserve">一致，確認輸入為硬體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時間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利用率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</si>
  <si>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估計方法：晶片時間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FLOP/s × </t>
    </r>
    <r>
      <rPr>
        <sz val="11"/>
        <color theme="1"/>
        <rFont val="Noto Sans CJK SC"/>
        <family val="2"/>
      </rPr>
      <t xml:space="preserve">利用率；大型分散式訓練典型 </t>
    </r>
    <r>
      <rPr>
        <sz val="11"/>
        <color theme="1"/>
        <rFont val="Calibri"/>
        <family val="2"/>
        <charset val="1"/>
      </rPr>
      <t xml:space="preserve">30%–50%</t>
    </r>
  </si>
  <si>
    <t xml:space="preserve">方法</t>
  </si>
  <si>
    <t xml:space="preserve">https://epoch.ai/data/ai-models-documentation/estimation</t>
  </si>
  <si>
    <r>
      <rPr>
        <sz val="11"/>
        <color theme="1"/>
        <rFont val="Noto Sans CJK SC"/>
        <family val="2"/>
      </rPr>
      <t xml:space="preserve">文件未特別說明 </t>
    </r>
    <r>
      <rPr>
        <sz val="11"/>
        <color theme="1"/>
        <rFont val="Calibri"/>
        <family val="2"/>
        <charset val="1"/>
      </rPr>
      <t xml:space="preserve">RL</t>
    </r>
    <r>
      <rPr>
        <sz val="11"/>
        <color theme="1"/>
        <rFont val="Noto Sans CJK SC"/>
        <family val="2"/>
      </rPr>
      <t xml:space="preserve">／後訓練如何計入</t>
    </r>
  </si>
  <si>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GPT-5 </t>
    </r>
    <r>
      <rPr>
        <sz val="11"/>
        <color theme="1"/>
        <rFont val="Noto Sans CJK SC"/>
        <family val="2"/>
      </rPr>
      <t xml:space="preserve">預訓練算力可能少於 </t>
    </r>
    <r>
      <rPr>
        <sz val="11"/>
        <color theme="1"/>
        <rFont val="Calibri"/>
        <family val="2"/>
        <charset val="1"/>
      </rPr>
      <t xml:space="preserve">GPT-4.5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GPT-6 </t>
    </r>
    <r>
      <rPr>
        <sz val="11"/>
        <color theme="1"/>
        <rFont val="Noto Sans CJK SC"/>
        <family val="2"/>
      </rPr>
      <t xml:space="preserve">可能需要更多訓練算力</t>
    </r>
  </si>
  <si>
    <t xml:space="preserve">2025-09-26</t>
  </si>
  <si>
    <t xml:space="preserve">https://epoch.ai/gradient-updates/why-gpt5-used-less-training-compute-than-gpt45-but-gpt6-probably-wont</t>
  </si>
  <si>
    <r>
      <rPr>
        <sz val="11"/>
        <color theme="1"/>
        <rFont val="Calibri"/>
        <family val="2"/>
        <charset val="1"/>
      </rPr>
      <t xml:space="preserve">GPT-4.5 </t>
    </r>
    <r>
      <rPr>
        <sz val="11"/>
        <color theme="1"/>
        <rFont val="Noto Sans CJK SC"/>
        <family val="2"/>
      </rPr>
      <t xml:space="preserve">預訓練約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億美元（估）</t>
    </r>
  </si>
  <si>
    <r>
      <rPr>
        <sz val="11"/>
        <color theme="1"/>
        <rFont val="Calibri"/>
        <family val="2"/>
        <charset val="1"/>
      </rPr>
      <t xml:space="preserve">GPT-6 Astra </t>
    </r>
    <r>
      <rPr>
        <sz val="11"/>
        <color theme="1"/>
        <rFont val="Noto Sans CJK SC"/>
        <family val="2"/>
      </rPr>
      <t xml:space="preserve">訓練算力的第二個獨立估計</t>
    </r>
  </si>
  <si>
    <r>
      <rPr>
        <sz val="11"/>
        <color theme="1"/>
        <rFont val="Noto Sans CJK SC"/>
        <family val="2"/>
      </rPr>
      <t xml:space="preserve">已搜尋：</t>
    </r>
    <r>
      <rPr>
        <sz val="11"/>
        <color theme="1"/>
        <rFont val="Calibri"/>
        <family val="2"/>
        <charset val="1"/>
      </rPr>
      <t xml:space="preserve">WebSearch</t>
    </r>
    <r>
      <rPr>
        <sz val="11"/>
        <color theme="1"/>
        <rFont val="Noto Sans CJK SC"/>
        <family val="2"/>
      </rPr>
      <t xml:space="preserve">（三組關鍵字）、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模型頁（無資料）、</t>
    </r>
    <r>
      <rPr>
        <sz val="11"/>
        <color theme="1"/>
        <rFont val="Calibri"/>
        <family val="2"/>
        <charset val="1"/>
      </rPr>
      <t xml:space="preserve">PC Gamer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legrandcontinent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techloy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levelup </t>
    </r>
    <r>
      <rPr>
        <sz val="11"/>
        <color theme="1"/>
        <rFont val="Noto Sans CJK SC"/>
        <family val="2"/>
      </rPr>
      <t xml:space="preserve">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</si>
  <si>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模型頁 </t>
    </r>
    <r>
      <rPr>
        <sz val="11"/>
        <color theme="1"/>
        <rFont val="Calibri"/>
        <family val="2"/>
        <charset val="1"/>
      </rPr>
      <t xml:space="preserve">https://epoch.ai/models/gpt-6-astra </t>
    </r>
    <r>
      <rPr>
        <sz val="11"/>
        <color theme="1"/>
        <rFont val="Noto Sans CJK SC"/>
        <family val="2"/>
      </rPr>
      <t xml:space="preserve">無訓練欄位；</t>
    </r>
    <r>
      <rPr>
        <sz val="11"/>
        <color theme="1"/>
        <rFont val="Calibri"/>
        <family val="2"/>
        <charset val="1"/>
      </rPr>
      <t xml:space="preserve">notes-on-gpt-5 </t>
    </r>
    <r>
      <rPr>
        <sz val="11"/>
        <color theme="1"/>
        <rFont val="Noto Sans CJK SC"/>
        <family val="2"/>
      </rPr>
      <t xml:space="preserve">文讀取被擋</t>
    </r>
  </si>
  <si>
    <r>
      <rPr>
        <sz val="11"/>
        <color theme="1"/>
        <rFont val="Calibri"/>
        <family val="2"/>
        <charset val="1"/>
      </rPr>
      <t xml:space="preserve">Brockman</t>
    </r>
    <r>
      <rPr>
        <sz val="11"/>
        <color theme="1"/>
        <rFont val="Noto Sans CJK SC"/>
        <family val="2"/>
      </rPr>
      <t xml:space="preserve">：「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Noto Sans CJK SC"/>
        <family val="2"/>
      </rPr>
      <t xml:space="preserve">很大一部分算力用在安全與對齊」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</si>
  <si>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總裁</t>
    </r>
  </si>
  <si>
    <r>
      <rPr>
        <sz val="11"/>
        <color theme="1"/>
        <rFont val="Noto Sans CJK SC"/>
        <family val="2"/>
      </rPr>
      <t xml:space="preserve">支持「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總算力中有可觀的後訓練占比」</t>
    </r>
  </si>
  <si>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Noto Sans CJK SC"/>
        <family val="2"/>
      </rPr>
      <t xml:space="preserve">可能用 </t>
    </r>
    <r>
      <rPr>
        <sz val="11"/>
        <color theme="1"/>
        <rFont val="Calibri"/>
        <family val="2"/>
        <charset val="1"/>
      </rPr>
      <t xml:space="preserve">recurrent depth</t>
    </r>
    <r>
      <rPr>
        <sz val="11"/>
        <color theme="1"/>
        <rFont val="Noto Sans CJK SC"/>
        <family val="2"/>
      </rPr>
      <t xml:space="preserve">（重複使用區塊）；</t>
    </r>
    <r>
      <rPr>
        <sz val="11"/>
        <color theme="1"/>
        <rFont val="Calibri"/>
        <family val="2"/>
        <charset val="1"/>
      </rPr>
      <t xml:space="preserve">Pachocki</t>
    </r>
    <r>
      <rPr>
        <sz val="11"/>
        <color theme="1"/>
        <rFont val="Noto Sans CJK SC"/>
        <family val="2"/>
      </rPr>
      <t xml:space="preserve">：計算深度在 </t>
    </r>
    <r>
      <rPr>
        <sz val="11"/>
        <color theme="1"/>
        <rFont val="Calibri"/>
        <family val="2"/>
        <charset val="1"/>
      </rPr>
      <t xml:space="preserve">GPT-4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倍以內</t>
    </r>
  </si>
  <si>
    <r>
      <rPr>
        <sz val="11"/>
        <color theme="1"/>
        <rFont val="Noto Sans CJK SC"/>
        <family val="2"/>
      </rPr>
      <t xml:space="preserve">未證實報導；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首席科學家</t>
    </r>
  </si>
  <si>
    <r>
      <rPr>
        <sz val="11"/>
        <color theme="1"/>
        <rFont val="Noto Sans CJK SC"/>
        <family val="2"/>
      </rPr>
      <t xml:space="preserve">若屬實，每 </t>
    </r>
    <r>
      <rPr>
        <sz val="11"/>
        <color theme="1"/>
        <rFont val="Calibri"/>
        <family val="2"/>
        <charset val="1"/>
      </rPr>
      <t xml:space="preserve">token FLOP </t>
    </r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參數，</t>
    </r>
    <r>
      <rPr>
        <sz val="11"/>
        <color theme="1"/>
        <rFont val="Calibri"/>
        <family val="2"/>
        <charset val="1"/>
      </rPr>
      <t xml:space="preserve">6ND </t>
    </r>
    <r>
      <rPr>
        <sz val="11"/>
        <color theme="1"/>
        <rFont val="Noto Sans CJK SC"/>
        <family val="2"/>
      </rPr>
      <t xml:space="preserve">拆解會高估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</si>
  <si>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公開人類文字有效存量約 </t>
    </r>
    <r>
      <rPr>
        <sz val="11"/>
        <color theme="1"/>
        <rFont val="Calibri"/>
        <family val="2"/>
        <charset val="1"/>
      </rPr>
      <t xml:space="preserve">300T 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100T–1000T</t>
    </r>
    <r>
      <rPr>
        <sz val="11"/>
        <color theme="1"/>
        <rFont val="Noto Sans CJK SC"/>
        <family val="2"/>
      </rPr>
      <t xml:space="preserve">）；可重複數個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使有效存量擴大 </t>
    </r>
    <r>
      <rPr>
        <sz val="11"/>
        <color theme="1"/>
        <rFont val="Calibri"/>
        <family val="2"/>
        <charset val="1"/>
      </rPr>
      <t xml:space="preserve">2–5 </t>
    </r>
    <r>
      <rPr>
        <sz val="11"/>
        <color theme="1"/>
        <rFont val="Noto Sans CJK SC"/>
        <family val="2"/>
      </rPr>
      <t xml:space="preserve">倍</t>
    </r>
  </si>
  <si>
    <t xml:space="preserve">token</t>
  </si>
  <si>
    <t xml:space="preserve">2024</t>
  </si>
  <si>
    <t xml:space="preserve">https://epoch.ai/blog/will-we-run-out-of-data-limits-of-llm-scaling-based-on-human-generated-data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</si>
  <si>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Villalobos </t>
    </r>
    <r>
      <rPr>
        <sz val="11"/>
        <color theme="1"/>
        <rFont val="Noto Sans CJK SC"/>
        <family val="2"/>
      </rPr>
      <t xml:space="preserve">等）</t>
    </r>
  </si>
  <si>
    <t xml:space="preserve">物理合理性比較基準</t>
  </si>
  <si>
    <r>
      <rPr>
        <sz val="11"/>
        <color theme="1"/>
        <rFont val="Noto Sans CJK SC"/>
        <family val="2"/>
      </rPr>
      <t xml:space="preserve">已揭露最大預訓練資料：</t>
    </r>
    <r>
      <rPr>
        <sz val="11"/>
        <color theme="1"/>
        <rFont val="Calibri"/>
        <family val="2"/>
        <charset val="1"/>
      </rPr>
      <t xml:space="preserve">Qwen3 36T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DeepSeek-V3 14.8T</t>
    </r>
  </si>
  <si>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2024-12</t>
    </r>
  </si>
  <si>
    <t xml:space="preserve">模型開發者自揭</t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</si>
  <si>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60T </t>
    </r>
    <r>
      <rPr>
        <sz val="11"/>
        <color theme="1"/>
        <rFont val="Noto Sans CJK SC"/>
        <family val="2"/>
      </rPr>
      <t xml:space="preserve">已高於所有公開揭露值</t>
    </r>
  </si>
  <si>
    <r>
      <rPr>
        <sz val="11"/>
        <color theme="1"/>
        <rFont val="Noto Sans CJK SC"/>
        <family val="2"/>
      </rPr>
      <t xml:space="preserve">參考請求設定（與 </t>
    </r>
    <r>
      <rPr>
        <sz val="11"/>
        <color theme="1"/>
        <rFont val="Calibri"/>
        <family val="2"/>
        <charset val="1"/>
      </rPr>
      <t xml:space="preserve">Cap_In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Price_Frontier </t>
    </r>
    <r>
      <rPr>
        <sz val="11"/>
        <color theme="1"/>
        <rFont val="Noto Sans CJK SC"/>
        <family val="2"/>
      </rPr>
      <t xml:space="preserve">相同）</t>
    </r>
  </si>
  <si>
    <t xml:space="preserve">ISL</t>
  </si>
  <si>
    <t xml:space="preserve">OSL</t>
  </si>
  <si>
    <r>
      <rPr>
        <sz val="11"/>
        <color theme="1"/>
        <rFont val="Noto Sans CJK SC"/>
        <family val="2"/>
      </rPr>
      <t xml:space="preserve">快取命中 </t>
    </r>
    <r>
      <rPr>
        <sz val="11"/>
        <color theme="1"/>
        <rFont val="Calibri"/>
        <family val="2"/>
        <charset val="1"/>
      </rPr>
      <t xml:space="preserve">χ</t>
    </r>
  </si>
  <si>
    <t xml:space="preserve">有效折扣</t>
  </si>
  <si>
    <t xml:space="preserve">層級讀法</t>
  </si>
  <si>
    <t xml:space="preserve">模型</t>
  </si>
  <si>
    <t xml:space="preserve">起日</t>
  </si>
  <si>
    <t xml:space="preserve">迄日（不含）</t>
  </si>
  <si>
    <t xml:space="preserve">天數</t>
  </si>
  <si>
    <t xml:space="preserve">新鮮輸入</t>
  </si>
  <si>
    <t xml:space="preserve">快取輸入</t>
  </si>
  <si>
    <t xml:space="preserve">輸出</t>
  </si>
  <si>
    <r>
      <rPr>
        <sz val="11"/>
        <color theme="1"/>
        <rFont val="Noto Sans CJK SC"/>
        <family val="2"/>
      </rPr>
      <t xml:space="preserve">參考請求混合 </t>
    </r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Noto Sans CJK SC"/>
        <family val="2"/>
      </rPr>
      <t xml:space="preserve">（表列）</t>
    </r>
  </si>
  <si>
    <r>
      <rPr>
        <sz val="11"/>
        <color theme="1"/>
        <rFont val="Noto Sans CJK SC"/>
        <family val="2"/>
      </rPr>
      <t xml:space="preserve">天數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</si>
  <si>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nano </t>
    </r>
    <r>
      <rPr>
        <sz val="11"/>
        <color theme="1"/>
        <rFont val="Noto Sans CJK SC"/>
        <family val="2"/>
      </rPr>
      <t xml:space="preserve">線（基準）</t>
    </r>
  </si>
  <si>
    <t xml:space="preserve">gpt-4o-mini</t>
  </si>
  <si>
    <t xml:space="preserve">gpt-4.1-nano</t>
  </si>
  <si>
    <t xml:space="preserve">gpt-5-nano</t>
  </si>
  <si>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mini </t>
    </r>
    <r>
      <rPr>
        <sz val="11"/>
        <color theme="1"/>
        <rFont val="Noto Sans CJK SC"/>
        <family val="2"/>
      </rPr>
      <t xml:space="preserve">線（高）</t>
    </r>
  </si>
  <si>
    <t xml:space="preserve">gpt-4.1-mini</t>
  </si>
  <si>
    <t xml:space="preserve">gpt-5-mini</t>
  </si>
  <si>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｜低（</t>
    </r>
    <r>
      <rPr>
        <sz val="11"/>
        <color theme="1"/>
        <rFont val="Calibri"/>
        <family val="2"/>
        <charset val="1"/>
      </rPr>
      <t xml:space="preserve">GPT-5 nano </t>
    </r>
    <r>
      <rPr>
        <sz val="11"/>
        <color theme="1"/>
        <rFont val="Noto Sans CJK SC"/>
        <family val="2"/>
      </rPr>
      <t xml:space="preserve">價全年）</t>
    </r>
  </si>
  <si>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主力</t>
    </r>
  </si>
  <si>
    <t xml:space="preserve">gpt-4o</t>
  </si>
  <si>
    <t xml:space="preserve">gpt-4.1</t>
  </si>
  <si>
    <t xml:space="preserve">gpt-5</t>
  </si>
  <si>
    <t xml:space="preserve">gpt-5.2</t>
  </si>
  <si>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預設</t>
    </r>
  </si>
  <si>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｜低（</t>
    </r>
    <r>
      <rPr>
        <sz val="11"/>
        <color theme="1"/>
        <rFont val="Calibri"/>
        <family val="2"/>
        <charset val="1"/>
      </rPr>
      <t xml:space="preserve">GPT-5 </t>
    </r>
    <r>
      <rPr>
        <sz val="11"/>
        <color theme="1"/>
        <rFont val="Noto Sans CJK SC"/>
        <family val="2"/>
      </rPr>
      <t xml:space="preserve">價全年）</t>
    </r>
  </si>
  <si>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｜推理旗艦（基準）</t>
    </r>
  </si>
  <si>
    <t xml:space="preserve">o1</t>
  </si>
  <si>
    <t xml:space="preserve">o3</t>
  </si>
  <si>
    <r>
      <rPr>
        <sz val="11"/>
        <color theme="1"/>
        <rFont val="Calibri"/>
        <family val="2"/>
        <charset val="1"/>
      </rPr>
      <t xml:space="preserve">o3</t>
    </r>
    <r>
      <rPr>
        <sz val="11"/>
        <color theme="1"/>
        <rFont val="Noto Sans CJK SC"/>
        <family val="2"/>
      </rPr>
      <t xml:space="preserve">（降價後）</t>
    </r>
  </si>
  <si>
    <r>
      <rPr>
        <sz val="11"/>
        <color theme="1"/>
        <rFont val="Calibri"/>
        <family val="2"/>
        <charset val="1"/>
      </rPr>
      <t xml:space="preserve">gpt-5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thinking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</si>
  <si>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｜高（</t>
    </r>
    <r>
      <rPr>
        <sz val="11"/>
        <color theme="1"/>
        <rFont val="Calibri"/>
        <family val="2"/>
        <charset val="1"/>
      </rPr>
      <t xml:space="preserve">o1 </t>
    </r>
    <r>
      <rPr>
        <sz val="11"/>
        <color theme="1"/>
        <rFont val="Noto Sans CJK SC"/>
        <family val="2"/>
      </rPr>
      <t xml:space="preserve">價全年：最貴的非 </t>
    </r>
    <r>
      <rPr>
        <sz val="11"/>
        <color theme="1"/>
        <rFont val="Calibri"/>
        <family val="2"/>
        <charset val="1"/>
      </rPr>
      <t xml:space="preserve">Pro </t>
    </r>
    <r>
      <rPr>
        <sz val="11"/>
        <color theme="1"/>
        <rFont val="Noto Sans CJK SC"/>
        <family val="2"/>
      </rPr>
      <t xml:space="preserve">推理模型）</t>
    </r>
  </si>
  <si>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｜低（同 </t>
    </r>
    <r>
      <rPr>
        <sz val="11"/>
        <color theme="1"/>
        <rFont val="Calibri"/>
        <family val="2"/>
        <charset val="1"/>
      </rPr>
      <t xml:space="preserve">Sol API </t>
    </r>
    <r>
      <rPr>
        <sz val="11"/>
        <color theme="1"/>
        <rFont val="Noto Sans CJK SC"/>
        <family val="2"/>
      </rPr>
      <t xml:space="preserve">主力）</t>
    </r>
  </si>
  <si>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｜極端（</t>
    </r>
    <r>
      <rPr>
        <sz val="11"/>
        <color theme="1"/>
        <rFont val="Calibri"/>
        <family val="2"/>
        <charset val="1"/>
      </rPr>
      <t xml:space="preserve">Pro </t>
    </r>
    <r>
      <rPr>
        <sz val="11"/>
        <color theme="1"/>
        <rFont val="Noto Sans CJK SC"/>
        <family val="2"/>
      </rPr>
      <t xml:space="preserve">層；不建議）</t>
    </r>
  </si>
  <si>
    <r>
      <rPr>
        <sz val="11"/>
        <color theme="1"/>
        <rFont val="Calibri"/>
        <family val="2"/>
        <charset val="1"/>
      </rPr>
      <t xml:space="preserve">o1-pro</t>
    </r>
    <r>
      <rPr>
        <sz val="11"/>
        <color theme="1"/>
        <rFont val="Noto Sans CJK SC"/>
        <family val="2"/>
      </rPr>
      <t xml:space="preserve">（快取以輸入價計）</t>
    </r>
  </si>
  <si>
    <r>
      <rPr>
        <sz val="11"/>
        <color theme="1"/>
        <rFont val="Calibri"/>
        <family val="2"/>
        <charset val="1"/>
      </rPr>
      <t xml:space="preserve">o3-pro</t>
    </r>
    <r>
      <rPr>
        <sz val="11"/>
        <color theme="1"/>
        <rFont val="Noto Sans CJK SC"/>
        <family val="2"/>
      </rPr>
      <t xml:space="preserve">（快取以輸入價計）</t>
    </r>
  </si>
  <si>
    <r>
      <rPr>
        <sz val="11"/>
        <color theme="1"/>
        <rFont val="Calibri"/>
        <family val="2"/>
        <charset val="1"/>
      </rPr>
      <t xml:space="preserve">gpt-5-pro</t>
    </r>
    <r>
      <rPr>
        <sz val="11"/>
        <color theme="1"/>
        <rFont val="Noto Sans CJK SC"/>
        <family val="2"/>
      </rPr>
      <t xml:space="preserve">（快取以輸入價計）</t>
    </r>
  </si>
  <si>
    <r>
      <rPr>
        <sz val="11"/>
        <color theme="1"/>
        <rFont val="Noto Sans CJK SC"/>
        <family val="2"/>
      </rPr>
      <t xml:space="preserve">各讀法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時間加權（表列）</t>
    </r>
  </si>
  <si>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Noto Sans CJK SC"/>
        <family val="2"/>
      </rPr>
      <t xml:space="preserve">（表列）</t>
    </r>
  </si>
  <si>
    <r>
      <rPr>
        <sz val="11"/>
        <color theme="1"/>
        <rFont val="Calibri"/>
        <family val="2"/>
        <charset val="1"/>
      </rPr>
      <t xml:space="preserve">÷ 2026 </t>
    </r>
    <r>
      <rPr>
        <sz val="11"/>
        <color theme="1"/>
        <rFont val="Noto Sans CJK SC"/>
        <family val="2"/>
      </rPr>
      <t xml:space="preserve">快照（同層）</t>
    </r>
  </si>
  <si>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加權（基準）＝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主力 </t>
    </r>
    <r>
      <rPr>
        <sz val="11"/>
        <color theme="1"/>
        <rFont val="Calibri"/>
        <family val="2"/>
        <charset val="1"/>
      </rPr>
      <t xml:space="preserve">× API token </t>
    </r>
    <r>
      <rPr>
        <sz val="11"/>
        <color theme="1"/>
        <rFont val="Noto Sans CJK SC"/>
        <family val="2"/>
      </rPr>
      <t xml:space="preserve">占比 ＋ 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× ChatGPT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Cap_In C82:C81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2,365.2 : 1,460 </t>
    </r>
    <r>
      <rPr>
        <sz val="11"/>
        <color theme="1"/>
        <rFont val="Noto Sans CJK SC"/>
        <family val="2"/>
      </rPr>
      <t xml:space="preserve">百萬兆）</t>
    </r>
  </si>
  <si>
    <r>
      <rPr>
        <sz val="11"/>
        <color theme="1"/>
        <rFont val="Calibri"/>
        <family val="2"/>
        <charset val="1"/>
      </rPr>
      <t xml:space="preserve">C90 </t>
    </r>
    <r>
      <rPr>
        <sz val="11"/>
        <color theme="1"/>
        <rFont val="Noto Sans CJK SC"/>
        <family val="2"/>
      </rPr>
      <t xml:space="preserve">對照（付費組合 </t>
    </r>
    <r>
      <rPr>
        <sz val="11"/>
        <color theme="1"/>
        <rFont val="Calibri"/>
        <family val="2"/>
        <charset val="1"/>
      </rPr>
      <t xml:space="preserve">Luna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 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 0.15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折扣））</t>
    </r>
  </si>
  <si>
    <r>
      <rPr>
        <sz val="11"/>
        <color theme="1"/>
        <rFont val="Noto Sans CJK SC"/>
        <family val="2"/>
      </rPr>
      <t xml:space="preserve">有效混合 </t>
    </r>
    <r>
      <rPr>
        <sz val="11"/>
        <color theme="1"/>
        <rFont val="Calibri"/>
        <family val="2"/>
        <charset val="1"/>
      </rPr>
      <t xml:space="preserve">$/M</t>
    </r>
  </si>
  <si>
    <r>
      <rPr>
        <sz val="11"/>
        <color theme="1"/>
        <rFont val="Calibri"/>
        <family val="2"/>
        <charset val="1"/>
      </rPr>
      <t xml:space="preserve">÷ C90 </t>
    </r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1.96068</t>
    </r>
  </si>
  <si>
    <r>
      <rPr>
        <sz val="11"/>
        <color theme="1"/>
        <rFont val="Noto Sans CJK SC"/>
        <family val="2"/>
      </rPr>
      <t xml:space="preserve">基準：</t>
    </r>
    <r>
      <rPr>
        <sz val="11"/>
        <color theme="1"/>
        <rFont val="Calibri"/>
        <family val="2"/>
        <charset val="1"/>
      </rPr>
      <t xml:space="preserve">Luna nano </t>
    </r>
    <r>
      <rPr>
        <sz val="11"/>
        <color theme="1"/>
        <rFont val="Noto Sans CJK SC"/>
        <family val="2"/>
      </rPr>
      <t xml:space="preserve">線／</t>
    </r>
    <r>
      <rPr>
        <sz val="11"/>
        <color theme="1"/>
        <rFont val="Calibri"/>
        <family val="2"/>
        <charset val="1"/>
      </rPr>
      <t xml:space="preserve">Sol token </t>
    </r>
    <r>
      <rPr>
        <sz val="11"/>
        <color theme="1"/>
        <rFont val="Noto Sans CJK SC"/>
        <family val="2"/>
      </rPr>
      <t xml:space="preserve">加權／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Noto Sans CJK SC"/>
        <family val="2"/>
      </rPr>
      <t xml:space="preserve">推理旗艦</t>
    </r>
  </si>
  <si>
    <r>
      <rPr>
        <sz val="11"/>
        <color theme="1"/>
        <rFont val="Noto Sans CJK SC"/>
        <family val="2"/>
      </rPr>
      <t xml:space="preserve">低：</t>
    </r>
    <r>
      <rPr>
        <sz val="11"/>
        <color theme="1"/>
        <rFont val="Calibri"/>
        <family val="2"/>
        <charset val="1"/>
      </rPr>
      <t xml:space="preserve">Luna GPT-5 nano </t>
    </r>
    <r>
      <rPr>
        <sz val="11"/>
        <color theme="1"/>
        <rFont val="Noto Sans CJK SC"/>
        <family val="2"/>
      </rPr>
      <t xml:space="preserve">全年／</t>
    </r>
    <r>
      <rPr>
        <sz val="11"/>
        <color theme="1"/>
        <rFont val="Calibri"/>
        <family val="2"/>
        <charset val="1"/>
      </rPr>
      <t xml:space="preserve">Sol GPT-5 </t>
    </r>
    <r>
      <rPr>
        <sz val="11"/>
        <color theme="1"/>
        <rFont val="Noto Sans CJK SC"/>
        <family val="2"/>
      </rPr>
      <t xml:space="preserve">全年／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Sol</t>
    </r>
  </si>
  <si>
    <r>
      <rPr>
        <sz val="11"/>
        <color theme="1"/>
        <rFont val="Noto Sans CJK SC"/>
        <family val="2"/>
      </rPr>
      <t xml:space="preserve">高：</t>
    </r>
    <r>
      <rPr>
        <sz val="11"/>
        <color theme="1"/>
        <rFont val="Calibri"/>
        <family val="2"/>
        <charset val="1"/>
      </rPr>
      <t xml:space="preserve">Luna mini </t>
    </r>
    <r>
      <rPr>
        <sz val="11"/>
        <color theme="1"/>
        <rFont val="Noto Sans CJK SC"/>
        <family val="2"/>
      </rPr>
      <t xml:space="preserve">線／</t>
    </r>
    <r>
      <rPr>
        <sz val="11"/>
        <color theme="1"/>
        <rFont val="Calibri"/>
        <family val="2"/>
        <charset val="1"/>
      </rPr>
      <t xml:space="preserve">Sol ChatGPT </t>
    </r>
    <r>
      <rPr>
        <sz val="11"/>
        <color theme="1"/>
        <rFont val="Noto Sans CJK SC"/>
        <family val="2"/>
      </rPr>
      <t xml:space="preserve">預設／</t>
    </r>
    <r>
      <rPr>
        <sz val="11"/>
        <color theme="1"/>
        <rFont val="Calibri"/>
        <family val="2"/>
        <charset val="1"/>
      </rPr>
      <t xml:space="preserve">Astra o1 </t>
    </r>
    <r>
      <rPr>
        <sz val="11"/>
        <color theme="1"/>
        <rFont val="Noto Sans CJK SC"/>
        <family val="2"/>
      </rPr>
      <t xml:space="preserve">全年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</si>
  <si>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v6.1 </t>
    </r>
    <r>
      <rPr>
        <sz val="11"/>
        <color theme="1"/>
        <rFont val="Noto Sans CJK SC"/>
        <family val="2"/>
      </rPr>
      <t xml:space="preserve">快照（應為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</si>
  <si>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項目</t>
  </si>
  <si>
    <t xml:space="preserve">值</t>
  </si>
  <si>
    <t xml:space="preserve">說明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</si>
  <si>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訓練總算力（基準）</t>
    </r>
  </si>
  <si>
    <t xml:space="preserve">SRC_MOD_055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</si>
  <si>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</si>
  <si>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下端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</si>
  <si>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</si>
  <si>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上端</t>
    </r>
  </si>
  <si>
    <r>
      <rPr>
        <sz val="11"/>
        <color theme="1"/>
        <rFont val="Noto Sans CJK SC"/>
        <family val="2"/>
      </rPr>
      <t xml:space="preserve">重建：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</si>
  <si>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≥10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</si>
  <si>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Noto Sans CJK SC"/>
        <family val="2"/>
      </rPr>
      <t xml:space="preserve">重建：每顆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稠密峰值 </t>
    </r>
    <r>
      <rPr>
        <sz val="11"/>
        <color theme="1"/>
        <rFont val="Calibri"/>
        <family val="2"/>
        <charset val="1"/>
      </rPr>
      <t xml:space="preserve">FLOP/s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</si>
  <si>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規格）</t>
    </r>
  </si>
  <si>
    <r>
      <rPr>
        <sz val="11"/>
        <color theme="1"/>
        <rFont val="Noto Sans CJK SC"/>
        <family val="2"/>
      </rPr>
      <t xml:space="preserve">重建：</t>
    </r>
    <r>
      <rPr>
        <sz val="11"/>
        <color theme="1"/>
        <rFont val="Calibri"/>
        <family val="2"/>
        <charset val="1"/>
      </rPr>
      <t xml:space="preserve">MFU</t>
    </r>
  </si>
  <si>
    <t xml:space="preserve">Epoch notes</t>
  </si>
  <si>
    <t xml:space="preserve">重建：天數</t>
  </si>
  <si>
    <t xml:space="preserve">重建結果</t>
  </si>
  <si>
    <t xml:space="preserve">≈1e27</t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</si>
  <si>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Noto Sans CJK SC"/>
        <family val="2"/>
      </rPr>
      <t xml:space="preserve">預訓練 </t>
    </r>
    <r>
      <rPr>
        <sz val="11"/>
        <color theme="1"/>
        <rFont val="Calibri"/>
        <family val="2"/>
        <charset val="1"/>
      </rPr>
      <t xml:space="preserve">FLOP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L1_PretrainFLOP_Astra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</si>
  <si>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÷ L1_AstraScale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</si>
  <si>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Noto Sans CJK SC"/>
        <family val="2"/>
      </rPr>
      <t xml:space="preserve">預訓練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</si>
  <si>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Train_In E25</t>
    </r>
    <r>
      <rPr>
        <sz val="11"/>
        <color theme="1"/>
        <rFont val="Noto Sans CJK SC"/>
        <family val="2"/>
      </rPr>
      <t xml:space="preserve">（另有長上下文 </t>
    </r>
    <r>
      <rPr>
        <sz val="11"/>
        <color theme="1"/>
        <rFont val="Calibri"/>
        <family val="2"/>
        <charset val="1"/>
      </rPr>
      <t xml:space="preserve">2T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</si>
  <si>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模型每 </t>
    </r>
    <r>
      <rPr>
        <sz val="11"/>
        <color theme="1"/>
        <rFont val="Calibri"/>
        <family val="2"/>
        <charset val="1"/>
      </rPr>
      <t xml:space="preserve">token FLOP</t>
    </r>
    <r>
      <rPr>
        <sz val="11"/>
        <color theme="1"/>
        <rFont val="Noto Sans CJK SC"/>
        <family val="2"/>
      </rPr>
      <t xml:space="preserve">（含注意力）</t>
    </r>
  </si>
  <si>
    <r>
      <rPr>
        <sz val="11"/>
        <color theme="1"/>
        <rFont val="Calibri"/>
        <family val="2"/>
        <charset val="1"/>
      </rPr>
      <t xml:space="preserve">×1e12 FLOP/token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6×180B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1.08</t>
    </r>
  </si>
  <si>
    <r>
      <rPr>
        <sz val="11"/>
        <color theme="1"/>
        <rFont val="Calibri"/>
        <family val="2"/>
        <charset val="1"/>
      </rPr>
      <t xml:space="preserve">6·N·D </t>
    </r>
    <r>
      <rPr>
        <sz val="11"/>
        <color theme="1"/>
        <rFont val="Noto Sans CJK SC"/>
        <family val="2"/>
      </rPr>
      <t xml:space="preserve">拆解：全部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算力都算預訓練時的隱含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</si>
  <si>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Noto Sans CJK SC"/>
        <family val="2"/>
      </rPr>
      <t xml:space="preserve">＝啟用參數（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</si>
  <si>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</si>
  <si>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啟用 </t>
    </r>
    <r>
      <rPr>
        <sz val="11"/>
        <color theme="1"/>
        <rFont val="Calibri"/>
        <family val="2"/>
        <charset val="1"/>
      </rPr>
      <t xml:space="preserve">180B</t>
    </r>
  </si>
  <si>
    <r>
      <rPr>
        <sz val="11"/>
        <color theme="1"/>
        <rFont val="Noto Sans CJK SC"/>
        <family val="2"/>
      </rPr>
      <t xml:space="preserve">啟用 </t>
    </r>
    <r>
      <rPr>
        <sz val="11"/>
        <color theme="1"/>
        <rFont val="Calibri"/>
        <family val="2"/>
        <charset val="1"/>
      </rPr>
      <t xml:space="preserve">280B</t>
    </r>
  </si>
  <si>
    <r>
      <rPr>
        <sz val="11"/>
        <color theme="1"/>
        <rFont val="Noto Sans CJK SC"/>
        <family val="2"/>
      </rPr>
      <t xml:space="preserve">啟用 </t>
    </r>
    <r>
      <rPr>
        <sz val="11"/>
        <color theme="1"/>
        <rFont val="Calibri"/>
        <family val="2"/>
        <charset val="1"/>
      </rPr>
      <t xml:space="preserve">400B</t>
    </r>
  </si>
  <si>
    <r>
      <rPr>
        <sz val="11"/>
        <color theme="1"/>
        <rFont val="Noto Sans CJK SC"/>
        <family val="2"/>
      </rPr>
      <t xml:space="preserve">啟用 </t>
    </r>
    <r>
      <rPr>
        <sz val="11"/>
        <color theme="1"/>
        <rFont val="Calibri"/>
        <family val="2"/>
        <charset val="1"/>
      </rPr>
      <t xml:space="preserve">600B</t>
    </r>
  </si>
  <si>
    <r>
      <rPr>
        <sz val="11"/>
        <color theme="1"/>
        <rFont val="Noto Sans CJK SC"/>
        <family val="2"/>
      </rPr>
      <t xml:space="preserve">啟用 </t>
    </r>
    <r>
      <rPr>
        <sz val="11"/>
        <color theme="1"/>
        <rFont val="Calibri"/>
        <family val="2"/>
        <charset val="1"/>
      </rPr>
      <t xml:space="preserve">800B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</si>
  <si>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總算力中後訓練占 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，預訓練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乘以 </t>
    </r>
    <r>
      <rPr>
        <sz val="11"/>
        <color theme="1"/>
        <rFont val="Calibri"/>
        <family val="2"/>
        <charset val="1"/>
      </rPr>
      <t xml:space="preserve">(1−s)</t>
    </r>
  </si>
  <si>
    <t xml:space="preserve">s</t>
  </si>
  <si>
    <r>
      <rPr>
        <sz val="11"/>
        <color theme="1"/>
        <rFont val="Noto Sans CJK SC"/>
        <family val="2"/>
      </rPr>
      <t xml:space="preserve">啟用 </t>
    </r>
    <r>
      <rPr>
        <sz val="11"/>
        <color theme="1"/>
        <rFont val="Calibri"/>
        <family val="2"/>
        <charset val="1"/>
      </rPr>
      <t xml:space="preserve">180B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</si>
  <si>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啟用 </t>
    </r>
    <r>
      <rPr>
        <sz val="11"/>
        <color theme="1"/>
        <rFont val="Calibri"/>
        <family val="2"/>
        <charset val="1"/>
      </rPr>
      <t xml:space="preserve">400B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</si>
  <si>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對照：公開人類文字有效存量（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</si>
  <si>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100–1000</t>
    </r>
  </si>
  <si>
    <r>
      <rPr>
        <sz val="11"/>
        <color theme="1"/>
        <rFont val="Noto Sans CJK SC"/>
        <family val="2"/>
      </rPr>
      <t xml:space="preserve">對照：重複 </t>
    </r>
    <r>
      <rPr>
        <sz val="11"/>
        <color theme="1"/>
        <rFont val="Calibri"/>
        <family val="2"/>
        <charset val="1"/>
      </rPr>
      <t xml:space="preserve">2–5 epoch </t>
    </r>
    <r>
      <rPr>
        <sz val="11"/>
        <color theme="1"/>
        <rFont val="Noto Sans CJK SC"/>
        <family val="2"/>
      </rPr>
      <t xml:space="preserve">後上限（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</si>
  <si>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：重複使有效存量擴大 </t>
    </r>
    <r>
      <rPr>
        <sz val="11"/>
        <color theme="1"/>
        <rFont val="Calibri"/>
        <family val="2"/>
        <charset val="1"/>
      </rPr>
      <t xml:space="preserve">2–5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</si>
  <si>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對照：已揭露最大預訓練（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）</t>
    </r>
  </si>
  <si>
    <t xml:space="preserve">Qwen3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</si>
</sst>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16"/>
    <col collapsed="false" customWidth="true" hidden="false" outlineLevel="0" max="7" min="7" style="0" width="36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10"/>
    <col collapsed="false" customWidth="true" hidden="false" outlineLevel="0" max="11" min="11" style="0" width="5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8.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3" t="s">
        <v>19</v>
      </c>
      <c r="J2" s="2" t="s">
        <v>20</v>
      </c>
      <c r="K2" s="2" t="s">
        <v>21</v>
      </c>
    </row>
    <row r="3" customFormat="false" ht="32.8" hidden="false" customHeight="false" outlineLevel="0" collapsed="false">
      <c r="A3" s="2" t="s">
        <v>11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17</v>
      </c>
      <c r="H3" s="3" t="s">
        <v>26</v>
      </c>
      <c r="I3" s="3" t="s">
        <v>19</v>
      </c>
      <c r="J3" s="2" t="s">
        <v>20</v>
      </c>
      <c r="K3" s="2" t="s">
        <v>27</v>
      </c>
    </row>
    <row r="4" customFormat="false" ht="48.5" hidden="false" customHeight="false" outlineLevel="0" collapsed="false">
      <c r="A4" s="2" t="s">
        <v>11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17</v>
      </c>
      <c r="H4" s="3" t="s">
        <v>33</v>
      </c>
      <c r="I4" s="3" t="s">
        <v>34</v>
      </c>
      <c r="J4" s="2" t="s">
        <v>20</v>
      </c>
      <c r="K4" s="2" t="s">
        <v>35</v>
      </c>
    </row>
    <row r="5" customFormat="false" ht="32.8" hidden="false" customHeight="false" outlineLevel="0" collapsed="false">
      <c r="A5" s="2" t="s">
        <v>11</v>
      </c>
      <c r="B5" s="2" t="s">
        <v>36</v>
      </c>
      <c r="C5" s="2" t="s">
        <v>37</v>
      </c>
      <c r="D5" s="2" t="s">
        <v>30</v>
      </c>
      <c r="E5" s="2" t="s">
        <v>38</v>
      </c>
      <c r="F5" s="2" t="s">
        <v>16</v>
      </c>
      <c r="G5" s="2" t="s">
        <v>17</v>
      </c>
      <c r="H5" s="3" t="s">
        <v>39</v>
      </c>
      <c r="I5" s="3" t="s">
        <v>19</v>
      </c>
      <c r="J5" s="2" t="s">
        <v>20</v>
      </c>
      <c r="K5" s="2" t="s">
        <v>40</v>
      </c>
    </row>
    <row r="6" customFormat="false" ht="48.5" hidden="false" customHeight="false" outlineLevel="0" collapsed="false">
      <c r="A6" s="2" t="s">
        <v>11</v>
      </c>
      <c r="B6" s="2" t="s">
        <v>41</v>
      </c>
      <c r="C6" s="2" t="s">
        <v>37</v>
      </c>
      <c r="D6" s="2" t="s">
        <v>30</v>
      </c>
      <c r="E6" s="2" t="s">
        <v>42</v>
      </c>
      <c r="F6" s="2" t="s">
        <v>16</v>
      </c>
      <c r="G6" s="2" t="s">
        <v>17</v>
      </c>
      <c r="H6" s="3" t="s">
        <v>43</v>
      </c>
      <c r="I6" s="3" t="s">
        <v>19</v>
      </c>
      <c r="J6" s="2" t="s">
        <v>20</v>
      </c>
      <c r="K6" s="2" t="s">
        <v>44</v>
      </c>
    </row>
    <row r="7" customFormat="false" ht="48.5" hidden="false" customHeight="false" outlineLevel="0" collapsed="false">
      <c r="A7" s="2" t="s">
        <v>11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32</v>
      </c>
      <c r="G7" s="2" t="s">
        <v>17</v>
      </c>
      <c r="H7" s="3" t="s">
        <v>49</v>
      </c>
      <c r="I7" s="3" t="s">
        <v>19</v>
      </c>
      <c r="J7" s="2" t="s">
        <v>20</v>
      </c>
      <c r="K7" s="2" t="s">
        <v>50</v>
      </c>
    </row>
    <row r="8" customFormat="false" ht="32.8" hidden="false" customHeight="false" outlineLevel="0" collapsed="false">
      <c r="A8" s="2" t="s">
        <v>11</v>
      </c>
      <c r="B8" s="2" t="s">
        <v>51</v>
      </c>
      <c r="C8" s="2" t="s">
        <v>37</v>
      </c>
      <c r="D8" s="2" t="s">
        <v>47</v>
      </c>
      <c r="E8" s="2" t="s">
        <v>52</v>
      </c>
      <c r="F8" s="2" t="s">
        <v>16</v>
      </c>
      <c r="G8" s="2" t="s">
        <v>17</v>
      </c>
      <c r="H8" s="3" t="s">
        <v>53</v>
      </c>
      <c r="I8" s="3" t="s">
        <v>19</v>
      </c>
      <c r="J8" s="2" t="s">
        <v>20</v>
      </c>
      <c r="K8" s="3" t="s">
        <v>54</v>
      </c>
    </row>
    <row r="9" customFormat="false" ht="32.8" hidden="false" customHeight="false" outlineLevel="0" collapsed="false">
      <c r="A9" s="2" t="s">
        <v>11</v>
      </c>
      <c r="B9" s="2" t="s">
        <v>55</v>
      </c>
      <c r="C9" s="2" t="s">
        <v>37</v>
      </c>
      <c r="D9" s="2" t="s">
        <v>47</v>
      </c>
      <c r="E9" s="2" t="s">
        <v>56</v>
      </c>
      <c r="F9" s="2" t="s">
        <v>16</v>
      </c>
      <c r="G9" s="2" t="s">
        <v>17</v>
      </c>
      <c r="H9" s="3" t="s">
        <v>57</v>
      </c>
      <c r="I9" s="3" t="s">
        <v>19</v>
      </c>
      <c r="J9" s="2" t="s">
        <v>20</v>
      </c>
      <c r="K9" s="3" t="s">
        <v>58</v>
      </c>
    </row>
    <row r="10" customFormat="false" ht="46.25" hidden="false" customHeight="false" outlineLevel="0" collapsed="false">
      <c r="A10" s="2" t="s">
        <v>11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32</v>
      </c>
      <c r="G10" s="2" t="s">
        <v>17</v>
      </c>
      <c r="H10" s="3" t="s">
        <v>63</v>
      </c>
      <c r="I10" s="3" t="s">
        <v>64</v>
      </c>
      <c r="J10" s="2" t="s">
        <v>20</v>
      </c>
      <c r="K10" s="2" t="s">
        <v>65</v>
      </c>
    </row>
    <row r="11" customFormat="false" ht="32.8" hidden="false" customHeight="false" outlineLevel="0" collapsed="false">
      <c r="A11" s="2" t="s">
        <v>11</v>
      </c>
      <c r="B11" s="2" t="s">
        <v>66</v>
      </c>
      <c r="C11" s="2" t="s">
        <v>37</v>
      </c>
      <c r="D11" s="2" t="s">
        <v>67</v>
      </c>
      <c r="E11" s="2" t="s">
        <v>68</v>
      </c>
      <c r="F11" s="2" t="s">
        <v>16</v>
      </c>
      <c r="G11" s="2" t="s">
        <v>17</v>
      </c>
      <c r="H11" s="3" t="s">
        <v>69</v>
      </c>
      <c r="I11" s="3" t="s">
        <v>19</v>
      </c>
      <c r="J11" s="2" t="s">
        <v>20</v>
      </c>
      <c r="K11" s="3" t="s">
        <v>70</v>
      </c>
    </row>
    <row r="12" customFormat="false" ht="48.5" hidden="false" customHeight="false" outlineLevel="0" collapsed="false">
      <c r="A12" s="2" t="s">
        <v>11</v>
      </c>
      <c r="B12" s="2" t="s">
        <v>71</v>
      </c>
      <c r="C12" s="2" t="s">
        <v>37</v>
      </c>
      <c r="D12" s="2" t="s">
        <v>72</v>
      </c>
      <c r="E12" s="2" t="s">
        <v>73</v>
      </c>
      <c r="F12" s="2" t="s">
        <v>16</v>
      </c>
      <c r="G12" s="2" t="s">
        <v>17</v>
      </c>
      <c r="H12" s="3" t="s">
        <v>74</v>
      </c>
      <c r="I12" s="3" t="s">
        <v>75</v>
      </c>
      <c r="J12" s="2" t="s">
        <v>76</v>
      </c>
      <c r="K12" s="2" t="s">
        <v>77</v>
      </c>
    </row>
    <row r="13" customFormat="false" ht="46.25" hidden="false" customHeight="false" outlineLevel="0" collapsed="false">
      <c r="A13" s="2" t="s">
        <v>11</v>
      </c>
      <c r="B13" s="2" t="s">
        <v>78</v>
      </c>
      <c r="C13" s="2" t="s">
        <v>37</v>
      </c>
      <c r="D13" s="2" t="s">
        <v>79</v>
      </c>
      <c r="E13" s="2" t="s">
        <v>80</v>
      </c>
      <c r="F13" s="2" t="s">
        <v>16</v>
      </c>
      <c r="G13" s="2" t="s">
        <v>17</v>
      </c>
      <c r="H13" s="3" t="s">
        <v>81</v>
      </c>
      <c r="I13" s="3" t="s">
        <v>82</v>
      </c>
      <c r="J13" s="2" t="s">
        <v>20</v>
      </c>
      <c r="K13" s="3" t="s">
        <v>83</v>
      </c>
    </row>
    <row r="14" customFormat="false" ht="32.8" hidden="false" customHeight="false" outlineLevel="0" collapsed="false">
      <c r="A14" s="2" t="s">
        <v>11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16</v>
      </c>
      <c r="G14" s="2" t="s">
        <v>17</v>
      </c>
      <c r="H14" s="3" t="s">
        <v>88</v>
      </c>
      <c r="I14" s="3" t="s">
        <v>19</v>
      </c>
      <c r="J14" s="2" t="s">
        <v>20</v>
      </c>
      <c r="K14" s="3" t="s">
        <v>89</v>
      </c>
    </row>
    <row r="15" customFormat="false" ht="32.8" hidden="false" customHeight="false" outlineLevel="0" collapsed="false">
      <c r="A15" s="2" t="s">
        <v>11</v>
      </c>
      <c r="B15" s="2" t="s">
        <v>90</v>
      </c>
      <c r="C15" s="2" t="s">
        <v>85</v>
      </c>
      <c r="D15" s="2" t="s">
        <v>91</v>
      </c>
      <c r="E15" s="2" t="s">
        <v>92</v>
      </c>
      <c r="F15" s="2" t="s">
        <v>16</v>
      </c>
      <c r="G15" s="2" t="s">
        <v>17</v>
      </c>
      <c r="H15" s="3" t="s">
        <v>69</v>
      </c>
      <c r="I15" s="3" t="s">
        <v>19</v>
      </c>
      <c r="J15" s="2" t="s">
        <v>20</v>
      </c>
      <c r="K15" s="3" t="s">
        <v>89</v>
      </c>
    </row>
    <row r="16" customFormat="false" ht="32.8" hidden="false" customHeight="false" outlineLevel="0" collapsed="false">
      <c r="A16" s="2" t="s">
        <v>11</v>
      </c>
      <c r="B16" s="2" t="s">
        <v>93</v>
      </c>
      <c r="C16" s="2" t="s">
        <v>94</v>
      </c>
      <c r="D16" s="2" t="s">
        <v>94</v>
      </c>
      <c r="E16" s="3" t="s">
        <v>95</v>
      </c>
      <c r="F16" s="2" t="s">
        <v>94</v>
      </c>
      <c r="G16" s="2" t="s">
        <v>94</v>
      </c>
      <c r="H16" s="2" t="s">
        <v>94</v>
      </c>
      <c r="I16" s="3" t="s">
        <v>96</v>
      </c>
      <c r="J16" s="2" t="s">
        <v>94</v>
      </c>
      <c r="K16" s="3" t="s">
        <v>97</v>
      </c>
    </row>
    <row r="17" customFormat="false" ht="32.8" hidden="false" customHeight="false" outlineLevel="0" collapsed="false">
      <c r="A17" s="2" t="s">
        <v>11</v>
      </c>
      <c r="B17" s="3" t="s">
        <v>98</v>
      </c>
      <c r="C17" s="2" t="s">
        <v>99</v>
      </c>
      <c r="D17" s="2" t="s">
        <v>100</v>
      </c>
      <c r="E17" s="2" t="s">
        <v>101</v>
      </c>
      <c r="F17" s="2" t="s">
        <v>16</v>
      </c>
      <c r="G17" s="2" t="s">
        <v>102</v>
      </c>
      <c r="H17" s="3" t="s">
        <v>103</v>
      </c>
      <c r="I17" s="3" t="s">
        <v>104</v>
      </c>
      <c r="J17" s="2" t="s">
        <v>94</v>
      </c>
      <c r="K17" s="3" t="s">
        <v>105</v>
      </c>
    </row>
    <row r="18" customFormat="false" ht="48.5" hidden="false" customHeight="false" outlineLevel="0" collapsed="false">
      <c r="A18" s="2" t="s">
        <v>106</v>
      </c>
      <c r="B18" s="2" t="s">
        <v>107</v>
      </c>
      <c r="C18" s="3" t="s">
        <v>108</v>
      </c>
      <c r="D18" s="2" t="s">
        <v>109</v>
      </c>
      <c r="E18" s="2" t="s">
        <v>110</v>
      </c>
      <c r="F18" s="2" t="s">
        <v>111</v>
      </c>
      <c r="G18" s="3" t="s">
        <v>112</v>
      </c>
      <c r="H18" s="3" t="s">
        <v>113</v>
      </c>
      <c r="I18" s="3" t="s">
        <v>19</v>
      </c>
      <c r="J18" s="2" t="s">
        <v>114</v>
      </c>
      <c r="K18" s="2" t="s">
        <v>115</v>
      </c>
    </row>
    <row r="19" customFormat="false" ht="46.25" hidden="false" customHeight="false" outlineLevel="0" collapsed="false">
      <c r="A19" s="2" t="s">
        <v>106</v>
      </c>
      <c r="B19" s="2" t="s">
        <v>116</v>
      </c>
      <c r="C19" s="3" t="s">
        <v>117</v>
      </c>
      <c r="D19" s="2" t="s">
        <v>118</v>
      </c>
      <c r="E19" s="2" t="s">
        <v>119</v>
      </c>
      <c r="F19" s="2" t="s">
        <v>111</v>
      </c>
      <c r="G19" s="2" t="s">
        <v>120</v>
      </c>
      <c r="H19" s="3" t="s">
        <v>121</v>
      </c>
      <c r="I19" s="3" t="s">
        <v>19</v>
      </c>
      <c r="J19" s="2" t="s">
        <v>122</v>
      </c>
      <c r="K19" s="2" t="s">
        <v>123</v>
      </c>
    </row>
    <row r="20" customFormat="false" ht="48.5" hidden="false" customHeight="false" outlineLevel="0" collapsed="false">
      <c r="A20" s="2" t="s">
        <v>106</v>
      </c>
      <c r="B20" s="2" t="s">
        <v>124</v>
      </c>
      <c r="C20" s="3" t="s">
        <v>117</v>
      </c>
      <c r="D20" s="2" t="s">
        <v>125</v>
      </c>
      <c r="E20" s="2" t="s">
        <v>126</v>
      </c>
      <c r="F20" s="2" t="s">
        <v>111</v>
      </c>
      <c r="G20" s="2" t="s">
        <v>127</v>
      </c>
      <c r="H20" s="3" t="s">
        <v>128</v>
      </c>
      <c r="I20" s="3" t="s">
        <v>129</v>
      </c>
      <c r="J20" s="2" t="s">
        <v>130</v>
      </c>
      <c r="K20" s="3" t="s">
        <v>131</v>
      </c>
    </row>
    <row r="21" customFormat="false" ht="64.15" hidden="false" customHeight="false" outlineLevel="0" collapsed="false">
      <c r="A21" s="2" t="s">
        <v>106</v>
      </c>
      <c r="B21" s="2" t="s">
        <v>132</v>
      </c>
      <c r="C21" s="3" t="s">
        <v>133</v>
      </c>
      <c r="D21" s="2" t="s">
        <v>134</v>
      </c>
      <c r="E21" s="2" t="s">
        <v>135</v>
      </c>
      <c r="F21" s="2" t="s">
        <v>111</v>
      </c>
      <c r="G21" s="2" t="s">
        <v>136</v>
      </c>
      <c r="H21" s="3" t="s">
        <v>137</v>
      </c>
      <c r="I21" s="3" t="s">
        <v>19</v>
      </c>
      <c r="J21" s="2" t="s">
        <v>138</v>
      </c>
      <c r="K21" s="3" t="s">
        <v>139</v>
      </c>
    </row>
    <row r="22" customFormat="false" ht="32.8" hidden="false" customHeight="false" outlineLevel="0" collapsed="false">
      <c r="A22" s="2" t="s">
        <v>106</v>
      </c>
      <c r="B22" s="2" t="s">
        <v>140</v>
      </c>
      <c r="C22" s="3" t="s">
        <v>108</v>
      </c>
      <c r="D22" s="2" t="s">
        <v>141</v>
      </c>
      <c r="E22" s="2" t="s">
        <v>142</v>
      </c>
      <c r="F22" s="2" t="s">
        <v>143</v>
      </c>
      <c r="G22" s="2" t="s">
        <v>144</v>
      </c>
      <c r="H22" s="3" t="s">
        <v>145</v>
      </c>
      <c r="I22" s="3" t="s">
        <v>146</v>
      </c>
      <c r="J22" s="2" t="s">
        <v>20</v>
      </c>
      <c r="K22" s="2" t="s">
        <v>147</v>
      </c>
    </row>
    <row r="23" customFormat="false" ht="17.15" hidden="false" customHeight="false" outlineLevel="0" collapsed="false">
      <c r="A23" s="2" t="s">
        <v>106</v>
      </c>
      <c r="B23" s="2" t="s">
        <v>148</v>
      </c>
      <c r="C23" s="3" t="s">
        <v>108</v>
      </c>
      <c r="D23" s="2" t="s">
        <v>149</v>
      </c>
      <c r="E23" s="2" t="s">
        <v>150</v>
      </c>
      <c r="F23" s="2" t="s">
        <v>143</v>
      </c>
      <c r="G23" s="2" t="s">
        <v>151</v>
      </c>
      <c r="H23" s="2" t="s">
        <v>94</v>
      </c>
      <c r="I23" s="3" t="s">
        <v>152</v>
      </c>
      <c r="J23" s="2" t="s">
        <v>20</v>
      </c>
      <c r="K23" s="2" t="s">
        <v>153</v>
      </c>
    </row>
    <row r="24" customFormat="false" ht="46.25" hidden="false" customHeight="false" outlineLevel="0" collapsed="false">
      <c r="A24" s="2" t="s">
        <v>106</v>
      </c>
      <c r="B24" s="2" t="s">
        <v>154</v>
      </c>
      <c r="C24" s="3" t="s">
        <v>155</v>
      </c>
      <c r="D24" s="2" t="s">
        <v>156</v>
      </c>
      <c r="E24" s="2" t="s">
        <v>157</v>
      </c>
      <c r="F24" s="2" t="s">
        <v>143</v>
      </c>
      <c r="G24" s="2" t="s">
        <v>158</v>
      </c>
      <c r="H24" s="3" t="s">
        <v>159</v>
      </c>
      <c r="I24" s="3" t="s">
        <v>19</v>
      </c>
      <c r="J24" s="2" t="s">
        <v>20</v>
      </c>
      <c r="K24" s="2" t="s">
        <v>160</v>
      </c>
    </row>
    <row r="25" customFormat="false" ht="17.15" hidden="false" customHeight="false" outlineLevel="0" collapsed="false">
      <c r="A25" s="2" t="s">
        <v>106</v>
      </c>
      <c r="B25" s="2" t="s">
        <v>161</v>
      </c>
      <c r="C25" s="3" t="s">
        <v>108</v>
      </c>
      <c r="D25" s="2" t="s">
        <v>162</v>
      </c>
      <c r="E25" s="2" t="s">
        <v>163</v>
      </c>
      <c r="F25" s="2" t="s">
        <v>143</v>
      </c>
      <c r="G25" s="2" t="s">
        <v>164</v>
      </c>
      <c r="H25" s="2" t="s">
        <v>94</v>
      </c>
      <c r="I25" s="3" t="s">
        <v>152</v>
      </c>
      <c r="J25" s="2" t="s">
        <v>20</v>
      </c>
      <c r="K25" s="2" t="s">
        <v>165</v>
      </c>
    </row>
    <row r="26" customFormat="false" ht="32.8" hidden="false" customHeight="false" outlineLevel="0" collapsed="false">
      <c r="A26" s="2" t="s">
        <v>106</v>
      </c>
      <c r="B26" s="2" t="s">
        <v>166</v>
      </c>
      <c r="C26" s="3" t="s">
        <v>108</v>
      </c>
      <c r="D26" s="2" t="s">
        <v>167</v>
      </c>
      <c r="E26" s="2" t="s">
        <v>168</v>
      </c>
      <c r="F26" s="2" t="s">
        <v>143</v>
      </c>
      <c r="G26" s="2" t="s">
        <v>169</v>
      </c>
      <c r="H26" s="2" t="s">
        <v>94</v>
      </c>
      <c r="I26" s="3" t="s">
        <v>152</v>
      </c>
      <c r="J26" s="2" t="s">
        <v>20</v>
      </c>
      <c r="K26" s="2" t="s">
        <v>170</v>
      </c>
    </row>
    <row r="27" customFormat="false" ht="32.8" hidden="false" customHeight="false" outlineLevel="0" collapsed="false">
      <c r="A27" s="2" t="s">
        <v>106</v>
      </c>
      <c r="B27" s="2" t="s">
        <v>171</v>
      </c>
      <c r="C27" s="3" t="s">
        <v>108</v>
      </c>
      <c r="D27" s="2" t="s">
        <v>172</v>
      </c>
      <c r="E27" s="2" t="s">
        <v>173</v>
      </c>
      <c r="F27" s="2" t="s">
        <v>111</v>
      </c>
      <c r="G27" s="2" t="s">
        <v>174</v>
      </c>
      <c r="H27" s="3" t="s">
        <v>175</v>
      </c>
      <c r="I27" s="3" t="s">
        <v>19</v>
      </c>
      <c r="J27" s="2" t="s">
        <v>176</v>
      </c>
      <c r="K27" s="2" t="s">
        <v>177</v>
      </c>
    </row>
    <row r="28" customFormat="false" ht="32.8" hidden="false" customHeight="false" outlineLevel="0" collapsed="false">
      <c r="A28" s="2" t="s">
        <v>106</v>
      </c>
      <c r="B28" s="2" t="s">
        <v>178</v>
      </c>
      <c r="C28" s="3" t="s">
        <v>108</v>
      </c>
      <c r="D28" s="2" t="s">
        <v>179</v>
      </c>
      <c r="E28" s="2" t="s">
        <v>180</v>
      </c>
      <c r="F28" s="2" t="s">
        <v>143</v>
      </c>
      <c r="G28" s="2" t="s">
        <v>181</v>
      </c>
      <c r="H28" s="3" t="s">
        <v>103</v>
      </c>
      <c r="I28" s="3" t="s">
        <v>182</v>
      </c>
      <c r="J28" s="2" t="s">
        <v>20</v>
      </c>
      <c r="K28" s="2" t="s">
        <v>183</v>
      </c>
    </row>
    <row r="29" customFormat="false" ht="32.8" hidden="false" customHeight="false" outlineLevel="0" collapsed="false">
      <c r="A29" s="2" t="s">
        <v>106</v>
      </c>
      <c r="B29" s="2" t="s">
        <v>184</v>
      </c>
      <c r="C29" s="2" t="s">
        <v>94</v>
      </c>
      <c r="D29" s="2" t="s">
        <v>94</v>
      </c>
      <c r="E29" s="3" t="s">
        <v>185</v>
      </c>
      <c r="F29" s="2" t="s">
        <v>94</v>
      </c>
      <c r="G29" s="2" t="s">
        <v>94</v>
      </c>
      <c r="H29" s="2" t="s">
        <v>94</v>
      </c>
      <c r="I29" s="3" t="s">
        <v>186</v>
      </c>
      <c r="J29" s="2" t="s">
        <v>94</v>
      </c>
      <c r="K29" s="2" t="s">
        <v>187</v>
      </c>
    </row>
    <row r="30" customFormat="false" ht="32.8" hidden="false" customHeight="false" outlineLevel="0" collapsed="false">
      <c r="A30" s="2" t="s">
        <v>106</v>
      </c>
      <c r="B30" s="2" t="s">
        <v>188</v>
      </c>
      <c r="C30" s="2" t="s">
        <v>94</v>
      </c>
      <c r="D30" s="2" t="s">
        <v>94</v>
      </c>
      <c r="E30" s="3" t="s">
        <v>189</v>
      </c>
      <c r="F30" s="2" t="s">
        <v>94</v>
      </c>
      <c r="G30" s="2" t="s">
        <v>94</v>
      </c>
      <c r="H30" s="2" t="s">
        <v>94</v>
      </c>
      <c r="I30" s="3" t="s">
        <v>190</v>
      </c>
      <c r="J30" s="2" t="s">
        <v>94</v>
      </c>
      <c r="K30" s="3" t="s">
        <v>191</v>
      </c>
    </row>
    <row r="31" customFormat="false" ht="32.8" hidden="false" customHeight="false" outlineLevel="0" collapsed="false">
      <c r="A31" s="2" t="s">
        <v>192</v>
      </c>
      <c r="B31" s="2" t="s">
        <v>193</v>
      </c>
      <c r="C31" s="3" t="s">
        <v>194</v>
      </c>
      <c r="D31" s="2" t="s">
        <v>61</v>
      </c>
      <c r="E31" s="2" t="s">
        <v>195</v>
      </c>
      <c r="F31" s="2" t="s">
        <v>16</v>
      </c>
      <c r="G31" s="2" t="s">
        <v>196</v>
      </c>
      <c r="H31" s="3" t="s">
        <v>121</v>
      </c>
      <c r="I31" s="3" t="s">
        <v>19</v>
      </c>
      <c r="J31" s="2" t="s">
        <v>20</v>
      </c>
      <c r="K31" s="3" t="s">
        <v>197</v>
      </c>
    </row>
    <row r="32" customFormat="false" ht="48.5" hidden="false" customHeight="false" outlineLevel="0" collapsed="false">
      <c r="A32" s="2" t="s">
        <v>192</v>
      </c>
      <c r="B32" s="2" t="s">
        <v>198</v>
      </c>
      <c r="C32" s="3" t="s">
        <v>194</v>
      </c>
      <c r="D32" s="2" t="s">
        <v>199</v>
      </c>
      <c r="E32" s="2" t="s">
        <v>200</v>
      </c>
      <c r="F32" s="2" t="s">
        <v>16</v>
      </c>
      <c r="G32" s="3" t="s">
        <v>201</v>
      </c>
      <c r="H32" s="3" t="s">
        <v>202</v>
      </c>
      <c r="I32" s="3" t="s">
        <v>203</v>
      </c>
      <c r="J32" s="2" t="s">
        <v>130</v>
      </c>
      <c r="K32" s="3" t="s">
        <v>204</v>
      </c>
    </row>
    <row r="33" customFormat="false" ht="32.8" hidden="false" customHeight="false" outlineLevel="0" collapsed="false">
      <c r="A33" s="2" t="s">
        <v>192</v>
      </c>
      <c r="B33" s="2" t="s">
        <v>205</v>
      </c>
      <c r="C33" s="2" t="s">
        <v>94</v>
      </c>
      <c r="D33" s="2" t="s">
        <v>94</v>
      </c>
      <c r="E33" s="3" t="s">
        <v>206</v>
      </c>
      <c r="F33" s="2" t="s">
        <v>94</v>
      </c>
      <c r="G33" s="2" t="s">
        <v>94</v>
      </c>
      <c r="H33" s="2" t="s">
        <v>94</v>
      </c>
      <c r="I33" s="3" t="s">
        <v>186</v>
      </c>
      <c r="J33" s="2" t="s">
        <v>94</v>
      </c>
      <c r="K33" s="2" t="s">
        <v>207</v>
      </c>
    </row>
    <row r="34" customFormat="false" ht="48.5" hidden="false" customHeight="false" outlineLevel="0" collapsed="false">
      <c r="A34" s="2" t="s">
        <v>192</v>
      </c>
      <c r="B34" s="2" t="s">
        <v>208</v>
      </c>
      <c r="C34" s="2" t="s">
        <v>209</v>
      </c>
      <c r="D34" s="2" t="s">
        <v>100</v>
      </c>
      <c r="E34" s="2" t="s">
        <v>210</v>
      </c>
      <c r="F34" s="2" t="s">
        <v>211</v>
      </c>
      <c r="G34" s="2" t="s">
        <v>212</v>
      </c>
      <c r="H34" s="3" t="s">
        <v>213</v>
      </c>
      <c r="I34" s="3" t="s">
        <v>214</v>
      </c>
      <c r="J34" s="2" t="s">
        <v>138</v>
      </c>
      <c r="K34" s="3" t="s">
        <v>215</v>
      </c>
    </row>
    <row r="35" customFormat="false" ht="46.25" hidden="false" customHeight="false" outlineLevel="0" collapsed="false">
      <c r="A35" s="2" t="s">
        <v>192</v>
      </c>
      <c r="B35" s="2" t="s">
        <v>216</v>
      </c>
      <c r="C35" s="3" t="s">
        <v>217</v>
      </c>
      <c r="D35" s="2" t="s">
        <v>218</v>
      </c>
      <c r="E35" s="2" t="s">
        <v>219</v>
      </c>
      <c r="F35" s="2" t="s">
        <v>16</v>
      </c>
      <c r="G35" s="3" t="s">
        <v>220</v>
      </c>
      <c r="H35" s="3" t="s">
        <v>221</v>
      </c>
      <c r="I35" s="3" t="s">
        <v>19</v>
      </c>
      <c r="J35" s="2" t="s">
        <v>130</v>
      </c>
      <c r="K35" s="3" t="s">
        <v>222</v>
      </c>
    </row>
    <row r="36" customFormat="false" ht="55.2" hidden="false" customHeight="false" outlineLevel="0" collapsed="false">
      <c r="A36" s="2" t="s">
        <v>192</v>
      </c>
      <c r="B36" s="3" t="s">
        <v>223</v>
      </c>
      <c r="C36" s="3" t="s">
        <v>194</v>
      </c>
      <c r="D36" s="2" t="s">
        <v>224</v>
      </c>
      <c r="E36" s="2" t="s">
        <v>225</v>
      </c>
      <c r="F36" s="2" t="s">
        <v>16</v>
      </c>
      <c r="G36" s="2" t="s">
        <v>226</v>
      </c>
      <c r="H36" s="3" t="s">
        <v>159</v>
      </c>
      <c r="I36" s="3" t="s">
        <v>19</v>
      </c>
      <c r="J36" s="2" t="s">
        <v>130</v>
      </c>
      <c r="K36" s="3" t="s">
        <v>227</v>
      </c>
    </row>
    <row r="37" customFormat="false" ht="32.8" hidden="false" customHeight="false" outlineLevel="0" collapsed="false">
      <c r="A37" s="2" t="s">
        <v>192</v>
      </c>
      <c r="B37" s="2" t="s">
        <v>228</v>
      </c>
      <c r="C37" s="2" t="s">
        <v>99</v>
      </c>
      <c r="D37" s="2" t="s">
        <v>94</v>
      </c>
      <c r="E37" s="2" t="s">
        <v>229</v>
      </c>
      <c r="F37" s="2" t="s">
        <v>211</v>
      </c>
      <c r="G37" s="2" t="s">
        <v>230</v>
      </c>
      <c r="H37" s="3" t="s">
        <v>103</v>
      </c>
      <c r="I37" s="3" t="s">
        <v>214</v>
      </c>
      <c r="J37" s="2" t="s">
        <v>94</v>
      </c>
      <c r="K37" s="3" t="s">
        <v>231</v>
      </c>
    </row>
    <row r="38" customFormat="false" ht="32.8" hidden="false" customHeight="false" outlineLevel="0" collapsed="false">
      <c r="A38" s="2" t="s">
        <v>192</v>
      </c>
      <c r="B38" s="2" t="s">
        <v>232</v>
      </c>
      <c r="C38" s="3" t="s">
        <v>194</v>
      </c>
      <c r="D38" s="2" t="s">
        <v>233</v>
      </c>
      <c r="E38" s="2" t="s">
        <v>234</v>
      </c>
      <c r="F38" s="2" t="s">
        <v>16</v>
      </c>
      <c r="G38" s="2" t="s">
        <v>235</v>
      </c>
      <c r="H38" s="3" t="s">
        <v>214</v>
      </c>
      <c r="I38" s="3" t="s">
        <v>214</v>
      </c>
      <c r="J38" s="2" t="s">
        <v>20</v>
      </c>
      <c r="K38" s="3" t="s">
        <v>236</v>
      </c>
    </row>
    <row r="39" customFormat="false" ht="41.75" hidden="false" customHeight="false" outlineLevel="0" collapsed="false">
      <c r="A39" s="2" t="s">
        <v>192</v>
      </c>
      <c r="B39" s="2" t="s">
        <v>237</v>
      </c>
      <c r="C39" s="3" t="s">
        <v>238</v>
      </c>
      <c r="D39" s="2" t="s">
        <v>239</v>
      </c>
      <c r="E39" s="2" t="s">
        <v>240</v>
      </c>
      <c r="F39" s="2" t="s">
        <v>16</v>
      </c>
      <c r="G39" s="2" t="s">
        <v>241</v>
      </c>
      <c r="H39" s="3" t="s">
        <v>214</v>
      </c>
      <c r="I39" s="3" t="s">
        <v>242</v>
      </c>
      <c r="J39" s="2" t="s">
        <v>20</v>
      </c>
      <c r="K39" s="3" t="s">
        <v>243</v>
      </c>
    </row>
    <row r="40" customFormat="false" ht="32.8" hidden="false" customHeight="false" outlineLevel="0" collapsed="false">
      <c r="A40" s="2" t="s">
        <v>192</v>
      </c>
      <c r="B40" s="2" t="s">
        <v>244</v>
      </c>
      <c r="C40" s="2" t="s">
        <v>94</v>
      </c>
      <c r="D40" s="2" t="s">
        <v>94</v>
      </c>
      <c r="E40" s="3" t="s">
        <v>245</v>
      </c>
      <c r="F40" s="2" t="s">
        <v>94</v>
      </c>
      <c r="G40" s="2" t="s">
        <v>94</v>
      </c>
      <c r="H40" s="2" t="s">
        <v>94</v>
      </c>
      <c r="I40" s="3" t="s">
        <v>186</v>
      </c>
      <c r="J40" s="2" t="s">
        <v>94</v>
      </c>
      <c r="K40" s="2"/>
    </row>
    <row r="41" customFormat="false" ht="48.5" hidden="false" customHeight="false" outlineLevel="0" collapsed="false">
      <c r="A41" s="2" t="s">
        <v>246</v>
      </c>
      <c r="B41" s="2" t="s">
        <v>247</v>
      </c>
      <c r="C41" s="2" t="s">
        <v>248</v>
      </c>
      <c r="D41" s="2" t="s">
        <v>249</v>
      </c>
      <c r="E41" s="2" t="s">
        <v>250</v>
      </c>
      <c r="F41" s="2" t="s">
        <v>211</v>
      </c>
      <c r="G41" s="2" t="s">
        <v>251</v>
      </c>
      <c r="H41" s="3" t="s">
        <v>121</v>
      </c>
      <c r="I41" s="3" t="s">
        <v>252</v>
      </c>
      <c r="J41" s="2" t="s">
        <v>138</v>
      </c>
      <c r="K41" s="3" t="s">
        <v>253</v>
      </c>
    </row>
    <row r="42" customFormat="false" ht="32.8" hidden="false" customHeight="false" outlineLevel="0" collapsed="false">
      <c r="A42" s="2" t="s">
        <v>246</v>
      </c>
      <c r="B42" s="3" t="s">
        <v>254</v>
      </c>
      <c r="C42" s="2" t="s">
        <v>255</v>
      </c>
      <c r="D42" s="2" t="s">
        <v>94</v>
      </c>
      <c r="E42" s="3" t="s">
        <v>256</v>
      </c>
      <c r="F42" s="2" t="s">
        <v>211</v>
      </c>
      <c r="G42" s="3" t="s">
        <v>257</v>
      </c>
      <c r="H42" s="3" t="s">
        <v>258</v>
      </c>
      <c r="I42" s="2" t="s">
        <v>94</v>
      </c>
      <c r="J42" s="2" t="s">
        <v>94</v>
      </c>
      <c r="K42" s="3" t="s">
        <v>259</v>
      </c>
    </row>
    <row r="43" customFormat="false" ht="32.8" hidden="false" customHeight="false" outlineLevel="0" collapsed="false">
      <c r="A43" s="2" t="s">
        <v>246</v>
      </c>
      <c r="B43" s="2" t="s">
        <v>260</v>
      </c>
      <c r="C43" s="3" t="s">
        <v>261</v>
      </c>
      <c r="D43" s="2" t="s">
        <v>94</v>
      </c>
      <c r="E43" s="2" t="s">
        <v>262</v>
      </c>
      <c r="F43" s="2" t="s">
        <v>211</v>
      </c>
      <c r="G43" s="2" t="s">
        <v>212</v>
      </c>
      <c r="H43" s="2" t="s">
        <v>94</v>
      </c>
      <c r="I43" s="3" t="s">
        <v>19</v>
      </c>
      <c r="J43" s="2" t="s">
        <v>138</v>
      </c>
      <c r="K43" s="3" t="s">
        <v>263</v>
      </c>
    </row>
    <row r="44" customFormat="false" ht="32.8" hidden="false" customHeight="false" outlineLevel="0" collapsed="false">
      <c r="A44" s="2" t="s">
        <v>246</v>
      </c>
      <c r="B44" s="2" t="s">
        <v>264</v>
      </c>
      <c r="C44" s="3" t="s">
        <v>194</v>
      </c>
      <c r="D44" s="2" t="s">
        <v>265</v>
      </c>
      <c r="E44" s="2" t="s">
        <v>266</v>
      </c>
      <c r="F44" s="2" t="s">
        <v>211</v>
      </c>
      <c r="G44" s="2" t="s">
        <v>212</v>
      </c>
      <c r="H44" s="2" t="s">
        <v>94</v>
      </c>
      <c r="I44" s="3" t="s">
        <v>19</v>
      </c>
      <c r="J44" s="2" t="s">
        <v>138</v>
      </c>
      <c r="K44" s="2" t="s">
        <v>267</v>
      </c>
    </row>
    <row r="45" customFormat="false" ht="48.5" hidden="false" customHeight="false" outlineLevel="0" collapsed="false">
      <c r="A45" s="2" t="s">
        <v>246</v>
      </c>
      <c r="B45" s="2" t="s">
        <v>268</v>
      </c>
      <c r="C45" s="2" t="s">
        <v>94</v>
      </c>
      <c r="D45" s="2" t="s">
        <v>94</v>
      </c>
      <c r="E45" s="3" t="s">
        <v>269</v>
      </c>
      <c r="F45" s="2" t="s">
        <v>94</v>
      </c>
      <c r="G45" s="2" t="s">
        <v>94</v>
      </c>
      <c r="H45" s="2" t="s">
        <v>94</v>
      </c>
      <c r="I45" s="3" t="s">
        <v>186</v>
      </c>
      <c r="J45" s="2" t="s">
        <v>94</v>
      </c>
      <c r="K45" s="2" t="s">
        <v>270</v>
      </c>
    </row>
    <row r="46" customFormat="false" ht="55.2" hidden="false" customHeight="false" outlineLevel="0" collapsed="false">
      <c r="A46" s="2" t="s">
        <v>246</v>
      </c>
      <c r="B46" s="2" t="s">
        <v>271</v>
      </c>
      <c r="C46" s="3" t="s">
        <v>194</v>
      </c>
      <c r="D46" s="2" t="s">
        <v>224</v>
      </c>
      <c r="E46" s="2" t="s">
        <v>225</v>
      </c>
      <c r="F46" s="2" t="s">
        <v>16</v>
      </c>
      <c r="G46" s="2" t="s">
        <v>272</v>
      </c>
      <c r="H46" s="2" t="s">
        <v>94</v>
      </c>
      <c r="I46" s="3" t="s">
        <v>19</v>
      </c>
      <c r="J46" s="2" t="s">
        <v>130</v>
      </c>
      <c r="K46" s="3" t="s">
        <v>273</v>
      </c>
    </row>
    <row r="47" customFormat="false" ht="48.5" hidden="false" customHeight="false" outlineLevel="0" collapsed="false">
      <c r="A47" s="2" t="s">
        <v>246</v>
      </c>
      <c r="B47" s="2" t="s">
        <v>274</v>
      </c>
      <c r="C47" s="3" t="s">
        <v>194</v>
      </c>
      <c r="D47" s="2" t="s">
        <v>218</v>
      </c>
      <c r="E47" s="2" t="s">
        <v>219</v>
      </c>
      <c r="F47" s="2" t="s">
        <v>16</v>
      </c>
      <c r="G47" s="3" t="s">
        <v>275</v>
      </c>
      <c r="H47" s="2" t="s">
        <v>94</v>
      </c>
      <c r="I47" s="3" t="s">
        <v>19</v>
      </c>
      <c r="J47" s="2" t="s">
        <v>130</v>
      </c>
      <c r="K47" s="3" t="s">
        <v>276</v>
      </c>
    </row>
    <row r="48" customFormat="false" ht="48.5" hidden="false" customHeight="false" outlineLevel="0" collapsed="false">
      <c r="A48" s="2" t="s">
        <v>246</v>
      </c>
      <c r="B48" s="3" t="s">
        <v>277</v>
      </c>
      <c r="C48" s="2" t="s">
        <v>278</v>
      </c>
      <c r="D48" s="2" t="s">
        <v>279</v>
      </c>
      <c r="E48" s="2" t="s">
        <v>280</v>
      </c>
      <c r="F48" s="2" t="s">
        <v>211</v>
      </c>
      <c r="G48" s="2" t="s">
        <v>281</v>
      </c>
      <c r="H48" s="3" t="s">
        <v>159</v>
      </c>
      <c r="I48" s="3" t="s">
        <v>19</v>
      </c>
      <c r="J48" s="2" t="s">
        <v>138</v>
      </c>
      <c r="K48" s="3" t="s">
        <v>282</v>
      </c>
    </row>
    <row r="49" customFormat="false" ht="30.55" hidden="false" customHeight="false" outlineLevel="0" collapsed="false">
      <c r="A49" s="2" t="s">
        <v>246</v>
      </c>
      <c r="B49" s="3" t="s">
        <v>283</v>
      </c>
      <c r="C49" s="2" t="s">
        <v>278</v>
      </c>
      <c r="D49" s="2" t="s">
        <v>284</v>
      </c>
      <c r="E49" s="2" t="s">
        <v>157</v>
      </c>
      <c r="F49" s="2" t="s">
        <v>143</v>
      </c>
      <c r="G49" s="3" t="s">
        <v>285</v>
      </c>
      <c r="H49" s="3" t="s">
        <v>159</v>
      </c>
      <c r="I49" s="3" t="s">
        <v>19</v>
      </c>
      <c r="J49" s="2" t="s">
        <v>20</v>
      </c>
      <c r="K49" s="3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8" min="6" style="0" width="10"/>
    <col collapsed="false" customWidth="true" hidden="false" outlineLevel="0" max="9" min="9" style="0" width="22"/>
    <col collapsed="false" customWidth="true" hidden="false" outlineLevel="0" max="10" min="10" style="0" width="16"/>
  </cols>
  <sheetData>
    <row r="1" customFormat="false" ht="17.15" hidden="false" customHeight="false" outlineLevel="0" collapsed="false">
      <c r="A1" s="4" t="s">
        <v>287</v>
      </c>
    </row>
    <row r="2" customFormat="false" ht="15" hidden="false" customHeight="false" outlineLevel="0" collapsed="false">
      <c r="A2" s="0" t="s">
        <v>288</v>
      </c>
      <c r="B2" s="0" t="n">
        <v>16384</v>
      </c>
    </row>
    <row r="3" customFormat="false" ht="15" hidden="false" customHeight="false" outlineLevel="0" collapsed="false">
      <c r="A3" s="0" t="s">
        <v>289</v>
      </c>
      <c r="B3" s="0" t="n">
        <v>2048</v>
      </c>
    </row>
    <row r="4" customFormat="false" ht="17.15" hidden="false" customHeight="false" outlineLevel="0" collapsed="false">
      <c r="A4" s="4" t="s">
        <v>290</v>
      </c>
      <c r="B4" s="0" t="n">
        <v>0.55</v>
      </c>
    </row>
    <row r="5" customFormat="false" ht="15" hidden="false" customHeight="false" outlineLevel="0" collapsed="false">
      <c r="A5" s="4" t="s">
        <v>291</v>
      </c>
      <c r="B5" s="0" t="n">
        <v>0.2</v>
      </c>
    </row>
    <row r="7" customFormat="false" ht="17.15" hidden="false" customHeight="false" outlineLevel="0" collapsed="false">
      <c r="A7" s="4" t="s">
        <v>292</v>
      </c>
      <c r="B7" s="4" t="s">
        <v>293</v>
      </c>
      <c r="C7" s="4" t="s">
        <v>294</v>
      </c>
      <c r="D7" s="4" t="s">
        <v>295</v>
      </c>
      <c r="E7" s="4" t="s">
        <v>296</v>
      </c>
      <c r="F7" s="4" t="s">
        <v>297</v>
      </c>
      <c r="G7" s="4" t="s">
        <v>298</v>
      </c>
      <c r="H7" s="4" t="s">
        <v>299</v>
      </c>
      <c r="I7" s="4" t="s">
        <v>300</v>
      </c>
      <c r="J7" s="4" t="s">
        <v>301</v>
      </c>
    </row>
    <row r="8" customFormat="false" ht="17.15" hidden="false" customHeight="false" outlineLevel="0" collapsed="false">
      <c r="A8" s="0" t="s">
        <v>302</v>
      </c>
      <c r="B8" s="0" t="s">
        <v>303</v>
      </c>
      <c r="C8" s="5" t="n">
        <v>45658</v>
      </c>
      <c r="D8" s="5" t="n">
        <v>45761</v>
      </c>
      <c r="E8" s="6" t="n">
        <f aca="false">D8-C8</f>
        <v>103</v>
      </c>
      <c r="F8" s="0" t="n">
        <v>0.15</v>
      </c>
      <c r="G8" s="0" t="n">
        <v>0.075</v>
      </c>
      <c r="H8" s="0" t="n">
        <v>0.6</v>
      </c>
      <c r="I8" s="6" t="n">
        <f aca="false">($B$2*((1-$B$4)*F8+$B$4*G8)+$B$3*H8)/($B$2+$B$3)</f>
        <v>0.163333333333333</v>
      </c>
      <c r="J8" s="6" t="n">
        <f aca="false">E8*I8</f>
        <v>16.8233333333333</v>
      </c>
    </row>
    <row r="9" customFormat="false" ht="17.15" hidden="false" customHeight="false" outlineLevel="0" collapsed="false">
      <c r="A9" s="0" t="s">
        <v>302</v>
      </c>
      <c r="B9" s="0" t="s">
        <v>304</v>
      </c>
      <c r="C9" s="5" t="n">
        <v>45761</v>
      </c>
      <c r="D9" s="5" t="n">
        <v>45876</v>
      </c>
      <c r="E9" s="6" t="n">
        <f aca="false">D9-C9</f>
        <v>115</v>
      </c>
      <c r="F9" s="0" t="n">
        <v>0.1</v>
      </c>
      <c r="G9" s="0" t="n">
        <v>0.025</v>
      </c>
      <c r="H9" s="0" t="n">
        <v>0.4</v>
      </c>
      <c r="I9" s="6" t="n">
        <f aca="false">($B$2*((1-$B$4)*F9+$B$4*G9)+$B$3*H9)/($B$2+$B$3)</f>
        <v>0.0966666666666667</v>
      </c>
      <c r="J9" s="6" t="n">
        <f aca="false">E9*I9</f>
        <v>11.1166666666667</v>
      </c>
    </row>
    <row r="10" customFormat="false" ht="17.15" hidden="false" customHeight="false" outlineLevel="0" collapsed="false">
      <c r="A10" s="0" t="s">
        <v>302</v>
      </c>
      <c r="B10" s="0" t="s">
        <v>305</v>
      </c>
      <c r="C10" s="5" t="n">
        <v>45876</v>
      </c>
      <c r="D10" s="5" t="n">
        <v>46023</v>
      </c>
      <c r="E10" s="6" t="n">
        <f aca="false">D10-C10</f>
        <v>147</v>
      </c>
      <c r="F10" s="0" t="n">
        <v>0.05</v>
      </c>
      <c r="G10" s="0" t="n">
        <v>0.005</v>
      </c>
      <c r="H10" s="0" t="n">
        <v>0.4</v>
      </c>
      <c r="I10" s="6" t="n">
        <f aca="false">($B$2*((1-$B$4)*F10+$B$4*G10)+$B$3*H10)/($B$2+$B$3)</f>
        <v>0.0668888888888889</v>
      </c>
      <c r="J10" s="6" t="n">
        <f aca="false">E10*I10</f>
        <v>9.83266666666667</v>
      </c>
    </row>
    <row r="11" customFormat="false" ht="17.15" hidden="false" customHeight="false" outlineLevel="0" collapsed="false">
      <c r="A11" s="0" t="s">
        <v>306</v>
      </c>
      <c r="B11" s="0" t="s">
        <v>303</v>
      </c>
      <c r="C11" s="5" t="n">
        <v>45658</v>
      </c>
      <c r="D11" s="5" t="n">
        <v>45761</v>
      </c>
      <c r="E11" s="6" t="n">
        <f aca="false">D11-C11</f>
        <v>103</v>
      </c>
      <c r="F11" s="0" t="n">
        <v>0.15</v>
      </c>
      <c r="G11" s="0" t="n">
        <v>0.075</v>
      </c>
      <c r="H11" s="0" t="n">
        <v>0.6</v>
      </c>
      <c r="I11" s="6" t="n">
        <f aca="false">($B$2*((1-$B$4)*F11+$B$4*G11)+$B$3*H11)/($B$2+$B$3)</f>
        <v>0.163333333333333</v>
      </c>
      <c r="J11" s="6" t="n">
        <f aca="false">E11*I11</f>
        <v>16.8233333333333</v>
      </c>
    </row>
    <row r="12" customFormat="false" ht="17.15" hidden="false" customHeight="false" outlineLevel="0" collapsed="false">
      <c r="A12" s="0" t="s">
        <v>306</v>
      </c>
      <c r="B12" s="0" t="s">
        <v>307</v>
      </c>
      <c r="C12" s="5" t="n">
        <v>45761</v>
      </c>
      <c r="D12" s="5" t="n">
        <v>45876</v>
      </c>
      <c r="E12" s="6" t="n">
        <f aca="false">D12-C12</f>
        <v>115</v>
      </c>
      <c r="F12" s="0" t="n">
        <v>0.4</v>
      </c>
      <c r="G12" s="0" t="n">
        <v>0.1</v>
      </c>
      <c r="H12" s="0" t="n">
        <v>1.6</v>
      </c>
      <c r="I12" s="6" t="n">
        <f aca="false">($B$2*((1-$B$4)*F12+$B$4*G12)+$B$3*H12)/($B$2+$B$3)</f>
        <v>0.386666666666667</v>
      </c>
      <c r="J12" s="6" t="n">
        <f aca="false">E12*I12</f>
        <v>44.4666666666667</v>
      </c>
    </row>
    <row r="13" customFormat="false" ht="17.15" hidden="false" customHeight="false" outlineLevel="0" collapsed="false">
      <c r="A13" s="0" t="s">
        <v>306</v>
      </c>
      <c r="B13" s="0" t="s">
        <v>308</v>
      </c>
      <c r="C13" s="5" t="n">
        <v>45876</v>
      </c>
      <c r="D13" s="5" t="n">
        <v>46023</v>
      </c>
      <c r="E13" s="6" t="n">
        <f aca="false">D13-C13</f>
        <v>147</v>
      </c>
      <c r="F13" s="0" t="n">
        <v>0.25</v>
      </c>
      <c r="G13" s="0" t="n">
        <v>0.025</v>
      </c>
      <c r="H13" s="0" t="n">
        <v>2</v>
      </c>
      <c r="I13" s="6" t="n">
        <f aca="false">($B$2*((1-$B$4)*F13+$B$4*G13)+$B$3*H13)/($B$2+$B$3)</f>
        <v>0.334444444444444</v>
      </c>
      <c r="J13" s="6" t="n">
        <f aca="false">E13*I13</f>
        <v>49.1633333333333</v>
      </c>
    </row>
    <row r="14" customFormat="false" ht="17.15" hidden="false" customHeight="false" outlineLevel="0" collapsed="false">
      <c r="A14" s="0" t="s">
        <v>309</v>
      </c>
      <c r="B14" s="0" t="s">
        <v>305</v>
      </c>
      <c r="C14" s="5" t="n">
        <v>45658</v>
      </c>
      <c r="D14" s="5" t="n">
        <v>46023</v>
      </c>
      <c r="E14" s="6" t="n">
        <f aca="false">D14-C14</f>
        <v>365</v>
      </c>
      <c r="F14" s="0" t="n">
        <v>0.05</v>
      </c>
      <c r="G14" s="0" t="n">
        <v>0.005</v>
      </c>
      <c r="H14" s="0" t="n">
        <v>0.4</v>
      </c>
      <c r="I14" s="6" t="n">
        <f aca="false">($B$2*((1-$B$4)*F14+$B$4*G14)+$B$3*H14)/($B$2+$B$3)</f>
        <v>0.0668888888888889</v>
      </c>
      <c r="J14" s="6" t="n">
        <f aca="false">E14*I14</f>
        <v>24.4144444444444</v>
      </c>
    </row>
    <row r="15" customFormat="false" ht="17.15" hidden="false" customHeight="false" outlineLevel="0" collapsed="false">
      <c r="A15" s="0" t="s">
        <v>310</v>
      </c>
      <c r="B15" s="0" t="s">
        <v>311</v>
      </c>
      <c r="C15" s="5" t="n">
        <v>45658</v>
      </c>
      <c r="D15" s="5" t="n">
        <v>45761</v>
      </c>
      <c r="E15" s="6" t="n">
        <f aca="false">D15-C15</f>
        <v>103</v>
      </c>
      <c r="F15" s="0" t="n">
        <v>2.5</v>
      </c>
      <c r="G15" s="0" t="n">
        <v>1.25</v>
      </c>
      <c r="H15" s="0" t="n">
        <v>10</v>
      </c>
      <c r="I15" s="6" t="n">
        <f aca="false">($B$2*((1-$B$4)*F15+$B$4*G15)+$B$3*H15)/($B$2+$B$3)</f>
        <v>2.72222222222222</v>
      </c>
      <c r="J15" s="6" t="n">
        <f aca="false">E15*I15</f>
        <v>280.388888888889</v>
      </c>
    </row>
    <row r="16" customFormat="false" ht="17.15" hidden="false" customHeight="false" outlineLevel="0" collapsed="false">
      <c r="A16" s="0" t="s">
        <v>310</v>
      </c>
      <c r="B16" s="0" t="s">
        <v>312</v>
      </c>
      <c r="C16" s="5" t="n">
        <v>45761</v>
      </c>
      <c r="D16" s="5" t="n">
        <v>45876</v>
      </c>
      <c r="E16" s="6" t="n">
        <f aca="false">D16-C16</f>
        <v>115</v>
      </c>
      <c r="F16" s="0" t="n">
        <v>2</v>
      </c>
      <c r="G16" s="0" t="n">
        <v>0.5</v>
      </c>
      <c r="H16" s="0" t="n">
        <v>8</v>
      </c>
      <c r="I16" s="6" t="n">
        <f aca="false">($B$2*((1-$B$4)*F16+$B$4*G16)+$B$3*H16)/($B$2+$B$3)</f>
        <v>1.93333333333333</v>
      </c>
      <c r="J16" s="6" t="n">
        <f aca="false">E16*I16</f>
        <v>222.333333333333</v>
      </c>
    </row>
    <row r="17" customFormat="false" ht="17.15" hidden="false" customHeight="false" outlineLevel="0" collapsed="false">
      <c r="A17" s="0" t="s">
        <v>310</v>
      </c>
      <c r="B17" s="0" t="s">
        <v>313</v>
      </c>
      <c r="C17" s="5" t="n">
        <v>45876</v>
      </c>
      <c r="D17" s="5" t="n">
        <v>46002</v>
      </c>
      <c r="E17" s="6" t="n">
        <f aca="false">D17-C17</f>
        <v>126</v>
      </c>
      <c r="F17" s="0" t="n">
        <v>1.25</v>
      </c>
      <c r="G17" s="0" t="n">
        <v>0.125</v>
      </c>
      <c r="H17" s="0" t="n">
        <v>10</v>
      </c>
      <c r="I17" s="6" t="n">
        <f aca="false">($B$2*((1-$B$4)*F17+$B$4*G17)+$B$3*H17)/($B$2+$B$3)</f>
        <v>1.67222222222222</v>
      </c>
      <c r="J17" s="6" t="n">
        <f aca="false">E17*I17</f>
        <v>210.7</v>
      </c>
    </row>
    <row r="18" customFormat="false" ht="17.15" hidden="false" customHeight="false" outlineLevel="0" collapsed="false">
      <c r="A18" s="0" t="s">
        <v>310</v>
      </c>
      <c r="B18" s="0" t="s">
        <v>314</v>
      </c>
      <c r="C18" s="5" t="n">
        <v>46002</v>
      </c>
      <c r="D18" s="5" t="n">
        <v>46023</v>
      </c>
      <c r="E18" s="6" t="n">
        <f aca="false">D18-C18</f>
        <v>21</v>
      </c>
      <c r="F18" s="0" t="n">
        <v>1.75</v>
      </c>
      <c r="G18" s="0" t="n">
        <v>0.175</v>
      </c>
      <c r="H18" s="0" t="n">
        <v>14</v>
      </c>
      <c r="I18" s="6" t="n">
        <f aca="false">($B$2*((1-$B$4)*F18+$B$4*G18)+$B$3*H18)/($B$2+$B$3)</f>
        <v>2.34111111111111</v>
      </c>
      <c r="J18" s="6" t="n">
        <f aca="false">E18*I18</f>
        <v>49.1633333333333</v>
      </c>
    </row>
    <row r="19" customFormat="false" ht="17.15" hidden="false" customHeight="false" outlineLevel="0" collapsed="false">
      <c r="A19" s="0" t="s">
        <v>315</v>
      </c>
      <c r="B19" s="0" t="s">
        <v>311</v>
      </c>
      <c r="C19" s="5" t="n">
        <v>45658</v>
      </c>
      <c r="D19" s="5" t="n">
        <v>45876</v>
      </c>
      <c r="E19" s="6" t="n">
        <f aca="false">D19-C19</f>
        <v>218</v>
      </c>
      <c r="F19" s="0" t="n">
        <v>2.5</v>
      </c>
      <c r="G19" s="0" t="n">
        <v>1.25</v>
      </c>
      <c r="H19" s="0" t="n">
        <v>10</v>
      </c>
      <c r="I19" s="6" t="n">
        <f aca="false">($B$2*((1-$B$4)*F19+$B$4*G19)+$B$3*H19)/($B$2+$B$3)</f>
        <v>2.72222222222222</v>
      </c>
      <c r="J19" s="6" t="n">
        <f aca="false">E19*I19</f>
        <v>593.444444444445</v>
      </c>
    </row>
    <row r="20" customFormat="false" ht="17.15" hidden="false" customHeight="false" outlineLevel="0" collapsed="false">
      <c r="A20" s="0" t="s">
        <v>315</v>
      </c>
      <c r="B20" s="0" t="s">
        <v>313</v>
      </c>
      <c r="C20" s="5" t="n">
        <v>45876</v>
      </c>
      <c r="D20" s="5" t="n">
        <v>46002</v>
      </c>
      <c r="E20" s="6" t="n">
        <f aca="false">D20-C20</f>
        <v>126</v>
      </c>
      <c r="F20" s="0" t="n">
        <v>1.25</v>
      </c>
      <c r="G20" s="0" t="n">
        <v>0.125</v>
      </c>
      <c r="H20" s="0" t="n">
        <v>10</v>
      </c>
      <c r="I20" s="6" t="n">
        <f aca="false">($B$2*((1-$B$4)*F20+$B$4*G20)+$B$3*H20)/($B$2+$B$3)</f>
        <v>1.67222222222222</v>
      </c>
      <c r="J20" s="6" t="n">
        <f aca="false">E20*I20</f>
        <v>210.7</v>
      </c>
    </row>
    <row r="21" customFormat="false" ht="17.15" hidden="false" customHeight="false" outlineLevel="0" collapsed="false">
      <c r="A21" s="0" t="s">
        <v>315</v>
      </c>
      <c r="B21" s="0" t="s">
        <v>314</v>
      </c>
      <c r="C21" s="5" t="n">
        <v>46002</v>
      </c>
      <c r="D21" s="5" t="n">
        <v>46023</v>
      </c>
      <c r="E21" s="6" t="n">
        <f aca="false">D21-C21</f>
        <v>21</v>
      </c>
      <c r="F21" s="0" t="n">
        <v>1.75</v>
      </c>
      <c r="G21" s="0" t="n">
        <v>0.175</v>
      </c>
      <c r="H21" s="0" t="n">
        <v>14</v>
      </c>
      <c r="I21" s="6" t="n">
        <f aca="false">($B$2*((1-$B$4)*F21+$B$4*G21)+$B$3*H21)/($B$2+$B$3)</f>
        <v>2.34111111111111</v>
      </c>
      <c r="J21" s="6" t="n">
        <f aca="false">E21*I21</f>
        <v>49.1633333333333</v>
      </c>
    </row>
    <row r="22" customFormat="false" ht="17.15" hidden="false" customHeight="false" outlineLevel="0" collapsed="false">
      <c r="A22" s="0" t="s">
        <v>316</v>
      </c>
      <c r="B22" s="0" t="s">
        <v>313</v>
      </c>
      <c r="C22" s="5" t="n">
        <v>45658</v>
      </c>
      <c r="D22" s="5" t="n">
        <v>46023</v>
      </c>
      <c r="E22" s="6" t="n">
        <f aca="false">D22-C22</f>
        <v>365</v>
      </c>
      <c r="F22" s="0" t="n">
        <v>1.25</v>
      </c>
      <c r="G22" s="0" t="n">
        <v>0.125</v>
      </c>
      <c r="H22" s="0" t="n">
        <v>10</v>
      </c>
      <c r="I22" s="6" t="n">
        <f aca="false">($B$2*((1-$B$4)*F22+$B$4*G22)+$B$3*H22)/($B$2+$B$3)</f>
        <v>1.67222222222222</v>
      </c>
      <c r="J22" s="6" t="n">
        <f aca="false">E22*I22</f>
        <v>610.361111111111</v>
      </c>
    </row>
    <row r="23" customFormat="false" ht="17.15" hidden="false" customHeight="false" outlineLevel="0" collapsed="false">
      <c r="A23" s="0" t="s">
        <v>317</v>
      </c>
      <c r="B23" s="0" t="s">
        <v>318</v>
      </c>
      <c r="C23" s="5" t="n">
        <v>45658</v>
      </c>
      <c r="D23" s="5" t="n">
        <v>45763</v>
      </c>
      <c r="E23" s="6" t="n">
        <f aca="false">D23-C23</f>
        <v>105</v>
      </c>
      <c r="F23" s="0" t="n">
        <v>15</v>
      </c>
      <c r="G23" s="0" t="n">
        <v>7.5</v>
      </c>
      <c r="H23" s="0" t="n">
        <v>60</v>
      </c>
      <c r="I23" s="6" t="n">
        <f aca="false">($B$2*((1-$B$4)*F23+$B$4*G23)+$B$3*H23)/($B$2+$B$3)</f>
        <v>16.3333333333333</v>
      </c>
      <c r="J23" s="6" t="n">
        <f aca="false">E23*I23</f>
        <v>1715</v>
      </c>
    </row>
    <row r="24" customFormat="false" ht="17.15" hidden="false" customHeight="false" outlineLevel="0" collapsed="false">
      <c r="A24" s="0" t="s">
        <v>317</v>
      </c>
      <c r="B24" s="0" t="s">
        <v>319</v>
      </c>
      <c r="C24" s="5" t="n">
        <v>45763</v>
      </c>
      <c r="D24" s="5" t="n">
        <v>45818</v>
      </c>
      <c r="E24" s="6" t="n">
        <f aca="false">D24-C24</f>
        <v>55</v>
      </c>
      <c r="F24" s="0" t="n">
        <v>10</v>
      </c>
      <c r="G24" s="0" t="n">
        <v>2.5</v>
      </c>
      <c r="H24" s="0" t="n">
        <v>40</v>
      </c>
      <c r="I24" s="6" t="n">
        <f aca="false">($B$2*((1-$B$4)*F24+$B$4*G24)+$B$3*H24)/($B$2+$B$3)</f>
        <v>9.66666666666667</v>
      </c>
      <c r="J24" s="6" t="n">
        <f aca="false">E24*I24</f>
        <v>531.666666666667</v>
      </c>
    </row>
    <row r="25" customFormat="false" ht="17.15" hidden="false" customHeight="false" outlineLevel="0" collapsed="false">
      <c r="A25" s="0" t="s">
        <v>317</v>
      </c>
      <c r="B25" s="0" t="s">
        <v>320</v>
      </c>
      <c r="C25" s="5" t="n">
        <v>45818</v>
      </c>
      <c r="D25" s="5" t="n">
        <v>45876</v>
      </c>
      <c r="E25" s="6" t="n">
        <f aca="false">D25-C25</f>
        <v>58</v>
      </c>
      <c r="F25" s="0" t="n">
        <v>2</v>
      </c>
      <c r="G25" s="0" t="n">
        <v>0.5</v>
      </c>
      <c r="H25" s="0" t="n">
        <v>8</v>
      </c>
      <c r="I25" s="6" t="n">
        <f aca="false">($B$2*((1-$B$4)*F25+$B$4*G25)+$B$3*H25)/($B$2+$B$3)</f>
        <v>1.93333333333333</v>
      </c>
      <c r="J25" s="6" t="n">
        <f aca="false">E25*I25</f>
        <v>112.133333333333</v>
      </c>
    </row>
    <row r="26" customFormat="false" ht="17.15" hidden="false" customHeight="false" outlineLevel="0" collapsed="false">
      <c r="A26" s="0" t="s">
        <v>317</v>
      </c>
      <c r="B26" s="0" t="s">
        <v>321</v>
      </c>
      <c r="C26" s="5" t="n">
        <v>45876</v>
      </c>
      <c r="D26" s="5" t="n">
        <v>46002</v>
      </c>
      <c r="E26" s="6" t="n">
        <f aca="false">D26-C26</f>
        <v>126</v>
      </c>
      <c r="F26" s="0" t="n">
        <v>1.25</v>
      </c>
      <c r="G26" s="0" t="n">
        <v>0.125</v>
      </c>
      <c r="H26" s="0" t="n">
        <v>10</v>
      </c>
      <c r="I26" s="6" t="n">
        <f aca="false">($B$2*((1-$B$4)*F26+$B$4*G26)+$B$3*H26)/($B$2+$B$3)</f>
        <v>1.67222222222222</v>
      </c>
      <c r="J26" s="6" t="n">
        <f aca="false">E26*I26</f>
        <v>210.7</v>
      </c>
    </row>
    <row r="27" customFormat="false" ht="17.15" hidden="false" customHeight="false" outlineLevel="0" collapsed="false">
      <c r="A27" s="0" t="s">
        <v>317</v>
      </c>
      <c r="B27" s="0" t="s">
        <v>314</v>
      </c>
      <c r="C27" s="5" t="n">
        <v>46002</v>
      </c>
      <c r="D27" s="5" t="n">
        <v>46023</v>
      </c>
      <c r="E27" s="6" t="n">
        <f aca="false">D27-C27</f>
        <v>21</v>
      </c>
      <c r="F27" s="0" t="n">
        <v>1.75</v>
      </c>
      <c r="G27" s="0" t="n">
        <v>0.175</v>
      </c>
      <c r="H27" s="0" t="n">
        <v>14</v>
      </c>
      <c r="I27" s="6" t="n">
        <f aca="false">($B$2*((1-$B$4)*F27+$B$4*G27)+$B$3*H27)/($B$2+$B$3)</f>
        <v>2.34111111111111</v>
      </c>
      <c r="J27" s="6" t="n">
        <f aca="false">E27*I27</f>
        <v>49.1633333333333</v>
      </c>
    </row>
    <row r="28" customFormat="false" ht="17.15" hidden="false" customHeight="false" outlineLevel="0" collapsed="false">
      <c r="A28" s="0" t="s">
        <v>322</v>
      </c>
      <c r="B28" s="0" t="s">
        <v>318</v>
      </c>
      <c r="C28" s="5" t="n">
        <v>45658</v>
      </c>
      <c r="D28" s="5" t="n">
        <v>46023</v>
      </c>
      <c r="E28" s="6" t="n">
        <f aca="false">D28-C28</f>
        <v>365</v>
      </c>
      <c r="F28" s="0" t="n">
        <v>15</v>
      </c>
      <c r="G28" s="0" t="n">
        <v>7.5</v>
      </c>
      <c r="H28" s="0" t="n">
        <v>60</v>
      </c>
      <c r="I28" s="6" t="n">
        <f aca="false">($B$2*((1-$B$4)*F28+$B$4*G28)+$B$3*H28)/($B$2+$B$3)</f>
        <v>16.3333333333333</v>
      </c>
      <c r="J28" s="6" t="n">
        <f aca="false">E28*I28</f>
        <v>5961.66666666667</v>
      </c>
    </row>
    <row r="29" customFormat="false" ht="17.15" hidden="false" customHeight="false" outlineLevel="0" collapsed="false">
      <c r="A29" s="0" t="s">
        <v>323</v>
      </c>
      <c r="B29" s="0" t="s">
        <v>311</v>
      </c>
      <c r="C29" s="5" t="n">
        <v>45658</v>
      </c>
      <c r="D29" s="5" t="n">
        <v>45761</v>
      </c>
      <c r="E29" s="6" t="n">
        <f aca="false">D29-C29</f>
        <v>103</v>
      </c>
      <c r="F29" s="0" t="n">
        <v>2.5</v>
      </c>
      <c r="G29" s="0" t="n">
        <v>1.25</v>
      </c>
      <c r="H29" s="0" t="n">
        <v>10</v>
      </c>
      <c r="I29" s="6" t="n">
        <f aca="false">($B$2*((1-$B$4)*F29+$B$4*G29)+$B$3*H29)/($B$2+$B$3)</f>
        <v>2.72222222222222</v>
      </c>
      <c r="J29" s="6" t="n">
        <f aca="false">E29*I29</f>
        <v>280.388888888889</v>
      </c>
    </row>
    <row r="30" customFormat="false" ht="17.15" hidden="false" customHeight="false" outlineLevel="0" collapsed="false">
      <c r="A30" s="0" t="s">
        <v>323</v>
      </c>
      <c r="B30" s="0" t="s">
        <v>312</v>
      </c>
      <c r="C30" s="5" t="n">
        <v>45761</v>
      </c>
      <c r="D30" s="5" t="n">
        <v>45876</v>
      </c>
      <c r="E30" s="6" t="n">
        <f aca="false">D30-C30</f>
        <v>115</v>
      </c>
      <c r="F30" s="0" t="n">
        <v>2</v>
      </c>
      <c r="G30" s="0" t="n">
        <v>0.5</v>
      </c>
      <c r="H30" s="0" t="n">
        <v>8</v>
      </c>
      <c r="I30" s="6" t="n">
        <f aca="false">($B$2*((1-$B$4)*F30+$B$4*G30)+$B$3*H30)/($B$2+$B$3)</f>
        <v>1.93333333333333</v>
      </c>
      <c r="J30" s="6" t="n">
        <f aca="false">E30*I30</f>
        <v>222.333333333333</v>
      </c>
    </row>
    <row r="31" customFormat="false" ht="17.15" hidden="false" customHeight="false" outlineLevel="0" collapsed="false">
      <c r="A31" s="0" t="s">
        <v>323</v>
      </c>
      <c r="B31" s="0" t="s">
        <v>313</v>
      </c>
      <c r="C31" s="5" t="n">
        <v>45876</v>
      </c>
      <c r="D31" s="5" t="n">
        <v>46002</v>
      </c>
      <c r="E31" s="6" t="n">
        <f aca="false">D31-C31</f>
        <v>126</v>
      </c>
      <c r="F31" s="0" t="n">
        <v>1.25</v>
      </c>
      <c r="G31" s="0" t="n">
        <v>0.125</v>
      </c>
      <c r="H31" s="0" t="n">
        <v>10</v>
      </c>
      <c r="I31" s="6" t="n">
        <f aca="false">($B$2*((1-$B$4)*F31+$B$4*G31)+$B$3*H31)/($B$2+$B$3)</f>
        <v>1.67222222222222</v>
      </c>
      <c r="J31" s="6" t="n">
        <f aca="false">E31*I31</f>
        <v>210.7</v>
      </c>
    </row>
    <row r="32" customFormat="false" ht="17.15" hidden="false" customHeight="false" outlineLevel="0" collapsed="false">
      <c r="A32" s="0" t="s">
        <v>323</v>
      </c>
      <c r="B32" s="0" t="s">
        <v>314</v>
      </c>
      <c r="C32" s="5" t="n">
        <v>46002</v>
      </c>
      <c r="D32" s="5" t="n">
        <v>46023</v>
      </c>
      <c r="E32" s="6" t="n">
        <f aca="false">D32-C32</f>
        <v>21</v>
      </c>
      <c r="F32" s="0" t="n">
        <v>1.75</v>
      </c>
      <c r="G32" s="0" t="n">
        <v>0.175</v>
      </c>
      <c r="H32" s="0" t="n">
        <v>14</v>
      </c>
      <c r="I32" s="6" t="n">
        <f aca="false">($B$2*((1-$B$4)*F32+$B$4*G32)+$B$3*H32)/($B$2+$B$3)</f>
        <v>2.34111111111111</v>
      </c>
      <c r="J32" s="6" t="n">
        <f aca="false">E32*I32</f>
        <v>49.1633333333333</v>
      </c>
    </row>
    <row r="33" customFormat="false" ht="17.15" hidden="false" customHeight="false" outlineLevel="0" collapsed="false">
      <c r="A33" s="0" t="s">
        <v>324</v>
      </c>
      <c r="B33" s="0" t="s">
        <v>318</v>
      </c>
      <c r="C33" s="5" t="n">
        <v>45658</v>
      </c>
      <c r="D33" s="5" t="n">
        <v>45735</v>
      </c>
      <c r="E33" s="6" t="n">
        <f aca="false">D33-C33</f>
        <v>77</v>
      </c>
      <c r="F33" s="0" t="n">
        <v>15</v>
      </c>
      <c r="G33" s="0" t="n">
        <v>7.5</v>
      </c>
      <c r="H33" s="0" t="n">
        <v>60</v>
      </c>
      <c r="I33" s="6" t="n">
        <f aca="false">($B$2*((1-$B$4)*F33+$B$4*G33)+$B$3*H33)/($B$2+$B$3)</f>
        <v>16.3333333333333</v>
      </c>
      <c r="J33" s="6" t="n">
        <f aca="false">E33*I33</f>
        <v>1257.66666666667</v>
      </c>
    </row>
    <row r="34" customFormat="false" ht="17.15" hidden="false" customHeight="false" outlineLevel="0" collapsed="false">
      <c r="A34" s="0" t="s">
        <v>324</v>
      </c>
      <c r="B34" s="0" t="s">
        <v>325</v>
      </c>
      <c r="C34" s="5" t="n">
        <v>45735</v>
      </c>
      <c r="D34" s="5" t="n">
        <v>45818</v>
      </c>
      <c r="E34" s="6" t="n">
        <f aca="false">D34-C34</f>
        <v>83</v>
      </c>
      <c r="F34" s="0" t="n">
        <v>150</v>
      </c>
      <c r="G34" s="0" t="n">
        <v>150</v>
      </c>
      <c r="H34" s="0" t="n">
        <v>600</v>
      </c>
      <c r="I34" s="6" t="n">
        <f aca="false">($B$2*((1-$B$4)*F34+$B$4*G34)+$B$3*H34)/($B$2+$B$3)</f>
        <v>200</v>
      </c>
      <c r="J34" s="6" t="n">
        <f aca="false">E34*I34</f>
        <v>16600</v>
      </c>
    </row>
    <row r="35" customFormat="false" ht="17.15" hidden="false" customHeight="false" outlineLevel="0" collapsed="false">
      <c r="A35" s="0" t="s">
        <v>324</v>
      </c>
      <c r="B35" s="0" t="s">
        <v>326</v>
      </c>
      <c r="C35" s="5" t="n">
        <v>45818</v>
      </c>
      <c r="D35" s="5" t="n">
        <v>45936</v>
      </c>
      <c r="E35" s="6" t="n">
        <f aca="false">D35-C35</f>
        <v>118</v>
      </c>
      <c r="F35" s="0" t="n">
        <v>20</v>
      </c>
      <c r="G35" s="0" t="n">
        <v>20</v>
      </c>
      <c r="H35" s="0" t="n">
        <v>80</v>
      </c>
      <c r="I35" s="6" t="n">
        <f aca="false">($B$2*((1-$B$4)*F35+$B$4*G35)+$B$3*H35)/($B$2+$B$3)</f>
        <v>26.6666666666667</v>
      </c>
      <c r="J35" s="6" t="n">
        <f aca="false">E35*I35</f>
        <v>3146.66666666667</v>
      </c>
    </row>
    <row r="36" customFormat="false" ht="17.15" hidden="false" customHeight="false" outlineLevel="0" collapsed="false">
      <c r="A36" s="0" t="s">
        <v>324</v>
      </c>
      <c r="B36" s="0" t="s">
        <v>327</v>
      </c>
      <c r="C36" s="5" t="n">
        <v>45936</v>
      </c>
      <c r="D36" s="5" t="n">
        <v>46023</v>
      </c>
      <c r="E36" s="6" t="n">
        <f aca="false">D36-C36</f>
        <v>87</v>
      </c>
      <c r="F36" s="0" t="n">
        <v>15</v>
      </c>
      <c r="G36" s="0" t="n">
        <v>15</v>
      </c>
      <c r="H36" s="0" t="n">
        <v>120</v>
      </c>
      <c r="I36" s="6" t="n">
        <f aca="false">($B$2*((1-$B$4)*F36+$B$4*G36)+$B$3*H36)/($B$2+$B$3)</f>
        <v>26.6666666666667</v>
      </c>
      <c r="J36" s="6" t="n">
        <f aca="false">E36*I36</f>
        <v>2320</v>
      </c>
    </row>
    <row r="38" customFormat="false" ht="17.15" hidden="false" customHeight="false" outlineLevel="0" collapsed="false">
      <c r="A38" s="4" t="s">
        <v>328</v>
      </c>
      <c r="I38" s="4" t="s">
        <v>329</v>
      </c>
      <c r="J38" s="0" t="s">
        <v>330</v>
      </c>
    </row>
    <row r="39" customFormat="false" ht="17.15" hidden="false" customHeight="false" outlineLevel="0" collapsed="false">
      <c r="A39" s="0" t="s">
        <v>302</v>
      </c>
      <c r="I39" s="0" t="n">
        <f aca="false">SUMIF($A$8:$A$36,A39,$J$8:$J$36)/SUMIF($A$8:$A$36,A39,$E$8:$E$36)</f>
        <v>0.103486757990868</v>
      </c>
      <c r="J39" s="0" t="n">
        <f aca="false">I39/(($B$2*((1-$B$4)*0.1+$B$4*0.01)+$B$3*0.5)/($B$2+$B$3))</f>
        <v>1.03028851982058</v>
      </c>
    </row>
    <row r="40" customFormat="false" ht="17.15" hidden="false" customHeight="false" outlineLevel="0" collapsed="false">
      <c r="A40" s="0" t="s">
        <v>306</v>
      </c>
      <c r="I40" s="0" t="n">
        <f aca="false">SUMIF($A$8:$A$36,A40,$J$8:$J$36)/SUMIF($A$8:$A$36,A40,$E$8:$E$36)</f>
        <v>0.302611872146119</v>
      </c>
      <c r="J40" s="0" t="n">
        <f aca="false">I40/(($B$2*((1-$B$4)*0.1+$B$4*0.01)+$B$3*0.5)/($B$2+$B$3))</f>
        <v>3.01272881561401</v>
      </c>
    </row>
    <row r="41" customFormat="false" ht="17.15" hidden="false" customHeight="false" outlineLevel="0" collapsed="false">
      <c r="A41" s="0" t="s">
        <v>309</v>
      </c>
      <c r="I41" s="0" t="n">
        <f aca="false">SUMIF($A$8:$A$36,A41,$J$8:$J$36)/SUMIF($A$8:$A$36,A41,$E$8:$E$36)</f>
        <v>0.0668888888888889</v>
      </c>
      <c r="J41" s="0" t="n">
        <f aca="false">I41/(($B$2*((1-$B$4)*0.1+$B$4*0.01)+$B$3*0.5)/($B$2+$B$3))</f>
        <v>0.665929203539823</v>
      </c>
    </row>
    <row r="42" customFormat="false" ht="17.15" hidden="false" customHeight="false" outlineLevel="0" collapsed="false">
      <c r="A42" s="0" t="s">
        <v>310</v>
      </c>
      <c r="I42" s="0" t="n">
        <f aca="false">SUMIF($A$8:$A$36,A42,$J$8:$J$36)/SUMIF($A$8:$A$36,A42,$E$8:$E$36)</f>
        <v>2.08927549467276</v>
      </c>
      <c r="J42" s="0" t="n">
        <f aca="false">I42/(($B$2*((1-$B$4)*2+$B$4*0.2)+$B$3*10)/($B$2+$B$3))</f>
        <v>1.04001545641896</v>
      </c>
    </row>
    <row r="43" customFormat="false" ht="17.15" hidden="false" customHeight="false" outlineLevel="0" collapsed="false">
      <c r="A43" s="0" t="s">
        <v>315</v>
      </c>
      <c r="I43" s="0" t="n">
        <f aca="false">SUMIF($A$8:$A$36,A43,$J$8:$J$36)/SUMIF($A$8:$A$36,A43,$E$8:$E$36)</f>
        <v>2.3378295281583</v>
      </c>
      <c r="J43" s="0" t="n">
        <f aca="false">I43/(($B$2*((1-$B$4)*2+$B$4*0.2)+$B$3*10)/($B$2+$B$3))</f>
        <v>1.16374257485756</v>
      </c>
    </row>
    <row r="44" customFormat="false" ht="17.15" hidden="false" customHeight="false" outlineLevel="0" collapsed="false">
      <c r="A44" s="0" t="s">
        <v>316</v>
      </c>
      <c r="I44" s="0" t="n">
        <f aca="false">SUMIF($A$8:$A$36,A44,$J$8:$J$36)/SUMIF($A$8:$A$36,A44,$E$8:$E$36)</f>
        <v>1.67222222222222</v>
      </c>
      <c r="J44" s="0" t="n">
        <f aca="false">I44/(($B$2*((1-$B$4)*2+$B$4*0.2)+$B$3*10)/($B$2+$B$3))</f>
        <v>0.832411504424779</v>
      </c>
    </row>
    <row r="45" customFormat="false" ht="17.15" hidden="false" customHeight="false" outlineLevel="0" collapsed="false">
      <c r="A45" s="0" t="s">
        <v>317</v>
      </c>
      <c r="I45" s="0" t="n">
        <f aca="false">SUMIF($A$8:$A$36,A45,$J$8:$J$36)/SUMIF($A$8:$A$36,A45,$E$8:$E$36)</f>
        <v>7.1744200913242</v>
      </c>
      <c r="J45" s="0" t="n">
        <f aca="false">I45/(($B$2*((1-$B$4)*10+$B$4*1)+$B$3*50)/($B$2+$B$3))</f>
        <v>0.714267486968117</v>
      </c>
    </row>
    <row r="46" customFormat="false" ht="17.15" hidden="false" customHeight="false" outlineLevel="0" collapsed="false">
      <c r="A46" s="0" t="s">
        <v>322</v>
      </c>
      <c r="I46" s="0" t="n">
        <f aca="false">SUMIF($A$8:$A$36,A46,$J$8:$J$36)/SUMIF($A$8:$A$36,A46,$E$8:$E$36)</f>
        <v>16.3333333333333</v>
      </c>
      <c r="J46" s="0" t="n">
        <f aca="false">I46/(($B$2*((1-$B$4)*10+$B$4*1)+$B$3*50)/($B$2+$B$3))</f>
        <v>1.62610619469027</v>
      </c>
    </row>
    <row r="47" customFormat="false" ht="17.15" hidden="false" customHeight="false" outlineLevel="0" collapsed="false">
      <c r="A47" s="0" t="s">
        <v>323</v>
      </c>
      <c r="I47" s="0" t="n">
        <f aca="false">SUMIF($A$8:$A$36,A47,$J$8:$J$36)/SUMIF($A$8:$A$36,A47,$E$8:$E$36)</f>
        <v>2.08927549467276</v>
      </c>
      <c r="J47" s="0" t="n">
        <f aca="false">I47/(($B$2*((1-$B$4)*10+$B$4*1)+$B$3*50)/($B$2+$B$3))</f>
        <v>0.208003091283792</v>
      </c>
    </row>
    <row r="48" customFormat="false" ht="17.15" hidden="false" customHeight="false" outlineLevel="0" collapsed="false">
      <c r="A48" s="0" t="s">
        <v>324</v>
      </c>
      <c r="I48" s="0" t="n">
        <f aca="false">SUMIF($A$8:$A$36,A48,$J$8:$J$36)/SUMIF($A$8:$A$36,A48,$E$8:$E$36)</f>
        <v>63.9022831050228</v>
      </c>
      <c r="J48" s="0" t="n">
        <f aca="false">I48/(($B$2*((1-$B$4)*10+$B$4*1)+$B$3*50)/($B$2+$B$3))</f>
        <v>6.36195296399564</v>
      </c>
    </row>
    <row r="49" customFormat="false" ht="17.15" hidden="false" customHeight="false" outlineLevel="0" collapsed="false">
      <c r="A49" s="0" t="s">
        <v>331</v>
      </c>
      <c r="I49" s="0" t="n">
        <f aca="false">(I42*2365.2+I43*1460)/(2365.2+1460)</f>
        <v>2.18414344638479</v>
      </c>
      <c r="J49" s="0" t="n">
        <f aca="false">I49/(($B$2*((1-$B$4)*2+$B$4*0.2)+$B$3*10)/($B$2+$B$3))</f>
        <v>1.08723954742606</v>
      </c>
    </row>
    <row r="51" customFormat="false" ht="17.15" hidden="false" customHeight="false" outlineLevel="0" collapsed="false">
      <c r="A51" s="0" t="s">
        <v>332</v>
      </c>
      <c r="I51" s="4" t="s">
        <v>333</v>
      </c>
      <c r="J51" s="0" t="s">
        <v>334</v>
      </c>
    </row>
    <row r="52" customFormat="false" ht="17.15" hidden="false" customHeight="false" outlineLevel="0" collapsed="false">
      <c r="A52" s="4" t="s">
        <v>335</v>
      </c>
      <c r="I52" s="0" t="n">
        <f aca="false">(0.4*I39+0.45*I49+0.15*I45)*(1-$B$5)</f>
        <v>1.68033781421451</v>
      </c>
      <c r="J52" s="0" t="n">
        <f aca="false">I52/1.96067555555556</f>
        <v>0.857019821282151</v>
      </c>
    </row>
    <row r="53" customFormat="false" ht="17.15" hidden="false" customHeight="false" outlineLevel="0" collapsed="false">
      <c r="A53" s="4" t="s">
        <v>336</v>
      </c>
      <c r="I53" s="0" t="n">
        <f aca="false">(0.4*I41+0.45*I44+0.15*I47)*(1-$B$5)</f>
        <v>0.874117503805175</v>
      </c>
      <c r="J53" s="0" t="n">
        <f aca="false">I53/1.96067555555556</f>
        <v>0.445824655348188</v>
      </c>
    </row>
    <row r="54" customFormat="false" ht="17.15" hidden="false" customHeight="false" outlineLevel="0" collapsed="false">
      <c r="A54" s="4" t="s">
        <v>337</v>
      </c>
      <c r="I54" s="0" t="n">
        <f aca="false">(0.4*I40+0.45*I43+0.15*I46)*(1-$B$5)</f>
        <v>2.89845442922374</v>
      </c>
      <c r="J54" s="0" t="n">
        <f aca="false">I54/1.96067555555556</f>
        <v>1.47829375493105</v>
      </c>
    </row>
    <row r="55" customFormat="false" ht="17.15" hidden="false" customHeight="false" outlineLevel="0" collapsed="false">
      <c r="A55" s="4" t="s">
        <v>338</v>
      </c>
      <c r="I55" s="0" t="n">
        <f aca="false">(0.4*(($B$2*((1-$B$4)*0.1+$B$4*0.01)+$B$3*0.5)/($B$2+$B$3))+0.45*(($B$2*((1-$B$4)*2+$B$4*0.2)+$B$3*10)/($B$2+$B$3))+0.15*(($B$2*((1-$B$4)*10+$B$4*1)+$B$3*50)/($B$2+$B$3)))*(1-$B$5)</f>
        <v>1.96067555555556</v>
      </c>
      <c r="J55" s="0" t="n">
        <f aca="false">I55/1.96067555555556</f>
        <v>0.999999999999998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4" t="s">
        <v>339</v>
      </c>
      <c r="B1" s="4" t="s">
        <v>340</v>
      </c>
      <c r="C1" s="4" t="s">
        <v>341</v>
      </c>
    </row>
    <row r="2" customFormat="false" ht="17.15" hidden="false" customHeight="false" outlineLevel="0" collapsed="false">
      <c r="A2" s="0" t="s">
        <v>342</v>
      </c>
      <c r="B2" s="0" t="n">
        <v>1.0001E+027</v>
      </c>
      <c r="C2" s="0" t="s">
        <v>343</v>
      </c>
    </row>
    <row r="3" customFormat="false" ht="17.15" hidden="false" customHeight="false" outlineLevel="0" collapsed="false">
      <c r="A3" s="0" t="s">
        <v>344</v>
      </c>
      <c r="B3" s="0" t="n">
        <v>5E+026</v>
      </c>
      <c r="C3" s="0" t="s">
        <v>345</v>
      </c>
    </row>
    <row r="4" customFormat="false" ht="17.15" hidden="false" customHeight="false" outlineLevel="0" collapsed="false">
      <c r="A4" s="0" t="s">
        <v>346</v>
      </c>
      <c r="B4" s="0" t="n">
        <v>2E+027</v>
      </c>
      <c r="C4" s="0" t="s">
        <v>347</v>
      </c>
    </row>
    <row r="5" customFormat="false" ht="17.15" hidden="false" customHeight="false" outlineLevel="0" collapsed="false">
      <c r="A5" s="4" t="s">
        <v>348</v>
      </c>
      <c r="B5" s="0" t="n">
        <v>100000</v>
      </c>
      <c r="C5" s="0" t="s">
        <v>349</v>
      </c>
    </row>
    <row r="6" customFormat="false" ht="17.15" hidden="false" customHeight="false" outlineLevel="0" collapsed="false">
      <c r="A6" s="4" t="s">
        <v>350</v>
      </c>
      <c r="B6" s="0" t="n">
        <v>5000000000000000</v>
      </c>
      <c r="C6" s="0" t="s">
        <v>351</v>
      </c>
    </row>
    <row r="7" customFormat="false" ht="17.15" hidden="false" customHeight="false" outlineLevel="0" collapsed="false">
      <c r="A7" s="4" t="s">
        <v>352</v>
      </c>
      <c r="B7" s="0" t="n">
        <v>0.25</v>
      </c>
      <c r="C7" s="0" t="s">
        <v>353</v>
      </c>
    </row>
    <row r="8" customFormat="false" ht="15" hidden="false" customHeight="false" outlineLevel="0" collapsed="false">
      <c r="A8" s="4" t="s">
        <v>354</v>
      </c>
      <c r="B8" s="0" t="n">
        <v>90</v>
      </c>
      <c r="C8" s="0" t="s">
        <v>353</v>
      </c>
    </row>
    <row r="9" customFormat="false" ht="15" hidden="false" customHeight="false" outlineLevel="0" collapsed="false">
      <c r="A9" s="4" t="s">
        <v>355</v>
      </c>
      <c r="B9" s="0" t="n">
        <f aca="false">B5*B6*B7*B8*86400</f>
        <v>9.72E+026</v>
      </c>
      <c r="C9" s="0" t="s">
        <v>356</v>
      </c>
    </row>
    <row r="10" customFormat="false" ht="17.15" hidden="false" customHeight="false" outlineLevel="0" collapsed="false">
      <c r="A10" s="4" t="s">
        <v>357</v>
      </c>
      <c r="B10" s="0" t="n">
        <f aca="false">B2/14.6162424528429</f>
        <v>6.84238786560001E+025</v>
      </c>
      <c r="C10" s="4" t="s">
        <v>358</v>
      </c>
    </row>
    <row r="11" customFormat="false" ht="17.15" hidden="false" customHeight="false" outlineLevel="0" collapsed="false">
      <c r="A11" s="4" t="s">
        <v>359</v>
      </c>
      <c r="B11" s="0" t="n">
        <v>60</v>
      </c>
      <c r="C11" s="0" t="s">
        <v>360</v>
      </c>
    </row>
    <row r="12" customFormat="false" ht="17.15" hidden="false" customHeight="false" outlineLevel="0" collapsed="false">
      <c r="A12" s="4" t="s">
        <v>361</v>
      </c>
      <c r="B12" s="0" t="n">
        <f aca="false">B10/(B11+2)/1000000000000</f>
        <v>1103610946064.52</v>
      </c>
      <c r="C12" s="0" t="s">
        <v>362</v>
      </c>
    </row>
    <row r="14" customFormat="false" ht="17.15" hidden="false" customHeight="false" outlineLevel="0" collapsed="false">
      <c r="A14" s="0" t="s">
        <v>363</v>
      </c>
      <c r="B14" s="0" t="s">
        <v>364</v>
      </c>
      <c r="C14" s="0" t="s">
        <v>344</v>
      </c>
      <c r="D14" s="0" t="s">
        <v>365</v>
      </c>
      <c r="E14" s="0" t="s">
        <v>346</v>
      </c>
    </row>
    <row r="15" customFormat="false" ht="17.15" hidden="false" customHeight="false" outlineLevel="0" collapsed="false">
      <c r="A15" s="4" t="s">
        <v>366</v>
      </c>
      <c r="B15" s="0" t="n">
        <v>180</v>
      </c>
      <c r="C15" s="0" t="n">
        <f aca="false">$B$3/(6*B15*1000000000)/1000000000000</f>
        <v>462.962962962963</v>
      </c>
      <c r="D15" s="0" t="n">
        <f aca="false">$B$2/(6*B15*1000000000)/1000000000000</f>
        <v>926.018518518519</v>
      </c>
      <c r="E15" s="0" t="n">
        <f aca="false">$B$4/(6*B15*1000000000)/1000000000000</f>
        <v>1851.85185185185</v>
      </c>
    </row>
    <row r="16" customFormat="false" ht="17.15" hidden="false" customHeight="false" outlineLevel="0" collapsed="false">
      <c r="A16" s="4" t="s">
        <v>367</v>
      </c>
      <c r="B16" s="0" t="n">
        <v>280</v>
      </c>
      <c r="C16" s="0" t="n">
        <f aca="false">$B$3/(6*B16*1000000000)/1000000000000</f>
        <v>297.619047619048</v>
      </c>
      <c r="D16" s="0" t="n">
        <f aca="false">$B$2/(6*B16*1000000000)/1000000000000</f>
        <v>595.297619047619</v>
      </c>
      <c r="E16" s="0" t="n">
        <f aca="false">$B$4/(6*B16*1000000000)/1000000000000</f>
        <v>1190.47619047619</v>
      </c>
    </row>
    <row r="17" customFormat="false" ht="17.15" hidden="false" customHeight="false" outlineLevel="0" collapsed="false">
      <c r="A17" s="4" t="s">
        <v>368</v>
      </c>
      <c r="B17" s="0" t="n">
        <v>400</v>
      </c>
      <c r="C17" s="0" t="n">
        <f aca="false">$B$3/(6*B17*1000000000)/1000000000000</f>
        <v>208.333333333333</v>
      </c>
      <c r="D17" s="0" t="n">
        <f aca="false">$B$2/(6*B17*1000000000)/1000000000000</f>
        <v>416.708333333333</v>
      </c>
      <c r="E17" s="0" t="n">
        <f aca="false">$B$4/(6*B17*1000000000)/1000000000000</f>
        <v>833.333333333333</v>
      </c>
    </row>
    <row r="18" customFormat="false" ht="17.15" hidden="false" customHeight="false" outlineLevel="0" collapsed="false">
      <c r="A18" s="4" t="s">
        <v>369</v>
      </c>
      <c r="B18" s="0" t="n">
        <v>600</v>
      </c>
      <c r="C18" s="0" t="n">
        <f aca="false">$B$3/(6*B18*1000000000)/1000000000000</f>
        <v>138.888888888889</v>
      </c>
      <c r="D18" s="0" t="n">
        <f aca="false">$B$2/(6*B18*1000000000)/1000000000000</f>
        <v>277.805555555556</v>
      </c>
      <c r="E18" s="0" t="n">
        <f aca="false">$B$4/(6*B18*1000000000)/1000000000000</f>
        <v>555.555555555556</v>
      </c>
    </row>
    <row r="19" customFormat="false" ht="17.15" hidden="false" customHeight="false" outlineLevel="0" collapsed="false">
      <c r="A19" s="4" t="s">
        <v>370</v>
      </c>
      <c r="B19" s="0" t="n">
        <v>800</v>
      </c>
      <c r="C19" s="0" t="n">
        <f aca="false">$B$3/(6*B19*1000000000)/1000000000000</f>
        <v>104.166666666667</v>
      </c>
      <c r="D19" s="0" t="n">
        <f aca="false">$B$2/(6*B19*1000000000)/1000000000000</f>
        <v>208.354166666667</v>
      </c>
      <c r="E19" s="0" t="n">
        <f aca="false">$B$4/(6*B19*1000000000)/1000000000000</f>
        <v>416.666666666667</v>
      </c>
    </row>
    <row r="21" customFormat="false" ht="17.15" hidden="false" customHeight="false" outlineLevel="0" collapsed="false">
      <c r="A21" s="4" t="s">
        <v>371</v>
      </c>
      <c r="B21" s="0" t="s">
        <v>372</v>
      </c>
      <c r="C21" s="4" t="s">
        <v>373</v>
      </c>
      <c r="D21" s="4" t="s">
        <v>374</v>
      </c>
    </row>
    <row r="22" customFormat="false" ht="15" hidden="false" customHeight="false" outlineLevel="0" collapsed="false">
      <c r="B22" s="0" t="n">
        <v>0</v>
      </c>
      <c r="C22" s="0" t="n">
        <f aca="false">$B$2*(1-B22)/(6*180000000000)/1000000000000</f>
        <v>926.018518518519</v>
      </c>
      <c r="D22" s="0" t="n">
        <f aca="false">$B$2*(1-B22)/(6*400000000000)/1000000000000</f>
        <v>416.708333333333</v>
      </c>
    </row>
    <row r="23" customFormat="false" ht="15" hidden="false" customHeight="false" outlineLevel="0" collapsed="false">
      <c r="B23" s="0" t="n">
        <v>0.3</v>
      </c>
      <c r="C23" s="0" t="n">
        <f aca="false">$B$2*(1-B23)/(6*180000000000)/1000000000000</f>
        <v>648.212962962963</v>
      </c>
      <c r="D23" s="0" t="n">
        <f aca="false">$B$2*(1-B23)/(6*400000000000)/1000000000000</f>
        <v>291.695833333333</v>
      </c>
    </row>
    <row r="24" customFormat="false" ht="15" hidden="false" customHeight="false" outlineLevel="0" collapsed="false">
      <c r="B24" s="0" t="n">
        <v>0.5</v>
      </c>
      <c r="C24" s="0" t="n">
        <f aca="false">$B$2*(1-B24)/(6*180000000000)/1000000000000</f>
        <v>463.009259259259</v>
      </c>
      <c r="D24" s="0" t="n">
        <f aca="false">$B$2*(1-B24)/(6*400000000000)/1000000000000</f>
        <v>208.354166666667</v>
      </c>
    </row>
    <row r="26" customFormat="false" ht="17.15" hidden="false" customHeight="false" outlineLevel="0" collapsed="false">
      <c r="A26" s="4" t="s">
        <v>375</v>
      </c>
      <c r="B26" s="0" t="n">
        <v>300</v>
      </c>
      <c r="C26" s="0" t="s">
        <v>376</v>
      </c>
    </row>
    <row r="27" customFormat="false" ht="17.15" hidden="false" customHeight="false" outlineLevel="0" collapsed="false">
      <c r="A27" s="4" t="s">
        <v>377</v>
      </c>
      <c r="B27" s="0" t="n">
        <f aca="false">B26*5</f>
        <v>1500</v>
      </c>
      <c r="C27" s="0" t="s">
        <v>378</v>
      </c>
    </row>
    <row r="28" customFormat="false" ht="17.15" hidden="false" customHeight="false" outlineLevel="0" collapsed="false">
      <c r="A28" s="4" t="s">
        <v>379</v>
      </c>
      <c r="B28" s="0" t="n">
        <v>36</v>
      </c>
      <c r="C28" s="0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2026-10-15T20:11:58Z</dcterms:created>
  <dc:creator>openpyxl</dc:creator>
  <dc:description/>
  <dc:language>en-US</dc:language>
  <cp:lastModifiedBy/>
  <dcterms:modified xsi:type="dcterms:W3CDTF">2026-10-15T20:11:58Z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